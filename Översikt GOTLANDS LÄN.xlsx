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46290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46290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46290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46290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33289-2026</t>
        </is>
      </c>
      <c r="B25" t="inlineStr">
        <is>
          <t>avverkningsanmälan</t>
        </is>
      </c>
      <c r="C25" t="inlineStr">
        <is>
          <t>Föryngringsavverkning</t>
        </is>
      </c>
      <c r="D25" s="1" t="n">
        <v>46246</v>
      </c>
      <c r="E25" s="1" t="n">
        <v>46290</v>
      </c>
      <c r="F25" t="inlineStr">
        <is>
          <t>GOTLANDS LÄN</t>
        </is>
      </c>
      <c r="G25" t="inlineStr">
        <is>
          <t>GOTLAND</t>
        </is>
      </c>
      <c r="I25" t="n">
        <v>3.8</v>
      </c>
      <c r="J25" t="n">
        <v>7</v>
      </c>
      <c r="K25" t="n">
        <v>6</v>
      </c>
      <c r="L25" t="n">
        <v>8</v>
      </c>
      <c r="M25" t="n">
        <v>0</v>
      </c>
      <c r="N25" t="n">
        <v>1</v>
      </c>
      <c r="O25" t="n">
        <v>0</v>
      </c>
      <c r="P25" t="n">
        <v>0</v>
      </c>
      <c r="Q25" t="n">
        <v>9</v>
      </c>
      <c r="R25" t="n">
        <v>1</v>
      </c>
      <c r="S25" t="n">
        <v>20</v>
      </c>
      <c r="T25" t="n">
        <v>86</v>
      </c>
      <c r="U25" t="n">
        <v>86</v>
      </c>
      <c r="V25" s="2" t="inlineStr">
        <is>
          <t>Ask
Axveronika
Backtimjan
Jordtistel
Majviva
Solvända
Svinrot
Säfferot
Sårläka
Axag
Kalktallört
Nästrot
Purpurknipprot
Skogsknipprot
Strävlosta
Ormbär
Spillkråka
Brudsporre
Fläcknycklar
Kärrknipprot</t>
        </is>
      </c>
      <c r="W25">
        <f>HYPERLINK("https://klasma.github.io/Logging_0980/artfynd/A 33289-2026 artfynd.xlsx", "A 33289-2026")</f>
        <v/>
      </c>
      <c r="X25">
        <f>HYPERLINK("https://klasma.github.io/Logging_0980/kartor/A 33289-2026 karta.png", "A 33289-2026")</f>
        <v/>
      </c>
      <c r="Y25">
        <f>HYPERLINK("https://klasma.github.io/Logging_0980/kartor_geotiff/A 33289-2026 georefererad karta.tif", "A 33289-2026")</f>
        <v/>
      </c>
      <c r="AA25">
        <f>HYPERLINK("https://klasma.github.io/Logging_0980/klagomål/A 33289-2026 FSC-klagomål.docx", "A 33289-2026")</f>
        <v/>
      </c>
      <c r="AB25">
        <f>HYPERLINK("https://klasma.github.io/Logging_0980/klagomålsmail/A 33289-2026 FSC-klagomål mail.docx", "A 33289-2026")</f>
        <v/>
      </c>
      <c r="AC25">
        <f>HYPERLINK("https://klasma.github.io/Logging_0980/tillsyn/A 33289-2026 tillsynsbegäran.docx", "A 33289-2026")</f>
        <v/>
      </c>
      <c r="AD25">
        <f>HYPERLINK("https://klasma.github.io/Logging_0980/tillsynsmail/A 33289-2026 tillsynsbegäran mail.docx", "A 33289-2026")</f>
        <v/>
      </c>
      <c r="AE25">
        <f>HYPERLINK("https://klasma.github.io/Logging_0980/fåglar/A 33289-2026 prioriterade fågelarter.docx", "A 33289-2026")</f>
        <v/>
      </c>
    </row>
    <row r="26" ht="15" customHeight="1">
      <c r="A26" t="inlineStr">
        <is>
          <t>A 15068-2025</t>
        </is>
      </c>
      <c r="B26" t="inlineStr">
        <is>
          <t>avverkningsanmälan</t>
        </is>
      </c>
      <c r="C26" t="inlineStr">
        <is>
          <t>Avverkning för annat ändamål</t>
        </is>
      </c>
      <c r="D26" s="1" t="n">
        <v>45743</v>
      </c>
      <c r="E26" s="1" t="n">
        <v>46290</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46290</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46290</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63872-2021</t>
        </is>
      </c>
      <c r="B29" t="inlineStr">
        <is>
          <t>avverkningsanmälan</t>
        </is>
      </c>
      <c r="C29" t="inlineStr">
        <is>
          <t>Föryngringsavverkning</t>
        </is>
      </c>
      <c r="D29" s="1" t="n">
        <v>44509</v>
      </c>
      <c r="E29" s="1" t="n">
        <v>46290</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46290</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59132-2024</t>
        </is>
      </c>
      <c r="B31" t="inlineStr">
        <is>
          <t>avverkningsanmälan</t>
        </is>
      </c>
      <c r="C31" t="inlineStr">
        <is>
          <t>Föryngringsavverkning</t>
        </is>
      </c>
      <c r="D31" s="1" t="n">
        <v>45637</v>
      </c>
      <c r="E31" s="1" t="n">
        <v>46290</v>
      </c>
      <c r="F31" t="inlineStr">
        <is>
          <t>GOTLANDS LÄN</t>
        </is>
      </c>
      <c r="G31" t="inlineStr">
        <is>
          <t>GOTLAND</t>
        </is>
      </c>
      <c r="I31" t="n">
        <v>3.5</v>
      </c>
      <c r="J31" t="n">
        <v>3</v>
      </c>
      <c r="K31" t="n">
        <v>4</v>
      </c>
      <c r="L31" t="n">
        <v>8</v>
      </c>
      <c r="M31" t="n">
        <v>2</v>
      </c>
      <c r="N31" t="n">
        <v>2</v>
      </c>
      <c r="O31" t="n">
        <v>0</v>
      </c>
      <c r="P31" t="n">
        <v>0</v>
      </c>
      <c r="Q31" t="n">
        <v>13</v>
      </c>
      <c r="R31" t="n">
        <v>4</v>
      </c>
      <c r="S31" t="n">
        <v>18</v>
      </c>
      <c r="T31" t="n">
        <v>28</v>
      </c>
      <c r="U31" t="n">
        <v>28</v>
      </c>
      <c r="V31" s="2" t="inlineStr">
        <is>
          <t>Almlav
Ask
Mörk kraterlav
Pälsticka
Klasefibbla
Korkmusslingsmal
Korskovall
Slåtterfibbla
Solvända
Svinrot
Vippärt
Vårärt
Amphisphaeria umbrina
Myskmadra
Skogsknipprot
Tvåblad
Underviol
Sankt pers nycklar</t>
        </is>
      </c>
      <c r="W31">
        <f>HYPERLINK("https://klasma.github.io/Logging_0980/artfynd/A 59132-2024 artfynd.xlsx", "A 59132-2024")</f>
        <v/>
      </c>
      <c r="X31">
        <f>HYPERLINK("https://klasma.github.io/Logging_0980/kartor/A 59132-2024 karta.png", "A 59132-2024")</f>
        <v/>
      </c>
      <c r="Y31">
        <f>HYPERLINK("https://klasma.github.io/Logging_0980/kartor_geotiff/A 59132-2024 georefererad karta.tif", "A 59132-2024")</f>
        <v/>
      </c>
      <c r="AA31">
        <f>HYPERLINK("https://klasma.github.io/Logging_0980/klagomål/A 59132-2024 FSC-klagomål.docx", "A 59132-2024")</f>
        <v/>
      </c>
      <c r="AB31">
        <f>HYPERLINK("https://klasma.github.io/Logging_0980/klagomålsmail/A 59132-2024 FSC-klagomål mail.docx", "A 59132-2024")</f>
        <v/>
      </c>
      <c r="AC31">
        <f>HYPERLINK("https://klasma.github.io/Logging_0980/tillsyn/A 59132-2024 tillsynsbegäran.docx", "A 59132-2024")</f>
        <v/>
      </c>
      <c r="AD31">
        <f>HYPERLINK("https://klasma.github.io/Logging_0980/tillsynsmail/A 59132-2024 tillsynsbegäran mail.docx", "A 59132-2024")</f>
        <v/>
      </c>
    </row>
    <row r="32" ht="15" customHeight="1">
      <c r="A32" t="inlineStr">
        <is>
          <t>A 26987-2026</t>
        </is>
      </c>
      <c r="B32" t="inlineStr">
        <is>
          <t>avverkningsanmälan</t>
        </is>
      </c>
      <c r="C32" t="inlineStr">
        <is>
          <t>Föryngringsavverkning</t>
        </is>
      </c>
      <c r="D32" s="1" t="n">
        <v>46185</v>
      </c>
      <c r="E32" s="1" t="n">
        <v>46290</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61697-2023</t>
        </is>
      </c>
      <c r="B33" t="inlineStr">
        <is>
          <t>avverkningsanmälan</t>
        </is>
      </c>
      <c r="C33" t="inlineStr">
        <is>
          <t>Föryngringsavverkning</t>
        </is>
      </c>
      <c r="D33" s="1" t="n">
        <v>45265</v>
      </c>
      <c r="E33" s="1" t="n">
        <v>46290</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A 62132-2023</t>
        </is>
      </c>
      <c r="B34" t="inlineStr">
        <is>
          <t>avverkningsanmälan</t>
        </is>
      </c>
      <c r="C34" t="inlineStr">
        <is>
          <t>Föryngringsavverkning</t>
        </is>
      </c>
      <c r="D34" s="1" t="n">
        <v>45267</v>
      </c>
      <c r="E34" s="1" t="n">
        <v>46290</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46290</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46290</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46290</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46290</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46290</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46290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46290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46290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46290</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46290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46290</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46290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46290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46290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46290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46290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46290</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46290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46290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46290</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46290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46290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46290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46290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46290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46290</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46290</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46290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46290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46290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46290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46290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46290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46290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46290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46290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46290</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46290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46290</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46290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46290</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46290</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46290</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46290</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2085-2023</t>
        </is>
      </c>
      <c r="B79" t="inlineStr">
        <is>
          <t>avverkningsanmälan</t>
        </is>
      </c>
      <c r="C79" t="inlineStr">
        <is>
          <t>Föryngringsavverkning</t>
        </is>
      </c>
      <c r="D79" s="1" t="n">
        <v>44939</v>
      </c>
      <c r="E79" s="1" t="n">
        <v>46290</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6159-2023</t>
        </is>
      </c>
      <c r="B80" t="inlineStr">
        <is>
          <t>avverkningsanmälan</t>
        </is>
      </c>
      <c r="C80" t="inlineStr">
        <is>
          <t>Föryngringsavverkning</t>
        </is>
      </c>
      <c r="D80" s="1" t="n">
        <v>44964</v>
      </c>
      <c r="E80" s="1" t="n">
        <v>46290</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999-2023</t>
        </is>
      </c>
      <c r="B81" t="inlineStr">
        <is>
          <t>avverkningsanmälan</t>
        </is>
      </c>
      <c r="C81" t="inlineStr">
        <is>
          <t>Föryngringsavverkning</t>
        </is>
      </c>
      <c r="D81" s="1" t="n">
        <v>44935</v>
      </c>
      <c r="E81" s="1" t="n">
        <v>46290</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46290</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46290</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A 35293-2025</t>
        </is>
      </c>
      <c r="B85" t="inlineStr">
        <is>
          <t>avverkningsanmälan</t>
        </is>
      </c>
      <c r="C85" t="inlineStr">
        <is>
          <t>Föryngringsavverkning</t>
        </is>
      </c>
      <c r="D85" s="1" t="n">
        <v>45854</v>
      </c>
      <c r="E85" s="1" t="n">
        <v>46290</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S 3948-2024</t>
        </is>
      </c>
      <c r="B86" t="inlineStr">
        <is>
          <t>samrådsanmälan</t>
        </is>
      </c>
      <c r="C86" t="inlineStr">
        <is>
          <t>Annan skogsbruksåtgärd</t>
        </is>
      </c>
      <c r="D86" s="1" t="n">
        <v>45567</v>
      </c>
      <c r="E86" s="1" t="n">
        <v>46290</v>
      </c>
      <c r="F86" t="inlineStr">
        <is>
          <t>GOTLANDS LÄN</t>
        </is>
      </c>
      <c r="G86" t="inlineStr">
        <is>
          <t>GOTLAND</t>
        </is>
      </c>
      <c r="I86" t="n">
        <v>2</v>
      </c>
      <c r="J86" t="n">
        <v>1</v>
      </c>
      <c r="K86" t="n">
        <v>4</v>
      </c>
      <c r="L86" t="n">
        <v>2</v>
      </c>
      <c r="M86" t="n">
        <v>0</v>
      </c>
      <c r="N86" t="n">
        <v>0</v>
      </c>
      <c r="O86" t="n">
        <v>0</v>
      </c>
      <c r="P86" t="n">
        <v>0</v>
      </c>
      <c r="Q86" t="n">
        <v>2</v>
      </c>
      <c r="R86" t="n">
        <v>0</v>
      </c>
      <c r="S86" t="n">
        <v>7</v>
      </c>
      <c r="T86" t="n">
        <v>7</v>
      </c>
      <c r="U86" t="n">
        <v>1</v>
      </c>
      <c r="V86" s="2" t="inlineStr">
        <is>
          <t>Barrfagerspindling
Blå slemspindling
Anisspindling
Brandmusseron
Rödgul trumpetsvamp
Svavelriska
Svartvit flugsnappare</t>
        </is>
      </c>
      <c r="W86">
        <f>HYPERLINK("https://klasma.github.io/Logging_0980/artfynd/S 3948-2024 artfynd.xlsx", "S 3948-2024")</f>
        <v/>
      </c>
      <c r="X86">
        <f>HYPERLINK("https://klasma.github.io/Logging_0980/kartor/S 3948-2024 karta.png", "S 3948-2024")</f>
        <v/>
      </c>
      <c r="Y86">
        <f>HYPERLINK("https://klasma.github.io/Logging_0980/kartor_geotiff/S 3948-2024 georefererad karta.tif", "S 3948-2024")</f>
        <v/>
      </c>
      <c r="AA86">
        <f>HYPERLINK("https://klasma.github.io/Logging_0980/klagomål/S 3948-2024 FSC-klagomål.docx", "S 3948-2024")</f>
        <v/>
      </c>
      <c r="AB86">
        <f>HYPERLINK("https://klasma.github.io/Logging_0980/klagomålsmail/S 3948-2024 FSC-klagomål mail.docx", "S 3948-2024")</f>
        <v/>
      </c>
      <c r="AC86">
        <f>HYPERLINK("https://klasma.github.io/Logging_0980/tillsyn/S 3948-2024 tillsynsbegäran.docx", "S 3948-2024")</f>
        <v/>
      </c>
      <c r="AD86">
        <f>HYPERLINK("https://klasma.github.io/Logging_0980/tillsynsmail/S 3948-2024 tillsynsbegäran mail.docx", "S 3948-2024")</f>
        <v/>
      </c>
    </row>
    <row r="87" ht="15" customHeight="1">
      <c r="A87" t="inlineStr">
        <is>
          <t>A 48126-2022</t>
        </is>
      </c>
      <c r="B87" t="inlineStr">
        <is>
          <t>avverkningsanmälan</t>
        </is>
      </c>
      <c r="C87" t="inlineStr">
        <is>
          <t>Föryngringsavverkning</t>
        </is>
      </c>
      <c r="D87" s="1" t="n">
        <v>44857</v>
      </c>
      <c r="E87" s="1" t="n">
        <v>46290</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49709-2025</t>
        </is>
      </c>
      <c r="B88" t="inlineStr">
        <is>
          <t>avverkningsanmälan</t>
        </is>
      </c>
      <c r="C88" t="inlineStr">
        <is>
          <t>Föryngringsavverkning</t>
        </is>
      </c>
      <c r="D88" s="1" t="n">
        <v>45939</v>
      </c>
      <c r="E88" s="1" t="n">
        <v>46290</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64208-2021</t>
        </is>
      </c>
      <c r="B89" t="inlineStr">
        <is>
          <t>avverkningsanmälan</t>
        </is>
      </c>
      <c r="C89" t="inlineStr">
        <is>
          <t>Föryngringsavverkning</t>
        </is>
      </c>
      <c r="D89" s="1" t="n">
        <v>44510</v>
      </c>
      <c r="E89" s="1" t="n">
        <v>46290</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43200-2023</t>
        </is>
      </c>
      <c r="B90" t="inlineStr">
        <is>
          <t>avverkningsanmälan</t>
        </is>
      </c>
      <c r="C90" t="inlineStr">
        <is>
          <t>Föryngringsavverkning</t>
        </is>
      </c>
      <c r="D90" s="1" t="n">
        <v>45183</v>
      </c>
      <c r="E90" s="1" t="n">
        <v>46290</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20838-2024</t>
        </is>
      </c>
      <c r="B91" t="inlineStr">
        <is>
          <t>avverkningsanmälan</t>
        </is>
      </c>
      <c r="C91" t="inlineStr">
        <is>
          <t>Föryngringsavverkning</t>
        </is>
      </c>
      <c r="D91" s="1" t="n">
        <v>45439</v>
      </c>
      <c r="E91" s="1" t="n">
        <v>46290</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16823-2024</t>
        </is>
      </c>
      <c r="B92" t="inlineStr">
        <is>
          <t>avverkningsanmälan</t>
        </is>
      </c>
      <c r="C92" t="inlineStr">
        <is>
          <t>Avverkning för annat ändamål</t>
        </is>
      </c>
      <c r="D92" s="1" t="n">
        <v>45411</v>
      </c>
      <c r="E92" s="1" t="n">
        <v>46290</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S 452-2025</t>
        </is>
      </c>
      <c r="B93" t="inlineStr">
        <is>
          <t>samrådsanmälan</t>
        </is>
      </c>
      <c r="C93" t="inlineStr">
        <is>
          <t>Askåterföring</t>
        </is>
      </c>
      <c r="D93" s="1" t="n">
        <v>45701</v>
      </c>
      <c r="E93" s="1" t="n">
        <v>46290</v>
      </c>
      <c r="F93" t="inlineStr">
        <is>
          <t>GOTLANDS LÄN</t>
        </is>
      </c>
      <c r="G93" t="inlineStr">
        <is>
          <t>GOTLAND</t>
        </is>
      </c>
      <c r="H93" t="inlineStr">
        <is>
          <t>Övriga statliga verk och myndigheter</t>
        </is>
      </c>
      <c r="I93" t="n">
        <v>31.5</v>
      </c>
      <c r="J93" t="n">
        <v>1</v>
      </c>
      <c r="K93" t="n">
        <v>0</v>
      </c>
      <c r="L93" t="n">
        <v>4</v>
      </c>
      <c r="M93" t="n">
        <v>2</v>
      </c>
      <c r="N93" t="n">
        <v>0</v>
      </c>
      <c r="O93" t="n">
        <v>0</v>
      </c>
      <c r="P93" t="n">
        <v>0</v>
      </c>
      <c r="Q93" t="n">
        <v>6</v>
      </c>
      <c r="R93" t="n">
        <v>2</v>
      </c>
      <c r="S93" t="n">
        <v>6</v>
      </c>
      <c r="T93" t="n">
        <v>6</v>
      </c>
      <c r="U93" t="n">
        <v>4</v>
      </c>
      <c r="V93" s="2" t="inlineStr">
        <is>
          <t>Sexfläckig bastardsvärmare
Sommarklynne
Apollofjäril
Grådådra
Vippärt
Åkerranunkel</t>
        </is>
      </c>
      <c r="W93">
        <f>HYPERLINK("https://klasma.github.io/Logging_0980/artfynd/S 452-2025 artfynd.xlsx", "S 452-2025")</f>
        <v/>
      </c>
      <c r="X93">
        <f>HYPERLINK("https://klasma.github.io/Logging_0980/kartor/S 452-2025 karta.png", "S 452-2025")</f>
        <v/>
      </c>
      <c r="Y93">
        <f>HYPERLINK("https://klasma.github.io/Logging_0980/kartor_geotiff/S 452-2025 georefererad karta.tif", "S 452-2025")</f>
        <v/>
      </c>
      <c r="AA93">
        <f>HYPERLINK("https://klasma.github.io/Logging_0980/klagomål/S 452-2025 FSC-klagomål.docx", "S 452-2025")</f>
        <v/>
      </c>
      <c r="AB93">
        <f>HYPERLINK("https://klasma.github.io/Logging_0980/klagomålsmail/S 452-2025 FSC-klagomål mail.docx", "S 452-2025")</f>
        <v/>
      </c>
      <c r="AC93">
        <f>HYPERLINK("https://klasma.github.io/Logging_0980/tillsyn/S 452-2025 tillsynsbegäran.docx", "S 452-2025")</f>
        <v/>
      </c>
      <c r="AD93">
        <f>HYPERLINK("https://klasma.github.io/Logging_0980/tillsynsmail/S 452-2025 tillsynsbegäran mail.docx", "S 452-2025")</f>
        <v/>
      </c>
    </row>
    <row r="94" ht="15" customHeight="1">
      <c r="A94" t="inlineStr">
        <is>
          <t>A 73144-2021</t>
        </is>
      </c>
      <c r="B94" t="inlineStr">
        <is>
          <t>avverkningsanmälan</t>
        </is>
      </c>
      <c r="C94" t="inlineStr">
        <is>
          <t>Föryngringsavverkning</t>
        </is>
      </c>
      <c r="D94" s="1" t="n">
        <v>44550</v>
      </c>
      <c r="E94" s="1" t="n">
        <v>46290</v>
      </c>
      <c r="F94" t="inlineStr">
        <is>
          <t>GOTLANDS LÄN</t>
        </is>
      </c>
      <c r="G94" t="inlineStr">
        <is>
          <t>GOTLAND</t>
        </is>
      </c>
      <c r="I94" t="n">
        <v>1.9</v>
      </c>
      <c r="J94" t="n">
        <v>0</v>
      </c>
      <c r="K94" t="n">
        <v>1</v>
      </c>
      <c r="L94" t="n">
        <v>1</v>
      </c>
      <c r="M94" t="n">
        <v>3</v>
      </c>
      <c r="N94" t="n">
        <v>0</v>
      </c>
      <c r="O94" t="n">
        <v>0</v>
      </c>
      <c r="P94" t="n">
        <v>0</v>
      </c>
      <c r="Q94" t="n">
        <v>4</v>
      </c>
      <c r="R94" t="n">
        <v>3</v>
      </c>
      <c r="S94" t="n">
        <v>5</v>
      </c>
      <c r="T94" t="n">
        <v>7</v>
      </c>
      <c r="U94" t="n">
        <v>7</v>
      </c>
      <c r="V94" s="2" t="inlineStr">
        <is>
          <t>Igelkott
Skogskorn
Svartgrön spindling
Äggspindling
Kambräken</t>
        </is>
      </c>
      <c r="W94">
        <f>HYPERLINK("https://klasma.github.io/Logging_0980/artfynd/A 73144-2021 artfynd.xlsx", "A 73144-2021")</f>
        <v/>
      </c>
      <c r="X94">
        <f>HYPERLINK("https://klasma.github.io/Logging_0980/kartor/A 73144-2021 karta.png", "A 73144-2021")</f>
        <v/>
      </c>
      <c r="Y94">
        <f>HYPERLINK("https://klasma.github.io/Logging_0980/kartor_geotiff/A 73144-2021 georefererad karta.tif", "A 73144-2021")</f>
        <v/>
      </c>
      <c r="AA94">
        <f>HYPERLINK("https://klasma.github.io/Logging_0980/klagomål/A 73144-2021 FSC-klagomål.docx", "A 73144-2021")</f>
        <v/>
      </c>
      <c r="AB94">
        <f>HYPERLINK("https://klasma.github.io/Logging_0980/klagomålsmail/A 73144-2021 FSC-klagomål mail.docx", "A 73144-2021")</f>
        <v/>
      </c>
      <c r="AC94">
        <f>HYPERLINK("https://klasma.github.io/Logging_0980/tillsyn/A 73144-2021 tillsynsbegäran.docx", "A 73144-2021")</f>
        <v/>
      </c>
      <c r="AD94">
        <f>HYPERLINK("https://klasma.github.io/Logging_0980/tillsynsmail/A 73144-2021 tillsynsbegäran mail.docx", "A 73144-2021")</f>
        <v/>
      </c>
    </row>
    <row r="95" ht="15" customHeight="1">
      <c r="A95" t="inlineStr">
        <is>
          <t>A 5904-2024</t>
        </is>
      </c>
      <c r="B95" t="inlineStr">
        <is>
          <t>avverkningsanmälan</t>
        </is>
      </c>
      <c r="C95" t="inlineStr">
        <is>
          <t>Föryngringsavverkning</t>
        </is>
      </c>
      <c r="D95" s="1" t="n">
        <v>45335</v>
      </c>
      <c r="E95" s="1" t="n">
        <v>46290</v>
      </c>
      <c r="F95" t="inlineStr">
        <is>
          <t>GOTLANDS LÄN</t>
        </is>
      </c>
      <c r="G95" t="inlineStr">
        <is>
          <t>GOTLAND</t>
        </is>
      </c>
      <c r="I95" t="n">
        <v>6.4</v>
      </c>
      <c r="J95" t="n">
        <v>1</v>
      </c>
      <c r="K95" t="n">
        <v>1</v>
      </c>
      <c r="L95" t="n">
        <v>3</v>
      </c>
      <c r="M95" t="n">
        <v>0</v>
      </c>
      <c r="N95" t="n">
        <v>0</v>
      </c>
      <c r="O95" t="n">
        <v>0</v>
      </c>
      <c r="P95" t="n">
        <v>0</v>
      </c>
      <c r="Q95" t="n">
        <v>3</v>
      </c>
      <c r="R95" t="n">
        <v>0</v>
      </c>
      <c r="S95" t="n">
        <v>5</v>
      </c>
      <c r="T95" t="n">
        <v>11</v>
      </c>
      <c r="U95" t="n">
        <v>8</v>
      </c>
      <c r="V95" s="2" t="inlineStr">
        <is>
          <t>Backstarr
Backtimjan
Kattfotslav
Blåmossa
Sankt pers nycklar</t>
        </is>
      </c>
      <c r="W95">
        <f>HYPERLINK("https://klasma.github.io/Logging_0980/artfynd/A 5904-2024 artfynd.xlsx", "A 5904-2024")</f>
        <v/>
      </c>
      <c r="X95">
        <f>HYPERLINK("https://klasma.github.io/Logging_0980/kartor/A 5904-2024 karta.png", "A 5904-2024")</f>
        <v/>
      </c>
      <c r="Y95">
        <f>HYPERLINK("https://klasma.github.io/Logging_0980/kartor_geotiff/A 5904-2024 georefererad karta.tif", "A 5904-2024")</f>
        <v/>
      </c>
      <c r="AA95">
        <f>HYPERLINK("https://klasma.github.io/Logging_0980/klagomål/A 5904-2024 FSC-klagomål.docx", "A 5904-2024")</f>
        <v/>
      </c>
      <c r="AB95">
        <f>HYPERLINK("https://klasma.github.io/Logging_0980/klagomålsmail/A 5904-2024 FSC-klagomål mail.docx", "A 5904-2024")</f>
        <v/>
      </c>
      <c r="AC95">
        <f>HYPERLINK("https://klasma.github.io/Logging_0980/tillsyn/A 5904-2024 tillsynsbegäran.docx", "A 5904-2024")</f>
        <v/>
      </c>
      <c r="AD95">
        <f>HYPERLINK("https://klasma.github.io/Logging_0980/tillsynsmail/A 5904-2024 tillsynsbegäran mail.docx", "A 5904-2024")</f>
        <v/>
      </c>
    </row>
    <row r="96" ht="15" customHeight="1">
      <c r="A96" t="inlineStr">
        <is>
          <t>A 43197-2023</t>
        </is>
      </c>
      <c r="B96" t="inlineStr">
        <is>
          <t>avverkningsanmälan</t>
        </is>
      </c>
      <c r="C96" t="inlineStr">
        <is>
          <t>Föryngringsavverkning</t>
        </is>
      </c>
      <c r="D96" s="1" t="n">
        <v>45183</v>
      </c>
      <c r="E96" s="1" t="n">
        <v>46290</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39425-2023</t>
        </is>
      </c>
      <c r="B97" t="inlineStr">
        <is>
          <t>avverkningsanmälan</t>
        </is>
      </c>
      <c r="C97" t="inlineStr">
        <is>
          <t>Avverkning för annat ändamål</t>
        </is>
      </c>
      <c r="D97" s="1" t="n">
        <v>45166</v>
      </c>
      <c r="E97" s="1" t="n">
        <v>46290</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42936-2024</t>
        </is>
      </c>
      <c r="B98" t="inlineStr">
        <is>
          <t>avverkningsanmälan</t>
        </is>
      </c>
      <c r="C98" t="inlineStr">
        <is>
          <t>Föryngringsavverkning</t>
        </is>
      </c>
      <c r="D98" s="1" t="n">
        <v>45567</v>
      </c>
      <c r="E98" s="1" t="n">
        <v>46290</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54055-2022</t>
        </is>
      </c>
      <c r="B99" t="inlineStr">
        <is>
          <t>avverkningsanmälan</t>
        </is>
      </c>
      <c r="C99" t="inlineStr">
        <is>
          <t>Föryngringsavverkning</t>
        </is>
      </c>
      <c r="D99" s="1" t="n">
        <v>44881</v>
      </c>
      <c r="E99" s="1" t="n">
        <v>46290</v>
      </c>
      <c r="F99" t="inlineStr">
        <is>
          <t>GOTLANDS LÄN</t>
        </is>
      </c>
      <c r="G99" t="inlineStr">
        <is>
          <t>GOTLAND</t>
        </is>
      </c>
      <c r="I99" t="n">
        <v>4.6</v>
      </c>
      <c r="J99" t="n">
        <v>0</v>
      </c>
      <c r="K99" t="n">
        <v>2</v>
      </c>
      <c r="L99" t="n">
        <v>2</v>
      </c>
      <c r="M99" t="n">
        <v>1</v>
      </c>
      <c r="N99" t="n">
        <v>0</v>
      </c>
      <c r="O99" t="n">
        <v>0</v>
      </c>
      <c r="P99" t="n">
        <v>0</v>
      </c>
      <c r="Q99" t="n">
        <v>3</v>
      </c>
      <c r="R99" t="n">
        <v>1</v>
      </c>
      <c r="S99" t="n">
        <v>5</v>
      </c>
      <c r="T99" t="n">
        <v>8</v>
      </c>
      <c r="U99" t="n">
        <v>0</v>
      </c>
      <c r="V99" s="2" t="inlineStr">
        <is>
          <t>Duvspindling
Kryddspindling
Odörspindling
Diskvaxskivling
Olivspindling</t>
        </is>
      </c>
      <c r="W99">
        <f>HYPERLINK("https://klasma.github.io/Logging_0980/artfynd/A 54055-2022 artfynd.xlsx", "A 54055-2022")</f>
        <v/>
      </c>
      <c r="X99">
        <f>HYPERLINK("https://klasma.github.io/Logging_0980/kartor/A 54055-2022 karta.png", "A 54055-2022")</f>
        <v/>
      </c>
      <c r="Y99">
        <f>HYPERLINK("https://klasma.github.io/Logging_0980/kartor_geotiff/A 54055-2022 georefererad karta.tif", "A 54055-2022")</f>
        <v/>
      </c>
      <c r="AA99">
        <f>HYPERLINK("https://klasma.github.io/Logging_0980/klagomål/A 54055-2022 FSC-klagomål.docx", "A 54055-2022")</f>
        <v/>
      </c>
      <c r="AB99">
        <f>HYPERLINK("https://klasma.github.io/Logging_0980/klagomålsmail/A 54055-2022 FSC-klagomål mail.docx", "A 54055-2022")</f>
        <v/>
      </c>
      <c r="AC99">
        <f>HYPERLINK("https://klasma.github.io/Logging_0980/tillsyn/A 54055-2022 tillsynsbegäran.docx", "A 54055-2022")</f>
        <v/>
      </c>
      <c r="AD99">
        <f>HYPERLINK("https://klasma.github.io/Logging_0980/tillsynsmail/A 54055-2022 tillsynsbegäran mail.docx", "A 54055-2022")</f>
        <v/>
      </c>
    </row>
    <row r="100" ht="15" customHeight="1">
      <c r="A100" t="inlineStr">
        <is>
          <t>A 8265-2023</t>
        </is>
      </c>
      <c r="B100" t="inlineStr">
        <is>
          <t>avverkningsanmälan</t>
        </is>
      </c>
      <c r="C100" t="inlineStr">
        <is>
          <t>Föryngringsavverkning</t>
        </is>
      </c>
      <c r="D100" s="1" t="n">
        <v>44974</v>
      </c>
      <c r="E100" s="1" t="n">
        <v>46290</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57463-2025</t>
        </is>
      </c>
      <c r="B101" t="inlineStr">
        <is>
          <t>avverkningsanmälan</t>
        </is>
      </c>
      <c r="C101" t="inlineStr">
        <is>
          <t>Föryngringsavverkning</t>
        </is>
      </c>
      <c r="D101" s="1" t="n">
        <v>45980</v>
      </c>
      <c r="E101" s="1" t="n">
        <v>46290</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S 1702-2020</t>
        </is>
      </c>
      <c r="B102" t="inlineStr">
        <is>
          <t>samrådsanmälan</t>
        </is>
      </c>
      <c r="C102" t="n">
        <v/>
      </c>
      <c r="D102" s="1" t="n">
        <v>44040</v>
      </c>
      <c r="E102" s="1" t="n">
        <v>46290</v>
      </c>
      <c r="F102" t="inlineStr">
        <is>
          <t>GOTLANDS LÄN</t>
        </is>
      </c>
      <c r="G102" t="inlineStr">
        <is>
          <t>GOTLAND</t>
        </is>
      </c>
      <c r="I102" t="n">
        <v>2.7</v>
      </c>
      <c r="J102" t="n">
        <v>0</v>
      </c>
      <c r="K102" t="n">
        <v>0</v>
      </c>
      <c r="L102" t="n">
        <v>0</v>
      </c>
      <c r="M102" t="n">
        <v>2</v>
      </c>
      <c r="N102" t="n">
        <v>3</v>
      </c>
      <c r="O102" t="n">
        <v>0</v>
      </c>
      <c r="P102" t="n">
        <v>0</v>
      </c>
      <c r="Q102" t="n">
        <v>5</v>
      </c>
      <c r="R102" t="n">
        <v>5</v>
      </c>
      <c r="S102" t="n">
        <v>5</v>
      </c>
      <c r="T102" t="n">
        <v>7</v>
      </c>
      <c r="U102" t="n">
        <v>7</v>
      </c>
      <c r="V102" s="2" t="inlineStr">
        <is>
          <t>Almlav
Lundalm
Savlundlav
Blek kraterlav
Klosterlav</t>
        </is>
      </c>
      <c r="W102">
        <f>HYPERLINK("https://klasma.github.io/Logging_0980/artfynd/S 1702-2020 artfynd.xlsx", "S 1702-2020")</f>
        <v/>
      </c>
      <c r="X102">
        <f>HYPERLINK("https://klasma.github.io/Logging_0980/kartor/S 1702-2020 karta.png", "S 1702-2020")</f>
        <v/>
      </c>
      <c r="Y102">
        <f>HYPERLINK("https://klasma.github.io/Logging_0980/kartor_geotiff/S 1702-2020 georefererad karta.tif", "S 1702-2020")</f>
        <v/>
      </c>
      <c r="AA102">
        <f>HYPERLINK("https://klasma.github.io/Logging_0980/klagomål/S 1702-2020 FSC-klagomål.docx", "S 1702-2020")</f>
        <v/>
      </c>
      <c r="AB102">
        <f>HYPERLINK("https://klasma.github.io/Logging_0980/klagomålsmail/S 1702-2020 FSC-klagomål mail.docx", "S 1702-2020")</f>
        <v/>
      </c>
      <c r="AC102">
        <f>HYPERLINK("https://klasma.github.io/Logging_0980/tillsyn/S 1702-2020 tillsynsbegäran.docx", "S 1702-2020")</f>
        <v/>
      </c>
      <c r="AD102">
        <f>HYPERLINK("https://klasma.github.io/Logging_0980/tillsynsmail/S 1702-2020 tillsynsbegäran mail.docx", "S 1702-2020")</f>
        <v/>
      </c>
    </row>
    <row r="103" ht="15" customHeight="1">
      <c r="A103" t="inlineStr">
        <is>
          <t>A 61386-2023</t>
        </is>
      </c>
      <c r="B103" t="inlineStr">
        <is>
          <t>avverkningsanmälan</t>
        </is>
      </c>
      <c r="C103" t="inlineStr">
        <is>
          <t>Avverkning för annat ändamål</t>
        </is>
      </c>
      <c r="D103" s="1" t="n">
        <v>45264</v>
      </c>
      <c r="E103" s="1" t="n">
        <v>46290</v>
      </c>
      <c r="F103" t="inlineStr">
        <is>
          <t>GOTLANDS LÄN</t>
        </is>
      </c>
      <c r="G103" t="inlineStr">
        <is>
          <t>GOTLAND</t>
        </is>
      </c>
      <c r="I103" t="n">
        <v>0.7</v>
      </c>
      <c r="J103" t="n">
        <v>0</v>
      </c>
      <c r="K103" t="n">
        <v>3</v>
      </c>
      <c r="L103" t="n">
        <v>0</v>
      </c>
      <c r="M103" t="n">
        <v>1</v>
      </c>
      <c r="N103" t="n">
        <v>0</v>
      </c>
      <c r="O103" t="n">
        <v>0</v>
      </c>
      <c r="P103" t="n">
        <v>0</v>
      </c>
      <c r="Q103" t="n">
        <v>1</v>
      </c>
      <c r="R103" t="n">
        <v>1</v>
      </c>
      <c r="S103" t="n">
        <v>4</v>
      </c>
      <c r="T103" t="n">
        <v>7</v>
      </c>
      <c r="U103" t="n">
        <v>0</v>
      </c>
      <c r="V103" s="2" t="inlineStr">
        <is>
          <t>Ädellav
Korallblylav
Lönnlav
Rikfruktig blemlav</t>
        </is>
      </c>
      <c r="W103">
        <f>HYPERLINK("https://klasma.github.io/Logging_0980/artfynd/A 61386-2023 artfynd.xlsx", "A 61386-2023")</f>
        <v/>
      </c>
      <c r="X103">
        <f>HYPERLINK("https://klasma.github.io/Logging_0980/kartor/A 61386-2023 karta.png", "A 61386-2023")</f>
        <v/>
      </c>
      <c r="Y103">
        <f>HYPERLINK("https://klasma.github.io/Logging_0980/kartor_geotiff/A 61386-2023 georefererad karta.tif", "A 61386-2023")</f>
        <v/>
      </c>
      <c r="AA103">
        <f>HYPERLINK("https://klasma.github.io/Logging_0980/klagomål/A 61386-2023 FSC-klagomål.docx", "A 61386-2023")</f>
        <v/>
      </c>
      <c r="AB103">
        <f>HYPERLINK("https://klasma.github.io/Logging_0980/klagomålsmail/A 61386-2023 FSC-klagomål mail.docx", "A 61386-2023")</f>
        <v/>
      </c>
      <c r="AC103">
        <f>HYPERLINK("https://klasma.github.io/Logging_0980/tillsyn/A 61386-2023 tillsynsbegäran.docx", "A 61386-2023")</f>
        <v/>
      </c>
      <c r="AD103">
        <f>HYPERLINK("https://klasma.github.io/Logging_0980/tillsynsmail/A 61386-2023 tillsynsbegäran mail.docx", "A 61386-2023")</f>
        <v/>
      </c>
    </row>
    <row r="104" ht="15" customHeight="1">
      <c r="A104" t="inlineStr">
        <is>
          <t>A 5235-2025</t>
        </is>
      </c>
      <c r="B104" t="inlineStr">
        <is>
          <t>avverkningsanmälan</t>
        </is>
      </c>
      <c r="C104" t="inlineStr">
        <is>
          <t>Föryngringsavverkning</t>
        </is>
      </c>
      <c r="D104" s="1" t="n">
        <v>45692</v>
      </c>
      <c r="E104" s="1" t="n">
        <v>46290</v>
      </c>
      <c r="F104" t="inlineStr">
        <is>
          <t>GOTLANDS LÄN</t>
        </is>
      </c>
      <c r="G104" t="inlineStr">
        <is>
          <t>GOTLAND</t>
        </is>
      </c>
      <c r="I104" t="n">
        <v>7.6</v>
      </c>
      <c r="J104" t="n">
        <v>2</v>
      </c>
      <c r="K104" t="n">
        <v>2</v>
      </c>
      <c r="L104" t="n">
        <v>2</v>
      </c>
      <c r="M104" t="n">
        <v>0</v>
      </c>
      <c r="N104" t="n">
        <v>0</v>
      </c>
      <c r="O104" t="n">
        <v>0</v>
      </c>
      <c r="P104" t="n">
        <v>0</v>
      </c>
      <c r="Q104" t="n">
        <v>2</v>
      </c>
      <c r="R104" t="n">
        <v>0</v>
      </c>
      <c r="S104" t="n">
        <v>4</v>
      </c>
      <c r="T104" t="n">
        <v>8</v>
      </c>
      <c r="U104" t="n">
        <v>8</v>
      </c>
      <c r="V104" s="2" t="inlineStr">
        <is>
          <t>Dårgräsfjäril
Svinrot
Blåmossa
Tvåblad</t>
        </is>
      </c>
      <c r="W104">
        <f>HYPERLINK("https://klasma.github.io/Logging_0980/artfynd/A 5235-2025 artfynd.xlsx", "A 5235-2025")</f>
        <v/>
      </c>
      <c r="X104">
        <f>HYPERLINK("https://klasma.github.io/Logging_0980/kartor/A 5235-2025 karta.png", "A 5235-2025")</f>
        <v/>
      </c>
      <c r="Y104">
        <f>HYPERLINK("https://klasma.github.io/Logging_0980/kartor_geotiff/A 5235-2025 georefererad karta.tif", "A 5235-2025")</f>
        <v/>
      </c>
      <c r="AA104">
        <f>HYPERLINK("https://klasma.github.io/Logging_0980/klagomål/A 5235-2025 FSC-klagomål.docx", "A 5235-2025")</f>
        <v/>
      </c>
      <c r="AB104">
        <f>HYPERLINK("https://klasma.github.io/Logging_0980/klagomålsmail/A 5235-2025 FSC-klagomål mail.docx", "A 5235-2025")</f>
        <v/>
      </c>
      <c r="AC104">
        <f>HYPERLINK("https://klasma.github.io/Logging_0980/tillsyn/A 5235-2025 tillsynsbegäran.docx", "A 5235-2025")</f>
        <v/>
      </c>
      <c r="AD104">
        <f>HYPERLINK("https://klasma.github.io/Logging_0980/tillsynsmail/A 5235-2025 tillsynsbegäran mail.docx", "A 5235-2025")</f>
        <v/>
      </c>
    </row>
    <row r="105" ht="15" customHeight="1">
      <c r="A105" t="inlineStr">
        <is>
          <t>A 56717-2024</t>
        </is>
      </c>
      <c r="B105" t="inlineStr">
        <is>
          <t>avverkningsanmälan</t>
        </is>
      </c>
      <c r="C105" t="inlineStr">
        <is>
          <t>Föryngringsavverkning</t>
        </is>
      </c>
      <c r="D105" s="1" t="n">
        <v>45628</v>
      </c>
      <c r="E105" s="1" t="n">
        <v>46290</v>
      </c>
      <c r="F105" t="inlineStr">
        <is>
          <t>GOTLANDS LÄN</t>
        </is>
      </c>
      <c r="G105" t="inlineStr">
        <is>
          <t>GOTLAND</t>
        </is>
      </c>
      <c r="I105" t="n">
        <v>9.699999999999999</v>
      </c>
      <c r="J105" t="n">
        <v>0</v>
      </c>
      <c r="K105" t="n">
        <v>1</v>
      </c>
      <c r="L105" t="n">
        <v>3</v>
      </c>
      <c r="M105" t="n">
        <v>0</v>
      </c>
      <c r="N105" t="n">
        <v>0</v>
      </c>
      <c r="O105" t="n">
        <v>0</v>
      </c>
      <c r="P105" t="n">
        <v>0</v>
      </c>
      <c r="Q105" t="n">
        <v>3</v>
      </c>
      <c r="R105" t="n">
        <v>0</v>
      </c>
      <c r="S105" t="n">
        <v>4</v>
      </c>
      <c r="T105" t="n">
        <v>5</v>
      </c>
      <c r="U105" t="n">
        <v>0</v>
      </c>
      <c r="V105" s="2" t="inlineStr">
        <is>
          <t>Fjällig taggsvamp s.str.
Kattfotslav
Odörspindling
Havstulpanlav</t>
        </is>
      </c>
      <c r="W105">
        <f>HYPERLINK("https://klasma.github.io/Logging_0980/artfynd/A 56717-2024 artfynd.xlsx", "A 56717-2024")</f>
        <v/>
      </c>
      <c r="X105">
        <f>HYPERLINK("https://klasma.github.io/Logging_0980/kartor/A 56717-2024 karta.png", "A 56717-2024")</f>
        <v/>
      </c>
      <c r="Y105">
        <f>HYPERLINK("https://klasma.github.io/Logging_0980/kartor_geotiff/A 56717-2024 georefererad karta.tif", "A 56717-2024")</f>
        <v/>
      </c>
      <c r="AA105">
        <f>HYPERLINK("https://klasma.github.io/Logging_0980/klagomål/A 56717-2024 FSC-klagomål.docx", "A 56717-2024")</f>
        <v/>
      </c>
      <c r="AB105">
        <f>HYPERLINK("https://klasma.github.io/Logging_0980/klagomålsmail/A 56717-2024 FSC-klagomål mail.docx", "A 56717-2024")</f>
        <v/>
      </c>
      <c r="AC105">
        <f>HYPERLINK("https://klasma.github.io/Logging_0980/tillsyn/A 56717-2024 tillsynsbegäran.docx", "A 56717-2024")</f>
        <v/>
      </c>
      <c r="AD105">
        <f>HYPERLINK("https://klasma.github.io/Logging_0980/tillsynsmail/A 56717-2024 tillsynsbegäran mail.docx", "A 56717-2024")</f>
        <v/>
      </c>
    </row>
    <row r="106" ht="15" customHeight="1">
      <c r="A106" t="inlineStr">
        <is>
          <t>A 2485-2025</t>
        </is>
      </c>
      <c r="B106" t="inlineStr">
        <is>
          <t>avverkningsanmälan</t>
        </is>
      </c>
      <c r="C106" t="inlineStr">
        <is>
          <t>Föryngringsavverkning</t>
        </is>
      </c>
      <c r="D106" s="1" t="n">
        <v>45673</v>
      </c>
      <c r="E106" s="1" t="n">
        <v>46290</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54523-2023</t>
        </is>
      </c>
      <c r="B107" t="inlineStr">
        <is>
          <t>avverkningsanmälan</t>
        </is>
      </c>
      <c r="C107" t="inlineStr">
        <is>
          <t>Föryngringsavverkning</t>
        </is>
      </c>
      <c r="D107" s="1" t="n">
        <v>45233</v>
      </c>
      <c r="E107" s="1" t="n">
        <v>46290</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1273-2023</t>
        </is>
      </c>
      <c r="B108" t="inlineStr">
        <is>
          <t>avverkningsanmälan</t>
        </is>
      </c>
      <c r="C108" t="inlineStr">
        <is>
          <t>Föryngringsavverkning</t>
        </is>
      </c>
      <c r="D108" s="1" t="n">
        <v>44936</v>
      </c>
      <c r="E108" s="1" t="n">
        <v>46290</v>
      </c>
      <c r="F108" t="inlineStr">
        <is>
          <t>GOTLANDS LÄN</t>
        </is>
      </c>
      <c r="G108" t="inlineStr">
        <is>
          <t>GOTLAND</t>
        </is>
      </c>
      <c r="I108" t="n">
        <v>4.5</v>
      </c>
      <c r="J108" t="n">
        <v>2</v>
      </c>
      <c r="K108" t="n">
        <v>1</v>
      </c>
      <c r="L108" t="n">
        <v>2</v>
      </c>
      <c r="M108" t="n">
        <v>1</v>
      </c>
      <c r="N108" t="n">
        <v>0</v>
      </c>
      <c r="O108" t="n">
        <v>0</v>
      </c>
      <c r="P108" t="n">
        <v>0</v>
      </c>
      <c r="Q108" t="n">
        <v>3</v>
      </c>
      <c r="R108" t="n">
        <v>1</v>
      </c>
      <c r="S108" t="n">
        <v>4</v>
      </c>
      <c r="T108" t="n">
        <v>7</v>
      </c>
      <c r="U108" t="n">
        <v>3</v>
      </c>
      <c r="V108" s="2" t="inlineStr">
        <is>
          <t>Garderönn
Svinrot
Vårärt
Skogsknipprot</t>
        </is>
      </c>
      <c r="W108">
        <f>HYPERLINK("https://klasma.github.io/Logging_0980/artfynd/A 1273-2023 artfynd.xlsx", "A 1273-2023")</f>
        <v/>
      </c>
      <c r="X108">
        <f>HYPERLINK("https://klasma.github.io/Logging_0980/kartor/A 1273-2023 karta.png", "A 1273-2023")</f>
        <v/>
      </c>
      <c r="Y108">
        <f>HYPERLINK("https://klasma.github.io/Logging_0980/kartor_geotiff/A 1273-2023 georefererad karta.tif", "A 1273-2023")</f>
        <v/>
      </c>
      <c r="AA108">
        <f>HYPERLINK("https://klasma.github.io/Logging_0980/klagomål/A 1273-2023 FSC-klagomål.docx", "A 1273-2023")</f>
        <v/>
      </c>
      <c r="AB108">
        <f>HYPERLINK("https://klasma.github.io/Logging_0980/klagomålsmail/A 1273-2023 FSC-klagomål mail.docx", "A 1273-2023")</f>
        <v/>
      </c>
      <c r="AC108">
        <f>HYPERLINK("https://klasma.github.io/Logging_0980/tillsyn/A 1273-2023 tillsynsbegäran.docx", "A 1273-2023")</f>
        <v/>
      </c>
      <c r="AD108">
        <f>HYPERLINK("https://klasma.github.io/Logging_0980/tillsynsmail/A 1273-2023 tillsynsbegäran mail.docx", "A 1273-2023")</f>
        <v/>
      </c>
    </row>
    <row r="109" ht="15" customHeight="1">
      <c r="A109" t="inlineStr">
        <is>
          <t>A 16997-2026</t>
        </is>
      </c>
      <c r="B109" t="inlineStr">
        <is>
          <t>avverkningsanmälan</t>
        </is>
      </c>
      <c r="C109" t="inlineStr">
        <is>
          <t>Föryngringsavverkning</t>
        </is>
      </c>
      <c r="D109" s="1" t="n">
        <v>46114</v>
      </c>
      <c r="E109" s="1" t="n">
        <v>46290</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46290</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61100-2022</t>
        </is>
      </c>
      <c r="B111" t="inlineStr">
        <is>
          <t>avverkningsanmälan</t>
        </is>
      </c>
      <c r="C111" t="inlineStr">
        <is>
          <t>Föryngringsavverkning</t>
        </is>
      </c>
      <c r="D111" s="1" t="n">
        <v>44915</v>
      </c>
      <c r="E111" s="1" t="n">
        <v>46290</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7625-2026</t>
        </is>
      </c>
      <c r="B112" t="inlineStr">
        <is>
          <t>avverkningsanmälan</t>
        </is>
      </c>
      <c r="C112" t="inlineStr">
        <is>
          <t>Föryngringsavverkning</t>
        </is>
      </c>
      <c r="D112" s="1" t="n">
        <v>46062</v>
      </c>
      <c r="E112" s="1" t="n">
        <v>46290</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37591-2023</t>
        </is>
      </c>
      <c r="B113" t="inlineStr">
        <is>
          <t>avverkningsanmälan</t>
        </is>
      </c>
      <c r="C113" t="inlineStr">
        <is>
          <t>Föryngringsavverkning</t>
        </is>
      </c>
      <c r="D113" s="1" t="n">
        <v>45159</v>
      </c>
      <c r="E113" s="1" t="n">
        <v>46290</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46290</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6218-2026</t>
        </is>
      </c>
      <c r="B115" t="inlineStr">
        <is>
          <t>avverkningsanmälan</t>
        </is>
      </c>
      <c r="C115" t="inlineStr">
        <is>
          <t>Föryngringsavverkning</t>
        </is>
      </c>
      <c r="D115" s="1" t="n">
        <v>46055</v>
      </c>
      <c r="E115" s="1" t="n">
        <v>46290</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43013-2022</t>
        </is>
      </c>
      <c r="B116" t="inlineStr">
        <is>
          <t>avverkningsanmälan</t>
        </is>
      </c>
      <c r="C116" t="inlineStr">
        <is>
          <t>Föryngringsavverkning</t>
        </is>
      </c>
      <c r="D116" s="1" t="n">
        <v>44833</v>
      </c>
      <c r="E116" s="1" t="n">
        <v>46290</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13499-2022</t>
        </is>
      </c>
      <c r="B117" t="inlineStr">
        <is>
          <t>avverkningsanmälan</t>
        </is>
      </c>
      <c r="C117" t="inlineStr">
        <is>
          <t>Föryngringsavverkning</t>
        </is>
      </c>
      <c r="D117" s="1" t="n">
        <v>44647</v>
      </c>
      <c r="E117" s="1" t="n">
        <v>46290</v>
      </c>
      <c r="F117" t="inlineStr">
        <is>
          <t>GOTLANDS LÄN</t>
        </is>
      </c>
      <c r="G117" t="inlineStr">
        <is>
          <t>GOTLAND</t>
        </is>
      </c>
      <c r="I117" t="n">
        <v>6.8</v>
      </c>
      <c r="J117" t="n">
        <v>3</v>
      </c>
      <c r="K117" t="n">
        <v>0</v>
      </c>
      <c r="L117" t="n">
        <v>0</v>
      </c>
      <c r="M117" t="n">
        <v>0</v>
      </c>
      <c r="N117" t="n">
        <v>0</v>
      </c>
      <c r="O117" t="n">
        <v>0</v>
      </c>
      <c r="P117" t="n">
        <v>0</v>
      </c>
      <c r="Q117" t="n">
        <v>0</v>
      </c>
      <c r="R117" t="n">
        <v>0</v>
      </c>
      <c r="S117" t="n">
        <v>3</v>
      </c>
      <c r="T117" t="n">
        <v>3</v>
      </c>
      <c r="U117" t="n">
        <v>2</v>
      </c>
      <c r="V117" s="2" t="inlineStr">
        <is>
          <t>Blåsippa
Spillkråka
Sankt pers nycklar</t>
        </is>
      </c>
      <c r="W117">
        <f>HYPERLINK("https://klasma.github.io/Logging_0980/artfynd/A 13499-2022 artfynd.xlsx", "A 13499-2022")</f>
        <v/>
      </c>
      <c r="X117">
        <f>HYPERLINK("https://klasma.github.io/Logging_0980/kartor/A 13499-2022 karta.png", "A 13499-2022")</f>
        <v/>
      </c>
      <c r="Y117">
        <f>HYPERLINK("https://klasma.github.io/Logging_0980/kartor_geotiff/A 13499-2022 georefererad karta.tif", "A 13499-2022")</f>
        <v/>
      </c>
      <c r="AA117">
        <f>HYPERLINK("https://klasma.github.io/Logging_0980/klagomål/A 13499-2022 FSC-klagomål.docx", "A 13499-2022")</f>
        <v/>
      </c>
      <c r="AB117">
        <f>HYPERLINK("https://klasma.github.io/Logging_0980/klagomålsmail/A 13499-2022 FSC-klagomål mail.docx", "A 13499-2022")</f>
        <v/>
      </c>
      <c r="AC117">
        <f>HYPERLINK("https://klasma.github.io/Logging_0980/tillsyn/A 13499-2022 tillsynsbegäran.docx", "A 13499-2022")</f>
        <v/>
      </c>
      <c r="AD117">
        <f>HYPERLINK("https://klasma.github.io/Logging_0980/tillsynsmail/A 13499-2022 tillsynsbegäran mail.docx", "A 13499-2022")</f>
        <v/>
      </c>
      <c r="AE117">
        <f>HYPERLINK("https://klasma.github.io/Logging_0980/fåglar/A 13499-2022 prioriterade fågelarter.docx", "A 13499-2022")</f>
        <v/>
      </c>
    </row>
    <row r="118" ht="15" customHeight="1">
      <c r="A118" t="inlineStr">
        <is>
          <t>A 34312-2024</t>
        </is>
      </c>
      <c r="B118" t="inlineStr">
        <is>
          <t>avverkningsanmälan</t>
        </is>
      </c>
      <c r="C118" t="inlineStr">
        <is>
          <t>Föryngringsavverkning</t>
        </is>
      </c>
      <c r="D118" s="1" t="n">
        <v>45524</v>
      </c>
      <c r="E118" s="1" t="n">
        <v>46290</v>
      </c>
      <c r="F118" t="inlineStr">
        <is>
          <t>GOTLANDS LÄN</t>
        </is>
      </c>
      <c r="G118" t="inlineStr">
        <is>
          <t>GOTLAND</t>
        </is>
      </c>
      <c r="I118" t="n">
        <v>2</v>
      </c>
      <c r="J118" t="n">
        <v>1</v>
      </c>
      <c r="K118" t="n">
        <v>0</v>
      </c>
      <c r="L118" t="n">
        <v>2</v>
      </c>
      <c r="M118" t="n">
        <v>0</v>
      </c>
      <c r="N118" t="n">
        <v>0</v>
      </c>
      <c r="O118" t="n">
        <v>0</v>
      </c>
      <c r="P118" t="n">
        <v>0</v>
      </c>
      <c r="Q118" t="n">
        <v>2</v>
      </c>
      <c r="R118" t="n">
        <v>0</v>
      </c>
      <c r="S118" t="n">
        <v>3</v>
      </c>
      <c r="T118" t="n">
        <v>3</v>
      </c>
      <c r="U118" t="n">
        <v>0</v>
      </c>
      <c r="V118" s="2" t="inlineStr">
        <is>
          <t>Svinrot
Ängsstarr
Sankt pers nycklar</t>
        </is>
      </c>
      <c r="W118">
        <f>HYPERLINK("https://klasma.github.io/Logging_0980/artfynd/A 34312-2024 artfynd.xlsx", "A 34312-2024")</f>
        <v/>
      </c>
      <c r="X118">
        <f>HYPERLINK("https://klasma.github.io/Logging_0980/kartor/A 34312-2024 karta.png", "A 34312-2024")</f>
        <v/>
      </c>
      <c r="Y118">
        <f>HYPERLINK("https://klasma.github.io/Logging_0980/kartor_geotiff/A 34312-2024 georefererad karta.tif", "A 34312-2024")</f>
        <v/>
      </c>
      <c r="AA118">
        <f>HYPERLINK("https://klasma.github.io/Logging_0980/klagomål/A 34312-2024 FSC-klagomål.docx", "A 34312-2024")</f>
        <v/>
      </c>
      <c r="AB118">
        <f>HYPERLINK("https://klasma.github.io/Logging_0980/klagomålsmail/A 34312-2024 FSC-klagomål mail.docx", "A 34312-2024")</f>
        <v/>
      </c>
      <c r="AC118">
        <f>HYPERLINK("https://klasma.github.io/Logging_0980/tillsyn/A 34312-2024 tillsynsbegäran.docx", "A 34312-2024")</f>
        <v/>
      </c>
      <c r="AD118">
        <f>HYPERLINK("https://klasma.github.io/Logging_0980/tillsynsmail/A 34312-2024 tillsynsbegäran mail.docx", "A 34312-2024")</f>
        <v/>
      </c>
    </row>
    <row r="119" ht="15" customHeight="1">
      <c r="A119" t="inlineStr">
        <is>
          <t>A 65927-2021</t>
        </is>
      </c>
      <c r="B119" t="inlineStr">
        <is>
          <t>avverkningsanmälan</t>
        </is>
      </c>
      <c r="C119" t="inlineStr">
        <is>
          <t>Föryngringsavverkning</t>
        </is>
      </c>
      <c r="D119" s="1" t="n">
        <v>44516</v>
      </c>
      <c r="E119" s="1" t="n">
        <v>46290</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61561-2023</t>
        </is>
      </c>
      <c r="B120" t="inlineStr">
        <is>
          <t>avverkningsanmälan</t>
        </is>
      </c>
      <c r="C120" t="inlineStr">
        <is>
          <t>Föryngringsavverkning</t>
        </is>
      </c>
      <c r="D120" s="1" t="n">
        <v>45265</v>
      </c>
      <c r="E120" s="1" t="n">
        <v>46290</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t="n">
        <v>1</v>
      </c>
      <c r="V120" s="2" t="inlineStr">
        <is>
          <t>Jordtistel
Loppstarr
Solvända</t>
        </is>
      </c>
      <c r="W120">
        <f>HYPERLINK("https://klasma.github.io/Logging_0980/artfynd/A 61561-2023 artfynd.xlsx", "A 61561-2023")</f>
        <v/>
      </c>
      <c r="X120">
        <f>HYPERLINK("https://klasma.github.io/Logging_0980/kartor/A 61561-2023 karta.png", "A 61561-2023")</f>
        <v/>
      </c>
      <c r="Y120">
        <f>HYPERLINK("https://klasma.github.io/Logging_0980/kartor_geotiff/A 61561-2023 georefererad karta.tif", "A 61561-2023")</f>
        <v/>
      </c>
      <c r="AA120">
        <f>HYPERLINK("https://klasma.github.io/Logging_0980/klagomål/A 61561-2023 FSC-klagomål.docx", "A 61561-2023")</f>
        <v/>
      </c>
      <c r="AB120">
        <f>HYPERLINK("https://klasma.github.io/Logging_0980/klagomålsmail/A 61561-2023 FSC-klagomål mail.docx", "A 61561-2023")</f>
        <v/>
      </c>
      <c r="AC120">
        <f>HYPERLINK("https://klasma.github.io/Logging_0980/tillsyn/A 61561-2023 tillsynsbegäran.docx", "A 61561-2023")</f>
        <v/>
      </c>
      <c r="AD120">
        <f>HYPERLINK("https://klasma.github.io/Logging_0980/tillsynsmail/A 61561-2023 tillsynsbegäran mail.docx", "A 61561-2023")</f>
        <v/>
      </c>
    </row>
    <row r="121" ht="15" customHeight="1">
      <c r="A121" t="inlineStr">
        <is>
          <t>A 49411-2023</t>
        </is>
      </c>
      <c r="B121" t="inlineStr">
        <is>
          <t>avverkningsanmälan</t>
        </is>
      </c>
      <c r="C121" t="inlineStr">
        <is>
          <t>Föryngringsavverkning</t>
        </is>
      </c>
      <c r="D121" s="1" t="n">
        <v>45205</v>
      </c>
      <c r="E121" s="1" t="n">
        <v>46290</v>
      </c>
      <c r="F121" t="inlineStr">
        <is>
          <t>GOTLANDS LÄN</t>
        </is>
      </c>
      <c r="G121" t="inlineStr">
        <is>
          <t>GOTLAND</t>
        </is>
      </c>
      <c r="I121" t="n">
        <v>2</v>
      </c>
      <c r="J121" t="n">
        <v>1</v>
      </c>
      <c r="K121" t="n">
        <v>1</v>
      </c>
      <c r="L121" t="n">
        <v>2</v>
      </c>
      <c r="M121" t="n">
        <v>0</v>
      </c>
      <c r="N121" t="n">
        <v>0</v>
      </c>
      <c r="O121" t="n">
        <v>0</v>
      </c>
      <c r="P121" t="n">
        <v>0</v>
      </c>
      <c r="Q121" t="n">
        <v>2</v>
      </c>
      <c r="R121" t="n">
        <v>0</v>
      </c>
      <c r="S121" t="n">
        <v>3</v>
      </c>
      <c r="T121" t="n">
        <v>3</v>
      </c>
      <c r="U121" t="n">
        <v>1</v>
      </c>
      <c r="V121" s="2" t="inlineStr">
        <is>
          <t>Blåklockesandbi
Svinrot
Tvåblad</t>
        </is>
      </c>
      <c r="W121">
        <f>HYPERLINK("https://klasma.github.io/Logging_0980/artfynd/A 49411-2023 artfynd.xlsx", "A 49411-2023")</f>
        <v/>
      </c>
      <c r="X121">
        <f>HYPERLINK("https://klasma.github.io/Logging_0980/kartor/A 49411-2023 karta.png", "A 49411-2023")</f>
        <v/>
      </c>
      <c r="Y121">
        <f>HYPERLINK("https://klasma.github.io/Logging_0980/kartor_geotiff/A 49411-2023 georefererad karta.tif", "A 49411-2023")</f>
        <v/>
      </c>
      <c r="AA121">
        <f>HYPERLINK("https://klasma.github.io/Logging_0980/klagomål/A 49411-2023 FSC-klagomål.docx", "A 49411-2023")</f>
        <v/>
      </c>
      <c r="AB121">
        <f>HYPERLINK("https://klasma.github.io/Logging_0980/klagomålsmail/A 49411-2023 FSC-klagomål mail.docx", "A 49411-2023")</f>
        <v/>
      </c>
      <c r="AC121">
        <f>HYPERLINK("https://klasma.github.io/Logging_0980/tillsyn/A 49411-2023 tillsynsbegäran.docx", "A 49411-2023")</f>
        <v/>
      </c>
      <c r="AD121">
        <f>HYPERLINK("https://klasma.github.io/Logging_0980/tillsynsmail/A 49411-2023 tillsynsbegäran mail.docx", "A 49411-2023")</f>
        <v/>
      </c>
    </row>
    <row r="122" ht="15" customHeight="1">
      <c r="A122" t="inlineStr">
        <is>
          <t>A 54357-2024</t>
        </is>
      </c>
      <c r="B122" t="inlineStr">
        <is>
          <t>avverkningsanmälan</t>
        </is>
      </c>
      <c r="C122" t="inlineStr">
        <is>
          <t>Föryngringsavverkning</t>
        </is>
      </c>
      <c r="D122" s="1" t="n">
        <v>45617</v>
      </c>
      <c r="E122" s="1" t="n">
        <v>46290</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2476-2025</t>
        </is>
      </c>
      <c r="B123" t="inlineStr">
        <is>
          <t>avverkningsanmälan</t>
        </is>
      </c>
      <c r="C123" t="inlineStr">
        <is>
          <t>Föryngringsavverkning</t>
        </is>
      </c>
      <c r="D123" s="1" t="n">
        <v>45673</v>
      </c>
      <c r="E123" s="1" t="n">
        <v>46290</v>
      </c>
      <c r="F123" t="inlineStr">
        <is>
          <t>GOTLANDS LÄN</t>
        </is>
      </c>
      <c r="G123" t="inlineStr">
        <is>
          <t>GOTLAND</t>
        </is>
      </c>
      <c r="I123" t="n">
        <v>3.1</v>
      </c>
      <c r="J123" t="n">
        <v>0</v>
      </c>
      <c r="K123" t="n">
        <v>1</v>
      </c>
      <c r="L123" t="n">
        <v>2</v>
      </c>
      <c r="M123" t="n">
        <v>0</v>
      </c>
      <c r="N123" t="n">
        <v>0</v>
      </c>
      <c r="O123" t="n">
        <v>0</v>
      </c>
      <c r="P123" t="n">
        <v>0</v>
      </c>
      <c r="Q123" t="n">
        <v>2</v>
      </c>
      <c r="R123" t="n">
        <v>0</v>
      </c>
      <c r="S123" t="n">
        <v>3</v>
      </c>
      <c r="T123" t="n">
        <v>3</v>
      </c>
      <c r="U123" t="n">
        <v>0</v>
      </c>
      <c r="V123" s="2" t="inlineStr">
        <is>
          <t>Barrviolspindling
Kryddspindling
Strimspindling</t>
        </is>
      </c>
      <c r="W123">
        <f>HYPERLINK("https://klasma.github.io/Logging_0980/artfynd/A 2476-2025 artfynd.xlsx", "A 2476-2025")</f>
        <v/>
      </c>
      <c r="X123">
        <f>HYPERLINK("https://klasma.github.io/Logging_0980/kartor/A 2476-2025 karta.png", "A 2476-2025")</f>
        <v/>
      </c>
      <c r="Y123">
        <f>HYPERLINK("https://klasma.github.io/Logging_0980/kartor_geotiff/A 2476-2025 georefererad karta.tif", "A 2476-2025")</f>
        <v/>
      </c>
      <c r="AA123">
        <f>HYPERLINK("https://klasma.github.io/Logging_0980/klagomål/A 2476-2025 FSC-klagomål.docx", "A 2476-2025")</f>
        <v/>
      </c>
      <c r="AB123">
        <f>HYPERLINK("https://klasma.github.io/Logging_0980/klagomålsmail/A 2476-2025 FSC-klagomål mail.docx", "A 2476-2025")</f>
        <v/>
      </c>
      <c r="AC123">
        <f>HYPERLINK("https://klasma.github.io/Logging_0980/tillsyn/A 2476-2025 tillsynsbegäran.docx", "A 2476-2025")</f>
        <v/>
      </c>
      <c r="AD123">
        <f>HYPERLINK("https://klasma.github.io/Logging_0980/tillsynsmail/A 2476-2025 tillsynsbegäran mail.docx", "A 2476-2025")</f>
        <v/>
      </c>
    </row>
    <row r="124" ht="15" customHeight="1">
      <c r="A124" t="inlineStr">
        <is>
          <t>A 17982-2023</t>
        </is>
      </c>
      <c r="B124" t="inlineStr">
        <is>
          <t>avverkningsanmälan</t>
        </is>
      </c>
      <c r="C124" t="inlineStr">
        <is>
          <t>Avverkning för att bevara och utveckla /försöksver</t>
        </is>
      </c>
      <c r="D124" s="1" t="n">
        <v>45040</v>
      </c>
      <c r="E124" s="1" t="n">
        <v>46290</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26992-2026</t>
        </is>
      </c>
      <c r="B125" t="inlineStr">
        <is>
          <t>avverkningsanmälan</t>
        </is>
      </c>
      <c r="C125" t="inlineStr">
        <is>
          <t>Föryngringsavverkning</t>
        </is>
      </c>
      <c r="D125" s="1" t="n">
        <v>46185</v>
      </c>
      <c r="E125" s="1" t="n">
        <v>46290</v>
      </c>
      <c r="F125" t="inlineStr">
        <is>
          <t>GOTLANDS LÄN</t>
        </is>
      </c>
      <c r="G125" t="inlineStr">
        <is>
          <t>GOTLAND</t>
        </is>
      </c>
      <c r="I125" t="n">
        <v>0.8</v>
      </c>
      <c r="J125" t="n">
        <v>2</v>
      </c>
      <c r="K125" t="n">
        <v>1</v>
      </c>
      <c r="L125" t="n">
        <v>1</v>
      </c>
      <c r="M125" t="n">
        <v>0</v>
      </c>
      <c r="N125" t="n">
        <v>0</v>
      </c>
      <c r="O125" t="n">
        <v>0</v>
      </c>
      <c r="P125" t="n">
        <v>0</v>
      </c>
      <c r="Q125" t="n">
        <v>1</v>
      </c>
      <c r="R125" t="n">
        <v>0</v>
      </c>
      <c r="S125" t="n">
        <v>3</v>
      </c>
      <c r="T125" t="n">
        <v>5</v>
      </c>
      <c r="U125" t="n">
        <v>0</v>
      </c>
      <c r="V125" s="2" t="inlineStr">
        <is>
          <t>Svinrot
Nästrot
Blåsippa</t>
        </is>
      </c>
      <c r="W125">
        <f>HYPERLINK("https://klasma.github.io/Logging_0980/artfynd/A 26992-2026 artfynd.xlsx", "A 26992-2026")</f>
        <v/>
      </c>
      <c r="X125">
        <f>HYPERLINK("https://klasma.github.io/Logging_0980/kartor/A 26992-2026 karta.png", "A 26992-2026")</f>
        <v/>
      </c>
      <c r="Y125">
        <f>HYPERLINK("https://klasma.github.io/Logging_0980/kartor_geotiff/A 26992-2026 georefererad karta.tif", "A 26992-2026")</f>
        <v/>
      </c>
      <c r="AA125">
        <f>HYPERLINK("https://klasma.github.io/Logging_0980/klagomål/A 26992-2026 FSC-klagomål.docx", "A 26992-2026")</f>
        <v/>
      </c>
      <c r="AB125">
        <f>HYPERLINK("https://klasma.github.io/Logging_0980/klagomålsmail/A 26992-2026 FSC-klagomål mail.docx", "A 26992-2026")</f>
        <v/>
      </c>
      <c r="AC125">
        <f>HYPERLINK("https://klasma.github.io/Logging_0980/tillsyn/A 26992-2026 tillsynsbegäran.docx", "A 26992-2026")</f>
        <v/>
      </c>
      <c r="AD125">
        <f>HYPERLINK("https://klasma.github.io/Logging_0980/tillsynsmail/A 26992-2026 tillsynsbegäran mail.docx", "A 26992-2026")</f>
        <v/>
      </c>
    </row>
    <row r="126" ht="15" customHeight="1">
      <c r="A126" t="inlineStr">
        <is>
          <t>A 53552-2021</t>
        </is>
      </c>
      <c r="B126" t="inlineStr">
        <is>
          <t>avverkningsanmälan</t>
        </is>
      </c>
      <c r="C126" t="inlineStr">
        <is>
          <t>Föryngringsavverkning</t>
        </is>
      </c>
      <c r="D126" s="1" t="n">
        <v>44468</v>
      </c>
      <c r="E126" s="1" t="n">
        <v>46290</v>
      </c>
      <c r="F126" t="inlineStr">
        <is>
          <t>GOTLANDS LÄN</t>
        </is>
      </c>
      <c r="G126" t="inlineStr">
        <is>
          <t>GOTLAND</t>
        </is>
      </c>
      <c r="I126" t="n">
        <v>6.2</v>
      </c>
      <c r="J126" t="n">
        <v>2</v>
      </c>
      <c r="K126" t="n">
        <v>0</v>
      </c>
      <c r="L126" t="n">
        <v>0</v>
      </c>
      <c r="M126" t="n">
        <v>1</v>
      </c>
      <c r="N126" t="n">
        <v>0</v>
      </c>
      <c r="O126" t="n">
        <v>0</v>
      </c>
      <c r="P126" t="n">
        <v>0</v>
      </c>
      <c r="Q126" t="n">
        <v>1</v>
      </c>
      <c r="R126" t="n">
        <v>1</v>
      </c>
      <c r="S126" t="n">
        <v>3</v>
      </c>
      <c r="T126" t="n">
        <v>3</v>
      </c>
      <c r="U126" t="n">
        <v>2</v>
      </c>
      <c r="V126" s="2" t="inlineStr">
        <is>
          <t>Bredbrämad bastardsvärmare
Grönvit nattviol
Gullviva</t>
        </is>
      </c>
      <c r="W126">
        <f>HYPERLINK("https://klasma.github.io/Logging_0980/artfynd/A 53552-2021 artfynd.xlsx", "A 53552-2021")</f>
        <v/>
      </c>
      <c r="X126">
        <f>HYPERLINK("https://klasma.github.io/Logging_0980/kartor/A 53552-2021 karta.png", "A 53552-2021")</f>
        <v/>
      </c>
      <c r="Y126">
        <f>HYPERLINK("https://klasma.github.io/Logging_0980/kartor_geotiff/A 53552-2021 georefererad karta.tif", "A 53552-2021")</f>
        <v/>
      </c>
      <c r="AA126">
        <f>HYPERLINK("https://klasma.github.io/Logging_0980/klagomål/A 53552-2021 FSC-klagomål.docx", "A 53552-2021")</f>
        <v/>
      </c>
      <c r="AB126">
        <f>HYPERLINK("https://klasma.github.io/Logging_0980/klagomålsmail/A 53552-2021 FSC-klagomål mail.docx", "A 53552-2021")</f>
        <v/>
      </c>
      <c r="AC126">
        <f>HYPERLINK("https://klasma.github.io/Logging_0980/tillsyn/A 53552-2021 tillsynsbegäran.docx", "A 53552-2021")</f>
        <v/>
      </c>
      <c r="AD126">
        <f>HYPERLINK("https://klasma.github.io/Logging_0980/tillsynsmail/A 53552-2021 tillsynsbegäran mail.docx", "A 53552-2021")</f>
        <v/>
      </c>
    </row>
    <row r="127" ht="15" customHeight="1">
      <c r="A127" t="inlineStr">
        <is>
          <t>A 12315-2024</t>
        </is>
      </c>
      <c r="B127" t="inlineStr">
        <is>
          <t>avverkningsanmälan</t>
        </is>
      </c>
      <c r="C127" t="inlineStr">
        <is>
          <t>Föryngringsavverkning</t>
        </is>
      </c>
      <c r="D127" s="1" t="n">
        <v>45378</v>
      </c>
      <c r="E127" s="1" t="n">
        <v>46290</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19322-2026</t>
        </is>
      </c>
      <c r="B128" t="inlineStr">
        <is>
          <t>avverkningsanmälan</t>
        </is>
      </c>
      <c r="C128" t="inlineStr">
        <is>
          <t>Avverkning för annat ändamål</t>
        </is>
      </c>
      <c r="D128" s="1" t="n">
        <v>46129</v>
      </c>
      <c r="E128" s="1" t="n">
        <v>46290</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35574-2024</t>
        </is>
      </c>
      <c r="B129" t="inlineStr">
        <is>
          <t>avverkningsanmälan</t>
        </is>
      </c>
      <c r="C129" t="inlineStr">
        <is>
          <t>Föryngringsavverkning</t>
        </is>
      </c>
      <c r="D129" s="1" t="n">
        <v>45531</v>
      </c>
      <c r="E129" s="1" t="n">
        <v>46290</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43219-2023</t>
        </is>
      </c>
      <c r="B130" t="inlineStr">
        <is>
          <t>avverkningsanmälan</t>
        </is>
      </c>
      <c r="C130" t="inlineStr">
        <is>
          <t>Föryngringsavverkning</t>
        </is>
      </c>
      <c r="D130" s="1" t="n">
        <v>45183</v>
      </c>
      <c r="E130" s="1" t="n">
        <v>46290</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17975-2024</t>
        </is>
      </c>
      <c r="B131" t="inlineStr">
        <is>
          <t>avverkningsanmälan</t>
        </is>
      </c>
      <c r="C131" t="inlineStr">
        <is>
          <t>Föryngringsavverkning</t>
        </is>
      </c>
      <c r="D131" s="1" t="n">
        <v>45419</v>
      </c>
      <c r="E131" s="1" t="n">
        <v>46290</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63576-2021</t>
        </is>
      </c>
      <c r="B132" t="inlineStr">
        <is>
          <t>avverkningsanmälan</t>
        </is>
      </c>
      <c r="C132" t="inlineStr">
        <is>
          <t>Föryngringsavverkning</t>
        </is>
      </c>
      <c r="D132" s="1" t="n">
        <v>44508</v>
      </c>
      <c r="E132" s="1" t="n">
        <v>46290</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5909-2025</t>
        </is>
      </c>
      <c r="B133" t="inlineStr">
        <is>
          <t>avverkningsanmälan</t>
        </is>
      </c>
      <c r="C133" t="inlineStr">
        <is>
          <t>Föryngringsavverkning</t>
        </is>
      </c>
      <c r="D133" s="1" t="n">
        <v>45695</v>
      </c>
      <c r="E133" s="1" t="n">
        <v>46290</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10440-2024</t>
        </is>
      </c>
      <c r="B134" t="inlineStr">
        <is>
          <t>avverkningsanmälan</t>
        </is>
      </c>
      <c r="C134" t="inlineStr">
        <is>
          <t>Föryngringsavverkning</t>
        </is>
      </c>
      <c r="D134" s="1" t="n">
        <v>45366</v>
      </c>
      <c r="E134" s="1" t="n">
        <v>46290</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44207-2022</t>
        </is>
      </c>
      <c r="B135" t="inlineStr">
        <is>
          <t>avverkningsanmälan</t>
        </is>
      </c>
      <c r="C135" t="inlineStr">
        <is>
          <t>Föryngringsavverkning</t>
        </is>
      </c>
      <c r="D135" s="1" t="n">
        <v>44839</v>
      </c>
      <c r="E135" s="1" t="n">
        <v>46290</v>
      </c>
      <c r="F135" t="inlineStr">
        <is>
          <t>GOTLANDS LÄN</t>
        </is>
      </c>
      <c r="G135" t="inlineStr">
        <is>
          <t>GOTLAND</t>
        </is>
      </c>
      <c r="I135" t="n">
        <v>3.8</v>
      </c>
      <c r="J135" t="n">
        <v>0</v>
      </c>
      <c r="K135" t="n">
        <v>0</v>
      </c>
      <c r="L135" t="n">
        <v>1</v>
      </c>
      <c r="M135" t="n">
        <v>1</v>
      </c>
      <c r="N135" t="n">
        <v>0</v>
      </c>
      <c r="O135" t="n">
        <v>0</v>
      </c>
      <c r="P135" t="n">
        <v>0</v>
      </c>
      <c r="Q135" t="n">
        <v>2</v>
      </c>
      <c r="R135" t="n">
        <v>1</v>
      </c>
      <c r="S135" t="n">
        <v>2</v>
      </c>
      <c r="T135" t="n">
        <v>2</v>
      </c>
      <c r="U135" t="n">
        <v>2</v>
      </c>
      <c r="V135" s="2" t="inlineStr">
        <is>
          <t>Violettfläckig spindling
Odörspindling</t>
        </is>
      </c>
      <c r="W135">
        <f>HYPERLINK("https://klasma.github.io/Logging_0980/artfynd/A 44207-2022 artfynd.xlsx", "A 44207-2022")</f>
        <v/>
      </c>
      <c r="X135">
        <f>HYPERLINK("https://klasma.github.io/Logging_0980/kartor/A 44207-2022 karta.png", "A 44207-2022")</f>
        <v/>
      </c>
      <c r="Y135">
        <f>HYPERLINK("https://klasma.github.io/Logging_0980/kartor_geotiff/A 44207-2022 georefererad karta.tif", "A 44207-2022")</f>
        <v/>
      </c>
      <c r="AA135">
        <f>HYPERLINK("https://klasma.github.io/Logging_0980/klagomål/A 44207-2022 FSC-klagomål.docx", "A 44207-2022")</f>
        <v/>
      </c>
      <c r="AB135">
        <f>HYPERLINK("https://klasma.github.io/Logging_0980/klagomålsmail/A 44207-2022 FSC-klagomål mail.docx", "A 44207-2022")</f>
        <v/>
      </c>
      <c r="AC135">
        <f>HYPERLINK("https://klasma.github.io/Logging_0980/tillsyn/A 44207-2022 tillsynsbegäran.docx", "A 44207-2022")</f>
        <v/>
      </c>
      <c r="AD135">
        <f>HYPERLINK("https://klasma.github.io/Logging_0980/tillsynsmail/A 44207-2022 tillsynsbegäran mail.docx", "A 44207-2022")</f>
        <v/>
      </c>
    </row>
    <row r="136" ht="15" customHeight="1">
      <c r="A136" t="inlineStr">
        <is>
          <t>A 60665-2021</t>
        </is>
      </c>
      <c r="B136" t="inlineStr">
        <is>
          <t>avverkningsanmälan</t>
        </is>
      </c>
      <c r="C136" t="inlineStr">
        <is>
          <t>Föryngringsavverkning</t>
        </is>
      </c>
      <c r="D136" s="1" t="n">
        <v>44496</v>
      </c>
      <c r="E136" s="1" t="n">
        <v>46290</v>
      </c>
      <c r="F136" t="inlineStr">
        <is>
          <t>GOTLANDS LÄN</t>
        </is>
      </c>
      <c r="G136" t="inlineStr">
        <is>
          <t>GOTLAND</t>
        </is>
      </c>
      <c r="I136" t="n">
        <v>1.6</v>
      </c>
      <c r="J136" t="n">
        <v>0</v>
      </c>
      <c r="K136" t="n">
        <v>0</v>
      </c>
      <c r="L136" t="n">
        <v>0</v>
      </c>
      <c r="M136" t="n">
        <v>2</v>
      </c>
      <c r="N136" t="n">
        <v>0</v>
      </c>
      <c r="O136" t="n">
        <v>0</v>
      </c>
      <c r="P136" t="n">
        <v>0</v>
      </c>
      <c r="Q136" t="n">
        <v>2</v>
      </c>
      <c r="R136" t="n">
        <v>2</v>
      </c>
      <c r="S136" t="n">
        <v>2</v>
      </c>
      <c r="T136" t="n">
        <v>4</v>
      </c>
      <c r="U136" t="n">
        <v>1</v>
      </c>
      <c r="V136" s="2" t="inlineStr">
        <is>
          <t>Skogskorn
Ädellav</t>
        </is>
      </c>
      <c r="W136">
        <f>HYPERLINK("https://klasma.github.io/Logging_0980/artfynd/A 60665-2021 artfynd.xlsx", "A 60665-2021")</f>
        <v/>
      </c>
      <c r="X136">
        <f>HYPERLINK("https://klasma.github.io/Logging_0980/kartor/A 60665-2021 karta.png", "A 60665-2021")</f>
        <v/>
      </c>
      <c r="Y136">
        <f>HYPERLINK("https://klasma.github.io/Logging_0980/kartor_geotiff/A 60665-2021 georefererad karta.tif", "A 60665-2021")</f>
        <v/>
      </c>
      <c r="AA136">
        <f>HYPERLINK("https://klasma.github.io/Logging_0980/klagomål/A 60665-2021 FSC-klagomål.docx", "A 60665-2021")</f>
        <v/>
      </c>
      <c r="AB136">
        <f>HYPERLINK("https://klasma.github.io/Logging_0980/klagomålsmail/A 60665-2021 FSC-klagomål mail.docx", "A 60665-2021")</f>
        <v/>
      </c>
      <c r="AC136">
        <f>HYPERLINK("https://klasma.github.io/Logging_0980/tillsyn/A 60665-2021 tillsynsbegäran.docx", "A 60665-2021")</f>
        <v/>
      </c>
      <c r="AD136">
        <f>HYPERLINK("https://klasma.github.io/Logging_0980/tillsynsmail/A 60665-2021 tillsynsbegäran mail.docx", "A 60665-2021")</f>
        <v/>
      </c>
    </row>
    <row r="137" ht="15" customHeight="1">
      <c r="A137" t="inlineStr">
        <is>
          <t>A 20218-2022</t>
        </is>
      </c>
      <c r="B137" t="inlineStr">
        <is>
          <t>avverkningsanmälan</t>
        </is>
      </c>
      <c r="C137" t="inlineStr">
        <is>
          <t>Föryngringsavverkning</t>
        </is>
      </c>
      <c r="D137" s="1" t="n">
        <v>44698</v>
      </c>
      <c r="E137" s="1" t="n">
        <v>46290</v>
      </c>
      <c r="F137" t="inlineStr">
        <is>
          <t>GOTLANDS LÄN</t>
        </is>
      </c>
      <c r="G137" t="inlineStr">
        <is>
          <t>GOTLAND</t>
        </is>
      </c>
      <c r="I137" t="n">
        <v>4.3</v>
      </c>
      <c r="J137" t="n">
        <v>0</v>
      </c>
      <c r="K137" t="n">
        <v>1</v>
      </c>
      <c r="L137" t="n">
        <v>1</v>
      </c>
      <c r="M137" t="n">
        <v>0</v>
      </c>
      <c r="N137" t="n">
        <v>0</v>
      </c>
      <c r="O137" t="n">
        <v>0</v>
      </c>
      <c r="P137" t="n">
        <v>0</v>
      </c>
      <c r="Q137" t="n">
        <v>1</v>
      </c>
      <c r="R137" t="n">
        <v>0</v>
      </c>
      <c r="S137" t="n">
        <v>2</v>
      </c>
      <c r="T137" t="n">
        <v>2</v>
      </c>
      <c r="U137" t="n">
        <v>0</v>
      </c>
      <c r="V137" s="2" t="inlineStr">
        <is>
          <t>Flattoppad klubbsvamp
Rödgul trumpetsvamp</t>
        </is>
      </c>
      <c r="W137">
        <f>HYPERLINK("https://klasma.github.io/Logging_0980/artfynd/A 20218-2022 artfynd.xlsx", "A 20218-2022")</f>
        <v/>
      </c>
      <c r="X137">
        <f>HYPERLINK("https://klasma.github.io/Logging_0980/kartor/A 20218-2022 karta.png", "A 20218-2022")</f>
        <v/>
      </c>
      <c r="Y137">
        <f>HYPERLINK("https://klasma.github.io/Logging_0980/kartor_geotiff/A 20218-2022 georefererad karta.tif", "A 20218-2022")</f>
        <v/>
      </c>
      <c r="AA137">
        <f>HYPERLINK("https://klasma.github.io/Logging_0980/klagomål/A 20218-2022 FSC-klagomål.docx", "A 20218-2022")</f>
        <v/>
      </c>
      <c r="AB137">
        <f>HYPERLINK("https://klasma.github.io/Logging_0980/klagomålsmail/A 20218-2022 FSC-klagomål mail.docx", "A 20218-2022")</f>
        <v/>
      </c>
      <c r="AC137">
        <f>HYPERLINK("https://klasma.github.io/Logging_0980/tillsyn/A 20218-2022 tillsynsbegäran.docx", "A 20218-2022")</f>
        <v/>
      </c>
      <c r="AD137">
        <f>HYPERLINK("https://klasma.github.io/Logging_0980/tillsynsmail/A 20218-2022 tillsynsbegäran mail.docx", "A 20218-2022")</f>
        <v/>
      </c>
    </row>
    <row r="138" ht="15" customHeight="1">
      <c r="A138" t="inlineStr">
        <is>
          <t>A 28261-2024</t>
        </is>
      </c>
      <c r="B138" t="inlineStr">
        <is>
          <t>avverkningsanmälan</t>
        </is>
      </c>
      <c r="C138" t="inlineStr">
        <is>
          <t>Avverkning för annat ändamål</t>
        </is>
      </c>
      <c r="D138" s="1" t="n">
        <v>45477</v>
      </c>
      <c r="E138" s="1" t="n">
        <v>46290</v>
      </c>
      <c r="F138" t="inlineStr">
        <is>
          <t>GOTLANDS LÄN</t>
        </is>
      </c>
      <c r="G138" t="inlineStr">
        <is>
          <t>GOTLAND</t>
        </is>
      </c>
      <c r="I138" t="n">
        <v>22.8</v>
      </c>
      <c r="J138" t="n">
        <v>0</v>
      </c>
      <c r="K138" t="n">
        <v>0</v>
      </c>
      <c r="L138" t="n">
        <v>2</v>
      </c>
      <c r="M138" t="n">
        <v>0</v>
      </c>
      <c r="N138" t="n">
        <v>0</v>
      </c>
      <c r="O138" t="n">
        <v>0</v>
      </c>
      <c r="P138" t="n">
        <v>0</v>
      </c>
      <c r="Q138" t="n">
        <v>2</v>
      </c>
      <c r="R138" t="n">
        <v>0</v>
      </c>
      <c r="S138" t="n">
        <v>2</v>
      </c>
      <c r="T138" t="n">
        <v>4</v>
      </c>
      <c r="U138" t="n">
        <v>4</v>
      </c>
      <c r="V138" s="2" t="inlineStr">
        <is>
          <t>Grådådra
Åkerkulla</t>
        </is>
      </c>
      <c r="W138">
        <f>HYPERLINK("https://klasma.github.io/Logging_0980/artfynd/A 28261-2024 artfynd.xlsx", "A 28261-2024")</f>
        <v/>
      </c>
      <c r="X138">
        <f>HYPERLINK("https://klasma.github.io/Logging_0980/kartor/A 28261-2024 karta.png", "A 28261-2024")</f>
        <v/>
      </c>
      <c r="Y138">
        <f>HYPERLINK("https://klasma.github.io/Logging_0980/kartor_geotiff/A 28261-2024 georefererad karta.tif", "A 28261-2024")</f>
        <v/>
      </c>
      <c r="AA138">
        <f>HYPERLINK("https://klasma.github.io/Logging_0980/klagomål/A 28261-2024 FSC-klagomål.docx", "A 28261-2024")</f>
        <v/>
      </c>
      <c r="AB138">
        <f>HYPERLINK("https://klasma.github.io/Logging_0980/klagomålsmail/A 28261-2024 FSC-klagomål mail.docx", "A 28261-2024")</f>
        <v/>
      </c>
      <c r="AC138">
        <f>HYPERLINK("https://klasma.github.io/Logging_0980/tillsyn/A 28261-2024 tillsynsbegäran.docx", "A 28261-2024")</f>
        <v/>
      </c>
      <c r="AD138">
        <f>HYPERLINK("https://klasma.github.io/Logging_0980/tillsynsmail/A 28261-2024 tillsynsbegäran mail.docx", "A 28261-2024")</f>
        <v/>
      </c>
    </row>
    <row r="139" ht="15" customHeight="1">
      <c r="A139" t="inlineStr">
        <is>
          <t>A 7070-2022</t>
        </is>
      </c>
      <c r="B139" t="inlineStr">
        <is>
          <t>avverkningsanmälan</t>
        </is>
      </c>
      <c r="C139" t="inlineStr">
        <is>
          <t>Föryngringsavverkning</t>
        </is>
      </c>
      <c r="D139" s="1" t="n">
        <v>44603</v>
      </c>
      <c r="E139" s="1" t="n">
        <v>46290</v>
      </c>
      <c r="F139" t="inlineStr">
        <is>
          <t>GOTLANDS LÄN</t>
        </is>
      </c>
      <c r="G139" t="inlineStr">
        <is>
          <t>GOTLAND</t>
        </is>
      </c>
      <c r="I139" t="n">
        <v>2.6</v>
      </c>
      <c r="J139" t="n">
        <v>0</v>
      </c>
      <c r="K139" t="n">
        <v>1</v>
      </c>
      <c r="L139" t="n">
        <v>1</v>
      </c>
      <c r="M139" t="n">
        <v>0</v>
      </c>
      <c r="N139" t="n">
        <v>0</v>
      </c>
      <c r="O139" t="n">
        <v>0</v>
      </c>
      <c r="P139" t="n">
        <v>0</v>
      </c>
      <c r="Q139" t="n">
        <v>1</v>
      </c>
      <c r="R139" t="n">
        <v>0</v>
      </c>
      <c r="S139" t="n">
        <v>2</v>
      </c>
      <c r="T139" t="n">
        <v>2</v>
      </c>
      <c r="U139" t="n">
        <v>0</v>
      </c>
      <c r="V139" s="2" t="inlineStr">
        <is>
          <t>Kattfotslav
Blåmossa</t>
        </is>
      </c>
      <c r="W139">
        <f>HYPERLINK("https://klasma.github.io/Logging_0980/artfynd/A 7070-2022 artfynd.xlsx", "A 7070-2022")</f>
        <v/>
      </c>
      <c r="X139">
        <f>HYPERLINK("https://klasma.github.io/Logging_0980/kartor/A 7070-2022 karta.png", "A 7070-2022")</f>
        <v/>
      </c>
      <c r="Y139">
        <f>HYPERLINK("https://klasma.github.io/Logging_0980/kartor_geotiff/A 7070-2022 georefererad karta.tif", "A 7070-2022")</f>
        <v/>
      </c>
      <c r="AA139">
        <f>HYPERLINK("https://klasma.github.io/Logging_0980/klagomål/A 7070-2022 FSC-klagomål.docx", "A 7070-2022")</f>
        <v/>
      </c>
      <c r="AB139">
        <f>HYPERLINK("https://klasma.github.io/Logging_0980/klagomålsmail/A 7070-2022 FSC-klagomål mail.docx", "A 7070-2022")</f>
        <v/>
      </c>
      <c r="AC139">
        <f>HYPERLINK("https://klasma.github.io/Logging_0980/tillsyn/A 7070-2022 tillsynsbegäran.docx", "A 7070-2022")</f>
        <v/>
      </c>
      <c r="AD139">
        <f>HYPERLINK("https://klasma.github.io/Logging_0980/tillsynsmail/A 7070-2022 tillsynsbegäran mail.docx", "A 7070-2022")</f>
        <v/>
      </c>
    </row>
    <row r="140" ht="15" customHeight="1">
      <c r="A140" t="inlineStr">
        <is>
          <t>A 27589-2023</t>
        </is>
      </c>
      <c r="B140" t="inlineStr">
        <is>
          <t>avverkningsanmälan</t>
        </is>
      </c>
      <c r="C140" t="inlineStr">
        <is>
          <t>Avverkning för annat ändamål</t>
        </is>
      </c>
      <c r="D140" s="1" t="n">
        <v>45097</v>
      </c>
      <c r="E140" s="1" t="n">
        <v>46290</v>
      </c>
      <c r="F140" t="inlineStr">
        <is>
          <t>GOTLANDS LÄN</t>
        </is>
      </c>
      <c r="G140" t="inlineStr">
        <is>
          <t>GOTLAND</t>
        </is>
      </c>
      <c r="I140" t="n">
        <v>5.4</v>
      </c>
      <c r="J140" t="n">
        <v>0</v>
      </c>
      <c r="K140" t="n">
        <v>1</v>
      </c>
      <c r="L140" t="n">
        <v>0</v>
      </c>
      <c r="M140" t="n">
        <v>0</v>
      </c>
      <c r="N140" t="n">
        <v>1</v>
      </c>
      <c r="O140" t="n">
        <v>0</v>
      </c>
      <c r="P140" t="n">
        <v>0</v>
      </c>
      <c r="Q140" t="n">
        <v>1</v>
      </c>
      <c r="R140" t="n">
        <v>1</v>
      </c>
      <c r="S140" t="n">
        <v>2</v>
      </c>
      <c r="T140" t="n">
        <v>2</v>
      </c>
      <c r="U140" t="n">
        <v>2</v>
      </c>
      <c r="V140" s="2" t="inlineStr">
        <is>
          <t>Skogsalm
Underviol</t>
        </is>
      </c>
      <c r="W140">
        <f>HYPERLINK("https://klasma.github.io/Logging_0980/artfynd/A 27589-2023 artfynd.xlsx", "A 27589-2023")</f>
        <v/>
      </c>
      <c r="X140">
        <f>HYPERLINK("https://klasma.github.io/Logging_0980/kartor/A 27589-2023 karta.png", "A 27589-2023")</f>
        <v/>
      </c>
      <c r="Y140">
        <f>HYPERLINK("https://klasma.github.io/Logging_0980/kartor_geotiff/A 27589-2023 georefererad karta.tif", "A 27589-2023")</f>
        <v/>
      </c>
      <c r="AA140">
        <f>HYPERLINK("https://klasma.github.io/Logging_0980/klagomål/A 27589-2023 FSC-klagomål.docx", "A 27589-2023")</f>
        <v/>
      </c>
      <c r="AB140">
        <f>HYPERLINK("https://klasma.github.io/Logging_0980/klagomålsmail/A 27589-2023 FSC-klagomål mail.docx", "A 27589-2023")</f>
        <v/>
      </c>
      <c r="AC140">
        <f>HYPERLINK("https://klasma.github.io/Logging_0980/tillsyn/A 27589-2023 tillsynsbegäran.docx", "A 27589-2023")</f>
        <v/>
      </c>
      <c r="AD140">
        <f>HYPERLINK("https://klasma.github.io/Logging_0980/tillsynsmail/A 27589-2023 tillsynsbegäran mail.docx", "A 27589-2023")</f>
        <v/>
      </c>
    </row>
    <row r="141" ht="15" customHeight="1">
      <c r="A141" t="inlineStr">
        <is>
          <t>A 1010-2024</t>
        </is>
      </c>
      <c r="B141" t="inlineStr">
        <is>
          <t>avverkningsanmälan</t>
        </is>
      </c>
      <c r="C141" t="inlineStr">
        <is>
          <t>Föryngringsavverkning</t>
        </is>
      </c>
      <c r="D141" s="1" t="n">
        <v>45301</v>
      </c>
      <c r="E141" s="1" t="n">
        <v>46290</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33011-2025</t>
        </is>
      </c>
      <c r="B142" t="inlineStr">
        <is>
          <t>avverkningsanmälan</t>
        </is>
      </c>
      <c r="C142" t="inlineStr">
        <is>
          <t>Föryngringsavverkning</t>
        </is>
      </c>
      <c r="D142" s="1" t="n">
        <v>45840</v>
      </c>
      <c r="E142" s="1" t="n">
        <v>46290</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49314-2024</t>
        </is>
      </c>
      <c r="B143" t="inlineStr">
        <is>
          <t>avverkningsanmälan</t>
        </is>
      </c>
      <c r="C143" t="inlineStr">
        <is>
          <t>Föryngringsavverkning</t>
        </is>
      </c>
      <c r="D143" s="1" t="n">
        <v>45595</v>
      </c>
      <c r="E143" s="1" t="n">
        <v>46290</v>
      </c>
      <c r="F143" t="inlineStr">
        <is>
          <t>GOTLANDS LÄN</t>
        </is>
      </c>
      <c r="G143" t="inlineStr">
        <is>
          <t>GOTLAND</t>
        </is>
      </c>
      <c r="I143" t="n">
        <v>1.1</v>
      </c>
      <c r="J143" t="n">
        <v>0</v>
      </c>
      <c r="K143" t="n">
        <v>1</v>
      </c>
      <c r="L143" t="n">
        <v>0</v>
      </c>
      <c r="M143" t="n">
        <v>1</v>
      </c>
      <c r="N143" t="n">
        <v>0</v>
      </c>
      <c r="O143" t="n">
        <v>0</v>
      </c>
      <c r="P143" t="n">
        <v>0</v>
      </c>
      <c r="Q143" t="n">
        <v>1</v>
      </c>
      <c r="R143" t="n">
        <v>1</v>
      </c>
      <c r="S143" t="n">
        <v>2</v>
      </c>
      <c r="T143" t="n">
        <v>2</v>
      </c>
      <c r="U143" t="n">
        <v>2</v>
      </c>
      <c r="V143" s="2" t="inlineStr">
        <is>
          <t>Skogskorn
Underviol</t>
        </is>
      </c>
      <c r="W143">
        <f>HYPERLINK("https://klasma.github.io/Logging_0980/artfynd/A 49314-2024 artfynd.xlsx", "A 49314-2024")</f>
        <v/>
      </c>
      <c r="X143">
        <f>HYPERLINK("https://klasma.github.io/Logging_0980/kartor/A 49314-2024 karta.png", "A 49314-2024")</f>
        <v/>
      </c>
      <c r="Y143">
        <f>HYPERLINK("https://klasma.github.io/Logging_0980/kartor_geotiff/A 49314-2024 georefererad karta.tif", "A 49314-2024")</f>
        <v/>
      </c>
      <c r="AA143">
        <f>HYPERLINK("https://klasma.github.io/Logging_0980/klagomål/A 49314-2024 FSC-klagomål.docx", "A 49314-2024")</f>
        <v/>
      </c>
      <c r="AB143">
        <f>HYPERLINK("https://klasma.github.io/Logging_0980/klagomålsmail/A 49314-2024 FSC-klagomål mail.docx", "A 49314-2024")</f>
        <v/>
      </c>
      <c r="AC143">
        <f>HYPERLINK("https://klasma.github.io/Logging_0980/tillsyn/A 49314-2024 tillsynsbegäran.docx", "A 49314-2024")</f>
        <v/>
      </c>
      <c r="AD143">
        <f>HYPERLINK("https://klasma.github.io/Logging_0980/tillsynsmail/A 49314-2024 tillsynsbegäran mail.docx", "A 49314-2024")</f>
        <v/>
      </c>
    </row>
    <row r="144" ht="15" customHeight="1">
      <c r="A144" t="inlineStr">
        <is>
          <t>A 883-2025</t>
        </is>
      </c>
      <c r="B144" t="inlineStr">
        <is>
          <t>avverkningsanmälan</t>
        </is>
      </c>
      <c r="C144" t="inlineStr">
        <is>
          <t>Föryngringsavverkning</t>
        </is>
      </c>
      <c r="D144" s="1" t="n">
        <v>45665</v>
      </c>
      <c r="E144" s="1" t="n">
        <v>46290</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62760-2025</t>
        </is>
      </c>
      <c r="B145" t="inlineStr">
        <is>
          <t>avverkningsanmälan</t>
        </is>
      </c>
      <c r="C145" t="inlineStr">
        <is>
          <t>Föryngringsavverkning</t>
        </is>
      </c>
      <c r="D145" s="1" t="n">
        <v>46008</v>
      </c>
      <c r="E145" s="1" t="n">
        <v>46290</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46290</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26077-2024</t>
        </is>
      </c>
      <c r="B147" t="inlineStr">
        <is>
          <t>avverkningsanmälan</t>
        </is>
      </c>
      <c r="C147" t="inlineStr">
        <is>
          <t>Avverkning för annat ändamål</t>
        </is>
      </c>
      <c r="D147" s="1" t="n">
        <v>45467</v>
      </c>
      <c r="E147" s="1" t="n">
        <v>46290</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8036-2022</t>
        </is>
      </c>
      <c r="B148" t="inlineStr">
        <is>
          <t>avverkningsanmälan</t>
        </is>
      </c>
      <c r="C148" t="inlineStr">
        <is>
          <t>Föryngringsavverkning</t>
        </is>
      </c>
      <c r="D148" s="1" t="n">
        <v>44609</v>
      </c>
      <c r="E148" s="1" t="n">
        <v>46290</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30470-2026</t>
        </is>
      </c>
      <c r="B149" t="inlineStr">
        <is>
          <t>avverkningsanmälan</t>
        </is>
      </c>
      <c r="C149" t="inlineStr">
        <is>
          <t>Föryngringsavverkning</t>
        </is>
      </c>
      <c r="D149" s="1" t="n">
        <v>46209</v>
      </c>
      <c r="E149" s="1" t="n">
        <v>46290</v>
      </c>
      <c r="F149" t="inlineStr">
        <is>
          <t>GOTLANDS LÄN</t>
        </is>
      </c>
      <c r="G149" t="inlineStr">
        <is>
          <t>GOTLAND</t>
        </is>
      </c>
      <c r="I149" t="n">
        <v>6.1</v>
      </c>
      <c r="J149" t="n">
        <v>1</v>
      </c>
      <c r="K149" t="n">
        <v>1</v>
      </c>
      <c r="L149" t="n">
        <v>0</v>
      </c>
      <c r="M149" t="n">
        <v>0</v>
      </c>
      <c r="N149" t="n">
        <v>0</v>
      </c>
      <c r="O149" t="n">
        <v>0</v>
      </c>
      <c r="P149" t="n">
        <v>0</v>
      </c>
      <c r="Q149" t="n">
        <v>0</v>
      </c>
      <c r="R149" t="n">
        <v>0</v>
      </c>
      <c r="S149" t="n">
        <v>2</v>
      </c>
      <c r="T149" t="n">
        <v>2</v>
      </c>
      <c r="U149" t="n">
        <v>0</v>
      </c>
      <c r="V149" s="2" t="inlineStr">
        <is>
          <t>Grönpyrola
Lopplummer (aggregat)</t>
        </is>
      </c>
      <c r="W149">
        <f>HYPERLINK("https://klasma.github.io/Logging_0980/artfynd/A 30470-2026 artfynd.xlsx", "A 30470-2026")</f>
        <v/>
      </c>
      <c r="X149">
        <f>HYPERLINK("https://klasma.github.io/Logging_0980/kartor/A 30470-2026 karta.png", "A 30470-2026")</f>
        <v/>
      </c>
      <c r="Y149">
        <f>HYPERLINK("https://klasma.github.io/Logging_0980/kartor_geotiff/A 30470-2026 georefererad karta.tif", "A 30470-2026")</f>
        <v/>
      </c>
      <c r="AA149">
        <f>HYPERLINK("https://klasma.github.io/Logging_0980/klagomål/A 30470-2026 FSC-klagomål.docx", "A 30470-2026")</f>
        <v/>
      </c>
      <c r="AB149">
        <f>HYPERLINK("https://klasma.github.io/Logging_0980/klagomålsmail/A 30470-2026 FSC-klagomål mail.docx", "A 30470-2026")</f>
        <v/>
      </c>
      <c r="AC149">
        <f>HYPERLINK("https://klasma.github.io/Logging_0980/tillsyn/A 30470-2026 tillsynsbegäran.docx", "A 30470-2026")</f>
        <v/>
      </c>
      <c r="AD149">
        <f>HYPERLINK("https://klasma.github.io/Logging_0980/tillsynsmail/A 30470-2026 tillsynsbegäran mail.docx", "A 30470-2026")</f>
        <v/>
      </c>
    </row>
    <row r="150" ht="15" customHeight="1">
      <c r="A150" t="inlineStr">
        <is>
          <t>A 28276-2024</t>
        </is>
      </c>
      <c r="B150" t="inlineStr">
        <is>
          <t>avverkningsanmälan</t>
        </is>
      </c>
      <c r="C150" t="inlineStr">
        <is>
          <t>Avverkning för annat ändamål</t>
        </is>
      </c>
      <c r="D150" s="1" t="n">
        <v>45477</v>
      </c>
      <c r="E150" s="1" t="n">
        <v>46290</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A 27621-2026</t>
        </is>
      </c>
      <c r="B151" t="inlineStr">
        <is>
          <t>avverkningsanmälan</t>
        </is>
      </c>
      <c r="C151" t="inlineStr">
        <is>
          <t>Föryngringsavverkning</t>
        </is>
      </c>
      <c r="D151" s="1" t="n">
        <v>46190</v>
      </c>
      <c r="E151" s="1" t="n">
        <v>46290</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S 3320-2023</t>
        </is>
      </c>
      <c r="B152" t="inlineStr">
        <is>
          <t>samrådsanmälan</t>
        </is>
      </c>
      <c r="C152" t="inlineStr">
        <is>
          <t>Annan skogsbruksåtgärd</t>
        </is>
      </c>
      <c r="D152" s="1" t="n">
        <v>45198</v>
      </c>
      <c r="E152" s="1" t="n">
        <v>46290</v>
      </c>
      <c r="F152" t="inlineStr">
        <is>
          <t>GOTLANDS LÄN</t>
        </is>
      </c>
      <c r="G152" t="inlineStr">
        <is>
          <t>GOTLAND</t>
        </is>
      </c>
      <c r="I152" t="n">
        <v>0.2</v>
      </c>
      <c r="J152" t="n">
        <v>2</v>
      </c>
      <c r="K152" t="n">
        <v>0</v>
      </c>
      <c r="L152" t="n">
        <v>0</v>
      </c>
      <c r="M152" t="n">
        <v>0</v>
      </c>
      <c r="N152" t="n">
        <v>0</v>
      </c>
      <c r="O152" t="n">
        <v>0</v>
      </c>
      <c r="P152" t="n">
        <v>0</v>
      </c>
      <c r="Q152" t="n">
        <v>0</v>
      </c>
      <c r="R152" t="n">
        <v>0</v>
      </c>
      <c r="S152" t="n">
        <v>2</v>
      </c>
      <c r="T152" t="n">
        <v>2</v>
      </c>
      <c r="U152" t="n">
        <v>2</v>
      </c>
      <c r="V152" s="2" t="inlineStr">
        <is>
          <t>Kråka
Pudrad kärrtrollslända</t>
        </is>
      </c>
      <c r="W152">
        <f>HYPERLINK("https://klasma.github.io/Logging_0980/artfynd/S 3320-2023 artfynd.xlsx", "S 3320-2023")</f>
        <v/>
      </c>
      <c r="X152">
        <f>HYPERLINK("https://klasma.github.io/Logging_0980/kartor/S 3320-2023 karta.png", "S 3320-2023")</f>
        <v/>
      </c>
      <c r="Y152">
        <f>HYPERLINK("https://klasma.github.io/Logging_0980/kartor_geotiff/S 3320-2023 georefererad karta.tif", "S 3320-2023")</f>
        <v/>
      </c>
      <c r="AA152">
        <f>HYPERLINK("https://klasma.github.io/Logging_0980/klagomål/S 3320-2023 FSC-klagomål.docx", "S 3320-2023")</f>
        <v/>
      </c>
      <c r="AB152">
        <f>HYPERLINK("https://klasma.github.io/Logging_0980/klagomålsmail/S 3320-2023 FSC-klagomål mail.docx", "S 3320-2023")</f>
        <v/>
      </c>
      <c r="AC152">
        <f>HYPERLINK("https://klasma.github.io/Logging_0980/tillsyn/S 3320-2023 tillsynsbegäran.docx", "S 3320-2023")</f>
        <v/>
      </c>
      <c r="AD152">
        <f>HYPERLINK("https://klasma.github.io/Logging_0980/tillsynsmail/S 3320-2023 tillsynsbegäran mail.docx", "S 3320-2023")</f>
        <v/>
      </c>
    </row>
    <row r="153" ht="15" customHeight="1">
      <c r="A153" t="inlineStr">
        <is>
          <t>A 11029-2022</t>
        </is>
      </c>
      <c r="B153" t="inlineStr">
        <is>
          <t>avverkningsanmälan</t>
        </is>
      </c>
      <c r="C153" t="inlineStr">
        <is>
          <t>Avverkning för annat ändamål</t>
        </is>
      </c>
      <c r="D153" s="1" t="n">
        <v>44628</v>
      </c>
      <c r="E153" s="1" t="n">
        <v>46290</v>
      </c>
      <c r="F153" t="inlineStr">
        <is>
          <t>GOTLANDS LÄN</t>
        </is>
      </c>
      <c r="G153" t="inlineStr">
        <is>
          <t>GOTLAND</t>
        </is>
      </c>
      <c r="I153" t="n">
        <v>1.8</v>
      </c>
      <c r="J153" t="n">
        <v>0</v>
      </c>
      <c r="K153" t="n">
        <v>1</v>
      </c>
      <c r="L153" t="n">
        <v>0</v>
      </c>
      <c r="M153" t="n">
        <v>0</v>
      </c>
      <c r="N153" t="n">
        <v>0</v>
      </c>
      <c r="O153" t="n">
        <v>0</v>
      </c>
      <c r="P153" t="n">
        <v>0</v>
      </c>
      <c r="Q153" t="n">
        <v>0</v>
      </c>
      <c r="R153" t="n">
        <v>0</v>
      </c>
      <c r="S153" t="n">
        <v>1</v>
      </c>
      <c r="T153" t="n">
        <v>1</v>
      </c>
      <c r="U153" t="n">
        <v>0</v>
      </c>
      <c r="V153" s="2" t="inlineStr">
        <is>
          <t>Olivspindling</t>
        </is>
      </c>
      <c r="W153">
        <f>HYPERLINK("https://klasma.github.io/Logging_0980/artfynd/A 11029-2022 artfynd.xlsx", "A 11029-2022")</f>
        <v/>
      </c>
      <c r="X153">
        <f>HYPERLINK("https://klasma.github.io/Logging_0980/kartor/A 11029-2022 karta.png", "A 11029-2022")</f>
        <v/>
      </c>
      <c r="Y153">
        <f>HYPERLINK("https://klasma.github.io/Logging_0980/kartor_geotiff/A 11029-2022 georefererad karta.tif", "A 11029-2022")</f>
        <v/>
      </c>
      <c r="AA153">
        <f>HYPERLINK("https://klasma.github.io/Logging_0980/klagomål/A 11029-2022 FSC-klagomål.docx", "A 11029-2022")</f>
        <v/>
      </c>
      <c r="AB153">
        <f>HYPERLINK("https://klasma.github.io/Logging_0980/klagomålsmail/A 11029-2022 FSC-klagomål mail.docx", "A 11029-2022")</f>
        <v/>
      </c>
      <c r="AC153">
        <f>HYPERLINK("https://klasma.github.io/Logging_0980/tillsyn/A 11029-2022 tillsynsbegäran.docx", "A 11029-2022")</f>
        <v/>
      </c>
      <c r="AD153">
        <f>HYPERLINK("https://klasma.github.io/Logging_0980/tillsynsmail/A 11029-2022 tillsynsbegäran mail.docx", "A 11029-2022")</f>
        <v/>
      </c>
    </row>
    <row r="154" ht="15" customHeight="1">
      <c r="A154" t="inlineStr">
        <is>
          <t>A 31239-2022</t>
        </is>
      </c>
      <c r="B154" t="inlineStr">
        <is>
          <t>avverkningsanmälan</t>
        </is>
      </c>
      <c r="C154" t="inlineStr">
        <is>
          <t>Föryngringsavverkning</t>
        </is>
      </c>
      <c r="D154" s="1" t="n">
        <v>44771</v>
      </c>
      <c r="E154" s="1" t="n">
        <v>46290</v>
      </c>
      <c r="F154" t="inlineStr">
        <is>
          <t>GOTLANDS LÄN</t>
        </is>
      </c>
      <c r="G154" t="inlineStr">
        <is>
          <t>GOTLAND</t>
        </is>
      </c>
      <c r="I154" t="n">
        <v>1.9</v>
      </c>
      <c r="J154" t="n">
        <v>0</v>
      </c>
      <c r="K154" t="n">
        <v>0</v>
      </c>
      <c r="L154" t="n">
        <v>1</v>
      </c>
      <c r="M154" t="n">
        <v>0</v>
      </c>
      <c r="N154" t="n">
        <v>0</v>
      </c>
      <c r="O154" t="n">
        <v>0</v>
      </c>
      <c r="P154" t="n">
        <v>0</v>
      </c>
      <c r="Q154" t="n">
        <v>1</v>
      </c>
      <c r="R154" t="n">
        <v>0</v>
      </c>
      <c r="S154" t="n">
        <v>1</v>
      </c>
      <c r="T154" t="n">
        <v>2</v>
      </c>
      <c r="U154" t="n">
        <v>0</v>
      </c>
      <c r="V154" s="2" t="inlineStr">
        <is>
          <t>Barrviolspindling</t>
        </is>
      </c>
      <c r="W154">
        <f>HYPERLINK("https://klasma.github.io/Logging_0980/artfynd/A 31239-2022 artfynd.xlsx", "A 31239-2022")</f>
        <v/>
      </c>
      <c r="X154">
        <f>HYPERLINK("https://klasma.github.io/Logging_0980/kartor/A 31239-2022 karta.png", "A 31239-2022")</f>
        <v/>
      </c>
      <c r="Y154">
        <f>HYPERLINK("https://klasma.github.io/Logging_0980/kartor_geotiff/A 31239-2022 georefererad karta.tif", "A 31239-2022")</f>
        <v/>
      </c>
      <c r="AA154">
        <f>HYPERLINK("https://klasma.github.io/Logging_0980/klagomål/A 31239-2022 FSC-klagomål.docx", "A 31239-2022")</f>
        <v/>
      </c>
      <c r="AB154">
        <f>HYPERLINK("https://klasma.github.io/Logging_0980/klagomålsmail/A 31239-2022 FSC-klagomål mail.docx", "A 31239-2022")</f>
        <v/>
      </c>
      <c r="AC154">
        <f>HYPERLINK("https://klasma.github.io/Logging_0980/tillsyn/A 31239-2022 tillsynsbegäran.docx", "A 31239-2022")</f>
        <v/>
      </c>
      <c r="AD154">
        <f>HYPERLINK("https://klasma.github.io/Logging_0980/tillsynsmail/A 31239-2022 tillsynsbegäran mail.docx", "A 31239-2022")</f>
        <v/>
      </c>
    </row>
    <row r="155" ht="15" customHeight="1">
      <c r="A155" t="inlineStr">
        <is>
          <t>A 17354-2022</t>
        </is>
      </c>
      <c r="B155" t="inlineStr">
        <is>
          <t>avverkningsanmälan</t>
        </is>
      </c>
      <c r="C155" t="inlineStr">
        <is>
          <t>Avverkning för annat ändamål</t>
        </is>
      </c>
      <c r="D155" s="1" t="n">
        <v>44678</v>
      </c>
      <c r="E155" s="1" t="n">
        <v>46290</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22883-2024</t>
        </is>
      </c>
      <c r="B156" t="inlineStr">
        <is>
          <t>avverkningsanmälan</t>
        </is>
      </c>
      <c r="C156" t="inlineStr">
        <is>
          <t>Föryngringsavverkning</t>
        </is>
      </c>
      <c r="D156" s="1" t="n">
        <v>45448</v>
      </c>
      <c r="E156" s="1" t="n">
        <v>46290</v>
      </c>
      <c r="F156" t="inlineStr">
        <is>
          <t>GOTLANDS LÄN</t>
        </is>
      </c>
      <c r="G156" t="inlineStr">
        <is>
          <t>GOTLAND</t>
        </is>
      </c>
      <c r="I156" t="n">
        <v>0.5</v>
      </c>
      <c r="J156" t="n">
        <v>0</v>
      </c>
      <c r="K156" t="n">
        <v>0</v>
      </c>
      <c r="L156" t="n">
        <v>0</v>
      </c>
      <c r="M156" t="n">
        <v>1</v>
      </c>
      <c r="N156" t="n">
        <v>0</v>
      </c>
      <c r="O156" t="n">
        <v>0</v>
      </c>
      <c r="P156" t="n">
        <v>0</v>
      </c>
      <c r="Q156" t="n">
        <v>1</v>
      </c>
      <c r="R156" t="n">
        <v>1</v>
      </c>
      <c r="S156" t="n">
        <v>1</v>
      </c>
      <c r="T156" t="n">
        <v>2</v>
      </c>
      <c r="U156" t="n">
        <v>2</v>
      </c>
      <c r="V156" s="2" t="inlineStr">
        <is>
          <t>Gotlandsmåra</t>
        </is>
      </c>
      <c r="W156">
        <f>HYPERLINK("https://klasma.github.io/Logging_0980/artfynd/A 22883-2024 artfynd.xlsx", "A 22883-2024")</f>
        <v/>
      </c>
      <c r="X156">
        <f>HYPERLINK("https://klasma.github.io/Logging_0980/kartor/A 22883-2024 karta.png", "A 22883-2024")</f>
        <v/>
      </c>
      <c r="Y156">
        <f>HYPERLINK("https://klasma.github.io/Logging_0980/kartor_geotiff/A 22883-2024 georefererad karta.tif", "A 22883-2024")</f>
        <v/>
      </c>
      <c r="AA156">
        <f>HYPERLINK("https://klasma.github.io/Logging_0980/klagomål/A 22883-2024 FSC-klagomål.docx", "A 22883-2024")</f>
        <v/>
      </c>
      <c r="AB156">
        <f>HYPERLINK("https://klasma.github.io/Logging_0980/klagomålsmail/A 22883-2024 FSC-klagomål mail.docx", "A 22883-2024")</f>
        <v/>
      </c>
      <c r="AC156">
        <f>HYPERLINK("https://klasma.github.io/Logging_0980/tillsyn/A 22883-2024 tillsynsbegäran.docx", "A 22883-2024")</f>
        <v/>
      </c>
      <c r="AD156">
        <f>HYPERLINK("https://klasma.github.io/Logging_0980/tillsynsmail/A 22883-2024 tillsynsbegäran mail.docx", "A 22883-2024")</f>
        <v/>
      </c>
    </row>
    <row r="157" ht="15" customHeight="1">
      <c r="A157" t="inlineStr">
        <is>
          <t>A 63229-2021</t>
        </is>
      </c>
      <c r="B157" t="inlineStr">
        <is>
          <t>avverkningsanmälan</t>
        </is>
      </c>
      <c r="C157" t="inlineStr">
        <is>
          <t>Föryngringsavverkning</t>
        </is>
      </c>
      <c r="D157" s="1" t="n">
        <v>44508</v>
      </c>
      <c r="E157" s="1" t="n">
        <v>46290</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27593-2023</t>
        </is>
      </c>
      <c r="B158" t="inlineStr">
        <is>
          <t>avverkningsanmälan</t>
        </is>
      </c>
      <c r="C158" t="inlineStr">
        <is>
          <t>Avverkning för annat ändamål</t>
        </is>
      </c>
      <c r="D158" s="1" t="n">
        <v>45097</v>
      </c>
      <c r="E158" s="1" t="n">
        <v>46290</v>
      </c>
      <c r="F158" t="inlineStr">
        <is>
          <t>GOTLANDS LÄN</t>
        </is>
      </c>
      <c r="G158" t="inlineStr">
        <is>
          <t>GOTLAND</t>
        </is>
      </c>
      <c r="I158" t="n">
        <v>3.1</v>
      </c>
      <c r="J158" t="n">
        <v>1</v>
      </c>
      <c r="K158" t="n">
        <v>0</v>
      </c>
      <c r="L158" t="n">
        <v>0</v>
      </c>
      <c r="M158" t="n">
        <v>0</v>
      </c>
      <c r="N158" t="n">
        <v>1</v>
      </c>
      <c r="O158" t="n">
        <v>0</v>
      </c>
      <c r="P158" t="n">
        <v>0</v>
      </c>
      <c r="Q158" t="n">
        <v>1</v>
      </c>
      <c r="R158" t="n">
        <v>1</v>
      </c>
      <c r="S158" t="n">
        <v>1</v>
      </c>
      <c r="T158" t="n">
        <v>2</v>
      </c>
      <c r="U158" t="n">
        <v>1</v>
      </c>
      <c r="V158" s="2" t="inlineStr">
        <is>
          <t>Spjutsporre</t>
        </is>
      </c>
      <c r="W158">
        <f>HYPERLINK("https://klasma.github.io/Logging_0980/artfynd/A 27593-2023 artfynd.xlsx", "A 27593-2023")</f>
        <v/>
      </c>
      <c r="X158">
        <f>HYPERLINK("https://klasma.github.io/Logging_0980/kartor/A 27593-2023 karta.png", "A 27593-2023")</f>
        <v/>
      </c>
      <c r="Y158">
        <f>HYPERLINK("https://klasma.github.io/Logging_0980/kartor_geotiff/A 27593-2023 georefererad karta.tif", "A 27593-2023")</f>
        <v/>
      </c>
      <c r="AA158">
        <f>HYPERLINK("https://klasma.github.io/Logging_0980/klagomål/A 27593-2023 FSC-klagomål.docx", "A 27593-2023")</f>
        <v/>
      </c>
      <c r="AB158">
        <f>HYPERLINK("https://klasma.github.io/Logging_0980/klagomålsmail/A 27593-2023 FSC-klagomål mail.docx", "A 27593-2023")</f>
        <v/>
      </c>
      <c r="AC158">
        <f>HYPERLINK("https://klasma.github.io/Logging_0980/tillsyn/A 27593-2023 tillsynsbegäran.docx", "A 27593-2023")</f>
        <v/>
      </c>
      <c r="AD158">
        <f>HYPERLINK("https://klasma.github.io/Logging_0980/tillsynsmail/A 27593-2023 tillsynsbegäran mail.docx", "A 27593-2023")</f>
        <v/>
      </c>
    </row>
    <row r="159" ht="15" customHeight="1">
      <c r="A159" t="inlineStr">
        <is>
          <t>A 24245-2022</t>
        </is>
      </c>
      <c r="B159" t="inlineStr">
        <is>
          <t>avverkningsanmälan</t>
        </is>
      </c>
      <c r="C159" t="inlineStr">
        <is>
          <t>Föryngringsavverkning</t>
        </is>
      </c>
      <c r="D159" s="1" t="n">
        <v>44725</v>
      </c>
      <c r="E159" s="1" t="n">
        <v>46290</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5751-2024</t>
        </is>
      </c>
      <c r="B160" t="inlineStr">
        <is>
          <t>avverkningsanmälan</t>
        </is>
      </c>
      <c r="C160" t="inlineStr">
        <is>
          <t>Avverkning för att bevara och utveckla /försöksver</t>
        </is>
      </c>
      <c r="D160" s="1" t="n">
        <v>45335</v>
      </c>
      <c r="E160" s="1" t="n">
        <v>46290</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49693-2023</t>
        </is>
      </c>
      <c r="B161" t="inlineStr">
        <is>
          <t>avverkningsanmälan</t>
        </is>
      </c>
      <c r="C161" t="inlineStr">
        <is>
          <t>Föryngringsavverkning</t>
        </is>
      </c>
      <c r="D161" s="1" t="n">
        <v>45212</v>
      </c>
      <c r="E161" s="1" t="n">
        <v>46290</v>
      </c>
      <c r="F161" t="inlineStr">
        <is>
          <t>GOTLANDS LÄN</t>
        </is>
      </c>
      <c r="G161" t="inlineStr">
        <is>
          <t>GOTLAND</t>
        </is>
      </c>
      <c r="I161" t="n">
        <v>2.4</v>
      </c>
      <c r="J161" t="n">
        <v>0</v>
      </c>
      <c r="K161" t="n">
        <v>0</v>
      </c>
      <c r="L161" t="n">
        <v>0</v>
      </c>
      <c r="M161" t="n">
        <v>1</v>
      </c>
      <c r="N161" t="n">
        <v>0</v>
      </c>
      <c r="O161" t="n">
        <v>0</v>
      </c>
      <c r="P161" t="n">
        <v>0</v>
      </c>
      <c r="Q161" t="n">
        <v>1</v>
      </c>
      <c r="R161" t="n">
        <v>1</v>
      </c>
      <c r="S161" t="n">
        <v>1</v>
      </c>
      <c r="T161" t="n">
        <v>1</v>
      </c>
      <c r="U161" t="n">
        <v>1</v>
      </c>
      <c r="V161" s="2" t="inlineStr">
        <is>
          <t>Vit taggsvamp</t>
        </is>
      </c>
      <c r="W161">
        <f>HYPERLINK("https://klasma.github.io/Logging_0980/artfynd/A 49693-2023 artfynd.xlsx", "A 49693-2023")</f>
        <v/>
      </c>
      <c r="X161">
        <f>HYPERLINK("https://klasma.github.io/Logging_0980/kartor/A 49693-2023 karta.png", "A 49693-2023")</f>
        <v/>
      </c>
      <c r="Y161">
        <f>HYPERLINK("https://klasma.github.io/Logging_0980/kartor_geotiff/A 49693-2023 georefererad karta.tif", "A 49693-2023")</f>
        <v/>
      </c>
      <c r="AA161">
        <f>HYPERLINK("https://klasma.github.io/Logging_0980/klagomål/A 49693-2023 FSC-klagomål.docx", "A 49693-2023")</f>
        <v/>
      </c>
      <c r="AB161">
        <f>HYPERLINK("https://klasma.github.io/Logging_0980/klagomålsmail/A 49693-2023 FSC-klagomål mail.docx", "A 49693-2023")</f>
        <v/>
      </c>
      <c r="AC161">
        <f>HYPERLINK("https://klasma.github.io/Logging_0980/tillsyn/A 49693-2023 tillsynsbegäran.docx", "A 49693-2023")</f>
        <v/>
      </c>
      <c r="AD161">
        <f>HYPERLINK("https://klasma.github.io/Logging_0980/tillsynsmail/A 49693-2023 tillsynsbegäran mail.docx", "A 49693-2023")</f>
        <v/>
      </c>
    </row>
    <row r="162" ht="15" customHeight="1">
      <c r="A162" t="inlineStr">
        <is>
          <t>A 57534-2022</t>
        </is>
      </c>
      <c r="B162" t="inlineStr">
        <is>
          <t>avverkningsanmälan</t>
        </is>
      </c>
      <c r="C162" t="inlineStr">
        <is>
          <t>Föryngringsavverkning</t>
        </is>
      </c>
      <c r="D162" s="1" t="n">
        <v>44896</v>
      </c>
      <c r="E162" s="1" t="n">
        <v>46290</v>
      </c>
      <c r="F162" t="inlineStr">
        <is>
          <t>GOTLANDS LÄN</t>
        </is>
      </c>
      <c r="G162" t="inlineStr">
        <is>
          <t>GOTLAND</t>
        </is>
      </c>
      <c r="I162" t="n">
        <v>0.6</v>
      </c>
      <c r="J162" t="n">
        <v>0</v>
      </c>
      <c r="K162" t="n">
        <v>1</v>
      </c>
      <c r="L162" t="n">
        <v>0</v>
      </c>
      <c r="M162" t="n">
        <v>0</v>
      </c>
      <c r="N162" t="n">
        <v>0</v>
      </c>
      <c r="O162" t="n">
        <v>0</v>
      </c>
      <c r="P162" t="n">
        <v>0</v>
      </c>
      <c r="Q162" t="n">
        <v>0</v>
      </c>
      <c r="R162" t="n">
        <v>0</v>
      </c>
      <c r="S162" t="n">
        <v>1</v>
      </c>
      <c r="T162" t="n">
        <v>1</v>
      </c>
      <c r="U162" t="n">
        <v>1</v>
      </c>
      <c r="V162" s="2" t="inlineStr">
        <is>
          <t>Myskmadra</t>
        </is>
      </c>
      <c r="W162">
        <f>HYPERLINK("https://klasma.github.io/Logging_0980/artfynd/A 57534-2022 artfynd.xlsx", "A 57534-2022")</f>
        <v/>
      </c>
      <c r="X162">
        <f>HYPERLINK("https://klasma.github.io/Logging_0980/kartor/A 57534-2022 karta.png", "A 57534-2022")</f>
        <v/>
      </c>
      <c r="Y162">
        <f>HYPERLINK("https://klasma.github.io/Logging_0980/kartor_geotiff/A 57534-2022 georefererad karta.tif", "A 57534-2022")</f>
        <v/>
      </c>
      <c r="AA162">
        <f>HYPERLINK("https://klasma.github.io/Logging_0980/klagomål/A 57534-2022 FSC-klagomål.docx", "A 57534-2022")</f>
        <v/>
      </c>
      <c r="AB162">
        <f>HYPERLINK("https://klasma.github.io/Logging_0980/klagomålsmail/A 57534-2022 FSC-klagomål mail.docx", "A 57534-2022")</f>
        <v/>
      </c>
      <c r="AC162">
        <f>HYPERLINK("https://klasma.github.io/Logging_0980/tillsyn/A 57534-2022 tillsynsbegäran.docx", "A 57534-2022")</f>
        <v/>
      </c>
      <c r="AD162">
        <f>HYPERLINK("https://klasma.github.io/Logging_0980/tillsynsmail/A 57534-2022 tillsynsbegäran mail.docx", "A 57534-2022")</f>
        <v/>
      </c>
    </row>
    <row r="163" ht="15" customHeight="1">
      <c r="A163" t="inlineStr">
        <is>
          <t>A 6303-2024</t>
        </is>
      </c>
      <c r="B163" t="inlineStr">
        <is>
          <t>avverkningsanmälan</t>
        </is>
      </c>
      <c r="C163" t="inlineStr">
        <is>
          <t>Föryngringsavverkning</t>
        </is>
      </c>
      <c r="D163" s="1" t="n">
        <v>45338</v>
      </c>
      <c r="E163" s="1" t="n">
        <v>46290</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6303-2024 artfynd.xlsx", "A 6303-2024")</f>
        <v/>
      </c>
      <c r="X163">
        <f>HYPERLINK("https://klasma.github.io/Logging_0980/kartor/A 6303-2024 karta.png", "A 6303-2024")</f>
        <v/>
      </c>
      <c r="Y163">
        <f>HYPERLINK("https://klasma.github.io/Logging_0980/kartor_geotiff/A 6303-2024 georefererad karta.tif", "A 6303-2024")</f>
        <v/>
      </c>
      <c r="AA163">
        <f>HYPERLINK("https://klasma.github.io/Logging_0980/klagomål/A 6303-2024 FSC-klagomål.docx", "A 6303-2024")</f>
        <v/>
      </c>
      <c r="AB163">
        <f>HYPERLINK("https://klasma.github.io/Logging_0980/klagomålsmail/A 6303-2024 FSC-klagomål mail.docx", "A 6303-2024")</f>
        <v/>
      </c>
      <c r="AC163">
        <f>HYPERLINK("https://klasma.github.io/Logging_0980/tillsyn/A 6303-2024 tillsynsbegäran.docx", "A 6303-2024")</f>
        <v/>
      </c>
      <c r="AD163">
        <f>HYPERLINK("https://klasma.github.io/Logging_0980/tillsynsmail/A 6303-2024 tillsynsbegäran mail.docx", "A 6303-2024")</f>
        <v/>
      </c>
    </row>
    <row r="164" ht="15" customHeight="1">
      <c r="A164" t="inlineStr">
        <is>
          <t>A 62552-2022</t>
        </is>
      </c>
      <c r="B164" t="inlineStr">
        <is>
          <t>avverkningsanmälan</t>
        </is>
      </c>
      <c r="C164" t="inlineStr">
        <is>
          <t>Föryngringsavverkning</t>
        </is>
      </c>
      <c r="D164" s="1" t="n">
        <v>44924</v>
      </c>
      <c r="E164" s="1" t="n">
        <v>46290</v>
      </c>
      <c r="F164" t="inlineStr">
        <is>
          <t>GOTLANDS LÄN</t>
        </is>
      </c>
      <c r="G164" t="inlineStr">
        <is>
          <t>GOTLAND</t>
        </is>
      </c>
      <c r="I164" t="n">
        <v>1.6</v>
      </c>
      <c r="J164" t="n">
        <v>0</v>
      </c>
      <c r="K164" t="n">
        <v>0</v>
      </c>
      <c r="L164" t="n">
        <v>1</v>
      </c>
      <c r="M164" t="n">
        <v>0</v>
      </c>
      <c r="N164" t="n">
        <v>0</v>
      </c>
      <c r="O164" t="n">
        <v>0</v>
      </c>
      <c r="P164" t="n">
        <v>0</v>
      </c>
      <c r="Q164" t="n">
        <v>1</v>
      </c>
      <c r="R164" t="n">
        <v>0</v>
      </c>
      <c r="S164" t="n">
        <v>1</v>
      </c>
      <c r="T164" t="n">
        <v>1</v>
      </c>
      <c r="U164" t="n">
        <v>0</v>
      </c>
      <c r="V164" s="2" t="inlineStr">
        <is>
          <t>Äggspindling</t>
        </is>
      </c>
      <c r="W164">
        <f>HYPERLINK("https://klasma.github.io/Logging_0980/artfynd/A 62552-2022 artfynd.xlsx", "A 62552-2022")</f>
        <v/>
      </c>
      <c r="X164">
        <f>HYPERLINK("https://klasma.github.io/Logging_0980/kartor/A 62552-2022 karta.png", "A 62552-2022")</f>
        <v/>
      </c>
      <c r="Y164">
        <f>HYPERLINK("https://klasma.github.io/Logging_0980/kartor_geotiff/A 62552-2022 georefererad karta.tif", "A 62552-2022")</f>
        <v/>
      </c>
      <c r="AA164">
        <f>HYPERLINK("https://klasma.github.io/Logging_0980/klagomål/A 62552-2022 FSC-klagomål.docx", "A 62552-2022")</f>
        <v/>
      </c>
      <c r="AB164">
        <f>HYPERLINK("https://klasma.github.io/Logging_0980/klagomålsmail/A 62552-2022 FSC-klagomål mail.docx", "A 62552-2022")</f>
        <v/>
      </c>
      <c r="AC164">
        <f>HYPERLINK("https://klasma.github.io/Logging_0980/tillsyn/A 62552-2022 tillsynsbegäran.docx", "A 62552-2022")</f>
        <v/>
      </c>
      <c r="AD164">
        <f>HYPERLINK("https://klasma.github.io/Logging_0980/tillsynsmail/A 62552-2022 tillsynsbegäran mail.docx", "A 62552-2022")</f>
        <v/>
      </c>
    </row>
    <row r="165" ht="15" customHeight="1">
      <c r="A165" t="inlineStr">
        <is>
          <t>A 25977-2024</t>
        </is>
      </c>
      <c r="B165" t="inlineStr">
        <is>
          <t>avverkningsanmälan</t>
        </is>
      </c>
      <c r="C165" t="inlineStr">
        <is>
          <t>Föryngringsavverkning</t>
        </is>
      </c>
      <c r="D165" s="1" t="n">
        <v>45467</v>
      </c>
      <c r="E165" s="1" t="n">
        <v>46290</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40294-2022</t>
        </is>
      </c>
      <c r="B166" t="inlineStr">
        <is>
          <t>avverkningsanmälan</t>
        </is>
      </c>
      <c r="C166" t="inlineStr">
        <is>
          <t>Föryngringsavverkning</t>
        </is>
      </c>
      <c r="D166" s="1" t="n">
        <v>44821</v>
      </c>
      <c r="E166" s="1" t="n">
        <v>46290</v>
      </c>
      <c r="F166" t="inlineStr">
        <is>
          <t>GOTLANDS LÄN</t>
        </is>
      </c>
      <c r="G166" t="inlineStr">
        <is>
          <t>GOTLAND</t>
        </is>
      </c>
      <c r="I166" t="n">
        <v>1.6</v>
      </c>
      <c r="J166" t="n">
        <v>0</v>
      </c>
      <c r="K166" t="n">
        <v>0</v>
      </c>
      <c r="L166" t="n">
        <v>0</v>
      </c>
      <c r="M166" t="n">
        <v>1</v>
      </c>
      <c r="N166" t="n">
        <v>0</v>
      </c>
      <c r="O166" t="n">
        <v>0</v>
      </c>
      <c r="P166" t="n">
        <v>0</v>
      </c>
      <c r="Q166" t="n">
        <v>1</v>
      </c>
      <c r="R166" t="n">
        <v>1</v>
      </c>
      <c r="S166" t="n">
        <v>1</v>
      </c>
      <c r="T166" t="n">
        <v>1</v>
      </c>
      <c r="U166" t="n">
        <v>1</v>
      </c>
      <c r="V166" s="2" t="inlineStr">
        <is>
          <t>Gotlandsmåra</t>
        </is>
      </c>
      <c r="W166">
        <f>HYPERLINK("https://klasma.github.io/Logging_0980/artfynd/A 40294-2022 artfynd.xlsx", "A 40294-2022")</f>
        <v/>
      </c>
      <c r="X166">
        <f>HYPERLINK("https://klasma.github.io/Logging_0980/kartor/A 40294-2022 karta.png", "A 40294-2022")</f>
        <v/>
      </c>
      <c r="Y166">
        <f>HYPERLINK("https://klasma.github.io/Logging_0980/kartor_geotiff/A 40294-2022 georefererad karta.tif", "A 40294-2022")</f>
        <v/>
      </c>
      <c r="AA166">
        <f>HYPERLINK("https://klasma.github.io/Logging_0980/klagomål/A 40294-2022 FSC-klagomål.docx", "A 40294-2022")</f>
        <v/>
      </c>
      <c r="AB166">
        <f>HYPERLINK("https://klasma.github.io/Logging_0980/klagomålsmail/A 40294-2022 FSC-klagomål mail.docx", "A 40294-2022")</f>
        <v/>
      </c>
      <c r="AC166">
        <f>HYPERLINK("https://klasma.github.io/Logging_0980/tillsyn/A 40294-2022 tillsynsbegäran.docx", "A 40294-2022")</f>
        <v/>
      </c>
      <c r="AD166">
        <f>HYPERLINK("https://klasma.github.io/Logging_0980/tillsynsmail/A 40294-2022 tillsynsbegäran mail.docx", "A 40294-2022")</f>
        <v/>
      </c>
    </row>
    <row r="167" ht="15" customHeight="1">
      <c r="A167" t="inlineStr">
        <is>
          <t>A 27602-2023</t>
        </is>
      </c>
      <c r="B167" t="inlineStr">
        <is>
          <t>avverkningsanmälan</t>
        </is>
      </c>
      <c r="C167" t="inlineStr">
        <is>
          <t>Avverkning för annat ändamål</t>
        </is>
      </c>
      <c r="D167" s="1" t="n">
        <v>45097</v>
      </c>
      <c r="E167" s="1" t="n">
        <v>46290</v>
      </c>
      <c r="F167" t="inlineStr">
        <is>
          <t>GOTLANDS LÄN</t>
        </is>
      </c>
      <c r="G167" t="inlineStr">
        <is>
          <t>GOTLAND</t>
        </is>
      </c>
      <c r="I167" t="n">
        <v>2.7</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HYPERLINK("https://klasma.github.io/Logging_0980/artfynd/A 27602-2023 artfynd.xlsx", "A 27602-2023")</f>
        <v/>
      </c>
      <c r="X167">
        <f>HYPERLINK("https://klasma.github.io/Logging_0980/kartor/A 27602-2023 karta.png", "A 27602-2023")</f>
        <v/>
      </c>
      <c r="Y167">
        <f>HYPERLINK("https://klasma.github.io/Logging_0980/kartor_geotiff/A 27602-2023 georefererad karta.tif", "A 27602-2023")</f>
        <v/>
      </c>
      <c r="AA167">
        <f>HYPERLINK("https://klasma.github.io/Logging_0980/klagomål/A 27602-2023 FSC-klagomål.docx", "A 27602-2023")</f>
        <v/>
      </c>
      <c r="AB167">
        <f>HYPERLINK("https://klasma.github.io/Logging_0980/klagomålsmail/A 27602-2023 FSC-klagomål mail.docx", "A 27602-2023")</f>
        <v/>
      </c>
      <c r="AC167">
        <f>HYPERLINK("https://klasma.github.io/Logging_0980/tillsyn/A 27602-2023 tillsynsbegäran.docx", "A 27602-2023")</f>
        <v/>
      </c>
      <c r="AD167">
        <f>HYPERLINK("https://klasma.github.io/Logging_0980/tillsynsmail/A 27602-2023 tillsynsbegäran mail.docx", "A 27602-2023")</f>
        <v/>
      </c>
    </row>
    <row r="168" ht="15" customHeight="1">
      <c r="A168" t="inlineStr">
        <is>
          <t>A 30489-2025</t>
        </is>
      </c>
      <c r="B168" t="inlineStr">
        <is>
          <t>avverkningsanmälan</t>
        </is>
      </c>
      <c r="C168" t="inlineStr">
        <is>
          <t>Föryngringsavverkning</t>
        </is>
      </c>
      <c r="D168" s="1" t="n">
        <v>45830</v>
      </c>
      <c r="E168" s="1" t="n">
        <v>46290</v>
      </c>
      <c r="F168" t="inlineStr">
        <is>
          <t>GOTLANDS LÄN</t>
        </is>
      </c>
      <c r="G168" t="inlineStr">
        <is>
          <t>GOTLAND</t>
        </is>
      </c>
      <c r="I168" t="n">
        <v>4.6</v>
      </c>
      <c r="J168" t="n">
        <v>0</v>
      </c>
      <c r="K168" t="n">
        <v>0</v>
      </c>
      <c r="L168" t="n">
        <v>1</v>
      </c>
      <c r="M168" t="n">
        <v>0</v>
      </c>
      <c r="N168" t="n">
        <v>0</v>
      </c>
      <c r="O168" t="n">
        <v>0</v>
      </c>
      <c r="P168" t="n">
        <v>0</v>
      </c>
      <c r="Q168" t="n">
        <v>1</v>
      </c>
      <c r="R168" t="n">
        <v>0</v>
      </c>
      <c r="S168" t="n">
        <v>1</v>
      </c>
      <c r="T168" t="n">
        <v>1</v>
      </c>
      <c r="U168" t="n">
        <v>0</v>
      </c>
      <c r="V168" s="2" t="inlineStr">
        <is>
          <t>Skarp dropptaggsvamp</t>
        </is>
      </c>
      <c r="W168">
        <f>HYPERLINK("https://klasma.github.io/Logging_0980/artfynd/A 30489-2025 artfynd.xlsx", "A 30489-2025")</f>
        <v/>
      </c>
      <c r="X168">
        <f>HYPERLINK("https://klasma.github.io/Logging_0980/kartor/A 30489-2025 karta.png", "A 30489-2025")</f>
        <v/>
      </c>
      <c r="Y168">
        <f>HYPERLINK("https://klasma.github.io/Logging_0980/kartor_geotiff/A 30489-2025 georefererad karta.tif", "A 30489-2025")</f>
        <v/>
      </c>
      <c r="AA168">
        <f>HYPERLINK("https://klasma.github.io/Logging_0980/klagomål/A 30489-2025 FSC-klagomål.docx", "A 30489-2025")</f>
        <v/>
      </c>
      <c r="AB168">
        <f>HYPERLINK("https://klasma.github.io/Logging_0980/klagomålsmail/A 30489-2025 FSC-klagomål mail.docx", "A 30489-2025")</f>
        <v/>
      </c>
      <c r="AC168">
        <f>HYPERLINK("https://klasma.github.io/Logging_0980/tillsyn/A 30489-2025 tillsynsbegäran.docx", "A 30489-2025")</f>
        <v/>
      </c>
      <c r="AD168">
        <f>HYPERLINK("https://klasma.github.io/Logging_0980/tillsynsmail/A 30489-2025 tillsynsbegäran mail.docx", "A 30489-2025")</f>
        <v/>
      </c>
    </row>
    <row r="169" ht="15" customHeight="1">
      <c r="A169" t="inlineStr">
        <is>
          <t>A 947-2023</t>
        </is>
      </c>
      <c r="B169" t="inlineStr">
        <is>
          <t>avverkningsanmälan</t>
        </is>
      </c>
      <c r="C169" t="inlineStr">
        <is>
          <t>Föryngringsavverkning</t>
        </is>
      </c>
      <c r="D169" s="1" t="n">
        <v>44934</v>
      </c>
      <c r="E169" s="1" t="n">
        <v>46290</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46189-2022</t>
        </is>
      </c>
      <c r="B170" t="inlineStr">
        <is>
          <t>avverkningsanmälan</t>
        </is>
      </c>
      <c r="C170" t="inlineStr">
        <is>
          <t>Avverkning för annat ändamål</t>
        </is>
      </c>
      <c r="D170" s="1" t="n">
        <v>44847</v>
      </c>
      <c r="E170" s="1" t="n">
        <v>46290</v>
      </c>
      <c r="F170" t="inlineStr">
        <is>
          <t>GOTLANDS LÄN</t>
        </is>
      </c>
      <c r="G170" t="inlineStr">
        <is>
          <t>GOTLAND</t>
        </is>
      </c>
      <c r="I170" t="n">
        <v>0.4</v>
      </c>
      <c r="J170" t="n">
        <v>0</v>
      </c>
      <c r="K170" t="n">
        <v>0</v>
      </c>
      <c r="L170" t="n">
        <v>1</v>
      </c>
      <c r="M170" t="n">
        <v>0</v>
      </c>
      <c r="N170" t="n">
        <v>0</v>
      </c>
      <c r="O170" t="n">
        <v>0</v>
      </c>
      <c r="P170" t="n">
        <v>0</v>
      </c>
      <c r="Q170" t="n">
        <v>1</v>
      </c>
      <c r="R170" t="n">
        <v>0</v>
      </c>
      <c r="S170" t="n">
        <v>1</v>
      </c>
      <c r="T170" t="n">
        <v>1</v>
      </c>
      <c r="U170" t="n">
        <v>1</v>
      </c>
      <c r="V170" s="2" t="inlineStr">
        <is>
          <t>Stjälkröksvamp</t>
        </is>
      </c>
      <c r="W170">
        <f>HYPERLINK("https://klasma.github.io/Logging_0980/artfynd/A 46189-2022 artfynd.xlsx", "A 46189-2022")</f>
        <v/>
      </c>
      <c r="X170">
        <f>HYPERLINK("https://klasma.github.io/Logging_0980/kartor/A 46189-2022 karta.png", "A 46189-2022")</f>
        <v/>
      </c>
      <c r="Y170">
        <f>HYPERLINK("https://klasma.github.io/Logging_0980/kartor_geotiff/A 46189-2022 georefererad karta.tif", "A 46189-2022")</f>
        <v/>
      </c>
      <c r="AA170">
        <f>HYPERLINK("https://klasma.github.io/Logging_0980/klagomål/A 46189-2022 FSC-klagomål.docx", "A 46189-2022")</f>
        <v/>
      </c>
      <c r="AB170">
        <f>HYPERLINK("https://klasma.github.io/Logging_0980/klagomålsmail/A 46189-2022 FSC-klagomål mail.docx", "A 46189-2022")</f>
        <v/>
      </c>
      <c r="AC170">
        <f>HYPERLINK("https://klasma.github.io/Logging_0980/tillsyn/A 46189-2022 tillsynsbegäran.docx", "A 46189-2022")</f>
        <v/>
      </c>
      <c r="AD170">
        <f>HYPERLINK("https://klasma.github.io/Logging_0980/tillsynsmail/A 46189-2022 tillsynsbegäran mail.docx", "A 46189-2022")</f>
        <v/>
      </c>
    </row>
    <row r="171" ht="15" customHeight="1">
      <c r="A171" t="inlineStr">
        <is>
          <t>A 7042-2023</t>
        </is>
      </c>
      <c r="B171" t="inlineStr">
        <is>
          <t>avverkningsanmälan</t>
        </is>
      </c>
      <c r="C171" t="inlineStr">
        <is>
          <t>Föryngringsavverkning</t>
        </is>
      </c>
      <c r="D171" s="1" t="n">
        <v>44968</v>
      </c>
      <c r="E171" s="1" t="n">
        <v>46290</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46545-2024</t>
        </is>
      </c>
      <c r="B172" t="inlineStr">
        <is>
          <t>avverkningsanmälan</t>
        </is>
      </c>
      <c r="C172" t="inlineStr">
        <is>
          <t>Föryngringsavverkning</t>
        </is>
      </c>
      <c r="D172" s="1" t="n">
        <v>45582</v>
      </c>
      <c r="E172" s="1" t="n">
        <v>46290</v>
      </c>
      <c r="F172" t="inlineStr">
        <is>
          <t>GOTLANDS LÄN</t>
        </is>
      </c>
      <c r="G172" t="inlineStr">
        <is>
          <t>GOTLAND</t>
        </is>
      </c>
      <c r="I172" t="n">
        <v>1.2</v>
      </c>
      <c r="J172" t="n">
        <v>0</v>
      </c>
      <c r="K172" t="n">
        <v>0</v>
      </c>
      <c r="L172" t="n">
        <v>0</v>
      </c>
      <c r="M172" t="n">
        <v>1</v>
      </c>
      <c r="N172" t="n">
        <v>0</v>
      </c>
      <c r="O172" t="n">
        <v>0</v>
      </c>
      <c r="P172" t="n">
        <v>0</v>
      </c>
      <c r="Q172" t="n">
        <v>1</v>
      </c>
      <c r="R172" t="n">
        <v>1</v>
      </c>
      <c r="S172" t="n">
        <v>1</v>
      </c>
      <c r="T172" t="n">
        <v>1</v>
      </c>
      <c r="U172" t="n">
        <v>1</v>
      </c>
      <c r="V172" s="2" t="inlineStr">
        <is>
          <t>Källnate</t>
        </is>
      </c>
      <c r="W172">
        <f>HYPERLINK("https://klasma.github.io/Logging_0980/artfynd/A 46545-2024 artfynd.xlsx", "A 46545-2024")</f>
        <v/>
      </c>
      <c r="X172">
        <f>HYPERLINK("https://klasma.github.io/Logging_0980/kartor/A 46545-2024 karta.png", "A 46545-2024")</f>
        <v/>
      </c>
      <c r="Y172">
        <f>HYPERLINK("https://klasma.github.io/Logging_0980/kartor_geotiff/A 46545-2024 georefererad karta.tif", "A 46545-2024")</f>
        <v/>
      </c>
      <c r="AA172">
        <f>HYPERLINK("https://klasma.github.io/Logging_0980/klagomål/A 46545-2024 FSC-klagomål.docx", "A 46545-2024")</f>
        <v/>
      </c>
      <c r="AB172">
        <f>HYPERLINK("https://klasma.github.io/Logging_0980/klagomålsmail/A 46545-2024 FSC-klagomål mail.docx", "A 46545-2024")</f>
        <v/>
      </c>
      <c r="AC172">
        <f>HYPERLINK("https://klasma.github.io/Logging_0980/tillsyn/A 46545-2024 tillsynsbegäran.docx", "A 46545-2024")</f>
        <v/>
      </c>
      <c r="AD172">
        <f>HYPERLINK("https://klasma.github.io/Logging_0980/tillsynsmail/A 46545-2024 tillsynsbegäran mail.docx", "A 46545-2024")</f>
        <v/>
      </c>
    </row>
    <row r="173" ht="15" customHeight="1">
      <c r="A173" t="inlineStr">
        <is>
          <t>A 447-2023</t>
        </is>
      </c>
      <c r="B173" t="inlineStr">
        <is>
          <t>avverkningsanmälan</t>
        </is>
      </c>
      <c r="C173" t="inlineStr">
        <is>
          <t>Föryngringsavverkning</t>
        </is>
      </c>
      <c r="D173" s="1" t="n">
        <v>44929</v>
      </c>
      <c r="E173" s="1" t="n">
        <v>46290</v>
      </c>
      <c r="F173" t="inlineStr">
        <is>
          <t>GOTLANDS LÄN</t>
        </is>
      </c>
      <c r="G173" t="inlineStr">
        <is>
          <t>GOTLAND</t>
        </is>
      </c>
      <c r="I173" t="n">
        <v>5.1</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447-2023 artfynd.xlsx", "A 447-2023")</f>
        <v/>
      </c>
      <c r="X173">
        <f>HYPERLINK("https://klasma.github.io/Logging_0980/kartor/A 447-2023 karta.png", "A 447-2023")</f>
        <v/>
      </c>
      <c r="Y173">
        <f>HYPERLINK("https://klasma.github.io/Logging_0980/kartor_geotiff/A 447-2023 georefererad karta.tif", "A 447-2023")</f>
        <v/>
      </c>
      <c r="AA173">
        <f>HYPERLINK("https://klasma.github.io/Logging_0980/klagomål/A 447-2023 FSC-klagomål.docx", "A 447-2023")</f>
        <v/>
      </c>
      <c r="AB173">
        <f>HYPERLINK("https://klasma.github.io/Logging_0980/klagomålsmail/A 447-2023 FSC-klagomål mail.docx", "A 447-2023")</f>
        <v/>
      </c>
      <c r="AC173">
        <f>HYPERLINK("https://klasma.github.io/Logging_0980/tillsyn/A 447-2023 tillsynsbegäran.docx", "A 447-2023")</f>
        <v/>
      </c>
      <c r="AD173">
        <f>HYPERLINK("https://klasma.github.io/Logging_0980/tillsynsmail/A 447-2023 tillsynsbegäran mail.docx", "A 447-2023")</f>
        <v/>
      </c>
    </row>
    <row r="174" ht="15" customHeight="1">
      <c r="A174" t="inlineStr">
        <is>
          <t>A 1066-2024</t>
        </is>
      </c>
      <c r="B174" t="inlineStr">
        <is>
          <t>avverkningsanmälan</t>
        </is>
      </c>
      <c r="C174" t="inlineStr">
        <is>
          <t>Föryngringsavverkning</t>
        </is>
      </c>
      <c r="D174" s="1" t="n">
        <v>45302</v>
      </c>
      <c r="E174" s="1" t="n">
        <v>46290</v>
      </c>
      <c r="F174" t="inlineStr">
        <is>
          <t>GOTLANDS LÄN</t>
        </is>
      </c>
      <c r="G174" t="inlineStr">
        <is>
          <t>GOTLAND</t>
        </is>
      </c>
      <c r="I174" t="n">
        <v>1.4</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1066-2024 artfynd.xlsx", "A 1066-2024")</f>
        <v/>
      </c>
      <c r="X174">
        <f>HYPERLINK("https://klasma.github.io/Logging_0980/kartor/A 1066-2024 karta.png", "A 1066-2024")</f>
        <v/>
      </c>
      <c r="Y174">
        <f>HYPERLINK("https://klasma.github.io/Logging_0980/kartor_geotiff/A 1066-2024 georefererad karta.tif", "A 1066-2024")</f>
        <v/>
      </c>
      <c r="AA174">
        <f>HYPERLINK("https://klasma.github.io/Logging_0980/klagomål/A 1066-2024 FSC-klagomål.docx", "A 1066-2024")</f>
        <v/>
      </c>
      <c r="AB174">
        <f>HYPERLINK("https://klasma.github.io/Logging_0980/klagomålsmail/A 1066-2024 FSC-klagomål mail.docx", "A 1066-2024")</f>
        <v/>
      </c>
      <c r="AC174">
        <f>HYPERLINK("https://klasma.github.io/Logging_0980/tillsyn/A 1066-2024 tillsynsbegäran.docx", "A 1066-2024")</f>
        <v/>
      </c>
      <c r="AD174">
        <f>HYPERLINK("https://klasma.github.io/Logging_0980/tillsynsmail/A 1066-2024 tillsynsbegäran mail.docx", "A 1066-2024")</f>
        <v/>
      </c>
    </row>
    <row r="175" ht="15" customHeight="1">
      <c r="A175" t="inlineStr">
        <is>
          <t>A 34809-2024</t>
        </is>
      </c>
      <c r="B175" t="inlineStr">
        <is>
          <t>avverkningsanmälan</t>
        </is>
      </c>
      <c r="C175" t="inlineStr">
        <is>
          <t>Föryngringsavverkning</t>
        </is>
      </c>
      <c r="D175" s="1" t="n">
        <v>45526</v>
      </c>
      <c r="E175" s="1" t="n">
        <v>46290</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49304-2024</t>
        </is>
      </c>
      <c r="B176" t="inlineStr">
        <is>
          <t>avverkningsanmälan</t>
        </is>
      </c>
      <c r="C176" t="inlineStr">
        <is>
          <t>Föryngringsavverkning</t>
        </is>
      </c>
      <c r="D176" s="1" t="n">
        <v>45595</v>
      </c>
      <c r="E176" s="1" t="n">
        <v>46290</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46290</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46290</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44088-2022</t>
        </is>
      </c>
      <c r="B179" t="inlineStr">
        <is>
          <t>avverkningsanmälan</t>
        </is>
      </c>
      <c r="C179" t="inlineStr">
        <is>
          <t>Föryngringsavverkning</t>
        </is>
      </c>
      <c r="D179" s="1" t="n">
        <v>44839</v>
      </c>
      <c r="E179" s="1" t="n">
        <v>46290</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11982-2026</t>
        </is>
      </c>
      <c r="B180" t="inlineStr">
        <is>
          <t>avverkningsanmälan</t>
        </is>
      </c>
      <c r="C180" t="inlineStr">
        <is>
          <t>Föryngringsavverkning</t>
        </is>
      </c>
      <c r="D180" s="1" t="n">
        <v>46085</v>
      </c>
      <c r="E180" s="1" t="n">
        <v>46290</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69112-2021</t>
        </is>
      </c>
      <c r="B181" t="inlineStr">
        <is>
          <t>avverkningsanmälan</t>
        </is>
      </c>
      <c r="C181" t="inlineStr">
        <is>
          <t>Avverkning för annat ändamål</t>
        </is>
      </c>
      <c r="D181" s="1" t="n">
        <v>44530</v>
      </c>
      <c r="E181" s="1" t="n">
        <v>46290</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1477-2024</t>
        </is>
      </c>
      <c r="B182" t="inlineStr">
        <is>
          <t>avverkningsanmälan</t>
        </is>
      </c>
      <c r="C182" t="inlineStr">
        <is>
          <t>Föryngringsavverkning</t>
        </is>
      </c>
      <c r="D182" s="1" t="n">
        <v>45305</v>
      </c>
      <c r="E182" s="1" t="n">
        <v>46290</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4662-2026</t>
        </is>
      </c>
      <c r="B183" t="inlineStr">
        <is>
          <t>avverkningsanmälan</t>
        </is>
      </c>
      <c r="C183" t="inlineStr">
        <is>
          <t>Föryngringsavverkning</t>
        </is>
      </c>
      <c r="D183" s="1" t="n">
        <v>46048</v>
      </c>
      <c r="E183" s="1" t="n">
        <v>46290</v>
      </c>
      <c r="F183" t="inlineStr">
        <is>
          <t>GOTLANDS LÄN</t>
        </is>
      </c>
      <c r="G183" t="inlineStr">
        <is>
          <t>GOTLAND</t>
        </is>
      </c>
      <c r="I183" t="n">
        <v>7.6</v>
      </c>
      <c r="J183" t="n">
        <v>0</v>
      </c>
      <c r="K183" t="n">
        <v>0</v>
      </c>
      <c r="L183" t="n">
        <v>0</v>
      </c>
      <c r="M183" t="n">
        <v>1</v>
      </c>
      <c r="N183" t="n">
        <v>0</v>
      </c>
      <c r="O183" t="n">
        <v>0</v>
      </c>
      <c r="P183" t="n">
        <v>0</v>
      </c>
      <c r="Q183" t="n">
        <v>1</v>
      </c>
      <c r="R183" t="n">
        <v>1</v>
      </c>
      <c r="S183" t="n">
        <v>1</v>
      </c>
      <c r="T183" t="n">
        <v>1</v>
      </c>
      <c r="U183" t="n">
        <v>0</v>
      </c>
      <c r="V183" s="2" t="inlineStr">
        <is>
          <t>Strandviol</t>
        </is>
      </c>
      <c r="W183">
        <f>HYPERLINK("https://klasma.github.io/Logging_0980/artfynd/A 4662-2026 artfynd.xlsx", "A 4662-2026")</f>
        <v/>
      </c>
      <c r="X183">
        <f>HYPERLINK("https://klasma.github.io/Logging_0980/kartor/A 4662-2026 karta.png", "A 4662-2026")</f>
        <v/>
      </c>
      <c r="Y183">
        <f>HYPERLINK("https://klasma.github.io/Logging_0980/kartor_geotiff/A 4662-2026 georefererad karta.tif", "A 4662-2026")</f>
        <v/>
      </c>
      <c r="AA183">
        <f>HYPERLINK("https://klasma.github.io/Logging_0980/klagomål/A 4662-2026 FSC-klagomål.docx", "A 4662-2026")</f>
        <v/>
      </c>
      <c r="AB183">
        <f>HYPERLINK("https://klasma.github.io/Logging_0980/klagomålsmail/A 4662-2026 FSC-klagomål mail.docx", "A 4662-2026")</f>
        <v/>
      </c>
      <c r="AC183">
        <f>HYPERLINK("https://klasma.github.io/Logging_0980/tillsyn/A 4662-2026 tillsynsbegäran.docx", "A 4662-2026")</f>
        <v/>
      </c>
      <c r="AD183">
        <f>HYPERLINK("https://klasma.github.io/Logging_0980/tillsynsmail/A 4662-2026 tillsynsbegäran mail.docx", "A 4662-2026")</f>
        <v/>
      </c>
    </row>
    <row r="184" ht="15" customHeight="1">
      <c r="A184" t="inlineStr">
        <is>
          <t>A 1677-2023</t>
        </is>
      </c>
      <c r="B184" t="inlineStr">
        <is>
          <t>avverkningsanmälan</t>
        </is>
      </c>
      <c r="C184" t="inlineStr">
        <is>
          <t>Föryngringsavverkning</t>
        </is>
      </c>
      <c r="D184" s="1" t="n">
        <v>44938</v>
      </c>
      <c r="E184" s="1" t="n">
        <v>46290</v>
      </c>
      <c r="F184" t="inlineStr">
        <is>
          <t>GOTLANDS LÄN</t>
        </is>
      </c>
      <c r="G184" t="inlineStr">
        <is>
          <t>GOTLAND</t>
        </is>
      </c>
      <c r="I184" t="n">
        <v>1.6</v>
      </c>
      <c r="J184" t="n">
        <v>0</v>
      </c>
      <c r="K184" t="n">
        <v>0</v>
      </c>
      <c r="L184" t="n">
        <v>1</v>
      </c>
      <c r="M184" t="n">
        <v>0</v>
      </c>
      <c r="N184" t="n">
        <v>0</v>
      </c>
      <c r="O184" t="n">
        <v>0</v>
      </c>
      <c r="P184" t="n">
        <v>0</v>
      </c>
      <c r="Q184" t="n">
        <v>1</v>
      </c>
      <c r="R184" t="n">
        <v>0</v>
      </c>
      <c r="S184" t="n">
        <v>1</v>
      </c>
      <c r="T184" t="n">
        <v>1</v>
      </c>
      <c r="U184" t="n">
        <v>0</v>
      </c>
      <c r="V184" s="2" t="inlineStr">
        <is>
          <t>Strandrosettmossa</t>
        </is>
      </c>
      <c r="W184">
        <f>HYPERLINK("https://klasma.github.io/Logging_0980/artfynd/A 1677-2023 artfynd.xlsx", "A 1677-2023")</f>
        <v/>
      </c>
      <c r="X184">
        <f>HYPERLINK("https://klasma.github.io/Logging_0980/kartor/A 1677-2023 karta.png", "A 1677-2023")</f>
        <v/>
      </c>
      <c r="Y184">
        <f>HYPERLINK("https://klasma.github.io/Logging_0980/kartor_geotiff/A 1677-2023 georefererad karta.tif", "A 1677-2023")</f>
        <v/>
      </c>
      <c r="AA184">
        <f>HYPERLINK("https://klasma.github.io/Logging_0980/klagomål/A 1677-2023 FSC-klagomål.docx", "A 1677-2023")</f>
        <v/>
      </c>
      <c r="AB184">
        <f>HYPERLINK("https://klasma.github.io/Logging_0980/klagomålsmail/A 1677-2023 FSC-klagomål mail.docx", "A 1677-2023")</f>
        <v/>
      </c>
      <c r="AC184">
        <f>HYPERLINK("https://klasma.github.io/Logging_0980/tillsyn/A 1677-2023 tillsynsbegäran.docx", "A 1677-2023")</f>
        <v/>
      </c>
      <c r="AD184">
        <f>HYPERLINK("https://klasma.github.io/Logging_0980/tillsynsmail/A 1677-2023 tillsynsbegäran mail.docx", "A 1677-2023")</f>
        <v/>
      </c>
    </row>
    <row r="185" ht="15" customHeight="1">
      <c r="A185" t="inlineStr">
        <is>
          <t>A 17854-2026</t>
        </is>
      </c>
      <c r="B185" t="inlineStr">
        <is>
          <t>avverkningsanmälan</t>
        </is>
      </c>
      <c r="C185" t="inlineStr">
        <is>
          <t>Föryngringsavverkning</t>
        </is>
      </c>
      <c r="D185" s="1" t="n">
        <v>46121</v>
      </c>
      <c r="E185" s="1" t="n">
        <v>46290</v>
      </c>
      <c r="F185" t="inlineStr">
        <is>
          <t>GOTLANDS LÄN</t>
        </is>
      </c>
      <c r="G185" t="inlineStr">
        <is>
          <t>GOTLAND</t>
        </is>
      </c>
      <c r="I185" t="n">
        <v>6.6</v>
      </c>
      <c r="J185" t="n">
        <v>0</v>
      </c>
      <c r="K185" t="n">
        <v>0</v>
      </c>
      <c r="L185" t="n">
        <v>1</v>
      </c>
      <c r="M185" t="n">
        <v>0</v>
      </c>
      <c r="N185" t="n">
        <v>0</v>
      </c>
      <c r="O185" t="n">
        <v>0</v>
      </c>
      <c r="P185" t="n">
        <v>0</v>
      </c>
      <c r="Q185" t="n">
        <v>1</v>
      </c>
      <c r="R185" t="n">
        <v>0</v>
      </c>
      <c r="S185" t="n">
        <v>1</v>
      </c>
      <c r="T185" t="n">
        <v>1</v>
      </c>
      <c r="U185" t="n">
        <v>0</v>
      </c>
      <c r="V185" s="2" t="inlineStr">
        <is>
          <t>Blå slemspindling</t>
        </is>
      </c>
      <c r="W185">
        <f>HYPERLINK("https://klasma.github.io/Logging_0980/artfynd/A 17854-2026 artfynd.xlsx", "A 17854-2026")</f>
        <v/>
      </c>
      <c r="X185">
        <f>HYPERLINK("https://klasma.github.io/Logging_0980/kartor/A 17854-2026 karta.png", "A 17854-2026")</f>
        <v/>
      </c>
      <c r="Y185">
        <f>HYPERLINK("https://klasma.github.io/Logging_0980/kartor_geotiff/A 17854-2026 georefererad karta.tif", "A 17854-2026")</f>
        <v/>
      </c>
      <c r="AA185">
        <f>HYPERLINK("https://klasma.github.io/Logging_0980/klagomål/A 17854-2026 FSC-klagomål.docx", "A 17854-2026")</f>
        <v/>
      </c>
      <c r="AB185">
        <f>HYPERLINK("https://klasma.github.io/Logging_0980/klagomålsmail/A 17854-2026 FSC-klagomål mail.docx", "A 17854-2026")</f>
        <v/>
      </c>
      <c r="AC185">
        <f>HYPERLINK("https://klasma.github.io/Logging_0980/tillsyn/A 17854-2026 tillsynsbegäran.docx", "A 17854-2026")</f>
        <v/>
      </c>
      <c r="AD185">
        <f>HYPERLINK("https://klasma.github.io/Logging_0980/tillsynsmail/A 17854-2026 tillsynsbegäran mail.docx", "A 17854-2026")</f>
        <v/>
      </c>
    </row>
    <row r="186" ht="15" customHeight="1">
      <c r="A186" t="inlineStr">
        <is>
          <t>A 62915-2021</t>
        </is>
      </c>
      <c r="B186" t="inlineStr">
        <is>
          <t>avverkningsanmälan</t>
        </is>
      </c>
      <c r="C186" t="inlineStr">
        <is>
          <t>Föryngringsavverkning</t>
        </is>
      </c>
      <c r="D186" s="1" t="n">
        <v>44504</v>
      </c>
      <c r="E186" s="1" t="n">
        <v>46290</v>
      </c>
      <c r="F186" t="inlineStr">
        <is>
          <t>GOTLANDS LÄN</t>
        </is>
      </c>
      <c r="G186" t="inlineStr">
        <is>
          <t>GOTLAND</t>
        </is>
      </c>
      <c r="I186" t="n">
        <v>1.1</v>
      </c>
      <c r="J186" t="n">
        <v>1</v>
      </c>
      <c r="K186" t="n">
        <v>0</v>
      </c>
      <c r="L186" t="n">
        <v>0</v>
      </c>
      <c r="M186" t="n">
        <v>0</v>
      </c>
      <c r="N186" t="n">
        <v>0</v>
      </c>
      <c r="O186" t="n">
        <v>0</v>
      </c>
      <c r="P186" t="n">
        <v>0</v>
      </c>
      <c r="Q186" t="n">
        <v>0</v>
      </c>
      <c r="R186" t="n">
        <v>0</v>
      </c>
      <c r="S186" t="n">
        <v>1</v>
      </c>
      <c r="T186" t="n">
        <v>1</v>
      </c>
      <c r="U186" t="n">
        <v>1</v>
      </c>
      <c r="V186" s="2" t="inlineStr">
        <is>
          <t>Bredarun</t>
        </is>
      </c>
      <c r="W186">
        <f>HYPERLINK("https://klasma.github.io/Logging_0980/artfynd/A 62915-2021 artfynd.xlsx", "A 62915-2021")</f>
        <v/>
      </c>
      <c r="X186">
        <f>HYPERLINK("https://klasma.github.io/Logging_0980/kartor/A 62915-2021 karta.png", "A 62915-2021")</f>
        <v/>
      </c>
      <c r="Y186">
        <f>HYPERLINK("https://klasma.github.io/Logging_0980/kartor_geotiff/A 62915-2021 georefererad karta.tif", "A 62915-2021")</f>
        <v/>
      </c>
      <c r="AA186">
        <f>HYPERLINK("https://klasma.github.io/Logging_0980/klagomål/A 62915-2021 FSC-klagomål.docx", "A 62915-2021")</f>
        <v/>
      </c>
      <c r="AB186">
        <f>HYPERLINK("https://klasma.github.io/Logging_0980/klagomålsmail/A 62915-2021 FSC-klagomål mail.docx", "A 62915-2021")</f>
        <v/>
      </c>
      <c r="AC186">
        <f>HYPERLINK("https://klasma.github.io/Logging_0980/tillsyn/A 62915-2021 tillsynsbegäran.docx", "A 62915-2021")</f>
        <v/>
      </c>
      <c r="AD186">
        <f>HYPERLINK("https://klasma.github.io/Logging_0980/tillsynsmail/A 62915-2021 tillsynsbegäran mail.docx", "A 62915-2021")</f>
        <v/>
      </c>
    </row>
    <row r="187" ht="15" customHeight="1">
      <c r="A187" t="inlineStr">
        <is>
          <t>A 7637-2025</t>
        </is>
      </c>
      <c r="B187" t="inlineStr">
        <is>
          <t>avverkningsanmälan</t>
        </is>
      </c>
      <c r="C187" t="inlineStr">
        <is>
          <t>Föryngringsavverkning</t>
        </is>
      </c>
      <c r="D187" s="1" t="n">
        <v>45705</v>
      </c>
      <c r="E187" s="1" t="n">
        <v>46290</v>
      </c>
      <c r="F187" t="inlineStr">
        <is>
          <t>GOTLANDS LÄN</t>
        </is>
      </c>
      <c r="G187" t="inlineStr">
        <is>
          <t>GOTLAND</t>
        </is>
      </c>
      <c r="I187" t="n">
        <v>3.7</v>
      </c>
      <c r="J187" t="n">
        <v>0</v>
      </c>
      <c r="K187" t="n">
        <v>0</v>
      </c>
      <c r="L187" t="n">
        <v>0</v>
      </c>
      <c r="M187" t="n">
        <v>0</v>
      </c>
      <c r="N187" t="n">
        <v>1</v>
      </c>
      <c r="O187" t="n">
        <v>0</v>
      </c>
      <c r="P187" t="n">
        <v>0</v>
      </c>
      <c r="Q187" t="n">
        <v>1</v>
      </c>
      <c r="R187" t="n">
        <v>1</v>
      </c>
      <c r="S187" t="n">
        <v>1</v>
      </c>
      <c r="T187" t="n">
        <v>1</v>
      </c>
      <c r="U187" t="n">
        <v>1</v>
      </c>
      <c r="V187" s="2" t="inlineStr">
        <is>
          <t>Skogsalm</t>
        </is>
      </c>
      <c r="W187">
        <f>HYPERLINK("https://klasma.github.io/Logging_0980/artfynd/A 7637-2025 artfynd.xlsx", "A 7637-2025")</f>
        <v/>
      </c>
      <c r="X187">
        <f>HYPERLINK("https://klasma.github.io/Logging_0980/kartor/A 7637-2025 karta.png", "A 7637-2025")</f>
        <v/>
      </c>
      <c r="Y187">
        <f>HYPERLINK("https://klasma.github.io/Logging_0980/kartor_geotiff/A 7637-2025 georefererad karta.tif", "A 7637-2025")</f>
        <v/>
      </c>
      <c r="AA187">
        <f>HYPERLINK("https://klasma.github.io/Logging_0980/klagomål/A 7637-2025 FSC-klagomål.docx", "A 7637-2025")</f>
        <v/>
      </c>
      <c r="AB187">
        <f>HYPERLINK("https://klasma.github.io/Logging_0980/klagomålsmail/A 7637-2025 FSC-klagomål mail.docx", "A 7637-2025")</f>
        <v/>
      </c>
      <c r="AC187">
        <f>HYPERLINK("https://klasma.github.io/Logging_0980/tillsyn/A 7637-2025 tillsynsbegäran.docx", "A 7637-2025")</f>
        <v/>
      </c>
      <c r="AD187">
        <f>HYPERLINK("https://klasma.github.io/Logging_0980/tillsynsmail/A 7637-2025 tillsynsbegäran mail.docx", "A 7637-2025")</f>
        <v/>
      </c>
    </row>
    <row r="188" ht="15" customHeight="1">
      <c r="A188" t="inlineStr">
        <is>
          <t>A 30176-2026</t>
        </is>
      </c>
      <c r="B188" t="inlineStr">
        <is>
          <t>avverkningsanmälan</t>
        </is>
      </c>
      <c r="C188" t="inlineStr">
        <is>
          <t>Avverkning för annat ändamål</t>
        </is>
      </c>
      <c r="D188" s="1" t="n">
        <v>46203</v>
      </c>
      <c r="E188" s="1" t="n">
        <v>46290</v>
      </c>
      <c r="F188" t="inlineStr">
        <is>
          <t>GOTLANDS LÄN</t>
        </is>
      </c>
      <c r="G188" t="inlineStr">
        <is>
          <t>GOTLAND</t>
        </is>
      </c>
      <c r="I188" t="n">
        <v>3.7</v>
      </c>
      <c r="J188" t="n">
        <v>1</v>
      </c>
      <c r="K188" t="n">
        <v>0</v>
      </c>
      <c r="L188" t="n">
        <v>0</v>
      </c>
      <c r="M188" t="n">
        <v>0</v>
      </c>
      <c r="N188" t="n">
        <v>0</v>
      </c>
      <c r="O188" t="n">
        <v>0</v>
      </c>
      <c r="P188" t="n">
        <v>0</v>
      </c>
      <c r="Q188" t="n">
        <v>0</v>
      </c>
      <c r="R188" t="n">
        <v>0</v>
      </c>
      <c r="S188" t="n">
        <v>1</v>
      </c>
      <c r="T188" t="n">
        <v>1</v>
      </c>
      <c r="U188" t="n">
        <v>0</v>
      </c>
      <c r="V188" s="2" t="inlineStr">
        <is>
          <t>Bredarun</t>
        </is>
      </c>
      <c r="W188">
        <f>HYPERLINK("https://klasma.github.io/Logging_0980/artfynd/A 30176-2026 artfynd.xlsx", "A 30176-2026")</f>
        <v/>
      </c>
      <c r="X188">
        <f>HYPERLINK("https://klasma.github.io/Logging_0980/kartor/A 30176-2026 karta.png", "A 30176-2026")</f>
        <v/>
      </c>
      <c r="Y188">
        <f>HYPERLINK("https://klasma.github.io/Logging_0980/kartor_geotiff/A 30176-2026 georefererad karta.tif", "A 30176-2026")</f>
        <v/>
      </c>
      <c r="AA188">
        <f>HYPERLINK("https://klasma.github.io/Logging_0980/klagomål/A 30176-2026 FSC-klagomål.docx", "A 30176-2026")</f>
        <v/>
      </c>
      <c r="AB188">
        <f>HYPERLINK("https://klasma.github.io/Logging_0980/klagomålsmail/A 30176-2026 FSC-klagomål mail.docx", "A 30176-2026")</f>
        <v/>
      </c>
      <c r="AC188">
        <f>HYPERLINK("https://klasma.github.io/Logging_0980/tillsyn/A 30176-2026 tillsynsbegäran.docx", "A 30176-2026")</f>
        <v/>
      </c>
      <c r="AD188">
        <f>HYPERLINK("https://klasma.github.io/Logging_0980/tillsynsmail/A 30176-2026 tillsynsbegäran mail.docx", "A 30176-2026")</f>
        <v/>
      </c>
    </row>
    <row r="189" ht="15" customHeight="1">
      <c r="A189" t="inlineStr">
        <is>
          <t>A 61796-2022</t>
        </is>
      </c>
      <c r="B189" t="inlineStr">
        <is>
          <t>avverkningsanmälan</t>
        </is>
      </c>
      <c r="C189" t="inlineStr">
        <is>
          <t>Föryngringsavverkning</t>
        </is>
      </c>
      <c r="D189" s="1" t="n">
        <v>44917</v>
      </c>
      <c r="E189" s="1" t="n">
        <v>46290</v>
      </c>
      <c r="F189" t="inlineStr">
        <is>
          <t>GOTLANDS LÄN</t>
        </is>
      </c>
      <c r="G189" t="inlineStr">
        <is>
          <t>GOTLAND</t>
        </is>
      </c>
      <c r="I189" t="n">
        <v>1.5</v>
      </c>
      <c r="J189" t="n">
        <v>1</v>
      </c>
      <c r="K189" t="n">
        <v>0</v>
      </c>
      <c r="L189" t="n">
        <v>0</v>
      </c>
      <c r="M189" t="n">
        <v>0</v>
      </c>
      <c r="N189" t="n">
        <v>0</v>
      </c>
      <c r="O189" t="n">
        <v>0</v>
      </c>
      <c r="P189" t="n">
        <v>0</v>
      </c>
      <c r="Q189" t="n">
        <v>0</v>
      </c>
      <c r="R189" t="n">
        <v>0</v>
      </c>
      <c r="S189" t="n">
        <v>1</v>
      </c>
      <c r="T189" t="n">
        <v>1</v>
      </c>
      <c r="U189" t="n">
        <v>1</v>
      </c>
      <c r="V189" s="2" t="inlineStr">
        <is>
          <t>Skogsduva</t>
        </is>
      </c>
      <c r="W189">
        <f>HYPERLINK("https://klasma.github.io/Logging_0980/artfynd/A 61796-2022 artfynd.xlsx", "A 61796-2022")</f>
        <v/>
      </c>
      <c r="X189">
        <f>HYPERLINK("https://klasma.github.io/Logging_0980/kartor/A 61796-2022 karta.png", "A 61796-2022")</f>
        <v/>
      </c>
      <c r="Y189">
        <f>HYPERLINK("https://klasma.github.io/Logging_0980/kartor_geotiff/A 61796-2022 georefererad karta.tif", "A 61796-2022")</f>
        <v/>
      </c>
      <c r="AA189">
        <f>HYPERLINK("https://klasma.github.io/Logging_0980/klagomål/A 61796-2022 FSC-klagomål.docx", "A 61796-2022")</f>
        <v/>
      </c>
      <c r="AB189">
        <f>HYPERLINK("https://klasma.github.io/Logging_0980/klagomålsmail/A 61796-2022 FSC-klagomål mail.docx", "A 61796-2022")</f>
        <v/>
      </c>
      <c r="AC189">
        <f>HYPERLINK("https://klasma.github.io/Logging_0980/tillsyn/A 61796-2022 tillsynsbegäran.docx", "A 61796-2022")</f>
        <v/>
      </c>
      <c r="AD189">
        <f>HYPERLINK("https://klasma.github.io/Logging_0980/tillsynsmail/A 61796-2022 tillsynsbegäran mail.docx", "A 61796-2022")</f>
        <v/>
      </c>
    </row>
    <row r="190" ht="15" customHeight="1">
      <c r="A190" t="inlineStr">
        <is>
          <t>A 10218-2025</t>
        </is>
      </c>
      <c r="B190" t="inlineStr">
        <is>
          <t>avverkningsanmälan</t>
        </is>
      </c>
      <c r="C190" t="inlineStr">
        <is>
          <t>Föryngringsavverkning</t>
        </is>
      </c>
      <c r="D190" s="1" t="n">
        <v>45720</v>
      </c>
      <c r="E190" s="1" t="n">
        <v>46290</v>
      </c>
      <c r="F190" t="inlineStr">
        <is>
          <t>GOTLANDS LÄN</t>
        </is>
      </c>
      <c r="G190" t="inlineStr">
        <is>
          <t>GOTLAND</t>
        </is>
      </c>
      <c r="I190" t="n">
        <v>8.1</v>
      </c>
      <c r="J190" t="n">
        <v>0</v>
      </c>
      <c r="K190" t="n">
        <v>1</v>
      </c>
      <c r="L190" t="n">
        <v>0</v>
      </c>
      <c r="M190" t="n">
        <v>0</v>
      </c>
      <c r="N190" t="n">
        <v>0</v>
      </c>
      <c r="O190" t="n">
        <v>0</v>
      </c>
      <c r="P190" t="n">
        <v>0</v>
      </c>
      <c r="Q190" t="n">
        <v>0</v>
      </c>
      <c r="R190" t="n">
        <v>0</v>
      </c>
      <c r="S190" t="n">
        <v>1</v>
      </c>
      <c r="T190" t="n">
        <v>1</v>
      </c>
      <c r="U190" t="n">
        <v>1</v>
      </c>
      <c r="V190" s="2" t="inlineStr">
        <is>
          <t>Kalktallört</t>
        </is>
      </c>
      <c r="W190">
        <f>HYPERLINK("https://klasma.github.io/Logging_0980/artfynd/A 10218-2025 artfynd.xlsx", "A 10218-2025")</f>
        <v/>
      </c>
      <c r="X190">
        <f>HYPERLINK("https://klasma.github.io/Logging_0980/kartor/A 10218-2025 karta.png", "A 10218-2025")</f>
        <v/>
      </c>
      <c r="Y190">
        <f>HYPERLINK("https://klasma.github.io/Logging_0980/kartor_geotiff/A 10218-2025 georefererad karta.tif", "A 10218-2025")</f>
        <v/>
      </c>
      <c r="AA190">
        <f>HYPERLINK("https://klasma.github.io/Logging_0980/klagomål/A 10218-2025 FSC-klagomål.docx", "A 10218-2025")</f>
        <v/>
      </c>
      <c r="AB190">
        <f>HYPERLINK("https://klasma.github.io/Logging_0980/klagomålsmail/A 10218-2025 FSC-klagomål mail.docx", "A 10218-2025")</f>
        <v/>
      </c>
      <c r="AC190">
        <f>HYPERLINK("https://klasma.github.io/Logging_0980/tillsyn/A 10218-2025 tillsynsbegäran.docx", "A 10218-2025")</f>
        <v/>
      </c>
      <c r="AD190">
        <f>HYPERLINK("https://klasma.github.io/Logging_0980/tillsynsmail/A 10218-2025 tillsynsbegäran mail.docx", "A 10218-2025")</f>
        <v/>
      </c>
    </row>
    <row r="191" ht="15" customHeight="1">
      <c r="A191" t="inlineStr">
        <is>
          <t>A 12379-2024</t>
        </is>
      </c>
      <c r="B191" t="inlineStr">
        <is>
          <t>avverkningsanmälan</t>
        </is>
      </c>
      <c r="C191" t="inlineStr">
        <is>
          <t>Föryngringsavverkning</t>
        </is>
      </c>
      <c r="D191" s="1" t="n">
        <v>45379</v>
      </c>
      <c r="E191" s="1" t="n">
        <v>46290</v>
      </c>
      <c r="F191" t="inlineStr">
        <is>
          <t>GOTLANDS LÄN</t>
        </is>
      </c>
      <c r="G191" t="inlineStr">
        <is>
          <t>GOTLAND</t>
        </is>
      </c>
      <c r="I191" t="n">
        <v>4.4</v>
      </c>
      <c r="J191" t="n">
        <v>0</v>
      </c>
      <c r="K191" t="n">
        <v>0</v>
      </c>
      <c r="L191" t="n">
        <v>1</v>
      </c>
      <c r="M191" t="n">
        <v>0</v>
      </c>
      <c r="N191" t="n">
        <v>0</v>
      </c>
      <c r="O191" t="n">
        <v>0</v>
      </c>
      <c r="P191" t="n">
        <v>0</v>
      </c>
      <c r="Q191" t="n">
        <v>1</v>
      </c>
      <c r="R191" t="n">
        <v>0</v>
      </c>
      <c r="S191" t="n">
        <v>1</v>
      </c>
      <c r="T191" t="n">
        <v>1</v>
      </c>
      <c r="U191" t="n">
        <v>0</v>
      </c>
      <c r="V191" s="2" t="inlineStr">
        <is>
          <t>Svinrot</t>
        </is>
      </c>
      <c r="W191">
        <f>HYPERLINK("https://klasma.github.io/Logging_0980/artfynd/A 12379-2024 artfynd.xlsx", "A 12379-2024")</f>
        <v/>
      </c>
      <c r="X191">
        <f>HYPERLINK("https://klasma.github.io/Logging_0980/kartor/A 12379-2024 karta.png", "A 12379-2024")</f>
        <v/>
      </c>
      <c r="Y191">
        <f>HYPERLINK("https://klasma.github.io/Logging_0980/kartor_geotiff/A 12379-2024 georefererad karta.tif", "A 12379-2024")</f>
        <v/>
      </c>
      <c r="AA191">
        <f>HYPERLINK("https://klasma.github.io/Logging_0980/klagomål/A 12379-2024 FSC-klagomål.docx", "A 12379-2024")</f>
        <v/>
      </c>
      <c r="AB191">
        <f>HYPERLINK("https://klasma.github.io/Logging_0980/klagomålsmail/A 12379-2024 FSC-klagomål mail.docx", "A 12379-2024")</f>
        <v/>
      </c>
      <c r="AC191">
        <f>HYPERLINK("https://klasma.github.io/Logging_0980/tillsyn/A 12379-2024 tillsynsbegäran.docx", "A 12379-2024")</f>
        <v/>
      </c>
      <c r="AD191">
        <f>HYPERLINK("https://klasma.github.io/Logging_0980/tillsynsmail/A 12379-2024 tillsynsbegäran mail.docx", "A 12379-2024")</f>
        <v/>
      </c>
    </row>
    <row r="192" ht="15" customHeight="1">
      <c r="A192" t="inlineStr">
        <is>
          <t>A 15637-2024</t>
        </is>
      </c>
      <c r="B192" t="inlineStr">
        <is>
          <t>avverkningsanmälan</t>
        </is>
      </c>
      <c r="C192" t="inlineStr">
        <is>
          <t>Föryngringsavverkning</t>
        </is>
      </c>
      <c r="D192" s="1" t="n">
        <v>45403</v>
      </c>
      <c r="E192" s="1" t="n">
        <v>46290</v>
      </c>
      <c r="F192" t="inlineStr">
        <is>
          <t>GOTLANDS LÄN</t>
        </is>
      </c>
      <c r="G192" t="inlineStr">
        <is>
          <t>GOTLAND</t>
        </is>
      </c>
      <c r="I192" t="n">
        <v>4.1</v>
      </c>
      <c r="J192" t="n">
        <v>1</v>
      </c>
      <c r="K192" t="n">
        <v>0</v>
      </c>
      <c r="L192" t="n">
        <v>0</v>
      </c>
      <c r="M192" t="n">
        <v>0</v>
      </c>
      <c r="N192" t="n">
        <v>0</v>
      </c>
      <c r="O192" t="n">
        <v>0</v>
      </c>
      <c r="P192" t="n">
        <v>0</v>
      </c>
      <c r="Q192" t="n">
        <v>0</v>
      </c>
      <c r="R192" t="n">
        <v>0</v>
      </c>
      <c r="S192" t="n">
        <v>1</v>
      </c>
      <c r="T192" t="n">
        <v>1</v>
      </c>
      <c r="U192" t="n">
        <v>1</v>
      </c>
      <c r="V192" s="2" t="inlineStr">
        <is>
          <t>Blåsippa</t>
        </is>
      </c>
      <c r="W192">
        <f>HYPERLINK("https://klasma.github.io/Logging_0980/artfynd/A 15637-2024 artfynd.xlsx", "A 15637-2024")</f>
        <v/>
      </c>
      <c r="X192">
        <f>HYPERLINK("https://klasma.github.io/Logging_0980/kartor/A 15637-2024 karta.png", "A 15637-2024")</f>
        <v/>
      </c>
      <c r="Y192">
        <f>HYPERLINK("https://klasma.github.io/Logging_0980/kartor_geotiff/A 15637-2024 georefererad karta.tif", "A 15637-2024")</f>
        <v/>
      </c>
      <c r="AA192">
        <f>HYPERLINK("https://klasma.github.io/Logging_0980/klagomål/A 15637-2024 FSC-klagomål.docx", "A 15637-2024")</f>
        <v/>
      </c>
      <c r="AB192">
        <f>HYPERLINK("https://klasma.github.io/Logging_0980/klagomålsmail/A 15637-2024 FSC-klagomål mail.docx", "A 15637-2024")</f>
        <v/>
      </c>
      <c r="AC192">
        <f>HYPERLINK("https://klasma.github.io/Logging_0980/tillsyn/A 15637-2024 tillsynsbegäran.docx", "A 15637-2024")</f>
        <v/>
      </c>
      <c r="AD192">
        <f>HYPERLINK("https://klasma.github.io/Logging_0980/tillsynsmail/A 15637-2024 tillsynsbegäran mail.docx", "A 15637-2024")</f>
        <v/>
      </c>
    </row>
    <row r="193" ht="15" customHeight="1">
      <c r="A193" t="inlineStr">
        <is>
          <t>A 4568-2025</t>
        </is>
      </c>
      <c r="B193" t="inlineStr">
        <is>
          <t>avverkningsanmälan</t>
        </is>
      </c>
      <c r="C193" t="inlineStr">
        <is>
          <t>Föryngringsavverkning</t>
        </is>
      </c>
      <c r="D193" s="1" t="n">
        <v>45687</v>
      </c>
      <c r="E193" s="1" t="n">
        <v>46290</v>
      </c>
      <c r="F193" t="inlineStr">
        <is>
          <t>GOTLANDS LÄN</t>
        </is>
      </c>
      <c r="G193" t="inlineStr">
        <is>
          <t>GOTLAND</t>
        </is>
      </c>
      <c r="I193" t="n">
        <v>1.9</v>
      </c>
      <c r="J193" t="n">
        <v>0</v>
      </c>
      <c r="K193" t="n">
        <v>0</v>
      </c>
      <c r="L193" t="n">
        <v>1</v>
      </c>
      <c r="M193" t="n">
        <v>0</v>
      </c>
      <c r="N193" t="n">
        <v>0</v>
      </c>
      <c r="O193" t="n">
        <v>0</v>
      </c>
      <c r="P193" t="n">
        <v>0</v>
      </c>
      <c r="Q193" t="n">
        <v>1</v>
      </c>
      <c r="R193" t="n">
        <v>0</v>
      </c>
      <c r="S193" t="n">
        <v>1</v>
      </c>
      <c r="T193" t="n">
        <v>1</v>
      </c>
      <c r="U193" t="n">
        <v>1</v>
      </c>
      <c r="V193" s="2" t="inlineStr">
        <is>
          <t>Backfryle</t>
        </is>
      </c>
      <c r="W193">
        <f>HYPERLINK("https://klasma.github.io/Logging_0980/artfynd/A 4568-2025 artfynd.xlsx", "A 4568-2025")</f>
        <v/>
      </c>
      <c r="X193">
        <f>HYPERLINK("https://klasma.github.io/Logging_0980/kartor/A 4568-2025 karta.png", "A 4568-2025")</f>
        <v/>
      </c>
      <c r="Y193">
        <f>HYPERLINK("https://klasma.github.io/Logging_0980/kartor_geotiff/A 4568-2025 georefererad karta.tif", "A 4568-2025")</f>
        <v/>
      </c>
      <c r="AA193">
        <f>HYPERLINK("https://klasma.github.io/Logging_0980/klagomål/A 4568-2025 FSC-klagomål.docx", "A 4568-2025")</f>
        <v/>
      </c>
      <c r="AB193">
        <f>HYPERLINK("https://klasma.github.io/Logging_0980/klagomålsmail/A 4568-2025 FSC-klagomål mail.docx", "A 4568-2025")</f>
        <v/>
      </c>
      <c r="AC193">
        <f>HYPERLINK("https://klasma.github.io/Logging_0980/tillsyn/A 4568-2025 tillsynsbegäran.docx", "A 4568-2025")</f>
        <v/>
      </c>
      <c r="AD193">
        <f>HYPERLINK("https://klasma.github.io/Logging_0980/tillsynsmail/A 4568-2025 tillsynsbegäran mail.docx", "A 4568-2025")</f>
        <v/>
      </c>
    </row>
    <row r="194" ht="15" customHeight="1">
      <c r="A194" t="inlineStr">
        <is>
          <t>A 5863-2026</t>
        </is>
      </c>
      <c r="B194" t="inlineStr">
        <is>
          <t>avverkningsanmälan</t>
        </is>
      </c>
      <c r="C194" t="inlineStr">
        <is>
          <t>Föryngringsavverkning</t>
        </is>
      </c>
      <c r="D194" s="1" t="n">
        <v>46052</v>
      </c>
      <c r="E194" s="1" t="n">
        <v>46290</v>
      </c>
      <c r="F194" t="inlineStr">
        <is>
          <t>GOTLANDS LÄN</t>
        </is>
      </c>
      <c r="G194" t="inlineStr">
        <is>
          <t>GOTLAND</t>
        </is>
      </c>
      <c r="I194" t="n">
        <v>1.8</v>
      </c>
      <c r="J194" t="n">
        <v>1</v>
      </c>
      <c r="K194" t="n">
        <v>0</v>
      </c>
      <c r="L194" t="n">
        <v>1</v>
      </c>
      <c r="M194" t="n">
        <v>0</v>
      </c>
      <c r="N194" t="n">
        <v>0</v>
      </c>
      <c r="O194" t="n">
        <v>0</v>
      </c>
      <c r="P194" t="n">
        <v>0</v>
      </c>
      <c r="Q194" t="n">
        <v>1</v>
      </c>
      <c r="R194" t="n">
        <v>0</v>
      </c>
      <c r="S194" t="n">
        <v>1</v>
      </c>
      <c r="T194" t="n">
        <v>33</v>
      </c>
      <c r="U194" t="n">
        <v>23</v>
      </c>
      <c r="V194" s="2" t="inlineStr">
        <is>
          <t>Dårgräsfjäril</t>
        </is>
      </c>
      <c r="W194">
        <f>HYPERLINK("https://klasma.github.io/Logging_0980/artfynd/A 5863-2026 artfynd.xlsx", "A 5863-2026")</f>
        <v/>
      </c>
      <c r="X194">
        <f>HYPERLINK("https://klasma.github.io/Logging_0980/kartor/A 5863-2026 karta.png", "A 5863-2026")</f>
        <v/>
      </c>
      <c r="Y194">
        <f>HYPERLINK("https://klasma.github.io/Logging_0980/kartor_geotiff/A 5863-2026 georefererad karta.tif", "A 5863-2026")</f>
        <v/>
      </c>
      <c r="AA194">
        <f>HYPERLINK("https://klasma.github.io/Logging_0980/klagomål/A 5863-2026 FSC-klagomål.docx", "A 5863-2026")</f>
        <v/>
      </c>
      <c r="AB194">
        <f>HYPERLINK("https://klasma.github.io/Logging_0980/klagomålsmail/A 5863-2026 FSC-klagomål mail.docx", "A 5863-2026")</f>
        <v/>
      </c>
      <c r="AC194">
        <f>HYPERLINK("https://klasma.github.io/Logging_0980/tillsyn/A 5863-2026 tillsynsbegäran.docx", "A 5863-2026")</f>
        <v/>
      </c>
      <c r="AD194">
        <f>HYPERLINK("https://klasma.github.io/Logging_0980/tillsynsmail/A 5863-2026 tillsynsbegäran mail.docx", "A 5863-2026")</f>
        <v/>
      </c>
    </row>
    <row r="195" ht="15" customHeight="1">
      <c r="A195" t="inlineStr">
        <is>
          <t>A 49847-2023</t>
        </is>
      </c>
      <c r="B195" t="inlineStr">
        <is>
          <t>avverkningsanmälan</t>
        </is>
      </c>
      <c r="C195" t="inlineStr">
        <is>
          <t>Föryngringsavverkning</t>
        </is>
      </c>
      <c r="D195" s="1" t="n">
        <v>45212</v>
      </c>
      <c r="E195" s="1" t="n">
        <v>46290</v>
      </c>
      <c r="F195" t="inlineStr">
        <is>
          <t>GOTLANDS LÄN</t>
        </is>
      </c>
      <c r="G195" t="inlineStr">
        <is>
          <t>GOTLAND</t>
        </is>
      </c>
      <c r="I195" t="n">
        <v>35.2</v>
      </c>
      <c r="J195" t="n">
        <v>0</v>
      </c>
      <c r="K195" t="n">
        <v>0</v>
      </c>
      <c r="L195" t="n">
        <v>0</v>
      </c>
      <c r="M195" t="n">
        <v>1</v>
      </c>
      <c r="N195" t="n">
        <v>0</v>
      </c>
      <c r="O195" t="n">
        <v>0</v>
      </c>
      <c r="P195" t="n">
        <v>0</v>
      </c>
      <c r="Q195" t="n">
        <v>1</v>
      </c>
      <c r="R195" t="n">
        <v>1</v>
      </c>
      <c r="S195" t="n">
        <v>1</v>
      </c>
      <c r="T195" t="n">
        <v>1</v>
      </c>
      <c r="U195" t="n">
        <v>1</v>
      </c>
      <c r="V195" s="2" t="inlineStr">
        <is>
          <t>Strandviol</t>
        </is>
      </c>
      <c r="W195">
        <f>HYPERLINK("https://klasma.github.io/Logging_0980/artfynd/A 49847-2023 artfynd.xlsx", "A 49847-2023")</f>
        <v/>
      </c>
      <c r="X195">
        <f>HYPERLINK("https://klasma.github.io/Logging_0980/kartor/A 49847-2023 karta.png", "A 49847-2023")</f>
        <v/>
      </c>
      <c r="Y195">
        <f>HYPERLINK("https://klasma.github.io/Logging_0980/kartor_geotiff/A 49847-2023 georefererad karta.tif", "A 49847-2023")</f>
        <v/>
      </c>
      <c r="AA195">
        <f>HYPERLINK("https://klasma.github.io/Logging_0980/klagomål/A 49847-2023 FSC-klagomål.docx", "A 49847-2023")</f>
        <v/>
      </c>
      <c r="AB195">
        <f>HYPERLINK("https://klasma.github.io/Logging_0980/klagomålsmail/A 49847-2023 FSC-klagomål mail.docx", "A 49847-2023")</f>
        <v/>
      </c>
      <c r="AC195">
        <f>HYPERLINK("https://klasma.github.io/Logging_0980/tillsyn/A 49847-2023 tillsynsbegäran.docx", "A 49847-2023")</f>
        <v/>
      </c>
      <c r="AD195">
        <f>HYPERLINK("https://klasma.github.io/Logging_0980/tillsynsmail/A 49847-2023 tillsynsbegäran mail.docx", "A 49847-2023")</f>
        <v/>
      </c>
    </row>
    <row r="196" ht="15" customHeight="1">
      <c r="A196" t="inlineStr">
        <is>
          <t>A 18036-2026</t>
        </is>
      </c>
      <c r="B196" t="inlineStr">
        <is>
          <t>avverkningsanmälan</t>
        </is>
      </c>
      <c r="C196" t="inlineStr">
        <is>
          <t>Föryngringsavverkning</t>
        </is>
      </c>
      <c r="D196" s="1" t="n">
        <v>46125</v>
      </c>
      <c r="E196" s="1" t="n">
        <v>46290</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56115-2023</t>
        </is>
      </c>
      <c r="B197" t="inlineStr">
        <is>
          <t>avverkningsanmälan</t>
        </is>
      </c>
      <c r="C197" t="inlineStr">
        <is>
          <t>Avverkning för annat ändamål</t>
        </is>
      </c>
      <c r="D197" s="1" t="n">
        <v>45236</v>
      </c>
      <c r="E197" s="1" t="n">
        <v>46290</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21396-2026</t>
        </is>
      </c>
      <c r="B198" t="inlineStr">
        <is>
          <t>avverkningsanmälan</t>
        </is>
      </c>
      <c r="C198" t="inlineStr">
        <is>
          <t>Föryngringsavverkning</t>
        </is>
      </c>
      <c r="D198" s="1" t="n">
        <v>46148</v>
      </c>
      <c r="E198" s="1" t="n">
        <v>46290</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10995-2023</t>
        </is>
      </c>
      <c r="B199" t="inlineStr">
        <is>
          <t>avverkningsanmälan</t>
        </is>
      </c>
      <c r="C199" t="inlineStr">
        <is>
          <t>Föryngringsavverkning</t>
        </is>
      </c>
      <c r="D199" s="1" t="n">
        <v>44986</v>
      </c>
      <c r="E199" s="1" t="n">
        <v>46290</v>
      </c>
      <c r="F199" t="inlineStr">
        <is>
          <t>GOTLANDS LÄN</t>
        </is>
      </c>
      <c r="G199" t="inlineStr">
        <is>
          <t>GOTLAND</t>
        </is>
      </c>
      <c r="I199" t="n">
        <v>2.8</v>
      </c>
      <c r="J199" t="n">
        <v>0</v>
      </c>
      <c r="K199" t="n">
        <v>0</v>
      </c>
      <c r="L199" t="n">
        <v>0</v>
      </c>
      <c r="M199" t="n">
        <v>1</v>
      </c>
      <c r="N199" t="n">
        <v>0</v>
      </c>
      <c r="O199" t="n">
        <v>0</v>
      </c>
      <c r="P199" t="n">
        <v>0</v>
      </c>
      <c r="Q199" t="n">
        <v>1</v>
      </c>
      <c r="R199" t="n">
        <v>1</v>
      </c>
      <c r="S199" t="n">
        <v>1</v>
      </c>
      <c r="T199" t="n">
        <v>1</v>
      </c>
      <c r="U199" t="n">
        <v>0</v>
      </c>
      <c r="V199" s="2" t="inlineStr">
        <is>
          <t>Violettfläckig spindling</t>
        </is>
      </c>
      <c r="W199">
        <f>HYPERLINK("https://klasma.github.io/Logging_0980/artfynd/A 10995-2023 artfynd.xlsx", "A 10995-2023")</f>
        <v/>
      </c>
      <c r="X199">
        <f>HYPERLINK("https://klasma.github.io/Logging_0980/kartor/A 10995-2023 karta.png", "A 10995-2023")</f>
        <v/>
      </c>
      <c r="Y199">
        <f>HYPERLINK("https://klasma.github.io/Logging_0980/kartor_geotiff/A 10995-2023 georefererad karta.tif", "A 10995-2023")</f>
        <v/>
      </c>
      <c r="AA199">
        <f>HYPERLINK("https://klasma.github.io/Logging_0980/klagomål/A 10995-2023 FSC-klagomål.docx", "A 10995-2023")</f>
        <v/>
      </c>
      <c r="AB199">
        <f>HYPERLINK("https://klasma.github.io/Logging_0980/klagomålsmail/A 10995-2023 FSC-klagomål mail.docx", "A 10995-2023")</f>
        <v/>
      </c>
      <c r="AC199">
        <f>HYPERLINK("https://klasma.github.io/Logging_0980/tillsyn/A 10995-2023 tillsynsbegäran.docx", "A 10995-2023")</f>
        <v/>
      </c>
      <c r="AD199">
        <f>HYPERLINK("https://klasma.github.io/Logging_0980/tillsynsmail/A 10995-2023 tillsynsbegäran mail.docx", "A 10995-2023")</f>
        <v/>
      </c>
    </row>
    <row r="200" ht="15" customHeight="1">
      <c r="A200" t="inlineStr">
        <is>
          <t>A 64700-2021</t>
        </is>
      </c>
      <c r="B200" t="inlineStr">
        <is>
          <t>avverkningsanmälan</t>
        </is>
      </c>
      <c r="C200" t="inlineStr">
        <is>
          <t>Avverkning för att bevara och utveckla /försöksver</t>
        </is>
      </c>
      <c r="D200" s="1" t="n">
        <v>44511</v>
      </c>
      <c r="E200" s="1" t="n">
        <v>46290</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38832-2026</t>
        </is>
      </c>
      <c r="B201" t="inlineStr">
        <is>
          <t>avverkningsanmälan</t>
        </is>
      </c>
      <c r="C201" t="inlineStr">
        <is>
          <t>Föryngringsavverkning</t>
        </is>
      </c>
      <c r="D201" s="1" t="n">
        <v>46286</v>
      </c>
      <c r="E201" s="1" t="n">
        <v>46290</v>
      </c>
      <c r="F201" t="inlineStr">
        <is>
          <t>GOTLANDS LÄN</t>
        </is>
      </c>
      <c r="G201" t="inlineStr">
        <is>
          <t>GOTLAND</t>
        </is>
      </c>
      <c r="I201" t="n">
        <v>6</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HYPERLINK("https://klasma.github.io/Logging_0980/artfynd/A 38832-2026 artfynd.xlsx", "A 38832-2026")</f>
        <v/>
      </c>
      <c r="X201">
        <f>HYPERLINK("https://klasma.github.io/Logging_0980/kartor/A 38832-2026 karta.png", "A 38832-2026")</f>
        <v/>
      </c>
      <c r="Y201">
        <f>HYPERLINK("https://klasma.github.io/Logging_0980/kartor_geotiff/A 38832-2026 georefererad karta.tif", "A 38832-2026")</f>
        <v/>
      </c>
      <c r="AA201">
        <f>HYPERLINK("https://klasma.github.io/Logging_0980/klagomål/A 38832-2026 FSC-klagomål.docx", "A 38832-2026")</f>
        <v/>
      </c>
      <c r="AB201">
        <f>HYPERLINK("https://klasma.github.io/Logging_0980/klagomålsmail/A 38832-2026 FSC-klagomål mail.docx", "A 38832-2026")</f>
        <v/>
      </c>
      <c r="AC201">
        <f>HYPERLINK("https://klasma.github.io/Logging_0980/tillsyn/A 38832-2026 tillsynsbegäran.docx", "A 38832-2026")</f>
        <v/>
      </c>
      <c r="AD201">
        <f>HYPERLINK("https://klasma.github.io/Logging_0980/tillsynsmail/A 38832-2026 tillsynsbegäran mail.docx", "A 38832-2026")</f>
        <v/>
      </c>
    </row>
    <row r="202" ht="15" customHeight="1">
      <c r="A202" t="inlineStr">
        <is>
          <t>A 27343-2026</t>
        </is>
      </c>
      <c r="B202" t="inlineStr">
        <is>
          <t>avverkningsanmälan</t>
        </is>
      </c>
      <c r="C202" t="inlineStr">
        <is>
          <t>Föryngringsavverkning</t>
        </is>
      </c>
      <c r="D202" s="1" t="n">
        <v>46188</v>
      </c>
      <c r="E202" s="1" t="n">
        <v>46290</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6739-2025</t>
        </is>
      </c>
      <c r="B203" t="inlineStr">
        <is>
          <t>avverkningsanmälan</t>
        </is>
      </c>
      <c r="C203" t="inlineStr">
        <is>
          <t>Föryngringsavverkning</t>
        </is>
      </c>
      <c r="D203" s="1" t="n">
        <v>45700</v>
      </c>
      <c r="E203" s="1" t="n">
        <v>46290</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9862-2024</t>
        </is>
      </c>
      <c r="B204" t="inlineStr">
        <is>
          <t>avverkningsanmälan</t>
        </is>
      </c>
      <c r="C204" t="inlineStr">
        <is>
          <t>Föryngringsavverkning</t>
        </is>
      </c>
      <c r="D204" s="1" t="n">
        <v>45363</v>
      </c>
      <c r="E204" s="1" t="n">
        <v>46290</v>
      </c>
      <c r="F204" t="inlineStr">
        <is>
          <t>GOTLANDS LÄN</t>
        </is>
      </c>
      <c r="G204" t="inlineStr">
        <is>
          <t>GOTLAND</t>
        </is>
      </c>
      <c r="I204" t="n">
        <v>3.5</v>
      </c>
      <c r="J204" t="n">
        <v>1</v>
      </c>
      <c r="K204" t="n">
        <v>0</v>
      </c>
      <c r="L204" t="n">
        <v>0</v>
      </c>
      <c r="M204" t="n">
        <v>0</v>
      </c>
      <c r="N204" t="n">
        <v>0</v>
      </c>
      <c r="O204" t="n">
        <v>0</v>
      </c>
      <c r="P204" t="n">
        <v>0</v>
      </c>
      <c r="Q204" t="n">
        <v>0</v>
      </c>
      <c r="R204" t="n">
        <v>0</v>
      </c>
      <c r="S204" t="n">
        <v>1</v>
      </c>
      <c r="T204" t="n">
        <v>1</v>
      </c>
      <c r="U204" t="n">
        <v>1</v>
      </c>
      <c r="V204" s="2" t="inlineStr">
        <is>
          <t>Nattviol</t>
        </is>
      </c>
      <c r="W204">
        <f>HYPERLINK("https://klasma.github.io/Logging_0980/artfynd/A 9862-2024 artfynd.xlsx", "A 9862-2024")</f>
        <v/>
      </c>
      <c r="X204">
        <f>HYPERLINK("https://klasma.github.io/Logging_0980/kartor/A 9862-2024 karta.png", "A 9862-2024")</f>
        <v/>
      </c>
      <c r="Y204">
        <f>HYPERLINK("https://klasma.github.io/Logging_0980/kartor_geotiff/A 9862-2024 georefererad karta.tif", "A 9862-2024")</f>
        <v/>
      </c>
      <c r="AA204">
        <f>HYPERLINK("https://klasma.github.io/Logging_0980/klagomål/A 9862-2024 FSC-klagomål.docx", "A 9862-2024")</f>
        <v/>
      </c>
      <c r="AB204">
        <f>HYPERLINK("https://klasma.github.io/Logging_0980/klagomålsmail/A 9862-2024 FSC-klagomål mail.docx", "A 9862-2024")</f>
        <v/>
      </c>
      <c r="AC204">
        <f>HYPERLINK("https://klasma.github.io/Logging_0980/tillsyn/A 9862-2024 tillsynsbegäran.docx", "A 9862-2024")</f>
        <v/>
      </c>
      <c r="AD204">
        <f>HYPERLINK("https://klasma.github.io/Logging_0980/tillsynsmail/A 9862-2024 tillsynsbegäran mail.docx", "A 9862-2024")</f>
        <v/>
      </c>
    </row>
    <row r="205" ht="15" customHeight="1">
      <c r="A205" t="inlineStr">
        <is>
          <t>A 34141-2024</t>
        </is>
      </c>
      <c r="B205" t="inlineStr">
        <is>
          <t>avverkningsanmälan</t>
        </is>
      </c>
      <c r="C205" t="inlineStr">
        <is>
          <t>Föryngringsavverkning</t>
        </is>
      </c>
      <c r="D205" s="1" t="n">
        <v>45524</v>
      </c>
      <c r="E205" s="1" t="n">
        <v>46290</v>
      </c>
      <c r="F205" t="inlineStr">
        <is>
          <t>GOTLANDS LÄN</t>
        </is>
      </c>
      <c r="G205" t="inlineStr">
        <is>
          <t>GOTLAND</t>
        </is>
      </c>
      <c r="I205" t="n">
        <v>0.9</v>
      </c>
      <c r="J205" t="n">
        <v>0</v>
      </c>
      <c r="K205" t="n">
        <v>1</v>
      </c>
      <c r="L205" t="n">
        <v>0</v>
      </c>
      <c r="M205" t="n">
        <v>0</v>
      </c>
      <c r="N205" t="n">
        <v>0</v>
      </c>
      <c r="O205" t="n">
        <v>0</v>
      </c>
      <c r="P205" t="n">
        <v>0</v>
      </c>
      <c r="Q205" t="n">
        <v>0</v>
      </c>
      <c r="R205" t="n">
        <v>0</v>
      </c>
      <c r="S205" t="n">
        <v>1</v>
      </c>
      <c r="T205" t="n">
        <v>1</v>
      </c>
      <c r="U205" t="n">
        <v>1</v>
      </c>
      <c r="V205" s="2" t="inlineStr">
        <is>
          <t>Strävlosta</t>
        </is>
      </c>
      <c r="W205">
        <f>HYPERLINK("https://klasma.github.io/Logging_0980/artfynd/A 34141-2024 artfynd.xlsx", "A 34141-2024")</f>
        <v/>
      </c>
      <c r="X205">
        <f>HYPERLINK("https://klasma.github.io/Logging_0980/kartor/A 34141-2024 karta.png", "A 34141-2024")</f>
        <v/>
      </c>
      <c r="Y205">
        <f>HYPERLINK("https://klasma.github.io/Logging_0980/kartor_geotiff/A 34141-2024 georefererad karta.tif", "A 34141-2024")</f>
        <v/>
      </c>
      <c r="AA205">
        <f>HYPERLINK("https://klasma.github.io/Logging_0980/klagomål/A 34141-2024 FSC-klagomål.docx", "A 34141-2024")</f>
        <v/>
      </c>
      <c r="AB205">
        <f>HYPERLINK("https://klasma.github.io/Logging_0980/klagomålsmail/A 34141-2024 FSC-klagomål mail.docx", "A 34141-2024")</f>
        <v/>
      </c>
      <c r="AC205">
        <f>HYPERLINK("https://klasma.github.io/Logging_0980/tillsyn/A 34141-2024 tillsynsbegäran.docx", "A 34141-2024")</f>
        <v/>
      </c>
      <c r="AD205">
        <f>HYPERLINK("https://klasma.github.io/Logging_0980/tillsynsmail/A 34141-2024 tillsynsbegäran mail.docx", "A 34141-2024")</f>
        <v/>
      </c>
    </row>
    <row r="206" ht="15" customHeight="1">
      <c r="A206" t="inlineStr">
        <is>
          <t>A 30104-2025</t>
        </is>
      </c>
      <c r="B206" t="inlineStr">
        <is>
          <t>avverkningsanmälan</t>
        </is>
      </c>
      <c r="C206" t="inlineStr">
        <is>
          <t>Föryngringsavverkning</t>
        </is>
      </c>
      <c r="D206" s="1" t="n">
        <v>45826</v>
      </c>
      <c r="E206" s="1" t="n">
        <v>46290</v>
      </c>
      <c r="F206" t="inlineStr">
        <is>
          <t>GOTLANDS LÄN</t>
        </is>
      </c>
      <c r="G206" t="inlineStr">
        <is>
          <t>GOTLAND</t>
        </is>
      </c>
      <c r="I206" t="n">
        <v>15.4</v>
      </c>
      <c r="J206" t="n">
        <v>0</v>
      </c>
      <c r="K206" t="n">
        <v>1</v>
      </c>
      <c r="L206" t="n">
        <v>0</v>
      </c>
      <c r="M206" t="n">
        <v>0</v>
      </c>
      <c r="N206" t="n">
        <v>0</v>
      </c>
      <c r="O206" t="n">
        <v>0</v>
      </c>
      <c r="P206" t="n">
        <v>0</v>
      </c>
      <c r="Q206" t="n">
        <v>0</v>
      </c>
      <c r="R206" t="n">
        <v>0</v>
      </c>
      <c r="S206" t="n">
        <v>1</v>
      </c>
      <c r="T206" t="n">
        <v>2</v>
      </c>
      <c r="U206" t="n">
        <v>0</v>
      </c>
      <c r="V206" s="2" t="inlineStr">
        <is>
          <t>Blåmossa</t>
        </is>
      </c>
      <c r="W206">
        <f>HYPERLINK("https://klasma.github.io/Logging_0980/artfynd/A 30104-2025 artfynd.xlsx", "A 30104-2025")</f>
        <v/>
      </c>
      <c r="X206">
        <f>HYPERLINK("https://klasma.github.io/Logging_0980/kartor/A 30104-2025 karta.png", "A 30104-2025")</f>
        <v/>
      </c>
      <c r="Y206">
        <f>HYPERLINK("https://klasma.github.io/Logging_0980/kartor_geotiff/A 30104-2025 georefererad karta.tif", "A 30104-2025")</f>
        <v/>
      </c>
      <c r="AA206">
        <f>HYPERLINK("https://klasma.github.io/Logging_0980/klagomål/A 30104-2025 FSC-klagomål.docx", "A 30104-2025")</f>
        <v/>
      </c>
      <c r="AB206">
        <f>HYPERLINK("https://klasma.github.io/Logging_0980/klagomålsmail/A 30104-2025 FSC-klagomål mail.docx", "A 30104-2025")</f>
        <v/>
      </c>
      <c r="AC206">
        <f>HYPERLINK("https://klasma.github.io/Logging_0980/tillsyn/A 30104-2025 tillsynsbegäran.docx", "A 30104-2025")</f>
        <v/>
      </c>
      <c r="AD206">
        <f>HYPERLINK("https://klasma.github.io/Logging_0980/tillsynsmail/A 30104-2025 tillsynsbegäran mail.docx", "A 30104-2025")</f>
        <v/>
      </c>
    </row>
    <row r="207" ht="15" customHeight="1">
      <c r="A207" t="inlineStr">
        <is>
          <t>S 2744-2023</t>
        </is>
      </c>
      <c r="B207" t="inlineStr">
        <is>
          <t>samrådsanmälan</t>
        </is>
      </c>
      <c r="C207" t="inlineStr">
        <is>
          <t>Annan skogsbruksåtgärd</t>
        </is>
      </c>
      <c r="D207" s="1" t="n">
        <v>45159</v>
      </c>
      <c r="E207" s="1" t="n">
        <v>46290</v>
      </c>
      <c r="F207" t="inlineStr">
        <is>
          <t>GOTLANDS LÄN</t>
        </is>
      </c>
      <c r="G207" t="inlineStr">
        <is>
          <t>GOTLAND</t>
        </is>
      </c>
      <c r="I207" t="n">
        <v>6.6</v>
      </c>
      <c r="J207" t="n">
        <v>1</v>
      </c>
      <c r="K207" t="n">
        <v>0</v>
      </c>
      <c r="L207" t="n">
        <v>0</v>
      </c>
      <c r="M207" t="n">
        <v>1</v>
      </c>
      <c r="N207" t="n">
        <v>0</v>
      </c>
      <c r="O207" t="n">
        <v>0</v>
      </c>
      <c r="P207" t="n">
        <v>0</v>
      </c>
      <c r="Q207" t="n">
        <v>1</v>
      </c>
      <c r="R207" t="n">
        <v>1</v>
      </c>
      <c r="S207" t="n">
        <v>1</v>
      </c>
      <c r="T207" t="n">
        <v>1</v>
      </c>
      <c r="U207" t="n">
        <v>0</v>
      </c>
      <c r="V207" s="2" t="inlineStr">
        <is>
          <t>Hasselsnok</t>
        </is>
      </c>
      <c r="W207">
        <f>HYPERLINK("https://klasma.github.io/Logging_0980/artfynd/S 2744-2023 artfynd.xlsx", "S 2744-2023")</f>
        <v/>
      </c>
      <c r="X207">
        <f>HYPERLINK("https://klasma.github.io/Logging_0980/kartor/S 2744-2023 karta.png", "S 2744-2023")</f>
        <v/>
      </c>
      <c r="Y207">
        <f>HYPERLINK("https://klasma.github.io/Logging_0980/kartor_geotiff/S 2744-2023 georefererad karta.tif", "S 2744-2023")</f>
        <v/>
      </c>
      <c r="AA207">
        <f>HYPERLINK("https://klasma.github.io/Logging_0980/klagomål/S 2744-2023 FSC-klagomål.docx", "S 2744-2023")</f>
        <v/>
      </c>
      <c r="AB207">
        <f>HYPERLINK("https://klasma.github.io/Logging_0980/klagomålsmail/S 2744-2023 FSC-klagomål mail.docx", "S 2744-2023")</f>
        <v/>
      </c>
      <c r="AC207">
        <f>HYPERLINK("https://klasma.github.io/Logging_0980/tillsyn/S 2744-2023 tillsynsbegäran.docx", "S 2744-2023")</f>
        <v/>
      </c>
      <c r="AD207">
        <f>HYPERLINK("https://klasma.github.io/Logging_0980/tillsynsmail/S 2744-2023 tillsynsbegäran mail.docx", "S 2744-2023")</f>
        <v/>
      </c>
    </row>
    <row r="208" ht="15" customHeight="1">
      <c r="A208" t="inlineStr">
        <is>
          <t>S 6736-2022</t>
        </is>
      </c>
      <c r="B208" t="inlineStr">
        <is>
          <t>samrådsanmälan</t>
        </is>
      </c>
      <c r="C208" t="inlineStr">
        <is>
          <t>Annan skogsbruksåtgärd</t>
        </is>
      </c>
      <c r="D208" s="1" t="n">
        <v>44889</v>
      </c>
      <c r="E208" s="1" t="n">
        <v>46290</v>
      </c>
      <c r="F208" t="inlineStr">
        <is>
          <t>GOTLANDS LÄN</t>
        </is>
      </c>
      <c r="G208" t="inlineStr">
        <is>
          <t>GOTLAND</t>
        </is>
      </c>
      <c r="I208" t="n">
        <v>0.7</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HYPERLINK("https://klasma.github.io/Logging_0980/artfynd/S 6736-2022 artfynd.xlsx", "S 6736-2022")</f>
        <v/>
      </c>
      <c r="X208">
        <f>HYPERLINK("https://klasma.github.io/Logging_0980/kartor/S 6736-2022 karta.png", "S 6736-2022")</f>
        <v/>
      </c>
      <c r="Y208">
        <f>HYPERLINK("https://klasma.github.io/Logging_0980/kartor_geotiff/S 6736-2022 georefererad karta.tif", "S 6736-2022")</f>
        <v/>
      </c>
      <c r="AA208">
        <f>HYPERLINK("https://klasma.github.io/Logging_0980/klagomål/S 6736-2022 FSC-klagomål.docx", "S 6736-2022")</f>
        <v/>
      </c>
      <c r="AB208">
        <f>HYPERLINK("https://klasma.github.io/Logging_0980/klagomålsmail/S 6736-2022 FSC-klagomål mail.docx", "S 6736-2022")</f>
        <v/>
      </c>
      <c r="AC208">
        <f>HYPERLINK("https://klasma.github.io/Logging_0980/tillsyn/S 6736-2022 tillsynsbegäran.docx", "S 6736-2022")</f>
        <v/>
      </c>
      <c r="AD208">
        <f>HYPERLINK("https://klasma.github.io/Logging_0980/tillsynsmail/S 6736-2022 tillsynsbegäran mail.docx", "S 6736-2022")</f>
        <v/>
      </c>
    </row>
    <row r="209" ht="15" customHeight="1">
      <c r="A209" t="inlineStr">
        <is>
          <t>S 5258-2022</t>
        </is>
      </c>
      <c r="B209" t="inlineStr">
        <is>
          <t>samrådsanmälan</t>
        </is>
      </c>
      <c r="C209" t="inlineStr">
        <is>
          <t>Annan skogsbruksåtgärd</t>
        </is>
      </c>
      <c r="D209" s="1" t="n">
        <v>44824</v>
      </c>
      <c r="E209" s="1" t="n">
        <v>46290</v>
      </c>
      <c r="F209" t="inlineStr">
        <is>
          <t>GOTLANDS LÄN</t>
        </is>
      </c>
      <c r="G209" t="inlineStr">
        <is>
          <t>GOTLAND</t>
        </is>
      </c>
      <c r="I209" t="n">
        <v>3.3</v>
      </c>
      <c r="J209" t="n">
        <v>0</v>
      </c>
      <c r="K209" t="n">
        <v>1</v>
      </c>
      <c r="L209" t="n">
        <v>0</v>
      </c>
      <c r="M209" t="n">
        <v>0</v>
      </c>
      <c r="N209" t="n">
        <v>0</v>
      </c>
      <c r="O209" t="n">
        <v>0</v>
      </c>
      <c r="P209" t="n">
        <v>0</v>
      </c>
      <c r="Q209" t="n">
        <v>0</v>
      </c>
      <c r="R209" t="n">
        <v>0</v>
      </c>
      <c r="S209" t="n">
        <v>1</v>
      </c>
      <c r="T209" t="n">
        <v>1</v>
      </c>
      <c r="U209" t="n">
        <v>0</v>
      </c>
      <c r="V209" s="2" t="inlineStr">
        <is>
          <t>Underviol</t>
        </is>
      </c>
      <c r="W209">
        <f>HYPERLINK("https://klasma.github.io/Logging_0980/artfynd/S 5258-2022 artfynd.xlsx", "S 5258-2022")</f>
        <v/>
      </c>
      <c r="X209">
        <f>HYPERLINK("https://klasma.github.io/Logging_0980/kartor/S 5258-2022 karta.png", "S 5258-2022")</f>
        <v/>
      </c>
      <c r="Y209">
        <f>HYPERLINK("https://klasma.github.io/Logging_0980/kartor_geotiff/S 5258-2022 georefererad karta.tif", "S 5258-2022")</f>
        <v/>
      </c>
      <c r="AA209">
        <f>HYPERLINK("https://klasma.github.io/Logging_0980/klagomål/S 5258-2022 FSC-klagomål.docx", "S 5258-2022")</f>
        <v/>
      </c>
      <c r="AB209">
        <f>HYPERLINK("https://klasma.github.io/Logging_0980/klagomålsmail/S 5258-2022 FSC-klagomål mail.docx", "S 5258-2022")</f>
        <v/>
      </c>
      <c r="AC209">
        <f>HYPERLINK("https://klasma.github.io/Logging_0980/tillsyn/S 5258-2022 tillsynsbegäran.docx", "S 5258-2022")</f>
        <v/>
      </c>
      <c r="AD209">
        <f>HYPERLINK("https://klasma.github.io/Logging_0980/tillsynsmail/S 5258-2022 tillsynsbegäran mail.docx", "S 5258-2022")</f>
        <v/>
      </c>
    </row>
    <row r="210" ht="15" customHeight="1">
      <c r="A210" t="inlineStr">
        <is>
          <t>S 321-2025</t>
        </is>
      </c>
      <c r="B210" t="inlineStr">
        <is>
          <t>samrådsanmälan</t>
        </is>
      </c>
      <c r="C210" t="inlineStr">
        <is>
          <t>Annan skogsbruksåtgärd</t>
        </is>
      </c>
      <c r="D210" s="1" t="n">
        <v>45688</v>
      </c>
      <c r="E210" s="1" t="n">
        <v>46290</v>
      </c>
      <c r="F210" t="inlineStr">
        <is>
          <t>GOTLANDS LÄN</t>
        </is>
      </c>
      <c r="G210" t="inlineStr">
        <is>
          <t>GOTLAND</t>
        </is>
      </c>
      <c r="I210" t="n">
        <v>13.5</v>
      </c>
      <c r="J210" t="n">
        <v>0</v>
      </c>
      <c r="K210" t="n">
        <v>0</v>
      </c>
      <c r="L210" t="n">
        <v>0</v>
      </c>
      <c r="M210" t="n">
        <v>1</v>
      </c>
      <c r="N210" t="n">
        <v>0</v>
      </c>
      <c r="O210" t="n">
        <v>0</v>
      </c>
      <c r="P210" t="n">
        <v>0</v>
      </c>
      <c r="Q210" t="n">
        <v>1</v>
      </c>
      <c r="R210" t="n">
        <v>1</v>
      </c>
      <c r="S210" t="n">
        <v>1</v>
      </c>
      <c r="T210" t="n">
        <v>1</v>
      </c>
      <c r="U210" t="n">
        <v>1</v>
      </c>
      <c r="V210" s="2" t="inlineStr">
        <is>
          <t>Gotlandsmåra</t>
        </is>
      </c>
      <c r="W210">
        <f>HYPERLINK("https://klasma.github.io/Logging_0980/artfynd/S 321-2025 artfynd.xlsx", "S 321-2025")</f>
        <v/>
      </c>
      <c r="X210">
        <f>HYPERLINK("https://klasma.github.io/Logging_0980/kartor/S 321-2025 karta.png", "S 321-2025")</f>
        <v/>
      </c>
      <c r="Y210">
        <f>HYPERLINK("https://klasma.github.io/Logging_0980/kartor_geotiff/S 321-2025 georefererad karta.tif", "S 321-2025")</f>
        <v/>
      </c>
      <c r="AA210">
        <f>HYPERLINK("https://klasma.github.io/Logging_0980/klagomål/S 321-2025 FSC-klagomål.docx", "S 321-2025")</f>
        <v/>
      </c>
      <c r="AB210">
        <f>HYPERLINK("https://klasma.github.io/Logging_0980/klagomålsmail/S 321-2025 FSC-klagomål mail.docx", "S 321-2025")</f>
        <v/>
      </c>
      <c r="AC210">
        <f>HYPERLINK("https://klasma.github.io/Logging_0980/tillsyn/S 321-2025 tillsynsbegäran.docx", "S 321-2025")</f>
        <v/>
      </c>
      <c r="AD210">
        <f>HYPERLINK("https://klasma.github.io/Logging_0980/tillsynsmail/S 321-2025 tillsynsbegäran mail.docx", "S 321-2025")</f>
        <v/>
      </c>
    </row>
    <row r="211" ht="15" customHeight="1">
      <c r="A211" t="inlineStr">
        <is>
          <t>S 1883-2026</t>
        </is>
      </c>
      <c r="B211" t="inlineStr">
        <is>
          <t>samrådsanmälan</t>
        </is>
      </c>
      <c r="C211" t="inlineStr">
        <is>
          <t>Annan skogsbruksåtgärd</t>
        </is>
      </c>
      <c r="D211" s="1" t="n">
        <v>46202</v>
      </c>
      <c r="E211" s="1" t="n">
        <v>46290</v>
      </c>
      <c r="F211" t="inlineStr">
        <is>
          <t>GOTLANDS LÄN</t>
        </is>
      </c>
      <c r="G211" t="inlineStr">
        <is>
          <t>GOTLAND</t>
        </is>
      </c>
      <c r="I211" t="n">
        <v>2.5</v>
      </c>
      <c r="J211" t="n">
        <v>0</v>
      </c>
      <c r="K211" t="n">
        <v>0</v>
      </c>
      <c r="L211" t="n">
        <v>1</v>
      </c>
      <c r="M211" t="n">
        <v>0</v>
      </c>
      <c r="N211" t="n">
        <v>0</v>
      </c>
      <c r="O211" t="n">
        <v>0</v>
      </c>
      <c r="P211" t="n">
        <v>0</v>
      </c>
      <c r="Q211" t="n">
        <v>1</v>
      </c>
      <c r="R211" t="n">
        <v>0</v>
      </c>
      <c r="S211" t="n">
        <v>1</v>
      </c>
      <c r="T211" t="n">
        <v>1</v>
      </c>
      <c r="U211" t="n">
        <v>0</v>
      </c>
      <c r="V211" s="2" t="inlineStr">
        <is>
          <t>Tallticka</t>
        </is>
      </c>
      <c r="W211">
        <f>HYPERLINK("https://klasma.github.io/Logging_0980/artfynd/S 1883-2026 artfynd.xlsx", "S 1883-2026")</f>
        <v/>
      </c>
      <c r="X211">
        <f>HYPERLINK("https://klasma.github.io/Logging_0980/kartor/S 1883-2026 karta.png", "S 1883-2026")</f>
        <v/>
      </c>
      <c r="Y211">
        <f>HYPERLINK("https://klasma.github.io/Logging_0980/kartor_geotiff/S 1883-2026 georefererad karta.tif", "S 1883-2026")</f>
        <v/>
      </c>
      <c r="AA211">
        <f>HYPERLINK("https://klasma.github.io/Logging_0980/klagomål/S 1883-2026 FSC-klagomål.docx", "S 1883-2026")</f>
        <v/>
      </c>
      <c r="AB211">
        <f>HYPERLINK("https://klasma.github.io/Logging_0980/klagomålsmail/S 1883-2026 FSC-klagomål mail.docx", "S 1883-2026")</f>
        <v/>
      </c>
      <c r="AC211">
        <f>HYPERLINK("https://klasma.github.io/Logging_0980/tillsyn/S 1883-2026 tillsynsbegäran.docx", "S 1883-2026")</f>
        <v/>
      </c>
      <c r="AD211">
        <f>HYPERLINK("https://klasma.github.io/Logging_0980/tillsynsmail/S 1883-2026 tillsynsbegäran mail.docx", "S 1883-2026")</f>
        <v/>
      </c>
    </row>
    <row r="212" ht="15" customHeight="1">
      <c r="A212" t="inlineStr">
        <is>
          <t>A 44108-2022</t>
        </is>
      </c>
      <c r="B212" t="inlineStr">
        <is>
          <t>avverkningsanmälan</t>
        </is>
      </c>
      <c r="C212" t="inlineStr">
        <is>
          <t>Föryngringsavverkning</t>
        </is>
      </c>
      <c r="D212" s="1" t="n">
        <v>44839</v>
      </c>
      <c r="E212" s="1" t="n">
        <v>46290</v>
      </c>
      <c r="F212" t="inlineStr">
        <is>
          <t>GOTLANDS LÄN</t>
        </is>
      </c>
      <c r="G212" t="inlineStr">
        <is>
          <t>GOTLAND</t>
        </is>
      </c>
      <c r="I212" t="n">
        <v>12.9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24235-2022</t>
        </is>
      </c>
      <c r="B213" t="inlineStr">
        <is>
          <t>avverkningsanmälan</t>
        </is>
      </c>
      <c r="C213" t="inlineStr">
        <is>
          <t>Avverkning för annat ändamål</t>
        </is>
      </c>
      <c r="D213" s="1" t="n">
        <v>44725</v>
      </c>
      <c r="E213" s="1" t="n">
        <v>46290</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46290</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22498-2022</t>
        </is>
      </c>
      <c r="B215" t="inlineStr">
        <is>
          <t>avverkningsanmälan</t>
        </is>
      </c>
      <c r="C215" t="inlineStr">
        <is>
          <t>Föryngringsavverkning</t>
        </is>
      </c>
      <c r="D215" s="1" t="n">
        <v>44713</v>
      </c>
      <c r="E215" s="1" t="n">
        <v>46290</v>
      </c>
      <c r="F215" t="inlineStr">
        <is>
          <t>GOTLANDS LÄN</t>
        </is>
      </c>
      <c r="G215" t="inlineStr">
        <is>
          <t>GOTLAND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24123-2022</t>
        </is>
      </c>
      <c r="B216" t="inlineStr">
        <is>
          <t>avverkningsanmälan</t>
        </is>
      </c>
      <c r="C216" t="inlineStr">
        <is>
          <t>Föryngringsavverkning</t>
        </is>
      </c>
      <c r="D216" s="1" t="n">
        <v>44725</v>
      </c>
      <c r="E216" s="1" t="n">
        <v>46290</v>
      </c>
      <c r="F216" t="inlineStr">
        <is>
          <t>GOTLANDS LÄN</t>
        </is>
      </c>
      <c r="G216" t="inlineStr">
        <is>
          <t>GOTLAND</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60607-2021</t>
        </is>
      </c>
      <c r="B217" t="inlineStr">
        <is>
          <t>avverkningsanmälan</t>
        </is>
      </c>
      <c r="C217" t="inlineStr">
        <is>
          <t>Föryngringsavverkning</t>
        </is>
      </c>
      <c r="D217" s="1" t="n">
        <v>44496</v>
      </c>
      <c r="E217" s="1" t="n">
        <v>46290</v>
      </c>
      <c r="F217" t="inlineStr">
        <is>
          <t>GOTLANDS LÄN</t>
        </is>
      </c>
      <c r="G217" t="inlineStr">
        <is>
          <t>GOTLAND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58224-2021</t>
        </is>
      </c>
      <c r="B218" t="inlineStr">
        <is>
          <t>avverkningsanmälan</t>
        </is>
      </c>
      <c r="C218" t="inlineStr">
        <is>
          <t>Föryngringsavverkning</t>
        </is>
      </c>
      <c r="D218" s="1" t="n">
        <v>44487</v>
      </c>
      <c r="E218" s="1" t="n">
        <v>46290</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71010-2021</t>
        </is>
      </c>
      <c r="B219" t="inlineStr">
        <is>
          <t>avverkningsanmälan</t>
        </is>
      </c>
      <c r="C219" t="inlineStr">
        <is>
          <t>Föryngringsavverkning</t>
        </is>
      </c>
      <c r="D219" s="1" t="n">
        <v>44538</v>
      </c>
      <c r="E219" s="1" t="n">
        <v>46290</v>
      </c>
      <c r="F219" t="inlineStr">
        <is>
          <t>GOTLANDS LÄN</t>
        </is>
      </c>
      <c r="G219" t="inlineStr">
        <is>
          <t>GOTLAND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22495-2022</t>
        </is>
      </c>
      <c r="B220" t="inlineStr">
        <is>
          <t>avverkningsanmälan</t>
        </is>
      </c>
      <c r="C220" t="inlineStr">
        <is>
          <t>Föryngringsavverkning</t>
        </is>
      </c>
      <c r="D220" s="1" t="n">
        <v>44713</v>
      </c>
      <c r="E220" s="1" t="n">
        <v>46290</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44942-2022</t>
        </is>
      </c>
      <c r="B221" t="inlineStr">
        <is>
          <t>avverkningsanmälan</t>
        </is>
      </c>
      <c r="C221" t="inlineStr">
        <is>
          <t>Föryngringsavverkning</t>
        </is>
      </c>
      <c r="D221" s="1" t="n">
        <v>44841</v>
      </c>
      <c r="E221" s="1" t="n">
        <v>46290</v>
      </c>
      <c r="F221" t="inlineStr">
        <is>
          <t>GOTLANDS LÄN</t>
        </is>
      </c>
      <c r="G221" t="inlineStr">
        <is>
          <t>GOTLAND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53225-2022</t>
        </is>
      </c>
      <c r="B222" t="inlineStr">
        <is>
          <t>avverkningsanmälan</t>
        </is>
      </c>
      <c r="C222" t="inlineStr">
        <is>
          <t>Föryngringsavverkning</t>
        </is>
      </c>
      <c r="D222" s="1" t="n">
        <v>44876</v>
      </c>
      <c r="E222" s="1" t="n">
        <v>46290</v>
      </c>
      <c r="F222" t="inlineStr">
        <is>
          <t>GOTLANDS LÄN</t>
        </is>
      </c>
      <c r="G222" t="inlineStr">
        <is>
          <t>GOTLAND</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65393-2021</t>
        </is>
      </c>
      <c r="B223" t="inlineStr">
        <is>
          <t>avverkningsanmälan</t>
        </is>
      </c>
      <c r="C223" t="inlineStr">
        <is>
          <t>Föryngringsavverkning</t>
        </is>
      </c>
      <c r="D223" s="1" t="n">
        <v>44515</v>
      </c>
      <c r="E223" s="1" t="n">
        <v>46290</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14413-2022</t>
        </is>
      </c>
      <c r="B224" t="inlineStr">
        <is>
          <t>avverkningsanmälan</t>
        </is>
      </c>
      <c r="C224" t="inlineStr">
        <is>
          <t>Avverkning för annat ändamål</t>
        </is>
      </c>
      <c r="D224" s="1" t="n">
        <v>44652</v>
      </c>
      <c r="E224" s="1" t="n">
        <v>46290</v>
      </c>
      <c r="F224" t="inlineStr">
        <is>
          <t>GOTLANDS LÄN</t>
        </is>
      </c>
      <c r="G224" t="inlineStr">
        <is>
          <t>GOTLAND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56951-2021</t>
        </is>
      </c>
      <c r="B225" t="inlineStr">
        <is>
          <t>avverkningsanmälan</t>
        </is>
      </c>
      <c r="C225" t="inlineStr">
        <is>
          <t>Föryngringsavverkning</t>
        </is>
      </c>
      <c r="D225" s="1" t="n">
        <v>44482</v>
      </c>
      <c r="E225" s="1" t="n">
        <v>46290</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46290</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46290</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57219-2021</t>
        </is>
      </c>
      <c r="B228" t="inlineStr">
        <is>
          <t>avverkningsanmälan</t>
        </is>
      </c>
      <c r="C228" t="inlineStr">
        <is>
          <t>Föryngringsavverkning</t>
        </is>
      </c>
      <c r="D228" s="1" t="n">
        <v>44483</v>
      </c>
      <c r="E228" s="1" t="n">
        <v>46290</v>
      </c>
      <c r="F228" t="inlineStr">
        <is>
          <t>GOTLANDS LÄN</t>
        </is>
      </c>
      <c r="G228" t="inlineStr">
        <is>
          <t>GOTLAND</t>
        </is>
      </c>
      <c r="H228" t="inlineStr">
        <is>
          <t>Kyrkan</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456-2023</t>
        </is>
      </c>
      <c r="B229" t="inlineStr">
        <is>
          <t>avverkningsanmälan</t>
        </is>
      </c>
      <c r="C229" t="inlineStr">
        <is>
          <t>Föryngringsavverkning</t>
        </is>
      </c>
      <c r="D229" s="1" t="n">
        <v>44929</v>
      </c>
      <c r="E229" s="1" t="n">
        <v>46290</v>
      </c>
      <c r="F229" t="inlineStr">
        <is>
          <t>GOTLANDS LÄN</t>
        </is>
      </c>
      <c r="G229" t="inlineStr">
        <is>
          <t>GOTLAND</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61596-2023</t>
        </is>
      </c>
      <c r="B230" t="inlineStr">
        <is>
          <t>avverkningsanmälan</t>
        </is>
      </c>
      <c r="C230" t="inlineStr">
        <is>
          <t>Föryngringsavverkning</t>
        </is>
      </c>
      <c r="D230" s="1" t="n">
        <v>45265</v>
      </c>
      <c r="E230" s="1" t="n">
        <v>46290</v>
      </c>
      <c r="F230" t="inlineStr">
        <is>
          <t>GOTLANDS LÄN</t>
        </is>
      </c>
      <c r="G230" t="inlineStr">
        <is>
          <t>GOTLAND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873-2024</t>
        </is>
      </c>
      <c r="B231" t="inlineStr">
        <is>
          <t>avverkningsanmälan</t>
        </is>
      </c>
      <c r="C231" t="inlineStr">
        <is>
          <t>Avverkning för annat ändamål</t>
        </is>
      </c>
      <c r="D231" s="1" t="n">
        <v>45301</v>
      </c>
      <c r="E231" s="1" t="n">
        <v>46290</v>
      </c>
      <c r="F231" t="inlineStr">
        <is>
          <t>GOTLANDS LÄN</t>
        </is>
      </c>
      <c r="G231" t="inlineStr">
        <is>
          <t>GOTLAND</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44228-2022</t>
        </is>
      </c>
      <c r="B232" t="inlineStr">
        <is>
          <t>avverkningsanmälan</t>
        </is>
      </c>
      <c r="C232" t="inlineStr">
        <is>
          <t>Föryngringsavverkning</t>
        </is>
      </c>
      <c r="D232" s="1" t="n">
        <v>44839</v>
      </c>
      <c r="E232" s="1" t="n">
        <v>46290</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46290</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25129-2023</t>
        </is>
      </c>
      <c r="B234" t="inlineStr">
        <is>
          <t>avverkningsanmälan</t>
        </is>
      </c>
      <c r="C234" t="inlineStr">
        <is>
          <t>Föryngringsavverkning</t>
        </is>
      </c>
      <c r="D234" s="1" t="n">
        <v>45086</v>
      </c>
      <c r="E234" s="1" t="n">
        <v>46290</v>
      </c>
      <c r="F234" t="inlineStr">
        <is>
          <t>GOTLANDS LÄN</t>
        </is>
      </c>
      <c r="G234" t="inlineStr">
        <is>
          <t>GOTLAND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54073-2022</t>
        </is>
      </c>
      <c r="B235" t="inlineStr">
        <is>
          <t>avverkningsanmälan</t>
        </is>
      </c>
      <c r="C235" t="inlineStr">
        <is>
          <t>Föryngringsavverkning</t>
        </is>
      </c>
      <c r="D235" s="1" t="n">
        <v>44881</v>
      </c>
      <c r="E235" s="1" t="n">
        <v>46290</v>
      </c>
      <c r="F235" t="inlineStr">
        <is>
          <t>GOTLANDS LÄN</t>
        </is>
      </c>
      <c r="G235" t="inlineStr">
        <is>
          <t>GOTLAND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7026-2023</t>
        </is>
      </c>
      <c r="B236" t="inlineStr">
        <is>
          <t>avverkningsanmälan</t>
        </is>
      </c>
      <c r="C236" t="inlineStr">
        <is>
          <t>Föryngringsavverkning</t>
        </is>
      </c>
      <c r="D236" s="1" t="n">
        <v>44968</v>
      </c>
      <c r="E236" s="1" t="n">
        <v>46290</v>
      </c>
      <c r="F236" t="inlineStr">
        <is>
          <t>GOTLANDS LÄN</t>
        </is>
      </c>
      <c r="G236" t="inlineStr">
        <is>
          <t>GOTLAND</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46290</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46290</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51782-2023</t>
        </is>
      </c>
      <c r="B239" t="inlineStr">
        <is>
          <t>avverkningsanmälan</t>
        </is>
      </c>
      <c r="C239" t="inlineStr">
        <is>
          <t>Föryngringsavverkning</t>
        </is>
      </c>
      <c r="D239" s="1" t="n">
        <v>45222</v>
      </c>
      <c r="E239" s="1" t="n">
        <v>46290</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60675-2021</t>
        </is>
      </c>
      <c r="B240" t="inlineStr">
        <is>
          <t>avverkningsanmälan</t>
        </is>
      </c>
      <c r="C240" t="inlineStr">
        <is>
          <t>Föryngringsavverkning</t>
        </is>
      </c>
      <c r="D240" s="1" t="n">
        <v>44496</v>
      </c>
      <c r="E240" s="1" t="n">
        <v>46290</v>
      </c>
      <c r="F240" t="inlineStr">
        <is>
          <t>GOTLANDS LÄN</t>
        </is>
      </c>
      <c r="G240" t="inlineStr">
        <is>
          <t>GOTLAND</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4421-2024</t>
        </is>
      </c>
      <c r="B241" t="inlineStr">
        <is>
          <t>avverkningsanmälan</t>
        </is>
      </c>
      <c r="C241" t="inlineStr">
        <is>
          <t>Föryngringsavverkning</t>
        </is>
      </c>
      <c r="D241" s="1" t="n">
        <v>45327</v>
      </c>
      <c r="E241" s="1" t="n">
        <v>46290</v>
      </c>
      <c r="F241" t="inlineStr">
        <is>
          <t>GOTLANDS LÄN</t>
        </is>
      </c>
      <c r="G241" t="inlineStr">
        <is>
          <t>GOTLAND</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5217-2023</t>
        </is>
      </c>
      <c r="B242" t="inlineStr">
        <is>
          <t>avverkningsanmälan</t>
        </is>
      </c>
      <c r="C242" t="inlineStr">
        <is>
          <t>Föryngringsavverkning</t>
        </is>
      </c>
      <c r="D242" s="1" t="n">
        <v>44959</v>
      </c>
      <c r="E242" s="1" t="n">
        <v>46290</v>
      </c>
      <c r="F242" t="inlineStr">
        <is>
          <t>GOTLANDS LÄN</t>
        </is>
      </c>
      <c r="G242" t="inlineStr">
        <is>
          <t>GOTLAND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20165-2022</t>
        </is>
      </c>
      <c r="B243" t="inlineStr">
        <is>
          <t>avverkningsanmälan</t>
        </is>
      </c>
      <c r="C243" t="inlineStr">
        <is>
          <t>Föryngringsavverkning</t>
        </is>
      </c>
      <c r="D243" s="1" t="n">
        <v>44698</v>
      </c>
      <c r="E243" s="1" t="n">
        <v>46290</v>
      </c>
      <c r="F243" t="inlineStr">
        <is>
          <t>GOTLANDS LÄN</t>
        </is>
      </c>
      <c r="G243" t="inlineStr">
        <is>
          <t>GOTLAND</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33876-2024</t>
        </is>
      </c>
      <c r="B244" t="inlineStr">
        <is>
          <t>avverkningsanmälan</t>
        </is>
      </c>
      <c r="C244" t="inlineStr">
        <is>
          <t>Föryngringsavverkning</t>
        </is>
      </c>
      <c r="D244" s="1" t="n">
        <v>45521</v>
      </c>
      <c r="E244" s="1" t="n">
        <v>46290</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61962-2024</t>
        </is>
      </c>
      <c r="B245" t="inlineStr">
        <is>
          <t>avverkningsanmälan</t>
        </is>
      </c>
      <c r="C245" t="inlineStr">
        <is>
          <t>Föryngringsavverkning</t>
        </is>
      </c>
      <c r="D245" s="1" t="n">
        <v>45653</v>
      </c>
      <c r="E245" s="1" t="n">
        <v>46290</v>
      </c>
      <c r="F245" t="inlineStr">
        <is>
          <t>GOTLANDS LÄN</t>
        </is>
      </c>
      <c r="G245" t="inlineStr">
        <is>
          <t>GOTLAND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52892-2021</t>
        </is>
      </c>
      <c r="B246" t="inlineStr">
        <is>
          <t>avverkningsanmälan</t>
        </is>
      </c>
      <c r="C246" t="inlineStr">
        <is>
          <t>Föryngringsavverkning</t>
        </is>
      </c>
      <c r="D246" s="1" t="n">
        <v>44467</v>
      </c>
      <c r="E246" s="1" t="n">
        <v>46290</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43223-2023</t>
        </is>
      </c>
      <c r="B247" t="inlineStr">
        <is>
          <t>avverkningsanmälan</t>
        </is>
      </c>
      <c r="C247" t="inlineStr">
        <is>
          <t>Föryngringsavverkning</t>
        </is>
      </c>
      <c r="D247" s="1" t="n">
        <v>45183</v>
      </c>
      <c r="E247" s="1" t="n">
        <v>46290</v>
      </c>
      <c r="F247" t="inlineStr">
        <is>
          <t>GOTLANDS LÄN</t>
        </is>
      </c>
      <c r="G247" t="inlineStr">
        <is>
          <t>GOTLAND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59469-2024</t>
        </is>
      </c>
      <c r="B248" t="inlineStr">
        <is>
          <t>avverkningsanmälan</t>
        </is>
      </c>
      <c r="C248" t="inlineStr">
        <is>
          <t>Föryngringsavverkning</t>
        </is>
      </c>
      <c r="D248" s="1" t="n">
        <v>45638</v>
      </c>
      <c r="E248" s="1" t="n">
        <v>46290</v>
      </c>
      <c r="F248" t="inlineStr">
        <is>
          <t>GOTLANDS LÄN</t>
        </is>
      </c>
      <c r="G248" t="inlineStr">
        <is>
          <t>GOTLAND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4990-2025</t>
        </is>
      </c>
      <c r="B249" t="inlineStr">
        <is>
          <t>avverkningsanmälan</t>
        </is>
      </c>
      <c r="C249" t="inlineStr">
        <is>
          <t>Föryngringsavverkning</t>
        </is>
      </c>
      <c r="D249" s="1" t="n">
        <v>45691</v>
      </c>
      <c r="E249" s="1" t="n">
        <v>46290</v>
      </c>
      <c r="F249" t="inlineStr">
        <is>
          <t>GOTLANDS LÄN</t>
        </is>
      </c>
      <c r="G249" t="inlineStr">
        <is>
          <t>GOTLAND</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6696-2023</t>
        </is>
      </c>
      <c r="B250" t="inlineStr">
        <is>
          <t>avverkningsanmälan</t>
        </is>
      </c>
      <c r="C250" t="inlineStr">
        <is>
          <t>Föryngringsavverkning</t>
        </is>
      </c>
      <c r="D250" s="1" t="n">
        <v>44966</v>
      </c>
      <c r="E250" s="1" t="n">
        <v>46290</v>
      </c>
      <c r="F250" t="inlineStr">
        <is>
          <t>GOTLANDS LÄN</t>
        </is>
      </c>
      <c r="G250" t="inlineStr">
        <is>
          <t>GOTLAND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46527-2023</t>
        </is>
      </c>
      <c r="B251" t="inlineStr">
        <is>
          <t>avverkningsanmälan</t>
        </is>
      </c>
      <c r="C251" t="inlineStr">
        <is>
          <t>Avverkning för annat ändamål</t>
        </is>
      </c>
      <c r="D251" s="1" t="n">
        <v>45197</v>
      </c>
      <c r="E251" s="1" t="n">
        <v>46290</v>
      </c>
      <c r="F251" t="inlineStr">
        <is>
          <t>GOTLANDS LÄN</t>
        </is>
      </c>
      <c r="G251" t="inlineStr">
        <is>
          <t>GOTLAND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28485-2023</t>
        </is>
      </c>
      <c r="B252" t="inlineStr">
        <is>
          <t>avverkningsanmälan</t>
        </is>
      </c>
      <c r="C252" t="inlineStr">
        <is>
          <t>Föryngringsavverkning</t>
        </is>
      </c>
      <c r="D252" s="1" t="n">
        <v>45103</v>
      </c>
      <c r="E252" s="1" t="n">
        <v>46290</v>
      </c>
      <c r="F252" t="inlineStr">
        <is>
          <t>GOTLANDS LÄN</t>
        </is>
      </c>
      <c r="G252" t="inlineStr">
        <is>
          <t>GOTLAND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1351-2025</t>
        </is>
      </c>
      <c r="B253" t="inlineStr">
        <is>
          <t>avverkningsanmälan</t>
        </is>
      </c>
      <c r="C253" t="inlineStr">
        <is>
          <t>Föryngringsavverkning</t>
        </is>
      </c>
      <c r="D253" s="1" t="n">
        <v>45667</v>
      </c>
      <c r="E253" s="1" t="n">
        <v>46290</v>
      </c>
      <c r="F253" t="inlineStr">
        <is>
          <t>GOTLANDS LÄN</t>
        </is>
      </c>
      <c r="G253" t="inlineStr">
        <is>
          <t>GOTLAND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49697-2023</t>
        </is>
      </c>
      <c r="B254" t="inlineStr">
        <is>
          <t>avverkningsanmälan</t>
        </is>
      </c>
      <c r="C254" t="inlineStr">
        <is>
          <t>Föryngringsavverkning</t>
        </is>
      </c>
      <c r="D254" s="1" t="n">
        <v>45212</v>
      </c>
      <c r="E254" s="1" t="n">
        <v>46290</v>
      </c>
      <c r="F254" t="inlineStr">
        <is>
          <t>GOTLANDS LÄN</t>
        </is>
      </c>
      <c r="G254" t="inlineStr">
        <is>
          <t>GOTLAND</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24825-2024</t>
        </is>
      </c>
      <c r="B255" t="inlineStr">
        <is>
          <t>avverkningsanmälan</t>
        </is>
      </c>
      <c r="C255" t="inlineStr">
        <is>
          <t>Avverkning för annat ändamål</t>
        </is>
      </c>
      <c r="D255" s="1" t="n">
        <v>45461</v>
      </c>
      <c r="E255" s="1" t="n">
        <v>46290</v>
      </c>
      <c r="F255" t="inlineStr">
        <is>
          <t>GOTLANDS LÄN</t>
        </is>
      </c>
      <c r="G255" t="inlineStr">
        <is>
          <t>GOTLAND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48503-2023</t>
        </is>
      </c>
      <c r="B256" t="inlineStr">
        <is>
          <t>avverkningsanmälan</t>
        </is>
      </c>
      <c r="C256" t="inlineStr">
        <is>
          <t>Föryngringsavverkning</t>
        </is>
      </c>
      <c r="D256" s="1" t="n">
        <v>45207</v>
      </c>
      <c r="E256" s="1" t="n">
        <v>46290</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22031-2024</t>
        </is>
      </c>
      <c r="B257" t="inlineStr">
        <is>
          <t>avverkningsanmälan</t>
        </is>
      </c>
      <c r="C257" t="inlineStr">
        <is>
          <t>Föryngringsavverkning</t>
        </is>
      </c>
      <c r="D257" s="1" t="n">
        <v>45443</v>
      </c>
      <c r="E257" s="1" t="n">
        <v>46290</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17688-2024</t>
        </is>
      </c>
      <c r="B258" t="inlineStr">
        <is>
          <t>avverkningsanmälan</t>
        </is>
      </c>
      <c r="C258" t="inlineStr">
        <is>
          <t>Föryngringsavverkning</t>
        </is>
      </c>
      <c r="D258" s="1" t="n">
        <v>45418</v>
      </c>
      <c r="E258" s="1" t="n">
        <v>46290</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8260-2023</t>
        </is>
      </c>
      <c r="B259" t="inlineStr">
        <is>
          <t>avverkningsanmälan</t>
        </is>
      </c>
      <c r="C259" t="inlineStr">
        <is>
          <t>Föryngringsavverkning</t>
        </is>
      </c>
      <c r="D259" s="1" t="n">
        <v>44974</v>
      </c>
      <c r="E259" s="1" t="n">
        <v>46290</v>
      </c>
      <c r="F259" t="inlineStr">
        <is>
          <t>GOTLANDS LÄN</t>
        </is>
      </c>
      <c r="G259" t="inlineStr">
        <is>
          <t>GOTLAND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27694-2024</t>
        </is>
      </c>
      <c r="B260" t="inlineStr">
        <is>
          <t>avverkningsanmälan</t>
        </is>
      </c>
      <c r="C260" t="inlineStr">
        <is>
          <t>Föryngringsavverkning</t>
        </is>
      </c>
      <c r="D260" s="1" t="n">
        <v>45475</v>
      </c>
      <c r="E260" s="1" t="n">
        <v>46290</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39764-2022</t>
        </is>
      </c>
      <c r="B261" t="inlineStr">
        <is>
          <t>avverkningsanmälan</t>
        </is>
      </c>
      <c r="C261" t="inlineStr">
        <is>
          <t>Föryngringsavverkning</t>
        </is>
      </c>
      <c r="D261" s="1" t="n">
        <v>44819</v>
      </c>
      <c r="E261" s="1" t="n">
        <v>46290</v>
      </c>
      <c r="F261" t="inlineStr">
        <is>
          <t>GOTLANDS LÄN</t>
        </is>
      </c>
      <c r="G261" t="inlineStr">
        <is>
          <t>GOTLAND</t>
        </is>
      </c>
      <c r="H261" t="inlineStr">
        <is>
          <t>Kyrkan</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22287-2022</t>
        </is>
      </c>
      <c r="B262" t="inlineStr">
        <is>
          <t>avverkningsanmälan</t>
        </is>
      </c>
      <c r="C262" t="inlineStr">
        <is>
          <t>Avverkning för annat ändamål</t>
        </is>
      </c>
      <c r="D262" s="1" t="n">
        <v>44712</v>
      </c>
      <c r="E262" s="1" t="n">
        <v>46290</v>
      </c>
      <c r="F262" t="inlineStr">
        <is>
          <t>GOTLANDS LÄN</t>
        </is>
      </c>
      <c r="G262" t="inlineStr">
        <is>
          <t>GOTLAND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6099-2024</t>
        </is>
      </c>
      <c r="B263" t="inlineStr">
        <is>
          <t>avverkningsanmälan</t>
        </is>
      </c>
      <c r="C263" t="inlineStr">
        <is>
          <t>Föryngringsavverkning</t>
        </is>
      </c>
      <c r="D263" s="1" t="n">
        <v>45337</v>
      </c>
      <c r="E263" s="1" t="n">
        <v>46290</v>
      </c>
      <c r="F263" t="inlineStr">
        <is>
          <t>GOTLANDS LÄN</t>
        </is>
      </c>
      <c r="G263" t="inlineStr">
        <is>
          <t>GOTLAND</t>
        </is>
      </c>
      <c r="I263" t="n">
        <v>12.6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64660-2023</t>
        </is>
      </c>
      <c r="B264" t="inlineStr">
        <is>
          <t>avverkningsanmälan</t>
        </is>
      </c>
      <c r="C264" t="inlineStr">
        <is>
          <t>Föryngringsavverkning</t>
        </is>
      </c>
      <c r="D264" s="1" t="n">
        <v>45281</v>
      </c>
      <c r="E264" s="1" t="n">
        <v>46290</v>
      </c>
      <c r="F264" t="inlineStr">
        <is>
          <t>GOTLANDS LÄN</t>
        </is>
      </c>
      <c r="G264" t="inlineStr">
        <is>
          <t>GOTLAND</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60709-2023</t>
        </is>
      </c>
      <c r="B265" t="inlineStr">
        <is>
          <t>avverkningsanmälan</t>
        </is>
      </c>
      <c r="C265" t="inlineStr">
        <is>
          <t>Föryngringsavverkning</t>
        </is>
      </c>
      <c r="D265" s="1" t="n">
        <v>45260</v>
      </c>
      <c r="E265" s="1" t="n">
        <v>46290</v>
      </c>
      <c r="F265" t="inlineStr">
        <is>
          <t>GOTLANDS LÄN</t>
        </is>
      </c>
      <c r="G265" t="inlineStr">
        <is>
          <t>GOTLAND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46290</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30956-2024</t>
        </is>
      </c>
      <c r="B267" t="inlineStr">
        <is>
          <t>avverkningsanmälan</t>
        </is>
      </c>
      <c r="C267" t="inlineStr">
        <is>
          <t>Föryngringsavverkning</t>
        </is>
      </c>
      <c r="D267" s="1" t="n">
        <v>45499</v>
      </c>
      <c r="E267" s="1" t="n">
        <v>46290</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1000-2024</t>
        </is>
      </c>
      <c r="B268" t="inlineStr">
        <is>
          <t>avverkningsanmälan</t>
        </is>
      </c>
      <c r="C268" t="inlineStr">
        <is>
          <t>Föryngringsavverkning</t>
        </is>
      </c>
      <c r="D268" s="1" t="n">
        <v>45301</v>
      </c>
      <c r="E268" s="1" t="n">
        <v>46290</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65249-2023</t>
        </is>
      </c>
      <c r="B269" t="inlineStr">
        <is>
          <t>avverkningsanmälan</t>
        </is>
      </c>
      <c r="C269" t="inlineStr">
        <is>
          <t>Föryngringsavverkning</t>
        </is>
      </c>
      <c r="D269" s="1" t="n">
        <v>45290</v>
      </c>
      <c r="E269" s="1" t="n">
        <v>46290</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46290</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12596-2023</t>
        </is>
      </c>
      <c r="B271" t="inlineStr">
        <is>
          <t>avverkningsanmälan</t>
        </is>
      </c>
      <c r="C271" t="inlineStr">
        <is>
          <t>Föryngringsavverkning</t>
        </is>
      </c>
      <c r="D271" s="1" t="n">
        <v>45000</v>
      </c>
      <c r="E271" s="1" t="n">
        <v>46290</v>
      </c>
      <c r="F271" t="inlineStr">
        <is>
          <t>GOTLANDS LÄN</t>
        </is>
      </c>
      <c r="G271" t="inlineStr">
        <is>
          <t>GOTLAND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999-2024</t>
        </is>
      </c>
      <c r="B272" t="inlineStr">
        <is>
          <t>avverkningsanmälan</t>
        </is>
      </c>
      <c r="C272" t="inlineStr">
        <is>
          <t>Föryngringsavverkning</t>
        </is>
      </c>
      <c r="D272" s="1" t="n">
        <v>45301</v>
      </c>
      <c r="E272" s="1" t="n">
        <v>46290</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65901-2021</t>
        </is>
      </c>
      <c r="B273" t="inlineStr">
        <is>
          <t>avverkningsanmälan</t>
        </is>
      </c>
      <c r="C273" t="inlineStr">
        <is>
          <t>Föryngringsavverkning</t>
        </is>
      </c>
      <c r="D273" s="1" t="n">
        <v>44516</v>
      </c>
      <c r="E273" s="1" t="n">
        <v>46290</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47762-2023</t>
        </is>
      </c>
      <c r="B274" t="inlineStr">
        <is>
          <t>avverkningsanmälan</t>
        </is>
      </c>
      <c r="C274" t="inlineStr">
        <is>
          <t>Föryngringsavverkning</t>
        </is>
      </c>
      <c r="D274" s="1" t="n">
        <v>45203</v>
      </c>
      <c r="E274" s="1" t="n">
        <v>46290</v>
      </c>
      <c r="F274" t="inlineStr">
        <is>
          <t>GOTLANDS LÄN</t>
        </is>
      </c>
      <c r="G274" t="inlineStr">
        <is>
          <t>GOTLAND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43790-2024</t>
        </is>
      </c>
      <c r="B275" t="inlineStr">
        <is>
          <t>avverkningsanmälan</t>
        </is>
      </c>
      <c r="C275" t="inlineStr">
        <is>
          <t>Föryngringsavverkning</t>
        </is>
      </c>
      <c r="D275" s="1" t="n">
        <v>45571</v>
      </c>
      <c r="E275" s="1" t="n">
        <v>46290</v>
      </c>
      <c r="F275" t="inlineStr">
        <is>
          <t>GOTLANDS LÄN</t>
        </is>
      </c>
      <c r="G275" t="inlineStr">
        <is>
          <t>GOTLAND</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17847-2025</t>
        </is>
      </c>
      <c r="B276" t="inlineStr">
        <is>
          <t>avverkningsanmälan</t>
        </is>
      </c>
      <c r="C276" t="inlineStr">
        <is>
          <t>Föryngringsavverkning</t>
        </is>
      </c>
      <c r="D276" s="1" t="n">
        <v>45758</v>
      </c>
      <c r="E276" s="1" t="n">
        <v>46290</v>
      </c>
      <c r="F276" t="inlineStr">
        <is>
          <t>GOTLANDS LÄN</t>
        </is>
      </c>
      <c r="G276" t="inlineStr">
        <is>
          <t>GOTLAND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18742-2025</t>
        </is>
      </c>
      <c r="B277" t="inlineStr">
        <is>
          <t>avverkningsanmälan</t>
        </is>
      </c>
      <c r="C277" t="inlineStr">
        <is>
          <t>Avverkning för annat ändamål</t>
        </is>
      </c>
      <c r="D277" s="1" t="n">
        <v>45763</v>
      </c>
      <c r="E277" s="1" t="n">
        <v>46290</v>
      </c>
      <c r="F277" t="inlineStr">
        <is>
          <t>GOTLANDS LÄN</t>
        </is>
      </c>
      <c r="G277" t="inlineStr">
        <is>
          <t>GOTLAND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35129-2025</t>
        </is>
      </c>
      <c r="B278" t="inlineStr">
        <is>
          <t>avverkningsanmälan</t>
        </is>
      </c>
      <c r="C278" t="inlineStr">
        <is>
          <t>Föryngringsavverkning</t>
        </is>
      </c>
      <c r="D278" s="1" t="n">
        <v>45852</v>
      </c>
      <c r="E278" s="1" t="n">
        <v>46290</v>
      </c>
      <c r="F278" t="inlineStr">
        <is>
          <t>GOTLANDS LÄN</t>
        </is>
      </c>
      <c r="G278" t="inlineStr">
        <is>
          <t>GOTLAND</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58780-2024</t>
        </is>
      </c>
      <c r="B279" t="inlineStr">
        <is>
          <t>avverkningsanmälan</t>
        </is>
      </c>
      <c r="C279" t="inlineStr">
        <is>
          <t>Föryngringsavverkning</t>
        </is>
      </c>
      <c r="D279" s="1" t="n">
        <v>45635</v>
      </c>
      <c r="E279" s="1" t="n">
        <v>46290</v>
      </c>
      <c r="F279" t="inlineStr">
        <is>
          <t>GOTLANDS LÄN</t>
        </is>
      </c>
      <c r="G279" t="inlineStr">
        <is>
          <t>GOTLAND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12322-2025</t>
        </is>
      </c>
      <c r="B280" t="inlineStr">
        <is>
          <t>avverkningsanmälan</t>
        </is>
      </c>
      <c r="C280" t="inlineStr">
        <is>
          <t>Föryngringsavverkning</t>
        </is>
      </c>
      <c r="D280" s="1" t="n">
        <v>45730</v>
      </c>
      <c r="E280" s="1" t="n">
        <v>46290</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24192-2023</t>
        </is>
      </c>
      <c r="B281" t="inlineStr">
        <is>
          <t>avverkningsanmälan</t>
        </is>
      </c>
      <c r="C281" t="inlineStr">
        <is>
          <t>Föryngringsavverkning</t>
        </is>
      </c>
      <c r="D281" s="1" t="n">
        <v>45079</v>
      </c>
      <c r="E281" s="1" t="n">
        <v>46290</v>
      </c>
      <c r="F281" t="inlineStr">
        <is>
          <t>GOTLANDS LÄN</t>
        </is>
      </c>
      <c r="G281" t="inlineStr">
        <is>
          <t>GOTLAND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30282-2022</t>
        </is>
      </c>
      <c r="B282" t="inlineStr">
        <is>
          <t>avverkningsanmälan</t>
        </is>
      </c>
      <c r="C282" t="inlineStr">
        <is>
          <t>Föryngringsavverkning</t>
        </is>
      </c>
      <c r="D282" s="1" t="n">
        <v>44760</v>
      </c>
      <c r="E282" s="1" t="n">
        <v>46290</v>
      </c>
      <c r="F282" t="inlineStr">
        <is>
          <t>GOTLANDS LÄN</t>
        </is>
      </c>
      <c r="G282" t="inlineStr">
        <is>
          <t>GOTLAND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35142-2025</t>
        </is>
      </c>
      <c r="B283" t="inlineStr">
        <is>
          <t>avverkningsanmälan</t>
        </is>
      </c>
      <c r="C283" t="inlineStr">
        <is>
          <t>Föryngringsavverkning</t>
        </is>
      </c>
      <c r="D283" s="1" t="n">
        <v>45852</v>
      </c>
      <c r="E283" s="1" t="n">
        <v>46290</v>
      </c>
      <c r="F283" t="inlineStr">
        <is>
          <t>GOTLANDS LÄN</t>
        </is>
      </c>
      <c r="G283" t="inlineStr">
        <is>
          <t>GOTLAND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7835-2024</t>
        </is>
      </c>
      <c r="B284" t="inlineStr">
        <is>
          <t>avverkningsanmälan</t>
        </is>
      </c>
      <c r="C284" t="inlineStr">
        <is>
          <t>Föryngringsavverkning</t>
        </is>
      </c>
      <c r="D284" s="1" t="n">
        <v>45349</v>
      </c>
      <c r="E284" s="1" t="n">
        <v>46290</v>
      </c>
      <c r="F284" t="inlineStr">
        <is>
          <t>GOTLANDS LÄN</t>
        </is>
      </c>
      <c r="G284" t="inlineStr">
        <is>
          <t>GOTLAND</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25796-2025</t>
        </is>
      </c>
      <c r="B285" t="inlineStr">
        <is>
          <t>avverkningsanmälan</t>
        </is>
      </c>
      <c r="C285" t="inlineStr">
        <is>
          <t>Föryngringsavverkning</t>
        </is>
      </c>
      <c r="D285" s="1" t="n">
        <v>45804</v>
      </c>
      <c r="E285" s="1" t="n">
        <v>46290</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10650-2022</t>
        </is>
      </c>
      <c r="B286" t="inlineStr">
        <is>
          <t>avverkningsanmälan</t>
        </is>
      </c>
      <c r="C286" t="inlineStr">
        <is>
          <t>Föryngringsavverkning</t>
        </is>
      </c>
      <c r="D286" s="1" t="n">
        <v>44624</v>
      </c>
      <c r="E286" s="1" t="n">
        <v>46290</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1854-2026</t>
        </is>
      </c>
      <c r="B287" t="inlineStr">
        <is>
          <t>avverkningsanmälan</t>
        </is>
      </c>
      <c r="C287" t="inlineStr">
        <is>
          <t>Föryngringsavverkning</t>
        </is>
      </c>
      <c r="D287" s="1" t="n">
        <v>46035</v>
      </c>
      <c r="E287" s="1" t="n">
        <v>46290</v>
      </c>
      <c r="F287" t="inlineStr">
        <is>
          <t>GOTLANDS LÄN</t>
        </is>
      </c>
      <c r="G287" t="inlineStr">
        <is>
          <t>GOTLAND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35141-2025</t>
        </is>
      </c>
      <c r="B288" t="inlineStr">
        <is>
          <t>avverkningsanmälan</t>
        </is>
      </c>
      <c r="C288" t="inlineStr">
        <is>
          <t>Föryngringsavverkning</t>
        </is>
      </c>
      <c r="D288" s="1" t="n">
        <v>45852</v>
      </c>
      <c r="E288" s="1" t="n">
        <v>46290</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21142-2025</t>
        </is>
      </c>
      <c r="B289" t="inlineStr">
        <is>
          <t>avverkningsanmälan</t>
        </is>
      </c>
      <c r="C289" t="inlineStr">
        <is>
          <t>Föryngringsavverkning</t>
        </is>
      </c>
      <c r="D289" s="1" t="n">
        <v>45779</v>
      </c>
      <c r="E289" s="1" t="n">
        <v>46290</v>
      </c>
      <c r="F289" t="inlineStr">
        <is>
          <t>GOTLANDS LÄN</t>
        </is>
      </c>
      <c r="G289" t="inlineStr">
        <is>
          <t>GOTLAND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6108-2025</t>
        </is>
      </c>
      <c r="B290" t="inlineStr">
        <is>
          <t>avverkningsanmälan</t>
        </is>
      </c>
      <c r="C290" t="inlineStr">
        <is>
          <t>Föryngringsavverkning</t>
        </is>
      </c>
      <c r="D290" s="1" t="n">
        <v>45698</v>
      </c>
      <c r="E290" s="1" t="n">
        <v>46290</v>
      </c>
      <c r="F290" t="inlineStr">
        <is>
          <t>GOTLANDS LÄN</t>
        </is>
      </c>
      <c r="G290" t="inlineStr">
        <is>
          <t>GOTLAND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17343-2025</t>
        </is>
      </c>
      <c r="B291" t="inlineStr">
        <is>
          <t>avverkningsanmälan</t>
        </is>
      </c>
      <c r="C291" t="inlineStr">
        <is>
          <t>Föryngringsavverkning</t>
        </is>
      </c>
      <c r="D291" s="1" t="n">
        <v>45756</v>
      </c>
      <c r="E291" s="1" t="n">
        <v>46290</v>
      </c>
      <c r="F291" t="inlineStr">
        <is>
          <t>GOTLANDS LÄN</t>
        </is>
      </c>
      <c r="G291" t="inlineStr">
        <is>
          <t>GOTLAND</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46290</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20307-2025</t>
        </is>
      </c>
      <c r="B293" t="inlineStr">
        <is>
          <t>avverkningsanmälan</t>
        </is>
      </c>
      <c r="C293" t="inlineStr">
        <is>
          <t>Föryngringsavverkning</t>
        </is>
      </c>
      <c r="D293" s="1" t="n">
        <v>45774</v>
      </c>
      <c r="E293" s="1" t="n">
        <v>46290</v>
      </c>
      <c r="F293" t="inlineStr">
        <is>
          <t>GOTLANDS LÄN</t>
        </is>
      </c>
      <c r="G293" t="inlineStr">
        <is>
          <t>GOTLAND</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28425-2023</t>
        </is>
      </c>
      <c r="B294" t="inlineStr">
        <is>
          <t>avverkningsanmälan</t>
        </is>
      </c>
      <c r="C294" t="inlineStr">
        <is>
          <t>Föryngringsavverkning</t>
        </is>
      </c>
      <c r="D294" s="1" t="n">
        <v>45102</v>
      </c>
      <c r="E294" s="1" t="n">
        <v>46290</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13037-2025</t>
        </is>
      </c>
      <c r="B295" t="inlineStr">
        <is>
          <t>avverkningsanmälan</t>
        </is>
      </c>
      <c r="C295" t="inlineStr">
        <is>
          <t>Avverkning för att bevara och utveckla /försöksver</t>
        </is>
      </c>
      <c r="D295" s="1" t="n">
        <v>45734</v>
      </c>
      <c r="E295" s="1" t="n">
        <v>46290</v>
      </c>
      <c r="F295" t="inlineStr">
        <is>
          <t>GOTLANDS LÄN</t>
        </is>
      </c>
      <c r="G295" t="inlineStr">
        <is>
          <t>GOTLAND</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39816-2025</t>
        </is>
      </c>
      <c r="B296" t="inlineStr">
        <is>
          <t>avverkningsanmälan</t>
        </is>
      </c>
      <c r="C296" t="inlineStr">
        <is>
          <t>Föryngringsavverkning</t>
        </is>
      </c>
      <c r="D296" s="1" t="n">
        <v>45891</v>
      </c>
      <c r="E296" s="1" t="n">
        <v>46290</v>
      </c>
      <c r="F296" t="inlineStr">
        <is>
          <t>GOTLANDS LÄN</t>
        </is>
      </c>
      <c r="G296" t="inlineStr">
        <is>
          <t>GOTLAND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40372-2025</t>
        </is>
      </c>
      <c r="B297" t="inlineStr">
        <is>
          <t>avverkningsanmälan</t>
        </is>
      </c>
      <c r="C297" t="inlineStr">
        <is>
          <t>Föryngringsavverkning</t>
        </is>
      </c>
      <c r="D297" s="1" t="n">
        <v>45895</v>
      </c>
      <c r="E297" s="1" t="n">
        <v>46290</v>
      </c>
      <c r="F297" t="inlineStr">
        <is>
          <t>GOTLANDS LÄN</t>
        </is>
      </c>
      <c r="G297" t="inlineStr">
        <is>
          <t>GOTLAND</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40373-2025</t>
        </is>
      </c>
      <c r="B298" t="inlineStr">
        <is>
          <t>avverkningsanmälan</t>
        </is>
      </c>
      <c r="C298" t="inlineStr">
        <is>
          <t>Föryngringsavverkning</t>
        </is>
      </c>
      <c r="D298" s="1" t="n">
        <v>45895</v>
      </c>
      <c r="E298" s="1" t="n">
        <v>46290</v>
      </c>
      <c r="F298" t="inlineStr">
        <is>
          <t>GOTLANDS LÄN</t>
        </is>
      </c>
      <c r="G298" t="inlineStr">
        <is>
          <t>GOTLAND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2180-2025</t>
        </is>
      </c>
      <c r="B299" t="inlineStr">
        <is>
          <t>avverkningsanmälan</t>
        </is>
      </c>
      <c r="C299" t="inlineStr">
        <is>
          <t>Föryngringsavverkning</t>
        </is>
      </c>
      <c r="D299" s="1" t="n">
        <v>45673</v>
      </c>
      <c r="E299" s="1" t="n">
        <v>46290</v>
      </c>
      <c r="F299" t="inlineStr">
        <is>
          <t>GOTLANDS LÄN</t>
        </is>
      </c>
      <c r="G299" t="inlineStr">
        <is>
          <t>GOTLAND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13910-2025</t>
        </is>
      </c>
      <c r="B300" t="inlineStr">
        <is>
          <t>avverkningsanmälan</t>
        </is>
      </c>
      <c r="C300" t="inlineStr">
        <is>
          <t>Föryngringsavverkning</t>
        </is>
      </c>
      <c r="D300" s="1" t="n">
        <v>45737</v>
      </c>
      <c r="E300" s="1" t="n">
        <v>46290</v>
      </c>
      <c r="F300" t="inlineStr">
        <is>
          <t>GOTLANDS LÄN</t>
        </is>
      </c>
      <c r="G300" t="inlineStr">
        <is>
          <t>GOTLAND</t>
        </is>
      </c>
      <c r="H300" t="inlineStr">
        <is>
          <t>Kommuner</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10746-2025</t>
        </is>
      </c>
      <c r="B301" t="inlineStr">
        <is>
          <t>avverkningsanmälan</t>
        </is>
      </c>
      <c r="C301" t="inlineStr">
        <is>
          <t>Föryngringsavverkning</t>
        </is>
      </c>
      <c r="D301" s="1" t="n">
        <v>45722</v>
      </c>
      <c r="E301" s="1" t="n">
        <v>46290</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12599-2025</t>
        </is>
      </c>
      <c r="B302" t="inlineStr">
        <is>
          <t>avverkningsanmälan</t>
        </is>
      </c>
      <c r="C302" t="inlineStr">
        <is>
          <t>Föryngringsavverkning</t>
        </is>
      </c>
      <c r="D302" s="1" t="n">
        <v>45733</v>
      </c>
      <c r="E302" s="1" t="n">
        <v>46290</v>
      </c>
      <c r="F302" t="inlineStr">
        <is>
          <t>GOTLANDS LÄN</t>
        </is>
      </c>
      <c r="G302" t="inlineStr">
        <is>
          <t>GOTLAND</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43229-2023</t>
        </is>
      </c>
      <c r="B303" t="inlineStr">
        <is>
          <t>avverkningsanmälan</t>
        </is>
      </c>
      <c r="C303" t="inlineStr">
        <is>
          <t>Föryngringsavverkning</t>
        </is>
      </c>
      <c r="D303" s="1" t="n">
        <v>45183</v>
      </c>
      <c r="E303" s="1" t="n">
        <v>46290</v>
      </c>
      <c r="F303" t="inlineStr">
        <is>
          <t>GOTLANDS LÄN</t>
        </is>
      </c>
      <c r="G303" t="inlineStr">
        <is>
          <t>GOTLAND</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41038-2023</t>
        </is>
      </c>
      <c r="B304" t="inlineStr">
        <is>
          <t>avverkningsanmälan</t>
        </is>
      </c>
      <c r="C304" t="inlineStr">
        <is>
          <t>Föryngringsavverkning</t>
        </is>
      </c>
      <c r="D304" s="1" t="n">
        <v>45173</v>
      </c>
      <c r="E304" s="1" t="n">
        <v>46290</v>
      </c>
      <c r="F304" t="inlineStr">
        <is>
          <t>GOTLANDS LÄN</t>
        </is>
      </c>
      <c r="G304" t="inlineStr">
        <is>
          <t>GOTLAND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43951-2025</t>
        </is>
      </c>
      <c r="B305" t="inlineStr">
        <is>
          <t>avverkningsanmälan</t>
        </is>
      </c>
      <c r="C305" t="inlineStr">
        <is>
          <t>Föryngringsavverkning</t>
        </is>
      </c>
      <c r="D305" s="1" t="n">
        <v>45915</v>
      </c>
      <c r="E305" s="1" t="n">
        <v>46290</v>
      </c>
      <c r="F305" t="inlineStr">
        <is>
          <t>GOTLANDS LÄN</t>
        </is>
      </c>
      <c r="G305" t="inlineStr">
        <is>
          <t>GOTLAND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20356-2022</t>
        </is>
      </c>
      <c r="B306" t="inlineStr">
        <is>
          <t>avverkningsanmälan</t>
        </is>
      </c>
      <c r="C306" t="inlineStr">
        <is>
          <t>Avverkning för annat ändamål</t>
        </is>
      </c>
      <c r="D306" s="1" t="n">
        <v>44699</v>
      </c>
      <c r="E306" s="1" t="n">
        <v>46290</v>
      </c>
      <c r="F306" t="inlineStr">
        <is>
          <t>GOTLANDS LÄN</t>
        </is>
      </c>
      <c r="G306" t="inlineStr">
        <is>
          <t>GOTLAND</t>
        </is>
      </c>
      <c r="H306" t="inlineStr">
        <is>
          <t>Övriga Aktiebolag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45112-2024</t>
        </is>
      </c>
      <c r="B307" t="inlineStr">
        <is>
          <t>avverkningsanmälan</t>
        </is>
      </c>
      <c r="C307" t="inlineStr">
        <is>
          <t>Föryngringsavverkning</t>
        </is>
      </c>
      <c r="D307" s="1" t="n">
        <v>45575</v>
      </c>
      <c r="E307" s="1" t="n">
        <v>46290</v>
      </c>
      <c r="F307" t="inlineStr">
        <is>
          <t>GOTLANDS LÄN</t>
        </is>
      </c>
      <c r="G307" t="inlineStr">
        <is>
          <t>GOTLAND</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57652-2023</t>
        </is>
      </c>
      <c r="B308" t="inlineStr">
        <is>
          <t>avverkningsanmälan</t>
        </is>
      </c>
      <c r="C308" t="inlineStr">
        <is>
          <t>Avverkning för annat ändamål</t>
        </is>
      </c>
      <c r="D308" s="1" t="n">
        <v>45246</v>
      </c>
      <c r="E308" s="1" t="n">
        <v>46290</v>
      </c>
      <c r="F308" t="inlineStr">
        <is>
          <t>GOTLANDS LÄN</t>
        </is>
      </c>
      <c r="G308" t="inlineStr">
        <is>
          <t>GOTLAND</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57522-2022</t>
        </is>
      </c>
      <c r="B309" t="inlineStr">
        <is>
          <t>avverkningsanmälan</t>
        </is>
      </c>
      <c r="C309" t="inlineStr">
        <is>
          <t>Föryngringsavverkning</t>
        </is>
      </c>
      <c r="D309" s="1" t="n">
        <v>44896</v>
      </c>
      <c r="E309" s="1" t="n">
        <v>46290</v>
      </c>
      <c r="F309" t="inlineStr">
        <is>
          <t>GOTLANDS LÄN</t>
        </is>
      </c>
      <c r="G309" t="inlineStr">
        <is>
          <t>GOTLAND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14797-2024</t>
        </is>
      </c>
      <c r="B310" t="inlineStr">
        <is>
          <t>avverkningsanmälan</t>
        </is>
      </c>
      <c r="C310" t="inlineStr">
        <is>
          <t>Föryngringsavverkning</t>
        </is>
      </c>
      <c r="D310" s="1" t="n">
        <v>45397</v>
      </c>
      <c r="E310" s="1" t="n">
        <v>46290</v>
      </c>
      <c r="F310" t="inlineStr">
        <is>
          <t>GOTLANDS LÄN</t>
        </is>
      </c>
      <c r="G310" t="inlineStr">
        <is>
          <t>GOTLAND</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46290</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7837-2024</t>
        </is>
      </c>
      <c r="B312" t="inlineStr">
        <is>
          <t>avverkningsanmälan</t>
        </is>
      </c>
      <c r="C312" t="inlineStr">
        <is>
          <t>Föryngringsavverkning</t>
        </is>
      </c>
      <c r="D312" s="1" t="n">
        <v>45349</v>
      </c>
      <c r="E312" s="1" t="n">
        <v>46290</v>
      </c>
      <c r="F312" t="inlineStr">
        <is>
          <t>GOTLANDS LÄN</t>
        </is>
      </c>
      <c r="G312" t="inlineStr">
        <is>
          <t>GOTLAND</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46290</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47637-2025</t>
        </is>
      </c>
      <c r="B314" t="inlineStr">
        <is>
          <t>avverkningsanmälan</t>
        </is>
      </c>
      <c r="C314" t="inlineStr">
        <is>
          <t>Föryngringsavverkning</t>
        </is>
      </c>
      <c r="D314" s="1" t="n">
        <v>45931</v>
      </c>
      <c r="E314" s="1" t="n">
        <v>46290</v>
      </c>
      <c r="F314" t="inlineStr">
        <is>
          <t>GOTLANDS LÄN</t>
        </is>
      </c>
      <c r="G314" t="inlineStr">
        <is>
          <t>GOTLAND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1394-2023</t>
        </is>
      </c>
      <c r="B315" t="inlineStr">
        <is>
          <t>avverkningsanmälan</t>
        </is>
      </c>
      <c r="C315" t="inlineStr">
        <is>
          <t>Föryngringsavverkning</t>
        </is>
      </c>
      <c r="D315" s="1" t="n">
        <v>44936</v>
      </c>
      <c r="E315" s="1" t="n">
        <v>46290</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2676-2023</t>
        </is>
      </c>
      <c r="B316" t="inlineStr">
        <is>
          <t>avverkningsanmälan</t>
        </is>
      </c>
      <c r="C316" t="inlineStr">
        <is>
          <t>Avverkning för annat ändamål</t>
        </is>
      </c>
      <c r="D316" s="1" t="n">
        <v>44944</v>
      </c>
      <c r="E316" s="1" t="n">
        <v>46290</v>
      </c>
      <c r="F316" t="inlineStr">
        <is>
          <t>GOTLANDS LÄN</t>
        </is>
      </c>
      <c r="G316" t="inlineStr">
        <is>
          <t>GOTLAND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4387-2023</t>
        </is>
      </c>
      <c r="B317" t="inlineStr">
        <is>
          <t>avverkningsanmälan</t>
        </is>
      </c>
      <c r="C317" t="inlineStr">
        <is>
          <t>Föryngringsavverkning</t>
        </is>
      </c>
      <c r="D317" s="1" t="n">
        <v>44955</v>
      </c>
      <c r="E317" s="1" t="n">
        <v>46290</v>
      </c>
      <c r="F317" t="inlineStr">
        <is>
          <t>GOTLANDS LÄN</t>
        </is>
      </c>
      <c r="G317" t="inlineStr">
        <is>
          <t>GOTLAND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37728-2024</t>
        </is>
      </c>
      <c r="B318" t="inlineStr">
        <is>
          <t>avverkningsanmälan</t>
        </is>
      </c>
      <c r="C318" t="inlineStr">
        <is>
          <t>Föryngringsavverkning</t>
        </is>
      </c>
      <c r="D318" s="1" t="n">
        <v>45541</v>
      </c>
      <c r="E318" s="1" t="n">
        <v>46290</v>
      </c>
      <c r="F318" t="inlineStr">
        <is>
          <t>GOTLANDS LÄN</t>
        </is>
      </c>
      <c r="G318" t="inlineStr">
        <is>
          <t>GOTLAND</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35537-2025</t>
        </is>
      </c>
      <c r="B319" t="inlineStr">
        <is>
          <t>avverkningsanmälan</t>
        </is>
      </c>
      <c r="C319" t="inlineStr">
        <is>
          <t>Föryngringsavverkning</t>
        </is>
      </c>
      <c r="D319" s="1" t="n">
        <v>45856</v>
      </c>
      <c r="E319" s="1" t="n">
        <v>46290</v>
      </c>
      <c r="F319" t="inlineStr">
        <is>
          <t>GOTLANDS LÄN</t>
        </is>
      </c>
      <c r="G319" t="inlineStr">
        <is>
          <t>GOTLAND</t>
        </is>
      </c>
      <c r="I319" t="n">
        <v>16.8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46290</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47578-2025</t>
        </is>
      </c>
      <c r="B321" t="inlineStr">
        <is>
          <t>avverkningsanmälan</t>
        </is>
      </c>
      <c r="C321" t="inlineStr">
        <is>
          <t>Avverkning för annat ändamål</t>
        </is>
      </c>
      <c r="D321" s="1" t="n">
        <v>45931</v>
      </c>
      <c r="E321" s="1" t="n">
        <v>46290</v>
      </c>
      <c r="F321" t="inlineStr">
        <is>
          <t>GOTLANDS LÄN</t>
        </is>
      </c>
      <c r="G321" t="inlineStr">
        <is>
          <t>GOTLAND</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20225-2025</t>
        </is>
      </c>
      <c r="B322" t="inlineStr">
        <is>
          <t>avverkningsanmälan</t>
        </is>
      </c>
      <c r="C322" t="inlineStr">
        <is>
          <t>Föryngringsavverkning</t>
        </is>
      </c>
      <c r="D322" s="1" t="n">
        <v>45772</v>
      </c>
      <c r="E322" s="1" t="n">
        <v>46290</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49690-2025</t>
        </is>
      </c>
      <c r="B323" t="inlineStr">
        <is>
          <t>avverkningsanmälan</t>
        </is>
      </c>
      <c r="C323" t="inlineStr">
        <is>
          <t>Föryngringsavverkning</t>
        </is>
      </c>
      <c r="D323" s="1" t="n">
        <v>45939</v>
      </c>
      <c r="E323" s="1" t="n">
        <v>46290</v>
      </c>
      <c r="F323" t="inlineStr">
        <is>
          <t>GOTLANDS LÄN</t>
        </is>
      </c>
      <c r="G323" t="inlineStr">
        <is>
          <t>GOTLAND</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22275-2023</t>
        </is>
      </c>
      <c r="B324" t="inlineStr">
        <is>
          <t>avverkningsanmälan</t>
        </is>
      </c>
      <c r="C324" t="inlineStr">
        <is>
          <t>Föryngringsavverkning</t>
        </is>
      </c>
      <c r="D324" s="1" t="n">
        <v>45070</v>
      </c>
      <c r="E324" s="1" t="n">
        <v>46290</v>
      </c>
      <c r="F324" t="inlineStr">
        <is>
          <t>GOTLANDS LÄN</t>
        </is>
      </c>
      <c r="G324" t="inlineStr">
        <is>
          <t>GOTLAND</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14635-2023</t>
        </is>
      </c>
      <c r="B325" t="inlineStr">
        <is>
          <t>avverkningsanmälan</t>
        </is>
      </c>
      <c r="C325" t="inlineStr">
        <is>
          <t>Föryngringsavverkning</t>
        </is>
      </c>
      <c r="D325" s="1" t="n">
        <v>45013</v>
      </c>
      <c r="E325" s="1" t="n">
        <v>46290</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63763-2023</t>
        </is>
      </c>
      <c r="B326" t="inlineStr">
        <is>
          <t>avverkningsanmälan</t>
        </is>
      </c>
      <c r="C326" t="inlineStr">
        <is>
          <t>Föryngringsavverkning</t>
        </is>
      </c>
      <c r="D326" s="1" t="n">
        <v>45278</v>
      </c>
      <c r="E326" s="1" t="n">
        <v>46290</v>
      </c>
      <c r="F326" t="inlineStr">
        <is>
          <t>GOTLANDS LÄN</t>
        </is>
      </c>
      <c r="G326" t="inlineStr">
        <is>
          <t>GOTLAND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7636-2025</t>
        </is>
      </c>
      <c r="B327" t="inlineStr">
        <is>
          <t>avverkningsanmälan</t>
        </is>
      </c>
      <c r="C327" t="inlineStr">
        <is>
          <t>Föryngringsavverkning</t>
        </is>
      </c>
      <c r="D327" s="1" t="n">
        <v>45705</v>
      </c>
      <c r="E327" s="1" t="n">
        <v>46290</v>
      </c>
      <c r="F327" t="inlineStr">
        <is>
          <t>GOTLANDS LÄN</t>
        </is>
      </c>
      <c r="G327" t="inlineStr">
        <is>
          <t>GOTLAND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7639-2025</t>
        </is>
      </c>
      <c r="B328" t="inlineStr">
        <is>
          <t>avverkningsanmälan</t>
        </is>
      </c>
      <c r="C328" t="inlineStr">
        <is>
          <t>Föryngringsavverkning</t>
        </is>
      </c>
      <c r="D328" s="1" t="n">
        <v>45705</v>
      </c>
      <c r="E328" s="1" t="n">
        <v>46290</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49730-2025</t>
        </is>
      </c>
      <c r="B329" t="inlineStr">
        <is>
          <t>avverkningsanmälan</t>
        </is>
      </c>
      <c r="C329" t="inlineStr">
        <is>
          <t>Föryngringsavverkning</t>
        </is>
      </c>
      <c r="D329" s="1" t="n">
        <v>45939</v>
      </c>
      <c r="E329" s="1" t="n">
        <v>46290</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6959-2026</t>
        </is>
      </c>
      <c r="B330" t="inlineStr">
        <is>
          <t>avverkningsanmälan</t>
        </is>
      </c>
      <c r="C330" t="inlineStr">
        <is>
          <t>Föryngringsavverkning</t>
        </is>
      </c>
      <c r="D330" s="1" t="n">
        <v>46057</v>
      </c>
      <c r="E330" s="1" t="n">
        <v>46290</v>
      </c>
      <c r="F330" t="inlineStr">
        <is>
          <t>GOTLANDS LÄN</t>
        </is>
      </c>
      <c r="G330" t="inlineStr">
        <is>
          <t>GOTLAND</t>
        </is>
      </c>
      <c r="H330" t="inlineStr">
        <is>
          <t>Kyrkan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61682-2024</t>
        </is>
      </c>
      <c r="B331" t="inlineStr">
        <is>
          <t>avverkningsanmälan</t>
        </is>
      </c>
      <c r="C331" t="inlineStr">
        <is>
          <t>Föryngringsavverkning</t>
        </is>
      </c>
      <c r="D331" s="1" t="n">
        <v>45647</v>
      </c>
      <c r="E331" s="1" t="n">
        <v>46290</v>
      </c>
      <c r="F331" t="inlineStr">
        <is>
          <t>GOTLANDS LÄN</t>
        </is>
      </c>
      <c r="G331" t="inlineStr">
        <is>
          <t>GOTLAND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15434-2024</t>
        </is>
      </c>
      <c r="B332" t="inlineStr">
        <is>
          <t>avverkningsanmälan</t>
        </is>
      </c>
      <c r="C332" t="inlineStr">
        <is>
          <t>Föryngringsavverkning</t>
        </is>
      </c>
      <c r="D332" s="1" t="n">
        <v>45401</v>
      </c>
      <c r="E332" s="1" t="n">
        <v>46290</v>
      </c>
      <c r="F332" t="inlineStr">
        <is>
          <t>GOTLANDS LÄN</t>
        </is>
      </c>
      <c r="G332" t="inlineStr">
        <is>
          <t>GOTLAND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7034-2023</t>
        </is>
      </c>
      <c r="B333" t="inlineStr">
        <is>
          <t>avverkningsanmälan</t>
        </is>
      </c>
      <c r="C333" t="inlineStr">
        <is>
          <t>Föryngringsavverkning</t>
        </is>
      </c>
      <c r="D333" s="1" t="n">
        <v>44968</v>
      </c>
      <c r="E333" s="1" t="n">
        <v>46290</v>
      </c>
      <c r="F333" t="inlineStr">
        <is>
          <t>GOTLANDS LÄN</t>
        </is>
      </c>
      <c r="G333" t="inlineStr">
        <is>
          <t>GOTLAND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29207-2025</t>
        </is>
      </c>
      <c r="B334" t="inlineStr">
        <is>
          <t>avverkningsanmälan</t>
        </is>
      </c>
      <c r="C334" t="inlineStr">
        <is>
          <t>Föryngringsavverkning</t>
        </is>
      </c>
      <c r="D334" s="1" t="n">
        <v>45823</v>
      </c>
      <c r="E334" s="1" t="n">
        <v>46290</v>
      </c>
      <c r="F334" t="inlineStr">
        <is>
          <t>GOTLANDS LÄN</t>
        </is>
      </c>
      <c r="G334" t="inlineStr">
        <is>
          <t>GOTLAND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54074-2022</t>
        </is>
      </c>
      <c r="B335" t="inlineStr">
        <is>
          <t>avverkningsanmälan</t>
        </is>
      </c>
      <c r="C335" t="inlineStr">
        <is>
          <t>Föryngringsavverkning</t>
        </is>
      </c>
      <c r="D335" s="1" t="n">
        <v>44881</v>
      </c>
      <c r="E335" s="1" t="n">
        <v>46290</v>
      </c>
      <c r="F335" t="inlineStr">
        <is>
          <t>GOTLANDS LÄN</t>
        </is>
      </c>
      <c r="G335" t="inlineStr">
        <is>
          <t>GOTLAND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61694-2023</t>
        </is>
      </c>
      <c r="B336" t="inlineStr">
        <is>
          <t>avverkningsanmälan</t>
        </is>
      </c>
      <c r="C336" t="inlineStr">
        <is>
          <t>Föryngringsavverkning</t>
        </is>
      </c>
      <c r="D336" s="1" t="n">
        <v>45264</v>
      </c>
      <c r="E336" s="1" t="n">
        <v>46290</v>
      </c>
      <c r="F336" t="inlineStr">
        <is>
          <t>GOTLANDS LÄN</t>
        </is>
      </c>
      <c r="G336" t="inlineStr">
        <is>
          <t>GOTLAND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54268-2022</t>
        </is>
      </c>
      <c r="B337" t="inlineStr">
        <is>
          <t>avverkningsanmälan</t>
        </is>
      </c>
      <c r="C337" t="inlineStr">
        <is>
          <t>Föryngringsavverkning</t>
        </is>
      </c>
      <c r="D337" s="1" t="n">
        <v>44882</v>
      </c>
      <c r="E337" s="1" t="n">
        <v>46290</v>
      </c>
      <c r="F337" t="inlineStr">
        <is>
          <t>GOTLANDS LÄN</t>
        </is>
      </c>
      <c r="G337" t="inlineStr">
        <is>
          <t>GOTLAND</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1446-2025</t>
        </is>
      </c>
      <c r="B338" t="inlineStr">
        <is>
          <t>avverkningsanmälan</t>
        </is>
      </c>
      <c r="C338" t="inlineStr">
        <is>
          <t>Föryngringsavverkning</t>
        </is>
      </c>
      <c r="D338" s="1" t="n">
        <v>45669</v>
      </c>
      <c r="E338" s="1" t="n">
        <v>46290</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1462-2025</t>
        </is>
      </c>
      <c r="B339" t="inlineStr">
        <is>
          <t>avverkningsanmälan</t>
        </is>
      </c>
      <c r="C339" t="inlineStr">
        <is>
          <t>Föryngringsavverkning</t>
        </is>
      </c>
      <c r="D339" s="1" t="n">
        <v>45670</v>
      </c>
      <c r="E339" s="1" t="n">
        <v>46290</v>
      </c>
      <c r="F339" t="inlineStr">
        <is>
          <t>GOTLANDS LÄN</t>
        </is>
      </c>
      <c r="G339" t="inlineStr">
        <is>
          <t>GOTLAND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57685-2022</t>
        </is>
      </c>
      <c r="B340" t="inlineStr">
        <is>
          <t>avverkningsanmälan</t>
        </is>
      </c>
      <c r="C340" t="inlineStr">
        <is>
          <t>Föryngringsavverkning</t>
        </is>
      </c>
      <c r="D340" s="1" t="n">
        <v>44897</v>
      </c>
      <c r="E340" s="1" t="n">
        <v>46290</v>
      </c>
      <c r="F340" t="inlineStr">
        <is>
          <t>GOTLANDS LÄN</t>
        </is>
      </c>
      <c r="G340" t="inlineStr">
        <is>
          <t>GOTLAND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32379-2025</t>
        </is>
      </c>
      <c r="B341" t="inlineStr">
        <is>
          <t>avverkningsanmälan</t>
        </is>
      </c>
      <c r="C341" t="inlineStr">
        <is>
          <t>Föryngringsavverkning</t>
        </is>
      </c>
      <c r="D341" s="1" t="n">
        <v>45837</v>
      </c>
      <c r="E341" s="1" t="n">
        <v>46290</v>
      </c>
      <c r="F341" t="inlineStr">
        <is>
          <t>GOTLANDS LÄN</t>
        </is>
      </c>
      <c r="G341" t="inlineStr">
        <is>
          <t>GOTLAND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811-2023</t>
        </is>
      </c>
      <c r="B342" t="inlineStr">
        <is>
          <t>avverkningsanmälan</t>
        </is>
      </c>
      <c r="C342" t="inlineStr">
        <is>
          <t>Föryngringsavverkning</t>
        </is>
      </c>
      <c r="D342" s="1" t="n">
        <v>44931</v>
      </c>
      <c r="E342" s="1" t="n">
        <v>46290</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5905-2024</t>
        </is>
      </c>
      <c r="B343" t="inlineStr">
        <is>
          <t>avverkningsanmälan</t>
        </is>
      </c>
      <c r="C343" t="inlineStr">
        <is>
          <t>Föryngringsavverkning</t>
        </is>
      </c>
      <c r="D343" s="1" t="n">
        <v>45335</v>
      </c>
      <c r="E343" s="1" t="n">
        <v>46290</v>
      </c>
      <c r="F343" t="inlineStr">
        <is>
          <t>GOTLANDS LÄN</t>
        </is>
      </c>
      <c r="G343" t="inlineStr">
        <is>
          <t>GOTLAND</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3431-2025</t>
        </is>
      </c>
      <c r="B344" t="inlineStr">
        <is>
          <t>avverkningsanmälan</t>
        </is>
      </c>
      <c r="C344" t="inlineStr">
        <is>
          <t>Föryngringsavverkning</t>
        </is>
      </c>
      <c r="D344" s="1" t="n">
        <v>45680</v>
      </c>
      <c r="E344" s="1" t="n">
        <v>46290</v>
      </c>
      <c r="F344" t="inlineStr">
        <is>
          <t>GOTLANDS LÄN</t>
        </is>
      </c>
      <c r="G344" t="inlineStr">
        <is>
          <t>GOTLAND</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34407-2023</t>
        </is>
      </c>
      <c r="B345" t="inlineStr">
        <is>
          <t>avverkningsanmälan</t>
        </is>
      </c>
      <c r="C345" t="inlineStr">
        <is>
          <t>Föryngringsavverkning</t>
        </is>
      </c>
      <c r="D345" s="1" t="n">
        <v>45132</v>
      </c>
      <c r="E345" s="1" t="n">
        <v>46290</v>
      </c>
      <c r="F345" t="inlineStr">
        <is>
          <t>GOTLANDS LÄN</t>
        </is>
      </c>
      <c r="G345" t="inlineStr">
        <is>
          <t>GOTLAND</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30892-2024</t>
        </is>
      </c>
      <c r="B346" t="inlineStr">
        <is>
          <t>avverkningsanmälan</t>
        </is>
      </c>
      <c r="C346" t="inlineStr">
        <is>
          <t>Föryngringsavverkning</t>
        </is>
      </c>
      <c r="D346" s="1" t="n">
        <v>45491</v>
      </c>
      <c r="E346" s="1" t="n">
        <v>46290</v>
      </c>
      <c r="F346" t="inlineStr">
        <is>
          <t>GOTLANDS LÄN</t>
        </is>
      </c>
      <c r="G346" t="inlineStr">
        <is>
          <t>GOTLAND</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7858-2025</t>
        </is>
      </c>
      <c r="B347" t="inlineStr">
        <is>
          <t>avverkningsanmälan</t>
        </is>
      </c>
      <c r="C347" t="inlineStr">
        <is>
          <t>Föryngringsavverkning</t>
        </is>
      </c>
      <c r="D347" s="1" t="n">
        <v>45706</v>
      </c>
      <c r="E347" s="1" t="n">
        <v>46290</v>
      </c>
      <c r="F347" t="inlineStr">
        <is>
          <t>GOTLANDS LÄN</t>
        </is>
      </c>
      <c r="G347" t="inlineStr">
        <is>
          <t>GOTLAND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2125-2025</t>
        </is>
      </c>
      <c r="B348" t="inlineStr">
        <is>
          <t>avverkningsanmälan</t>
        </is>
      </c>
      <c r="C348" t="inlineStr">
        <is>
          <t>Föryngringsavverkning</t>
        </is>
      </c>
      <c r="D348" s="1" t="n">
        <v>45672</v>
      </c>
      <c r="E348" s="1" t="n">
        <v>46290</v>
      </c>
      <c r="F348" t="inlineStr">
        <is>
          <t>GOTLANDS LÄN</t>
        </is>
      </c>
      <c r="G348" t="inlineStr">
        <is>
          <t>GOTLAND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38165-2023</t>
        </is>
      </c>
      <c r="B349" t="inlineStr">
        <is>
          <t>avverkningsanmälan</t>
        </is>
      </c>
      <c r="C349" t="inlineStr">
        <is>
          <t>Föryngringsavverkning</t>
        </is>
      </c>
      <c r="D349" s="1" t="n">
        <v>45161</v>
      </c>
      <c r="E349" s="1" t="n">
        <v>46290</v>
      </c>
      <c r="F349" t="inlineStr">
        <is>
          <t>GOTLANDS LÄN</t>
        </is>
      </c>
      <c r="G349" t="inlineStr">
        <is>
          <t>GOTLAND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12155-2023</t>
        </is>
      </c>
      <c r="B350" t="inlineStr">
        <is>
          <t>avverkningsanmälan</t>
        </is>
      </c>
      <c r="C350" t="inlineStr">
        <is>
          <t>Föryngringsavverkning</t>
        </is>
      </c>
      <c r="D350" s="1" t="n">
        <v>44998</v>
      </c>
      <c r="E350" s="1" t="n">
        <v>46290</v>
      </c>
      <c r="F350" t="inlineStr">
        <is>
          <t>GOTLANDS LÄN</t>
        </is>
      </c>
      <c r="G350" t="inlineStr">
        <is>
          <t>GOTLAND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56799-2025</t>
        </is>
      </c>
      <c r="B351" t="inlineStr">
        <is>
          <t>avverkningsanmälan</t>
        </is>
      </c>
      <c r="C351" t="inlineStr">
        <is>
          <t>Föryngringsavverkning</t>
        </is>
      </c>
      <c r="D351" s="1" t="n">
        <v>45978</v>
      </c>
      <c r="E351" s="1" t="n">
        <v>46290</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2774-2024</t>
        </is>
      </c>
      <c r="B352" t="inlineStr">
        <is>
          <t>avverkningsanmälan</t>
        </is>
      </c>
      <c r="C352" t="inlineStr">
        <is>
          <t>Föryngringsavverkning</t>
        </is>
      </c>
      <c r="D352" s="1" t="n">
        <v>45314</v>
      </c>
      <c r="E352" s="1" t="n">
        <v>46290</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9947-2024</t>
        </is>
      </c>
      <c r="B353" t="inlineStr">
        <is>
          <t>avverkningsanmälan</t>
        </is>
      </c>
      <c r="C353" t="inlineStr">
        <is>
          <t>Föryngringsavverkning</t>
        </is>
      </c>
      <c r="D353" s="1" t="n">
        <v>45363</v>
      </c>
      <c r="E353" s="1" t="n">
        <v>46290</v>
      </c>
      <c r="F353" t="inlineStr">
        <is>
          <t>GOTLANDS LÄN</t>
        </is>
      </c>
      <c r="G353" t="inlineStr">
        <is>
          <t>GOTLAND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42007-2023</t>
        </is>
      </c>
      <c r="B354" t="inlineStr">
        <is>
          <t>avverkningsanmälan</t>
        </is>
      </c>
      <c r="C354" t="inlineStr">
        <is>
          <t>Avverkning för annat ändamål</t>
        </is>
      </c>
      <c r="D354" s="1" t="n">
        <v>45177</v>
      </c>
      <c r="E354" s="1" t="n">
        <v>46290</v>
      </c>
      <c r="F354" t="inlineStr">
        <is>
          <t>GOTLANDS LÄN</t>
        </is>
      </c>
      <c r="G354" t="inlineStr">
        <is>
          <t>GOTLAND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15083-2025</t>
        </is>
      </c>
      <c r="B355" t="inlineStr">
        <is>
          <t>avverkningsanmälan</t>
        </is>
      </c>
      <c r="C355" t="inlineStr">
        <is>
          <t>Avverkning för annat ändamål</t>
        </is>
      </c>
      <c r="D355" s="1" t="n">
        <v>45743</v>
      </c>
      <c r="E355" s="1" t="n">
        <v>46290</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46290</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37202-2024</t>
        </is>
      </c>
      <c r="B357" t="inlineStr">
        <is>
          <t>avverkningsanmälan</t>
        </is>
      </c>
      <c r="C357" t="inlineStr">
        <is>
          <t>Föryngringsavverkning</t>
        </is>
      </c>
      <c r="D357" s="1" t="n">
        <v>45539</v>
      </c>
      <c r="E357" s="1" t="n">
        <v>46290</v>
      </c>
      <c r="F357" t="inlineStr">
        <is>
          <t>GOTLANDS LÄN</t>
        </is>
      </c>
      <c r="G357" t="inlineStr">
        <is>
          <t>GOTLAND</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22348-2026</t>
        </is>
      </c>
      <c r="B358" t="inlineStr">
        <is>
          <t>avverkningsanmälan</t>
        </is>
      </c>
      <c r="C358" t="inlineStr">
        <is>
          <t>Föryngringsavverkning</t>
        </is>
      </c>
      <c r="D358" s="1" t="n">
        <v>46154</v>
      </c>
      <c r="E358" s="1" t="n">
        <v>46290</v>
      </c>
      <c r="F358" t="inlineStr">
        <is>
          <t>GOTLANDS LÄN</t>
        </is>
      </c>
      <c r="G358" t="inlineStr">
        <is>
          <t>GOTLAND</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22351-2026</t>
        </is>
      </c>
      <c r="B359" t="inlineStr">
        <is>
          <t>avverkningsanmälan</t>
        </is>
      </c>
      <c r="C359" t="inlineStr">
        <is>
          <t>Föryngringsavverkning</t>
        </is>
      </c>
      <c r="D359" s="1" t="n">
        <v>46154</v>
      </c>
      <c r="E359" s="1" t="n">
        <v>46290</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22281-2026</t>
        </is>
      </c>
      <c r="B360" t="inlineStr">
        <is>
          <t>avverkningsanmälan</t>
        </is>
      </c>
      <c r="C360" t="inlineStr">
        <is>
          <t>Avverkning för annat ändamål</t>
        </is>
      </c>
      <c r="D360" s="1" t="n">
        <v>46154</v>
      </c>
      <c r="E360" s="1" t="n">
        <v>46290</v>
      </c>
      <c r="F360" t="inlineStr">
        <is>
          <t>GOTLANDS LÄN</t>
        </is>
      </c>
      <c r="G360" t="inlineStr">
        <is>
          <t>GOTLAND</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30815-2023</t>
        </is>
      </c>
      <c r="B361" t="inlineStr">
        <is>
          <t>avverkningsanmälan</t>
        </is>
      </c>
      <c r="C361" t="inlineStr">
        <is>
          <t>Avverkning för annat ändamål</t>
        </is>
      </c>
      <c r="D361" s="1" t="n">
        <v>45112</v>
      </c>
      <c r="E361" s="1" t="n">
        <v>46290</v>
      </c>
      <c r="F361" t="inlineStr">
        <is>
          <t>GOTLANDS LÄN</t>
        </is>
      </c>
      <c r="G361" t="inlineStr">
        <is>
          <t>GOTLAND</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46400-2023</t>
        </is>
      </c>
      <c r="B362" t="inlineStr">
        <is>
          <t>avverkningsanmälan</t>
        </is>
      </c>
      <c r="C362" t="inlineStr">
        <is>
          <t>Föryngringsavverkning</t>
        </is>
      </c>
      <c r="D362" s="1" t="n">
        <v>45197</v>
      </c>
      <c r="E362" s="1" t="n">
        <v>46290</v>
      </c>
      <c r="F362" t="inlineStr">
        <is>
          <t>GOTLANDS LÄN</t>
        </is>
      </c>
      <c r="G362" t="inlineStr">
        <is>
          <t>GOTLAND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10492-2023</t>
        </is>
      </c>
      <c r="B363" t="inlineStr">
        <is>
          <t>avverkningsanmälan</t>
        </is>
      </c>
      <c r="C363" t="inlineStr">
        <is>
          <t>Föryngringsavverkning</t>
        </is>
      </c>
      <c r="D363" s="1" t="n">
        <v>44987</v>
      </c>
      <c r="E363" s="1" t="n">
        <v>46290</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44919-2022</t>
        </is>
      </c>
      <c r="B364" t="inlineStr">
        <is>
          <t>avverkningsanmälan</t>
        </is>
      </c>
      <c r="C364" t="inlineStr">
        <is>
          <t>Föryngringsavverkning</t>
        </is>
      </c>
      <c r="D364" s="1" t="n">
        <v>44841</v>
      </c>
      <c r="E364" s="1" t="n">
        <v>46290</v>
      </c>
      <c r="F364" t="inlineStr">
        <is>
          <t>GOTLANDS LÄN</t>
        </is>
      </c>
      <c r="G364" t="inlineStr">
        <is>
          <t>GOTLAND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16501-2023</t>
        </is>
      </c>
      <c r="B365" t="inlineStr">
        <is>
          <t>avverkningsanmälan</t>
        </is>
      </c>
      <c r="C365" t="inlineStr">
        <is>
          <t>Avverkning för att bevara och utveckla /försöksver</t>
        </is>
      </c>
      <c r="D365" s="1" t="n">
        <v>45029</v>
      </c>
      <c r="E365" s="1" t="n">
        <v>46290</v>
      </c>
      <c r="F365" t="inlineStr">
        <is>
          <t>GOTLANDS LÄN</t>
        </is>
      </c>
      <c r="G365" t="inlineStr">
        <is>
          <t>GOTLAND</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63002-2025</t>
        </is>
      </c>
      <c r="B366" t="inlineStr">
        <is>
          <t>avverkningsanmälan</t>
        </is>
      </c>
      <c r="C366" t="inlineStr">
        <is>
          <t>Föryngringsavverkning</t>
        </is>
      </c>
      <c r="D366" s="1" t="n">
        <v>46009</v>
      </c>
      <c r="E366" s="1" t="n">
        <v>46290</v>
      </c>
      <c r="F366" t="inlineStr">
        <is>
          <t>GOTLANDS LÄN</t>
        </is>
      </c>
      <c r="G366" t="inlineStr">
        <is>
          <t>GOTLAND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27095-2022</t>
        </is>
      </c>
      <c r="B367" t="inlineStr">
        <is>
          <t>avverkningsanmälan</t>
        </is>
      </c>
      <c r="C367" t="inlineStr">
        <is>
          <t>Avverkning för annat ändamål</t>
        </is>
      </c>
      <c r="D367" s="1" t="n">
        <v>44741</v>
      </c>
      <c r="E367" s="1" t="n">
        <v>46290</v>
      </c>
      <c r="F367" t="inlineStr">
        <is>
          <t>GOTLANDS LÄN</t>
        </is>
      </c>
      <c r="G367" t="inlineStr">
        <is>
          <t>GOTLAND</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1291-2023</t>
        </is>
      </c>
      <c r="B368" t="inlineStr">
        <is>
          <t>avverkningsanmälan</t>
        </is>
      </c>
      <c r="C368" t="inlineStr">
        <is>
          <t>Föryngringsavverkning</t>
        </is>
      </c>
      <c r="D368" s="1" t="n">
        <v>44936</v>
      </c>
      <c r="E368" s="1" t="n">
        <v>46290</v>
      </c>
      <c r="F368" t="inlineStr">
        <is>
          <t>GOTLANDS LÄN</t>
        </is>
      </c>
      <c r="G368" t="inlineStr">
        <is>
          <t>GOTLAND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23103-2026</t>
        </is>
      </c>
      <c r="B369" t="inlineStr">
        <is>
          <t>avverkningsanmälan</t>
        </is>
      </c>
      <c r="C369" t="inlineStr">
        <is>
          <t>Föryngringsavverkning</t>
        </is>
      </c>
      <c r="D369" s="1" t="n">
        <v>46161</v>
      </c>
      <c r="E369" s="1" t="n">
        <v>46290</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5891-2025</t>
        </is>
      </c>
      <c r="B370" t="inlineStr">
        <is>
          <t>avverkningsanmälan</t>
        </is>
      </c>
      <c r="C370" t="inlineStr">
        <is>
          <t>Föryngringsavverkning</t>
        </is>
      </c>
      <c r="D370" s="1" t="n">
        <v>45695</v>
      </c>
      <c r="E370" s="1" t="n">
        <v>46290</v>
      </c>
      <c r="F370" t="inlineStr">
        <is>
          <t>GOTLANDS LÄN</t>
        </is>
      </c>
      <c r="G370" t="inlineStr">
        <is>
          <t>GOTLAND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2719-2023</t>
        </is>
      </c>
      <c r="B371" t="inlineStr">
        <is>
          <t>avverkningsanmälan</t>
        </is>
      </c>
      <c r="C371" t="inlineStr">
        <is>
          <t>Föryngringsavverkning</t>
        </is>
      </c>
      <c r="D371" s="1" t="n">
        <v>44944</v>
      </c>
      <c r="E371" s="1" t="n">
        <v>46290</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61078-2025</t>
        </is>
      </c>
      <c r="B372" t="inlineStr">
        <is>
          <t>avverkningsanmälan</t>
        </is>
      </c>
      <c r="C372" t="inlineStr">
        <is>
          <t>Föryngringsavverkning</t>
        </is>
      </c>
      <c r="D372" s="1" t="n">
        <v>46000</v>
      </c>
      <c r="E372" s="1" t="n">
        <v>46290</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35096-2025</t>
        </is>
      </c>
      <c r="B373" t="inlineStr">
        <is>
          <t>avverkningsanmälan</t>
        </is>
      </c>
      <c r="C373" t="inlineStr">
        <is>
          <t>Föryngringsavverkning</t>
        </is>
      </c>
      <c r="D373" s="1" t="n">
        <v>45852</v>
      </c>
      <c r="E373" s="1" t="n">
        <v>46290</v>
      </c>
      <c r="F373" t="inlineStr">
        <is>
          <t>GOTLANDS LÄN</t>
        </is>
      </c>
      <c r="G373" t="inlineStr">
        <is>
          <t>GOTLAND</t>
        </is>
      </c>
      <c r="H373" t="inlineStr">
        <is>
          <t>Kyrkan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36-2026</t>
        </is>
      </c>
      <c r="B374" t="inlineStr">
        <is>
          <t>avverkningsanmälan</t>
        </is>
      </c>
      <c r="C374" t="inlineStr">
        <is>
          <t>Föryngringsavverkning</t>
        </is>
      </c>
      <c r="D374" s="1" t="n">
        <v>46024</v>
      </c>
      <c r="E374" s="1" t="n">
        <v>46290</v>
      </c>
      <c r="F374" t="inlineStr">
        <is>
          <t>GOTLANDS LÄN</t>
        </is>
      </c>
      <c r="G374" t="inlineStr">
        <is>
          <t>GOTLAND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16361-2024</t>
        </is>
      </c>
      <c r="B375" t="inlineStr">
        <is>
          <t>avverkningsanmälan</t>
        </is>
      </c>
      <c r="C375" t="inlineStr">
        <is>
          <t>Föryngringsavverkning</t>
        </is>
      </c>
      <c r="D375" s="1" t="n">
        <v>45407</v>
      </c>
      <c r="E375" s="1" t="n">
        <v>46290</v>
      </c>
      <c r="F375" t="inlineStr">
        <is>
          <t>GOTLANDS LÄN</t>
        </is>
      </c>
      <c r="G375" t="inlineStr">
        <is>
          <t>GOTLAND</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43081-2022</t>
        </is>
      </c>
      <c r="B376" t="inlineStr">
        <is>
          <t>avverkningsanmälan</t>
        </is>
      </c>
      <c r="C376" t="inlineStr">
        <is>
          <t>Föryngringsavverkning</t>
        </is>
      </c>
      <c r="D376" s="1" t="n">
        <v>44833</v>
      </c>
      <c r="E376" s="1" t="n">
        <v>46290</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2415-2026</t>
        </is>
      </c>
      <c r="B377" t="inlineStr">
        <is>
          <t>avverkningsanmälan</t>
        </is>
      </c>
      <c r="C377" t="inlineStr">
        <is>
          <t>Föryngringsavverkning</t>
        </is>
      </c>
      <c r="D377" s="1" t="n">
        <v>46036</v>
      </c>
      <c r="E377" s="1" t="n">
        <v>46290</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42041-2024</t>
        </is>
      </c>
      <c r="B378" t="inlineStr">
        <is>
          <t>avverkningsanmälan</t>
        </is>
      </c>
      <c r="C378" t="inlineStr">
        <is>
          <t>Föryngringsavverkning</t>
        </is>
      </c>
      <c r="D378" s="1" t="n">
        <v>45561</v>
      </c>
      <c r="E378" s="1" t="n">
        <v>46290</v>
      </c>
      <c r="F378" t="inlineStr">
        <is>
          <t>GOTLANDS LÄN</t>
        </is>
      </c>
      <c r="G378" t="inlineStr">
        <is>
          <t>GOTLAND</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4646-2026</t>
        </is>
      </c>
      <c r="B379" t="inlineStr">
        <is>
          <t>avverkningsanmälan</t>
        </is>
      </c>
      <c r="C379" t="inlineStr">
        <is>
          <t>Föryngringsavverkning</t>
        </is>
      </c>
      <c r="D379" s="1" t="n">
        <v>46048</v>
      </c>
      <c r="E379" s="1" t="n">
        <v>46290</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4634-2026</t>
        </is>
      </c>
      <c r="B380" t="inlineStr">
        <is>
          <t>avverkningsanmälan</t>
        </is>
      </c>
      <c r="C380" t="inlineStr">
        <is>
          <t>Föryngringsavverkning</t>
        </is>
      </c>
      <c r="D380" s="1" t="n">
        <v>46048</v>
      </c>
      <c r="E380" s="1" t="n">
        <v>46290</v>
      </c>
      <c r="F380" t="inlineStr">
        <is>
          <t>GOTLANDS LÄN</t>
        </is>
      </c>
      <c r="G380" t="inlineStr">
        <is>
          <t>GOTLAND</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4670-2026</t>
        </is>
      </c>
      <c r="B381" t="inlineStr">
        <is>
          <t>avverkningsanmälan</t>
        </is>
      </c>
      <c r="C381" t="inlineStr">
        <is>
          <t>Föryngringsavverkning</t>
        </is>
      </c>
      <c r="D381" s="1" t="n">
        <v>46048</v>
      </c>
      <c r="E381" s="1" t="n">
        <v>46290</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21247-2022</t>
        </is>
      </c>
      <c r="B382" t="inlineStr">
        <is>
          <t>avverkningsanmälan</t>
        </is>
      </c>
      <c r="C382" t="inlineStr">
        <is>
          <t>Föryngringsavverkning</t>
        </is>
      </c>
      <c r="D382" s="1" t="n">
        <v>44705</v>
      </c>
      <c r="E382" s="1" t="n">
        <v>46290</v>
      </c>
      <c r="F382" t="inlineStr">
        <is>
          <t>GOTLANDS LÄN</t>
        </is>
      </c>
      <c r="G382" t="inlineStr">
        <is>
          <t>GOTLAND</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17780-2022</t>
        </is>
      </c>
      <c r="B383" t="inlineStr">
        <is>
          <t>avverkningsanmälan</t>
        </is>
      </c>
      <c r="C383" t="inlineStr">
        <is>
          <t>Föryngringsavverkning</t>
        </is>
      </c>
      <c r="D383" s="1" t="n">
        <v>44682</v>
      </c>
      <c r="E383" s="1" t="n">
        <v>46290</v>
      </c>
      <c r="F383" t="inlineStr">
        <is>
          <t>GOTLANDS LÄN</t>
        </is>
      </c>
      <c r="G383" t="inlineStr">
        <is>
          <t>GOTLAND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63516-2023</t>
        </is>
      </c>
      <c r="B384" t="inlineStr">
        <is>
          <t>avverkningsanmälan</t>
        </is>
      </c>
      <c r="C384" t="inlineStr">
        <is>
          <t>Föryngringsavverkning</t>
        </is>
      </c>
      <c r="D384" s="1" t="n">
        <v>45274</v>
      </c>
      <c r="E384" s="1" t="n">
        <v>46290</v>
      </c>
      <c r="F384" t="inlineStr">
        <is>
          <t>GOTLANDS LÄN</t>
        </is>
      </c>
      <c r="G384" t="inlineStr">
        <is>
          <t>GOTLAND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53935-2024</t>
        </is>
      </c>
      <c r="B385" t="inlineStr">
        <is>
          <t>avverkningsanmälan</t>
        </is>
      </c>
      <c r="C385" t="inlineStr">
        <is>
          <t>Föryngringsavverkning</t>
        </is>
      </c>
      <c r="D385" s="1" t="n">
        <v>45615</v>
      </c>
      <c r="E385" s="1" t="n">
        <v>46290</v>
      </c>
      <c r="F385" t="inlineStr">
        <is>
          <t>GOTLANDS LÄN</t>
        </is>
      </c>
      <c r="G385" t="inlineStr">
        <is>
          <t>GOTLAND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7627-2026</t>
        </is>
      </c>
      <c r="B386" t="inlineStr">
        <is>
          <t>avverkningsanmälan</t>
        </is>
      </c>
      <c r="C386" t="inlineStr">
        <is>
          <t>Föryngringsavverkning</t>
        </is>
      </c>
      <c r="D386" s="1" t="n">
        <v>46062</v>
      </c>
      <c r="E386" s="1" t="n">
        <v>46290</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48734-2022</t>
        </is>
      </c>
      <c r="B387" t="inlineStr">
        <is>
          <t>avverkningsanmälan</t>
        </is>
      </c>
      <c r="C387" t="inlineStr">
        <is>
          <t>Föryngringsavverkning</t>
        </is>
      </c>
      <c r="D387" s="1" t="n">
        <v>44855</v>
      </c>
      <c r="E387" s="1" t="n">
        <v>46290</v>
      </c>
      <c r="F387" t="inlineStr">
        <is>
          <t>GOTLANDS LÄN</t>
        </is>
      </c>
      <c r="G387" t="inlineStr">
        <is>
          <t>GOTLAND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23516-2023</t>
        </is>
      </c>
      <c r="B388" t="inlineStr">
        <is>
          <t>avverkningsanmälan</t>
        </is>
      </c>
      <c r="C388" t="inlineStr">
        <is>
          <t>Föryngringsavverkning</t>
        </is>
      </c>
      <c r="D388" s="1" t="n">
        <v>45076</v>
      </c>
      <c r="E388" s="1" t="n">
        <v>46290</v>
      </c>
      <c r="F388" t="inlineStr">
        <is>
          <t>GOTLANDS LÄN</t>
        </is>
      </c>
      <c r="G388" t="inlineStr">
        <is>
          <t>GOTLAND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43231-2023</t>
        </is>
      </c>
      <c r="B389" t="inlineStr">
        <is>
          <t>avverkningsanmälan</t>
        </is>
      </c>
      <c r="C389" t="inlineStr">
        <is>
          <t>Föryngringsavverkning</t>
        </is>
      </c>
      <c r="D389" s="1" t="n">
        <v>45183</v>
      </c>
      <c r="E389" s="1" t="n">
        <v>46290</v>
      </c>
      <c r="F389" t="inlineStr">
        <is>
          <t>GOTLANDS LÄN</t>
        </is>
      </c>
      <c r="G389" t="inlineStr">
        <is>
          <t>GOTLAND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2135-2026</t>
        </is>
      </c>
      <c r="B390" t="inlineStr">
        <is>
          <t>avverkningsanmälan</t>
        </is>
      </c>
      <c r="C390" t="inlineStr">
        <is>
          <t>Avverkning för annat ändamål</t>
        </is>
      </c>
      <c r="D390" s="1" t="n">
        <v>46036</v>
      </c>
      <c r="E390" s="1" t="n">
        <v>46290</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64555-2023</t>
        </is>
      </c>
      <c r="B391" t="inlineStr">
        <is>
          <t>avverkningsanmälan</t>
        </is>
      </c>
      <c r="C391" t="inlineStr">
        <is>
          <t>Avverkning för annat ändamål</t>
        </is>
      </c>
      <c r="D391" s="1" t="n">
        <v>45281</v>
      </c>
      <c r="E391" s="1" t="n">
        <v>46290</v>
      </c>
      <c r="F391" t="inlineStr">
        <is>
          <t>GOTLANDS LÄN</t>
        </is>
      </c>
      <c r="G391" t="inlineStr">
        <is>
          <t>GOTLAND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457-2023</t>
        </is>
      </c>
      <c r="B392" t="inlineStr">
        <is>
          <t>avverkningsanmälan</t>
        </is>
      </c>
      <c r="C392" t="inlineStr">
        <is>
          <t>Föryngringsavverkning</t>
        </is>
      </c>
      <c r="D392" s="1" t="n">
        <v>44929</v>
      </c>
      <c r="E392" s="1" t="n">
        <v>46290</v>
      </c>
      <c r="F392" t="inlineStr">
        <is>
          <t>GOTLANDS LÄN</t>
        </is>
      </c>
      <c r="G392" t="inlineStr">
        <is>
          <t>GOTLAND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459-2023</t>
        </is>
      </c>
      <c r="B393" t="inlineStr">
        <is>
          <t>avverkningsanmälan</t>
        </is>
      </c>
      <c r="C393" t="inlineStr">
        <is>
          <t>Föryngringsavverkning</t>
        </is>
      </c>
      <c r="D393" s="1" t="n">
        <v>44929</v>
      </c>
      <c r="E393" s="1" t="n">
        <v>46290</v>
      </c>
      <c r="F393" t="inlineStr">
        <is>
          <t>GOTLANDS LÄN</t>
        </is>
      </c>
      <c r="G393" t="inlineStr">
        <is>
          <t>GOTLAND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876-2024</t>
        </is>
      </c>
      <c r="B394" t="inlineStr">
        <is>
          <t>avverkningsanmälan</t>
        </is>
      </c>
      <c r="C394" t="inlineStr">
        <is>
          <t>Avverkning för annat ändamål</t>
        </is>
      </c>
      <c r="D394" s="1" t="n">
        <v>45301</v>
      </c>
      <c r="E394" s="1" t="n">
        <v>46290</v>
      </c>
      <c r="F394" t="inlineStr">
        <is>
          <t>GOTLANDS LÄN</t>
        </is>
      </c>
      <c r="G394" t="inlineStr">
        <is>
          <t>GOTLAND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46290</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5923-2023</t>
        </is>
      </c>
      <c r="B396" t="inlineStr">
        <is>
          <t>avverkningsanmälan</t>
        </is>
      </c>
      <c r="C396" t="inlineStr">
        <is>
          <t>Föryngringsavverkning</t>
        </is>
      </c>
      <c r="D396" s="1" t="n">
        <v>44963</v>
      </c>
      <c r="E396" s="1" t="n">
        <v>46290</v>
      </c>
      <c r="F396" t="inlineStr">
        <is>
          <t>GOTLANDS LÄN</t>
        </is>
      </c>
      <c r="G396" t="inlineStr">
        <is>
          <t>GOTLAND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50482-2024</t>
        </is>
      </c>
      <c r="B397" t="inlineStr">
        <is>
          <t>avverkningsanmälan</t>
        </is>
      </c>
      <c r="C397" t="inlineStr">
        <is>
          <t>Föryngringsavverkning</t>
        </is>
      </c>
      <c r="D397" s="1" t="n">
        <v>45601</v>
      </c>
      <c r="E397" s="1" t="n">
        <v>46290</v>
      </c>
      <c r="F397" t="inlineStr">
        <is>
          <t>GOTLANDS LÄN</t>
        </is>
      </c>
      <c r="G397" t="inlineStr">
        <is>
          <t>GOTLAND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9521-2026</t>
        </is>
      </c>
      <c r="B398" t="inlineStr">
        <is>
          <t>avverkningsanmälan</t>
        </is>
      </c>
      <c r="C398" t="inlineStr">
        <is>
          <t>Föryngringsavverkning</t>
        </is>
      </c>
      <c r="D398" s="1" t="n">
        <v>46071</v>
      </c>
      <c r="E398" s="1" t="n">
        <v>46290</v>
      </c>
      <c r="F398" t="inlineStr">
        <is>
          <t>GOTLANDS LÄN</t>
        </is>
      </c>
      <c r="G398" t="inlineStr">
        <is>
          <t>GOTLAND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9524-2026</t>
        </is>
      </c>
      <c r="B399" t="inlineStr">
        <is>
          <t>avverkningsanmälan</t>
        </is>
      </c>
      <c r="C399" t="inlineStr">
        <is>
          <t>Föryngringsavverkning</t>
        </is>
      </c>
      <c r="D399" s="1" t="n">
        <v>46071</v>
      </c>
      <c r="E399" s="1" t="n">
        <v>46290</v>
      </c>
      <c r="F399" t="inlineStr">
        <is>
          <t>GOTLANDS LÄN</t>
        </is>
      </c>
      <c r="G399" t="inlineStr">
        <is>
          <t>GOTLAND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9519-2026</t>
        </is>
      </c>
      <c r="B400" t="inlineStr">
        <is>
          <t>avverkningsanmälan</t>
        </is>
      </c>
      <c r="C400" t="inlineStr">
        <is>
          <t>Föryngringsavverkning</t>
        </is>
      </c>
      <c r="D400" s="1" t="n">
        <v>46071</v>
      </c>
      <c r="E400" s="1" t="n">
        <v>46290</v>
      </c>
      <c r="F400" t="inlineStr">
        <is>
          <t>GOTLANDS LÄN</t>
        </is>
      </c>
      <c r="G400" t="inlineStr">
        <is>
          <t>GOTLAND</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5943-2024</t>
        </is>
      </c>
      <c r="B401" t="inlineStr">
        <is>
          <t>avverkningsanmälan</t>
        </is>
      </c>
      <c r="C401" t="inlineStr">
        <is>
          <t>Avverkning för annat ändamål</t>
        </is>
      </c>
      <c r="D401" s="1" t="n">
        <v>45336</v>
      </c>
      <c r="E401" s="1" t="n">
        <v>46290</v>
      </c>
      <c r="F401" t="inlineStr">
        <is>
          <t>GOTLANDS LÄN</t>
        </is>
      </c>
      <c r="G401" t="inlineStr">
        <is>
          <t>GOTLAND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38234-2023</t>
        </is>
      </c>
      <c r="B402" t="inlineStr">
        <is>
          <t>avverkningsanmälan</t>
        </is>
      </c>
      <c r="C402" t="inlineStr">
        <is>
          <t>Föryngringsavverkning</t>
        </is>
      </c>
      <c r="D402" s="1" t="n">
        <v>45161</v>
      </c>
      <c r="E402" s="1" t="n">
        <v>46290</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11424-2026</t>
        </is>
      </c>
      <c r="B403" t="inlineStr">
        <is>
          <t>avverkningsanmälan</t>
        </is>
      </c>
      <c r="C403" t="inlineStr">
        <is>
          <t>Föryngringsavverkning</t>
        </is>
      </c>
      <c r="D403" s="1" t="n">
        <v>46083</v>
      </c>
      <c r="E403" s="1" t="n">
        <v>46290</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17724-2024</t>
        </is>
      </c>
      <c r="B404" t="inlineStr">
        <is>
          <t>avverkningsanmälan</t>
        </is>
      </c>
      <c r="C404" t="inlineStr">
        <is>
          <t>Föryngringsavverkning</t>
        </is>
      </c>
      <c r="D404" s="1" t="n">
        <v>45418</v>
      </c>
      <c r="E404" s="1" t="n">
        <v>46290</v>
      </c>
      <c r="F404" t="inlineStr">
        <is>
          <t>GOTLANDS LÄN</t>
        </is>
      </c>
      <c r="G404" t="inlineStr">
        <is>
          <t>GOTLAND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3067-2026</t>
        </is>
      </c>
      <c r="B405" t="inlineStr">
        <is>
          <t>avverkningsanmälan</t>
        </is>
      </c>
      <c r="C405" t="inlineStr">
        <is>
          <t>Föryngringsavverkning</t>
        </is>
      </c>
      <c r="D405" s="1" t="n">
        <v>46040</v>
      </c>
      <c r="E405" s="1" t="n">
        <v>46290</v>
      </c>
      <c r="F405" t="inlineStr">
        <is>
          <t>GOTLANDS LÄN</t>
        </is>
      </c>
      <c r="G405" t="inlineStr">
        <is>
          <t>GOTLAND</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42201-2023</t>
        </is>
      </c>
      <c r="B406" t="inlineStr">
        <is>
          <t>avverkningsanmälan</t>
        </is>
      </c>
      <c r="C406" t="inlineStr">
        <is>
          <t>Föryngringsavverkning</t>
        </is>
      </c>
      <c r="D406" s="1" t="n">
        <v>45179</v>
      </c>
      <c r="E406" s="1" t="n">
        <v>46290</v>
      </c>
      <c r="F406" t="inlineStr">
        <is>
          <t>GOTLANDS LÄN</t>
        </is>
      </c>
      <c r="G406" t="inlineStr">
        <is>
          <t>GOTLAND</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23978-2023</t>
        </is>
      </c>
      <c r="B407" t="inlineStr">
        <is>
          <t>avverkningsanmälan</t>
        </is>
      </c>
      <c r="C407" t="inlineStr">
        <is>
          <t>Föryngringsavverkning</t>
        </is>
      </c>
      <c r="D407" s="1" t="n">
        <v>45078</v>
      </c>
      <c r="E407" s="1" t="n">
        <v>46290</v>
      </c>
      <c r="F407" t="inlineStr">
        <is>
          <t>GOTLANDS LÄN</t>
        </is>
      </c>
      <c r="G407" t="inlineStr">
        <is>
          <t>GOTLAND</t>
        </is>
      </c>
      <c r="H407" t="inlineStr">
        <is>
          <t>Naturvårdsverket</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49884-2023</t>
        </is>
      </c>
      <c r="B408" t="inlineStr">
        <is>
          <t>avverkningsanmälan</t>
        </is>
      </c>
      <c r="C408" t="inlineStr">
        <is>
          <t>Föryngringsavverkning</t>
        </is>
      </c>
      <c r="D408" s="1" t="n">
        <v>45213</v>
      </c>
      <c r="E408" s="1" t="n">
        <v>46290</v>
      </c>
      <c r="F408" t="inlineStr">
        <is>
          <t>GOTLANDS LÄN</t>
        </is>
      </c>
      <c r="G408" t="inlineStr">
        <is>
          <t>GOTLAND</t>
        </is>
      </c>
      <c r="I408" t="n">
        <v>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12846-2025</t>
        </is>
      </c>
      <c r="B409" t="inlineStr">
        <is>
          <t>avverkningsanmälan</t>
        </is>
      </c>
      <c r="C409" t="inlineStr">
        <is>
          <t>Föryngringsavverkning</t>
        </is>
      </c>
      <c r="D409" s="1" t="n">
        <v>45733</v>
      </c>
      <c r="E409" s="1" t="n">
        <v>46290</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63000-2025</t>
        </is>
      </c>
      <c r="B410" t="inlineStr">
        <is>
          <t>avverkningsanmälan</t>
        </is>
      </c>
      <c r="C410" t="inlineStr">
        <is>
          <t>Föryngringsavverkning</t>
        </is>
      </c>
      <c r="D410" s="1" t="n">
        <v>46009</v>
      </c>
      <c r="E410" s="1" t="n">
        <v>46290</v>
      </c>
      <c r="F410" t="inlineStr">
        <is>
          <t>GOTLANDS LÄN</t>
        </is>
      </c>
      <c r="G410" t="inlineStr">
        <is>
          <t>GOTLAND</t>
        </is>
      </c>
      <c r="H410" t="inlineStr">
        <is>
          <t>Övriga Aktiebolag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62751-2025</t>
        </is>
      </c>
      <c r="B411" t="inlineStr">
        <is>
          <t>avverkningsanmälan</t>
        </is>
      </c>
      <c r="C411" t="inlineStr">
        <is>
          <t>Föryngringsavverkning</t>
        </is>
      </c>
      <c r="D411" s="1" t="n">
        <v>46008</v>
      </c>
      <c r="E411" s="1" t="n">
        <v>46290</v>
      </c>
      <c r="F411" t="inlineStr">
        <is>
          <t>GOTLANDS LÄN</t>
        </is>
      </c>
      <c r="G411" t="inlineStr">
        <is>
          <t>GOTLAND</t>
        </is>
      </c>
      <c r="H411" t="inlineStr">
        <is>
          <t>Övriga Aktiebolag</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27354-2026</t>
        </is>
      </c>
      <c r="B412" t="inlineStr">
        <is>
          <t>avverkningsanmälan</t>
        </is>
      </c>
      <c r="C412" t="inlineStr">
        <is>
          <t>Föryngringsavverkning</t>
        </is>
      </c>
      <c r="D412" s="1" t="n">
        <v>46184</v>
      </c>
      <c r="E412" s="1" t="n">
        <v>46290</v>
      </c>
      <c r="F412" t="inlineStr">
        <is>
          <t>GOTLANDS LÄN</t>
        </is>
      </c>
      <c r="G412" t="inlineStr">
        <is>
          <t>GOTLAND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48843-2024</t>
        </is>
      </c>
      <c r="B413" t="inlineStr">
        <is>
          <t>avverkningsanmälan</t>
        </is>
      </c>
      <c r="C413" t="inlineStr">
        <is>
          <t>Föryngringsavverkning</t>
        </is>
      </c>
      <c r="D413" s="1" t="n">
        <v>45593</v>
      </c>
      <c r="E413" s="1" t="n">
        <v>46290</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10653-2023</t>
        </is>
      </c>
      <c r="B414" t="inlineStr">
        <is>
          <t>avverkningsanmälan</t>
        </is>
      </c>
      <c r="C414" t="inlineStr">
        <is>
          <t>Föryngringsavverkning</t>
        </is>
      </c>
      <c r="D414" s="1" t="n">
        <v>44988</v>
      </c>
      <c r="E414" s="1" t="n">
        <v>46290</v>
      </c>
      <c r="F414" t="inlineStr">
        <is>
          <t>GOTLANDS LÄN</t>
        </is>
      </c>
      <c r="G414" t="inlineStr">
        <is>
          <t>GOTLAND</t>
        </is>
      </c>
      <c r="H414" t="inlineStr">
        <is>
          <t>Kyrkan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35512-2023</t>
        </is>
      </c>
      <c r="B415" t="inlineStr">
        <is>
          <t>avverkningsanmälan</t>
        </is>
      </c>
      <c r="C415" t="inlineStr">
        <is>
          <t>Föryngringsavverkning</t>
        </is>
      </c>
      <c r="D415" s="1" t="n">
        <v>45147</v>
      </c>
      <c r="E415" s="1" t="n">
        <v>46290</v>
      </c>
      <c r="F415" t="inlineStr">
        <is>
          <t>GOTLANDS LÄN</t>
        </is>
      </c>
      <c r="G415" t="inlineStr">
        <is>
          <t>GOTLAND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11874-2024</t>
        </is>
      </c>
      <c r="B416" t="inlineStr">
        <is>
          <t>avverkningsanmälan</t>
        </is>
      </c>
      <c r="C416" t="inlineStr">
        <is>
          <t>Föryngringsavverkning</t>
        </is>
      </c>
      <c r="D416" s="1" t="n">
        <v>45376</v>
      </c>
      <c r="E416" s="1" t="n">
        <v>46290</v>
      </c>
      <c r="F416" t="inlineStr">
        <is>
          <t>GOTLANDS LÄN</t>
        </is>
      </c>
      <c r="G416" t="inlineStr">
        <is>
          <t>GOTLAND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64831-2023</t>
        </is>
      </c>
      <c r="B417" t="inlineStr">
        <is>
          <t>avverkningsanmälan</t>
        </is>
      </c>
      <c r="C417" t="inlineStr">
        <is>
          <t>Föryngringsavverkning</t>
        </is>
      </c>
      <c r="D417" s="1" t="n">
        <v>45282</v>
      </c>
      <c r="E417" s="1" t="n">
        <v>46290</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18804-2026</t>
        </is>
      </c>
      <c r="B418" t="inlineStr">
        <is>
          <t>avverkningsanmälan</t>
        </is>
      </c>
      <c r="C418" t="inlineStr">
        <is>
          <t>Föryngringsavverkning</t>
        </is>
      </c>
      <c r="D418" s="1" t="n">
        <v>46128</v>
      </c>
      <c r="E418" s="1" t="n">
        <v>46290</v>
      </c>
      <c r="F418" t="inlineStr">
        <is>
          <t>GOTLANDS LÄN</t>
        </is>
      </c>
      <c r="G418" t="inlineStr">
        <is>
          <t>GOTLAND</t>
        </is>
      </c>
      <c r="H418" t="inlineStr">
        <is>
          <t>Kyrkan</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7638-2025</t>
        </is>
      </c>
      <c r="B419" t="inlineStr">
        <is>
          <t>avverkningsanmälan</t>
        </is>
      </c>
      <c r="C419" t="inlineStr">
        <is>
          <t>Föryngringsavverkning</t>
        </is>
      </c>
      <c r="D419" s="1" t="n">
        <v>45705</v>
      </c>
      <c r="E419" s="1" t="n">
        <v>46290</v>
      </c>
      <c r="F419" t="inlineStr">
        <is>
          <t>GOTLANDS LÄN</t>
        </is>
      </c>
      <c r="G419" t="inlineStr">
        <is>
          <t>GOTLAND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4377-2023</t>
        </is>
      </c>
      <c r="B420" t="inlineStr">
        <is>
          <t>avverkningsanmälan</t>
        </is>
      </c>
      <c r="C420" t="inlineStr">
        <is>
          <t>Föryngringsavverkning</t>
        </is>
      </c>
      <c r="D420" s="1" t="n">
        <v>44955</v>
      </c>
      <c r="E420" s="1" t="n">
        <v>46290</v>
      </c>
      <c r="F420" t="inlineStr">
        <is>
          <t>GOTLANDS LÄN</t>
        </is>
      </c>
      <c r="G420" t="inlineStr">
        <is>
          <t>GOTLAND</t>
        </is>
      </c>
      <c r="H420" t="inlineStr">
        <is>
          <t>Kyrkan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28012-2026</t>
        </is>
      </c>
      <c r="B421" t="inlineStr">
        <is>
          <t>avverkningsanmälan</t>
        </is>
      </c>
      <c r="C421" t="inlineStr">
        <is>
          <t>Föryngringsavverkning</t>
        </is>
      </c>
      <c r="D421" s="1" t="n">
        <v>46195</v>
      </c>
      <c r="E421" s="1" t="n">
        <v>46290</v>
      </c>
      <c r="F421" t="inlineStr">
        <is>
          <t>GOTLANDS LÄN</t>
        </is>
      </c>
      <c r="G421" t="inlineStr">
        <is>
          <t>GOTLAND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62754-2025</t>
        </is>
      </c>
      <c r="B422" t="inlineStr">
        <is>
          <t>avverkningsanmälan</t>
        </is>
      </c>
      <c r="C422" t="inlineStr">
        <is>
          <t>Föryngringsavverkning</t>
        </is>
      </c>
      <c r="D422" s="1" t="n">
        <v>46008</v>
      </c>
      <c r="E422" s="1" t="n">
        <v>46290</v>
      </c>
      <c r="F422" t="inlineStr">
        <is>
          <t>GOTLANDS LÄN</t>
        </is>
      </c>
      <c r="G422" t="inlineStr">
        <is>
          <t>GOTLAND</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43901-2023</t>
        </is>
      </c>
      <c r="B423" t="inlineStr">
        <is>
          <t>avverkningsanmälan</t>
        </is>
      </c>
      <c r="C423" t="inlineStr">
        <is>
          <t>Föryngringsavverkning</t>
        </is>
      </c>
      <c r="D423" s="1" t="n">
        <v>45187</v>
      </c>
      <c r="E423" s="1" t="n">
        <v>46290</v>
      </c>
      <c r="F423" t="inlineStr">
        <is>
          <t>GOTLANDS LÄN</t>
        </is>
      </c>
      <c r="G423" t="inlineStr">
        <is>
          <t>GOTLAND</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17532-2024</t>
        </is>
      </c>
      <c r="B424" t="inlineStr">
        <is>
          <t>avverkningsanmälan</t>
        </is>
      </c>
      <c r="C424" t="inlineStr">
        <is>
          <t>Föryngringsavverkning</t>
        </is>
      </c>
      <c r="D424" s="1" t="n">
        <v>45415</v>
      </c>
      <c r="E424" s="1" t="n">
        <v>46290</v>
      </c>
      <c r="F424" t="inlineStr">
        <is>
          <t>GOTLANDS LÄN</t>
        </is>
      </c>
      <c r="G424" t="inlineStr">
        <is>
          <t>GOTLAND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26467-2025</t>
        </is>
      </c>
      <c r="B425" t="inlineStr">
        <is>
          <t>avverkningsanmälan</t>
        </is>
      </c>
      <c r="C425" t="inlineStr">
        <is>
          <t>Föryngringsavverkning</t>
        </is>
      </c>
      <c r="D425" s="1" t="n">
        <v>45807</v>
      </c>
      <c r="E425" s="1" t="n">
        <v>46290</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28839-2026</t>
        </is>
      </c>
      <c r="B426" t="inlineStr">
        <is>
          <t>avverkningsanmälan</t>
        </is>
      </c>
      <c r="C426" t="inlineStr">
        <is>
          <t>Föryngringsavverkning</t>
        </is>
      </c>
      <c r="D426" s="1" t="n">
        <v>46198</v>
      </c>
      <c r="E426" s="1" t="n">
        <v>46290</v>
      </c>
      <c r="F426" t="inlineStr">
        <is>
          <t>GOTLANDS LÄN</t>
        </is>
      </c>
      <c r="G426" t="inlineStr">
        <is>
          <t>GOTLAND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28843-2026</t>
        </is>
      </c>
      <c r="B427" t="inlineStr">
        <is>
          <t>avverkningsanmälan</t>
        </is>
      </c>
      <c r="C427" t="inlineStr">
        <is>
          <t>Föryngringsavverkning</t>
        </is>
      </c>
      <c r="D427" s="1" t="n">
        <v>46198</v>
      </c>
      <c r="E427" s="1" t="n">
        <v>46290</v>
      </c>
      <c r="F427" t="inlineStr">
        <is>
          <t>GOTLANDS LÄN</t>
        </is>
      </c>
      <c r="G427" t="inlineStr">
        <is>
          <t>GOTLAND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46396-2023</t>
        </is>
      </c>
      <c r="B428" t="inlineStr">
        <is>
          <t>avverkningsanmälan</t>
        </is>
      </c>
      <c r="C428" t="inlineStr">
        <is>
          <t>Föryngringsavverkning</t>
        </is>
      </c>
      <c r="D428" s="1" t="n">
        <v>45197</v>
      </c>
      <c r="E428" s="1" t="n">
        <v>46290</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58132-2023</t>
        </is>
      </c>
      <c r="B429" t="inlineStr">
        <is>
          <t>avverkningsanmälan</t>
        </is>
      </c>
      <c r="C429" t="inlineStr">
        <is>
          <t>Föryngringsavverkning</t>
        </is>
      </c>
      <c r="D429" s="1" t="n">
        <v>45250</v>
      </c>
      <c r="E429" s="1" t="n">
        <v>46290</v>
      </c>
      <c r="F429" t="inlineStr">
        <is>
          <t>GOTLANDS LÄN</t>
        </is>
      </c>
      <c r="G429" t="inlineStr">
        <is>
          <t>GOTLAND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22899-2023</t>
        </is>
      </c>
      <c r="B430" t="inlineStr">
        <is>
          <t>avverkningsanmälan</t>
        </is>
      </c>
      <c r="C430" t="inlineStr">
        <is>
          <t>Föryngringsavverkning</t>
        </is>
      </c>
      <c r="D430" s="1" t="n">
        <v>45072</v>
      </c>
      <c r="E430" s="1" t="n">
        <v>46290</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29370-2026</t>
        </is>
      </c>
      <c r="B431" t="inlineStr">
        <is>
          <t>avverkningsanmälan</t>
        </is>
      </c>
      <c r="C431" t="inlineStr">
        <is>
          <t>Föryngringsavverkning</t>
        </is>
      </c>
      <c r="D431" s="1" t="n">
        <v>46203</v>
      </c>
      <c r="E431" s="1" t="n">
        <v>46290</v>
      </c>
      <c r="F431" t="inlineStr">
        <is>
          <t>GOTLANDS LÄN</t>
        </is>
      </c>
      <c r="G431" t="inlineStr">
        <is>
          <t>GOTLAND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28285-2024</t>
        </is>
      </c>
      <c r="B432" t="inlineStr">
        <is>
          <t>avverkningsanmälan</t>
        </is>
      </c>
      <c r="C432" t="inlineStr">
        <is>
          <t>Avverkning för annat ändamål</t>
        </is>
      </c>
      <c r="D432" s="1" t="n">
        <v>45477</v>
      </c>
      <c r="E432" s="1" t="n">
        <v>46290</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51963-2024</t>
        </is>
      </c>
      <c r="B433" t="inlineStr">
        <is>
          <t>avverkningsanmälan</t>
        </is>
      </c>
      <c r="C433" t="inlineStr">
        <is>
          <t>Föryngringsavverkning</t>
        </is>
      </c>
      <c r="D433" s="1" t="n">
        <v>45607</v>
      </c>
      <c r="E433" s="1" t="n">
        <v>46290</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1734-2025</t>
        </is>
      </c>
      <c r="B434" t="inlineStr">
        <is>
          <t>avverkningsanmälan</t>
        </is>
      </c>
      <c r="C434" t="inlineStr">
        <is>
          <t>Föryngringsavverkning</t>
        </is>
      </c>
      <c r="D434" s="1" t="n">
        <v>45671</v>
      </c>
      <c r="E434" s="1" t="n">
        <v>46290</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30365-2024</t>
        </is>
      </c>
      <c r="B435" t="inlineStr">
        <is>
          <t>avverkningsanmälan</t>
        </is>
      </c>
      <c r="C435" t="inlineStr">
        <is>
          <t>Föryngringsavverkning</t>
        </is>
      </c>
      <c r="D435" s="1" t="n">
        <v>45491</v>
      </c>
      <c r="E435" s="1" t="n">
        <v>46290</v>
      </c>
      <c r="F435" t="inlineStr">
        <is>
          <t>GOTLANDS LÄN</t>
        </is>
      </c>
      <c r="G435" t="inlineStr">
        <is>
          <t>GOTLAND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2674-2023</t>
        </is>
      </c>
      <c r="B436" t="inlineStr">
        <is>
          <t>avverkningsanmälan</t>
        </is>
      </c>
      <c r="C436" t="inlineStr">
        <is>
          <t>Avverkning för annat ändamål</t>
        </is>
      </c>
      <c r="D436" s="1" t="n">
        <v>44944</v>
      </c>
      <c r="E436" s="1" t="n">
        <v>46290</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10655-2023</t>
        </is>
      </c>
      <c r="B437" t="inlineStr">
        <is>
          <t>avverkningsanmälan</t>
        </is>
      </c>
      <c r="C437" t="inlineStr">
        <is>
          <t>Föryngringsavverkning</t>
        </is>
      </c>
      <c r="D437" s="1" t="n">
        <v>44988</v>
      </c>
      <c r="E437" s="1" t="n">
        <v>46290</v>
      </c>
      <c r="F437" t="inlineStr">
        <is>
          <t>GOTLANDS LÄN</t>
        </is>
      </c>
      <c r="G437" t="inlineStr">
        <is>
          <t>GOTLAND</t>
        </is>
      </c>
      <c r="H437" t="inlineStr">
        <is>
          <t>Kyrkan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8484-2025</t>
        </is>
      </c>
      <c r="B438" t="inlineStr">
        <is>
          <t>avverkningsanmälan</t>
        </is>
      </c>
      <c r="C438" t="inlineStr">
        <is>
          <t>Avverkning för annat ändamål</t>
        </is>
      </c>
      <c r="D438" s="1" t="n">
        <v>45709</v>
      </c>
      <c r="E438" s="1" t="n">
        <v>46290</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50744-2024</t>
        </is>
      </c>
      <c r="B439" t="inlineStr">
        <is>
          <t>avverkningsanmälan</t>
        </is>
      </c>
      <c r="C439" t="inlineStr">
        <is>
          <t>Föryngringsavverkning</t>
        </is>
      </c>
      <c r="D439" s="1" t="n">
        <v>45602</v>
      </c>
      <c r="E439" s="1" t="n">
        <v>46290</v>
      </c>
      <c r="F439" t="inlineStr">
        <is>
          <t>GOTLANDS LÄN</t>
        </is>
      </c>
      <c r="G439" t="inlineStr">
        <is>
          <t>GOTLAND</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45244-2024</t>
        </is>
      </c>
      <c r="B440" t="inlineStr">
        <is>
          <t>avverkningsanmälan</t>
        </is>
      </c>
      <c r="C440" t="inlineStr">
        <is>
          <t>Avverkning för annat ändamål</t>
        </is>
      </c>
      <c r="D440" s="1" t="n">
        <v>45576</v>
      </c>
      <c r="E440" s="1" t="n">
        <v>46290</v>
      </c>
      <c r="F440" t="inlineStr">
        <is>
          <t>GOTLANDS LÄN</t>
        </is>
      </c>
      <c r="G440" t="inlineStr">
        <is>
          <t>GOTLAND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38787-2023</t>
        </is>
      </c>
      <c r="B441" t="inlineStr">
        <is>
          <t>avverkningsanmälan</t>
        </is>
      </c>
      <c r="C441" t="inlineStr">
        <is>
          <t>Föryngringsavverkning</t>
        </is>
      </c>
      <c r="D441" s="1" t="n">
        <v>45163</v>
      </c>
      <c r="E441" s="1" t="n">
        <v>46290</v>
      </c>
      <c r="F441" t="inlineStr">
        <is>
          <t>GOTLANDS LÄN</t>
        </is>
      </c>
      <c r="G441" t="inlineStr">
        <is>
          <t>GOTLAND</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2714-2023</t>
        </is>
      </c>
      <c r="B442" t="inlineStr">
        <is>
          <t>avverkningsanmälan</t>
        </is>
      </c>
      <c r="C442" t="inlineStr">
        <is>
          <t>Föryngringsavverkning</t>
        </is>
      </c>
      <c r="D442" s="1" t="n">
        <v>44944</v>
      </c>
      <c r="E442" s="1" t="n">
        <v>46290</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22897-2023</t>
        </is>
      </c>
      <c r="B443" t="inlineStr">
        <is>
          <t>avverkningsanmälan</t>
        </is>
      </c>
      <c r="C443" t="inlineStr">
        <is>
          <t>Föryngringsavverkning</t>
        </is>
      </c>
      <c r="D443" s="1" t="n">
        <v>45072</v>
      </c>
      <c r="E443" s="1" t="n">
        <v>46290</v>
      </c>
      <c r="F443" t="inlineStr">
        <is>
          <t>GOTLANDS LÄN</t>
        </is>
      </c>
      <c r="G443" t="inlineStr">
        <is>
          <t>GOTLAND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1681-2023</t>
        </is>
      </c>
      <c r="B444" t="inlineStr">
        <is>
          <t>avverkningsanmälan</t>
        </is>
      </c>
      <c r="C444" t="inlineStr">
        <is>
          <t>Föryngringsavverkning</t>
        </is>
      </c>
      <c r="D444" s="1" t="n">
        <v>44938</v>
      </c>
      <c r="E444" s="1" t="n">
        <v>46290</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42338-2023</t>
        </is>
      </c>
      <c r="B445" t="inlineStr">
        <is>
          <t>avverkningsanmälan</t>
        </is>
      </c>
      <c r="C445" t="inlineStr">
        <is>
          <t>Föryngringsavverkning</t>
        </is>
      </c>
      <c r="D445" s="1" t="n">
        <v>45180</v>
      </c>
      <c r="E445" s="1" t="n">
        <v>46290</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30926-2026</t>
        </is>
      </c>
      <c r="B446" t="inlineStr">
        <is>
          <t>avverkningsanmälan</t>
        </is>
      </c>
      <c r="C446" t="inlineStr">
        <is>
          <t>Föryngringsavverkning</t>
        </is>
      </c>
      <c r="D446" s="1" t="n">
        <v>46213</v>
      </c>
      <c r="E446" s="1" t="n">
        <v>46290</v>
      </c>
      <c r="F446" t="inlineStr">
        <is>
          <t>GOTLANDS LÄN</t>
        </is>
      </c>
      <c r="G446" t="inlineStr">
        <is>
          <t>GOTLAND</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18918-2025</t>
        </is>
      </c>
      <c r="B447" t="inlineStr">
        <is>
          <t>avverkningsanmälan</t>
        </is>
      </c>
      <c r="C447" t="inlineStr">
        <is>
          <t>Avverkning för annat ändamål</t>
        </is>
      </c>
      <c r="D447" s="1" t="n">
        <v>45764</v>
      </c>
      <c r="E447" s="1" t="n">
        <v>46290</v>
      </c>
      <c r="F447" t="inlineStr">
        <is>
          <t>GOTLANDS LÄN</t>
        </is>
      </c>
      <c r="G447" t="inlineStr">
        <is>
          <t>GOTLAND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11013-2024</t>
        </is>
      </c>
      <c r="B448" t="inlineStr">
        <is>
          <t>avverkningsanmälan</t>
        </is>
      </c>
      <c r="C448" t="inlineStr">
        <is>
          <t>Föryngringsavverkning</t>
        </is>
      </c>
      <c r="D448" s="1" t="n">
        <v>45370</v>
      </c>
      <c r="E448" s="1" t="n">
        <v>46290</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45084-2024</t>
        </is>
      </c>
      <c r="B449" t="inlineStr">
        <is>
          <t>avverkningsanmälan</t>
        </is>
      </c>
      <c r="C449" t="inlineStr">
        <is>
          <t>Föryngringsavverkning</t>
        </is>
      </c>
      <c r="D449" s="1" t="n">
        <v>45575</v>
      </c>
      <c r="E449" s="1" t="n">
        <v>46290</v>
      </c>
      <c r="F449" t="inlineStr">
        <is>
          <t>GOTLANDS LÄN</t>
        </is>
      </c>
      <c r="G449" t="inlineStr">
        <is>
          <t>GOTLAND</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20356-2022</t>
        </is>
      </c>
      <c r="B450" t="inlineStr">
        <is>
          <t>avverkningsanmälan</t>
        </is>
      </c>
      <c r="C450" t="inlineStr">
        <is>
          <t>Avverkning för annat ändamål</t>
        </is>
      </c>
      <c r="D450" s="1" t="n">
        <v>44699</v>
      </c>
      <c r="E450" s="1" t="n">
        <v>46290</v>
      </c>
      <c r="F450" t="inlineStr">
        <is>
          <t>GOTLANDS LÄN</t>
        </is>
      </c>
      <c r="G450" t="inlineStr">
        <is>
          <t>GOTLAND</t>
        </is>
      </c>
      <c r="H450" t="inlineStr">
        <is>
          <t>Övriga Aktiebolag</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30925-2026</t>
        </is>
      </c>
      <c r="B451" t="inlineStr">
        <is>
          <t>avverkningsanmälan</t>
        </is>
      </c>
      <c r="C451" t="inlineStr">
        <is>
          <t>Föryngringsavverkning</t>
        </is>
      </c>
      <c r="D451" s="1" t="n">
        <v>46213</v>
      </c>
      <c r="E451" s="1" t="n">
        <v>46290</v>
      </c>
      <c r="F451" t="inlineStr">
        <is>
          <t>GOTLANDS LÄN</t>
        </is>
      </c>
      <c r="G451" t="inlineStr">
        <is>
          <t>GOTLAND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5386-2023</t>
        </is>
      </c>
      <c r="B452" t="inlineStr">
        <is>
          <t>avverkningsanmälan</t>
        </is>
      </c>
      <c r="C452" t="inlineStr">
        <is>
          <t>Föryngringsavverkning</t>
        </is>
      </c>
      <c r="D452" s="1" t="n">
        <v>44959</v>
      </c>
      <c r="E452" s="1" t="n">
        <v>46290</v>
      </c>
      <c r="F452" t="inlineStr">
        <is>
          <t>GOTLANDS LÄN</t>
        </is>
      </c>
      <c r="G452" t="inlineStr">
        <is>
          <t>GOTLAND</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31287-2026</t>
        </is>
      </c>
      <c r="B453" t="inlineStr">
        <is>
          <t>avverkningsanmälan</t>
        </is>
      </c>
      <c r="C453" t="inlineStr">
        <is>
          <t>Föryngringsavverkning</t>
        </is>
      </c>
      <c r="D453" s="1" t="n">
        <v>46218</v>
      </c>
      <c r="E453" s="1" t="n">
        <v>46290</v>
      </c>
      <c r="F453" t="inlineStr">
        <is>
          <t>GOTLANDS LÄN</t>
        </is>
      </c>
      <c r="G453" t="inlineStr">
        <is>
          <t>GOTLAND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5884-2025</t>
        </is>
      </c>
      <c r="B454" t="inlineStr">
        <is>
          <t>avverkningsanmälan</t>
        </is>
      </c>
      <c r="C454" t="inlineStr">
        <is>
          <t>Föryngringsavverkning</t>
        </is>
      </c>
      <c r="D454" s="1" t="n">
        <v>45695</v>
      </c>
      <c r="E454" s="1" t="n">
        <v>46290</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5897-2025</t>
        </is>
      </c>
      <c r="B455" t="inlineStr">
        <is>
          <t>avverkningsanmälan</t>
        </is>
      </c>
      <c r="C455" t="inlineStr">
        <is>
          <t>Föryngringsavverkning</t>
        </is>
      </c>
      <c r="D455" s="1" t="n">
        <v>45695</v>
      </c>
      <c r="E455" s="1" t="n">
        <v>46290</v>
      </c>
      <c r="F455" t="inlineStr">
        <is>
          <t>GOTLANDS LÄN</t>
        </is>
      </c>
      <c r="G455" t="inlineStr">
        <is>
          <t>GOTLAND</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46290</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22704-2023</t>
        </is>
      </c>
      <c r="B457" t="inlineStr">
        <is>
          <t>avverkningsanmälan</t>
        </is>
      </c>
      <c r="C457" t="inlineStr">
        <is>
          <t>Föryngringsavverkning</t>
        </is>
      </c>
      <c r="D457" s="1" t="n">
        <v>45071</v>
      </c>
      <c r="E457" s="1" t="n">
        <v>46290</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35127-2026</t>
        </is>
      </c>
      <c r="B458" t="inlineStr">
        <is>
          <t>avverkningsanmälan</t>
        </is>
      </c>
      <c r="C458" t="inlineStr">
        <is>
          <t>Föryngringsavverkning</t>
        </is>
      </c>
      <c r="D458" s="1" t="n">
        <v>46260</v>
      </c>
      <c r="E458" s="1" t="n">
        <v>46290</v>
      </c>
      <c r="F458" t="inlineStr">
        <is>
          <t>GOTLANDS LÄN</t>
        </is>
      </c>
      <c r="G458" t="inlineStr">
        <is>
          <t>GOTLAND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25866-2022</t>
        </is>
      </c>
      <c r="B459" t="inlineStr">
        <is>
          <t>avverkningsanmälan</t>
        </is>
      </c>
      <c r="C459" t="inlineStr">
        <is>
          <t>Föryngringsavverkning</t>
        </is>
      </c>
      <c r="D459" s="1" t="n">
        <v>44733</v>
      </c>
      <c r="E459" s="1" t="n">
        <v>46290</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9887-2025</t>
        </is>
      </c>
      <c r="B460" t="inlineStr">
        <is>
          <t>avverkningsanmälan</t>
        </is>
      </c>
      <c r="C460" t="inlineStr">
        <is>
          <t>Föryngringsavverkning</t>
        </is>
      </c>
      <c r="D460" s="1" t="n">
        <v>45716</v>
      </c>
      <c r="E460" s="1" t="n">
        <v>46290</v>
      </c>
      <c r="F460" t="inlineStr">
        <is>
          <t>GOTLANDS LÄN</t>
        </is>
      </c>
      <c r="G460" t="inlineStr">
        <is>
          <t>GOTLAND</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59986-2022</t>
        </is>
      </c>
      <c r="B461" t="inlineStr">
        <is>
          <t>avverkningsanmälan</t>
        </is>
      </c>
      <c r="C461" t="inlineStr">
        <is>
          <t>Avverkning för annat ändamål</t>
        </is>
      </c>
      <c r="D461" s="1" t="n">
        <v>44909</v>
      </c>
      <c r="E461" s="1" t="n">
        <v>46290</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10284-2026</t>
        </is>
      </c>
      <c r="B462" t="inlineStr">
        <is>
          <t>avverkningsanmälan</t>
        </is>
      </c>
      <c r="C462" t="inlineStr">
        <is>
          <t>Avverkning för annat ändamål</t>
        </is>
      </c>
      <c r="D462" s="1" t="n">
        <v>46076</v>
      </c>
      <c r="E462" s="1" t="n">
        <v>46290</v>
      </c>
      <c r="F462" t="inlineStr">
        <is>
          <t>GOTLANDS LÄN</t>
        </is>
      </c>
      <c r="G462" t="inlineStr">
        <is>
          <t>GOTLAND</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31802-2024</t>
        </is>
      </c>
      <c r="B463" t="inlineStr">
        <is>
          <t>avverkningsanmälan</t>
        </is>
      </c>
      <c r="C463" t="inlineStr">
        <is>
          <t>Avverkning för annat ändamål</t>
        </is>
      </c>
      <c r="D463" s="1" t="n">
        <v>45509</v>
      </c>
      <c r="E463" s="1" t="n">
        <v>46290</v>
      </c>
      <c r="F463" t="inlineStr">
        <is>
          <t>GOTLANDS LÄN</t>
        </is>
      </c>
      <c r="G463" t="inlineStr">
        <is>
          <t>GOTLAND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31693-2026</t>
        </is>
      </c>
      <c r="B464" t="inlineStr">
        <is>
          <t>avverkningsanmälan</t>
        </is>
      </c>
      <c r="C464" t="inlineStr">
        <is>
          <t>Föryngringsavverkning</t>
        </is>
      </c>
      <c r="D464" s="1" t="n">
        <v>46226</v>
      </c>
      <c r="E464" s="1" t="n">
        <v>46290</v>
      </c>
      <c r="F464" t="inlineStr">
        <is>
          <t>GOTLANDS LÄN</t>
        </is>
      </c>
      <c r="G464" t="inlineStr">
        <is>
          <t>GOTLAND</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31695-2026</t>
        </is>
      </c>
      <c r="B465" t="inlineStr">
        <is>
          <t>avverkningsanmälan</t>
        </is>
      </c>
      <c r="C465" t="inlineStr">
        <is>
          <t>Föryngringsavverkning</t>
        </is>
      </c>
      <c r="D465" s="1" t="n">
        <v>46226</v>
      </c>
      <c r="E465" s="1" t="n">
        <v>46290</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20993-2023</t>
        </is>
      </c>
      <c r="B466" t="inlineStr">
        <is>
          <t>avverkningsanmälan</t>
        </is>
      </c>
      <c r="C466" t="inlineStr">
        <is>
          <t>Föryngringsavverkning</t>
        </is>
      </c>
      <c r="D466" s="1" t="n">
        <v>45056</v>
      </c>
      <c r="E466" s="1" t="n">
        <v>46290</v>
      </c>
      <c r="F466" t="inlineStr">
        <is>
          <t>GOTLANDS LÄN</t>
        </is>
      </c>
      <c r="G466" t="inlineStr">
        <is>
          <t>GOTLAND</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36499-2026</t>
        </is>
      </c>
      <c r="B467" t="inlineStr">
        <is>
          <t>avverkningsanmälan</t>
        </is>
      </c>
      <c r="C467" t="inlineStr">
        <is>
          <t>Föryngringsavverkning</t>
        </is>
      </c>
      <c r="D467" s="1" t="n">
        <v>46268</v>
      </c>
      <c r="E467" s="1" t="n">
        <v>46290</v>
      </c>
      <c r="F467" t="inlineStr">
        <is>
          <t>GOTLANDS LÄN</t>
        </is>
      </c>
      <c r="G467" t="inlineStr">
        <is>
          <t>GOTLAND</t>
        </is>
      </c>
      <c r="H467" t="inlineStr">
        <is>
          <t>Kommuner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36510-2026</t>
        </is>
      </c>
      <c r="B468" t="inlineStr">
        <is>
          <t>avverkningsanmälan</t>
        </is>
      </c>
      <c r="C468" t="inlineStr">
        <is>
          <t>Föryngringsavverkning</t>
        </is>
      </c>
      <c r="D468" s="1" t="n">
        <v>46268</v>
      </c>
      <c r="E468" s="1" t="n">
        <v>46290</v>
      </c>
      <c r="F468" t="inlineStr">
        <is>
          <t>GOTLANDS LÄN</t>
        </is>
      </c>
      <c r="G468" t="inlineStr">
        <is>
          <t>GOTLAND</t>
        </is>
      </c>
      <c r="H468" t="inlineStr">
        <is>
          <t>Kommuner</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4420-2025</t>
        </is>
      </c>
      <c r="B469" t="inlineStr">
        <is>
          <t>avverkningsanmälan</t>
        </is>
      </c>
      <c r="C469" t="inlineStr">
        <is>
          <t>Föryngringsavverkning</t>
        </is>
      </c>
      <c r="D469" s="1" t="n">
        <v>45686</v>
      </c>
      <c r="E469" s="1" t="n">
        <v>46290</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14427-2024</t>
        </is>
      </c>
      <c r="B470" t="inlineStr">
        <is>
          <t>avverkningsanmälan</t>
        </is>
      </c>
      <c r="C470" t="inlineStr">
        <is>
          <t>Avverkning för att bevara och utveckla /försöksver</t>
        </is>
      </c>
      <c r="D470" s="1" t="n">
        <v>45394</v>
      </c>
      <c r="E470" s="1" t="n">
        <v>46290</v>
      </c>
      <c r="F470" t="inlineStr">
        <is>
          <t>GOTLANDS LÄN</t>
        </is>
      </c>
      <c r="G470" t="inlineStr">
        <is>
          <t>GOTLAND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49315-2024</t>
        </is>
      </c>
      <c r="B471" t="inlineStr">
        <is>
          <t>avverkningsanmälan</t>
        </is>
      </c>
      <c r="C471" t="inlineStr">
        <is>
          <t>Avverkning för annat ändamål</t>
        </is>
      </c>
      <c r="D471" s="1" t="n">
        <v>45595</v>
      </c>
      <c r="E471" s="1" t="n">
        <v>46290</v>
      </c>
      <c r="F471" t="inlineStr">
        <is>
          <t>GOTLANDS LÄN</t>
        </is>
      </c>
      <c r="G471" t="inlineStr">
        <is>
          <t>GOTLAND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27596-2023</t>
        </is>
      </c>
      <c r="B472" t="inlineStr">
        <is>
          <t>avverkningsanmälan</t>
        </is>
      </c>
      <c r="C472" t="inlineStr">
        <is>
          <t>Avverkning för annat ändamål</t>
        </is>
      </c>
      <c r="D472" s="1" t="n">
        <v>45097</v>
      </c>
      <c r="E472" s="1" t="n">
        <v>46290</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64969-2023</t>
        </is>
      </c>
      <c r="B473" t="inlineStr">
        <is>
          <t>avverkningsanmälan</t>
        </is>
      </c>
      <c r="C473" t="inlineStr">
        <is>
          <t>Föryngringsavverkning</t>
        </is>
      </c>
      <c r="D473" s="1" t="n">
        <v>45284</v>
      </c>
      <c r="E473" s="1" t="n">
        <v>46290</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46949-2024</t>
        </is>
      </c>
      <c r="B474" t="inlineStr">
        <is>
          <t>avverkningsanmälan</t>
        </is>
      </c>
      <c r="C474" t="inlineStr">
        <is>
          <t>Föryngringsavverkning</t>
        </is>
      </c>
      <c r="D474" s="1" t="n">
        <v>45585</v>
      </c>
      <c r="E474" s="1" t="n">
        <v>46290</v>
      </c>
      <c r="F474" t="inlineStr">
        <is>
          <t>GOTLANDS LÄN</t>
        </is>
      </c>
      <c r="G474" t="inlineStr">
        <is>
          <t>GOTLAND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39479-2022</t>
        </is>
      </c>
      <c r="B475" t="inlineStr">
        <is>
          <t>avverkningsanmälan</t>
        </is>
      </c>
      <c r="C475" t="inlineStr">
        <is>
          <t>Föryngringsavverkning</t>
        </is>
      </c>
      <c r="D475" s="1" t="n">
        <v>44818</v>
      </c>
      <c r="E475" s="1" t="n">
        <v>46290</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39496-2022</t>
        </is>
      </c>
      <c r="B476" t="inlineStr">
        <is>
          <t>avverkningsanmälan</t>
        </is>
      </c>
      <c r="C476" t="inlineStr">
        <is>
          <t>Föryngringsavverkning</t>
        </is>
      </c>
      <c r="D476" s="1" t="n">
        <v>44818</v>
      </c>
      <c r="E476" s="1" t="n">
        <v>46290</v>
      </c>
      <c r="F476" t="inlineStr">
        <is>
          <t>GOTLANDS LÄN</t>
        </is>
      </c>
      <c r="G476" t="inlineStr">
        <is>
          <t>GOTLAND</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44949-2023</t>
        </is>
      </c>
      <c r="B477" t="inlineStr">
        <is>
          <t>avverkningsanmälan</t>
        </is>
      </c>
      <c r="C477" t="inlineStr">
        <is>
          <t>Föryngringsavverkning</t>
        </is>
      </c>
      <c r="D477" s="1" t="n">
        <v>45190</v>
      </c>
      <c r="E477" s="1" t="n">
        <v>46290</v>
      </c>
      <c r="F477" t="inlineStr">
        <is>
          <t>GOTLANDS LÄN</t>
        </is>
      </c>
      <c r="G477" t="inlineStr">
        <is>
          <t>GOTLAND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17682-2024</t>
        </is>
      </c>
      <c r="B478" t="inlineStr">
        <is>
          <t>avverkningsanmälan</t>
        </is>
      </c>
      <c r="C478" t="inlineStr">
        <is>
          <t>Föryngringsavverkning</t>
        </is>
      </c>
      <c r="D478" s="1" t="n">
        <v>45418</v>
      </c>
      <c r="E478" s="1" t="n">
        <v>46290</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61897-2024</t>
        </is>
      </c>
      <c r="B479" t="inlineStr">
        <is>
          <t>avverkningsanmälan</t>
        </is>
      </c>
      <c r="C479" t="inlineStr">
        <is>
          <t>Föryngringsavverkning</t>
        </is>
      </c>
      <c r="D479" s="1" t="n">
        <v>45652</v>
      </c>
      <c r="E479" s="1" t="n">
        <v>46290</v>
      </c>
      <c r="F479" t="inlineStr">
        <is>
          <t>GOTLANDS LÄN</t>
        </is>
      </c>
      <c r="G479" t="inlineStr">
        <is>
          <t>GOTLAND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12032-2025</t>
        </is>
      </c>
      <c r="B480" t="inlineStr">
        <is>
          <t>avverkningsanmälan</t>
        </is>
      </c>
      <c r="C480" t="inlineStr">
        <is>
          <t>Föryngringsavverkning</t>
        </is>
      </c>
      <c r="D480" s="1" t="n">
        <v>45728</v>
      </c>
      <c r="E480" s="1" t="n">
        <v>46290</v>
      </c>
      <c r="F480" t="inlineStr">
        <is>
          <t>GOTLANDS LÄN</t>
        </is>
      </c>
      <c r="G480" t="inlineStr">
        <is>
          <t>GOTLAND</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32239-2026</t>
        </is>
      </c>
      <c r="B481" t="inlineStr">
        <is>
          <t>avverkningsanmälan</t>
        </is>
      </c>
      <c r="C481" t="inlineStr">
        <is>
          <t>Föryngringsavverkning</t>
        </is>
      </c>
      <c r="D481" s="1" t="n">
        <v>46237</v>
      </c>
      <c r="E481" s="1" t="n">
        <v>46290</v>
      </c>
      <c r="F481" t="inlineStr">
        <is>
          <t>GOTLANDS LÄN</t>
        </is>
      </c>
      <c r="G481" t="inlineStr">
        <is>
          <t>GOTLAND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32626-2026</t>
        </is>
      </c>
      <c r="B482" t="inlineStr">
        <is>
          <t>avverkningsanmälan</t>
        </is>
      </c>
      <c r="C482" t="inlineStr">
        <is>
          <t>Föryngringsavverkning</t>
        </is>
      </c>
      <c r="D482" s="1" t="n">
        <v>46240</v>
      </c>
      <c r="E482" s="1" t="n">
        <v>46290</v>
      </c>
      <c r="F482" t="inlineStr">
        <is>
          <t>GOTLANDS LÄN</t>
        </is>
      </c>
      <c r="G482" t="inlineStr">
        <is>
          <t>GOTLAND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32553-2026</t>
        </is>
      </c>
      <c r="B483" t="inlineStr">
        <is>
          <t>avverkningsanmälan</t>
        </is>
      </c>
      <c r="C483" t="inlineStr">
        <is>
          <t>Föryngringsavverkning</t>
        </is>
      </c>
      <c r="D483" s="1" t="n">
        <v>46239</v>
      </c>
      <c r="E483" s="1" t="n">
        <v>46290</v>
      </c>
      <c r="F483" t="inlineStr">
        <is>
          <t>GOTLANDS LÄN</t>
        </is>
      </c>
      <c r="G483" t="inlineStr">
        <is>
          <t>GOTLAND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38311-2026</t>
        </is>
      </c>
      <c r="B484" t="inlineStr">
        <is>
          <t>avverkningsanmälan</t>
        </is>
      </c>
      <c r="C484" t="inlineStr">
        <is>
          <t>Föryngringsavverkning</t>
        </is>
      </c>
      <c r="D484" s="1" t="n">
        <v>46282</v>
      </c>
      <c r="E484" s="1" t="n">
        <v>46290</v>
      </c>
      <c r="F484" t="inlineStr">
        <is>
          <t>GOTLANDS LÄN</t>
        </is>
      </c>
      <c r="G484" t="inlineStr">
        <is>
          <t>GOTLAND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21164-2024</t>
        </is>
      </c>
      <c r="B485" t="inlineStr">
        <is>
          <t>avverkningsanmälan</t>
        </is>
      </c>
      <c r="C485" t="inlineStr">
        <is>
          <t>Föryngringsavverkning</t>
        </is>
      </c>
      <c r="D485" s="1" t="n">
        <v>45440</v>
      </c>
      <c r="E485" s="1" t="n">
        <v>46290</v>
      </c>
      <c r="F485" t="inlineStr">
        <is>
          <t>GOTLANDS LÄN</t>
        </is>
      </c>
      <c r="G485" t="inlineStr">
        <is>
          <t>GOTLAND</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17541-2024</t>
        </is>
      </c>
      <c r="B486" t="inlineStr">
        <is>
          <t>avverkningsanmälan</t>
        </is>
      </c>
      <c r="C486" t="inlineStr">
        <is>
          <t>Föryngringsavverkning</t>
        </is>
      </c>
      <c r="D486" s="1" t="n">
        <v>45415</v>
      </c>
      <c r="E486" s="1" t="n">
        <v>46290</v>
      </c>
      <c r="F486" t="inlineStr">
        <is>
          <t>GOTLANDS LÄN</t>
        </is>
      </c>
      <c r="G486" t="inlineStr">
        <is>
          <t>GOTLAND</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32698-2026</t>
        </is>
      </c>
      <c r="B487" t="inlineStr">
        <is>
          <t>avverkningsanmälan</t>
        </is>
      </c>
      <c r="C487" t="inlineStr">
        <is>
          <t>Föryngringsavverkning</t>
        </is>
      </c>
      <c r="D487" s="1" t="n">
        <v>46240</v>
      </c>
      <c r="E487" s="1" t="n">
        <v>46290</v>
      </c>
      <c r="F487" t="inlineStr">
        <is>
          <t>GOTLANDS LÄN</t>
        </is>
      </c>
      <c r="G487" t="inlineStr">
        <is>
          <t>GOTLAND</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21389-2025</t>
        </is>
      </c>
      <c r="B488" t="inlineStr">
        <is>
          <t>avverkningsanmälan</t>
        </is>
      </c>
      <c r="C488" t="inlineStr">
        <is>
          <t>Föryngringsavverkning</t>
        </is>
      </c>
      <c r="D488" s="1" t="n">
        <v>45782</v>
      </c>
      <c r="E488" s="1" t="n">
        <v>46290</v>
      </c>
      <c r="F488" t="inlineStr">
        <is>
          <t>GOTLANDS LÄN</t>
        </is>
      </c>
      <c r="G488" t="inlineStr">
        <is>
          <t>GOTLAND</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62836-2025</t>
        </is>
      </c>
      <c r="B489" t="inlineStr">
        <is>
          <t>avverkningsanmälan</t>
        </is>
      </c>
      <c r="C489" t="inlineStr">
        <is>
          <t>Föryngringsavverkning</t>
        </is>
      </c>
      <c r="D489" s="1" t="n">
        <v>46008</v>
      </c>
      <c r="E489" s="1" t="n">
        <v>46290</v>
      </c>
      <c r="F489" t="inlineStr">
        <is>
          <t>GOTLANDS LÄN</t>
        </is>
      </c>
      <c r="G489" t="inlineStr">
        <is>
          <t>GOTLAND</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38928-2026</t>
        </is>
      </c>
      <c r="B490" t="inlineStr">
        <is>
          <t>avverkningsanmälan</t>
        </is>
      </c>
      <c r="C490" t="inlineStr">
        <is>
          <t>Föryngringsavverkning</t>
        </is>
      </c>
      <c r="D490" s="1" t="n">
        <v>46286</v>
      </c>
      <c r="E490" s="1" t="n">
        <v>46290</v>
      </c>
      <c r="F490" t="inlineStr">
        <is>
          <t>GOTLANDS LÄN</t>
        </is>
      </c>
      <c r="G490" t="inlineStr">
        <is>
          <t>GOTLAND</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38932-2026</t>
        </is>
      </c>
      <c r="B491" t="inlineStr">
        <is>
          <t>avverkningsanmälan</t>
        </is>
      </c>
      <c r="C491" t="inlineStr">
        <is>
          <t>Föryngringsavverkning</t>
        </is>
      </c>
      <c r="D491" s="1" t="n">
        <v>46286</v>
      </c>
      <c r="E491" s="1" t="n">
        <v>46290</v>
      </c>
      <c r="F491" t="inlineStr">
        <is>
          <t>GOTLANDS LÄN</t>
        </is>
      </c>
      <c r="G491" t="inlineStr">
        <is>
          <t>GOTLAND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23188-2025</t>
        </is>
      </c>
      <c r="B492" t="inlineStr">
        <is>
          <t>avverkningsanmälan</t>
        </is>
      </c>
      <c r="C492" t="inlineStr">
        <is>
          <t>Avverkning för annat ändamål</t>
        </is>
      </c>
      <c r="D492" s="1" t="n">
        <v>45791</v>
      </c>
      <c r="E492" s="1" t="n">
        <v>46290</v>
      </c>
      <c r="F492" t="inlineStr">
        <is>
          <t>GOTLANDS LÄN</t>
        </is>
      </c>
      <c r="G492" t="inlineStr">
        <is>
          <t>GOTLAND</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9518-2026</t>
        </is>
      </c>
      <c r="B493" t="inlineStr">
        <is>
          <t>avverkningsanmälan</t>
        </is>
      </c>
      <c r="C493" t="inlineStr">
        <is>
          <t>Föryngringsavverkning</t>
        </is>
      </c>
      <c r="D493" s="1" t="n">
        <v>46071</v>
      </c>
      <c r="E493" s="1" t="n">
        <v>46290</v>
      </c>
      <c r="F493" t="inlineStr">
        <is>
          <t>GOTLANDS LÄN</t>
        </is>
      </c>
      <c r="G493" t="inlineStr">
        <is>
          <t>GOTLAND</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9543-2026</t>
        </is>
      </c>
      <c r="B494" t="inlineStr">
        <is>
          <t>avverkningsanmälan</t>
        </is>
      </c>
      <c r="C494" t="inlineStr">
        <is>
          <t>Föryngringsavverkning</t>
        </is>
      </c>
      <c r="D494" s="1" t="n">
        <v>46071</v>
      </c>
      <c r="E494" s="1" t="n">
        <v>46290</v>
      </c>
      <c r="F494" t="inlineStr">
        <is>
          <t>GOTLANDS LÄN</t>
        </is>
      </c>
      <c r="G494" t="inlineStr">
        <is>
          <t>GOTLAND</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37990-2026</t>
        </is>
      </c>
      <c r="B495" t="inlineStr">
        <is>
          <t>avverkningsanmälan</t>
        </is>
      </c>
      <c r="C495" t="inlineStr">
        <is>
          <t>Avverkning för annat ändamål</t>
        </is>
      </c>
      <c r="D495" s="1" t="n">
        <v>46280</v>
      </c>
      <c r="E495" s="1" t="n">
        <v>46290</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21420-2024</t>
        </is>
      </c>
      <c r="B496" t="inlineStr">
        <is>
          <t>avverkningsanmälan</t>
        </is>
      </c>
      <c r="C496" t="inlineStr">
        <is>
          <t>Föryngringsavverkning</t>
        </is>
      </c>
      <c r="D496" s="1" t="n">
        <v>45441</v>
      </c>
      <c r="E496" s="1" t="n">
        <v>46290</v>
      </c>
      <c r="F496" t="inlineStr">
        <is>
          <t>GOTLANDS LÄN</t>
        </is>
      </c>
      <c r="G496" t="inlineStr">
        <is>
          <t>GOTLAND</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10656-2024</t>
        </is>
      </c>
      <c r="B497" t="inlineStr">
        <is>
          <t>avverkningsanmälan</t>
        </is>
      </c>
      <c r="C497" t="inlineStr">
        <is>
          <t>Föryngringsavverkning</t>
        </is>
      </c>
      <c r="D497" s="1" t="n">
        <v>45368</v>
      </c>
      <c r="E497" s="1" t="n">
        <v>46290</v>
      </c>
      <c r="F497" t="inlineStr">
        <is>
          <t>GOTLANDS LÄN</t>
        </is>
      </c>
      <c r="G497" t="inlineStr">
        <is>
          <t>GOTLAND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57356-2023</t>
        </is>
      </c>
      <c r="B498" t="inlineStr">
        <is>
          <t>avverkningsanmälan</t>
        </is>
      </c>
      <c r="C498" t="inlineStr">
        <is>
          <t>Föryngringsavverkning</t>
        </is>
      </c>
      <c r="D498" s="1" t="n">
        <v>45240</v>
      </c>
      <c r="E498" s="1" t="n">
        <v>46290</v>
      </c>
      <c r="F498" t="inlineStr">
        <is>
          <t>GOTLANDS LÄN</t>
        </is>
      </c>
      <c r="G498" t="inlineStr">
        <is>
          <t>GOTLAND</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9540-2026</t>
        </is>
      </c>
      <c r="B499" t="inlineStr">
        <is>
          <t>avverkningsanmälan</t>
        </is>
      </c>
      <c r="C499" t="inlineStr">
        <is>
          <t>Föryngringsavverkning</t>
        </is>
      </c>
      <c r="D499" s="1" t="n">
        <v>46071</v>
      </c>
      <c r="E499" s="1" t="n">
        <v>46290</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28506-2023</t>
        </is>
      </c>
      <c r="B500" t="inlineStr">
        <is>
          <t>avverkningsanmälan</t>
        </is>
      </c>
      <c r="C500" t="inlineStr">
        <is>
          <t>Avverkning för annat ändamål</t>
        </is>
      </c>
      <c r="D500" s="1" t="n">
        <v>45103</v>
      </c>
      <c r="E500" s="1" t="n">
        <v>46290</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27164-2026</t>
        </is>
      </c>
      <c r="B501" t="inlineStr">
        <is>
          <t>avverkningsanmälan</t>
        </is>
      </c>
      <c r="C501" t="inlineStr">
        <is>
          <t>Föryngringsavverkning</t>
        </is>
      </c>
      <c r="D501" s="1" t="n">
        <v>46188</v>
      </c>
      <c r="E501" s="1" t="n">
        <v>46290</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27346-2026</t>
        </is>
      </c>
      <c r="B502" t="inlineStr">
        <is>
          <t>avverkningsanmälan</t>
        </is>
      </c>
      <c r="C502" t="inlineStr">
        <is>
          <t>Föryngringsavverkning</t>
        </is>
      </c>
      <c r="D502" s="1" t="n">
        <v>46188</v>
      </c>
      <c r="E502" s="1" t="n">
        <v>46290</v>
      </c>
      <c r="F502" t="inlineStr">
        <is>
          <t>GOTLANDS LÄN</t>
        </is>
      </c>
      <c r="G502" t="inlineStr">
        <is>
          <t>GOTLAND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23698-2025</t>
        </is>
      </c>
      <c r="B503" t="inlineStr">
        <is>
          <t>avverkningsanmälan</t>
        </is>
      </c>
      <c r="C503" t="inlineStr">
        <is>
          <t>Föryngringsavverkning</t>
        </is>
      </c>
      <c r="D503" s="1" t="n">
        <v>45793</v>
      </c>
      <c r="E503" s="1" t="n">
        <v>46290</v>
      </c>
      <c r="F503" t="inlineStr">
        <is>
          <t>GOTLANDS LÄN</t>
        </is>
      </c>
      <c r="G503" t="inlineStr">
        <is>
          <t>GOTLAND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46290</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22275-2026</t>
        </is>
      </c>
      <c r="B505" t="inlineStr">
        <is>
          <t>avverkningsanmälan</t>
        </is>
      </c>
      <c r="C505" t="inlineStr">
        <is>
          <t>Föryngringsavverkning</t>
        </is>
      </c>
      <c r="D505" s="1" t="n">
        <v>46154</v>
      </c>
      <c r="E505" s="1" t="n">
        <v>46290</v>
      </c>
      <c r="F505" t="inlineStr">
        <is>
          <t>GOTLANDS LÄN</t>
        </is>
      </c>
      <c r="G505" t="inlineStr">
        <is>
          <t>GOTLAND</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27341-2026</t>
        </is>
      </c>
      <c r="B506" t="inlineStr">
        <is>
          <t>avverkningsanmälan</t>
        </is>
      </c>
      <c r="C506" t="inlineStr">
        <is>
          <t>Föryngringsavverkning</t>
        </is>
      </c>
      <c r="D506" s="1" t="n">
        <v>46188</v>
      </c>
      <c r="E506" s="1" t="n">
        <v>46290</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6749-2025</t>
        </is>
      </c>
      <c r="B507" t="inlineStr">
        <is>
          <t>avverkningsanmälan</t>
        </is>
      </c>
      <c r="C507" t="inlineStr">
        <is>
          <t>Föryngringsavverkning</t>
        </is>
      </c>
      <c r="D507" s="1" t="n">
        <v>45700</v>
      </c>
      <c r="E507" s="1" t="n">
        <v>46290</v>
      </c>
      <c r="F507" t="inlineStr">
        <is>
          <t>GOTLANDS LÄN</t>
        </is>
      </c>
      <c r="G507" t="inlineStr">
        <is>
          <t>GOTLAND</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39400-2026</t>
        </is>
      </c>
      <c r="B508" t="inlineStr">
        <is>
          <t>avverkningsanmälan</t>
        </is>
      </c>
      <c r="C508" t="inlineStr">
        <is>
          <t>Föryngringsavverkning</t>
        </is>
      </c>
      <c r="D508" s="1" t="n">
        <v>46288</v>
      </c>
      <c r="E508" s="1" t="n">
        <v>46290</v>
      </c>
      <c r="F508" t="inlineStr">
        <is>
          <t>GOTLANDS LÄN</t>
        </is>
      </c>
      <c r="G508" t="inlineStr">
        <is>
          <t>GOTLAND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5462-2025</t>
        </is>
      </c>
      <c r="B509" t="inlineStr">
        <is>
          <t>avverkningsanmälan</t>
        </is>
      </c>
      <c r="C509" t="inlineStr">
        <is>
          <t>Föryngringsavverkning</t>
        </is>
      </c>
      <c r="D509" s="1" t="n">
        <v>45693</v>
      </c>
      <c r="E509" s="1" t="n">
        <v>46290</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22887-2026</t>
        </is>
      </c>
      <c r="B510" t="inlineStr">
        <is>
          <t>avverkningsanmälan</t>
        </is>
      </c>
      <c r="C510" t="inlineStr">
        <is>
          <t>Avverkning för att bevara och utveckla /försöksver</t>
        </is>
      </c>
      <c r="D510" s="1" t="n">
        <v>46160</v>
      </c>
      <c r="E510" s="1" t="n">
        <v>46290</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23504-2026</t>
        </is>
      </c>
      <c r="B511" t="inlineStr">
        <is>
          <t>avverkningsanmälan</t>
        </is>
      </c>
      <c r="C511" t="inlineStr">
        <is>
          <t>Föryngringsavverkning</t>
        </is>
      </c>
      <c r="D511" s="1" t="n">
        <v>46163</v>
      </c>
      <c r="E511" s="1" t="n">
        <v>46290</v>
      </c>
      <c r="F511" t="inlineStr">
        <is>
          <t>GOTLANDS LÄN</t>
        </is>
      </c>
      <c r="G511" t="inlineStr">
        <is>
          <t>GOTLAND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7850-2025</t>
        </is>
      </c>
      <c r="B512" t="inlineStr">
        <is>
          <t>avverkningsanmälan</t>
        </is>
      </c>
      <c r="C512" t="inlineStr">
        <is>
          <t>Föryngringsavverkning</t>
        </is>
      </c>
      <c r="D512" s="1" t="n">
        <v>45706</v>
      </c>
      <c r="E512" s="1" t="n">
        <v>46290</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8444-2025</t>
        </is>
      </c>
      <c r="B513" t="inlineStr">
        <is>
          <t>avverkningsanmälan</t>
        </is>
      </c>
      <c r="C513" t="inlineStr">
        <is>
          <t>Föryngringsavverkning</t>
        </is>
      </c>
      <c r="D513" s="1" t="n">
        <v>45709</v>
      </c>
      <c r="E513" s="1" t="n">
        <v>46290</v>
      </c>
      <c r="F513" t="inlineStr">
        <is>
          <t>GOTLANDS LÄN</t>
        </is>
      </c>
      <c r="G513" t="inlineStr">
        <is>
          <t>GOTLAND</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29196-2025</t>
        </is>
      </c>
      <c r="B514" t="inlineStr">
        <is>
          <t>avverkningsanmälan</t>
        </is>
      </c>
      <c r="C514" t="inlineStr">
        <is>
          <t>Föryngringsavverkning</t>
        </is>
      </c>
      <c r="D514" s="1" t="n">
        <v>45822</v>
      </c>
      <c r="E514" s="1" t="n">
        <v>46290</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30061-2025</t>
        </is>
      </c>
      <c r="B515" t="inlineStr">
        <is>
          <t>avverkningsanmälan</t>
        </is>
      </c>
      <c r="C515" t="inlineStr">
        <is>
          <t>Föryngringsavverkning</t>
        </is>
      </c>
      <c r="D515" s="1" t="n">
        <v>45826</v>
      </c>
      <c r="E515" s="1" t="n">
        <v>46290</v>
      </c>
      <c r="F515" t="inlineStr">
        <is>
          <t>GOTLANDS LÄN</t>
        </is>
      </c>
      <c r="G515" t="inlineStr">
        <is>
          <t>GOTLAND</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58160-2024</t>
        </is>
      </c>
      <c r="B516" t="inlineStr">
        <is>
          <t>avverkningsanmälan</t>
        </is>
      </c>
      <c r="C516" t="inlineStr">
        <is>
          <t>Föryngringsavverkning</t>
        </is>
      </c>
      <c r="D516" s="1" t="n">
        <v>45632</v>
      </c>
      <c r="E516" s="1" t="n">
        <v>46290</v>
      </c>
      <c r="F516" t="inlineStr">
        <is>
          <t>GOTLANDS LÄN</t>
        </is>
      </c>
      <c r="G516" t="inlineStr">
        <is>
          <t>GOTLAND</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16109-2025</t>
        </is>
      </c>
      <c r="B517" t="inlineStr">
        <is>
          <t>avverkningsanmälan</t>
        </is>
      </c>
      <c r="C517" t="inlineStr">
        <is>
          <t>Avverkning för annat ändamål</t>
        </is>
      </c>
      <c r="D517" s="1" t="n">
        <v>45750</v>
      </c>
      <c r="E517" s="1" t="n">
        <v>46290</v>
      </c>
      <c r="F517" t="inlineStr">
        <is>
          <t>GOTLANDS LÄN</t>
        </is>
      </c>
      <c r="G517" t="inlineStr">
        <is>
          <t>GOTLAND</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35123-2025</t>
        </is>
      </c>
      <c r="B518" t="inlineStr">
        <is>
          <t>avverkningsanmälan</t>
        </is>
      </c>
      <c r="C518" t="inlineStr">
        <is>
          <t>Föryngringsavverkning</t>
        </is>
      </c>
      <c r="D518" s="1" t="n">
        <v>45852</v>
      </c>
      <c r="E518" s="1" t="n">
        <v>46290</v>
      </c>
      <c r="F518" t="inlineStr">
        <is>
          <t>GOTLANDS LÄN</t>
        </is>
      </c>
      <c r="G518" t="inlineStr">
        <is>
          <t>GOTLAND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32669-2024</t>
        </is>
      </c>
      <c r="B519" t="inlineStr">
        <is>
          <t>avverkningsanmälan</t>
        </is>
      </c>
      <c r="C519" t="inlineStr">
        <is>
          <t>Föryngringsavverkning</t>
        </is>
      </c>
      <c r="D519" s="1" t="n">
        <v>45514</v>
      </c>
      <c r="E519" s="1" t="n">
        <v>46290</v>
      </c>
      <c r="F519" t="inlineStr">
        <is>
          <t>GOTLANDS LÄN</t>
        </is>
      </c>
      <c r="G519" t="inlineStr">
        <is>
          <t>GOTLAND</t>
        </is>
      </c>
      <c r="I519" t="n">
        <v>9.699999999999999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30488-2025</t>
        </is>
      </c>
      <c r="B520" t="inlineStr">
        <is>
          <t>avverkningsanmälan</t>
        </is>
      </c>
      <c r="C520" t="inlineStr">
        <is>
          <t>Föryngringsavverkning</t>
        </is>
      </c>
      <c r="D520" s="1" t="n">
        <v>45830</v>
      </c>
      <c r="E520" s="1" t="n">
        <v>46290</v>
      </c>
      <c r="F520" t="inlineStr">
        <is>
          <t>GOTLANDS LÄN</t>
        </is>
      </c>
      <c r="G520" t="inlineStr">
        <is>
          <t>GOTLAND</t>
        </is>
      </c>
      <c r="H520" t="inlineStr">
        <is>
          <t>Kyrkan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15216-2025</t>
        </is>
      </c>
      <c r="B521" t="inlineStr">
        <is>
          <t>avverkningsanmälan</t>
        </is>
      </c>
      <c r="C521" t="inlineStr">
        <is>
          <t>Föryngringsavverkning</t>
        </is>
      </c>
      <c r="D521" s="1" t="n">
        <v>45744</v>
      </c>
      <c r="E521" s="1" t="n">
        <v>46290</v>
      </c>
      <c r="F521" t="inlineStr">
        <is>
          <t>GOTLANDS LÄN</t>
        </is>
      </c>
      <c r="G521" t="inlineStr">
        <is>
          <t>GOTLAND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15001-2025</t>
        </is>
      </c>
      <c r="B522" t="inlineStr">
        <is>
          <t>avverkningsanmälan</t>
        </is>
      </c>
      <c r="C522" t="inlineStr">
        <is>
          <t>Föryngringsavverkning</t>
        </is>
      </c>
      <c r="D522" s="1" t="n">
        <v>45743</v>
      </c>
      <c r="E522" s="1" t="n">
        <v>46290</v>
      </c>
      <c r="F522" t="inlineStr">
        <is>
          <t>GOTLANDS LÄN</t>
        </is>
      </c>
      <c r="G522" t="inlineStr">
        <is>
          <t>GOTLAND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46290</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46290</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46290</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46290</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46290</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46290</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46290</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46290</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46290</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46290</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46290</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46290</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2026-09-25T02:05:05Z</dcterms:created>
  <dcterms:modified xmlns:dcterms="http://purl.org/dc/terms/" xmlns:xsi="http://www.w3.org/2001/XMLSchema-instance" xsi:type="dcterms:W3CDTF">2026-09-25T02:05:06Z</dcterms:modified>
</cp:coreProperties>
</file>