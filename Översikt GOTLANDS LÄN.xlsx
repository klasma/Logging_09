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45884</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45884</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45884</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45884</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45884</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45884</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61664-2023</t>
        </is>
      </c>
      <c r="B13" s="1" t="n">
        <v>45265</v>
      </c>
      <c r="C13" s="1" t="n">
        <v>45884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4572-2025</t>
        </is>
      </c>
      <c r="B14" s="1" t="n">
        <v>45687</v>
      </c>
      <c r="C14" s="1" t="n">
        <v>45884</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45884</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45884</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61697-2023</t>
        </is>
      </c>
      <c r="B17" s="1" t="n">
        <v>45265</v>
      </c>
      <c r="C17" s="1" t="n">
        <v>45884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6913-2025</t>
        </is>
      </c>
      <c r="B18" s="1" t="n">
        <v>45701.43809027778</v>
      </c>
      <c r="C18" s="1" t="n">
        <v>45884</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45884</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45884</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569-2023</t>
        </is>
      </c>
      <c r="B21" s="1" t="n">
        <v>44930</v>
      </c>
      <c r="C21" s="1" t="n">
        <v>45884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25779-2022</t>
        </is>
      </c>
      <c r="B22" s="1" t="n">
        <v>44733</v>
      </c>
      <c r="C22" s="1" t="n">
        <v>45884</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33728-2025</t>
        </is>
      </c>
      <c r="B23" s="1" t="n">
        <v>45842.29344907407</v>
      </c>
      <c r="C23" s="1" t="n">
        <v>45884</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45884</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45884</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45884</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35141-2022</t>
        </is>
      </c>
      <c r="B27" s="1" t="n">
        <v>44797.53318287037</v>
      </c>
      <c r="C27" s="1" t="n">
        <v>45884</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45884</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45884</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30236-2025</t>
        </is>
      </c>
      <c r="B30" s="1" t="n">
        <v>45827</v>
      </c>
      <c r="C30" s="1" t="n">
        <v>45884</v>
      </c>
      <c r="D30" t="inlineStr">
        <is>
          <t>GOTLANDS LÄN</t>
        </is>
      </c>
      <c r="E30" t="inlineStr">
        <is>
          <t>GOTLAND</t>
        </is>
      </c>
      <c r="G30" t="n">
        <v>13.6</v>
      </c>
      <c r="H30" t="n">
        <v>8</v>
      </c>
      <c r="I30" t="n">
        <v>6</v>
      </c>
      <c r="J30" t="n">
        <v>4</v>
      </c>
      <c r="K30" t="n">
        <v>0</v>
      </c>
      <c r="L30" t="n">
        <v>0</v>
      </c>
      <c r="M30" t="n">
        <v>0</v>
      </c>
      <c r="N30" t="n">
        <v>0</v>
      </c>
      <c r="O30" t="n">
        <v>4</v>
      </c>
      <c r="P30" t="n">
        <v>0</v>
      </c>
      <c r="Q30" t="n">
        <v>13</v>
      </c>
      <c r="R30" s="2" t="inlineStr">
        <is>
          <t>Jordtistel
Reliktbock
Spillkråka
Svinrot
Blåmossa
Grönpyrola
Nästrot
Purpurknipprot
Tvåblad
Vit skogslilja
Grönvit nattviol
Nattviol
Sankt pers nycklar</t>
        </is>
      </c>
      <c r="S30">
        <f>HYPERLINK("https://klasma.github.io/Logging_0980/artfynd/A 30236-2025 artfynd.xlsx", "A 30236-2025")</f>
        <v/>
      </c>
      <c r="T30">
        <f>HYPERLINK("https://klasma.github.io/Logging_0980/kartor/A 30236-2025 karta.png", "A 30236-2025")</f>
        <v/>
      </c>
      <c r="V30">
        <f>HYPERLINK("https://klasma.github.io/Logging_0980/klagomål/A 30236-2025 FSC-klagomål.docx", "A 30236-2025")</f>
        <v/>
      </c>
      <c r="W30">
        <f>HYPERLINK("https://klasma.github.io/Logging_0980/klagomålsmail/A 30236-2025 FSC-klagomål mail.docx", "A 30236-2025")</f>
        <v/>
      </c>
      <c r="X30">
        <f>HYPERLINK("https://klasma.github.io/Logging_0980/tillsyn/A 30236-2025 tillsynsbegäran.docx", "A 30236-2025")</f>
        <v/>
      </c>
      <c r="Y30">
        <f>HYPERLINK("https://klasma.github.io/Logging_0980/tillsynsmail/A 30236-2025 tillsynsbegäran mail.docx", "A 30236-2025")</f>
        <v/>
      </c>
      <c r="Z30">
        <f>HYPERLINK("https://klasma.github.io/Logging_0980/fåglar/A 30236-2025 prioriterade fågelarter.docx", "A 30236-2025")</f>
        <v/>
      </c>
    </row>
    <row r="31" ht="15" customHeight="1">
      <c r="A31" t="inlineStr">
        <is>
          <t>A 3324-2023</t>
        </is>
      </c>
      <c r="B31" s="1" t="n">
        <v>44949</v>
      </c>
      <c r="C31" s="1" t="n">
        <v>45884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45884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45884</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45884</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45884</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6052-2024</t>
        </is>
      </c>
      <c r="B36" s="1" t="n">
        <v>45336</v>
      </c>
      <c r="C36" s="1" t="n">
        <v>45884</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11176-2024</t>
        </is>
      </c>
      <c r="B37" s="1" t="n">
        <v>45371</v>
      </c>
      <c r="C37" s="1" t="n">
        <v>45884</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15068-2025</t>
        </is>
      </c>
      <c r="B38" s="1" t="n">
        <v>45743</v>
      </c>
      <c r="C38" s="1" t="n">
        <v>45884</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45884</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584-2023</t>
        </is>
      </c>
      <c r="B40" s="1" t="n">
        <v>44930</v>
      </c>
      <c r="C40" s="1" t="n">
        <v>45884</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45884</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45884</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45884</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45884</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45884</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45884</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45884</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1769-2022</t>
        </is>
      </c>
      <c r="B48" s="1" t="n">
        <v>44574</v>
      </c>
      <c r="C48" s="1" t="n">
        <v>45884</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7039-2023</t>
        </is>
      </c>
      <c r="B49" s="1" t="n">
        <v>44968</v>
      </c>
      <c r="C49" s="1" t="n">
        <v>45884</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2649-2023</t>
        </is>
      </c>
      <c r="B50" s="1" t="n">
        <v>44943</v>
      </c>
      <c r="C50" s="1" t="n">
        <v>45884</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21467-2024</t>
        </is>
      </c>
      <c r="B51" s="1" t="n">
        <v>45441</v>
      </c>
      <c r="C51" s="1" t="n">
        <v>45884</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6960-2025</t>
        </is>
      </c>
      <c r="B52" s="1" t="n">
        <v>45701.49409722222</v>
      </c>
      <c r="C52" s="1" t="n">
        <v>45884</v>
      </c>
      <c r="D52" t="inlineStr">
        <is>
          <t>GOTLANDS LÄN</t>
        </is>
      </c>
      <c r="E52" t="inlineStr">
        <is>
          <t>GOTLAND</t>
        </is>
      </c>
      <c r="G52" t="n">
        <v>4</v>
      </c>
      <c r="H52" t="n">
        <v>4</v>
      </c>
      <c r="I52" t="n">
        <v>1</v>
      </c>
      <c r="J52" t="n">
        <v>4</v>
      </c>
      <c r="K52" t="n">
        <v>0</v>
      </c>
      <c r="L52" t="n">
        <v>0</v>
      </c>
      <c r="M52" t="n">
        <v>0</v>
      </c>
      <c r="N52" t="n">
        <v>0</v>
      </c>
      <c r="O52" t="n">
        <v>4</v>
      </c>
      <c r="P52" t="n">
        <v>0</v>
      </c>
      <c r="Q52" t="n">
        <v>7</v>
      </c>
      <c r="R52" s="2" t="inlineStr">
        <is>
          <t>Majviva
Spillkråka
Svinrot
Ängsstarr
Skogsknipprot
Dactylorhiza incarnata subsp. incarnata
Nattviol</t>
        </is>
      </c>
      <c r="S52">
        <f>HYPERLINK("https://klasma.github.io/Logging_0980/artfynd/A 6960-2025 artfynd.xlsx", "A 6960-2025")</f>
        <v/>
      </c>
      <c r="T52">
        <f>HYPERLINK("https://klasma.github.io/Logging_0980/kartor/A 6960-2025 karta.png", "A 6960-2025")</f>
        <v/>
      </c>
      <c r="U52">
        <f>HYPERLINK("https://klasma.github.io/Logging_0980/knärot/A 6960-2025 karta knärot.png", "A 6960-2025")</f>
        <v/>
      </c>
      <c r="V52">
        <f>HYPERLINK("https://klasma.github.io/Logging_0980/klagomål/A 6960-2025 FSC-klagomål.docx", "A 6960-2025")</f>
        <v/>
      </c>
      <c r="W52">
        <f>HYPERLINK("https://klasma.github.io/Logging_0980/klagomålsmail/A 6960-2025 FSC-klagomål mail.docx", "A 6960-2025")</f>
        <v/>
      </c>
      <c r="X52">
        <f>HYPERLINK("https://klasma.github.io/Logging_0980/tillsyn/A 6960-2025 tillsynsbegäran.docx", "A 6960-2025")</f>
        <v/>
      </c>
      <c r="Y52">
        <f>HYPERLINK("https://klasma.github.io/Logging_0980/tillsynsmail/A 6960-2025 tillsynsbegäran mail.docx", "A 6960-2025")</f>
        <v/>
      </c>
      <c r="Z52">
        <f>HYPERLINK("https://klasma.github.io/Logging_0980/fåglar/A 6960-2025 prioriterade fågelarter.docx", "A 6960-2025")</f>
        <v/>
      </c>
    </row>
    <row r="53" ht="15" customHeight="1">
      <c r="A53" t="inlineStr">
        <is>
          <t>A 18541-2024</t>
        </is>
      </c>
      <c r="B53" s="1" t="n">
        <v>45425</v>
      </c>
      <c r="C53" s="1" t="n">
        <v>45884</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4984-2025</t>
        </is>
      </c>
      <c r="B54" s="1" t="n">
        <v>45691.29891203704</v>
      </c>
      <c r="C54" s="1" t="n">
        <v>45884</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10419-2025</t>
        </is>
      </c>
      <c r="B55" s="1" t="n">
        <v>45720</v>
      </c>
      <c r="C55" s="1" t="n">
        <v>45884</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27280-2023</t>
        </is>
      </c>
      <c r="B56" s="1" t="n">
        <v>45096</v>
      </c>
      <c r="C56" s="1" t="n">
        <v>45884</v>
      </c>
      <c r="D56" t="inlineStr">
        <is>
          <t>GOTLANDS LÄN</t>
        </is>
      </c>
      <c r="E56" t="inlineStr">
        <is>
          <t>GOTLAND</t>
        </is>
      </c>
      <c r="G56" t="n">
        <v>2.7</v>
      </c>
      <c r="H56" t="n">
        <v>7</v>
      </c>
      <c r="I56" t="n">
        <v>2</v>
      </c>
      <c r="J56" t="n">
        <v>1</v>
      </c>
      <c r="K56" t="n">
        <v>0</v>
      </c>
      <c r="L56" t="n">
        <v>0</v>
      </c>
      <c r="M56" t="n">
        <v>0</v>
      </c>
      <c r="N56" t="n">
        <v>0</v>
      </c>
      <c r="O56" t="n">
        <v>1</v>
      </c>
      <c r="P56" t="n">
        <v>0</v>
      </c>
      <c r="Q56" t="n">
        <v>7</v>
      </c>
      <c r="R56" s="2" t="inlineStr">
        <is>
          <t>Mindre hackspett
Skogsknipprot
Tvåblad
Brudsporre
Fläcknycklar
Grönvit nattviol
Nattviol</t>
        </is>
      </c>
      <c r="S56">
        <f>HYPERLINK("https://klasma.github.io/Logging_0980/artfynd/A 27280-2023 artfynd.xlsx", "A 27280-2023")</f>
        <v/>
      </c>
      <c r="T56">
        <f>HYPERLINK("https://klasma.github.io/Logging_0980/kartor/A 27280-2023 karta.png", "A 27280-2023")</f>
        <v/>
      </c>
      <c r="V56">
        <f>HYPERLINK("https://klasma.github.io/Logging_0980/klagomål/A 27280-2023 FSC-klagomål.docx", "A 27280-2023")</f>
        <v/>
      </c>
      <c r="W56">
        <f>HYPERLINK("https://klasma.github.io/Logging_0980/klagomålsmail/A 27280-2023 FSC-klagomål mail.docx", "A 27280-2023")</f>
        <v/>
      </c>
      <c r="X56">
        <f>HYPERLINK("https://klasma.github.io/Logging_0980/tillsyn/A 27280-2023 tillsynsbegäran.docx", "A 27280-2023")</f>
        <v/>
      </c>
      <c r="Y56">
        <f>HYPERLINK("https://klasma.github.io/Logging_0980/tillsynsmail/A 27280-2023 tillsynsbegäran mail.docx", "A 27280-2023")</f>
        <v/>
      </c>
      <c r="Z56">
        <f>HYPERLINK("https://klasma.github.io/Logging_0980/fåglar/A 27280-2023 prioriterade fågelarter.docx", "A 27280-2023")</f>
        <v/>
      </c>
    </row>
    <row r="57" ht="15" customHeight="1">
      <c r="A57" t="inlineStr">
        <is>
          <t>A 16353-2025</t>
        </is>
      </c>
      <c r="B57" s="1" t="n">
        <v>45751</v>
      </c>
      <c r="C57" s="1" t="n">
        <v>45884</v>
      </c>
      <c r="D57" t="inlineStr">
        <is>
          <t>GOTLANDS LÄN</t>
        </is>
      </c>
      <c r="E57" t="inlineStr">
        <is>
          <t>GOTLAND</t>
        </is>
      </c>
      <c r="G57" t="n">
        <v>8.800000000000001</v>
      </c>
      <c r="H57" t="n">
        <v>0</v>
      </c>
      <c r="I57" t="n">
        <v>6</v>
      </c>
      <c r="J57" t="n">
        <v>1</v>
      </c>
      <c r="K57" t="n">
        <v>0</v>
      </c>
      <c r="L57" t="n">
        <v>0</v>
      </c>
      <c r="M57" t="n">
        <v>0</v>
      </c>
      <c r="N57" t="n">
        <v>0</v>
      </c>
      <c r="O57" t="n">
        <v>1</v>
      </c>
      <c r="P57" t="n">
        <v>0</v>
      </c>
      <c r="Q57" t="n">
        <v>7</v>
      </c>
      <c r="R57" s="2" t="inlineStr">
        <is>
          <t>Flattoppad klubbsvamp
Anisspindling
Fjällig taggsvamp s.str.
Guldkremla
Kryddspindling
Rödgul trumpetsvamp
Svavelriska</t>
        </is>
      </c>
      <c r="S57">
        <f>HYPERLINK("https://klasma.github.io/Logging_0980/artfynd/A 16353-2025 artfynd.xlsx", "A 16353-2025")</f>
        <v/>
      </c>
      <c r="T57">
        <f>HYPERLINK("https://klasma.github.io/Logging_0980/kartor/A 16353-2025 karta.png", "A 16353-2025")</f>
        <v/>
      </c>
      <c r="V57">
        <f>HYPERLINK("https://klasma.github.io/Logging_0980/klagomål/A 16353-2025 FSC-klagomål.docx", "A 16353-2025")</f>
        <v/>
      </c>
      <c r="W57">
        <f>HYPERLINK("https://klasma.github.io/Logging_0980/klagomålsmail/A 16353-2025 FSC-klagomål mail.docx", "A 16353-2025")</f>
        <v/>
      </c>
      <c r="X57">
        <f>HYPERLINK("https://klasma.github.io/Logging_0980/tillsyn/A 16353-2025 tillsynsbegäran.docx", "A 16353-2025")</f>
        <v/>
      </c>
      <c r="Y57">
        <f>HYPERLINK("https://klasma.github.io/Logging_0980/tillsynsmail/A 16353-2025 tillsynsbegäran mail.docx", "A 16353-2025")</f>
        <v/>
      </c>
    </row>
    <row r="58" ht="15" customHeight="1">
      <c r="A58" t="inlineStr">
        <is>
          <t>A 25205-2021</t>
        </is>
      </c>
      <c r="B58" s="1" t="n">
        <v>44342</v>
      </c>
      <c r="C58" s="1" t="n">
        <v>45884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54527-2023</t>
        </is>
      </c>
      <c r="B59" s="1" t="n">
        <v>45233</v>
      </c>
      <c r="C59" s="1" t="n">
        <v>45884</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2085-2023</t>
        </is>
      </c>
      <c r="B60" s="1" t="n">
        <v>44939</v>
      </c>
      <c r="C60" s="1" t="n">
        <v>45884</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45248-2024</t>
        </is>
      </c>
      <c r="B61" s="1" t="n">
        <v>45576</v>
      </c>
      <c r="C61" s="1" t="n">
        <v>45884</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65819-2020</t>
        </is>
      </c>
      <c r="B62" s="1" t="n">
        <v>44174</v>
      </c>
      <c r="C62" s="1" t="n">
        <v>45884</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7038-2023</t>
        </is>
      </c>
      <c r="B63" s="1" t="n">
        <v>44968</v>
      </c>
      <c r="C63" s="1" t="n">
        <v>45884</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16823-2024</t>
        </is>
      </c>
      <c r="B64" s="1" t="n">
        <v>45411</v>
      </c>
      <c r="C64" s="1" t="n">
        <v>45884</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446-2023</t>
        </is>
      </c>
      <c r="B65" s="1" t="n">
        <v>44929</v>
      </c>
      <c r="C65" s="1" t="n">
        <v>45884</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42936-2024</t>
        </is>
      </c>
      <c r="B66" s="1" t="n">
        <v>45567</v>
      </c>
      <c r="C66" s="1" t="n">
        <v>45884</v>
      </c>
      <c r="D66" t="inlineStr">
        <is>
          <t>GOTLANDS LÄN</t>
        </is>
      </c>
      <c r="E66" t="inlineStr">
        <is>
          <t>GOTLAND</t>
        </is>
      </c>
      <c r="G66" t="n">
        <v>3.4</v>
      </c>
      <c r="H66" t="n">
        <v>0</v>
      </c>
      <c r="I66" t="n">
        <v>3</v>
      </c>
      <c r="J66" t="n">
        <v>1</v>
      </c>
      <c r="K66" t="n">
        <v>1</v>
      </c>
      <c r="L66" t="n">
        <v>0</v>
      </c>
      <c r="M66" t="n">
        <v>0</v>
      </c>
      <c r="N66" t="n">
        <v>0</v>
      </c>
      <c r="O66" t="n">
        <v>2</v>
      </c>
      <c r="P66" t="n">
        <v>1</v>
      </c>
      <c r="Q66" t="n">
        <v>5</v>
      </c>
      <c r="R66" s="2" t="inlineStr">
        <is>
          <t>Vit taggsvamp
Äggspindling
Barrfagerspindling
Blå slemspindling
Svavelriska</t>
        </is>
      </c>
      <c r="S66">
        <f>HYPERLINK("https://klasma.github.io/Logging_0980/artfynd/A 42936-2024 artfynd.xlsx", "A 42936-2024")</f>
        <v/>
      </c>
      <c r="T66">
        <f>HYPERLINK("https://klasma.github.io/Logging_0980/kartor/A 42936-2024 karta.png", "A 42936-2024")</f>
        <v/>
      </c>
      <c r="V66">
        <f>HYPERLINK("https://klasma.github.io/Logging_0980/klagomål/A 42936-2024 FSC-klagomål.docx", "A 42936-2024")</f>
        <v/>
      </c>
      <c r="W66">
        <f>HYPERLINK("https://klasma.github.io/Logging_0980/klagomålsmail/A 42936-2024 FSC-klagomål mail.docx", "A 42936-2024")</f>
        <v/>
      </c>
      <c r="X66">
        <f>HYPERLINK("https://klasma.github.io/Logging_0980/tillsyn/A 42936-2024 tillsynsbegäran.docx", "A 42936-2024")</f>
        <v/>
      </c>
      <c r="Y66">
        <f>HYPERLINK("https://klasma.github.io/Logging_0980/tillsynsmail/A 42936-2024 tillsynsbegäran mail.docx", "A 42936-2024")</f>
        <v/>
      </c>
    </row>
    <row r="67" ht="15" customHeight="1">
      <c r="A67" t="inlineStr">
        <is>
          <t>A 54055-2022</t>
        </is>
      </c>
      <c r="B67" s="1" t="n">
        <v>44881</v>
      </c>
      <c r="C67" s="1" t="n">
        <v>45884</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32326-2024</t>
        </is>
      </c>
      <c r="B68" s="1" t="n">
        <v>45512</v>
      </c>
      <c r="C68" s="1" t="n">
        <v>45884</v>
      </c>
      <c r="D68" t="inlineStr">
        <is>
          <t>GOTLANDS LÄN</t>
        </is>
      </c>
      <c r="E68" t="inlineStr">
        <is>
          <t>GOTLAND</t>
        </is>
      </c>
      <c r="G68" t="n">
        <v>9.199999999999999</v>
      </c>
      <c r="H68" t="n">
        <v>3</v>
      </c>
      <c r="I68" t="n">
        <v>2</v>
      </c>
      <c r="J68" t="n">
        <v>2</v>
      </c>
      <c r="K68" t="n">
        <v>0</v>
      </c>
      <c r="L68" t="n">
        <v>0</v>
      </c>
      <c r="M68" t="n">
        <v>0</v>
      </c>
      <c r="N68" t="n">
        <v>0</v>
      </c>
      <c r="O68" t="n">
        <v>2</v>
      </c>
      <c r="P68" t="n">
        <v>0</v>
      </c>
      <c r="Q68" t="n">
        <v>5</v>
      </c>
      <c r="R68" s="2" t="inlineStr">
        <is>
          <t>Jordtistel
Svinrot
Purpurknipprot
Skogsknipprot
Brudsporre</t>
        </is>
      </c>
      <c r="S68">
        <f>HYPERLINK("https://klasma.github.io/Logging_0980/artfynd/A 32326-2024 artfynd.xlsx", "A 32326-2024")</f>
        <v/>
      </c>
      <c r="T68">
        <f>HYPERLINK("https://klasma.github.io/Logging_0980/kartor/A 32326-2024 karta.png", "A 32326-2024")</f>
        <v/>
      </c>
      <c r="V68">
        <f>HYPERLINK("https://klasma.github.io/Logging_0980/klagomål/A 32326-2024 FSC-klagomål.docx", "A 32326-2024")</f>
        <v/>
      </c>
      <c r="W68">
        <f>HYPERLINK("https://klasma.github.io/Logging_0980/klagomålsmail/A 32326-2024 FSC-klagomål mail.docx", "A 32326-2024")</f>
        <v/>
      </c>
      <c r="X68">
        <f>HYPERLINK("https://klasma.github.io/Logging_0980/tillsyn/A 32326-2024 tillsynsbegäran.docx", "A 32326-2024")</f>
        <v/>
      </c>
      <c r="Y68">
        <f>HYPERLINK("https://klasma.github.io/Logging_0980/tillsynsmail/A 32326-2024 tillsynsbegäran mail.docx", "A 32326-2024")</f>
        <v/>
      </c>
    </row>
    <row r="69" ht="15" customHeight="1">
      <c r="A69" t="inlineStr">
        <is>
          <t>A 39425-2023</t>
        </is>
      </c>
      <c r="B69" s="1" t="n">
        <v>45166</v>
      </c>
      <c r="C69" s="1" t="n">
        <v>45884</v>
      </c>
      <c r="D69" t="inlineStr">
        <is>
          <t>GOTLANDS LÄN</t>
        </is>
      </c>
      <c r="E69" t="inlineStr">
        <is>
          <t>GOTLAND</t>
        </is>
      </c>
      <c r="G69" t="n">
        <v>3.9</v>
      </c>
      <c r="H69" t="n">
        <v>1</v>
      </c>
      <c r="I69" t="n">
        <v>3</v>
      </c>
      <c r="J69" t="n">
        <v>0</v>
      </c>
      <c r="K69" t="n">
        <v>2</v>
      </c>
      <c r="L69" t="n">
        <v>0</v>
      </c>
      <c r="M69" t="n">
        <v>0</v>
      </c>
      <c r="N69" t="n">
        <v>0</v>
      </c>
      <c r="O69" t="n">
        <v>2</v>
      </c>
      <c r="P69" t="n">
        <v>2</v>
      </c>
      <c r="Q69" t="n">
        <v>5</v>
      </c>
      <c r="R69" s="2" t="inlineStr">
        <is>
          <t>Knärot
Violgubbe
Anisspindling
Rödgul trumpetsvamp
Svavelriska</t>
        </is>
      </c>
      <c r="S69">
        <f>HYPERLINK("https://klasma.github.io/Logging_0980/artfynd/A 39425-2023 artfynd.xlsx", "A 39425-2023")</f>
        <v/>
      </c>
      <c r="T69">
        <f>HYPERLINK("https://klasma.github.io/Logging_0980/kartor/A 39425-2023 karta.png", "A 39425-2023")</f>
        <v/>
      </c>
      <c r="U69">
        <f>HYPERLINK("https://klasma.github.io/Logging_0980/knärot/A 39425-2023 karta knärot.png", "A 39425-2023")</f>
        <v/>
      </c>
      <c r="V69">
        <f>HYPERLINK("https://klasma.github.io/Logging_0980/klagomål/A 39425-2023 FSC-klagomål.docx", "A 39425-2023")</f>
        <v/>
      </c>
      <c r="W69">
        <f>HYPERLINK("https://klasma.github.io/Logging_0980/klagomålsmail/A 39425-2023 FSC-klagomål mail.docx", "A 39425-2023")</f>
        <v/>
      </c>
      <c r="X69">
        <f>HYPERLINK("https://klasma.github.io/Logging_0980/tillsyn/A 39425-2023 tillsynsbegäran.docx", "A 39425-2023")</f>
        <v/>
      </c>
      <c r="Y69">
        <f>HYPERLINK("https://klasma.github.io/Logging_0980/tillsynsmail/A 39425-2023 tillsynsbegäran mail.docx", "A 39425-2023")</f>
        <v/>
      </c>
    </row>
    <row r="70" ht="15" customHeight="1">
      <c r="A70" t="inlineStr">
        <is>
          <t>A 44944-2022</t>
        </is>
      </c>
      <c r="B70" s="1" t="n">
        <v>44841</v>
      </c>
      <c r="C70" s="1" t="n">
        <v>45884</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16375-2025</t>
        </is>
      </c>
      <c r="B71" s="1" t="n">
        <v>45751.41064814815</v>
      </c>
      <c r="C71" s="1" t="n">
        <v>45884</v>
      </c>
      <c r="D71" t="inlineStr">
        <is>
          <t>GOTLANDS LÄN</t>
        </is>
      </c>
      <c r="E71" t="inlineStr">
        <is>
          <t>GOTLAND</t>
        </is>
      </c>
      <c r="G71" t="n">
        <v>1.9</v>
      </c>
      <c r="H71" t="n">
        <v>3</v>
      </c>
      <c r="I71" t="n">
        <v>3</v>
      </c>
      <c r="J71" t="n">
        <v>1</v>
      </c>
      <c r="K71" t="n">
        <v>0</v>
      </c>
      <c r="L71" t="n">
        <v>1</v>
      </c>
      <c r="M71" t="n">
        <v>0</v>
      </c>
      <c r="N71" t="n">
        <v>0</v>
      </c>
      <c r="O71" t="n">
        <v>2</v>
      </c>
      <c r="P71" t="n">
        <v>1</v>
      </c>
      <c r="Q71" t="n">
        <v>5</v>
      </c>
      <c r="R71" s="2" t="inlineStr">
        <is>
          <t>Ask
Spillkråka
Blåmossa
Nästrot
Tvåblad</t>
        </is>
      </c>
      <c r="S71">
        <f>HYPERLINK("https://klasma.github.io/Logging_0980/artfynd/A 16375-2025 artfynd.xlsx", "A 16375-2025")</f>
        <v/>
      </c>
      <c r="T71">
        <f>HYPERLINK("https://klasma.github.io/Logging_0980/kartor/A 16375-2025 karta.png", "A 16375-2025")</f>
        <v/>
      </c>
      <c r="V71">
        <f>HYPERLINK("https://klasma.github.io/Logging_0980/klagomål/A 16375-2025 FSC-klagomål.docx", "A 16375-2025")</f>
        <v/>
      </c>
      <c r="W71">
        <f>HYPERLINK("https://klasma.github.io/Logging_0980/klagomålsmail/A 16375-2025 FSC-klagomål mail.docx", "A 16375-2025")</f>
        <v/>
      </c>
      <c r="X71">
        <f>HYPERLINK("https://klasma.github.io/Logging_0980/tillsyn/A 16375-2025 tillsynsbegäran.docx", "A 16375-2025")</f>
        <v/>
      </c>
      <c r="Y71">
        <f>HYPERLINK("https://klasma.github.io/Logging_0980/tillsynsmail/A 16375-2025 tillsynsbegäran mail.docx", "A 16375-2025")</f>
        <v/>
      </c>
      <c r="Z71">
        <f>HYPERLINK("https://klasma.github.io/Logging_0980/fåglar/A 16375-2025 prioriterade fågelarter.docx", "A 16375-2025")</f>
        <v/>
      </c>
    </row>
    <row r="72" ht="15" customHeight="1">
      <c r="A72" t="inlineStr">
        <is>
          <t>A 35293-2025</t>
        </is>
      </c>
      <c r="B72" s="1" t="n">
        <v>45854.39438657407</v>
      </c>
      <c r="C72" s="1" t="n">
        <v>45884</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29331-2021</t>
        </is>
      </c>
      <c r="B73" s="1" t="n">
        <v>44361</v>
      </c>
      <c r="C73" s="1" t="n">
        <v>45884</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56717-2024</t>
        </is>
      </c>
      <c r="B74" s="1" t="n">
        <v>45628.3166550926</v>
      </c>
      <c r="C74" s="1" t="n">
        <v>45884</v>
      </c>
      <c r="D74" t="inlineStr">
        <is>
          <t>GOTLANDS LÄN</t>
        </is>
      </c>
      <c r="E74" t="inlineStr">
        <is>
          <t>GOTLAND</t>
        </is>
      </c>
      <c r="G74" t="n">
        <v>9.699999999999999</v>
      </c>
      <c r="H74" t="n">
        <v>0</v>
      </c>
      <c r="I74" t="n">
        <v>2</v>
      </c>
      <c r="J74" t="n">
        <v>2</v>
      </c>
      <c r="K74" t="n">
        <v>0</v>
      </c>
      <c r="L74" t="n">
        <v>0</v>
      </c>
      <c r="M74" t="n">
        <v>0</v>
      </c>
      <c r="N74" t="n">
        <v>0</v>
      </c>
      <c r="O74" t="n">
        <v>2</v>
      </c>
      <c r="P74" t="n">
        <v>0</v>
      </c>
      <c r="Q74" t="n">
        <v>4</v>
      </c>
      <c r="R74" s="2" t="inlineStr">
        <is>
          <t>Ekvaxskivling
Odörspindling
Fjällig taggsvamp s.str.
Kattfotslav</t>
        </is>
      </c>
      <c r="S74">
        <f>HYPERLINK("https://klasma.github.io/Logging_0980/artfynd/A 56717-2024 artfynd.xlsx", "A 56717-2024")</f>
        <v/>
      </c>
      <c r="T74">
        <f>HYPERLINK("https://klasma.github.io/Logging_0980/kartor/A 56717-2024 karta.png", "A 56717-2024")</f>
        <v/>
      </c>
      <c r="V74">
        <f>HYPERLINK("https://klasma.github.io/Logging_0980/klagomål/A 56717-2024 FSC-klagomål.docx", "A 56717-2024")</f>
        <v/>
      </c>
      <c r="W74">
        <f>HYPERLINK("https://klasma.github.io/Logging_0980/klagomålsmail/A 56717-2024 FSC-klagomål mail.docx", "A 56717-2024")</f>
        <v/>
      </c>
      <c r="X74">
        <f>HYPERLINK("https://klasma.github.io/Logging_0980/tillsyn/A 56717-2024 tillsynsbegäran.docx", "A 56717-2024")</f>
        <v/>
      </c>
      <c r="Y74">
        <f>HYPERLINK("https://klasma.github.io/Logging_0980/tillsynsmail/A 56717-2024 tillsynsbegäran mail.docx", "A 56717-2024")</f>
        <v/>
      </c>
    </row>
    <row r="75" ht="15" customHeight="1">
      <c r="A75" t="inlineStr">
        <is>
          <t>A 8265-2023</t>
        </is>
      </c>
      <c r="B75" s="1" t="n">
        <v>44974</v>
      </c>
      <c r="C75" s="1" t="n">
        <v>45884</v>
      </c>
      <c r="D75" t="inlineStr">
        <is>
          <t>GOTLANDS LÄN</t>
        </is>
      </c>
      <c r="E75" t="inlineStr">
        <is>
          <t>GOTLAND</t>
        </is>
      </c>
      <c r="G75" t="n">
        <v>3.3</v>
      </c>
      <c r="H75" t="n">
        <v>4</v>
      </c>
      <c r="I75" t="n">
        <v>3</v>
      </c>
      <c r="J75" t="n">
        <v>0</v>
      </c>
      <c r="K75" t="n">
        <v>0</v>
      </c>
      <c r="L75" t="n">
        <v>0</v>
      </c>
      <c r="M75" t="n">
        <v>0</v>
      </c>
      <c r="N75" t="n">
        <v>0</v>
      </c>
      <c r="O75" t="n">
        <v>0</v>
      </c>
      <c r="P75" t="n">
        <v>0</v>
      </c>
      <c r="Q75" t="n">
        <v>4</v>
      </c>
      <c r="R75" s="2" t="inlineStr">
        <is>
          <t>Flugblomster
Purpurknipprot
Tvåblad
Salepsrot</t>
        </is>
      </c>
      <c r="S75">
        <f>HYPERLINK("https://klasma.github.io/Logging_0980/artfynd/A 8265-2023 artfynd.xlsx", "A 8265-2023")</f>
        <v/>
      </c>
      <c r="T75">
        <f>HYPERLINK("https://klasma.github.io/Logging_0980/kartor/A 8265-2023 karta.png", "A 8265-2023")</f>
        <v/>
      </c>
      <c r="V75">
        <f>HYPERLINK("https://klasma.github.io/Logging_0980/klagomål/A 8265-2023 FSC-klagomål.docx", "A 8265-2023")</f>
        <v/>
      </c>
      <c r="W75">
        <f>HYPERLINK("https://klasma.github.io/Logging_0980/klagomålsmail/A 8265-2023 FSC-klagomål mail.docx", "A 8265-2023")</f>
        <v/>
      </c>
      <c r="X75">
        <f>HYPERLINK("https://klasma.github.io/Logging_0980/tillsyn/A 8265-2023 tillsynsbegäran.docx", "A 8265-2023")</f>
        <v/>
      </c>
      <c r="Y75">
        <f>HYPERLINK("https://klasma.github.io/Logging_0980/tillsynsmail/A 8265-2023 tillsynsbegäran mail.docx", "A 8265-2023")</f>
        <v/>
      </c>
    </row>
    <row r="76" ht="15" customHeight="1">
      <c r="A76" t="inlineStr">
        <is>
          <t>A 54523-2023</t>
        </is>
      </c>
      <c r="B76" s="1" t="n">
        <v>45233</v>
      </c>
      <c r="C76" s="1" t="n">
        <v>45884</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2485-2025</t>
        </is>
      </c>
      <c r="B77" s="1" t="n">
        <v>45673</v>
      </c>
      <c r="C77" s="1" t="n">
        <v>45884</v>
      </c>
      <c r="D77" t="inlineStr">
        <is>
          <t>GOTLANDS LÄN</t>
        </is>
      </c>
      <c r="E77" t="inlineStr">
        <is>
          <t>GOTLAND</t>
        </is>
      </c>
      <c r="G77" t="n">
        <v>5</v>
      </c>
      <c r="H77" t="n">
        <v>2</v>
      </c>
      <c r="I77" t="n">
        <v>2</v>
      </c>
      <c r="J77" t="n">
        <v>0</v>
      </c>
      <c r="K77" t="n">
        <v>2</v>
      </c>
      <c r="L77" t="n">
        <v>0</v>
      </c>
      <c r="M77" t="n">
        <v>0</v>
      </c>
      <c r="N77" t="n">
        <v>0</v>
      </c>
      <c r="O77" t="n">
        <v>2</v>
      </c>
      <c r="P77" t="n">
        <v>2</v>
      </c>
      <c r="Q77" t="n">
        <v>4</v>
      </c>
      <c r="R77" s="2" t="inlineStr">
        <is>
          <t>Gotlandsmåra
Skogskorn
Nästrot
Skogsknipprot</t>
        </is>
      </c>
      <c r="S77">
        <f>HYPERLINK("https://klasma.github.io/Logging_0980/artfynd/A 2485-2025 artfynd.xlsx", "A 2485-2025")</f>
        <v/>
      </c>
      <c r="T77">
        <f>HYPERLINK("https://klasma.github.io/Logging_0980/kartor/A 2485-2025 karta.png", "A 2485-2025")</f>
        <v/>
      </c>
      <c r="V77">
        <f>HYPERLINK("https://klasma.github.io/Logging_0980/klagomål/A 2485-2025 FSC-klagomål.docx", "A 2485-2025")</f>
        <v/>
      </c>
      <c r="W77">
        <f>HYPERLINK("https://klasma.github.io/Logging_0980/klagomålsmail/A 2485-2025 FSC-klagomål mail.docx", "A 2485-2025")</f>
        <v/>
      </c>
      <c r="X77">
        <f>HYPERLINK("https://klasma.github.io/Logging_0980/tillsyn/A 2485-2025 tillsynsbegäran.docx", "A 2485-2025")</f>
        <v/>
      </c>
      <c r="Y77">
        <f>HYPERLINK("https://klasma.github.io/Logging_0980/tillsynsmail/A 2485-2025 tillsynsbegäran mail.docx", "A 2485-2025")</f>
        <v/>
      </c>
    </row>
    <row r="78" ht="15" customHeight="1">
      <c r="A78" t="inlineStr">
        <is>
          <t>A 6159-2023</t>
        </is>
      </c>
      <c r="B78" s="1" t="n">
        <v>44964</v>
      </c>
      <c r="C78" s="1" t="n">
        <v>45884</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45884</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45884</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5904-2024</t>
        </is>
      </c>
      <c r="B81" s="1" t="n">
        <v>45335</v>
      </c>
      <c r="C81" s="1" t="n">
        <v>45884</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64378-2020</t>
        </is>
      </c>
      <c r="B82" s="1" t="n">
        <v>44168</v>
      </c>
      <c r="C82" s="1" t="n">
        <v>45884</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1971-2023</t>
        </is>
      </c>
      <c r="B83" s="1" t="n">
        <v>44939</v>
      </c>
      <c r="C83" s="1" t="n">
        <v>45884</v>
      </c>
      <c r="D83" t="inlineStr">
        <is>
          <t>GOTLANDS LÄN</t>
        </is>
      </c>
      <c r="E83" t="inlineStr">
        <is>
          <t>GOTLAND</t>
        </is>
      </c>
      <c r="G83" t="n">
        <v>5.5</v>
      </c>
      <c r="H83" t="n">
        <v>0</v>
      </c>
      <c r="I83" t="n">
        <v>2</v>
      </c>
      <c r="J83" t="n">
        <v>1</v>
      </c>
      <c r="K83" t="n">
        <v>1</v>
      </c>
      <c r="L83" t="n">
        <v>0</v>
      </c>
      <c r="M83" t="n">
        <v>0</v>
      </c>
      <c r="N83" t="n">
        <v>0</v>
      </c>
      <c r="O83" t="n">
        <v>2</v>
      </c>
      <c r="P83" t="n">
        <v>1</v>
      </c>
      <c r="Q83" t="n">
        <v>4</v>
      </c>
      <c r="R83" s="2" t="inlineStr">
        <is>
          <t>Gulsträngad fagerspindling
Svinrot
Fjällig taggsvamp s.str.
Olivspindling</t>
        </is>
      </c>
      <c r="S83">
        <f>HYPERLINK("https://klasma.github.io/Logging_0980/artfynd/A 1971-2023 artfynd.xlsx", "A 1971-2023")</f>
        <v/>
      </c>
      <c r="T83">
        <f>HYPERLINK("https://klasma.github.io/Logging_0980/kartor/A 1971-2023 karta.png", "A 1971-2023")</f>
        <v/>
      </c>
      <c r="V83">
        <f>HYPERLINK("https://klasma.github.io/Logging_0980/klagomål/A 1971-2023 FSC-klagomål.docx", "A 1971-2023")</f>
        <v/>
      </c>
      <c r="W83">
        <f>HYPERLINK("https://klasma.github.io/Logging_0980/klagomålsmail/A 1971-2023 FSC-klagomål mail.docx", "A 1971-2023")</f>
        <v/>
      </c>
      <c r="X83">
        <f>HYPERLINK("https://klasma.github.io/Logging_0980/tillsyn/A 1971-2023 tillsynsbegäran.docx", "A 1971-2023")</f>
        <v/>
      </c>
      <c r="Y83">
        <f>HYPERLINK("https://klasma.github.io/Logging_0980/tillsynsmail/A 1971-2023 tillsynsbegäran mail.docx", "A 1971-2023")</f>
        <v/>
      </c>
    </row>
    <row r="84" ht="15" customHeight="1">
      <c r="A84" t="inlineStr">
        <is>
          <t>A 186-2023</t>
        </is>
      </c>
      <c r="B84" s="1" t="n">
        <v>44928</v>
      </c>
      <c r="C84" s="1" t="n">
        <v>45884</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20833-2024</t>
        </is>
      </c>
      <c r="B85" s="1" t="n">
        <v>45439</v>
      </c>
      <c r="C85" s="1" t="n">
        <v>45884</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45884</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45884</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45884</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32718-2021</t>
        </is>
      </c>
      <c r="B89" s="1" t="n">
        <v>44375</v>
      </c>
      <c r="C89" s="1" t="n">
        <v>45884</v>
      </c>
      <c r="D89" t="inlineStr">
        <is>
          <t>GOTLANDS LÄN</t>
        </is>
      </c>
      <c r="E89" t="inlineStr">
        <is>
          <t>GOTLAND</t>
        </is>
      </c>
      <c r="G89" t="n">
        <v>2.1</v>
      </c>
      <c r="H89" t="n">
        <v>0</v>
      </c>
      <c r="I89" t="n">
        <v>1</v>
      </c>
      <c r="J89" t="n">
        <v>1</v>
      </c>
      <c r="K89" t="n">
        <v>1</v>
      </c>
      <c r="L89" t="n">
        <v>0</v>
      </c>
      <c r="M89" t="n">
        <v>0</v>
      </c>
      <c r="N89" t="n">
        <v>0</v>
      </c>
      <c r="O89" t="n">
        <v>2</v>
      </c>
      <c r="P89" t="n">
        <v>1</v>
      </c>
      <c r="Q89" t="n">
        <v>3</v>
      </c>
      <c r="R89" s="2" t="inlineStr">
        <is>
          <t>Skogskorn
Skugglosta
Strävlosta</t>
        </is>
      </c>
      <c r="S89">
        <f>HYPERLINK("https://klasma.github.io/Logging_0980/artfynd/A 32718-2021 artfynd.xlsx", "A 32718-2021")</f>
        <v/>
      </c>
      <c r="T89">
        <f>HYPERLINK("https://klasma.github.io/Logging_0980/kartor/A 32718-2021 karta.png", "A 32718-2021")</f>
        <v/>
      </c>
      <c r="V89">
        <f>HYPERLINK("https://klasma.github.io/Logging_0980/klagomål/A 32718-2021 FSC-klagomål.docx", "A 32718-2021")</f>
        <v/>
      </c>
      <c r="W89">
        <f>HYPERLINK("https://klasma.github.io/Logging_0980/klagomålsmail/A 32718-2021 FSC-klagomål mail.docx", "A 32718-2021")</f>
        <v/>
      </c>
      <c r="X89">
        <f>HYPERLINK("https://klasma.github.io/Logging_0980/tillsyn/A 32718-2021 tillsynsbegäran.docx", "A 32718-2021")</f>
        <v/>
      </c>
      <c r="Y89">
        <f>HYPERLINK("https://klasma.github.io/Logging_0980/tillsynsmail/A 32718-2021 tillsynsbegäran mail.docx", "A 32718-2021")</f>
        <v/>
      </c>
    </row>
    <row r="90" ht="15" customHeight="1">
      <c r="A90" t="inlineStr">
        <is>
          <t>A 12519-2021</t>
        </is>
      </c>
      <c r="B90" s="1" t="n">
        <v>44269</v>
      </c>
      <c r="C90" s="1" t="n">
        <v>45884</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45884</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45884</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12315-2024</t>
        </is>
      </c>
      <c r="B93" s="1" t="n">
        <v>45378.6434837963</v>
      </c>
      <c r="C93" s="1" t="n">
        <v>45884</v>
      </c>
      <c r="D93" t="inlineStr">
        <is>
          <t>GOTLANDS LÄN</t>
        </is>
      </c>
      <c r="E93" t="inlineStr">
        <is>
          <t>GOTLAND</t>
        </is>
      </c>
      <c r="G93" t="n">
        <v>6</v>
      </c>
      <c r="H93" t="n">
        <v>3</v>
      </c>
      <c r="I93" t="n">
        <v>1</v>
      </c>
      <c r="J93" t="n">
        <v>1</v>
      </c>
      <c r="K93" t="n">
        <v>0</v>
      </c>
      <c r="L93" t="n">
        <v>0</v>
      </c>
      <c r="M93" t="n">
        <v>0</v>
      </c>
      <c r="N93" t="n">
        <v>0</v>
      </c>
      <c r="O93" t="n">
        <v>1</v>
      </c>
      <c r="P93" t="n">
        <v>0</v>
      </c>
      <c r="Q93" t="n">
        <v>3</v>
      </c>
      <c r="R93" s="2" t="inlineStr">
        <is>
          <t>Buskskvätta
Tvåblad
Fläcknycklar</t>
        </is>
      </c>
      <c r="S93">
        <f>HYPERLINK("https://klasma.github.io/Logging_0980/artfynd/A 12315-2024 artfynd.xlsx", "A 12315-2024")</f>
        <v/>
      </c>
      <c r="T93">
        <f>HYPERLINK("https://klasma.github.io/Logging_0980/kartor/A 12315-2024 karta.png", "A 12315-2024")</f>
        <v/>
      </c>
      <c r="V93">
        <f>HYPERLINK("https://klasma.github.io/Logging_0980/klagomål/A 12315-2024 FSC-klagomål.docx", "A 12315-2024")</f>
        <v/>
      </c>
      <c r="W93">
        <f>HYPERLINK("https://klasma.github.io/Logging_0980/klagomålsmail/A 12315-2024 FSC-klagomål mail.docx", "A 12315-2024")</f>
        <v/>
      </c>
      <c r="X93">
        <f>HYPERLINK("https://klasma.github.io/Logging_0980/tillsyn/A 12315-2024 tillsynsbegäran.docx", "A 12315-2024")</f>
        <v/>
      </c>
      <c r="Y93">
        <f>HYPERLINK("https://klasma.github.io/Logging_0980/tillsynsmail/A 12315-2024 tillsynsbegäran mail.docx", "A 12315-2024")</f>
        <v/>
      </c>
      <c r="Z93">
        <f>HYPERLINK("https://klasma.github.io/Logging_0980/fåglar/A 12315-2024 prioriterade fågelarter.docx", "A 12315-2024")</f>
        <v/>
      </c>
    </row>
    <row r="94" ht="15" customHeight="1">
      <c r="A94" t="inlineStr">
        <is>
          <t>A 43013-2022</t>
        </is>
      </c>
      <c r="B94" s="1" t="n">
        <v>44833</v>
      </c>
      <c r="C94" s="1" t="n">
        <v>45884</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13499-2022</t>
        </is>
      </c>
      <c r="B95" s="1" t="n">
        <v>44647.79203703703</v>
      </c>
      <c r="C95" s="1" t="n">
        <v>45884</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45884</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17975-2024</t>
        </is>
      </c>
      <c r="B97" s="1" t="n">
        <v>45419.85546296297</v>
      </c>
      <c r="C97" s="1" t="n">
        <v>45884</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62326-2020</t>
        </is>
      </c>
      <c r="B98" s="1" t="n">
        <v>44160</v>
      </c>
      <c r="C98" s="1" t="n">
        <v>45884</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17982-2023</t>
        </is>
      </c>
      <c r="B99" s="1" t="n">
        <v>45040</v>
      </c>
      <c r="C99" s="1" t="n">
        <v>45884</v>
      </c>
      <c r="D99" t="inlineStr">
        <is>
          <t>GOTLANDS LÄN</t>
        </is>
      </c>
      <c r="E99" t="inlineStr">
        <is>
          <t>GOTLAND</t>
        </is>
      </c>
      <c r="G99" t="n">
        <v>2.2</v>
      </c>
      <c r="H99" t="n">
        <v>0</v>
      </c>
      <c r="I99" t="n">
        <v>0</v>
      </c>
      <c r="J99" t="n">
        <v>2</v>
      </c>
      <c r="K99" t="n">
        <v>0</v>
      </c>
      <c r="L99" t="n">
        <v>0</v>
      </c>
      <c r="M99" t="n">
        <v>1</v>
      </c>
      <c r="N99" t="n">
        <v>0</v>
      </c>
      <c r="O99" t="n">
        <v>3</v>
      </c>
      <c r="P99" t="n">
        <v>1</v>
      </c>
      <c r="Q99" t="n">
        <v>3</v>
      </c>
      <c r="R99" s="2" t="inlineStr">
        <is>
          <t>Lundalm
Krusfrö
Ängsskära</t>
        </is>
      </c>
      <c r="S99">
        <f>HYPERLINK("https://klasma.github.io/Logging_0980/artfynd/A 17982-2023 artfynd.xlsx", "A 17982-2023")</f>
        <v/>
      </c>
      <c r="T99">
        <f>HYPERLINK("https://klasma.github.io/Logging_0980/kartor/A 17982-2023 karta.png", "A 17982-2023")</f>
        <v/>
      </c>
      <c r="V99">
        <f>HYPERLINK("https://klasma.github.io/Logging_0980/klagomål/A 17982-2023 FSC-klagomål.docx", "A 17982-2023")</f>
        <v/>
      </c>
      <c r="W99">
        <f>HYPERLINK("https://klasma.github.io/Logging_0980/klagomålsmail/A 17982-2023 FSC-klagomål mail.docx", "A 17982-2023")</f>
        <v/>
      </c>
      <c r="X99">
        <f>HYPERLINK("https://klasma.github.io/Logging_0980/tillsyn/A 17982-2023 tillsynsbegäran.docx", "A 17982-2023")</f>
        <v/>
      </c>
      <c r="Y99">
        <f>HYPERLINK("https://klasma.github.io/Logging_0980/tillsynsmail/A 17982-2023 tillsynsbegäran mail.docx", "A 17982-2023")</f>
        <v/>
      </c>
    </row>
    <row r="100" ht="15" customHeight="1">
      <c r="A100" t="inlineStr">
        <is>
          <t>A 30490-2025</t>
        </is>
      </c>
      <c r="B100" s="1" t="n">
        <v>45830</v>
      </c>
      <c r="C100" s="1" t="n">
        <v>45884</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20831-2024</t>
        </is>
      </c>
      <c r="B101" s="1" t="n">
        <v>45439</v>
      </c>
      <c r="C101" s="1" t="n">
        <v>45884</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29870-2021</t>
        </is>
      </c>
      <c r="B102" s="1" t="n">
        <v>44362</v>
      </c>
      <c r="C102" s="1" t="n">
        <v>45884</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45884</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9930-2021</t>
        </is>
      </c>
      <c r="B104" s="1" t="n">
        <v>44252</v>
      </c>
      <c r="C104" s="1" t="n">
        <v>45884</v>
      </c>
      <c r="D104" t="inlineStr">
        <is>
          <t>GOTLANDS LÄN</t>
        </is>
      </c>
      <c r="E104" t="inlineStr">
        <is>
          <t>GOTLAND</t>
        </is>
      </c>
      <c r="G104" t="n">
        <v>1.9</v>
      </c>
      <c r="H104" t="n">
        <v>0</v>
      </c>
      <c r="I104" t="n">
        <v>0</v>
      </c>
      <c r="J104" t="n">
        <v>0</v>
      </c>
      <c r="K104" t="n">
        <v>0</v>
      </c>
      <c r="L104" t="n">
        <v>1</v>
      </c>
      <c r="M104" t="n">
        <v>1</v>
      </c>
      <c r="N104" t="n">
        <v>0</v>
      </c>
      <c r="O104" t="n">
        <v>2</v>
      </c>
      <c r="P104" t="n">
        <v>2</v>
      </c>
      <c r="Q104" t="n">
        <v>2</v>
      </c>
      <c r="R104" s="2" t="inlineStr">
        <is>
          <t>Lundalm
Ask</t>
        </is>
      </c>
      <c r="S104">
        <f>HYPERLINK("https://klasma.github.io/Logging_0980/artfynd/A 9930-2021 artfynd.xlsx", "A 9930-2021")</f>
        <v/>
      </c>
      <c r="T104">
        <f>HYPERLINK("https://klasma.github.io/Logging_0980/kartor/A 9930-2021 karta.png", "A 9930-2021")</f>
        <v/>
      </c>
      <c r="V104">
        <f>HYPERLINK("https://klasma.github.io/Logging_0980/klagomål/A 9930-2021 FSC-klagomål.docx", "A 9930-2021")</f>
        <v/>
      </c>
      <c r="W104">
        <f>HYPERLINK("https://klasma.github.io/Logging_0980/klagomålsmail/A 9930-2021 FSC-klagomål mail.docx", "A 9930-2021")</f>
        <v/>
      </c>
      <c r="X104">
        <f>HYPERLINK("https://klasma.github.io/Logging_0980/tillsyn/A 9930-2021 tillsynsbegäran.docx", "A 9930-2021")</f>
        <v/>
      </c>
      <c r="Y104">
        <f>HYPERLINK("https://klasma.github.io/Logging_0980/tillsynsmail/A 9930-2021 tillsynsbegäran mail.docx", "A 9930-2021")</f>
        <v/>
      </c>
    </row>
    <row r="105" ht="15" customHeight="1">
      <c r="A105" t="inlineStr">
        <is>
          <t>A 16429-2021</t>
        </is>
      </c>
      <c r="B105" s="1" t="n">
        <v>44293</v>
      </c>
      <c r="C105" s="1" t="n">
        <v>45884</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20218-2022</t>
        </is>
      </c>
      <c r="B106" s="1" t="n">
        <v>44698</v>
      </c>
      <c r="C106" s="1" t="n">
        <v>45884</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43321-2020</t>
        </is>
      </c>
      <c r="B107" s="1" t="n">
        <v>44081</v>
      </c>
      <c r="C107" s="1" t="n">
        <v>45884</v>
      </c>
      <c r="D107" t="inlineStr">
        <is>
          <t>GOTLANDS LÄN</t>
        </is>
      </c>
      <c r="E107" t="inlineStr">
        <is>
          <t>GOTLAND</t>
        </is>
      </c>
      <c r="G107" t="n">
        <v>10</v>
      </c>
      <c r="H107" t="n">
        <v>1</v>
      </c>
      <c r="I107" t="n">
        <v>0</v>
      </c>
      <c r="J107" t="n">
        <v>2</v>
      </c>
      <c r="K107" t="n">
        <v>0</v>
      </c>
      <c r="L107" t="n">
        <v>0</v>
      </c>
      <c r="M107" t="n">
        <v>0</v>
      </c>
      <c r="N107" t="n">
        <v>0</v>
      </c>
      <c r="O107" t="n">
        <v>2</v>
      </c>
      <c r="P107" t="n">
        <v>0</v>
      </c>
      <c r="Q107" t="n">
        <v>2</v>
      </c>
      <c r="R107" s="2" t="inlineStr">
        <is>
          <t>Buskskvätta
Ängsnätfjäril</t>
        </is>
      </c>
      <c r="S107">
        <f>HYPERLINK("https://klasma.github.io/Logging_0980/artfynd/A 43321-2020 artfynd.xlsx", "A 43321-2020")</f>
        <v/>
      </c>
      <c r="T107">
        <f>HYPERLINK("https://klasma.github.io/Logging_0980/kartor/A 43321-2020 karta.png", "A 43321-2020")</f>
        <v/>
      </c>
      <c r="V107">
        <f>HYPERLINK("https://klasma.github.io/Logging_0980/klagomål/A 43321-2020 FSC-klagomål.docx", "A 43321-2020")</f>
        <v/>
      </c>
      <c r="W107">
        <f>HYPERLINK("https://klasma.github.io/Logging_0980/klagomålsmail/A 43321-2020 FSC-klagomål mail.docx", "A 43321-2020")</f>
        <v/>
      </c>
      <c r="X107">
        <f>HYPERLINK("https://klasma.github.io/Logging_0980/tillsyn/A 43321-2020 tillsynsbegäran.docx", "A 43321-2020")</f>
        <v/>
      </c>
      <c r="Y107">
        <f>HYPERLINK("https://klasma.github.io/Logging_0980/tillsynsmail/A 43321-2020 tillsynsbegäran mail.docx", "A 43321-2020")</f>
        <v/>
      </c>
      <c r="Z107">
        <f>HYPERLINK("https://klasma.github.io/Logging_0980/fåglar/A 43321-2020 prioriterade fågelarter.docx", "A 43321-2020")</f>
        <v/>
      </c>
    </row>
    <row r="108" ht="15" customHeight="1">
      <c r="A108" t="inlineStr">
        <is>
          <t>A 60665-2021</t>
        </is>
      </c>
      <c r="B108" s="1" t="n">
        <v>44496</v>
      </c>
      <c r="C108" s="1" t="n">
        <v>45884</v>
      </c>
      <c r="D108" t="inlineStr">
        <is>
          <t>GOTLANDS LÄN</t>
        </is>
      </c>
      <c r="E108" t="inlineStr">
        <is>
          <t>GOTLAND</t>
        </is>
      </c>
      <c r="G108" t="n">
        <v>1.6</v>
      </c>
      <c r="H108" t="n">
        <v>0</v>
      </c>
      <c r="I108" t="n">
        <v>0</v>
      </c>
      <c r="J108" t="n">
        <v>0</v>
      </c>
      <c r="K108" t="n">
        <v>1</v>
      </c>
      <c r="L108" t="n">
        <v>1</v>
      </c>
      <c r="M108" t="n">
        <v>0</v>
      </c>
      <c r="N108" t="n">
        <v>0</v>
      </c>
      <c r="O108" t="n">
        <v>2</v>
      </c>
      <c r="P108" t="n">
        <v>2</v>
      </c>
      <c r="Q108" t="n">
        <v>2</v>
      </c>
      <c r="R108" s="2" t="inlineStr">
        <is>
          <t>Ädellav
Skogskorn</t>
        </is>
      </c>
      <c r="S108">
        <f>HYPERLINK("https://klasma.github.io/Logging_0980/artfynd/A 60665-2021 artfynd.xlsx", "A 60665-2021")</f>
        <v/>
      </c>
      <c r="T108">
        <f>HYPERLINK("https://klasma.github.io/Logging_0980/kartor/A 60665-2021 karta.png", "A 60665-2021")</f>
        <v/>
      </c>
      <c r="V108">
        <f>HYPERLINK("https://klasma.github.io/Logging_0980/klagomål/A 60665-2021 FSC-klagomål.docx", "A 60665-2021")</f>
        <v/>
      </c>
      <c r="W108">
        <f>HYPERLINK("https://klasma.github.io/Logging_0980/klagomålsmail/A 60665-2021 FSC-klagomål mail.docx", "A 60665-2021")</f>
        <v/>
      </c>
      <c r="X108">
        <f>HYPERLINK("https://klasma.github.io/Logging_0980/tillsyn/A 60665-2021 tillsynsbegäran.docx", "A 60665-2021")</f>
        <v/>
      </c>
      <c r="Y108">
        <f>HYPERLINK("https://klasma.github.io/Logging_0980/tillsynsmail/A 60665-2021 tillsynsbegäran mail.docx", "A 60665-2021")</f>
        <v/>
      </c>
    </row>
    <row r="109" ht="15" customHeight="1">
      <c r="A109" t="inlineStr">
        <is>
          <t>A 28261-2024</t>
        </is>
      </c>
      <c r="B109" s="1" t="n">
        <v>45477</v>
      </c>
      <c r="C109" s="1" t="n">
        <v>45884</v>
      </c>
      <c r="D109" t="inlineStr">
        <is>
          <t>GOTLANDS LÄN</t>
        </is>
      </c>
      <c r="E109" t="inlineStr">
        <is>
          <t>GOTLAND</t>
        </is>
      </c>
      <c r="G109" t="n">
        <v>22.8</v>
      </c>
      <c r="H109" t="n">
        <v>0</v>
      </c>
      <c r="I109" t="n">
        <v>0</v>
      </c>
      <c r="J109" t="n">
        <v>2</v>
      </c>
      <c r="K109" t="n">
        <v>0</v>
      </c>
      <c r="L109" t="n">
        <v>0</v>
      </c>
      <c r="M109" t="n">
        <v>0</v>
      </c>
      <c r="N109" t="n">
        <v>0</v>
      </c>
      <c r="O109" t="n">
        <v>2</v>
      </c>
      <c r="P109" t="n">
        <v>0</v>
      </c>
      <c r="Q109" t="n">
        <v>2</v>
      </c>
      <c r="R109" s="2" t="inlineStr">
        <is>
          <t>Grådådra
Åkerkulla</t>
        </is>
      </c>
      <c r="S109">
        <f>HYPERLINK("https://klasma.github.io/Logging_0980/artfynd/A 28261-2024 artfynd.xlsx", "A 28261-2024")</f>
        <v/>
      </c>
      <c r="T109">
        <f>HYPERLINK("https://klasma.github.io/Logging_0980/kartor/A 28261-2024 karta.png", "A 28261-2024")</f>
        <v/>
      </c>
      <c r="V109">
        <f>HYPERLINK("https://klasma.github.io/Logging_0980/klagomål/A 28261-2024 FSC-klagomål.docx", "A 28261-2024")</f>
        <v/>
      </c>
      <c r="W109">
        <f>HYPERLINK("https://klasma.github.io/Logging_0980/klagomålsmail/A 28261-2024 FSC-klagomål mail.docx", "A 28261-2024")</f>
        <v/>
      </c>
      <c r="X109">
        <f>HYPERLINK("https://klasma.github.io/Logging_0980/tillsyn/A 28261-2024 tillsynsbegäran.docx", "A 28261-2024")</f>
        <v/>
      </c>
      <c r="Y109">
        <f>HYPERLINK("https://klasma.github.io/Logging_0980/tillsynsmail/A 28261-2024 tillsynsbegäran mail.docx", "A 28261-2024")</f>
        <v/>
      </c>
    </row>
    <row r="110" ht="15" customHeight="1">
      <c r="A110" t="inlineStr">
        <is>
          <t>A 58701-2020</t>
        </is>
      </c>
      <c r="B110" s="1" t="n">
        <v>44146</v>
      </c>
      <c r="C110" s="1" t="n">
        <v>45884</v>
      </c>
      <c r="D110" t="inlineStr">
        <is>
          <t>GOTLANDS LÄN</t>
        </is>
      </c>
      <c r="E110" t="inlineStr">
        <is>
          <t>GOTLAND</t>
        </is>
      </c>
      <c r="G110" t="n">
        <v>5.5</v>
      </c>
      <c r="H110" t="n">
        <v>0</v>
      </c>
      <c r="I110" t="n">
        <v>0</v>
      </c>
      <c r="J110" t="n">
        <v>1</v>
      </c>
      <c r="K110" t="n">
        <v>1</v>
      </c>
      <c r="L110" t="n">
        <v>0</v>
      </c>
      <c r="M110" t="n">
        <v>0</v>
      </c>
      <c r="N110" t="n">
        <v>0</v>
      </c>
      <c r="O110" t="n">
        <v>2</v>
      </c>
      <c r="P110" t="n">
        <v>1</v>
      </c>
      <c r="Q110" t="n">
        <v>2</v>
      </c>
      <c r="R110" s="2" t="inlineStr">
        <is>
          <t>Vit taggsvamp
Odörspindling</t>
        </is>
      </c>
      <c r="S110">
        <f>HYPERLINK("https://klasma.github.io/Logging_0980/artfynd/A 58701-2020 artfynd.xlsx", "A 58701-2020")</f>
        <v/>
      </c>
      <c r="T110">
        <f>HYPERLINK("https://klasma.github.io/Logging_0980/kartor/A 58701-2020 karta.png", "A 58701-2020")</f>
        <v/>
      </c>
      <c r="V110">
        <f>HYPERLINK("https://klasma.github.io/Logging_0980/klagomål/A 58701-2020 FSC-klagomål.docx", "A 58701-2020")</f>
        <v/>
      </c>
      <c r="W110">
        <f>HYPERLINK("https://klasma.github.io/Logging_0980/klagomålsmail/A 58701-2020 FSC-klagomål mail.docx", "A 58701-2020")</f>
        <v/>
      </c>
      <c r="X110">
        <f>HYPERLINK("https://klasma.github.io/Logging_0980/tillsyn/A 58701-2020 tillsynsbegäran.docx", "A 58701-2020")</f>
        <v/>
      </c>
      <c r="Y110">
        <f>HYPERLINK("https://klasma.github.io/Logging_0980/tillsynsmail/A 58701-2020 tillsynsbegäran mail.docx", "A 58701-2020")</f>
        <v/>
      </c>
    </row>
    <row r="111" ht="15" customHeight="1">
      <c r="A111" t="inlineStr">
        <is>
          <t>A 73144-2021</t>
        </is>
      </c>
      <c r="B111" s="1" t="n">
        <v>44550</v>
      </c>
      <c r="C111" s="1" t="n">
        <v>45884</v>
      </c>
      <c r="D111" t="inlineStr">
        <is>
          <t>GOTLANDS LÄN</t>
        </is>
      </c>
      <c r="E111" t="inlineStr">
        <is>
          <t>GOTLAND</t>
        </is>
      </c>
      <c r="G111" t="n">
        <v>1.9</v>
      </c>
      <c r="H111" t="n">
        <v>0</v>
      </c>
      <c r="I111" t="n">
        <v>1</v>
      </c>
      <c r="J111" t="n">
        <v>0</v>
      </c>
      <c r="K111" t="n">
        <v>1</v>
      </c>
      <c r="L111" t="n">
        <v>0</v>
      </c>
      <c r="M111" t="n">
        <v>0</v>
      </c>
      <c r="N111" t="n">
        <v>0</v>
      </c>
      <c r="O111" t="n">
        <v>1</v>
      </c>
      <c r="P111" t="n">
        <v>1</v>
      </c>
      <c r="Q111" t="n">
        <v>2</v>
      </c>
      <c r="R111" s="2" t="inlineStr">
        <is>
          <t>Skogskorn
Kambräken</t>
        </is>
      </c>
      <c r="S111">
        <f>HYPERLINK("https://klasma.github.io/Logging_0980/artfynd/A 73144-2021 artfynd.xlsx", "A 73144-2021")</f>
        <v/>
      </c>
      <c r="T111">
        <f>HYPERLINK("https://klasma.github.io/Logging_0980/kartor/A 73144-2021 karta.png", "A 73144-2021")</f>
        <v/>
      </c>
      <c r="V111">
        <f>HYPERLINK("https://klasma.github.io/Logging_0980/klagomål/A 73144-2021 FSC-klagomål.docx", "A 73144-2021")</f>
        <v/>
      </c>
      <c r="W111">
        <f>HYPERLINK("https://klasma.github.io/Logging_0980/klagomålsmail/A 73144-2021 FSC-klagomål mail.docx", "A 73144-2021")</f>
        <v/>
      </c>
      <c r="X111">
        <f>HYPERLINK("https://klasma.github.io/Logging_0980/tillsyn/A 73144-2021 tillsynsbegäran.docx", "A 73144-2021")</f>
        <v/>
      </c>
      <c r="Y111">
        <f>HYPERLINK("https://klasma.github.io/Logging_0980/tillsynsmail/A 73144-2021 tillsynsbegäran mail.docx", "A 73144-2021")</f>
        <v/>
      </c>
    </row>
    <row r="112" ht="15" customHeight="1">
      <c r="A112" t="inlineStr">
        <is>
          <t>A 55649-2024</t>
        </is>
      </c>
      <c r="B112" s="1" t="n">
        <v>45622.63053240741</v>
      </c>
      <c r="C112" s="1" t="n">
        <v>45884</v>
      </c>
      <c r="D112" t="inlineStr">
        <is>
          <t>GOTLANDS LÄN</t>
        </is>
      </c>
      <c r="E112" t="inlineStr">
        <is>
          <t>GOTLAND</t>
        </is>
      </c>
      <c r="G112" t="n">
        <v>4.6</v>
      </c>
      <c r="H112" t="n">
        <v>2</v>
      </c>
      <c r="I112" t="n">
        <v>0</v>
      </c>
      <c r="J112" t="n">
        <v>0</v>
      </c>
      <c r="K112" t="n">
        <v>0</v>
      </c>
      <c r="L112" t="n">
        <v>0</v>
      </c>
      <c r="M112" t="n">
        <v>0</v>
      </c>
      <c r="N112" t="n">
        <v>0</v>
      </c>
      <c r="O112" t="n">
        <v>0</v>
      </c>
      <c r="P112" t="n">
        <v>0</v>
      </c>
      <c r="Q112" t="n">
        <v>2</v>
      </c>
      <c r="R112" s="2" t="inlineStr">
        <is>
          <t>Sankt pers nycklar
Blåsippa</t>
        </is>
      </c>
      <c r="S112">
        <f>HYPERLINK("https://klasma.github.io/Logging_0980/artfynd/A 55649-2024 artfynd.xlsx", "A 55649-2024")</f>
        <v/>
      </c>
      <c r="T112">
        <f>HYPERLINK("https://klasma.github.io/Logging_0980/kartor/A 55649-2024 karta.png", "A 55649-2024")</f>
        <v/>
      </c>
      <c r="V112">
        <f>HYPERLINK("https://klasma.github.io/Logging_0980/klagomål/A 55649-2024 FSC-klagomål.docx", "A 55649-2024")</f>
        <v/>
      </c>
      <c r="W112">
        <f>HYPERLINK("https://klasma.github.io/Logging_0980/klagomålsmail/A 55649-2024 FSC-klagomål mail.docx", "A 55649-2024")</f>
        <v/>
      </c>
      <c r="X112">
        <f>HYPERLINK("https://klasma.github.io/Logging_0980/tillsyn/A 55649-2024 tillsynsbegäran.docx", "A 55649-2024")</f>
        <v/>
      </c>
      <c r="Y112">
        <f>HYPERLINK("https://klasma.github.io/Logging_0980/tillsynsmail/A 55649-2024 tillsynsbegäran mail.docx", "A 55649-2024")</f>
        <v/>
      </c>
    </row>
    <row r="113" ht="15" customHeight="1">
      <c r="A113" t="inlineStr">
        <is>
          <t>A 48126-2022</t>
        </is>
      </c>
      <c r="B113" s="1" t="n">
        <v>44857</v>
      </c>
      <c r="C113" s="1" t="n">
        <v>45884</v>
      </c>
      <c r="D113" t="inlineStr">
        <is>
          <t>GOTLANDS LÄN</t>
        </is>
      </c>
      <c r="E113" t="inlineStr">
        <is>
          <t>GOTLAND</t>
        </is>
      </c>
      <c r="G113" t="n">
        <v>9.800000000000001</v>
      </c>
      <c r="H113" t="n">
        <v>1</v>
      </c>
      <c r="I113" t="n">
        <v>0</v>
      </c>
      <c r="J113" t="n">
        <v>2</v>
      </c>
      <c r="K113" t="n">
        <v>0</v>
      </c>
      <c r="L113" t="n">
        <v>0</v>
      </c>
      <c r="M113" t="n">
        <v>0</v>
      </c>
      <c r="N113" t="n">
        <v>0</v>
      </c>
      <c r="O113" t="n">
        <v>2</v>
      </c>
      <c r="P113" t="n">
        <v>0</v>
      </c>
      <c r="Q113" t="n">
        <v>2</v>
      </c>
      <c r="R113" s="2" t="inlineStr">
        <is>
          <t>Jordtistel
Spillkråka</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7070-2022</t>
        </is>
      </c>
      <c r="B114" s="1" t="n">
        <v>44603</v>
      </c>
      <c r="C114" s="1" t="n">
        <v>45884</v>
      </c>
      <c r="D114" t="inlineStr">
        <is>
          <t>GOTLANDS LÄN</t>
        </is>
      </c>
      <c r="E114" t="inlineStr">
        <is>
          <t>GOTLAND</t>
        </is>
      </c>
      <c r="G114" t="n">
        <v>2.6</v>
      </c>
      <c r="H114" t="n">
        <v>0</v>
      </c>
      <c r="I114" t="n">
        <v>2</v>
      </c>
      <c r="J114" t="n">
        <v>0</v>
      </c>
      <c r="K114" t="n">
        <v>0</v>
      </c>
      <c r="L114" t="n">
        <v>0</v>
      </c>
      <c r="M114" t="n">
        <v>0</v>
      </c>
      <c r="N114" t="n">
        <v>0</v>
      </c>
      <c r="O114" t="n">
        <v>0</v>
      </c>
      <c r="P114" t="n">
        <v>0</v>
      </c>
      <c r="Q114" t="n">
        <v>2</v>
      </c>
      <c r="R114" s="2" t="inlineStr">
        <is>
          <t>Blåmossa
Kattfotslav</t>
        </is>
      </c>
      <c r="S114">
        <f>HYPERLINK("https://klasma.github.io/Logging_0980/artfynd/A 7070-2022 artfynd.xlsx", "A 7070-2022")</f>
        <v/>
      </c>
      <c r="T114">
        <f>HYPERLINK("https://klasma.github.io/Logging_0980/kartor/A 7070-2022 karta.png", "A 7070-2022")</f>
        <v/>
      </c>
      <c r="V114">
        <f>HYPERLINK("https://klasma.github.io/Logging_0980/klagomål/A 7070-2022 FSC-klagomål.docx", "A 7070-2022")</f>
        <v/>
      </c>
      <c r="W114">
        <f>HYPERLINK("https://klasma.github.io/Logging_0980/klagomålsmail/A 7070-2022 FSC-klagomål mail.docx", "A 7070-2022")</f>
        <v/>
      </c>
      <c r="X114">
        <f>HYPERLINK("https://klasma.github.io/Logging_0980/tillsyn/A 7070-2022 tillsynsbegäran.docx", "A 7070-2022")</f>
        <v/>
      </c>
      <c r="Y114">
        <f>HYPERLINK("https://klasma.github.io/Logging_0980/tillsynsmail/A 7070-2022 tillsynsbegäran mail.docx", "A 7070-2022")</f>
        <v/>
      </c>
    </row>
    <row r="115" ht="15" customHeight="1">
      <c r="A115" t="inlineStr">
        <is>
          <t>A 64263-2020</t>
        </is>
      </c>
      <c r="B115" s="1" t="n">
        <v>44168</v>
      </c>
      <c r="C115" s="1" t="n">
        <v>45884</v>
      </c>
      <c r="D115" t="inlineStr">
        <is>
          <t>GOTLANDS LÄN</t>
        </is>
      </c>
      <c r="E115" t="inlineStr">
        <is>
          <t>GOTLAND</t>
        </is>
      </c>
      <c r="G115" t="n">
        <v>10.9</v>
      </c>
      <c r="H115" t="n">
        <v>1</v>
      </c>
      <c r="I115" t="n">
        <v>0</v>
      </c>
      <c r="J115" t="n">
        <v>2</v>
      </c>
      <c r="K115" t="n">
        <v>0</v>
      </c>
      <c r="L115" t="n">
        <v>0</v>
      </c>
      <c r="M115" t="n">
        <v>0</v>
      </c>
      <c r="N115" t="n">
        <v>0</v>
      </c>
      <c r="O115" t="n">
        <v>2</v>
      </c>
      <c r="P115" t="n">
        <v>0</v>
      </c>
      <c r="Q115" t="n">
        <v>2</v>
      </c>
      <c r="R115" s="2" t="inlineStr">
        <is>
          <t>Mindre hackspett
Ullticka</t>
        </is>
      </c>
      <c r="S115">
        <f>HYPERLINK("https://klasma.github.io/Logging_0980/artfynd/A 64263-2020 artfynd.xlsx", "A 64263-2020")</f>
        <v/>
      </c>
      <c r="T115">
        <f>HYPERLINK("https://klasma.github.io/Logging_0980/kartor/A 64263-2020 karta.png", "A 64263-2020")</f>
        <v/>
      </c>
      <c r="V115">
        <f>HYPERLINK("https://klasma.github.io/Logging_0980/klagomål/A 64263-2020 FSC-klagomål.docx", "A 64263-2020")</f>
        <v/>
      </c>
      <c r="W115">
        <f>HYPERLINK("https://klasma.github.io/Logging_0980/klagomålsmail/A 64263-2020 FSC-klagomål mail.docx", "A 64263-2020")</f>
        <v/>
      </c>
      <c r="X115">
        <f>HYPERLINK("https://klasma.github.io/Logging_0980/tillsyn/A 64263-2020 tillsynsbegäran.docx", "A 64263-2020")</f>
        <v/>
      </c>
      <c r="Y115">
        <f>HYPERLINK("https://klasma.github.io/Logging_0980/tillsynsmail/A 64263-2020 tillsynsbegäran mail.docx", "A 64263-2020")</f>
        <v/>
      </c>
      <c r="Z115">
        <f>HYPERLINK("https://klasma.github.io/Logging_0980/fåglar/A 64263-2020 prioriterade fågelarter.docx", "A 64263-2020")</f>
        <v/>
      </c>
    </row>
    <row r="116" ht="15" customHeight="1">
      <c r="A116" t="inlineStr">
        <is>
          <t>A 12914-2025</t>
        </is>
      </c>
      <c r="B116" s="1" t="n">
        <v>45733</v>
      </c>
      <c r="C116" s="1" t="n">
        <v>45884</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28276-2024</t>
        </is>
      </c>
      <c r="B117" s="1" t="n">
        <v>45477</v>
      </c>
      <c r="C117" s="1" t="n">
        <v>45884</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28276-2024 artfynd.xlsx", "A 28276-2024")</f>
        <v/>
      </c>
      <c r="T117">
        <f>HYPERLINK("https://klasma.github.io/Logging_0980/kartor/A 28276-2024 karta.png", "A 28276-2024")</f>
        <v/>
      </c>
      <c r="V117">
        <f>HYPERLINK("https://klasma.github.io/Logging_0980/klagomål/A 28276-2024 FSC-klagomål.docx", "A 28276-2024")</f>
        <v/>
      </c>
      <c r="W117">
        <f>HYPERLINK("https://klasma.github.io/Logging_0980/klagomålsmail/A 28276-2024 FSC-klagomål mail.docx", "A 28276-2024")</f>
        <v/>
      </c>
      <c r="X117">
        <f>HYPERLINK("https://klasma.github.io/Logging_0980/tillsyn/A 28276-2024 tillsynsbegäran.docx", "A 28276-2024")</f>
        <v/>
      </c>
      <c r="Y117">
        <f>HYPERLINK("https://klasma.github.io/Logging_0980/tillsynsmail/A 28276-2024 tillsynsbegäran mail.docx", "A 28276-2024")</f>
        <v/>
      </c>
    </row>
    <row r="118" ht="15" customHeight="1">
      <c r="A118" t="inlineStr">
        <is>
          <t>A 54357-2024</t>
        </is>
      </c>
      <c r="B118" s="1" t="n">
        <v>45617.40662037037</v>
      </c>
      <c r="C118" s="1" t="n">
        <v>45884</v>
      </c>
      <c r="D118" t="inlineStr">
        <is>
          <t>GOTLANDS LÄN</t>
        </is>
      </c>
      <c r="E118" t="inlineStr">
        <is>
          <t>GOTLAND</t>
        </is>
      </c>
      <c r="G118" t="n">
        <v>1.5</v>
      </c>
      <c r="H118" t="n">
        <v>1</v>
      </c>
      <c r="I118" t="n">
        <v>0</v>
      </c>
      <c r="J118" t="n">
        <v>1</v>
      </c>
      <c r="K118" t="n">
        <v>0</v>
      </c>
      <c r="L118" t="n">
        <v>0</v>
      </c>
      <c r="M118" t="n">
        <v>0</v>
      </c>
      <c r="N118" t="n">
        <v>0</v>
      </c>
      <c r="O118" t="n">
        <v>1</v>
      </c>
      <c r="P118" t="n">
        <v>0</v>
      </c>
      <c r="Q118" t="n">
        <v>2</v>
      </c>
      <c r="R118" s="2" t="inlineStr">
        <is>
          <t>Loppstarr
Fläcknycklar</t>
        </is>
      </c>
      <c r="S118">
        <f>HYPERLINK("https://klasma.github.io/Logging_0980/artfynd/A 54357-2024 artfynd.xlsx", "A 54357-2024")</f>
        <v/>
      </c>
      <c r="T118">
        <f>HYPERLINK("https://klasma.github.io/Logging_0980/kartor/A 54357-2024 karta.png", "A 54357-2024")</f>
        <v/>
      </c>
      <c r="V118">
        <f>HYPERLINK("https://klasma.github.io/Logging_0980/klagomål/A 54357-2024 FSC-klagomål.docx", "A 54357-2024")</f>
        <v/>
      </c>
      <c r="W118">
        <f>HYPERLINK("https://klasma.github.io/Logging_0980/klagomålsmail/A 54357-2024 FSC-klagomål mail.docx", "A 54357-2024")</f>
        <v/>
      </c>
      <c r="X118">
        <f>HYPERLINK("https://klasma.github.io/Logging_0980/tillsyn/A 54357-2024 tillsynsbegäran.docx", "A 54357-2024")</f>
        <v/>
      </c>
      <c r="Y118">
        <f>HYPERLINK("https://klasma.github.io/Logging_0980/tillsynsmail/A 54357-2024 tillsynsbegäran mail.docx", "A 54357-2024")</f>
        <v/>
      </c>
    </row>
    <row r="119" ht="15" customHeight="1">
      <c r="A119" t="inlineStr">
        <is>
          <t>A 20838-2024</t>
        </is>
      </c>
      <c r="B119" s="1" t="n">
        <v>45439</v>
      </c>
      <c r="C119" s="1" t="n">
        <v>45884</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21879-2025</t>
        </is>
      </c>
      <c r="B120" s="1" t="n">
        <v>45784.40533564815</v>
      </c>
      <c r="C120" s="1" t="n">
        <v>45884</v>
      </c>
      <c r="D120" t="inlineStr">
        <is>
          <t>GOTLANDS LÄN</t>
        </is>
      </c>
      <c r="E120" t="inlineStr">
        <is>
          <t>GOTLAND</t>
        </is>
      </c>
      <c r="G120" t="n">
        <v>11.1</v>
      </c>
      <c r="H120" t="n">
        <v>0</v>
      </c>
      <c r="I120" t="n">
        <v>1</v>
      </c>
      <c r="J120" t="n">
        <v>0</v>
      </c>
      <c r="K120" t="n">
        <v>0</v>
      </c>
      <c r="L120" t="n">
        <v>1</v>
      </c>
      <c r="M120" t="n">
        <v>0</v>
      </c>
      <c r="N120" t="n">
        <v>0</v>
      </c>
      <c r="O120" t="n">
        <v>1</v>
      </c>
      <c r="P120" t="n">
        <v>1</v>
      </c>
      <c r="Q120" t="n">
        <v>2</v>
      </c>
      <c r="R120" s="2" t="inlineStr">
        <is>
          <t>Ask
Murgröna</t>
        </is>
      </c>
      <c r="S120">
        <f>HYPERLINK("https://klasma.github.io/Logging_0980/artfynd/A 21879-2025 artfynd.xlsx", "A 21879-2025")</f>
        <v/>
      </c>
      <c r="T120">
        <f>HYPERLINK("https://klasma.github.io/Logging_0980/kartor/A 21879-2025 karta.png", "A 21879-2025")</f>
        <v/>
      </c>
      <c r="V120">
        <f>HYPERLINK("https://klasma.github.io/Logging_0980/klagomål/A 21879-2025 FSC-klagomål.docx", "A 21879-2025")</f>
        <v/>
      </c>
      <c r="W120">
        <f>HYPERLINK("https://klasma.github.io/Logging_0980/klagomålsmail/A 21879-2025 FSC-klagomål mail.docx", "A 21879-2025")</f>
        <v/>
      </c>
      <c r="X120">
        <f>HYPERLINK("https://klasma.github.io/Logging_0980/tillsyn/A 21879-2025 tillsynsbegäran.docx", "A 21879-2025")</f>
        <v/>
      </c>
      <c r="Y120">
        <f>HYPERLINK("https://klasma.github.io/Logging_0980/tillsynsmail/A 21879-2025 tillsynsbegäran mail.docx", "A 21879-2025")</f>
        <v/>
      </c>
    </row>
    <row r="121" ht="15" customHeight="1">
      <c r="A121" t="inlineStr">
        <is>
          <t>A 26077-2024</t>
        </is>
      </c>
      <c r="B121" s="1" t="n">
        <v>45467</v>
      </c>
      <c r="C121" s="1" t="n">
        <v>45884</v>
      </c>
      <c r="D121" t="inlineStr">
        <is>
          <t>GOTLANDS LÄN</t>
        </is>
      </c>
      <c r="E121" t="inlineStr">
        <is>
          <t>GOTLAND</t>
        </is>
      </c>
      <c r="G121" t="n">
        <v>4.6</v>
      </c>
      <c r="H121" t="n">
        <v>0</v>
      </c>
      <c r="I121" t="n">
        <v>0</v>
      </c>
      <c r="J121" t="n">
        <v>1</v>
      </c>
      <c r="K121" t="n">
        <v>0</v>
      </c>
      <c r="L121" t="n">
        <v>1</v>
      </c>
      <c r="M121" t="n">
        <v>0</v>
      </c>
      <c r="N121" t="n">
        <v>0</v>
      </c>
      <c r="O121" t="n">
        <v>2</v>
      </c>
      <c r="P121" t="n">
        <v>1</v>
      </c>
      <c r="Q121" t="n">
        <v>2</v>
      </c>
      <c r="R121" s="2" t="inlineStr">
        <is>
          <t>Ask
Tallticka</t>
        </is>
      </c>
      <c r="S121">
        <f>HYPERLINK("https://klasma.github.io/Logging_0980/artfynd/A 26077-2024 artfynd.xlsx", "A 26077-2024")</f>
        <v/>
      </c>
      <c r="T121">
        <f>HYPERLINK("https://klasma.github.io/Logging_0980/kartor/A 26077-2024 karta.png", "A 26077-2024")</f>
        <v/>
      </c>
      <c r="V121">
        <f>HYPERLINK("https://klasma.github.io/Logging_0980/klagomål/A 26077-2024 FSC-klagomål.docx", "A 26077-2024")</f>
        <v/>
      </c>
      <c r="W121">
        <f>HYPERLINK("https://klasma.github.io/Logging_0980/klagomålsmail/A 26077-2024 FSC-klagomål mail.docx", "A 26077-2024")</f>
        <v/>
      </c>
      <c r="X121">
        <f>HYPERLINK("https://klasma.github.io/Logging_0980/tillsyn/A 26077-2024 tillsynsbegäran.docx", "A 26077-2024")</f>
        <v/>
      </c>
      <c r="Y121">
        <f>HYPERLINK("https://klasma.github.io/Logging_0980/tillsynsmail/A 26077-2024 tillsynsbegäran mail.docx", "A 26077-2024")</f>
        <v/>
      </c>
    </row>
    <row r="122" ht="15" customHeight="1">
      <c r="A122" t="inlineStr">
        <is>
          <t>A 40266-2020</t>
        </is>
      </c>
      <c r="B122" s="1" t="n">
        <v>44068</v>
      </c>
      <c r="C122" s="1" t="n">
        <v>45884</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45884</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45884</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45884</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45884</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45884</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45884</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44308-2021</t>
        </is>
      </c>
      <c r="B129" s="1" t="n">
        <v>44434</v>
      </c>
      <c r="C129" s="1" t="n">
        <v>45884</v>
      </c>
      <c r="D129" t="inlineStr">
        <is>
          <t>GOTLANDS LÄN</t>
        </is>
      </c>
      <c r="E129" t="inlineStr">
        <is>
          <t>GOTLAND</t>
        </is>
      </c>
      <c r="G129" t="n">
        <v>5.9</v>
      </c>
      <c r="H129" t="n">
        <v>0</v>
      </c>
      <c r="I129" t="n">
        <v>1</v>
      </c>
      <c r="J129" t="n">
        <v>0</v>
      </c>
      <c r="K129" t="n">
        <v>0</v>
      </c>
      <c r="L129" t="n">
        <v>0</v>
      </c>
      <c r="M129" t="n">
        <v>0</v>
      </c>
      <c r="N129" t="n">
        <v>0</v>
      </c>
      <c r="O129" t="n">
        <v>0</v>
      </c>
      <c r="P129" t="n">
        <v>0</v>
      </c>
      <c r="Q129" t="n">
        <v>1</v>
      </c>
      <c r="R129" s="2" t="inlineStr">
        <is>
          <t>Svavelriska</t>
        </is>
      </c>
      <c r="S129">
        <f>HYPERLINK("https://klasma.github.io/Logging_0980/artfynd/A 44308-2021 artfynd.xlsx", "A 44308-2021")</f>
        <v/>
      </c>
      <c r="T129">
        <f>HYPERLINK("https://klasma.github.io/Logging_0980/kartor/A 44308-2021 karta.png", "A 44308-2021")</f>
        <v/>
      </c>
      <c r="V129">
        <f>HYPERLINK("https://klasma.github.io/Logging_0980/klagomål/A 44308-2021 FSC-klagomål.docx", "A 44308-2021")</f>
        <v/>
      </c>
      <c r="W129">
        <f>HYPERLINK("https://klasma.github.io/Logging_0980/klagomålsmail/A 44308-2021 FSC-klagomål mail.docx", "A 44308-2021")</f>
        <v/>
      </c>
      <c r="X129">
        <f>HYPERLINK("https://klasma.github.io/Logging_0980/tillsyn/A 44308-2021 tillsynsbegäran.docx", "A 44308-2021")</f>
        <v/>
      </c>
      <c r="Y129">
        <f>HYPERLINK("https://klasma.github.io/Logging_0980/tillsynsmail/A 44308-2021 tillsynsbegäran mail.docx", "A 44308-2021")</f>
        <v/>
      </c>
    </row>
    <row r="130" ht="15" customHeight="1">
      <c r="A130" t="inlineStr">
        <is>
          <t>A 12924-2025</t>
        </is>
      </c>
      <c r="B130" s="1" t="n">
        <v>45734</v>
      </c>
      <c r="C130" s="1" t="n">
        <v>45884</v>
      </c>
      <c r="D130" t="inlineStr">
        <is>
          <t>GOTLANDS LÄN</t>
        </is>
      </c>
      <c r="E130" t="inlineStr">
        <is>
          <t>GOTLAND</t>
        </is>
      </c>
      <c r="G130" t="n">
        <v>11.7</v>
      </c>
      <c r="H130" t="n">
        <v>0</v>
      </c>
      <c r="I130" t="n">
        <v>0</v>
      </c>
      <c r="J130" t="n">
        <v>0</v>
      </c>
      <c r="K130" t="n">
        <v>1</v>
      </c>
      <c r="L130" t="n">
        <v>0</v>
      </c>
      <c r="M130" t="n">
        <v>0</v>
      </c>
      <c r="N130" t="n">
        <v>0</v>
      </c>
      <c r="O130" t="n">
        <v>1</v>
      </c>
      <c r="P130" t="n">
        <v>1</v>
      </c>
      <c r="Q130" t="n">
        <v>1</v>
      </c>
      <c r="R130" s="2" t="inlineStr">
        <is>
          <t>Gotlandsmåra</t>
        </is>
      </c>
      <c r="S130">
        <f>HYPERLINK("https://klasma.github.io/Logging_0980/artfynd/A 12924-2025 artfynd.xlsx", "A 12924-2025")</f>
        <v/>
      </c>
      <c r="T130">
        <f>HYPERLINK("https://klasma.github.io/Logging_0980/kartor/A 12924-2025 karta.png", "A 12924-2025")</f>
        <v/>
      </c>
      <c r="V130">
        <f>HYPERLINK("https://klasma.github.io/Logging_0980/klagomål/A 12924-2025 FSC-klagomål.docx", "A 12924-2025")</f>
        <v/>
      </c>
      <c r="W130">
        <f>HYPERLINK("https://klasma.github.io/Logging_0980/klagomålsmail/A 12924-2025 FSC-klagomål mail.docx", "A 12924-2025")</f>
        <v/>
      </c>
      <c r="X130">
        <f>HYPERLINK("https://klasma.github.io/Logging_0980/tillsyn/A 12924-2025 tillsynsbegäran.docx", "A 12924-2025")</f>
        <v/>
      </c>
      <c r="Y130">
        <f>HYPERLINK("https://klasma.github.io/Logging_0980/tillsynsmail/A 12924-2025 tillsynsbegäran mail.docx", "A 12924-2025")</f>
        <v/>
      </c>
    </row>
    <row r="131" ht="15" customHeight="1">
      <c r="A131" t="inlineStr">
        <is>
          <t>A 46527-2023</t>
        </is>
      </c>
      <c r="B131" s="1" t="n">
        <v>45197</v>
      </c>
      <c r="C131" s="1" t="n">
        <v>45884</v>
      </c>
      <c r="D131" t="inlineStr">
        <is>
          <t>GOTLANDS LÄN</t>
        </is>
      </c>
      <c r="E131" t="inlineStr">
        <is>
          <t>GOTLAND</t>
        </is>
      </c>
      <c r="G131" t="n">
        <v>0.9</v>
      </c>
      <c r="H131" t="n">
        <v>0</v>
      </c>
      <c r="I131" t="n">
        <v>0</v>
      </c>
      <c r="J131" t="n">
        <v>1</v>
      </c>
      <c r="K131" t="n">
        <v>0</v>
      </c>
      <c r="L131" t="n">
        <v>0</v>
      </c>
      <c r="M131" t="n">
        <v>0</v>
      </c>
      <c r="N131" t="n">
        <v>0</v>
      </c>
      <c r="O131" t="n">
        <v>1</v>
      </c>
      <c r="P131" t="n">
        <v>0</v>
      </c>
      <c r="Q131" t="n">
        <v>1</v>
      </c>
      <c r="R131" s="2" t="inlineStr">
        <is>
          <t>Guldgräshoppa</t>
        </is>
      </c>
      <c r="S131">
        <f>HYPERLINK("https://klasma.github.io/Logging_0980/artfynd/A 46527-2023 artfynd.xlsx", "A 46527-2023")</f>
        <v/>
      </c>
      <c r="T131">
        <f>HYPERLINK("https://klasma.github.io/Logging_0980/kartor/A 46527-2023 karta.png", "A 46527-2023")</f>
        <v/>
      </c>
      <c r="V131">
        <f>HYPERLINK("https://klasma.github.io/Logging_0980/klagomål/A 46527-2023 FSC-klagomål.docx", "A 46527-2023")</f>
        <v/>
      </c>
      <c r="W131">
        <f>HYPERLINK("https://klasma.github.io/Logging_0980/klagomålsmail/A 46527-2023 FSC-klagomål mail.docx", "A 46527-2023")</f>
        <v/>
      </c>
      <c r="X131">
        <f>HYPERLINK("https://klasma.github.io/Logging_0980/tillsyn/A 46527-2023 tillsynsbegäran.docx", "A 46527-2023")</f>
        <v/>
      </c>
      <c r="Y131">
        <f>HYPERLINK("https://klasma.github.io/Logging_0980/tillsynsmail/A 46527-2023 tillsynsbegäran mail.docx", "A 46527-2023")</f>
        <v/>
      </c>
    </row>
    <row r="132" ht="15" customHeight="1">
      <c r="A132" t="inlineStr">
        <is>
          <t>A 17723-2021</t>
        </is>
      </c>
      <c r="B132" s="1" t="n">
        <v>44300</v>
      </c>
      <c r="C132" s="1" t="n">
        <v>45884</v>
      </c>
      <c r="D132" t="inlineStr">
        <is>
          <t>GOTLANDS LÄN</t>
        </is>
      </c>
      <c r="E132" t="inlineStr">
        <is>
          <t>GOTLAND</t>
        </is>
      </c>
      <c r="G132" t="n">
        <v>1.5</v>
      </c>
      <c r="H132" t="n">
        <v>1</v>
      </c>
      <c r="I132" t="n">
        <v>1</v>
      </c>
      <c r="J132" t="n">
        <v>0</v>
      </c>
      <c r="K132" t="n">
        <v>0</v>
      </c>
      <c r="L132" t="n">
        <v>0</v>
      </c>
      <c r="M132" t="n">
        <v>0</v>
      </c>
      <c r="N132" t="n">
        <v>0</v>
      </c>
      <c r="O132" t="n">
        <v>0</v>
      </c>
      <c r="P132" t="n">
        <v>0</v>
      </c>
      <c r="Q132" t="n">
        <v>1</v>
      </c>
      <c r="R132" s="2" t="inlineStr">
        <is>
          <t>Vit skogslilja</t>
        </is>
      </c>
      <c r="S132">
        <f>HYPERLINK("https://klasma.github.io/Logging_0980/artfynd/A 17723-2021 artfynd.xlsx", "A 17723-2021")</f>
        <v/>
      </c>
      <c r="T132">
        <f>HYPERLINK("https://klasma.github.io/Logging_0980/kartor/A 17723-2021 karta.png", "A 17723-2021")</f>
        <v/>
      </c>
      <c r="V132">
        <f>HYPERLINK("https://klasma.github.io/Logging_0980/klagomål/A 17723-2021 FSC-klagomål.docx", "A 17723-2021")</f>
        <v/>
      </c>
      <c r="W132">
        <f>HYPERLINK("https://klasma.github.io/Logging_0980/klagomålsmail/A 17723-2021 FSC-klagomål mail.docx", "A 17723-2021")</f>
        <v/>
      </c>
      <c r="X132">
        <f>HYPERLINK("https://klasma.github.io/Logging_0980/tillsyn/A 17723-2021 tillsynsbegäran.docx", "A 17723-2021")</f>
        <v/>
      </c>
      <c r="Y132">
        <f>HYPERLINK("https://klasma.github.io/Logging_0980/tillsynsmail/A 17723-2021 tillsynsbegäran mail.docx", "A 17723-2021")</f>
        <v/>
      </c>
    </row>
    <row r="133" ht="15" customHeight="1">
      <c r="A133" t="inlineStr">
        <is>
          <t>A 7637-2025</t>
        </is>
      </c>
      <c r="B133" s="1" t="n">
        <v>45705.77181712963</v>
      </c>
      <c r="C133" s="1" t="n">
        <v>45884</v>
      </c>
      <c r="D133" t="inlineStr">
        <is>
          <t>GOTLANDS LÄN</t>
        </is>
      </c>
      <c r="E133" t="inlineStr">
        <is>
          <t>GOTLAND</t>
        </is>
      </c>
      <c r="G133" t="n">
        <v>3.7</v>
      </c>
      <c r="H133" t="n">
        <v>0</v>
      </c>
      <c r="I133" t="n">
        <v>0</v>
      </c>
      <c r="J133" t="n">
        <v>0</v>
      </c>
      <c r="K133" t="n">
        <v>0</v>
      </c>
      <c r="L133" t="n">
        <v>0</v>
      </c>
      <c r="M133" t="n">
        <v>1</v>
      </c>
      <c r="N133" t="n">
        <v>0</v>
      </c>
      <c r="O133" t="n">
        <v>1</v>
      </c>
      <c r="P133" t="n">
        <v>1</v>
      </c>
      <c r="Q133" t="n">
        <v>1</v>
      </c>
      <c r="R133" s="2" t="inlineStr">
        <is>
          <t>Skogsalm</t>
        </is>
      </c>
      <c r="S133">
        <f>HYPERLINK("https://klasma.github.io/Logging_0980/artfynd/A 7637-2025 artfynd.xlsx", "A 7637-2025")</f>
        <v/>
      </c>
      <c r="T133">
        <f>HYPERLINK("https://klasma.github.io/Logging_0980/kartor/A 7637-2025 karta.png", "A 7637-2025")</f>
        <v/>
      </c>
      <c r="V133">
        <f>HYPERLINK("https://klasma.github.io/Logging_0980/klagomål/A 7637-2025 FSC-klagomål.docx", "A 7637-2025")</f>
        <v/>
      </c>
      <c r="W133">
        <f>HYPERLINK("https://klasma.github.io/Logging_0980/klagomålsmail/A 7637-2025 FSC-klagomål mail.docx", "A 7637-2025")</f>
        <v/>
      </c>
      <c r="X133">
        <f>HYPERLINK("https://klasma.github.io/Logging_0980/tillsyn/A 7637-2025 tillsynsbegäran.docx", "A 7637-2025")</f>
        <v/>
      </c>
      <c r="Y133">
        <f>HYPERLINK("https://klasma.github.io/Logging_0980/tillsynsmail/A 7637-2025 tillsynsbegäran mail.docx", "A 7637-2025")</f>
        <v/>
      </c>
    </row>
    <row r="134" ht="15" customHeight="1">
      <c r="A134" t="inlineStr">
        <is>
          <t>A 24245-2022</t>
        </is>
      </c>
      <c r="B134" s="1" t="n">
        <v>44725</v>
      </c>
      <c r="C134" s="1" t="n">
        <v>45884</v>
      </c>
      <c r="D134" t="inlineStr">
        <is>
          <t>GOTLANDS LÄN</t>
        </is>
      </c>
      <c r="E134" t="inlineStr">
        <is>
          <t>GOTLAND</t>
        </is>
      </c>
      <c r="G134" t="n">
        <v>4.9</v>
      </c>
      <c r="H134" t="n">
        <v>0</v>
      </c>
      <c r="I134" t="n">
        <v>0</v>
      </c>
      <c r="J134" t="n">
        <v>0</v>
      </c>
      <c r="K134" t="n">
        <v>0</v>
      </c>
      <c r="L134" t="n">
        <v>1</v>
      </c>
      <c r="M134" t="n">
        <v>0</v>
      </c>
      <c r="N134" t="n">
        <v>0</v>
      </c>
      <c r="O134" t="n">
        <v>1</v>
      </c>
      <c r="P134" t="n">
        <v>1</v>
      </c>
      <c r="Q134" t="n">
        <v>1</v>
      </c>
      <c r="R134" s="2" t="inlineStr">
        <is>
          <t>Slät taggsvamp</t>
        </is>
      </c>
      <c r="S134">
        <f>HYPERLINK("https://klasma.github.io/Logging_0980/artfynd/A 24245-2022 artfynd.xlsx", "A 24245-2022")</f>
        <v/>
      </c>
      <c r="T134">
        <f>HYPERLINK("https://klasma.github.io/Logging_0980/kartor/A 24245-2022 karta.png", "A 24245-2022")</f>
        <v/>
      </c>
      <c r="V134">
        <f>HYPERLINK("https://klasma.github.io/Logging_0980/klagomål/A 24245-2022 FSC-klagomål.docx", "A 24245-2022")</f>
        <v/>
      </c>
      <c r="W134">
        <f>HYPERLINK("https://klasma.github.io/Logging_0980/klagomålsmail/A 24245-2022 FSC-klagomål mail.docx", "A 24245-2022")</f>
        <v/>
      </c>
      <c r="X134">
        <f>HYPERLINK("https://klasma.github.io/Logging_0980/tillsyn/A 24245-2022 tillsynsbegäran.docx", "A 24245-2022")</f>
        <v/>
      </c>
      <c r="Y134">
        <f>HYPERLINK("https://klasma.github.io/Logging_0980/tillsynsmail/A 24245-2022 tillsynsbegäran mail.docx", "A 24245-2022")</f>
        <v/>
      </c>
    </row>
    <row r="135" ht="15" customHeight="1">
      <c r="A135" t="inlineStr">
        <is>
          <t>A 6303-2024</t>
        </is>
      </c>
      <c r="B135" s="1" t="n">
        <v>45338.35376157407</v>
      </c>
      <c r="C135" s="1" t="n">
        <v>45884</v>
      </c>
      <c r="D135" t="inlineStr">
        <is>
          <t>GOTLANDS LÄN</t>
        </is>
      </c>
      <c r="E135" t="inlineStr">
        <is>
          <t>GOTLAND</t>
        </is>
      </c>
      <c r="G135" t="n">
        <v>0.6</v>
      </c>
      <c r="H135" t="n">
        <v>0</v>
      </c>
      <c r="I135" t="n">
        <v>1</v>
      </c>
      <c r="J135" t="n">
        <v>0</v>
      </c>
      <c r="K135" t="n">
        <v>0</v>
      </c>
      <c r="L135" t="n">
        <v>0</v>
      </c>
      <c r="M135" t="n">
        <v>0</v>
      </c>
      <c r="N135" t="n">
        <v>0</v>
      </c>
      <c r="O135" t="n">
        <v>0</v>
      </c>
      <c r="P135" t="n">
        <v>0</v>
      </c>
      <c r="Q135" t="n">
        <v>1</v>
      </c>
      <c r="R135" s="2" t="inlineStr">
        <is>
          <t>Strävlosta</t>
        </is>
      </c>
      <c r="S135">
        <f>HYPERLINK("https://klasma.github.io/Logging_0980/artfynd/A 6303-2024 artfynd.xlsx", "A 6303-2024")</f>
        <v/>
      </c>
      <c r="T135">
        <f>HYPERLINK("https://klasma.github.io/Logging_0980/kartor/A 6303-2024 karta.png", "A 6303-2024")</f>
        <v/>
      </c>
      <c r="V135">
        <f>HYPERLINK("https://klasma.github.io/Logging_0980/klagomål/A 6303-2024 FSC-klagomål.docx", "A 6303-2024")</f>
        <v/>
      </c>
      <c r="W135">
        <f>HYPERLINK("https://klasma.github.io/Logging_0980/klagomålsmail/A 6303-2024 FSC-klagomål mail.docx", "A 6303-2024")</f>
        <v/>
      </c>
      <c r="X135">
        <f>HYPERLINK("https://klasma.github.io/Logging_0980/tillsyn/A 6303-2024 tillsynsbegäran.docx", "A 6303-2024")</f>
        <v/>
      </c>
      <c r="Y135">
        <f>HYPERLINK("https://klasma.github.io/Logging_0980/tillsynsmail/A 6303-2024 tillsynsbegäran mail.docx", "A 6303-2024")</f>
        <v/>
      </c>
    </row>
    <row r="136" ht="15" customHeight="1">
      <c r="A136" t="inlineStr">
        <is>
          <t>A 62552-2022</t>
        </is>
      </c>
      <c r="B136" s="1" t="n">
        <v>44924</v>
      </c>
      <c r="C136" s="1" t="n">
        <v>45884</v>
      </c>
      <c r="D136" t="inlineStr">
        <is>
          <t>GOTLANDS LÄN</t>
        </is>
      </c>
      <c r="E136" t="inlineStr">
        <is>
          <t>GOTLAND</t>
        </is>
      </c>
      <c r="G136" t="n">
        <v>1.6</v>
      </c>
      <c r="H136" t="n">
        <v>0</v>
      </c>
      <c r="I136" t="n">
        <v>0</v>
      </c>
      <c r="J136" t="n">
        <v>1</v>
      </c>
      <c r="K136" t="n">
        <v>0</v>
      </c>
      <c r="L136" t="n">
        <v>0</v>
      </c>
      <c r="M136" t="n">
        <v>0</v>
      </c>
      <c r="N136" t="n">
        <v>0</v>
      </c>
      <c r="O136" t="n">
        <v>1</v>
      </c>
      <c r="P136" t="n">
        <v>0</v>
      </c>
      <c r="Q136" t="n">
        <v>1</v>
      </c>
      <c r="R136" s="2" t="inlineStr">
        <is>
          <t>Äggspindling</t>
        </is>
      </c>
      <c r="S136">
        <f>HYPERLINK("https://klasma.github.io/Logging_0980/artfynd/A 62552-2022 artfynd.xlsx", "A 62552-2022")</f>
        <v/>
      </c>
      <c r="T136">
        <f>HYPERLINK("https://klasma.github.io/Logging_0980/kartor/A 62552-2022 karta.png", "A 62552-2022")</f>
        <v/>
      </c>
      <c r="V136">
        <f>HYPERLINK("https://klasma.github.io/Logging_0980/klagomål/A 62552-2022 FSC-klagomål.docx", "A 62552-2022")</f>
        <v/>
      </c>
      <c r="W136">
        <f>HYPERLINK("https://klasma.github.io/Logging_0980/klagomålsmail/A 62552-2022 FSC-klagomål mail.docx", "A 62552-2022")</f>
        <v/>
      </c>
      <c r="X136">
        <f>HYPERLINK("https://klasma.github.io/Logging_0980/tillsyn/A 62552-2022 tillsynsbegäran.docx", "A 62552-2022")</f>
        <v/>
      </c>
      <c r="Y136">
        <f>HYPERLINK("https://klasma.github.io/Logging_0980/tillsynsmail/A 62552-2022 tillsynsbegäran mail.docx", "A 62552-2022")</f>
        <v/>
      </c>
    </row>
    <row r="137" ht="15" customHeight="1">
      <c r="A137" t="inlineStr">
        <is>
          <t>A 27168-2022</t>
        </is>
      </c>
      <c r="B137" s="1" t="n">
        <v>44741</v>
      </c>
      <c r="C137" s="1" t="n">
        <v>45884</v>
      </c>
      <c r="D137" t="inlineStr">
        <is>
          <t>GOTLANDS LÄN</t>
        </is>
      </c>
      <c r="E137" t="inlineStr">
        <is>
          <t>GOTLAND</t>
        </is>
      </c>
      <c r="G137" t="n">
        <v>2.2</v>
      </c>
      <c r="H137" t="n">
        <v>1</v>
      </c>
      <c r="I137" t="n">
        <v>1</v>
      </c>
      <c r="J137" t="n">
        <v>0</v>
      </c>
      <c r="K137" t="n">
        <v>0</v>
      </c>
      <c r="L137" t="n">
        <v>0</v>
      </c>
      <c r="M137" t="n">
        <v>0</v>
      </c>
      <c r="N137" t="n">
        <v>0</v>
      </c>
      <c r="O137" t="n">
        <v>0</v>
      </c>
      <c r="P137" t="n">
        <v>0</v>
      </c>
      <c r="Q137" t="n">
        <v>1</v>
      </c>
      <c r="R137" s="2" t="inlineStr">
        <is>
          <t>Purpurknipprot</t>
        </is>
      </c>
      <c r="S137">
        <f>HYPERLINK("https://klasma.github.io/Logging_0980/artfynd/A 27168-2022 artfynd.xlsx", "A 27168-2022")</f>
        <v/>
      </c>
      <c r="T137">
        <f>HYPERLINK("https://klasma.github.io/Logging_0980/kartor/A 27168-2022 karta.png", "A 27168-2022")</f>
        <v/>
      </c>
      <c r="V137">
        <f>HYPERLINK("https://klasma.github.io/Logging_0980/klagomål/A 27168-2022 FSC-klagomål.docx", "A 27168-2022")</f>
        <v/>
      </c>
      <c r="W137">
        <f>HYPERLINK("https://klasma.github.io/Logging_0980/klagomålsmail/A 27168-2022 FSC-klagomål mail.docx", "A 27168-2022")</f>
        <v/>
      </c>
      <c r="X137">
        <f>HYPERLINK("https://klasma.github.io/Logging_0980/tillsyn/A 27168-2022 tillsynsbegäran.docx", "A 27168-2022")</f>
        <v/>
      </c>
      <c r="Y137">
        <f>HYPERLINK("https://klasma.github.io/Logging_0980/tillsynsmail/A 27168-2022 tillsynsbegäran mail.docx", "A 27168-2022")</f>
        <v/>
      </c>
    </row>
    <row r="138" ht="15" customHeight="1">
      <c r="A138" t="inlineStr">
        <is>
          <t>A 61796-2022</t>
        </is>
      </c>
      <c r="B138" s="1" t="n">
        <v>44917</v>
      </c>
      <c r="C138" s="1" t="n">
        <v>45884</v>
      </c>
      <c r="D138" t="inlineStr">
        <is>
          <t>GOTLANDS LÄN</t>
        </is>
      </c>
      <c r="E138" t="inlineStr">
        <is>
          <t>GOTLAND</t>
        </is>
      </c>
      <c r="G138" t="n">
        <v>1.5</v>
      </c>
      <c r="H138" t="n">
        <v>1</v>
      </c>
      <c r="I138" t="n">
        <v>0</v>
      </c>
      <c r="J138" t="n">
        <v>0</v>
      </c>
      <c r="K138" t="n">
        <v>0</v>
      </c>
      <c r="L138" t="n">
        <v>0</v>
      </c>
      <c r="M138" t="n">
        <v>0</v>
      </c>
      <c r="N138" t="n">
        <v>0</v>
      </c>
      <c r="O138" t="n">
        <v>0</v>
      </c>
      <c r="P138" t="n">
        <v>0</v>
      </c>
      <c r="Q138" t="n">
        <v>1</v>
      </c>
      <c r="R138" s="2" t="inlineStr">
        <is>
          <t>Skogsduva</t>
        </is>
      </c>
      <c r="S138">
        <f>HYPERLINK("https://klasma.github.io/Logging_0980/artfynd/A 61796-2022 artfynd.xlsx", "A 61796-2022")</f>
        <v/>
      </c>
      <c r="T138">
        <f>HYPERLINK("https://klasma.github.io/Logging_0980/kartor/A 61796-2022 karta.png", "A 61796-2022")</f>
        <v/>
      </c>
      <c r="V138">
        <f>HYPERLINK("https://klasma.github.io/Logging_0980/klagomål/A 61796-2022 FSC-klagomål.docx", "A 61796-2022")</f>
        <v/>
      </c>
      <c r="W138">
        <f>HYPERLINK("https://klasma.github.io/Logging_0980/klagomålsmail/A 61796-2022 FSC-klagomål mail.docx", "A 61796-2022")</f>
        <v/>
      </c>
      <c r="X138">
        <f>HYPERLINK("https://klasma.github.io/Logging_0980/tillsyn/A 61796-2022 tillsynsbegäran.docx", "A 61796-2022")</f>
        <v/>
      </c>
      <c r="Y138">
        <f>HYPERLINK("https://klasma.github.io/Logging_0980/tillsynsmail/A 61796-2022 tillsynsbegäran mail.docx", "A 61796-2022")</f>
        <v/>
      </c>
      <c r="Z138">
        <f>HYPERLINK("https://klasma.github.io/Logging_0980/fåglar/A 61796-2022 prioriterade fågelarter.docx", "A 61796-2022")</f>
        <v/>
      </c>
    </row>
    <row r="139" ht="15" customHeight="1">
      <c r="A139" t="inlineStr">
        <is>
          <t>A 25977-2024</t>
        </is>
      </c>
      <c r="B139" s="1" t="n">
        <v>45467.69356481481</v>
      </c>
      <c r="C139" s="1" t="n">
        <v>45884</v>
      </c>
      <c r="D139" t="inlineStr">
        <is>
          <t>GOTLANDS LÄN</t>
        </is>
      </c>
      <c r="E139" t="inlineStr">
        <is>
          <t>GOTLAND</t>
        </is>
      </c>
      <c r="G139" t="n">
        <v>3</v>
      </c>
      <c r="H139" t="n">
        <v>1</v>
      </c>
      <c r="I139" t="n">
        <v>0</v>
      </c>
      <c r="J139" t="n">
        <v>0</v>
      </c>
      <c r="K139" t="n">
        <v>0</v>
      </c>
      <c r="L139" t="n">
        <v>0</v>
      </c>
      <c r="M139" t="n">
        <v>0</v>
      </c>
      <c r="N139" t="n">
        <v>0</v>
      </c>
      <c r="O139" t="n">
        <v>0</v>
      </c>
      <c r="P139" t="n">
        <v>0</v>
      </c>
      <c r="Q139" t="n">
        <v>1</v>
      </c>
      <c r="R139" s="2" t="inlineStr">
        <is>
          <t>Nattviol</t>
        </is>
      </c>
      <c r="S139">
        <f>HYPERLINK("https://klasma.github.io/Logging_0980/artfynd/A 25977-2024 artfynd.xlsx", "A 25977-2024")</f>
        <v/>
      </c>
      <c r="T139">
        <f>HYPERLINK("https://klasma.github.io/Logging_0980/kartor/A 25977-2024 karta.png", "A 25977-2024")</f>
        <v/>
      </c>
      <c r="V139">
        <f>HYPERLINK("https://klasma.github.io/Logging_0980/klagomål/A 25977-2024 FSC-klagomål.docx", "A 25977-2024")</f>
        <v/>
      </c>
      <c r="W139">
        <f>HYPERLINK("https://klasma.github.io/Logging_0980/klagomålsmail/A 25977-2024 FSC-klagomål mail.docx", "A 25977-2024")</f>
        <v/>
      </c>
      <c r="X139">
        <f>HYPERLINK("https://klasma.github.io/Logging_0980/tillsyn/A 25977-2024 tillsynsbegäran.docx", "A 25977-2024")</f>
        <v/>
      </c>
      <c r="Y139">
        <f>HYPERLINK("https://klasma.github.io/Logging_0980/tillsynsmail/A 25977-2024 tillsynsbegäran mail.docx", "A 25977-2024")</f>
        <v/>
      </c>
    </row>
    <row r="140" ht="15" customHeight="1">
      <c r="A140" t="inlineStr">
        <is>
          <t>A 27589-2023</t>
        </is>
      </c>
      <c r="B140" s="1" t="n">
        <v>45097</v>
      </c>
      <c r="C140" s="1" t="n">
        <v>45884</v>
      </c>
      <c r="D140" t="inlineStr">
        <is>
          <t>GOTLANDS LÄN</t>
        </is>
      </c>
      <c r="E140" t="inlineStr">
        <is>
          <t>GOTLAND</t>
        </is>
      </c>
      <c r="G140" t="n">
        <v>5.4</v>
      </c>
      <c r="H140" t="n">
        <v>0</v>
      </c>
      <c r="I140" t="n">
        <v>0</v>
      </c>
      <c r="J140" t="n">
        <v>0</v>
      </c>
      <c r="K140" t="n">
        <v>0</v>
      </c>
      <c r="L140" t="n">
        <v>0</v>
      </c>
      <c r="M140" t="n">
        <v>1</v>
      </c>
      <c r="N140" t="n">
        <v>0</v>
      </c>
      <c r="O140" t="n">
        <v>1</v>
      </c>
      <c r="P140" t="n">
        <v>1</v>
      </c>
      <c r="Q140" t="n">
        <v>1</v>
      </c>
      <c r="R140" s="2" t="inlineStr">
        <is>
          <t>Skogsalm</t>
        </is>
      </c>
      <c r="S140">
        <f>HYPERLINK("https://klasma.github.io/Logging_0980/artfynd/A 27589-2023 artfynd.xlsx", "A 27589-2023")</f>
        <v/>
      </c>
      <c r="T140">
        <f>HYPERLINK("https://klasma.github.io/Logging_0980/kartor/A 27589-2023 karta.png", "A 27589-2023")</f>
        <v/>
      </c>
      <c r="V140">
        <f>HYPERLINK("https://klasma.github.io/Logging_0980/klagomål/A 27589-2023 FSC-klagomål.docx", "A 27589-2023")</f>
        <v/>
      </c>
      <c r="W140">
        <f>HYPERLINK("https://klasma.github.io/Logging_0980/klagomålsmail/A 27589-2023 FSC-klagomål mail.docx", "A 27589-2023")</f>
        <v/>
      </c>
      <c r="X140">
        <f>HYPERLINK("https://klasma.github.io/Logging_0980/tillsyn/A 27589-2023 tillsynsbegäran.docx", "A 27589-2023")</f>
        <v/>
      </c>
      <c r="Y140">
        <f>HYPERLINK("https://klasma.github.io/Logging_0980/tillsynsmail/A 27589-2023 tillsynsbegäran mail.docx", "A 27589-2023")</f>
        <v/>
      </c>
    </row>
    <row r="141" ht="15" customHeight="1">
      <c r="A141" t="inlineStr">
        <is>
          <t>A 10218-2025</t>
        </is>
      </c>
      <c r="B141" s="1" t="n">
        <v>45720</v>
      </c>
      <c r="C141" s="1" t="n">
        <v>45884</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45884</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64700-2021</t>
        </is>
      </c>
      <c r="B143" s="1" t="n">
        <v>44511</v>
      </c>
      <c r="C143" s="1" t="n">
        <v>45884</v>
      </c>
      <c r="D143" t="inlineStr">
        <is>
          <t>GOTLANDS LÄN</t>
        </is>
      </c>
      <c r="E143" t="inlineStr">
        <is>
          <t>GOTLAND</t>
        </is>
      </c>
      <c r="F143" t="inlineStr">
        <is>
          <t>Naturvårdsverket</t>
        </is>
      </c>
      <c r="G143" t="n">
        <v>2.4</v>
      </c>
      <c r="H143" t="n">
        <v>1</v>
      </c>
      <c r="I143" t="n">
        <v>0</v>
      </c>
      <c r="J143" t="n">
        <v>0</v>
      </c>
      <c r="K143" t="n">
        <v>1</v>
      </c>
      <c r="L143" t="n">
        <v>0</v>
      </c>
      <c r="M143" t="n">
        <v>0</v>
      </c>
      <c r="N143" t="n">
        <v>0</v>
      </c>
      <c r="O143" t="n">
        <v>1</v>
      </c>
      <c r="P143" t="n">
        <v>1</v>
      </c>
      <c r="Q143" t="n">
        <v>1</v>
      </c>
      <c r="R143" s="2" t="inlineStr">
        <is>
          <t>Kalkdån</t>
        </is>
      </c>
      <c r="S143">
        <f>HYPERLINK("https://klasma.github.io/Logging_0980/artfynd/A 64700-2021 artfynd.xlsx", "A 64700-2021")</f>
        <v/>
      </c>
      <c r="T143">
        <f>HYPERLINK("https://klasma.github.io/Logging_0980/kartor/A 64700-2021 karta.png", "A 64700-2021")</f>
        <v/>
      </c>
      <c r="V143">
        <f>HYPERLINK("https://klasma.github.io/Logging_0980/klagomål/A 64700-2021 FSC-klagomål.docx", "A 64700-2021")</f>
        <v/>
      </c>
      <c r="W143">
        <f>HYPERLINK("https://klasma.github.io/Logging_0980/klagomålsmail/A 64700-2021 FSC-klagomål mail.docx", "A 64700-2021")</f>
        <v/>
      </c>
      <c r="X143">
        <f>HYPERLINK("https://klasma.github.io/Logging_0980/tillsyn/A 64700-2021 tillsynsbegäran.docx", "A 64700-2021")</f>
        <v/>
      </c>
      <c r="Y143">
        <f>HYPERLINK("https://klasma.github.io/Logging_0980/tillsynsmail/A 64700-2021 tillsynsbegäran mail.docx", "A 64700-2021")</f>
        <v/>
      </c>
    </row>
    <row r="144" ht="15" customHeight="1">
      <c r="A144" t="inlineStr">
        <is>
          <t>A 35574-2024</t>
        </is>
      </c>
      <c r="B144" s="1" t="n">
        <v>45531</v>
      </c>
      <c r="C144" s="1" t="n">
        <v>45884</v>
      </c>
      <c r="D144" t="inlineStr">
        <is>
          <t>GOTLANDS LÄN</t>
        </is>
      </c>
      <c r="E144" t="inlineStr">
        <is>
          <t>GOTLAND</t>
        </is>
      </c>
      <c r="G144" t="n">
        <v>5.7</v>
      </c>
      <c r="H144" t="n">
        <v>0</v>
      </c>
      <c r="I144" t="n">
        <v>1</v>
      </c>
      <c r="J144" t="n">
        <v>0</v>
      </c>
      <c r="K144" t="n">
        <v>0</v>
      </c>
      <c r="L144" t="n">
        <v>0</v>
      </c>
      <c r="M144" t="n">
        <v>0</v>
      </c>
      <c r="N144" t="n">
        <v>0</v>
      </c>
      <c r="O144" t="n">
        <v>0</v>
      </c>
      <c r="P144" t="n">
        <v>0</v>
      </c>
      <c r="Q144" t="n">
        <v>1</v>
      </c>
      <c r="R144" s="2" t="inlineStr">
        <is>
          <t>Murgröna</t>
        </is>
      </c>
      <c r="S144">
        <f>HYPERLINK("https://klasma.github.io/Logging_0980/artfynd/A 35574-2024 artfynd.xlsx", "A 35574-2024")</f>
        <v/>
      </c>
      <c r="T144">
        <f>HYPERLINK("https://klasma.github.io/Logging_0980/kartor/A 35574-2024 karta.png", "A 35574-2024")</f>
        <v/>
      </c>
      <c r="V144">
        <f>HYPERLINK("https://klasma.github.io/Logging_0980/klagomål/A 35574-2024 FSC-klagomål.docx", "A 35574-2024")</f>
        <v/>
      </c>
      <c r="W144">
        <f>HYPERLINK("https://klasma.github.io/Logging_0980/klagomålsmail/A 35574-2024 FSC-klagomål mail.docx", "A 35574-2024")</f>
        <v/>
      </c>
      <c r="X144">
        <f>HYPERLINK("https://klasma.github.io/Logging_0980/tillsyn/A 35574-2024 tillsynsbegäran.docx", "A 35574-2024")</f>
        <v/>
      </c>
      <c r="Y144">
        <f>HYPERLINK("https://klasma.github.io/Logging_0980/tillsynsmail/A 35574-2024 tillsynsbegäran mail.docx", "A 35574-2024")</f>
        <v/>
      </c>
    </row>
    <row r="145" ht="15" customHeight="1">
      <c r="A145" t="inlineStr">
        <is>
          <t>A 15637-2024</t>
        </is>
      </c>
      <c r="B145" s="1" t="n">
        <v>45403.6684837963</v>
      </c>
      <c r="C145" s="1" t="n">
        <v>45884</v>
      </c>
      <c r="D145" t="inlineStr">
        <is>
          <t>GOTLANDS LÄN</t>
        </is>
      </c>
      <c r="E145" t="inlineStr">
        <is>
          <t>GOTLAND</t>
        </is>
      </c>
      <c r="G145" t="n">
        <v>4.1</v>
      </c>
      <c r="H145" t="n">
        <v>1</v>
      </c>
      <c r="I145" t="n">
        <v>0</v>
      </c>
      <c r="J145" t="n">
        <v>0</v>
      </c>
      <c r="K145" t="n">
        <v>0</v>
      </c>
      <c r="L145" t="n">
        <v>0</v>
      </c>
      <c r="M145" t="n">
        <v>0</v>
      </c>
      <c r="N145" t="n">
        <v>0</v>
      </c>
      <c r="O145" t="n">
        <v>0</v>
      </c>
      <c r="P145" t="n">
        <v>0</v>
      </c>
      <c r="Q145" t="n">
        <v>1</v>
      </c>
      <c r="R145" s="2" t="inlineStr">
        <is>
          <t>Blåsippa</t>
        </is>
      </c>
      <c r="S145">
        <f>HYPERLINK("https://klasma.github.io/Logging_0980/artfynd/A 15637-2024 artfynd.xlsx", "A 15637-2024")</f>
        <v/>
      </c>
      <c r="T145">
        <f>HYPERLINK("https://klasma.github.io/Logging_0980/kartor/A 15637-2024 karta.png", "A 15637-2024")</f>
        <v/>
      </c>
      <c r="V145">
        <f>HYPERLINK("https://klasma.github.io/Logging_0980/klagomål/A 15637-2024 FSC-klagomål.docx", "A 15637-2024")</f>
        <v/>
      </c>
      <c r="W145">
        <f>HYPERLINK("https://klasma.github.io/Logging_0980/klagomålsmail/A 15637-2024 FSC-klagomål mail.docx", "A 15637-2024")</f>
        <v/>
      </c>
      <c r="X145">
        <f>HYPERLINK("https://klasma.github.io/Logging_0980/tillsyn/A 15637-2024 tillsynsbegäran.docx", "A 15637-2024")</f>
        <v/>
      </c>
      <c r="Y145">
        <f>HYPERLINK("https://klasma.github.io/Logging_0980/tillsynsmail/A 15637-2024 tillsynsbegäran mail.docx", "A 15637-2024")</f>
        <v/>
      </c>
    </row>
    <row r="146" ht="15" customHeight="1">
      <c r="A146" t="inlineStr">
        <is>
          <t>A 44468-2024</t>
        </is>
      </c>
      <c r="B146" s="1" t="n">
        <v>45574.36651620371</v>
      </c>
      <c r="C146" s="1" t="n">
        <v>45884</v>
      </c>
      <c r="D146" t="inlineStr">
        <is>
          <t>GOTLANDS LÄN</t>
        </is>
      </c>
      <c r="E146" t="inlineStr">
        <is>
          <t>GOTLAND</t>
        </is>
      </c>
      <c r="G146" t="n">
        <v>7</v>
      </c>
      <c r="H146" t="n">
        <v>0</v>
      </c>
      <c r="I146" t="n">
        <v>0</v>
      </c>
      <c r="J146" t="n">
        <v>0</v>
      </c>
      <c r="K146" t="n">
        <v>0</v>
      </c>
      <c r="L146" t="n">
        <v>0</v>
      </c>
      <c r="M146" t="n">
        <v>1</v>
      </c>
      <c r="N146" t="n">
        <v>0</v>
      </c>
      <c r="O146" t="n">
        <v>1</v>
      </c>
      <c r="P146" t="n">
        <v>1</v>
      </c>
      <c r="Q146" t="n">
        <v>1</v>
      </c>
      <c r="R146" s="2" t="inlineStr">
        <is>
          <t>Skogsalm</t>
        </is>
      </c>
      <c r="S146">
        <f>HYPERLINK("https://klasma.github.io/Logging_0980/artfynd/A 44468-2024 artfynd.xlsx", "A 44468-2024")</f>
        <v/>
      </c>
      <c r="T146">
        <f>HYPERLINK("https://klasma.github.io/Logging_0980/kartor/A 44468-2024 karta.png", "A 44468-2024")</f>
        <v/>
      </c>
      <c r="V146">
        <f>HYPERLINK("https://klasma.github.io/Logging_0980/klagomål/A 44468-2024 FSC-klagomål.docx", "A 44468-2024")</f>
        <v/>
      </c>
      <c r="W146">
        <f>HYPERLINK("https://klasma.github.io/Logging_0980/klagomålsmail/A 44468-2024 FSC-klagomål mail.docx", "A 44468-2024")</f>
        <v/>
      </c>
      <c r="X146">
        <f>HYPERLINK("https://klasma.github.io/Logging_0980/tillsyn/A 44468-2024 tillsynsbegäran.docx", "A 44468-2024")</f>
        <v/>
      </c>
      <c r="Y146">
        <f>HYPERLINK("https://klasma.github.io/Logging_0980/tillsynsmail/A 44468-2024 tillsynsbegäran mail.docx", "A 44468-2024")</f>
        <v/>
      </c>
    </row>
    <row r="147" ht="15" customHeight="1">
      <c r="A147" t="inlineStr">
        <is>
          <t>A 65927-2021</t>
        </is>
      </c>
      <c r="B147" s="1" t="n">
        <v>44516</v>
      </c>
      <c r="C147" s="1" t="n">
        <v>45884</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947-2023</t>
        </is>
      </c>
      <c r="B148" s="1" t="n">
        <v>44934</v>
      </c>
      <c r="C148" s="1" t="n">
        <v>45884</v>
      </c>
      <c r="D148" t="inlineStr">
        <is>
          <t>GOTLANDS LÄN</t>
        </is>
      </c>
      <c r="E148" t="inlineStr">
        <is>
          <t>GOTLAND</t>
        </is>
      </c>
      <c r="G148" t="n">
        <v>0.7</v>
      </c>
      <c r="H148" t="n">
        <v>1</v>
      </c>
      <c r="I148" t="n">
        <v>0</v>
      </c>
      <c r="J148" t="n">
        <v>0</v>
      </c>
      <c r="K148" t="n">
        <v>1</v>
      </c>
      <c r="L148" t="n">
        <v>0</v>
      </c>
      <c r="M148" t="n">
        <v>0</v>
      </c>
      <c r="N148" t="n">
        <v>0</v>
      </c>
      <c r="O148" t="n">
        <v>1</v>
      </c>
      <c r="P148" t="n">
        <v>1</v>
      </c>
      <c r="Q148" t="n">
        <v>1</v>
      </c>
      <c r="R148" s="2" t="inlineStr">
        <is>
          <t>Garderönn</t>
        </is>
      </c>
      <c r="S148">
        <f>HYPERLINK("https://klasma.github.io/Logging_0980/artfynd/A 947-2023 artfynd.xlsx", "A 947-2023")</f>
        <v/>
      </c>
      <c r="T148">
        <f>HYPERLINK("https://klasma.github.io/Logging_0980/kartor/A 947-2023 karta.png", "A 947-2023")</f>
        <v/>
      </c>
      <c r="V148">
        <f>HYPERLINK("https://klasma.github.io/Logging_0980/klagomål/A 947-2023 FSC-klagomål.docx", "A 947-2023")</f>
        <v/>
      </c>
      <c r="W148">
        <f>HYPERLINK("https://klasma.github.io/Logging_0980/klagomålsmail/A 947-2023 FSC-klagomål mail.docx", "A 947-2023")</f>
        <v/>
      </c>
      <c r="X148">
        <f>HYPERLINK("https://klasma.github.io/Logging_0980/tillsyn/A 947-2023 tillsynsbegäran.docx", "A 947-2023")</f>
        <v/>
      </c>
      <c r="Y148">
        <f>HYPERLINK("https://klasma.github.io/Logging_0980/tillsynsmail/A 947-2023 tillsynsbegäran mail.docx", "A 947-2023")</f>
        <v/>
      </c>
    </row>
    <row r="149" ht="15" customHeight="1">
      <c r="A149" t="inlineStr">
        <is>
          <t>A 43219-2023</t>
        </is>
      </c>
      <c r="B149" s="1" t="n">
        <v>45183</v>
      </c>
      <c r="C149" s="1" t="n">
        <v>45884</v>
      </c>
      <c r="D149" t="inlineStr">
        <is>
          <t>GOTLANDS LÄN</t>
        </is>
      </c>
      <c r="E149" t="inlineStr">
        <is>
          <t>GOTLAND</t>
        </is>
      </c>
      <c r="G149" t="n">
        <v>3.6</v>
      </c>
      <c r="H149" t="n">
        <v>1</v>
      </c>
      <c r="I149" t="n">
        <v>0</v>
      </c>
      <c r="J149" t="n">
        <v>0</v>
      </c>
      <c r="K149" t="n">
        <v>0</v>
      </c>
      <c r="L149" t="n">
        <v>0</v>
      </c>
      <c r="M149" t="n">
        <v>0</v>
      </c>
      <c r="N149" t="n">
        <v>0</v>
      </c>
      <c r="O149" t="n">
        <v>0</v>
      </c>
      <c r="P149" t="n">
        <v>0</v>
      </c>
      <c r="Q149" t="n">
        <v>1</v>
      </c>
      <c r="R149" s="2" t="inlineStr">
        <is>
          <t>Skogsduva</t>
        </is>
      </c>
      <c r="S149">
        <f>HYPERLINK("https://klasma.github.io/Logging_0980/artfynd/A 43219-2023 artfynd.xlsx", "A 43219-2023")</f>
        <v/>
      </c>
      <c r="T149">
        <f>HYPERLINK("https://klasma.github.io/Logging_0980/kartor/A 43219-2023 karta.png", "A 43219-2023")</f>
        <v/>
      </c>
      <c r="V149">
        <f>HYPERLINK("https://klasma.github.io/Logging_0980/klagomål/A 43219-2023 FSC-klagomål.docx", "A 43219-2023")</f>
        <v/>
      </c>
      <c r="W149">
        <f>HYPERLINK("https://klasma.github.io/Logging_0980/klagomålsmail/A 43219-2023 FSC-klagomål mail.docx", "A 43219-2023")</f>
        <v/>
      </c>
      <c r="X149">
        <f>HYPERLINK("https://klasma.github.io/Logging_0980/tillsyn/A 43219-2023 tillsynsbegäran.docx", "A 43219-2023")</f>
        <v/>
      </c>
      <c r="Y149">
        <f>HYPERLINK("https://klasma.github.io/Logging_0980/tillsynsmail/A 43219-2023 tillsynsbegäran mail.docx", "A 43219-2023")</f>
        <v/>
      </c>
      <c r="Z149">
        <f>HYPERLINK("https://klasma.github.io/Logging_0980/fåglar/A 43219-2023 prioriterade fågelarter.docx", "A 43219-2023")</f>
        <v/>
      </c>
    </row>
    <row r="150" ht="15" customHeight="1">
      <c r="A150" t="inlineStr">
        <is>
          <t>A 61561-2023</t>
        </is>
      </c>
      <c r="B150" s="1" t="n">
        <v>45265</v>
      </c>
      <c r="C150" s="1" t="n">
        <v>45884</v>
      </c>
      <c r="D150" t="inlineStr">
        <is>
          <t>GOTLANDS LÄN</t>
        </is>
      </c>
      <c r="E150" t="inlineStr">
        <is>
          <t>GOTLAND</t>
        </is>
      </c>
      <c r="G150" t="n">
        <v>7.4</v>
      </c>
      <c r="H150" t="n">
        <v>0</v>
      </c>
      <c r="I150" t="n">
        <v>0</v>
      </c>
      <c r="J150" t="n">
        <v>1</v>
      </c>
      <c r="K150" t="n">
        <v>0</v>
      </c>
      <c r="L150" t="n">
        <v>0</v>
      </c>
      <c r="M150" t="n">
        <v>0</v>
      </c>
      <c r="N150" t="n">
        <v>0</v>
      </c>
      <c r="O150" t="n">
        <v>1</v>
      </c>
      <c r="P150" t="n">
        <v>0</v>
      </c>
      <c r="Q150" t="n">
        <v>1</v>
      </c>
      <c r="R150" s="2" t="inlineStr">
        <is>
          <t>Loppstarr</t>
        </is>
      </c>
      <c r="S150">
        <f>HYPERLINK("https://klasma.github.io/Logging_0980/artfynd/A 61561-2023 artfynd.xlsx", "A 61561-2023")</f>
        <v/>
      </c>
      <c r="T150">
        <f>HYPERLINK("https://klasma.github.io/Logging_0980/kartor/A 61561-2023 karta.png", "A 61561-2023")</f>
        <v/>
      </c>
      <c r="V150">
        <f>HYPERLINK("https://klasma.github.io/Logging_0980/klagomål/A 61561-2023 FSC-klagomål.docx", "A 61561-2023")</f>
        <v/>
      </c>
      <c r="W150">
        <f>HYPERLINK("https://klasma.github.io/Logging_0980/klagomålsmail/A 61561-2023 FSC-klagomål mail.docx", "A 61561-2023")</f>
        <v/>
      </c>
      <c r="X150">
        <f>HYPERLINK("https://klasma.github.io/Logging_0980/tillsyn/A 61561-2023 tillsynsbegäran.docx", "A 61561-2023")</f>
        <v/>
      </c>
      <c r="Y150">
        <f>HYPERLINK("https://klasma.github.io/Logging_0980/tillsynsmail/A 61561-2023 tillsynsbegäran mail.docx", "A 61561-2023")</f>
        <v/>
      </c>
    </row>
    <row r="151" ht="15" customHeight="1">
      <c r="A151" t="inlineStr">
        <is>
          <t>A 63299-2020</t>
        </is>
      </c>
      <c r="B151" s="1" t="n">
        <v>44165</v>
      </c>
      <c r="C151" s="1" t="n">
        <v>45884</v>
      </c>
      <c r="D151" t="inlineStr">
        <is>
          <t>GOTLANDS LÄN</t>
        </is>
      </c>
      <c r="E151" t="inlineStr">
        <is>
          <t>GOTLAND</t>
        </is>
      </c>
      <c r="G151" t="n">
        <v>12.9</v>
      </c>
      <c r="H151" t="n">
        <v>1</v>
      </c>
      <c r="I151" t="n">
        <v>0</v>
      </c>
      <c r="J151" t="n">
        <v>1</v>
      </c>
      <c r="K151" t="n">
        <v>0</v>
      </c>
      <c r="L151" t="n">
        <v>0</v>
      </c>
      <c r="M151" t="n">
        <v>0</v>
      </c>
      <c r="N151" t="n">
        <v>0</v>
      </c>
      <c r="O151" t="n">
        <v>1</v>
      </c>
      <c r="P151" t="n">
        <v>0</v>
      </c>
      <c r="Q151" t="n">
        <v>1</v>
      </c>
      <c r="R151" s="2" t="inlineStr">
        <is>
          <t>Svartfläckig blåvinge</t>
        </is>
      </c>
      <c r="S151">
        <f>HYPERLINK("https://klasma.github.io/Logging_0980/artfynd/A 63299-2020 artfynd.xlsx", "A 63299-2020")</f>
        <v/>
      </c>
      <c r="T151">
        <f>HYPERLINK("https://klasma.github.io/Logging_0980/kartor/A 63299-2020 karta.png", "A 63299-2020")</f>
        <v/>
      </c>
      <c r="V151">
        <f>HYPERLINK("https://klasma.github.io/Logging_0980/klagomål/A 63299-2020 FSC-klagomål.docx", "A 63299-2020")</f>
        <v/>
      </c>
      <c r="W151">
        <f>HYPERLINK("https://klasma.github.io/Logging_0980/klagomålsmail/A 63299-2020 FSC-klagomål mail.docx", "A 63299-2020")</f>
        <v/>
      </c>
      <c r="X151">
        <f>HYPERLINK("https://klasma.github.io/Logging_0980/tillsyn/A 63299-2020 tillsynsbegäran.docx", "A 63299-2020")</f>
        <v/>
      </c>
      <c r="Y151">
        <f>HYPERLINK("https://klasma.github.io/Logging_0980/tillsynsmail/A 63299-2020 tillsynsbegäran mail.docx", "A 63299-2020")</f>
        <v/>
      </c>
    </row>
    <row r="152" ht="15" customHeight="1">
      <c r="A152" t="inlineStr">
        <is>
          <t>A 34141-2024</t>
        </is>
      </c>
      <c r="B152" s="1" t="n">
        <v>45524.36229166666</v>
      </c>
      <c r="C152" s="1" t="n">
        <v>45884</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49847-2023</t>
        </is>
      </c>
      <c r="B153" s="1" t="n">
        <v>45212</v>
      </c>
      <c r="C153" s="1" t="n">
        <v>45884</v>
      </c>
      <c r="D153" t="inlineStr">
        <is>
          <t>GOTLANDS LÄN</t>
        </is>
      </c>
      <c r="E153" t="inlineStr">
        <is>
          <t>GOTLAND</t>
        </is>
      </c>
      <c r="G153" t="n">
        <v>35.2</v>
      </c>
      <c r="H153" t="n">
        <v>0</v>
      </c>
      <c r="I153" t="n">
        <v>0</v>
      </c>
      <c r="J153" t="n">
        <v>0</v>
      </c>
      <c r="K153" t="n">
        <v>1</v>
      </c>
      <c r="L153" t="n">
        <v>0</v>
      </c>
      <c r="M153" t="n">
        <v>0</v>
      </c>
      <c r="N153" t="n">
        <v>0</v>
      </c>
      <c r="O153" t="n">
        <v>1</v>
      </c>
      <c r="P153" t="n">
        <v>1</v>
      </c>
      <c r="Q153" t="n">
        <v>1</v>
      </c>
      <c r="R153" s="2" t="inlineStr">
        <is>
          <t>Strandviol</t>
        </is>
      </c>
      <c r="S153">
        <f>HYPERLINK("https://klasma.github.io/Logging_0980/artfynd/A 49847-2023 artfynd.xlsx", "A 49847-2023")</f>
        <v/>
      </c>
      <c r="T153">
        <f>HYPERLINK("https://klasma.github.io/Logging_0980/kartor/A 49847-2023 karta.png", "A 49847-2023")</f>
        <v/>
      </c>
      <c r="V153">
        <f>HYPERLINK("https://klasma.github.io/Logging_0980/klagomål/A 49847-2023 FSC-klagomål.docx", "A 49847-2023")</f>
        <v/>
      </c>
      <c r="W153">
        <f>HYPERLINK("https://klasma.github.io/Logging_0980/klagomålsmail/A 49847-2023 FSC-klagomål mail.docx", "A 49847-2023")</f>
        <v/>
      </c>
      <c r="X153">
        <f>HYPERLINK("https://klasma.github.io/Logging_0980/tillsyn/A 49847-2023 tillsynsbegäran.docx", "A 49847-2023")</f>
        <v/>
      </c>
      <c r="Y153">
        <f>HYPERLINK("https://klasma.github.io/Logging_0980/tillsynsmail/A 49847-2023 tillsynsbegäran mail.docx", "A 49847-2023")</f>
        <v/>
      </c>
    </row>
    <row r="154" ht="15" customHeight="1">
      <c r="A154" t="inlineStr">
        <is>
          <t>A 9862-2024</t>
        </is>
      </c>
      <c r="B154" s="1" t="n">
        <v>45363</v>
      </c>
      <c r="C154" s="1" t="n">
        <v>45884</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12324-2025</t>
        </is>
      </c>
      <c r="B155" s="1" t="n">
        <v>45730</v>
      </c>
      <c r="C155" s="1" t="n">
        <v>45884</v>
      </c>
      <c r="D155" t="inlineStr">
        <is>
          <t>GOTLANDS LÄN</t>
        </is>
      </c>
      <c r="E155" t="inlineStr">
        <is>
          <t>GOTLAND</t>
        </is>
      </c>
      <c r="G155" t="n">
        <v>5</v>
      </c>
      <c r="H155" t="n">
        <v>0</v>
      </c>
      <c r="I155" t="n">
        <v>0</v>
      </c>
      <c r="J155" t="n">
        <v>0</v>
      </c>
      <c r="K155" t="n">
        <v>1</v>
      </c>
      <c r="L155" t="n">
        <v>0</v>
      </c>
      <c r="M155" t="n">
        <v>0</v>
      </c>
      <c r="N155" t="n">
        <v>0</v>
      </c>
      <c r="O155" t="n">
        <v>1</v>
      </c>
      <c r="P155" t="n">
        <v>1</v>
      </c>
      <c r="Q155" t="n">
        <v>1</v>
      </c>
      <c r="R155" s="2" t="inlineStr">
        <is>
          <t>Sommarklynne</t>
        </is>
      </c>
      <c r="S155">
        <f>HYPERLINK("https://klasma.github.io/Logging_0980/artfynd/A 12324-2025 artfynd.xlsx", "A 12324-2025")</f>
        <v/>
      </c>
      <c r="T155">
        <f>HYPERLINK("https://klasma.github.io/Logging_0980/kartor/A 12324-2025 karta.png", "A 12324-2025")</f>
        <v/>
      </c>
      <c r="V155">
        <f>HYPERLINK("https://klasma.github.io/Logging_0980/klagomål/A 12324-2025 FSC-klagomål.docx", "A 12324-2025")</f>
        <v/>
      </c>
      <c r="W155">
        <f>HYPERLINK("https://klasma.github.io/Logging_0980/klagomålsmail/A 12324-2025 FSC-klagomål mail.docx", "A 12324-2025")</f>
        <v/>
      </c>
      <c r="X155">
        <f>HYPERLINK("https://klasma.github.io/Logging_0980/tillsyn/A 12324-2025 tillsynsbegäran.docx", "A 12324-2025")</f>
        <v/>
      </c>
      <c r="Y155">
        <f>HYPERLINK("https://klasma.github.io/Logging_0980/tillsynsmail/A 12324-2025 tillsynsbegäran mail.docx", "A 12324-2025")</f>
        <v/>
      </c>
    </row>
    <row r="156" ht="15" customHeight="1">
      <c r="A156" t="inlineStr">
        <is>
          <t>A 44958-2020</t>
        </is>
      </c>
      <c r="B156" s="1" t="n">
        <v>44088</v>
      </c>
      <c r="C156" s="1" t="n">
        <v>45884</v>
      </c>
      <c r="D156" t="inlineStr">
        <is>
          <t>GOTLANDS LÄN</t>
        </is>
      </c>
      <c r="E156" t="inlineStr">
        <is>
          <t>GOTLAND</t>
        </is>
      </c>
      <c r="G156" t="n">
        <v>0.6</v>
      </c>
      <c r="H156" t="n">
        <v>1</v>
      </c>
      <c r="I156" t="n">
        <v>0</v>
      </c>
      <c r="J156" t="n">
        <v>1</v>
      </c>
      <c r="K156" t="n">
        <v>0</v>
      </c>
      <c r="L156" t="n">
        <v>0</v>
      </c>
      <c r="M156" t="n">
        <v>0</v>
      </c>
      <c r="N156" t="n">
        <v>0</v>
      </c>
      <c r="O156" t="n">
        <v>1</v>
      </c>
      <c r="P156" t="n">
        <v>0</v>
      </c>
      <c r="Q156" t="n">
        <v>1</v>
      </c>
      <c r="R156" s="2" t="inlineStr">
        <is>
          <t>Hornuggla</t>
        </is>
      </c>
      <c r="S156">
        <f>HYPERLINK("https://klasma.github.io/Logging_0980/artfynd/A 44958-2020 artfynd.xlsx", "A 44958-2020")</f>
        <v/>
      </c>
      <c r="T156">
        <f>HYPERLINK("https://klasma.github.io/Logging_0980/kartor/A 44958-2020 karta.png", "A 44958-2020")</f>
        <v/>
      </c>
      <c r="V156">
        <f>HYPERLINK("https://klasma.github.io/Logging_0980/klagomål/A 44958-2020 FSC-klagomål.docx", "A 44958-2020")</f>
        <v/>
      </c>
      <c r="W156">
        <f>HYPERLINK("https://klasma.github.io/Logging_0980/klagomålsmail/A 44958-2020 FSC-klagomål mail.docx", "A 44958-2020")</f>
        <v/>
      </c>
      <c r="X156">
        <f>HYPERLINK("https://klasma.github.io/Logging_0980/tillsyn/A 44958-2020 tillsynsbegäran.docx", "A 44958-2020")</f>
        <v/>
      </c>
      <c r="Y156">
        <f>HYPERLINK("https://klasma.github.io/Logging_0980/tillsynsmail/A 44958-2020 tillsynsbegäran mail.docx", "A 44958-2020")</f>
        <v/>
      </c>
      <c r="Z156">
        <f>HYPERLINK("https://klasma.github.io/Logging_0980/fåglar/A 44958-2020 prioriterade fågelarter.docx", "A 44958-2020")</f>
        <v/>
      </c>
    </row>
    <row r="157" ht="15" customHeight="1">
      <c r="A157" t="inlineStr">
        <is>
          <t>A 20429-2025</t>
        </is>
      </c>
      <c r="B157" s="1" t="n">
        <v>45775.47728009259</v>
      </c>
      <c r="C157" s="1" t="n">
        <v>45884</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2476-2025</t>
        </is>
      </c>
      <c r="B158" s="1" t="n">
        <v>45673</v>
      </c>
      <c r="C158" s="1" t="n">
        <v>45884</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48155-2024</t>
        </is>
      </c>
      <c r="B159" s="1" t="n">
        <v>45589.68863425926</v>
      </c>
      <c r="C159" s="1" t="n">
        <v>45884</v>
      </c>
      <c r="D159" t="inlineStr">
        <is>
          <t>GOTLANDS LÄN</t>
        </is>
      </c>
      <c r="E159" t="inlineStr">
        <is>
          <t>GOTLAND</t>
        </is>
      </c>
      <c r="G159" t="n">
        <v>2.4</v>
      </c>
      <c r="H159" t="n">
        <v>1</v>
      </c>
      <c r="I159" t="n">
        <v>0</v>
      </c>
      <c r="J159" t="n">
        <v>0</v>
      </c>
      <c r="K159" t="n">
        <v>0</v>
      </c>
      <c r="L159" t="n">
        <v>0</v>
      </c>
      <c r="M159" t="n">
        <v>0</v>
      </c>
      <c r="N159" t="n">
        <v>0</v>
      </c>
      <c r="O159" t="n">
        <v>0</v>
      </c>
      <c r="P159" t="n">
        <v>0</v>
      </c>
      <c r="Q159" t="n">
        <v>1</v>
      </c>
      <c r="R159" s="2" t="inlineStr">
        <is>
          <t>Gröngöling</t>
        </is>
      </c>
      <c r="S159">
        <f>HYPERLINK("https://klasma.github.io/Logging_0980/artfynd/A 48155-2024 artfynd.xlsx", "A 48155-2024")</f>
        <v/>
      </c>
      <c r="T159">
        <f>HYPERLINK("https://klasma.github.io/Logging_0980/kartor/A 48155-2024 karta.png", "A 48155-2024")</f>
        <v/>
      </c>
      <c r="V159">
        <f>HYPERLINK("https://klasma.github.io/Logging_0980/klagomål/A 48155-2024 FSC-klagomål.docx", "A 48155-2024")</f>
        <v/>
      </c>
      <c r="W159">
        <f>HYPERLINK("https://klasma.github.io/Logging_0980/klagomålsmail/A 48155-2024 FSC-klagomål mail.docx", "A 48155-2024")</f>
        <v/>
      </c>
      <c r="X159">
        <f>HYPERLINK("https://klasma.github.io/Logging_0980/tillsyn/A 48155-2024 tillsynsbegäran.docx", "A 48155-2024")</f>
        <v/>
      </c>
      <c r="Y159">
        <f>HYPERLINK("https://klasma.github.io/Logging_0980/tillsynsmail/A 48155-2024 tillsynsbegäran mail.docx", "A 48155-2024")</f>
        <v/>
      </c>
      <c r="Z159">
        <f>HYPERLINK("https://klasma.github.io/Logging_0980/fåglar/A 48155-2024 prioriterade fågelarter.docx", "A 48155-2024")</f>
        <v/>
      </c>
    </row>
    <row r="160" ht="15" customHeight="1">
      <c r="A160" t="inlineStr">
        <is>
          <t>A 10995-2023</t>
        </is>
      </c>
      <c r="B160" s="1" t="n">
        <v>44986</v>
      </c>
      <c r="C160" s="1" t="n">
        <v>45884</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63576-2021</t>
        </is>
      </c>
      <c r="B161" s="1" t="n">
        <v>44508</v>
      </c>
      <c r="C161" s="1" t="n">
        <v>45884</v>
      </c>
      <c r="D161" t="inlineStr">
        <is>
          <t>GOTLANDS LÄN</t>
        </is>
      </c>
      <c r="E161" t="inlineStr">
        <is>
          <t>GOTLAND</t>
        </is>
      </c>
      <c r="F161" t="inlineStr">
        <is>
          <t>Kyrkan</t>
        </is>
      </c>
      <c r="G161" t="n">
        <v>4.1</v>
      </c>
      <c r="H161" t="n">
        <v>1</v>
      </c>
      <c r="I161" t="n">
        <v>0</v>
      </c>
      <c r="J161" t="n">
        <v>1</v>
      </c>
      <c r="K161" t="n">
        <v>0</v>
      </c>
      <c r="L161" t="n">
        <v>0</v>
      </c>
      <c r="M161" t="n">
        <v>0</v>
      </c>
      <c r="N161" t="n">
        <v>0</v>
      </c>
      <c r="O161" t="n">
        <v>1</v>
      </c>
      <c r="P161" t="n">
        <v>0</v>
      </c>
      <c r="Q161" t="n">
        <v>1</v>
      </c>
      <c r="R161" s="2" t="inlineStr">
        <is>
          <t>Dårgräsfjäril</t>
        </is>
      </c>
      <c r="S161">
        <f>HYPERLINK("https://klasma.github.io/Logging_0980/artfynd/A 63576-2021 artfynd.xlsx", "A 63576-2021")</f>
        <v/>
      </c>
      <c r="T161">
        <f>HYPERLINK("https://klasma.github.io/Logging_0980/kartor/A 63576-2021 karta.png", "A 63576-2021")</f>
        <v/>
      </c>
      <c r="V161">
        <f>HYPERLINK("https://klasma.github.io/Logging_0980/klagomål/A 63576-2021 FSC-klagomål.docx", "A 63576-2021")</f>
        <v/>
      </c>
      <c r="W161">
        <f>HYPERLINK("https://klasma.github.io/Logging_0980/klagomålsmail/A 63576-2021 FSC-klagomål mail.docx", "A 63576-2021")</f>
        <v/>
      </c>
      <c r="X161">
        <f>HYPERLINK("https://klasma.github.io/Logging_0980/tillsyn/A 63576-2021 tillsynsbegäran.docx", "A 63576-2021")</f>
        <v/>
      </c>
      <c r="Y161">
        <f>HYPERLINK("https://klasma.github.io/Logging_0980/tillsynsmail/A 63576-2021 tillsynsbegäran mail.docx", "A 63576-2021")</f>
        <v/>
      </c>
    </row>
    <row r="162" ht="15" customHeight="1">
      <c r="A162" t="inlineStr">
        <is>
          <t>A 447-2023</t>
        </is>
      </c>
      <c r="B162" s="1" t="n">
        <v>44929</v>
      </c>
      <c r="C162" s="1" t="n">
        <v>45884</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21466-2025</t>
        </is>
      </c>
      <c r="B163" s="1" t="n">
        <v>45782</v>
      </c>
      <c r="C163" s="1" t="n">
        <v>45884</v>
      </c>
      <c r="D163" t="inlineStr">
        <is>
          <t>GOTLANDS LÄN</t>
        </is>
      </c>
      <c r="E163" t="inlineStr">
        <is>
          <t>GOTLAND</t>
        </is>
      </c>
      <c r="F163" t="inlineStr">
        <is>
          <t>Övriga statliga verk och myndigheter</t>
        </is>
      </c>
      <c r="G163" t="n">
        <v>1.7</v>
      </c>
      <c r="H163" t="n">
        <v>1</v>
      </c>
      <c r="I163" t="n">
        <v>0</v>
      </c>
      <c r="J163" t="n">
        <v>0</v>
      </c>
      <c r="K163" t="n">
        <v>0</v>
      </c>
      <c r="L163" t="n">
        <v>0</v>
      </c>
      <c r="M163" t="n">
        <v>0</v>
      </c>
      <c r="N163" t="n">
        <v>0</v>
      </c>
      <c r="O163" t="n">
        <v>0</v>
      </c>
      <c r="P163" t="n">
        <v>0</v>
      </c>
      <c r="Q163" t="n">
        <v>1</v>
      </c>
      <c r="R163" s="2" t="inlineStr">
        <is>
          <t>Blåsippa</t>
        </is>
      </c>
      <c r="S163">
        <f>HYPERLINK("https://klasma.github.io/Logging_0980/artfynd/A 21466-2025 artfynd.xlsx", "A 21466-2025")</f>
        <v/>
      </c>
      <c r="T163">
        <f>HYPERLINK("https://klasma.github.io/Logging_0980/kartor/A 21466-2025 karta.png", "A 21466-2025")</f>
        <v/>
      </c>
      <c r="V163">
        <f>HYPERLINK("https://klasma.github.io/Logging_0980/klagomål/A 21466-2025 FSC-klagomål.docx", "A 21466-2025")</f>
        <v/>
      </c>
      <c r="W163">
        <f>HYPERLINK("https://klasma.github.io/Logging_0980/klagomålsmail/A 21466-2025 FSC-klagomål mail.docx", "A 21466-2025")</f>
        <v/>
      </c>
      <c r="X163">
        <f>HYPERLINK("https://klasma.github.io/Logging_0980/tillsyn/A 21466-2025 tillsynsbegäran.docx", "A 21466-2025")</f>
        <v/>
      </c>
      <c r="Y163">
        <f>HYPERLINK("https://klasma.github.io/Logging_0980/tillsynsmail/A 21466-2025 tillsynsbegäran mail.docx", "A 21466-2025")</f>
        <v/>
      </c>
    </row>
    <row r="164" ht="15" customHeight="1">
      <c r="A164" t="inlineStr">
        <is>
          <t>A 34809-2024</t>
        </is>
      </c>
      <c r="B164" s="1" t="n">
        <v>45526</v>
      </c>
      <c r="C164" s="1" t="n">
        <v>45884</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10440-2024</t>
        </is>
      </c>
      <c r="B165" s="1" t="n">
        <v>45366.32818287037</v>
      </c>
      <c r="C165" s="1" t="n">
        <v>45884</v>
      </c>
      <c r="D165" t="inlineStr">
        <is>
          <t>GOTLANDS LÄN</t>
        </is>
      </c>
      <c r="E165" t="inlineStr">
        <is>
          <t>GOTLAND</t>
        </is>
      </c>
      <c r="G165" t="n">
        <v>2.5</v>
      </c>
      <c r="H165" t="n">
        <v>1</v>
      </c>
      <c r="I165" t="n">
        <v>0</v>
      </c>
      <c r="J165" t="n">
        <v>1</v>
      </c>
      <c r="K165" t="n">
        <v>0</v>
      </c>
      <c r="L165" t="n">
        <v>0</v>
      </c>
      <c r="M165" t="n">
        <v>0</v>
      </c>
      <c r="N165" t="n">
        <v>0</v>
      </c>
      <c r="O165" t="n">
        <v>1</v>
      </c>
      <c r="P165" t="n">
        <v>0</v>
      </c>
      <c r="Q165" t="n">
        <v>1</v>
      </c>
      <c r="R165" s="2" t="inlineStr">
        <is>
          <t>Mindre hackspett</t>
        </is>
      </c>
      <c r="S165">
        <f>HYPERLINK("https://klasma.github.io/Logging_0980/artfynd/A 10440-2024 artfynd.xlsx", "A 10440-2024")</f>
        <v/>
      </c>
      <c r="T165">
        <f>HYPERLINK("https://klasma.github.io/Logging_0980/kartor/A 10440-2024 karta.png", "A 10440-2024")</f>
        <v/>
      </c>
      <c r="V165">
        <f>HYPERLINK("https://klasma.github.io/Logging_0980/klagomål/A 10440-2024 FSC-klagomål.docx", "A 10440-2024")</f>
        <v/>
      </c>
      <c r="W165">
        <f>HYPERLINK("https://klasma.github.io/Logging_0980/klagomålsmail/A 10440-2024 FSC-klagomål mail.docx", "A 10440-2024")</f>
        <v/>
      </c>
      <c r="X165">
        <f>HYPERLINK("https://klasma.github.io/Logging_0980/tillsyn/A 10440-2024 tillsynsbegäran.docx", "A 10440-2024")</f>
        <v/>
      </c>
      <c r="Y165">
        <f>HYPERLINK("https://klasma.github.io/Logging_0980/tillsynsmail/A 10440-2024 tillsynsbegäran mail.docx", "A 10440-2024")</f>
        <v/>
      </c>
      <c r="Z165">
        <f>HYPERLINK("https://klasma.github.io/Logging_0980/fåglar/A 10440-2024 prioriterade fågelarter.docx", "A 10440-2024")</f>
        <v/>
      </c>
    </row>
    <row r="166" ht="15" customHeight="1">
      <c r="A166" t="inlineStr">
        <is>
          <t>A 49304-2024</t>
        </is>
      </c>
      <c r="B166" s="1" t="n">
        <v>45595.54996527778</v>
      </c>
      <c r="C166" s="1" t="n">
        <v>45884</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22782-2023</t>
        </is>
      </c>
      <c r="B167" s="1" t="n">
        <v>45072</v>
      </c>
      <c r="C167" s="1" t="n">
        <v>45884</v>
      </c>
      <c r="D167" t="inlineStr">
        <is>
          <t>GOTLANDS LÄN</t>
        </is>
      </c>
      <c r="E167" t="inlineStr">
        <is>
          <t>GOTLAND</t>
        </is>
      </c>
      <c r="F167" t="inlineStr">
        <is>
          <t>Kyrkan</t>
        </is>
      </c>
      <c r="G167" t="n">
        <v>3.1</v>
      </c>
      <c r="H167" t="n">
        <v>1</v>
      </c>
      <c r="I167" t="n">
        <v>0</v>
      </c>
      <c r="J167" t="n">
        <v>0</v>
      </c>
      <c r="K167" t="n">
        <v>0</v>
      </c>
      <c r="L167" t="n">
        <v>0</v>
      </c>
      <c r="M167" t="n">
        <v>0</v>
      </c>
      <c r="N167" t="n">
        <v>0</v>
      </c>
      <c r="O167" t="n">
        <v>0</v>
      </c>
      <c r="P167" t="n">
        <v>0</v>
      </c>
      <c r="Q167" t="n">
        <v>1</v>
      </c>
      <c r="R167" s="2" t="inlineStr">
        <is>
          <t>Ängsnycklar × skogsnycklar</t>
        </is>
      </c>
      <c r="S167">
        <f>HYPERLINK("https://klasma.github.io/Logging_0980/artfynd/A 22782-2023 artfynd.xlsx", "A 22782-2023")</f>
        <v/>
      </c>
      <c r="T167">
        <f>HYPERLINK("https://klasma.github.io/Logging_0980/kartor/A 22782-2023 karta.png", "A 22782-2023")</f>
        <v/>
      </c>
      <c r="V167">
        <f>HYPERLINK("https://klasma.github.io/Logging_0980/klagomål/A 22782-2023 FSC-klagomål.docx", "A 22782-2023")</f>
        <v/>
      </c>
      <c r="W167">
        <f>HYPERLINK("https://klasma.github.io/Logging_0980/klagomålsmail/A 22782-2023 FSC-klagomål mail.docx", "A 22782-2023")</f>
        <v/>
      </c>
      <c r="X167">
        <f>HYPERLINK("https://klasma.github.io/Logging_0980/tillsyn/A 22782-2023 tillsynsbegäran.docx", "A 22782-2023")</f>
        <v/>
      </c>
      <c r="Y167">
        <f>HYPERLINK("https://klasma.github.io/Logging_0980/tillsynsmail/A 22782-2023 tillsynsbegäran mail.docx", "A 22782-2023")</f>
        <v/>
      </c>
    </row>
    <row r="168" ht="15" customHeight="1">
      <c r="A168" t="inlineStr">
        <is>
          <t>A 44088-2022</t>
        </is>
      </c>
      <c r="B168" s="1" t="n">
        <v>44839</v>
      </c>
      <c r="C168" s="1" t="n">
        <v>45884</v>
      </c>
      <c r="D168" t="inlineStr">
        <is>
          <t>GOTLANDS LÄN</t>
        </is>
      </c>
      <c r="E168" t="inlineStr">
        <is>
          <t>GOTLAND</t>
        </is>
      </c>
      <c r="G168" t="n">
        <v>1.5</v>
      </c>
      <c r="H168" t="n">
        <v>0</v>
      </c>
      <c r="I168" t="n">
        <v>1</v>
      </c>
      <c r="J168" t="n">
        <v>0</v>
      </c>
      <c r="K168" t="n">
        <v>0</v>
      </c>
      <c r="L168" t="n">
        <v>0</v>
      </c>
      <c r="M168" t="n">
        <v>0</v>
      </c>
      <c r="N168" t="n">
        <v>0</v>
      </c>
      <c r="O168" t="n">
        <v>0</v>
      </c>
      <c r="P168" t="n">
        <v>0</v>
      </c>
      <c r="Q168" t="n">
        <v>1</v>
      </c>
      <c r="R168" s="2" t="inlineStr">
        <is>
          <t>Strävlosta</t>
        </is>
      </c>
      <c r="S168">
        <f>HYPERLINK("https://klasma.github.io/Logging_0980/artfynd/A 44088-2022 artfynd.xlsx", "A 44088-2022")</f>
        <v/>
      </c>
      <c r="T168">
        <f>HYPERLINK("https://klasma.github.io/Logging_0980/kartor/A 44088-2022 karta.png", "A 44088-2022")</f>
        <v/>
      </c>
      <c r="V168">
        <f>HYPERLINK("https://klasma.github.io/Logging_0980/klagomål/A 44088-2022 FSC-klagomål.docx", "A 44088-2022")</f>
        <v/>
      </c>
      <c r="W168">
        <f>HYPERLINK("https://klasma.github.io/Logging_0980/klagomålsmail/A 44088-2022 FSC-klagomål mail.docx", "A 44088-2022")</f>
        <v/>
      </c>
      <c r="X168">
        <f>HYPERLINK("https://klasma.github.io/Logging_0980/tillsyn/A 44088-2022 tillsynsbegäran.docx", "A 44088-2022")</f>
        <v/>
      </c>
      <c r="Y168">
        <f>HYPERLINK("https://klasma.github.io/Logging_0980/tillsynsmail/A 44088-2022 tillsynsbegäran mail.docx", "A 44088-2022")</f>
        <v/>
      </c>
    </row>
    <row r="169" ht="15" customHeight="1">
      <c r="A169" t="inlineStr">
        <is>
          <t>A 2213-2023</t>
        </is>
      </c>
      <c r="B169" s="1" t="n">
        <v>44942</v>
      </c>
      <c r="C169" s="1" t="n">
        <v>45884</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26461-2025</t>
        </is>
      </c>
      <c r="B170" s="1" t="n">
        <v>45807.43337962963</v>
      </c>
      <c r="C170" s="1" t="n">
        <v>45884</v>
      </c>
      <c r="D170" t="inlineStr">
        <is>
          <t>GOTLANDS LÄN</t>
        </is>
      </c>
      <c r="E170" t="inlineStr">
        <is>
          <t>GOTLAND</t>
        </is>
      </c>
      <c r="G170" t="n">
        <v>4.1</v>
      </c>
      <c r="H170" t="n">
        <v>0</v>
      </c>
      <c r="I170" t="n">
        <v>0</v>
      </c>
      <c r="J170" t="n">
        <v>0</v>
      </c>
      <c r="K170" t="n">
        <v>1</v>
      </c>
      <c r="L170" t="n">
        <v>0</v>
      </c>
      <c r="M170" t="n">
        <v>0</v>
      </c>
      <c r="N170" t="n">
        <v>0</v>
      </c>
      <c r="O170" t="n">
        <v>1</v>
      </c>
      <c r="P170" t="n">
        <v>1</v>
      </c>
      <c r="Q170" t="n">
        <v>1</v>
      </c>
      <c r="R170" s="2" t="inlineStr">
        <is>
          <t>Gotlandsmåra</t>
        </is>
      </c>
      <c r="S170">
        <f>HYPERLINK("https://klasma.github.io/Logging_0980/artfynd/A 26461-2025 artfynd.xlsx", "A 26461-2025")</f>
        <v/>
      </c>
      <c r="T170">
        <f>HYPERLINK("https://klasma.github.io/Logging_0980/kartor/A 26461-2025 karta.png", "A 26461-2025")</f>
        <v/>
      </c>
      <c r="V170">
        <f>HYPERLINK("https://klasma.github.io/Logging_0980/klagomål/A 26461-2025 FSC-klagomål.docx", "A 26461-2025")</f>
        <v/>
      </c>
      <c r="W170">
        <f>HYPERLINK("https://klasma.github.io/Logging_0980/klagomålsmail/A 26461-2025 FSC-klagomål mail.docx", "A 26461-2025")</f>
        <v/>
      </c>
      <c r="X170">
        <f>HYPERLINK("https://klasma.github.io/Logging_0980/tillsyn/A 26461-2025 tillsynsbegäran.docx", "A 26461-2025")</f>
        <v/>
      </c>
      <c r="Y170">
        <f>HYPERLINK("https://klasma.github.io/Logging_0980/tillsynsmail/A 26461-2025 tillsynsbegäran mail.docx", "A 26461-2025")</f>
        <v/>
      </c>
    </row>
    <row r="171" ht="15" customHeight="1">
      <c r="A171" t="inlineStr">
        <is>
          <t>A 8725-2025</t>
        </is>
      </c>
      <c r="B171" s="1" t="n">
        <v>45712</v>
      </c>
      <c r="C171" s="1" t="n">
        <v>45884</v>
      </c>
      <c r="D171" t="inlineStr">
        <is>
          <t>GOTLANDS LÄN</t>
        </is>
      </c>
      <c r="E171" t="inlineStr">
        <is>
          <t>GOTLAND</t>
        </is>
      </c>
      <c r="G171" t="n">
        <v>4.4</v>
      </c>
      <c r="H171" t="n">
        <v>1</v>
      </c>
      <c r="I171" t="n">
        <v>0</v>
      </c>
      <c r="J171" t="n">
        <v>1</v>
      </c>
      <c r="K171" t="n">
        <v>0</v>
      </c>
      <c r="L171" t="n">
        <v>0</v>
      </c>
      <c r="M171" t="n">
        <v>0</v>
      </c>
      <c r="N171" t="n">
        <v>0</v>
      </c>
      <c r="O171" t="n">
        <v>1</v>
      </c>
      <c r="P171" t="n">
        <v>0</v>
      </c>
      <c r="Q171" t="n">
        <v>1</v>
      </c>
      <c r="R171" s="2" t="inlineStr">
        <is>
          <t>Spillkråka</t>
        </is>
      </c>
      <c r="S171">
        <f>HYPERLINK("https://klasma.github.io/Logging_0980/artfynd/A 8725-2025 artfynd.xlsx", "A 8725-2025")</f>
        <v/>
      </c>
      <c r="T171">
        <f>HYPERLINK("https://klasma.github.io/Logging_0980/kartor/A 8725-2025 karta.png", "A 8725-2025")</f>
        <v/>
      </c>
      <c r="V171">
        <f>HYPERLINK("https://klasma.github.io/Logging_0980/klagomål/A 8725-2025 FSC-klagomål.docx", "A 8725-2025")</f>
        <v/>
      </c>
      <c r="W171">
        <f>HYPERLINK("https://klasma.github.io/Logging_0980/klagomålsmail/A 8725-2025 FSC-klagomål mail.docx", "A 8725-2025")</f>
        <v/>
      </c>
      <c r="X171">
        <f>HYPERLINK("https://klasma.github.io/Logging_0980/tillsyn/A 8725-2025 tillsynsbegäran.docx", "A 8725-2025")</f>
        <v/>
      </c>
      <c r="Y171">
        <f>HYPERLINK("https://klasma.github.io/Logging_0980/tillsynsmail/A 8725-2025 tillsynsbegäran mail.docx", "A 8725-2025")</f>
        <v/>
      </c>
      <c r="Z171">
        <f>HYPERLINK("https://klasma.github.io/Logging_0980/fåglar/A 8725-2025 prioriterade fågelarter.docx", "A 8725-2025")</f>
        <v/>
      </c>
    </row>
    <row r="172" ht="15" customHeight="1">
      <c r="A172" t="inlineStr">
        <is>
          <t>A 19901-2021</t>
        </is>
      </c>
      <c r="B172" s="1" t="n">
        <v>44312</v>
      </c>
      <c r="C172" s="1" t="n">
        <v>45884</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45884</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45884</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45884</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45884</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45884</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45884</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45884</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45884</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45884</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45884</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45884</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45884</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45884</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45884</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45884</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45884</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45884</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45884</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45884</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45884</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45884</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45884</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45884</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45884</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39477-2020</t>
        </is>
      </c>
      <c r="B198" s="1" t="n">
        <v>44064.44814814815</v>
      </c>
      <c r="C198" s="1" t="n">
        <v>45884</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45884</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45884</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45884</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45884</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45884</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45884</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45884</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45884</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45884</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45884</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45884</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45884</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45884</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45884</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23910-2021</t>
        </is>
      </c>
      <c r="B217" s="1" t="n">
        <v>44335</v>
      </c>
      <c r="C217" s="1" t="n">
        <v>45884</v>
      </c>
      <c r="D217" t="inlineStr">
        <is>
          <t>GOTLANDS LÄN</t>
        </is>
      </c>
      <c r="E217" t="inlineStr">
        <is>
          <t>GOTLAND</t>
        </is>
      </c>
      <c r="G217" t="n">
        <v>1.5</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45884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45884</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45884</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45884</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45884</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45884</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47369-2021</t>
        </is>
      </c>
      <c r="B224" s="1" t="n">
        <v>44447</v>
      </c>
      <c r="C224" s="1" t="n">
        <v>45884</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11029-2022</t>
        </is>
      </c>
      <c r="B225" s="1" t="n">
        <v>44628</v>
      </c>
      <c r="C225" s="1" t="n">
        <v>45884</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31239-2022</t>
        </is>
      </c>
      <c r="B226" s="1" t="n">
        <v>44771.49383101852</v>
      </c>
      <c r="C226" s="1" t="n">
        <v>45884</v>
      </c>
      <c r="D226" t="inlineStr">
        <is>
          <t>GOTLANDS LÄN</t>
        </is>
      </c>
      <c r="E226" t="inlineStr">
        <is>
          <t>GOTLAND</t>
        </is>
      </c>
      <c r="G226" t="n">
        <v>1.9</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45884</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45884</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45884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45884</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45884</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58224-2021</t>
        </is>
      </c>
      <c r="B232" s="1" t="n">
        <v>44487</v>
      </c>
      <c r="C232" s="1" t="n">
        <v>45884</v>
      </c>
      <c r="D232" t="inlineStr">
        <is>
          <t>GOTLANDS LÄN</t>
        </is>
      </c>
      <c r="E232" t="inlineStr">
        <is>
          <t>GOTLAND</t>
        </is>
      </c>
      <c r="G232" t="n">
        <v>1.4</v>
      </c>
      <c r="H232" t="n">
        <v>0</v>
      </c>
      <c r="I232" t="n">
        <v>0</v>
      </c>
      <c r="J232" t="n">
        <v>0</v>
      </c>
      <c r="K232" t="n">
        <v>0</v>
      </c>
      <c r="L232" t="n">
        <v>0</v>
      </c>
      <c r="M232" t="n">
        <v>0</v>
      </c>
      <c r="N232" t="n">
        <v>0</v>
      </c>
      <c r="O232" t="n">
        <v>0</v>
      </c>
      <c r="P232" t="n">
        <v>0</v>
      </c>
      <c r="Q232" t="n">
        <v>0</v>
      </c>
      <c r="R232" s="2" t="inlineStr"/>
    </row>
    <row r="233" ht="15" customHeight="1">
      <c r="A233" t="inlineStr">
        <is>
          <t>A 37037-2021</t>
        </is>
      </c>
      <c r="B233" s="1" t="n">
        <v>44393.84688657407</v>
      </c>
      <c r="C233" s="1" t="n">
        <v>45884</v>
      </c>
      <c r="D233" t="inlineStr">
        <is>
          <t>GOTLANDS LÄN</t>
        </is>
      </c>
      <c r="E233" t="inlineStr">
        <is>
          <t>GOTLAND</t>
        </is>
      </c>
      <c r="G233" t="n">
        <v>10.2</v>
      </c>
      <c r="H233" t="n">
        <v>0</v>
      </c>
      <c r="I233" t="n">
        <v>0</v>
      </c>
      <c r="J233" t="n">
        <v>0</v>
      </c>
      <c r="K233" t="n">
        <v>0</v>
      </c>
      <c r="L233" t="n">
        <v>0</v>
      </c>
      <c r="M233" t="n">
        <v>0</v>
      </c>
      <c r="N233" t="n">
        <v>0</v>
      </c>
      <c r="O233" t="n">
        <v>0</v>
      </c>
      <c r="P233" t="n">
        <v>0</v>
      </c>
      <c r="Q233" t="n">
        <v>0</v>
      </c>
      <c r="R233" s="2" t="inlineStr"/>
    </row>
    <row r="234" ht="15" customHeight="1">
      <c r="A234" t="inlineStr">
        <is>
          <t>A 20165-2022</t>
        </is>
      </c>
      <c r="B234" s="1" t="n">
        <v>44698.49854166667</v>
      </c>
      <c r="C234" s="1" t="n">
        <v>45884</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48843-2024</t>
        </is>
      </c>
      <c r="B235" s="1" t="n">
        <v>45593</v>
      </c>
      <c r="C235" s="1" t="n">
        <v>45884</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31264-2021</t>
        </is>
      </c>
      <c r="B236" s="1" t="n">
        <v>44368</v>
      </c>
      <c r="C236" s="1" t="n">
        <v>45884</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33876-2024</t>
        </is>
      </c>
      <c r="B237" s="1" t="n">
        <v>45521.87988425926</v>
      </c>
      <c r="C237" s="1" t="n">
        <v>45884</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10158-2025</t>
        </is>
      </c>
      <c r="B238" s="1" t="n">
        <v>45719</v>
      </c>
      <c r="C238" s="1" t="n">
        <v>45884</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43223-2023</t>
        </is>
      </c>
      <c r="B239" s="1" t="n">
        <v>45183.45642361111</v>
      </c>
      <c r="C239" s="1" t="n">
        <v>45884</v>
      </c>
      <c r="D239" t="inlineStr">
        <is>
          <t>GOTLANDS LÄN</t>
        </is>
      </c>
      <c r="E239" t="inlineStr">
        <is>
          <t>GOTLAND</t>
        </is>
      </c>
      <c r="G239" t="n">
        <v>1.8</v>
      </c>
      <c r="H239" t="n">
        <v>0</v>
      </c>
      <c r="I239" t="n">
        <v>0</v>
      </c>
      <c r="J239" t="n">
        <v>0</v>
      </c>
      <c r="K239" t="n">
        <v>0</v>
      </c>
      <c r="L239" t="n">
        <v>0</v>
      </c>
      <c r="M239" t="n">
        <v>0</v>
      </c>
      <c r="N239" t="n">
        <v>0</v>
      </c>
      <c r="O239" t="n">
        <v>0</v>
      </c>
      <c r="P239" t="n">
        <v>0</v>
      </c>
      <c r="Q239" t="n">
        <v>0</v>
      </c>
      <c r="R239" s="2" t="inlineStr"/>
    </row>
    <row r="240" ht="15" customHeight="1">
      <c r="A240" t="inlineStr">
        <is>
          <t>A 61962-2024</t>
        </is>
      </c>
      <c r="B240" s="1" t="n">
        <v>45653.54340277778</v>
      </c>
      <c r="C240" s="1" t="n">
        <v>45884</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61964-2024</t>
        </is>
      </c>
      <c r="B241" s="1" t="n">
        <v>45653.54789351852</v>
      </c>
      <c r="C241" s="1" t="n">
        <v>45884</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27930-2021</t>
        </is>
      </c>
      <c r="B242" s="1" t="n">
        <v>44354</v>
      </c>
      <c r="C242" s="1" t="n">
        <v>45884</v>
      </c>
      <c r="D242" t="inlineStr">
        <is>
          <t>GOTLANDS LÄN</t>
        </is>
      </c>
      <c r="E242" t="inlineStr">
        <is>
          <t>GOTLAND</t>
        </is>
      </c>
      <c r="G242" t="n">
        <v>2.5</v>
      </c>
      <c r="H242" t="n">
        <v>0</v>
      </c>
      <c r="I242" t="n">
        <v>0</v>
      </c>
      <c r="J242" t="n">
        <v>0</v>
      </c>
      <c r="K242" t="n">
        <v>0</v>
      </c>
      <c r="L242" t="n">
        <v>0</v>
      </c>
      <c r="M242" t="n">
        <v>0</v>
      </c>
      <c r="N242" t="n">
        <v>0</v>
      </c>
      <c r="O242" t="n">
        <v>0</v>
      </c>
      <c r="P242" t="n">
        <v>0</v>
      </c>
      <c r="Q242" t="n">
        <v>0</v>
      </c>
      <c r="R242" s="2" t="inlineStr"/>
    </row>
    <row r="243" ht="15" customHeight="1">
      <c r="A243" t="inlineStr">
        <is>
          <t>A 59469-2024</t>
        </is>
      </c>
      <c r="B243" s="1" t="n">
        <v>45638</v>
      </c>
      <c r="C243" s="1" t="n">
        <v>45884</v>
      </c>
      <c r="D243" t="inlineStr">
        <is>
          <t>GOTLANDS LÄN</t>
        </is>
      </c>
      <c r="E243" t="inlineStr">
        <is>
          <t>GOTLAND</t>
        </is>
      </c>
      <c r="G243" t="n">
        <v>0.4</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45884</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10653-2023</t>
        </is>
      </c>
      <c r="B245" s="1" t="n">
        <v>44988.48859953704</v>
      </c>
      <c r="C245" s="1" t="n">
        <v>45884</v>
      </c>
      <c r="D245" t="inlineStr">
        <is>
          <t>GOTLANDS LÄN</t>
        </is>
      </c>
      <c r="E245" t="inlineStr">
        <is>
          <t>GOTLAND</t>
        </is>
      </c>
      <c r="F245" t="inlineStr">
        <is>
          <t>Kyrkan</t>
        </is>
      </c>
      <c r="G245" t="n">
        <v>3</v>
      </c>
      <c r="H245" t="n">
        <v>0</v>
      </c>
      <c r="I245" t="n">
        <v>0</v>
      </c>
      <c r="J245" t="n">
        <v>0</v>
      </c>
      <c r="K245" t="n">
        <v>0</v>
      </c>
      <c r="L245" t="n">
        <v>0</v>
      </c>
      <c r="M245" t="n">
        <v>0</v>
      </c>
      <c r="N245" t="n">
        <v>0</v>
      </c>
      <c r="O245" t="n">
        <v>0</v>
      </c>
      <c r="P245" t="n">
        <v>0</v>
      </c>
      <c r="Q245" t="n">
        <v>0</v>
      </c>
      <c r="R245" s="2" t="inlineStr"/>
    </row>
    <row r="246" ht="15" customHeight="1">
      <c r="A246" t="inlineStr">
        <is>
          <t>A 57219-2021</t>
        </is>
      </c>
      <c r="B246" s="1" t="n">
        <v>44483</v>
      </c>
      <c r="C246" s="1" t="n">
        <v>45884</v>
      </c>
      <c r="D246" t="inlineStr">
        <is>
          <t>GOTLANDS LÄN</t>
        </is>
      </c>
      <c r="E246" t="inlineStr">
        <is>
          <t>GOTLAND</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35512-2023</t>
        </is>
      </c>
      <c r="B247" s="1" t="n">
        <v>45147.25623842593</v>
      </c>
      <c r="C247" s="1" t="n">
        <v>45884</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45884</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11874-2024</t>
        </is>
      </c>
      <c r="B249" s="1" t="n">
        <v>45376.46956018519</v>
      </c>
      <c r="C249" s="1" t="n">
        <v>45884</v>
      </c>
      <c r="D249" t="inlineStr">
        <is>
          <t>GOTLANDS LÄN</t>
        </is>
      </c>
      <c r="E249" t="inlineStr">
        <is>
          <t>GOTLAND</t>
        </is>
      </c>
      <c r="G249" t="n">
        <v>0.8</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45884</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28480-2023</t>
        </is>
      </c>
      <c r="B251" s="1" t="n">
        <v>45103</v>
      </c>
      <c r="C251" s="1" t="n">
        <v>45884</v>
      </c>
      <c r="D251" t="inlineStr">
        <is>
          <t>GOTLANDS LÄN</t>
        </is>
      </c>
      <c r="E251" t="inlineStr">
        <is>
          <t>GOTLAND</t>
        </is>
      </c>
      <c r="G251" t="n">
        <v>5.7</v>
      </c>
      <c r="H251" t="n">
        <v>0</v>
      </c>
      <c r="I251" t="n">
        <v>0</v>
      </c>
      <c r="J251" t="n">
        <v>0</v>
      </c>
      <c r="K251" t="n">
        <v>0</v>
      </c>
      <c r="L251" t="n">
        <v>0</v>
      </c>
      <c r="M251" t="n">
        <v>0</v>
      </c>
      <c r="N251" t="n">
        <v>0</v>
      </c>
      <c r="O251" t="n">
        <v>0</v>
      </c>
      <c r="P251" t="n">
        <v>0</v>
      </c>
      <c r="Q251" t="n">
        <v>0</v>
      </c>
      <c r="R251" s="2" t="inlineStr"/>
    </row>
    <row r="252" ht="15" customHeight="1">
      <c r="A252" t="inlineStr">
        <is>
          <t>A 28485-2023</t>
        </is>
      </c>
      <c r="B252" s="1" t="n">
        <v>45103.43731481482</v>
      </c>
      <c r="C252" s="1" t="n">
        <v>45884</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4990-2025</t>
        </is>
      </c>
      <c r="B253" s="1" t="n">
        <v>45691</v>
      </c>
      <c r="C253" s="1" t="n">
        <v>45884</v>
      </c>
      <c r="D253" t="inlineStr">
        <is>
          <t>GOTLANDS LÄN</t>
        </is>
      </c>
      <c r="E253" t="inlineStr">
        <is>
          <t>GOTLAND</t>
        </is>
      </c>
      <c r="G253" t="n">
        <v>7.7</v>
      </c>
      <c r="H253" t="n">
        <v>0</v>
      </c>
      <c r="I253" t="n">
        <v>0</v>
      </c>
      <c r="J253" t="n">
        <v>0</v>
      </c>
      <c r="K253" t="n">
        <v>0</v>
      </c>
      <c r="L253" t="n">
        <v>0</v>
      </c>
      <c r="M253" t="n">
        <v>0</v>
      </c>
      <c r="N253" t="n">
        <v>0</v>
      </c>
      <c r="O253" t="n">
        <v>0</v>
      </c>
      <c r="P253" t="n">
        <v>0</v>
      </c>
      <c r="Q253" t="n">
        <v>0</v>
      </c>
      <c r="R253" s="2" t="inlineStr"/>
    </row>
    <row r="254" ht="15" customHeight="1">
      <c r="A254" t="inlineStr">
        <is>
          <t>A 37569-2022</t>
        </is>
      </c>
      <c r="B254" s="1" t="n">
        <v>44809.68125</v>
      </c>
      <c r="C254" s="1" t="n">
        <v>45884</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53641-2020</t>
        </is>
      </c>
      <c r="B255" s="1" t="n">
        <v>44124</v>
      </c>
      <c r="C255" s="1" t="n">
        <v>45884</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20225-2025</t>
        </is>
      </c>
      <c r="B256" s="1" t="n">
        <v>45772.65802083333</v>
      </c>
      <c r="C256" s="1" t="n">
        <v>45884</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17901-2023</t>
        </is>
      </c>
      <c r="B257" s="1" t="n">
        <v>45039</v>
      </c>
      <c r="C257" s="1" t="n">
        <v>45884</v>
      </c>
      <c r="D257" t="inlineStr">
        <is>
          <t>GOTLANDS LÄN</t>
        </is>
      </c>
      <c r="E257" t="inlineStr">
        <is>
          <t>GOTLAND</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38165-2023</t>
        </is>
      </c>
      <c r="B258" s="1" t="n">
        <v>45161</v>
      </c>
      <c r="C258" s="1" t="n">
        <v>45884</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456-2023</t>
        </is>
      </c>
      <c r="B259" s="1" t="n">
        <v>44929.87122685185</v>
      </c>
      <c r="C259" s="1" t="n">
        <v>45884</v>
      </c>
      <c r="D259" t="inlineStr">
        <is>
          <t>GOTLANDS LÄN</t>
        </is>
      </c>
      <c r="E259" t="inlineStr">
        <is>
          <t>GOTLAND</t>
        </is>
      </c>
      <c r="G259" t="n">
        <v>3.2</v>
      </c>
      <c r="H259" t="n">
        <v>0</v>
      </c>
      <c r="I259" t="n">
        <v>0</v>
      </c>
      <c r="J259" t="n">
        <v>0</v>
      </c>
      <c r="K259" t="n">
        <v>0</v>
      </c>
      <c r="L259" t="n">
        <v>0</v>
      </c>
      <c r="M259" t="n">
        <v>0</v>
      </c>
      <c r="N259" t="n">
        <v>0</v>
      </c>
      <c r="O259" t="n">
        <v>0</v>
      </c>
      <c r="P259" t="n">
        <v>0</v>
      </c>
      <c r="Q259" t="n">
        <v>0</v>
      </c>
      <c r="R259" s="2" t="inlineStr"/>
    </row>
    <row r="260" ht="15" customHeight="1">
      <c r="A260" t="inlineStr">
        <is>
          <t>A 1677-2023</t>
        </is>
      </c>
      <c r="B260" s="1" t="n">
        <v>44938</v>
      </c>
      <c r="C260" s="1" t="n">
        <v>45884</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15216-2025</t>
        </is>
      </c>
      <c r="B261" s="1" t="n">
        <v>45744</v>
      </c>
      <c r="C261" s="1" t="n">
        <v>45884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64831-2023</t>
        </is>
      </c>
      <c r="B262" s="1" t="n">
        <v>45282.44924768519</v>
      </c>
      <c r="C262" s="1" t="n">
        <v>45884</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6153-2024</t>
        </is>
      </c>
      <c r="B263" s="1" t="n">
        <v>45337</v>
      </c>
      <c r="C263" s="1" t="n">
        <v>45884</v>
      </c>
      <c r="D263" t="inlineStr">
        <is>
          <t>GOTLANDS LÄN</t>
        </is>
      </c>
      <c r="E263" t="inlineStr">
        <is>
          <t>GOTLAND</t>
        </is>
      </c>
      <c r="G263" t="n">
        <v>14.2</v>
      </c>
      <c r="H263" t="n">
        <v>0</v>
      </c>
      <c r="I263" t="n">
        <v>0</v>
      </c>
      <c r="J263" t="n">
        <v>0</v>
      </c>
      <c r="K263" t="n">
        <v>0</v>
      </c>
      <c r="L263" t="n">
        <v>0</v>
      </c>
      <c r="M263" t="n">
        <v>0</v>
      </c>
      <c r="N263" t="n">
        <v>0</v>
      </c>
      <c r="O263" t="n">
        <v>0</v>
      </c>
      <c r="P263" t="n">
        <v>0</v>
      </c>
      <c r="Q263" t="n">
        <v>0</v>
      </c>
      <c r="R263" s="2" t="inlineStr"/>
    </row>
    <row r="264" ht="15" customHeight="1">
      <c r="A264" t="inlineStr">
        <is>
          <t>A 49693-2023</t>
        </is>
      </c>
      <c r="B264" s="1" t="n">
        <v>45212.38138888889</v>
      </c>
      <c r="C264" s="1" t="n">
        <v>45884</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49697-2023</t>
        </is>
      </c>
      <c r="B265" s="1" t="n">
        <v>45212.38909722222</v>
      </c>
      <c r="C265" s="1" t="n">
        <v>45884</v>
      </c>
      <c r="D265" t="inlineStr">
        <is>
          <t>GOTLANDS LÄN</t>
        </is>
      </c>
      <c r="E265" t="inlineStr">
        <is>
          <t>GOTLAND</t>
        </is>
      </c>
      <c r="G265" t="n">
        <v>4.4</v>
      </c>
      <c r="H265" t="n">
        <v>0</v>
      </c>
      <c r="I265" t="n">
        <v>0</v>
      </c>
      <c r="J265" t="n">
        <v>0</v>
      </c>
      <c r="K265" t="n">
        <v>0</v>
      </c>
      <c r="L265" t="n">
        <v>0</v>
      </c>
      <c r="M265" t="n">
        <v>0</v>
      </c>
      <c r="N265" t="n">
        <v>0</v>
      </c>
      <c r="O265" t="n">
        <v>0</v>
      </c>
      <c r="P265" t="n">
        <v>0</v>
      </c>
      <c r="Q265" t="n">
        <v>0</v>
      </c>
      <c r="R265" s="2" t="inlineStr"/>
    </row>
    <row r="266" ht="15" customHeight="1">
      <c r="A266" t="inlineStr">
        <is>
          <t>A 8036-2022</t>
        </is>
      </c>
      <c r="B266" s="1" t="n">
        <v>44609.44362268518</v>
      </c>
      <c r="C266" s="1" t="n">
        <v>45884</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34312-2024</t>
        </is>
      </c>
      <c r="B267" s="1" t="n">
        <v>45524.69703703704</v>
      </c>
      <c r="C267" s="1" t="n">
        <v>45884</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58476-2022</t>
        </is>
      </c>
      <c r="B268" s="1" t="n">
        <v>44902</v>
      </c>
      <c r="C268" s="1" t="n">
        <v>45884</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46375-2024</t>
        </is>
      </c>
      <c r="B269" s="1" t="n">
        <v>45582</v>
      </c>
      <c r="C269" s="1" t="n">
        <v>45884</v>
      </c>
      <c r="D269" t="inlineStr">
        <is>
          <t>GOTLANDS LÄN</t>
        </is>
      </c>
      <c r="E269" t="inlineStr">
        <is>
          <t>GOTLAND</t>
        </is>
      </c>
      <c r="G269" t="n">
        <v>3</v>
      </c>
      <c r="H269" t="n">
        <v>0</v>
      </c>
      <c r="I269" t="n">
        <v>0</v>
      </c>
      <c r="J269" t="n">
        <v>0</v>
      </c>
      <c r="K269" t="n">
        <v>0</v>
      </c>
      <c r="L269" t="n">
        <v>0</v>
      </c>
      <c r="M269" t="n">
        <v>0</v>
      </c>
      <c r="N269" t="n">
        <v>0</v>
      </c>
      <c r="O269" t="n">
        <v>0</v>
      </c>
      <c r="P269" t="n">
        <v>0</v>
      </c>
      <c r="Q269" t="n">
        <v>0</v>
      </c>
      <c r="R269" s="2" t="inlineStr"/>
    </row>
    <row r="270" ht="15" customHeight="1">
      <c r="A270" t="inlineStr">
        <is>
          <t>A 62915-2021</t>
        </is>
      </c>
      <c r="B270" s="1" t="n">
        <v>44504</v>
      </c>
      <c r="C270" s="1" t="n">
        <v>45884</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5674-2025</t>
        </is>
      </c>
      <c r="B271" s="1" t="n">
        <v>45694.28993055555</v>
      </c>
      <c r="C271" s="1" t="n">
        <v>45884</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5676-2025</t>
        </is>
      </c>
      <c r="B272" s="1" t="n">
        <v>45694.29512731481</v>
      </c>
      <c r="C272" s="1" t="n">
        <v>45884</v>
      </c>
      <c r="D272" t="inlineStr">
        <is>
          <t>GOTLANDS LÄN</t>
        </is>
      </c>
      <c r="E272" t="inlineStr">
        <is>
          <t>GOTLAND</t>
        </is>
      </c>
      <c r="G272" t="n">
        <v>3.2</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45884</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24825-2024</t>
        </is>
      </c>
      <c r="B274" s="1" t="n">
        <v>45461</v>
      </c>
      <c r="C274" s="1" t="n">
        <v>45884</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63229-2021</t>
        </is>
      </c>
      <c r="B275" s="1" t="n">
        <v>44508.34518518519</v>
      </c>
      <c r="C275" s="1" t="n">
        <v>45884</v>
      </c>
      <c r="D275" t="inlineStr">
        <is>
          <t>GOTLANDS LÄN</t>
        </is>
      </c>
      <c r="E275" t="inlineStr">
        <is>
          <t>GOTLAND</t>
        </is>
      </c>
      <c r="F275" t="inlineStr">
        <is>
          <t>Kyrkan</t>
        </is>
      </c>
      <c r="G275" t="n">
        <v>3.8</v>
      </c>
      <c r="H275" t="n">
        <v>0</v>
      </c>
      <c r="I275" t="n">
        <v>0</v>
      </c>
      <c r="J275" t="n">
        <v>0</v>
      </c>
      <c r="K275" t="n">
        <v>0</v>
      </c>
      <c r="L275" t="n">
        <v>0</v>
      </c>
      <c r="M275" t="n">
        <v>0</v>
      </c>
      <c r="N275" t="n">
        <v>0</v>
      </c>
      <c r="O275" t="n">
        <v>0</v>
      </c>
      <c r="P275" t="n">
        <v>0</v>
      </c>
      <c r="Q275" t="n">
        <v>0</v>
      </c>
      <c r="R275" s="2" t="inlineStr"/>
    </row>
    <row r="276" ht="15" customHeight="1">
      <c r="A276" t="inlineStr">
        <is>
          <t>A 61596-2023</t>
        </is>
      </c>
      <c r="B276" s="1" t="n">
        <v>45265</v>
      </c>
      <c r="C276" s="1" t="n">
        <v>45884</v>
      </c>
      <c r="D276" t="inlineStr">
        <is>
          <t>GOTLANDS LÄN</t>
        </is>
      </c>
      <c r="E276" t="inlineStr">
        <is>
          <t>GOTLAND</t>
        </is>
      </c>
      <c r="G276" t="n">
        <v>1.7</v>
      </c>
      <c r="H276" t="n">
        <v>0</v>
      </c>
      <c r="I276" t="n">
        <v>0</v>
      </c>
      <c r="J276" t="n">
        <v>0</v>
      </c>
      <c r="K276" t="n">
        <v>0</v>
      </c>
      <c r="L276" t="n">
        <v>0</v>
      </c>
      <c r="M276" t="n">
        <v>0</v>
      </c>
      <c r="N276" t="n">
        <v>0</v>
      </c>
      <c r="O276" t="n">
        <v>0</v>
      </c>
      <c r="P276" t="n">
        <v>0</v>
      </c>
      <c r="Q276" t="n">
        <v>0</v>
      </c>
      <c r="R276" s="2" t="inlineStr"/>
    </row>
    <row r="277" ht="15" customHeight="1">
      <c r="A277" t="inlineStr">
        <is>
          <t>A 873-2024</t>
        </is>
      </c>
      <c r="B277" s="1" t="n">
        <v>45301</v>
      </c>
      <c r="C277" s="1" t="n">
        <v>45884</v>
      </c>
      <c r="D277" t="inlineStr">
        <is>
          <t>GOTLANDS LÄN</t>
        </is>
      </c>
      <c r="E277" t="inlineStr">
        <is>
          <t>GOTLAND</t>
        </is>
      </c>
      <c r="G277" t="n">
        <v>2.7</v>
      </c>
      <c r="H277" t="n">
        <v>0</v>
      </c>
      <c r="I277" t="n">
        <v>0</v>
      </c>
      <c r="J277" t="n">
        <v>0</v>
      </c>
      <c r="K277" t="n">
        <v>0</v>
      </c>
      <c r="L277" t="n">
        <v>0</v>
      </c>
      <c r="M277" t="n">
        <v>0</v>
      </c>
      <c r="N277" t="n">
        <v>0</v>
      </c>
      <c r="O277" t="n">
        <v>0</v>
      </c>
      <c r="P277" t="n">
        <v>0</v>
      </c>
      <c r="Q277" t="n">
        <v>0</v>
      </c>
      <c r="R277" s="2" t="inlineStr"/>
    </row>
    <row r="278" ht="15" customHeight="1">
      <c r="A278" t="inlineStr">
        <is>
          <t>A 7638-2025</t>
        </is>
      </c>
      <c r="B278" s="1" t="n">
        <v>45705.77306712963</v>
      </c>
      <c r="C278" s="1" t="n">
        <v>45884</v>
      </c>
      <c r="D278" t="inlineStr">
        <is>
          <t>GOTLANDS LÄN</t>
        </is>
      </c>
      <c r="E278" t="inlineStr">
        <is>
          <t>GOTLAND</t>
        </is>
      </c>
      <c r="G278" t="n">
        <v>2.2</v>
      </c>
      <c r="H278" t="n">
        <v>0</v>
      </c>
      <c r="I278" t="n">
        <v>0</v>
      </c>
      <c r="J278" t="n">
        <v>0</v>
      </c>
      <c r="K278" t="n">
        <v>0</v>
      </c>
      <c r="L278" t="n">
        <v>0</v>
      </c>
      <c r="M278" t="n">
        <v>0</v>
      </c>
      <c r="N278" t="n">
        <v>0</v>
      </c>
      <c r="O278" t="n">
        <v>0</v>
      </c>
      <c r="P278" t="n">
        <v>0</v>
      </c>
      <c r="Q278" t="n">
        <v>0</v>
      </c>
      <c r="R278" s="2" t="inlineStr"/>
    </row>
    <row r="279" ht="15" customHeight="1">
      <c r="A279" t="inlineStr">
        <is>
          <t>A 44228-2022</t>
        </is>
      </c>
      <c r="B279" s="1" t="n">
        <v>44839.51599537037</v>
      </c>
      <c r="C279" s="1" t="n">
        <v>45884</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22031-2024</t>
        </is>
      </c>
      <c r="B280" s="1" t="n">
        <v>45443.60075231481</v>
      </c>
      <c r="C280" s="1" t="n">
        <v>45884</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17688-2024</t>
        </is>
      </c>
      <c r="B281" s="1" t="n">
        <v>45418.43575231481</v>
      </c>
      <c r="C281" s="1" t="n">
        <v>45884</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61386-2023</t>
        </is>
      </c>
      <c r="B282" s="1" t="n">
        <v>45264</v>
      </c>
      <c r="C282" s="1" t="n">
        <v>45884</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4377-2023</t>
        </is>
      </c>
      <c r="B283" s="1" t="n">
        <v>44955.5502662037</v>
      </c>
      <c r="C283" s="1" t="n">
        <v>45884</v>
      </c>
      <c r="D283" t="inlineStr">
        <is>
          <t>GOTLANDS LÄN</t>
        </is>
      </c>
      <c r="E283" t="inlineStr">
        <is>
          <t>GOTLAND</t>
        </is>
      </c>
      <c r="F283" t="inlineStr">
        <is>
          <t>Kyrkan</t>
        </is>
      </c>
      <c r="G283" t="n">
        <v>0.6</v>
      </c>
      <c r="H283" t="n">
        <v>0</v>
      </c>
      <c r="I283" t="n">
        <v>0</v>
      </c>
      <c r="J283" t="n">
        <v>0</v>
      </c>
      <c r="K283" t="n">
        <v>0</v>
      </c>
      <c r="L283" t="n">
        <v>0</v>
      </c>
      <c r="M283" t="n">
        <v>0</v>
      </c>
      <c r="N283" t="n">
        <v>0</v>
      </c>
      <c r="O283" t="n">
        <v>0</v>
      </c>
      <c r="P283" t="n">
        <v>0</v>
      </c>
      <c r="Q283" t="n">
        <v>0</v>
      </c>
      <c r="R283" s="2" t="inlineStr"/>
    </row>
    <row r="284" ht="15" customHeight="1">
      <c r="A284" t="inlineStr">
        <is>
          <t>A 22883-2024</t>
        </is>
      </c>
      <c r="B284" s="1" t="n">
        <v>45448.66368055555</v>
      </c>
      <c r="C284" s="1" t="n">
        <v>45884</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6108-2025</t>
        </is>
      </c>
      <c r="B285" s="1" t="n">
        <v>45698.29880787037</v>
      </c>
      <c r="C285" s="1" t="n">
        <v>45884</v>
      </c>
      <c r="D285" t="inlineStr">
        <is>
          <t>GOTLANDS LÄN</t>
        </is>
      </c>
      <c r="E285" t="inlineStr">
        <is>
          <t>GOTLAND</t>
        </is>
      </c>
      <c r="G285" t="n">
        <v>2.8</v>
      </c>
      <c r="H285" t="n">
        <v>0</v>
      </c>
      <c r="I285" t="n">
        <v>0</v>
      </c>
      <c r="J285" t="n">
        <v>0</v>
      </c>
      <c r="K285" t="n">
        <v>0</v>
      </c>
      <c r="L285" t="n">
        <v>0</v>
      </c>
      <c r="M285" t="n">
        <v>0</v>
      </c>
      <c r="N285" t="n">
        <v>0</v>
      </c>
      <c r="O285" t="n">
        <v>0</v>
      </c>
      <c r="P285" t="n">
        <v>0</v>
      </c>
      <c r="Q285" t="n">
        <v>0</v>
      </c>
      <c r="R285" s="2" t="inlineStr"/>
    </row>
    <row r="286" ht="15" customHeight="1">
      <c r="A286" t="inlineStr">
        <is>
          <t>A 43901-2023</t>
        </is>
      </c>
      <c r="B286" s="1" t="n">
        <v>45187</v>
      </c>
      <c r="C286" s="1" t="n">
        <v>45884</v>
      </c>
      <c r="D286" t="inlineStr">
        <is>
          <t>GOTLANDS LÄN</t>
        </is>
      </c>
      <c r="E286" t="inlineStr">
        <is>
          <t>GOTLAND</t>
        </is>
      </c>
      <c r="G286" t="n">
        <v>5.4</v>
      </c>
      <c r="H286" t="n">
        <v>0</v>
      </c>
      <c r="I286" t="n">
        <v>0</v>
      </c>
      <c r="J286" t="n">
        <v>0</v>
      </c>
      <c r="K286" t="n">
        <v>0</v>
      </c>
      <c r="L286" t="n">
        <v>0</v>
      </c>
      <c r="M286" t="n">
        <v>0</v>
      </c>
      <c r="N286" t="n">
        <v>0</v>
      </c>
      <c r="O286" t="n">
        <v>0</v>
      </c>
      <c r="P286" t="n">
        <v>0</v>
      </c>
      <c r="Q286" t="n">
        <v>0</v>
      </c>
      <c r="R286" s="2" t="inlineStr"/>
    </row>
    <row r="287" ht="15" customHeight="1">
      <c r="A287" t="inlineStr">
        <is>
          <t>A 17532-2024</t>
        </is>
      </c>
      <c r="B287" s="1" t="n">
        <v>45415</v>
      </c>
      <c r="C287" s="1" t="n">
        <v>45884</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45692-2023</t>
        </is>
      </c>
      <c r="B288" s="1" t="n">
        <v>45195</v>
      </c>
      <c r="C288" s="1" t="n">
        <v>45884</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27593-2023</t>
        </is>
      </c>
      <c r="B289" s="1" t="n">
        <v>45097</v>
      </c>
      <c r="C289" s="1" t="n">
        <v>45884</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25129-2023</t>
        </is>
      </c>
      <c r="B290" s="1" t="n">
        <v>45086.44261574074</v>
      </c>
      <c r="C290" s="1" t="n">
        <v>45884</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27694-2024</t>
        </is>
      </c>
      <c r="B291" s="1" t="n">
        <v>45475</v>
      </c>
      <c r="C291" s="1" t="n">
        <v>45884</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44204-2022</t>
        </is>
      </c>
      <c r="B292" s="1" t="n">
        <v>44839</v>
      </c>
      <c r="C292" s="1" t="n">
        <v>45884</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10497-2025</t>
        </is>
      </c>
      <c r="B293" s="1" t="n">
        <v>45721</v>
      </c>
      <c r="C293" s="1" t="n">
        <v>45884</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37222-2021</t>
        </is>
      </c>
      <c r="B294" s="1" t="n">
        <v>44396</v>
      </c>
      <c r="C294" s="1" t="n">
        <v>45884</v>
      </c>
      <c r="D294" t="inlineStr">
        <is>
          <t>GOTLANDS LÄN</t>
        </is>
      </c>
      <c r="E294" t="inlineStr">
        <is>
          <t>GOTLAND</t>
        </is>
      </c>
      <c r="G294" t="n">
        <v>3</v>
      </c>
      <c r="H294" t="n">
        <v>0</v>
      </c>
      <c r="I294" t="n">
        <v>0</v>
      </c>
      <c r="J294" t="n">
        <v>0</v>
      </c>
      <c r="K294" t="n">
        <v>0</v>
      </c>
      <c r="L294" t="n">
        <v>0</v>
      </c>
      <c r="M294" t="n">
        <v>0</v>
      </c>
      <c r="N294" t="n">
        <v>0</v>
      </c>
      <c r="O294" t="n">
        <v>0</v>
      </c>
      <c r="P294" t="n">
        <v>0</v>
      </c>
      <c r="Q294" t="n">
        <v>0</v>
      </c>
      <c r="R294" s="2" t="inlineStr"/>
    </row>
    <row r="295" ht="15" customHeight="1">
      <c r="A295" t="inlineStr">
        <is>
          <t>A 39764-2022</t>
        </is>
      </c>
      <c r="B295" s="1" t="n">
        <v>44819</v>
      </c>
      <c r="C295" s="1" t="n">
        <v>45884</v>
      </c>
      <c r="D295" t="inlineStr">
        <is>
          <t>GOTLANDS LÄN</t>
        </is>
      </c>
      <c r="E295" t="inlineStr">
        <is>
          <t>GOTLAND</t>
        </is>
      </c>
      <c r="F295" t="inlineStr">
        <is>
          <t>Kyrkan</t>
        </is>
      </c>
      <c r="G295" t="n">
        <v>3.7</v>
      </c>
      <c r="H295" t="n">
        <v>0</v>
      </c>
      <c r="I295" t="n">
        <v>0</v>
      </c>
      <c r="J295" t="n">
        <v>0</v>
      </c>
      <c r="K295" t="n">
        <v>0</v>
      </c>
      <c r="L295" t="n">
        <v>0</v>
      </c>
      <c r="M295" t="n">
        <v>0</v>
      </c>
      <c r="N295" t="n">
        <v>0</v>
      </c>
      <c r="O295" t="n">
        <v>0</v>
      </c>
      <c r="P295" t="n">
        <v>0</v>
      </c>
      <c r="Q295" t="n">
        <v>0</v>
      </c>
      <c r="R295" s="2" t="inlineStr"/>
    </row>
    <row r="296" ht="15" customHeight="1">
      <c r="A296" t="inlineStr">
        <is>
          <t>A 6099-2024</t>
        </is>
      </c>
      <c r="B296" s="1" t="n">
        <v>45337</v>
      </c>
      <c r="C296" s="1" t="n">
        <v>45884</v>
      </c>
      <c r="D296" t="inlineStr">
        <is>
          <t>GOTLANDS LÄN</t>
        </is>
      </c>
      <c r="E296" t="inlineStr">
        <is>
          <t>GOTLAND</t>
        </is>
      </c>
      <c r="G296" t="n">
        <v>12.6</v>
      </c>
      <c r="H296" t="n">
        <v>0</v>
      </c>
      <c r="I296" t="n">
        <v>0</v>
      </c>
      <c r="J296" t="n">
        <v>0</v>
      </c>
      <c r="K296" t="n">
        <v>0</v>
      </c>
      <c r="L296" t="n">
        <v>0</v>
      </c>
      <c r="M296" t="n">
        <v>0</v>
      </c>
      <c r="N296" t="n">
        <v>0</v>
      </c>
      <c r="O296" t="n">
        <v>0</v>
      </c>
      <c r="P296" t="n">
        <v>0</v>
      </c>
      <c r="Q296" t="n">
        <v>0</v>
      </c>
      <c r="R296" s="2" t="inlineStr"/>
    </row>
    <row r="297" ht="15" customHeight="1">
      <c r="A297" t="inlineStr">
        <is>
          <t>A 8260-2023</t>
        </is>
      </c>
      <c r="B297" s="1" t="n">
        <v>44974.61608796296</v>
      </c>
      <c r="C297" s="1" t="n">
        <v>45884</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46396-2023</t>
        </is>
      </c>
      <c r="B298" s="1" t="n">
        <v>45197</v>
      </c>
      <c r="C298" s="1" t="n">
        <v>45884</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2035-2025</t>
        </is>
      </c>
      <c r="B299" s="1" t="n">
        <v>45672</v>
      </c>
      <c r="C299" s="1" t="n">
        <v>45884</v>
      </c>
      <c r="D299" t="inlineStr">
        <is>
          <t>GOTLANDS LÄN</t>
        </is>
      </c>
      <c r="E299" t="inlineStr">
        <is>
          <t>GOTLAND</t>
        </is>
      </c>
      <c r="G299" t="n">
        <v>7.5</v>
      </c>
      <c r="H299" t="n">
        <v>0</v>
      </c>
      <c r="I299" t="n">
        <v>0</v>
      </c>
      <c r="J299" t="n">
        <v>0</v>
      </c>
      <c r="K299" t="n">
        <v>0</v>
      </c>
      <c r="L299" t="n">
        <v>0</v>
      </c>
      <c r="M299" t="n">
        <v>0</v>
      </c>
      <c r="N299" t="n">
        <v>0</v>
      </c>
      <c r="O299" t="n">
        <v>0</v>
      </c>
      <c r="P299" t="n">
        <v>0</v>
      </c>
      <c r="Q299" t="n">
        <v>0</v>
      </c>
      <c r="R299" s="2" t="inlineStr"/>
    </row>
    <row r="300" ht="15" customHeight="1">
      <c r="A300" t="inlineStr">
        <is>
          <t>A 58388-2022</t>
        </is>
      </c>
      <c r="B300" s="1" t="n">
        <v>44894</v>
      </c>
      <c r="C300" s="1" t="n">
        <v>45884</v>
      </c>
      <c r="D300" t="inlineStr">
        <is>
          <t>GOTLANDS LÄN</t>
        </is>
      </c>
      <c r="E300" t="inlineStr">
        <is>
          <t>GOTLAND</t>
        </is>
      </c>
      <c r="F300" t="inlineStr">
        <is>
          <t>Övriga statliga verk och myndigheter</t>
        </is>
      </c>
      <c r="G300" t="n">
        <v>3.1</v>
      </c>
      <c r="H300" t="n">
        <v>0</v>
      </c>
      <c r="I300" t="n">
        <v>0</v>
      </c>
      <c r="J300" t="n">
        <v>0</v>
      </c>
      <c r="K300" t="n">
        <v>0</v>
      </c>
      <c r="L300" t="n">
        <v>0</v>
      </c>
      <c r="M300" t="n">
        <v>0</v>
      </c>
      <c r="N300" t="n">
        <v>0</v>
      </c>
      <c r="O300" t="n">
        <v>0</v>
      </c>
      <c r="P300" t="n">
        <v>0</v>
      </c>
      <c r="Q300" t="n">
        <v>0</v>
      </c>
      <c r="R300" s="2" t="inlineStr"/>
    </row>
    <row r="301" ht="15" customHeight="1">
      <c r="A301" t="inlineStr">
        <is>
          <t>A 22287-2022</t>
        </is>
      </c>
      <c r="B301" s="1" t="n">
        <v>44712</v>
      </c>
      <c r="C301" s="1" t="n">
        <v>45884</v>
      </c>
      <c r="D301" t="inlineStr">
        <is>
          <t>GOTLANDS LÄN</t>
        </is>
      </c>
      <c r="E301" t="inlineStr">
        <is>
          <t>GOTLAND</t>
        </is>
      </c>
      <c r="G301" t="n">
        <v>6.1</v>
      </c>
      <c r="H301" t="n">
        <v>0</v>
      </c>
      <c r="I301" t="n">
        <v>0</v>
      </c>
      <c r="J301" t="n">
        <v>0</v>
      </c>
      <c r="K301" t="n">
        <v>0</v>
      </c>
      <c r="L301" t="n">
        <v>0</v>
      </c>
      <c r="M301" t="n">
        <v>0</v>
      </c>
      <c r="N301" t="n">
        <v>0</v>
      </c>
      <c r="O301" t="n">
        <v>0</v>
      </c>
      <c r="P301" t="n">
        <v>0</v>
      </c>
      <c r="Q301" t="n">
        <v>0</v>
      </c>
      <c r="R301" s="2" t="inlineStr"/>
    </row>
    <row r="302" ht="15" customHeight="1">
      <c r="A302" t="inlineStr">
        <is>
          <t>A 17343-2025</t>
        </is>
      </c>
      <c r="B302" s="1" t="n">
        <v>45756.6687037037</v>
      </c>
      <c r="C302" s="1" t="n">
        <v>45884</v>
      </c>
      <c r="D302" t="inlineStr">
        <is>
          <t>GOTLANDS LÄN</t>
        </is>
      </c>
      <c r="E302" t="inlineStr">
        <is>
          <t>GOTLAND</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57534-2022</t>
        </is>
      </c>
      <c r="B303" s="1" t="n">
        <v>44896</v>
      </c>
      <c r="C303" s="1" t="n">
        <v>45884</v>
      </c>
      <c r="D303" t="inlineStr">
        <is>
          <t>GOTLANDS LÄN</t>
        </is>
      </c>
      <c r="E303" t="inlineStr">
        <is>
          <t>GOTLAND</t>
        </is>
      </c>
      <c r="G303" t="n">
        <v>0.6</v>
      </c>
      <c r="H303" t="n">
        <v>0</v>
      </c>
      <c r="I303" t="n">
        <v>0</v>
      </c>
      <c r="J303" t="n">
        <v>0</v>
      </c>
      <c r="K303" t="n">
        <v>0</v>
      </c>
      <c r="L303" t="n">
        <v>0</v>
      </c>
      <c r="M303" t="n">
        <v>0</v>
      </c>
      <c r="N303" t="n">
        <v>0</v>
      </c>
      <c r="O303" t="n">
        <v>0</v>
      </c>
      <c r="P303" t="n">
        <v>0</v>
      </c>
      <c r="Q303" t="n">
        <v>0</v>
      </c>
      <c r="R303" s="2" t="inlineStr"/>
    </row>
    <row r="304" ht="15" customHeight="1">
      <c r="A304" t="inlineStr">
        <is>
          <t>A 41373-2024</t>
        </is>
      </c>
      <c r="B304" s="1" t="n">
        <v>45559.82556712963</v>
      </c>
      <c r="C304" s="1" t="n">
        <v>45884</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56009-2024</t>
        </is>
      </c>
      <c r="B305" s="1" t="n">
        <v>45623.80864583333</v>
      </c>
      <c r="C305" s="1" t="n">
        <v>45884</v>
      </c>
      <c r="D305" t="inlineStr">
        <is>
          <t>GOTLANDS LÄN</t>
        </is>
      </c>
      <c r="E305" t="inlineStr">
        <is>
          <t>GOTLAND</t>
        </is>
      </c>
      <c r="G305" t="n">
        <v>2.8</v>
      </c>
      <c r="H305" t="n">
        <v>0</v>
      </c>
      <c r="I305" t="n">
        <v>0</v>
      </c>
      <c r="J305" t="n">
        <v>0</v>
      </c>
      <c r="K305" t="n">
        <v>0</v>
      </c>
      <c r="L305" t="n">
        <v>0</v>
      </c>
      <c r="M305" t="n">
        <v>0</v>
      </c>
      <c r="N305" t="n">
        <v>0</v>
      </c>
      <c r="O305" t="n">
        <v>0</v>
      </c>
      <c r="P305" t="n">
        <v>0</v>
      </c>
      <c r="Q305" t="n">
        <v>0</v>
      </c>
      <c r="R305" s="2" t="inlineStr"/>
    </row>
    <row r="306" ht="15" customHeight="1">
      <c r="A306" t="inlineStr">
        <is>
          <t>A 54073-2022</t>
        </is>
      </c>
      <c r="B306" s="1" t="n">
        <v>44881.50380787037</v>
      </c>
      <c r="C306" s="1" t="n">
        <v>45884</v>
      </c>
      <c r="D306" t="inlineStr">
        <is>
          <t>GOTLANDS LÄN</t>
        </is>
      </c>
      <c r="E306" t="inlineStr">
        <is>
          <t>GOTLAND</t>
        </is>
      </c>
      <c r="G306" t="n">
        <v>3.8</v>
      </c>
      <c r="H306" t="n">
        <v>0</v>
      </c>
      <c r="I306" t="n">
        <v>0</v>
      </c>
      <c r="J306" t="n">
        <v>0</v>
      </c>
      <c r="K306" t="n">
        <v>0</v>
      </c>
      <c r="L306" t="n">
        <v>0</v>
      </c>
      <c r="M306" t="n">
        <v>0</v>
      </c>
      <c r="N306" t="n">
        <v>0</v>
      </c>
      <c r="O306" t="n">
        <v>0</v>
      </c>
      <c r="P306" t="n">
        <v>0</v>
      </c>
      <c r="Q306" t="n">
        <v>0</v>
      </c>
      <c r="R306" s="2" t="inlineStr"/>
    </row>
    <row r="307" ht="15" customHeight="1">
      <c r="A307" t="inlineStr">
        <is>
          <t>A 3964-2024</t>
        </is>
      </c>
      <c r="B307" s="1" t="n">
        <v>45322</v>
      </c>
      <c r="C307" s="1" t="n">
        <v>45884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45106-2024</t>
        </is>
      </c>
      <c r="B308" s="1" t="n">
        <v>45575</v>
      </c>
      <c r="C308" s="1" t="n">
        <v>45884</v>
      </c>
      <c r="D308" t="inlineStr">
        <is>
          <t>GOTLANDS LÄN</t>
        </is>
      </c>
      <c r="E308" t="inlineStr">
        <is>
          <t>GOTLAND</t>
        </is>
      </c>
      <c r="G308" t="n">
        <v>10</v>
      </c>
      <c r="H308" t="n">
        <v>0</v>
      </c>
      <c r="I308" t="n">
        <v>0</v>
      </c>
      <c r="J308" t="n">
        <v>0</v>
      </c>
      <c r="K308" t="n">
        <v>0</v>
      </c>
      <c r="L308" t="n">
        <v>0</v>
      </c>
      <c r="M308" t="n">
        <v>0</v>
      </c>
      <c r="N308" t="n">
        <v>0</v>
      </c>
      <c r="O308" t="n">
        <v>0</v>
      </c>
      <c r="P308" t="n">
        <v>0</v>
      </c>
      <c r="Q308" t="n">
        <v>0</v>
      </c>
      <c r="R308" s="2" t="inlineStr"/>
    </row>
    <row r="309" ht="15" customHeight="1">
      <c r="A309" t="inlineStr">
        <is>
          <t>A 45112-2024</t>
        </is>
      </c>
      <c r="B309" s="1" t="n">
        <v>45575</v>
      </c>
      <c r="C309" s="1" t="n">
        <v>45884</v>
      </c>
      <c r="D309" t="inlineStr">
        <is>
          <t>GOTLANDS LÄN</t>
        </is>
      </c>
      <c r="E309" t="inlineStr">
        <is>
          <t>GOTLAND</t>
        </is>
      </c>
      <c r="G309" t="n">
        <v>5.1</v>
      </c>
      <c r="H309" t="n">
        <v>0</v>
      </c>
      <c r="I309" t="n">
        <v>0</v>
      </c>
      <c r="J309" t="n">
        <v>0</v>
      </c>
      <c r="K309" t="n">
        <v>0</v>
      </c>
      <c r="L309" t="n">
        <v>0</v>
      </c>
      <c r="M309" t="n">
        <v>0</v>
      </c>
      <c r="N309" t="n">
        <v>0</v>
      </c>
      <c r="O309" t="n">
        <v>0</v>
      </c>
      <c r="P309" t="n">
        <v>0</v>
      </c>
      <c r="Q309" t="n">
        <v>0</v>
      </c>
      <c r="R309" s="2" t="inlineStr"/>
    </row>
    <row r="310" ht="15" customHeight="1">
      <c r="A310" t="inlineStr">
        <is>
          <t>A 53934-2024</t>
        </is>
      </c>
      <c r="B310" s="1" t="n">
        <v>45615</v>
      </c>
      <c r="C310" s="1" t="n">
        <v>45884</v>
      </c>
      <c r="D310" t="inlineStr">
        <is>
          <t>GOTLANDS LÄN</t>
        </is>
      </c>
      <c r="E310" t="inlineStr">
        <is>
          <t>GOTLAND</t>
        </is>
      </c>
      <c r="G310" t="n">
        <v>5</v>
      </c>
      <c r="H310" t="n">
        <v>0</v>
      </c>
      <c r="I310" t="n">
        <v>0</v>
      </c>
      <c r="J310" t="n">
        <v>0</v>
      </c>
      <c r="K310" t="n">
        <v>0</v>
      </c>
      <c r="L310" t="n">
        <v>0</v>
      </c>
      <c r="M310" t="n">
        <v>0</v>
      </c>
      <c r="N310" t="n">
        <v>0</v>
      </c>
      <c r="O310" t="n">
        <v>0</v>
      </c>
      <c r="P310" t="n">
        <v>0</v>
      </c>
      <c r="Q310" t="n">
        <v>0</v>
      </c>
      <c r="R310" s="2" t="inlineStr"/>
    </row>
    <row r="311" ht="15" customHeight="1">
      <c r="A311" t="inlineStr">
        <is>
          <t>A 64660-2023</t>
        </is>
      </c>
      <c r="B311" s="1" t="n">
        <v>45281.60122685185</v>
      </c>
      <c r="C311" s="1" t="n">
        <v>45884</v>
      </c>
      <c r="D311" t="inlineStr">
        <is>
          <t>GOTLANDS LÄN</t>
        </is>
      </c>
      <c r="E311" t="inlineStr">
        <is>
          <t>GOTLAND</t>
        </is>
      </c>
      <c r="G311" t="n">
        <v>6.3</v>
      </c>
      <c r="H311" t="n">
        <v>0</v>
      </c>
      <c r="I311" t="n">
        <v>0</v>
      </c>
      <c r="J311" t="n">
        <v>0</v>
      </c>
      <c r="K311" t="n">
        <v>0</v>
      </c>
      <c r="L311" t="n">
        <v>0</v>
      </c>
      <c r="M311" t="n">
        <v>0</v>
      </c>
      <c r="N311" t="n">
        <v>0</v>
      </c>
      <c r="O311" t="n">
        <v>0</v>
      </c>
      <c r="P311" t="n">
        <v>0</v>
      </c>
      <c r="Q311" t="n">
        <v>0</v>
      </c>
      <c r="R311" s="2" t="inlineStr"/>
    </row>
    <row r="312" ht="15" customHeight="1">
      <c r="A312" t="inlineStr">
        <is>
          <t>A 58132-2023</t>
        </is>
      </c>
      <c r="B312" s="1" t="n">
        <v>45250</v>
      </c>
      <c r="C312" s="1" t="n">
        <v>45884</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22899-2023</t>
        </is>
      </c>
      <c r="B313" s="1" t="n">
        <v>45072</v>
      </c>
      <c r="C313" s="1" t="n">
        <v>45884</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28285-2024</t>
        </is>
      </c>
      <c r="B314" s="1" t="n">
        <v>45477</v>
      </c>
      <c r="C314" s="1" t="n">
        <v>45884</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7026-2023</t>
        </is>
      </c>
      <c r="B315" s="1" t="n">
        <v>44968.30340277778</v>
      </c>
      <c r="C315" s="1" t="n">
        <v>45884</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51963-2024</t>
        </is>
      </c>
      <c r="B316" s="1" t="n">
        <v>45607.64833333333</v>
      </c>
      <c r="C316" s="1" t="n">
        <v>45884</v>
      </c>
      <c r="D316" t="inlineStr">
        <is>
          <t>GOTLANDS LÄN</t>
        </is>
      </c>
      <c r="E316" t="inlineStr">
        <is>
          <t>GOTLAND</t>
        </is>
      </c>
      <c r="G316" t="n">
        <v>2.4</v>
      </c>
      <c r="H316" t="n">
        <v>0</v>
      </c>
      <c r="I316" t="n">
        <v>0</v>
      </c>
      <c r="J316" t="n">
        <v>0</v>
      </c>
      <c r="K316" t="n">
        <v>0</v>
      </c>
      <c r="L316" t="n">
        <v>0</v>
      </c>
      <c r="M316" t="n">
        <v>0</v>
      </c>
      <c r="N316" t="n">
        <v>0</v>
      </c>
      <c r="O316" t="n">
        <v>0</v>
      </c>
      <c r="P316" t="n">
        <v>0</v>
      </c>
      <c r="Q316" t="n">
        <v>0</v>
      </c>
      <c r="R316" s="2" t="inlineStr"/>
    </row>
    <row r="317" ht="15" customHeight="1">
      <c r="A317" t="inlineStr">
        <is>
          <t>A 15413-2025</t>
        </is>
      </c>
      <c r="B317" s="1" t="n">
        <v>45747.451875</v>
      </c>
      <c r="C317" s="1" t="n">
        <v>45884</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32669-2024</t>
        </is>
      </c>
      <c r="B318" s="1" t="n">
        <v>45514</v>
      </c>
      <c r="C318" s="1" t="n">
        <v>45884</v>
      </c>
      <c r="D318" t="inlineStr">
        <is>
          <t>GOTLANDS LÄN</t>
        </is>
      </c>
      <c r="E318" t="inlineStr">
        <is>
          <t>GOTLAND</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52892-2021</t>
        </is>
      </c>
      <c r="B319" s="1" t="n">
        <v>44467.49048611111</v>
      </c>
      <c r="C319" s="1" t="n">
        <v>45884</v>
      </c>
      <c r="D319" t="inlineStr">
        <is>
          <t>GOTLANDS LÄN</t>
        </is>
      </c>
      <c r="E319" t="inlineStr">
        <is>
          <t>GOTLAND</t>
        </is>
      </c>
      <c r="G319" t="n">
        <v>2</v>
      </c>
      <c r="H319" t="n">
        <v>0</v>
      </c>
      <c r="I319" t="n">
        <v>0</v>
      </c>
      <c r="J319" t="n">
        <v>0</v>
      </c>
      <c r="K319" t="n">
        <v>0</v>
      </c>
      <c r="L319" t="n">
        <v>0</v>
      </c>
      <c r="M319" t="n">
        <v>0</v>
      </c>
      <c r="N319" t="n">
        <v>0</v>
      </c>
      <c r="O319" t="n">
        <v>0</v>
      </c>
      <c r="P319" t="n">
        <v>0</v>
      </c>
      <c r="Q319" t="n">
        <v>0</v>
      </c>
      <c r="R319" s="2" t="inlineStr"/>
    </row>
    <row r="320" ht="15" customHeight="1">
      <c r="A320" t="inlineStr">
        <is>
          <t>A 1351-2025</t>
        </is>
      </c>
      <c r="B320" s="1" t="n">
        <v>45667.62246527777</v>
      </c>
      <c r="C320" s="1" t="n">
        <v>45884</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20855-2023</t>
        </is>
      </c>
      <c r="B321" s="1" t="n">
        <v>45058.82172453704</v>
      </c>
      <c r="C321" s="1" t="n">
        <v>45884</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1734-2025</t>
        </is>
      </c>
      <c r="B322" s="1" t="n">
        <v>45671.3840625</v>
      </c>
      <c r="C322" s="1" t="n">
        <v>45884</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49874-2024</t>
        </is>
      </c>
      <c r="B323" s="1" t="n">
        <v>45597.49274305555</v>
      </c>
      <c r="C323" s="1" t="n">
        <v>45884</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30365-2024</t>
        </is>
      </c>
      <c r="B324" s="1" t="n">
        <v>45491.3716087963</v>
      </c>
      <c r="C324" s="1" t="n">
        <v>45884</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2674-2023</t>
        </is>
      </c>
      <c r="B325" s="1" t="n">
        <v>44944</v>
      </c>
      <c r="C325" s="1" t="n">
        <v>45884</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14915-2025</t>
        </is>
      </c>
      <c r="B326" s="1" t="n">
        <v>45743.53121527778</v>
      </c>
      <c r="C326" s="1" t="n">
        <v>45884</v>
      </c>
      <c r="D326" t="inlineStr">
        <is>
          <t>GOTLANDS LÄN</t>
        </is>
      </c>
      <c r="E326" t="inlineStr">
        <is>
          <t>GOTLAND</t>
        </is>
      </c>
      <c r="G326" t="n">
        <v>5.9</v>
      </c>
      <c r="H326" t="n">
        <v>0</v>
      </c>
      <c r="I326" t="n">
        <v>0</v>
      </c>
      <c r="J326" t="n">
        <v>0</v>
      </c>
      <c r="K326" t="n">
        <v>0</v>
      </c>
      <c r="L326" t="n">
        <v>0</v>
      </c>
      <c r="M326" t="n">
        <v>0</v>
      </c>
      <c r="N326" t="n">
        <v>0</v>
      </c>
      <c r="O326" t="n">
        <v>0</v>
      </c>
      <c r="P326" t="n">
        <v>0</v>
      </c>
      <c r="Q326" t="n">
        <v>0</v>
      </c>
      <c r="R326" s="2" t="inlineStr"/>
    </row>
    <row r="327" ht="15" customHeight="1">
      <c r="A327" t="inlineStr">
        <is>
          <t>A 8701-2025</t>
        </is>
      </c>
      <c r="B327" s="1" t="n">
        <v>45712</v>
      </c>
      <c r="C327" s="1" t="n">
        <v>45884</v>
      </c>
      <c r="D327" t="inlineStr">
        <is>
          <t>GOTLANDS LÄN</t>
        </is>
      </c>
      <c r="E327" t="inlineStr">
        <is>
          <t>GOTLAND</t>
        </is>
      </c>
      <c r="G327" t="n">
        <v>7</v>
      </c>
      <c r="H327" t="n">
        <v>0</v>
      </c>
      <c r="I327" t="n">
        <v>0</v>
      </c>
      <c r="J327" t="n">
        <v>0</v>
      </c>
      <c r="K327" t="n">
        <v>0</v>
      </c>
      <c r="L327" t="n">
        <v>0</v>
      </c>
      <c r="M327" t="n">
        <v>0</v>
      </c>
      <c r="N327" t="n">
        <v>0</v>
      </c>
      <c r="O327" t="n">
        <v>0</v>
      </c>
      <c r="P327" t="n">
        <v>0</v>
      </c>
      <c r="Q327" t="n">
        <v>0</v>
      </c>
      <c r="R327" s="2" t="inlineStr"/>
    </row>
    <row r="328" ht="15" customHeight="1">
      <c r="A328" t="inlineStr">
        <is>
          <t>A 61100-2022</t>
        </is>
      </c>
      <c r="B328" s="1" t="n">
        <v>44915</v>
      </c>
      <c r="C328" s="1" t="n">
        <v>45884</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60709-2023</t>
        </is>
      </c>
      <c r="B329" s="1" t="n">
        <v>45260</v>
      </c>
      <c r="C329" s="1" t="n">
        <v>45884</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45884</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45884</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45884</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43785-2024</t>
        </is>
      </c>
      <c r="B333" s="1" t="n">
        <v>45570</v>
      </c>
      <c r="C333" s="1" t="n">
        <v>45884</v>
      </c>
      <c r="D333" t="inlineStr">
        <is>
          <t>GOTLANDS LÄN</t>
        </is>
      </c>
      <c r="E333" t="inlineStr">
        <is>
          <t>GOTLAND</t>
        </is>
      </c>
      <c r="G333" t="n">
        <v>12.6</v>
      </c>
      <c r="H333" t="n">
        <v>0</v>
      </c>
      <c r="I333" t="n">
        <v>0</v>
      </c>
      <c r="J333" t="n">
        <v>0</v>
      </c>
      <c r="K333" t="n">
        <v>0</v>
      </c>
      <c r="L333" t="n">
        <v>0</v>
      </c>
      <c r="M333" t="n">
        <v>0</v>
      </c>
      <c r="N333" t="n">
        <v>0</v>
      </c>
      <c r="O333" t="n">
        <v>0</v>
      </c>
      <c r="P333" t="n">
        <v>0</v>
      </c>
      <c r="Q333" t="n">
        <v>0</v>
      </c>
      <c r="R333" s="2" t="inlineStr"/>
    </row>
    <row r="334" ht="15" customHeight="1">
      <c r="A334" t="inlineStr">
        <is>
          <t>A 43790-2024</t>
        </is>
      </c>
      <c r="B334" s="1" t="n">
        <v>45571</v>
      </c>
      <c r="C334" s="1" t="n">
        <v>45884</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581-2023</t>
        </is>
      </c>
      <c r="B335" s="1" t="n">
        <v>44930</v>
      </c>
      <c r="C335" s="1" t="n">
        <v>45884</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30956-2024</t>
        </is>
      </c>
      <c r="B336" s="1" t="n">
        <v>45499.42527777778</v>
      </c>
      <c r="C336" s="1" t="n">
        <v>45884</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10655-2023</t>
        </is>
      </c>
      <c r="B337" s="1" t="n">
        <v>44988.49543981482</v>
      </c>
      <c r="C337" s="1" t="n">
        <v>45884</v>
      </c>
      <c r="D337" t="inlineStr">
        <is>
          <t>GOTLANDS LÄN</t>
        </is>
      </c>
      <c r="E337" t="inlineStr">
        <is>
          <t>GOTLAND</t>
        </is>
      </c>
      <c r="F337" t="inlineStr">
        <is>
          <t>Kyrkan</t>
        </is>
      </c>
      <c r="G337" t="n">
        <v>2</v>
      </c>
      <c r="H337" t="n">
        <v>0</v>
      </c>
      <c r="I337" t="n">
        <v>0</v>
      </c>
      <c r="J337" t="n">
        <v>0</v>
      </c>
      <c r="K337" t="n">
        <v>0</v>
      </c>
      <c r="L337" t="n">
        <v>0</v>
      </c>
      <c r="M337" t="n">
        <v>0</v>
      </c>
      <c r="N337" t="n">
        <v>0</v>
      </c>
      <c r="O337" t="n">
        <v>0</v>
      </c>
      <c r="P337" t="n">
        <v>0</v>
      </c>
      <c r="Q337" t="n">
        <v>0</v>
      </c>
      <c r="R337" s="2" t="inlineStr"/>
    </row>
    <row r="338" ht="15" customHeight="1">
      <c r="A338" t="inlineStr">
        <is>
          <t>A 12596-2023</t>
        </is>
      </c>
      <c r="B338" s="1" t="n">
        <v>45000.43310185185</v>
      </c>
      <c r="C338" s="1" t="n">
        <v>45884</v>
      </c>
      <c r="D338" t="inlineStr">
        <is>
          <t>GOTLANDS LÄN</t>
        </is>
      </c>
      <c r="E338" t="inlineStr">
        <is>
          <t>GOTLAND</t>
        </is>
      </c>
      <c r="G338" t="n">
        <v>4.1</v>
      </c>
      <c r="H338" t="n">
        <v>0</v>
      </c>
      <c r="I338" t="n">
        <v>0</v>
      </c>
      <c r="J338" t="n">
        <v>0</v>
      </c>
      <c r="K338" t="n">
        <v>0</v>
      </c>
      <c r="L338" t="n">
        <v>0</v>
      </c>
      <c r="M338" t="n">
        <v>0</v>
      </c>
      <c r="N338" t="n">
        <v>0</v>
      </c>
      <c r="O338" t="n">
        <v>0</v>
      </c>
      <c r="P338" t="n">
        <v>0</v>
      </c>
      <c r="Q338" t="n">
        <v>0</v>
      </c>
      <c r="R338" s="2" t="inlineStr"/>
    </row>
    <row r="339" ht="15" customHeight="1">
      <c r="A339" t="inlineStr">
        <is>
          <t>A 51782-2023</t>
        </is>
      </c>
      <c r="B339" s="1" t="n">
        <v>45222.80952546297</v>
      </c>
      <c r="C339" s="1" t="n">
        <v>45884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8045-2022</t>
        </is>
      </c>
      <c r="B340" s="1" t="n">
        <v>44609</v>
      </c>
      <c r="C340" s="1" t="n">
        <v>45884</v>
      </c>
      <c r="D340" t="inlineStr">
        <is>
          <t>GOTLANDS LÄN</t>
        </is>
      </c>
      <c r="E340" t="inlineStr">
        <is>
          <t>GOTLAND</t>
        </is>
      </c>
      <c r="G340" t="n">
        <v>7</v>
      </c>
      <c r="H340" t="n">
        <v>0</v>
      </c>
      <c r="I340" t="n">
        <v>0</v>
      </c>
      <c r="J340" t="n">
        <v>0</v>
      </c>
      <c r="K340" t="n">
        <v>0</v>
      </c>
      <c r="L340" t="n">
        <v>0</v>
      </c>
      <c r="M340" t="n">
        <v>0</v>
      </c>
      <c r="N340" t="n">
        <v>0</v>
      </c>
      <c r="O340" t="n">
        <v>0</v>
      </c>
      <c r="P340" t="n">
        <v>0</v>
      </c>
      <c r="Q340" t="n">
        <v>0</v>
      </c>
      <c r="R340" s="2" t="inlineStr"/>
    </row>
    <row r="341" ht="15" customHeight="1">
      <c r="A341" t="inlineStr">
        <is>
          <t>A 60675-2021</t>
        </is>
      </c>
      <c r="B341" s="1" t="n">
        <v>44496.64855324074</v>
      </c>
      <c r="C341" s="1" t="n">
        <v>45884</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5217-2023</t>
        </is>
      </c>
      <c r="B342" s="1" t="n">
        <v>44959.39582175926</v>
      </c>
      <c r="C342" s="1" t="n">
        <v>45884</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44649-2021</t>
        </is>
      </c>
      <c r="B343" s="1" t="n">
        <v>44437</v>
      </c>
      <c r="C343" s="1" t="n">
        <v>45884</v>
      </c>
      <c r="D343" t="inlineStr">
        <is>
          <t>GOTLANDS LÄN</t>
        </is>
      </c>
      <c r="E343" t="inlineStr">
        <is>
          <t>GOTLAND</t>
        </is>
      </c>
      <c r="G343" t="n">
        <v>8.1</v>
      </c>
      <c r="H343" t="n">
        <v>0</v>
      </c>
      <c r="I343" t="n">
        <v>0</v>
      </c>
      <c r="J343" t="n">
        <v>0</v>
      </c>
      <c r="K343" t="n">
        <v>0</v>
      </c>
      <c r="L343" t="n">
        <v>0</v>
      </c>
      <c r="M343" t="n">
        <v>0</v>
      </c>
      <c r="N343" t="n">
        <v>0</v>
      </c>
      <c r="O343" t="n">
        <v>0</v>
      </c>
      <c r="P343" t="n">
        <v>0</v>
      </c>
      <c r="Q343" t="n">
        <v>0</v>
      </c>
      <c r="R343" s="2" t="inlineStr"/>
    </row>
    <row r="344" ht="15" customHeight="1">
      <c r="A344" t="inlineStr">
        <is>
          <t>A 14638-2025</t>
        </is>
      </c>
      <c r="B344" s="1" t="n">
        <v>45742</v>
      </c>
      <c r="C344" s="1" t="n">
        <v>45884</v>
      </c>
      <c r="D344" t="inlineStr">
        <is>
          <t>GOTLANDS LÄN</t>
        </is>
      </c>
      <c r="E344" t="inlineStr">
        <is>
          <t>GOTLAND</t>
        </is>
      </c>
      <c r="G344" t="n">
        <v>13.4</v>
      </c>
      <c r="H344" t="n">
        <v>0</v>
      </c>
      <c r="I344" t="n">
        <v>0</v>
      </c>
      <c r="J344" t="n">
        <v>0</v>
      </c>
      <c r="K344" t="n">
        <v>0</v>
      </c>
      <c r="L344" t="n">
        <v>0</v>
      </c>
      <c r="M344" t="n">
        <v>0</v>
      </c>
      <c r="N344" t="n">
        <v>0</v>
      </c>
      <c r="O344" t="n">
        <v>0</v>
      </c>
      <c r="P344" t="n">
        <v>0</v>
      </c>
      <c r="Q344" t="n">
        <v>0</v>
      </c>
      <c r="R344" s="2" t="inlineStr"/>
    </row>
    <row r="345" ht="15" customHeight="1">
      <c r="A345" t="inlineStr">
        <is>
          <t>A 8484-2025</t>
        </is>
      </c>
      <c r="B345" s="1" t="n">
        <v>45709</v>
      </c>
      <c r="C345" s="1" t="n">
        <v>45884</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4421-2024</t>
        </is>
      </c>
      <c r="B346" s="1" t="n">
        <v>45327.45173611111</v>
      </c>
      <c r="C346" s="1" t="n">
        <v>45884</v>
      </c>
      <c r="D346" t="inlineStr">
        <is>
          <t>GOTLANDS LÄN</t>
        </is>
      </c>
      <c r="E346" t="inlineStr">
        <is>
          <t>GOTLAND</t>
        </is>
      </c>
      <c r="G346" t="n">
        <v>5.1</v>
      </c>
      <c r="H346" t="n">
        <v>0</v>
      </c>
      <c r="I346" t="n">
        <v>0</v>
      </c>
      <c r="J346" t="n">
        <v>0</v>
      </c>
      <c r="K346" t="n">
        <v>0</v>
      </c>
      <c r="L346" t="n">
        <v>0</v>
      </c>
      <c r="M346" t="n">
        <v>0</v>
      </c>
      <c r="N346" t="n">
        <v>0</v>
      </c>
      <c r="O346" t="n">
        <v>0</v>
      </c>
      <c r="P346" t="n">
        <v>0</v>
      </c>
      <c r="Q346" t="n">
        <v>0</v>
      </c>
      <c r="R346" s="2" t="inlineStr"/>
    </row>
    <row r="347" ht="15" customHeight="1">
      <c r="A347" t="inlineStr">
        <is>
          <t>A 999-2024</t>
        </is>
      </c>
      <c r="B347" s="1" t="n">
        <v>45301</v>
      </c>
      <c r="C347" s="1" t="n">
        <v>45884</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65901-2021</t>
        </is>
      </c>
      <c r="B348" s="1" t="n">
        <v>44516</v>
      </c>
      <c r="C348" s="1" t="n">
        <v>45884</v>
      </c>
      <c r="D348" t="inlineStr">
        <is>
          <t>GOTLANDS LÄN</t>
        </is>
      </c>
      <c r="E348" t="inlineStr">
        <is>
          <t>GOTLAND</t>
        </is>
      </c>
      <c r="G348" t="n">
        <v>4.9</v>
      </c>
      <c r="H348" t="n">
        <v>0</v>
      </c>
      <c r="I348" t="n">
        <v>0</v>
      </c>
      <c r="J348" t="n">
        <v>0</v>
      </c>
      <c r="K348" t="n">
        <v>0</v>
      </c>
      <c r="L348" t="n">
        <v>0</v>
      </c>
      <c r="M348" t="n">
        <v>0</v>
      </c>
      <c r="N348" t="n">
        <v>0</v>
      </c>
      <c r="O348" t="n">
        <v>0</v>
      </c>
      <c r="P348" t="n">
        <v>0</v>
      </c>
      <c r="Q348" t="n">
        <v>0</v>
      </c>
      <c r="R348" s="2" t="inlineStr"/>
    </row>
    <row r="349" ht="15" customHeight="1">
      <c r="A349" t="inlineStr">
        <is>
          <t>A 47762-2023</t>
        </is>
      </c>
      <c r="B349" s="1" t="n">
        <v>45203.86256944444</v>
      </c>
      <c r="C349" s="1" t="n">
        <v>45884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40294-2022</t>
        </is>
      </c>
      <c r="B350" s="1" t="n">
        <v>44821</v>
      </c>
      <c r="C350" s="1" t="n">
        <v>45884</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27602-2023</t>
        </is>
      </c>
      <c r="B351" s="1" t="n">
        <v>45097</v>
      </c>
      <c r="C351" s="1" t="n">
        <v>45884</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49962-2023</t>
        </is>
      </c>
      <c r="B352" s="1" t="n">
        <v>45215.38775462963</v>
      </c>
      <c r="C352" s="1" t="n">
        <v>45884</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37591-2023</t>
        </is>
      </c>
      <c r="B353" s="1" t="n">
        <v>45159</v>
      </c>
      <c r="C353" s="1" t="n">
        <v>45884</v>
      </c>
      <c r="D353" t="inlineStr">
        <is>
          <t>GOTLANDS LÄN</t>
        </is>
      </c>
      <c r="E353" t="inlineStr">
        <is>
          <t>GOTLAND</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58780-2024</t>
        </is>
      </c>
      <c r="B354" s="1" t="n">
        <v>45635.84113425926</v>
      </c>
      <c r="C354" s="1" t="n">
        <v>45884</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12322-2025</t>
        </is>
      </c>
      <c r="B355" s="1" t="n">
        <v>45730</v>
      </c>
      <c r="C355" s="1" t="n">
        <v>45884</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50744-2024</t>
        </is>
      </c>
      <c r="B356" s="1" t="n">
        <v>45602.4187037037</v>
      </c>
      <c r="C356" s="1" t="n">
        <v>45884</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45244-2024</t>
        </is>
      </c>
      <c r="B357" s="1" t="n">
        <v>45576</v>
      </c>
      <c r="C357" s="1" t="n">
        <v>45884</v>
      </c>
      <c r="D357" t="inlineStr">
        <is>
          <t>GOTLANDS LÄN</t>
        </is>
      </c>
      <c r="E357" t="inlineStr">
        <is>
          <t>GOTLAND</t>
        </is>
      </c>
      <c r="G357" t="n">
        <v>2.4</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45884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24192-2023</t>
        </is>
      </c>
      <c r="B359" s="1" t="n">
        <v>45079</v>
      </c>
      <c r="C359" s="1" t="n">
        <v>45884</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30282-2022</t>
        </is>
      </c>
      <c r="B360" s="1" t="n">
        <v>44760</v>
      </c>
      <c r="C360" s="1" t="n">
        <v>45884</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38787-2023</t>
        </is>
      </c>
      <c r="B361" s="1" t="n">
        <v>45163</v>
      </c>
      <c r="C361" s="1" t="n">
        <v>45884</v>
      </c>
      <c r="D361" t="inlineStr">
        <is>
          <t>GOTLANDS LÄN</t>
        </is>
      </c>
      <c r="E361" t="inlineStr">
        <is>
          <t>GOTLAND</t>
        </is>
      </c>
      <c r="G361" t="n">
        <v>0.4</v>
      </c>
      <c r="H361" t="n">
        <v>0</v>
      </c>
      <c r="I361" t="n">
        <v>0</v>
      </c>
      <c r="J361" t="n">
        <v>0</v>
      </c>
      <c r="K361" t="n">
        <v>0</v>
      </c>
      <c r="L361" t="n">
        <v>0</v>
      </c>
      <c r="M361" t="n">
        <v>0</v>
      </c>
      <c r="N361" t="n">
        <v>0</v>
      </c>
      <c r="O361" t="n">
        <v>0</v>
      </c>
      <c r="P361" t="n">
        <v>0</v>
      </c>
      <c r="Q361" t="n">
        <v>0</v>
      </c>
      <c r="R361" s="2" t="inlineStr"/>
    </row>
    <row r="362" ht="15" customHeight="1">
      <c r="A362" t="inlineStr">
        <is>
          <t>A 7835-2024</t>
        </is>
      </c>
      <c r="B362" s="1" t="n">
        <v>45349.83138888889</v>
      </c>
      <c r="C362" s="1" t="n">
        <v>45884</v>
      </c>
      <c r="D362" t="inlineStr">
        <is>
          <t>GOTLANDS LÄN</t>
        </is>
      </c>
      <c r="E362" t="inlineStr">
        <is>
          <t>GOTLAND</t>
        </is>
      </c>
      <c r="G362" t="n">
        <v>3.8</v>
      </c>
      <c r="H362" t="n">
        <v>0</v>
      </c>
      <c r="I362" t="n">
        <v>0</v>
      </c>
      <c r="J362" t="n">
        <v>0</v>
      </c>
      <c r="K362" t="n">
        <v>0</v>
      </c>
      <c r="L362" t="n">
        <v>0</v>
      </c>
      <c r="M362" t="n">
        <v>0</v>
      </c>
      <c r="N362" t="n">
        <v>0</v>
      </c>
      <c r="O362" t="n">
        <v>0</v>
      </c>
      <c r="P362" t="n">
        <v>0</v>
      </c>
      <c r="Q362" t="n">
        <v>0</v>
      </c>
      <c r="R362" s="2" t="inlineStr"/>
    </row>
    <row r="363" ht="15" customHeight="1">
      <c r="A363" t="inlineStr">
        <is>
          <t>A 10650-2022</t>
        </is>
      </c>
      <c r="B363" s="1" t="n">
        <v>44624.57945601852</v>
      </c>
      <c r="C363" s="1" t="n">
        <v>45884</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2714-2023</t>
        </is>
      </c>
      <c r="B364" s="1" t="n">
        <v>44944.54896990741</v>
      </c>
      <c r="C364" s="1" t="n">
        <v>45884</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26810-2021</t>
        </is>
      </c>
      <c r="B365" s="1" t="n">
        <v>44349.55087962963</v>
      </c>
      <c r="C365" s="1" t="n">
        <v>45884</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22897-2023</t>
        </is>
      </c>
      <c r="B366" s="1" t="n">
        <v>45072.55239583334</v>
      </c>
      <c r="C366" s="1" t="n">
        <v>45884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34142-2024</t>
        </is>
      </c>
      <c r="B367" s="1" t="n">
        <v>45524.36521990741</v>
      </c>
      <c r="C367" s="1" t="n">
        <v>45884</v>
      </c>
      <c r="D367" t="inlineStr">
        <is>
          <t>GOTLANDS LÄN</t>
        </is>
      </c>
      <c r="E367" t="inlineStr">
        <is>
          <t>GOTLAND</t>
        </is>
      </c>
      <c r="G367" t="n">
        <v>6</v>
      </c>
      <c r="H367" t="n">
        <v>0</v>
      </c>
      <c r="I367" t="n">
        <v>0</v>
      </c>
      <c r="J367" t="n">
        <v>0</v>
      </c>
      <c r="K367" t="n">
        <v>0</v>
      </c>
      <c r="L367" t="n">
        <v>0</v>
      </c>
      <c r="M367" t="n">
        <v>0</v>
      </c>
      <c r="N367" t="n">
        <v>0</v>
      </c>
      <c r="O367" t="n">
        <v>0</v>
      </c>
      <c r="P367" t="n">
        <v>0</v>
      </c>
      <c r="Q367" t="n">
        <v>0</v>
      </c>
      <c r="R367" s="2" t="inlineStr"/>
    </row>
    <row r="368" ht="15" customHeight="1">
      <c r="A368" t="inlineStr">
        <is>
          <t>A 4568-2025</t>
        </is>
      </c>
      <c r="B368" s="1" t="n">
        <v>45687</v>
      </c>
      <c r="C368" s="1" t="n">
        <v>45884</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1681-2023</t>
        </is>
      </c>
      <c r="B369" s="1" t="n">
        <v>44938.39715277778</v>
      </c>
      <c r="C369" s="1" t="n">
        <v>45884</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42338-2023</t>
        </is>
      </c>
      <c r="B370" s="1" t="n">
        <v>45180</v>
      </c>
      <c r="C370" s="1" t="n">
        <v>45884</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18918-2025</t>
        </is>
      </c>
      <c r="B371" s="1" t="n">
        <v>45764</v>
      </c>
      <c r="C371" s="1" t="n">
        <v>45884</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45884</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11013-2024</t>
        </is>
      </c>
      <c r="B373" s="1" t="n">
        <v>45370</v>
      </c>
      <c r="C373" s="1" t="n">
        <v>45884</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13037-2025</t>
        </is>
      </c>
      <c r="B374" s="1" t="n">
        <v>45734</v>
      </c>
      <c r="C374" s="1" t="n">
        <v>45884</v>
      </c>
      <c r="D374" t="inlineStr">
        <is>
          <t>GOTLANDS LÄN</t>
        </is>
      </c>
      <c r="E374" t="inlineStr">
        <is>
          <t>GOTLAND</t>
        </is>
      </c>
      <c r="G374" t="n">
        <v>9.5</v>
      </c>
      <c r="H374" t="n">
        <v>0</v>
      </c>
      <c r="I374" t="n">
        <v>0</v>
      </c>
      <c r="J374" t="n">
        <v>0</v>
      </c>
      <c r="K374" t="n">
        <v>0</v>
      </c>
      <c r="L374" t="n">
        <v>0</v>
      </c>
      <c r="M374" t="n">
        <v>0</v>
      </c>
      <c r="N374" t="n">
        <v>0</v>
      </c>
      <c r="O374" t="n">
        <v>0</v>
      </c>
      <c r="P374" t="n">
        <v>0</v>
      </c>
      <c r="Q374" t="n">
        <v>0</v>
      </c>
      <c r="R374" s="2" t="inlineStr"/>
    </row>
    <row r="375" ht="15" customHeight="1">
      <c r="A375" t="inlineStr">
        <is>
          <t>A 45084-2024</t>
        </is>
      </c>
      <c r="B375" s="1" t="n">
        <v>45575</v>
      </c>
      <c r="C375" s="1" t="n">
        <v>45884</v>
      </c>
      <c r="D375" t="inlineStr">
        <is>
          <t>GOTLANDS LÄN</t>
        </is>
      </c>
      <c r="E375" t="inlineStr">
        <is>
          <t>GOTLAND</t>
        </is>
      </c>
      <c r="G375" t="n">
        <v>6.8</v>
      </c>
      <c r="H375" t="n">
        <v>0</v>
      </c>
      <c r="I375" t="n">
        <v>0</v>
      </c>
      <c r="J375" t="n">
        <v>0</v>
      </c>
      <c r="K375" t="n">
        <v>0</v>
      </c>
      <c r="L375" t="n">
        <v>0</v>
      </c>
      <c r="M375" t="n">
        <v>0</v>
      </c>
      <c r="N375" t="n">
        <v>0</v>
      </c>
      <c r="O375" t="n">
        <v>0</v>
      </c>
      <c r="P375" t="n">
        <v>0</v>
      </c>
      <c r="Q375" t="n">
        <v>0</v>
      </c>
      <c r="R375" s="2" t="inlineStr"/>
    </row>
    <row r="376" ht="15" customHeight="1">
      <c r="A376" t="inlineStr">
        <is>
          <t>A 20356-2022</t>
        </is>
      </c>
      <c r="B376" s="1" t="n">
        <v>44699</v>
      </c>
      <c r="C376" s="1" t="n">
        <v>45884</v>
      </c>
      <c r="D376" t="inlineStr">
        <is>
          <t>GOTLANDS LÄN</t>
        </is>
      </c>
      <c r="E376" t="inlineStr">
        <is>
          <t>GOTLAND</t>
        </is>
      </c>
      <c r="F376" t="inlineStr">
        <is>
          <t>Övriga Aktiebolag</t>
        </is>
      </c>
      <c r="G376" t="n">
        <v>4.4</v>
      </c>
      <c r="H376" t="n">
        <v>0</v>
      </c>
      <c r="I376" t="n">
        <v>0</v>
      </c>
      <c r="J376" t="n">
        <v>0</v>
      </c>
      <c r="K376" t="n">
        <v>0</v>
      </c>
      <c r="L376" t="n">
        <v>0</v>
      </c>
      <c r="M376" t="n">
        <v>0</v>
      </c>
      <c r="N376" t="n">
        <v>0</v>
      </c>
      <c r="O376" t="n">
        <v>0</v>
      </c>
      <c r="P376" t="n">
        <v>0</v>
      </c>
      <c r="Q376" t="n">
        <v>0</v>
      </c>
      <c r="R376" s="2" t="inlineStr"/>
    </row>
    <row r="377" ht="15" customHeight="1">
      <c r="A377" t="inlineStr">
        <is>
          <t>A 4868-2024</t>
        </is>
      </c>
      <c r="B377" s="1" t="n">
        <v>45329</v>
      </c>
      <c r="C377" s="1" t="n">
        <v>45884</v>
      </c>
      <c r="D377" t="inlineStr">
        <is>
          <t>GOTLANDS LÄN</t>
        </is>
      </c>
      <c r="E377" t="inlineStr">
        <is>
          <t>GOTLAND</t>
        </is>
      </c>
      <c r="G377" t="n">
        <v>7.1</v>
      </c>
      <c r="H377" t="n">
        <v>0</v>
      </c>
      <c r="I377" t="n">
        <v>0</v>
      </c>
      <c r="J377" t="n">
        <v>0</v>
      </c>
      <c r="K377" t="n">
        <v>0</v>
      </c>
      <c r="L377" t="n">
        <v>0</v>
      </c>
      <c r="M377" t="n">
        <v>0</v>
      </c>
      <c r="N377" t="n">
        <v>0</v>
      </c>
      <c r="O377" t="n">
        <v>0</v>
      </c>
      <c r="P377" t="n">
        <v>0</v>
      </c>
      <c r="Q377" t="n">
        <v>0</v>
      </c>
      <c r="R377" s="2" t="inlineStr"/>
    </row>
    <row r="378" ht="15" customHeight="1">
      <c r="A378" t="inlineStr">
        <is>
          <t>A 9613-2025</t>
        </is>
      </c>
      <c r="B378" s="1" t="n">
        <v>45715</v>
      </c>
      <c r="C378" s="1" t="n">
        <v>45884</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5386-2023</t>
        </is>
      </c>
      <c r="B379" s="1" t="n">
        <v>44959</v>
      </c>
      <c r="C379" s="1" t="n">
        <v>45884</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55334-2024</t>
        </is>
      </c>
      <c r="B380" s="1" t="n">
        <v>45621</v>
      </c>
      <c r="C380" s="1" t="n">
        <v>45884</v>
      </c>
      <c r="D380" t="inlineStr">
        <is>
          <t>GOTLANDS LÄN</t>
        </is>
      </c>
      <c r="E380" t="inlineStr">
        <is>
          <t>GOTLAND</t>
        </is>
      </c>
      <c r="G380" t="n">
        <v>21.7</v>
      </c>
      <c r="H380" t="n">
        <v>0</v>
      </c>
      <c r="I380" t="n">
        <v>0</v>
      </c>
      <c r="J380" t="n">
        <v>0</v>
      </c>
      <c r="K380" t="n">
        <v>0</v>
      </c>
      <c r="L380" t="n">
        <v>0</v>
      </c>
      <c r="M380" t="n">
        <v>0</v>
      </c>
      <c r="N380" t="n">
        <v>0</v>
      </c>
      <c r="O380" t="n">
        <v>0</v>
      </c>
      <c r="P380" t="n">
        <v>0</v>
      </c>
      <c r="Q380" t="n">
        <v>0</v>
      </c>
      <c r="R380" s="2" t="inlineStr"/>
    </row>
    <row r="381" ht="15" customHeight="1">
      <c r="A381" t="inlineStr">
        <is>
          <t>A 58211-2024</t>
        </is>
      </c>
      <c r="B381" s="1" t="n">
        <v>45632.49292824074</v>
      </c>
      <c r="C381" s="1" t="n">
        <v>45884</v>
      </c>
      <c r="D381" t="inlineStr">
        <is>
          <t>GOTLANDS LÄN</t>
        </is>
      </c>
      <c r="E381" t="inlineStr">
        <is>
          <t>GOTLAND</t>
        </is>
      </c>
      <c r="G381" t="n">
        <v>5.4</v>
      </c>
      <c r="H381" t="n">
        <v>0</v>
      </c>
      <c r="I381" t="n">
        <v>0</v>
      </c>
      <c r="J381" t="n">
        <v>0</v>
      </c>
      <c r="K381" t="n">
        <v>0</v>
      </c>
      <c r="L381" t="n">
        <v>0</v>
      </c>
      <c r="M381" t="n">
        <v>0</v>
      </c>
      <c r="N381" t="n">
        <v>0</v>
      </c>
      <c r="O381" t="n">
        <v>0</v>
      </c>
      <c r="P381" t="n">
        <v>0</v>
      </c>
      <c r="Q381" t="n">
        <v>0</v>
      </c>
      <c r="R381" s="2" t="inlineStr"/>
    </row>
    <row r="382" ht="15" customHeight="1">
      <c r="A382" t="inlineStr">
        <is>
          <t>A 10746-2025</t>
        </is>
      </c>
      <c r="B382" s="1" t="n">
        <v>45722.42766203704</v>
      </c>
      <c r="C382" s="1" t="n">
        <v>45884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11634-2024</t>
        </is>
      </c>
      <c r="B383" s="1" t="n">
        <v>45373</v>
      </c>
      <c r="C383" s="1" t="n">
        <v>45884</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5884-2025</t>
        </is>
      </c>
      <c r="B384" s="1" t="n">
        <v>45695.37482638889</v>
      </c>
      <c r="C384" s="1" t="n">
        <v>45884</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5897-2025</t>
        </is>
      </c>
      <c r="B385" s="1" t="n">
        <v>45695.39273148148</v>
      </c>
      <c r="C385" s="1" t="n">
        <v>45884</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5909-2025</t>
        </is>
      </c>
      <c r="B386" s="1" t="n">
        <v>45695.40634259259</v>
      </c>
      <c r="C386" s="1" t="n">
        <v>45884</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60086-2022</t>
        </is>
      </c>
      <c r="B387" s="1" t="n">
        <v>44909</v>
      </c>
      <c r="C387" s="1" t="n">
        <v>45884</v>
      </c>
      <c r="D387" t="inlineStr">
        <is>
          <t>GOTLANDS LÄN</t>
        </is>
      </c>
      <c r="E387" t="inlineStr">
        <is>
          <t>GOTLAND</t>
        </is>
      </c>
      <c r="G387" t="n">
        <v>2.1</v>
      </c>
      <c r="H387" t="n">
        <v>0</v>
      </c>
      <c r="I387" t="n">
        <v>0</v>
      </c>
      <c r="J387" t="n">
        <v>0</v>
      </c>
      <c r="K387" t="n">
        <v>0</v>
      </c>
      <c r="L387" t="n">
        <v>0</v>
      </c>
      <c r="M387" t="n">
        <v>0</v>
      </c>
      <c r="N387" t="n">
        <v>0</v>
      </c>
      <c r="O387" t="n">
        <v>0</v>
      </c>
      <c r="P387" t="n">
        <v>0</v>
      </c>
      <c r="Q387" t="n">
        <v>0</v>
      </c>
      <c r="R387" s="2" t="inlineStr"/>
    </row>
    <row r="388" ht="15" customHeight="1">
      <c r="A388" t="inlineStr">
        <is>
          <t>A 22704-2023</t>
        </is>
      </c>
      <c r="B388" s="1" t="n">
        <v>45071</v>
      </c>
      <c r="C388" s="1" t="n">
        <v>45884</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17847-2025</t>
        </is>
      </c>
      <c r="B389" s="1" t="n">
        <v>45758</v>
      </c>
      <c r="C389" s="1" t="n">
        <v>45884</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43229-2023</t>
        </is>
      </c>
      <c r="B390" s="1" t="n">
        <v>45183.46704861111</v>
      </c>
      <c r="C390" s="1" t="n">
        <v>45884</v>
      </c>
      <c r="D390" t="inlineStr">
        <is>
          <t>GOTLANDS LÄN</t>
        </is>
      </c>
      <c r="E390" t="inlineStr">
        <is>
          <t>GOTLAND</t>
        </is>
      </c>
      <c r="G390" t="n">
        <v>7.1</v>
      </c>
      <c r="H390" t="n">
        <v>0</v>
      </c>
      <c r="I390" t="n">
        <v>0</v>
      </c>
      <c r="J390" t="n">
        <v>0</v>
      </c>
      <c r="K390" t="n">
        <v>0</v>
      </c>
      <c r="L390" t="n">
        <v>0</v>
      </c>
      <c r="M390" t="n">
        <v>0</v>
      </c>
      <c r="N390" t="n">
        <v>0</v>
      </c>
      <c r="O390" t="n">
        <v>0</v>
      </c>
      <c r="P390" t="n">
        <v>0</v>
      </c>
      <c r="Q390" t="n">
        <v>0</v>
      </c>
      <c r="R390" s="2" t="inlineStr"/>
    </row>
    <row r="391" ht="15" customHeight="1">
      <c r="A391" t="inlineStr">
        <is>
          <t>A 3930-2025</t>
        </is>
      </c>
      <c r="B391" s="1" t="n">
        <v>45684.45427083333</v>
      </c>
      <c r="C391" s="1" t="n">
        <v>45884</v>
      </c>
      <c r="D391" t="inlineStr">
        <is>
          <t>GOTLANDS LÄN</t>
        </is>
      </c>
      <c r="E391" t="inlineStr">
        <is>
          <t>GOTLAND</t>
        </is>
      </c>
      <c r="G391" t="n">
        <v>5.2</v>
      </c>
      <c r="H391" t="n">
        <v>0</v>
      </c>
      <c r="I391" t="n">
        <v>0</v>
      </c>
      <c r="J391" t="n">
        <v>0</v>
      </c>
      <c r="K391" t="n">
        <v>0</v>
      </c>
      <c r="L391" t="n">
        <v>0</v>
      </c>
      <c r="M391" t="n">
        <v>0</v>
      </c>
      <c r="N391" t="n">
        <v>0</v>
      </c>
      <c r="O391" t="n">
        <v>0</v>
      </c>
      <c r="P391" t="n">
        <v>0</v>
      </c>
      <c r="Q391" t="n">
        <v>0</v>
      </c>
      <c r="R391" s="2" t="inlineStr"/>
    </row>
    <row r="392" ht="15" customHeight="1">
      <c r="A392" t="inlineStr">
        <is>
          <t>A 25866-2022</t>
        </is>
      </c>
      <c r="B392" s="1" t="n">
        <v>44733</v>
      </c>
      <c r="C392" s="1" t="n">
        <v>45884</v>
      </c>
      <c r="D392" t="inlineStr">
        <is>
          <t>GOTLANDS LÄN</t>
        </is>
      </c>
      <c r="E392" t="inlineStr">
        <is>
          <t>GOTLAND</t>
        </is>
      </c>
      <c r="G392" t="n">
        <v>2.9</v>
      </c>
      <c r="H392" t="n">
        <v>0</v>
      </c>
      <c r="I392" t="n">
        <v>0</v>
      </c>
      <c r="J392" t="n">
        <v>0</v>
      </c>
      <c r="K392" t="n">
        <v>0</v>
      </c>
      <c r="L392" t="n">
        <v>0</v>
      </c>
      <c r="M392" t="n">
        <v>0</v>
      </c>
      <c r="N392" t="n">
        <v>0</v>
      </c>
      <c r="O392" t="n">
        <v>0</v>
      </c>
      <c r="P392" t="n">
        <v>0</v>
      </c>
      <c r="Q392" t="n">
        <v>0</v>
      </c>
      <c r="R392" s="2" t="inlineStr"/>
    </row>
    <row r="393" ht="15" customHeight="1">
      <c r="A393" t="inlineStr">
        <is>
          <t>A 41038-2023</t>
        </is>
      </c>
      <c r="B393" s="1" t="n">
        <v>45173.60959490741</v>
      </c>
      <c r="C393" s="1" t="n">
        <v>45884</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1713-2025</t>
        </is>
      </c>
      <c r="B394" s="1" t="n">
        <v>45671.32342592593</v>
      </c>
      <c r="C394" s="1" t="n">
        <v>45884</v>
      </c>
      <c r="D394" t="inlineStr">
        <is>
          <t>GOTLANDS LÄN</t>
        </is>
      </c>
      <c r="E394" t="inlineStr">
        <is>
          <t>GOTLAND</t>
        </is>
      </c>
      <c r="G394" t="n">
        <v>10.1</v>
      </c>
      <c r="H394" t="n">
        <v>0</v>
      </c>
      <c r="I394" t="n">
        <v>0</v>
      </c>
      <c r="J394" t="n">
        <v>0</v>
      </c>
      <c r="K394" t="n">
        <v>0</v>
      </c>
      <c r="L394" t="n">
        <v>0</v>
      </c>
      <c r="M394" t="n">
        <v>0</v>
      </c>
      <c r="N394" t="n">
        <v>0</v>
      </c>
      <c r="O394" t="n">
        <v>0</v>
      </c>
      <c r="P394" t="n">
        <v>0</v>
      </c>
      <c r="Q394" t="n">
        <v>0</v>
      </c>
      <c r="R394" s="2" t="inlineStr"/>
    </row>
    <row r="395" ht="15" customHeight="1">
      <c r="A395" t="inlineStr">
        <is>
          <t>A 15001-2025</t>
        </is>
      </c>
      <c r="B395" s="1" t="n">
        <v>45743</v>
      </c>
      <c r="C395" s="1" t="n">
        <v>45884</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24966-2023</t>
        </is>
      </c>
      <c r="B396" s="1" t="n">
        <v>45085</v>
      </c>
      <c r="C396" s="1" t="n">
        <v>45884</v>
      </c>
      <c r="D396" t="inlineStr">
        <is>
          <t>GOTLANDS LÄN</t>
        </is>
      </c>
      <c r="E396" t="inlineStr">
        <is>
          <t>GOTLAND</t>
        </is>
      </c>
      <c r="G396" t="n">
        <v>7</v>
      </c>
      <c r="H396" t="n">
        <v>0</v>
      </c>
      <c r="I396" t="n">
        <v>0</v>
      </c>
      <c r="J396" t="n">
        <v>0</v>
      </c>
      <c r="K396" t="n">
        <v>0</v>
      </c>
      <c r="L396" t="n">
        <v>0</v>
      </c>
      <c r="M396" t="n">
        <v>0</v>
      </c>
      <c r="N396" t="n">
        <v>0</v>
      </c>
      <c r="O396" t="n">
        <v>0</v>
      </c>
      <c r="P396" t="n">
        <v>0</v>
      </c>
      <c r="Q396" t="n">
        <v>0</v>
      </c>
      <c r="R396" s="2" t="inlineStr"/>
    </row>
    <row r="397" ht="15" customHeight="1">
      <c r="A397" t="inlineStr">
        <is>
          <t>A 9887-2025</t>
        </is>
      </c>
      <c r="B397" s="1" t="n">
        <v>45716</v>
      </c>
      <c r="C397" s="1" t="n">
        <v>45884</v>
      </c>
      <c r="D397" t="inlineStr">
        <is>
          <t>GOTLANDS LÄN</t>
        </is>
      </c>
      <c r="E397" t="inlineStr">
        <is>
          <t>GOTLAND</t>
        </is>
      </c>
      <c r="G397" t="n">
        <v>7.5</v>
      </c>
      <c r="H397" t="n">
        <v>0</v>
      </c>
      <c r="I397" t="n">
        <v>0</v>
      </c>
      <c r="J397" t="n">
        <v>0</v>
      </c>
      <c r="K397" t="n">
        <v>0</v>
      </c>
      <c r="L397" t="n">
        <v>0</v>
      </c>
      <c r="M397" t="n">
        <v>0</v>
      </c>
      <c r="N397" t="n">
        <v>0</v>
      </c>
      <c r="O397" t="n">
        <v>0</v>
      </c>
      <c r="P397" t="n">
        <v>0</v>
      </c>
      <c r="Q397" t="n">
        <v>0</v>
      </c>
      <c r="R397" s="2" t="inlineStr"/>
    </row>
    <row r="398" ht="15" customHeight="1">
      <c r="A398" t="inlineStr">
        <is>
          <t>A 57652-2023</t>
        </is>
      </c>
      <c r="B398" s="1" t="n">
        <v>45246</v>
      </c>
      <c r="C398" s="1" t="n">
        <v>45884</v>
      </c>
      <c r="D398" t="inlineStr">
        <is>
          <t>GOTLANDS LÄN</t>
        </is>
      </c>
      <c r="E398" t="inlineStr">
        <is>
          <t>GOTLAND</t>
        </is>
      </c>
      <c r="G398" t="n">
        <v>7.2</v>
      </c>
      <c r="H398" t="n">
        <v>0</v>
      </c>
      <c r="I398" t="n">
        <v>0</v>
      </c>
      <c r="J398" t="n">
        <v>0</v>
      </c>
      <c r="K398" t="n">
        <v>0</v>
      </c>
      <c r="L398" t="n">
        <v>0</v>
      </c>
      <c r="M398" t="n">
        <v>0</v>
      </c>
      <c r="N398" t="n">
        <v>0</v>
      </c>
      <c r="O398" t="n">
        <v>0</v>
      </c>
      <c r="P398" t="n">
        <v>0</v>
      </c>
      <c r="Q398" t="n">
        <v>0</v>
      </c>
      <c r="R398" s="2" t="inlineStr"/>
    </row>
    <row r="399" ht="15" customHeight="1">
      <c r="A399" t="inlineStr">
        <is>
          <t>A 12209-2024</t>
        </is>
      </c>
      <c r="B399" s="1" t="n">
        <v>45378</v>
      </c>
      <c r="C399" s="1" t="n">
        <v>45884</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12210-2024</t>
        </is>
      </c>
      <c r="B400" s="1" t="n">
        <v>45378</v>
      </c>
      <c r="C400" s="1" t="n">
        <v>45884</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59986-2022</t>
        </is>
      </c>
      <c r="B401" s="1" t="n">
        <v>44909</v>
      </c>
      <c r="C401" s="1" t="n">
        <v>45884</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46189-2022</t>
        </is>
      </c>
      <c r="B402" s="1" t="n">
        <v>44847</v>
      </c>
      <c r="C402" s="1" t="n">
        <v>45884</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57522-2022</t>
        </is>
      </c>
      <c r="B403" s="1" t="n">
        <v>44896</v>
      </c>
      <c r="C403" s="1" t="n">
        <v>45884</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14797-2024</t>
        </is>
      </c>
      <c r="B404" s="1" t="n">
        <v>45397.87030092593</v>
      </c>
      <c r="C404" s="1" t="n">
        <v>45884</v>
      </c>
      <c r="D404" t="inlineStr">
        <is>
          <t>GOTLANDS LÄN</t>
        </is>
      </c>
      <c r="E404" t="inlineStr">
        <is>
          <t>GOTLAND</t>
        </is>
      </c>
      <c r="G404" t="n">
        <v>8.1</v>
      </c>
      <c r="H404" t="n">
        <v>0</v>
      </c>
      <c r="I404" t="n">
        <v>0</v>
      </c>
      <c r="J404" t="n">
        <v>0</v>
      </c>
      <c r="K404" t="n">
        <v>0</v>
      </c>
      <c r="L404" t="n">
        <v>0</v>
      </c>
      <c r="M404" t="n">
        <v>0</v>
      </c>
      <c r="N404" t="n">
        <v>0</v>
      </c>
      <c r="O404" t="n">
        <v>0</v>
      </c>
      <c r="P404" t="n">
        <v>0</v>
      </c>
      <c r="Q404" t="n">
        <v>0</v>
      </c>
      <c r="R404" s="2" t="inlineStr"/>
    </row>
    <row r="405" ht="15" customHeight="1">
      <c r="A405" t="inlineStr">
        <is>
          <t>A 7837-2024</t>
        </is>
      </c>
      <c r="B405" s="1" t="n">
        <v>45349.83787037037</v>
      </c>
      <c r="C405" s="1" t="n">
        <v>45884</v>
      </c>
      <c r="D405" t="inlineStr">
        <is>
          <t>GOTLANDS LÄN</t>
        </is>
      </c>
      <c r="E405" t="inlineStr">
        <is>
          <t>GOTLAND</t>
        </is>
      </c>
      <c r="G405" t="n">
        <v>5</v>
      </c>
      <c r="H405" t="n">
        <v>0</v>
      </c>
      <c r="I405" t="n">
        <v>0</v>
      </c>
      <c r="J405" t="n">
        <v>0</v>
      </c>
      <c r="K405" t="n">
        <v>0</v>
      </c>
      <c r="L405" t="n">
        <v>0</v>
      </c>
      <c r="M405" t="n">
        <v>0</v>
      </c>
      <c r="N405" t="n">
        <v>0</v>
      </c>
      <c r="O405" t="n">
        <v>0</v>
      </c>
      <c r="P405" t="n">
        <v>0</v>
      </c>
      <c r="Q405" t="n">
        <v>0</v>
      </c>
      <c r="R405" s="2" t="inlineStr"/>
    </row>
    <row r="406" ht="15" customHeight="1">
      <c r="A406" t="inlineStr">
        <is>
          <t>A 31802-2024</t>
        </is>
      </c>
      <c r="B406" s="1" t="n">
        <v>45509</v>
      </c>
      <c r="C406" s="1" t="n">
        <v>45884</v>
      </c>
      <c r="D406" t="inlineStr">
        <is>
          <t>GOTLANDS LÄN</t>
        </is>
      </c>
      <c r="E406" t="inlineStr">
        <is>
          <t>GOTLAND</t>
        </is>
      </c>
      <c r="G406" t="n">
        <v>2.8</v>
      </c>
      <c r="H406" t="n">
        <v>0</v>
      </c>
      <c r="I406" t="n">
        <v>0</v>
      </c>
      <c r="J406" t="n">
        <v>0</v>
      </c>
      <c r="K406" t="n">
        <v>0</v>
      </c>
      <c r="L406" t="n">
        <v>0</v>
      </c>
      <c r="M406" t="n">
        <v>0</v>
      </c>
      <c r="N406" t="n">
        <v>0</v>
      </c>
      <c r="O406" t="n">
        <v>0</v>
      </c>
      <c r="P406" t="n">
        <v>0</v>
      </c>
      <c r="Q406" t="n">
        <v>0</v>
      </c>
      <c r="R406" s="2" t="inlineStr"/>
    </row>
    <row r="407" ht="15" customHeight="1">
      <c r="A407" t="inlineStr">
        <is>
          <t>A 1728-2025</t>
        </is>
      </c>
      <c r="B407" s="1" t="n">
        <v>45671.3565162037</v>
      </c>
      <c r="C407" s="1" t="n">
        <v>45884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1394-2023</t>
        </is>
      </c>
      <c r="B408" s="1" t="n">
        <v>44936.72997685185</v>
      </c>
      <c r="C408" s="1" t="n">
        <v>45884</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20993-2023</t>
        </is>
      </c>
      <c r="B409" s="1" t="n">
        <v>45056</v>
      </c>
      <c r="C409" s="1" t="n">
        <v>45884</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2676-2023</t>
        </is>
      </c>
      <c r="B410" s="1" t="n">
        <v>44944</v>
      </c>
      <c r="C410" s="1" t="n">
        <v>45884</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4387-2023</t>
        </is>
      </c>
      <c r="B411" s="1" t="n">
        <v>44955.73359953704</v>
      </c>
      <c r="C411" s="1" t="n">
        <v>45884</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15042-2025</t>
        </is>
      </c>
      <c r="B412" s="1" t="n">
        <v>45743</v>
      </c>
      <c r="C412" s="1" t="n">
        <v>45884</v>
      </c>
      <c r="D412" t="inlineStr">
        <is>
          <t>GOTLANDS LÄN</t>
        </is>
      </c>
      <c r="E412" t="inlineStr">
        <is>
          <t>GOTLAND</t>
        </is>
      </c>
      <c r="G412" t="n">
        <v>8.5</v>
      </c>
      <c r="H412" t="n">
        <v>0</v>
      </c>
      <c r="I412" t="n">
        <v>0</v>
      </c>
      <c r="J412" t="n">
        <v>0</v>
      </c>
      <c r="K412" t="n">
        <v>0</v>
      </c>
      <c r="L412" t="n">
        <v>0</v>
      </c>
      <c r="M412" t="n">
        <v>0</v>
      </c>
      <c r="N412" t="n">
        <v>0</v>
      </c>
      <c r="O412" t="n">
        <v>0</v>
      </c>
      <c r="P412" t="n">
        <v>0</v>
      </c>
      <c r="Q412" t="n">
        <v>0</v>
      </c>
      <c r="R412" s="2" t="inlineStr"/>
    </row>
    <row r="413" ht="15" customHeight="1">
      <c r="A413" t="inlineStr">
        <is>
          <t>A 49411-2023</t>
        </is>
      </c>
      <c r="B413" s="1" t="n">
        <v>45205</v>
      </c>
      <c r="C413" s="1" t="n">
        <v>45884</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37728-2024</t>
        </is>
      </c>
      <c r="B414" s="1" t="n">
        <v>45541</v>
      </c>
      <c r="C414" s="1" t="n">
        <v>45884</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13627-2023</t>
        </is>
      </c>
      <c r="B415" s="1" t="n">
        <v>45006</v>
      </c>
      <c r="C415" s="1" t="n">
        <v>45884</v>
      </c>
      <c r="D415" t="inlineStr">
        <is>
          <t>GOTLANDS LÄN</t>
        </is>
      </c>
      <c r="E415" t="inlineStr">
        <is>
          <t>GOTLAND</t>
        </is>
      </c>
      <c r="G415" t="n">
        <v>10.7</v>
      </c>
      <c r="H415" t="n">
        <v>0</v>
      </c>
      <c r="I415" t="n">
        <v>0</v>
      </c>
      <c r="J415" t="n">
        <v>0</v>
      </c>
      <c r="K415" t="n">
        <v>0</v>
      </c>
      <c r="L415" t="n">
        <v>0</v>
      </c>
      <c r="M415" t="n">
        <v>0</v>
      </c>
      <c r="N415" t="n">
        <v>0</v>
      </c>
      <c r="O415" t="n">
        <v>0</v>
      </c>
      <c r="P415" t="n">
        <v>0</v>
      </c>
      <c r="Q415" t="n">
        <v>0</v>
      </c>
      <c r="R415" s="2" t="inlineStr"/>
    </row>
    <row r="416" ht="15" customHeight="1">
      <c r="A416" t="inlineStr">
        <is>
          <t>A 2241-2025</t>
        </is>
      </c>
      <c r="B416" s="1" t="n">
        <v>45673.48710648148</v>
      </c>
      <c r="C416" s="1" t="n">
        <v>45884</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16373-2025</t>
        </is>
      </c>
      <c r="B417" s="1" t="n">
        <v>45751</v>
      </c>
      <c r="C417" s="1" t="n">
        <v>45884</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12327-2025</t>
        </is>
      </c>
      <c r="B418" s="1" t="n">
        <v>45730</v>
      </c>
      <c r="C418" s="1" t="n">
        <v>45884</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4420-2025</t>
        </is>
      </c>
      <c r="B419" s="1" t="n">
        <v>45686.47157407407</v>
      </c>
      <c r="C419" s="1" t="n">
        <v>45884</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45884</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22275-2023</t>
        </is>
      </c>
      <c r="B421" s="1" t="n">
        <v>45070.39875</v>
      </c>
      <c r="C421" s="1" t="n">
        <v>45884</v>
      </c>
      <c r="D421" t="inlineStr">
        <is>
          <t>GOTLANDS LÄN</t>
        </is>
      </c>
      <c r="E421" t="inlineStr">
        <is>
          <t>GOTLAND</t>
        </is>
      </c>
      <c r="G421" t="n">
        <v>7.2</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45884</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45884</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45884</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45884</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45884</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60908-2024</t>
        </is>
      </c>
      <c r="B427" s="1" t="n">
        <v>45645.31320601852</v>
      </c>
      <c r="C427" s="1" t="n">
        <v>45884</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61682-2024</t>
        </is>
      </c>
      <c r="B428" s="1" t="n">
        <v>45647.48824074074</v>
      </c>
      <c r="C428" s="1" t="n">
        <v>45884</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45401.38836805556</v>
      </c>
      <c r="C429" s="1" t="n">
        <v>45884</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7034-2023</t>
        </is>
      </c>
      <c r="B430" s="1" t="n">
        <v>44968.32108796296</v>
      </c>
      <c r="C430" s="1" t="n">
        <v>45884</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7042-2023</t>
        </is>
      </c>
      <c r="B431" s="1" t="n">
        <v>44968</v>
      </c>
      <c r="C431" s="1" t="n">
        <v>45884</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49257-2024</t>
        </is>
      </c>
      <c r="B432" s="1" t="n">
        <v>45595.47627314815</v>
      </c>
      <c r="C432" s="1" t="n">
        <v>45884</v>
      </c>
      <c r="D432" t="inlineStr">
        <is>
          <t>GOTLANDS LÄN</t>
        </is>
      </c>
      <c r="E432" t="inlineStr">
        <is>
          <t>GOTLAND</t>
        </is>
      </c>
      <c r="G432" t="n">
        <v>6.3</v>
      </c>
      <c r="H432" t="n">
        <v>0</v>
      </c>
      <c r="I432" t="n">
        <v>0</v>
      </c>
      <c r="J432" t="n">
        <v>0</v>
      </c>
      <c r="K432" t="n">
        <v>0</v>
      </c>
      <c r="L432" t="n">
        <v>0</v>
      </c>
      <c r="M432" t="n">
        <v>0</v>
      </c>
      <c r="N432" t="n">
        <v>0</v>
      </c>
      <c r="O432" t="n">
        <v>0</v>
      </c>
      <c r="P432" t="n">
        <v>0</v>
      </c>
      <c r="Q432" t="n">
        <v>0</v>
      </c>
      <c r="R432" s="2" t="inlineStr"/>
    </row>
    <row r="433" ht="15" customHeight="1">
      <c r="A433" t="inlineStr">
        <is>
          <t>A 2180-2025</t>
        </is>
      </c>
      <c r="B433" s="1" t="n">
        <v>45673</v>
      </c>
      <c r="C433" s="1" t="n">
        <v>45884</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49315-2024</t>
        </is>
      </c>
      <c r="B434" s="1" t="n">
        <v>45595</v>
      </c>
      <c r="C434" s="1" t="n">
        <v>45884</v>
      </c>
      <c r="D434" t="inlineStr">
        <is>
          <t>GOTLANDS LÄN</t>
        </is>
      </c>
      <c r="E434" t="inlineStr">
        <is>
          <t>GOTLAND</t>
        </is>
      </c>
      <c r="G434" t="n">
        <v>1.5</v>
      </c>
      <c r="H434" t="n">
        <v>0</v>
      </c>
      <c r="I434" t="n">
        <v>0</v>
      </c>
      <c r="J434" t="n">
        <v>0</v>
      </c>
      <c r="K434" t="n">
        <v>0</v>
      </c>
      <c r="L434" t="n">
        <v>0</v>
      </c>
      <c r="M434" t="n">
        <v>0</v>
      </c>
      <c r="N434" t="n">
        <v>0</v>
      </c>
      <c r="O434" t="n">
        <v>0</v>
      </c>
      <c r="P434" t="n">
        <v>0</v>
      </c>
      <c r="Q434" t="n">
        <v>0</v>
      </c>
      <c r="R434" s="2" t="inlineStr"/>
    </row>
    <row r="435" ht="15" customHeight="1">
      <c r="A435" t="inlineStr">
        <is>
          <t>A 54074-2022</t>
        </is>
      </c>
      <c r="B435" s="1" t="n">
        <v>44881</v>
      </c>
      <c r="C435" s="1" t="n">
        <v>45884</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45884</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45884</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54268-2022</t>
        </is>
      </c>
      <c r="B438" s="1" t="n">
        <v>44882</v>
      </c>
      <c r="C438" s="1" t="n">
        <v>45884</v>
      </c>
      <c r="D438" t="inlineStr">
        <is>
          <t>GOTLANDS LÄN</t>
        </is>
      </c>
      <c r="E438" t="inlineStr">
        <is>
          <t>GOTLAND</t>
        </is>
      </c>
      <c r="G438" t="n">
        <v>2.7</v>
      </c>
      <c r="H438" t="n">
        <v>0</v>
      </c>
      <c r="I438" t="n">
        <v>0</v>
      </c>
      <c r="J438" t="n">
        <v>0</v>
      </c>
      <c r="K438" t="n">
        <v>0</v>
      </c>
      <c r="L438" t="n">
        <v>0</v>
      </c>
      <c r="M438" t="n">
        <v>0</v>
      </c>
      <c r="N438" t="n">
        <v>0</v>
      </c>
      <c r="O438" t="n">
        <v>0</v>
      </c>
      <c r="P438" t="n">
        <v>0</v>
      </c>
      <c r="Q438" t="n">
        <v>0</v>
      </c>
      <c r="R438" s="2" t="inlineStr"/>
    </row>
    <row r="439" ht="15" customHeight="1">
      <c r="A439" t="inlineStr">
        <is>
          <t>A 1446-2025</t>
        </is>
      </c>
      <c r="B439" s="1" t="n">
        <v>45669.86035879629</v>
      </c>
      <c r="C439" s="1" t="n">
        <v>45884</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1462-2025</t>
        </is>
      </c>
      <c r="B440" s="1" t="n">
        <v>45670.36319444444</v>
      </c>
      <c r="C440" s="1" t="n">
        <v>45884</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57685-2022</t>
        </is>
      </c>
      <c r="B441" s="1" t="n">
        <v>44897.4777662037</v>
      </c>
      <c r="C441" s="1" t="n">
        <v>45884</v>
      </c>
      <c r="D441" t="inlineStr">
        <is>
          <t>GOTLANDS LÄN</t>
        </is>
      </c>
      <c r="E441" t="inlineStr">
        <is>
          <t>GOTLAND</t>
        </is>
      </c>
      <c r="G441" t="n">
        <v>3.7</v>
      </c>
      <c r="H441" t="n">
        <v>0</v>
      </c>
      <c r="I441" t="n">
        <v>0</v>
      </c>
      <c r="J441" t="n">
        <v>0</v>
      </c>
      <c r="K441" t="n">
        <v>0</v>
      </c>
      <c r="L441" t="n">
        <v>0</v>
      </c>
      <c r="M441" t="n">
        <v>0</v>
      </c>
      <c r="N441" t="n">
        <v>0</v>
      </c>
      <c r="O441" t="n">
        <v>0</v>
      </c>
      <c r="P441" t="n">
        <v>0</v>
      </c>
      <c r="Q441" t="n">
        <v>0</v>
      </c>
      <c r="R441" s="2" t="inlineStr"/>
    </row>
    <row r="442" ht="15" customHeight="1">
      <c r="A442" t="inlineStr">
        <is>
          <t>A 811-2023</t>
        </is>
      </c>
      <c r="B442" s="1" t="n">
        <v>44931</v>
      </c>
      <c r="C442" s="1" t="n">
        <v>45884</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27596-2023</t>
        </is>
      </c>
      <c r="B443" s="1" t="n">
        <v>45097</v>
      </c>
      <c r="C443" s="1" t="n">
        <v>45884</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56115-2023</t>
        </is>
      </c>
      <c r="B444" s="1" t="n">
        <v>45236</v>
      </c>
      <c r="C444" s="1" t="n">
        <v>45884</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64969-2023</t>
        </is>
      </c>
      <c r="B445" s="1" t="n">
        <v>45284.54009259259</v>
      </c>
      <c r="C445" s="1" t="n">
        <v>45884</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33853-2024</t>
        </is>
      </c>
      <c r="B446" s="1" t="n">
        <v>45520.64298611111</v>
      </c>
      <c r="C446" s="1" t="n">
        <v>45884</v>
      </c>
      <c r="D446" t="inlineStr">
        <is>
          <t>GOTLANDS LÄN</t>
        </is>
      </c>
      <c r="E446" t="inlineStr">
        <is>
          <t>GOTLAND</t>
        </is>
      </c>
      <c r="G446" t="n">
        <v>3.9</v>
      </c>
      <c r="H446" t="n">
        <v>0</v>
      </c>
      <c r="I446" t="n">
        <v>0</v>
      </c>
      <c r="J446" t="n">
        <v>0</v>
      </c>
      <c r="K446" t="n">
        <v>0</v>
      </c>
      <c r="L446" t="n">
        <v>0</v>
      </c>
      <c r="M446" t="n">
        <v>0</v>
      </c>
      <c r="N446" t="n">
        <v>0</v>
      </c>
      <c r="O446" t="n">
        <v>0</v>
      </c>
      <c r="P446" t="n">
        <v>0</v>
      </c>
      <c r="Q446" t="n">
        <v>0</v>
      </c>
      <c r="R446" s="2" t="inlineStr"/>
    </row>
    <row r="447" ht="15" customHeight="1">
      <c r="A447" t="inlineStr">
        <is>
          <t>A 14570-2025</t>
        </is>
      </c>
      <c r="B447" s="1" t="n">
        <v>45741.87113425926</v>
      </c>
      <c r="C447" s="1" t="n">
        <v>45884</v>
      </c>
      <c r="D447" t="inlineStr">
        <is>
          <t>GOTLANDS LÄN</t>
        </is>
      </c>
      <c r="E447" t="inlineStr">
        <is>
          <t>GOTLAND</t>
        </is>
      </c>
      <c r="G447" t="n">
        <v>6.2</v>
      </c>
      <c r="H447" t="n">
        <v>0</v>
      </c>
      <c r="I447" t="n">
        <v>0</v>
      </c>
      <c r="J447" t="n">
        <v>0</v>
      </c>
      <c r="K447" t="n">
        <v>0</v>
      </c>
      <c r="L447" t="n">
        <v>0</v>
      </c>
      <c r="M447" t="n">
        <v>0</v>
      </c>
      <c r="N447" t="n">
        <v>0</v>
      </c>
      <c r="O447" t="n">
        <v>0</v>
      </c>
      <c r="P447" t="n">
        <v>0</v>
      </c>
      <c r="Q447" t="n">
        <v>0</v>
      </c>
      <c r="R447" s="2" t="inlineStr"/>
    </row>
    <row r="448" ht="15" customHeight="1">
      <c r="A448" t="inlineStr">
        <is>
          <t>A 5905-2024</t>
        </is>
      </c>
      <c r="B448" s="1" t="n">
        <v>45335.88993055555</v>
      </c>
      <c r="C448" s="1" t="n">
        <v>45884</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3431-2025</t>
        </is>
      </c>
      <c r="B449" s="1" t="n">
        <v>45680.42935185185</v>
      </c>
      <c r="C449" s="1" t="n">
        <v>45884</v>
      </c>
      <c r="D449" t="inlineStr">
        <is>
          <t>GOTLANDS LÄN</t>
        </is>
      </c>
      <c r="E449" t="inlineStr">
        <is>
          <t>GOTLAND</t>
        </is>
      </c>
      <c r="G449" t="n">
        <v>4.8</v>
      </c>
      <c r="H449" t="n">
        <v>0</v>
      </c>
      <c r="I449" t="n">
        <v>0</v>
      </c>
      <c r="J449" t="n">
        <v>0</v>
      </c>
      <c r="K449" t="n">
        <v>0</v>
      </c>
      <c r="L449" t="n">
        <v>0</v>
      </c>
      <c r="M449" t="n">
        <v>0</v>
      </c>
      <c r="N449" t="n">
        <v>0</v>
      </c>
      <c r="O449" t="n">
        <v>0</v>
      </c>
      <c r="P449" t="n">
        <v>0</v>
      </c>
      <c r="Q449" t="n">
        <v>0</v>
      </c>
      <c r="R449" s="2" t="inlineStr"/>
    </row>
    <row r="450" ht="15" customHeight="1">
      <c r="A450" t="inlineStr">
        <is>
          <t>A 34407-2023</t>
        </is>
      </c>
      <c r="B450" s="1" t="n">
        <v>45132</v>
      </c>
      <c r="C450" s="1" t="n">
        <v>45884</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30892-2024</t>
        </is>
      </c>
      <c r="B451" s="1" t="n">
        <v>45491</v>
      </c>
      <c r="C451" s="1" t="n">
        <v>45884</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45884</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18223-2025</t>
        </is>
      </c>
      <c r="B453" s="1" t="n">
        <v>45761</v>
      </c>
      <c r="C453" s="1" t="n">
        <v>45884</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46949-2024</t>
        </is>
      </c>
      <c r="B454" s="1" t="n">
        <v>45585</v>
      </c>
      <c r="C454" s="1" t="n">
        <v>45884</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7858-2025</t>
        </is>
      </c>
      <c r="B455" s="1" t="n">
        <v>45706.68633101852</v>
      </c>
      <c r="C455" s="1" t="n">
        <v>45884</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46545-2024</t>
        </is>
      </c>
      <c r="B456" s="1" t="n">
        <v>45582.65831018519</v>
      </c>
      <c r="C456" s="1" t="n">
        <v>45884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999-2023</t>
        </is>
      </c>
      <c r="B457" s="1" t="n">
        <v>44935</v>
      </c>
      <c r="C457" s="1" t="n">
        <v>45884</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1364-2025</t>
        </is>
      </c>
      <c r="B458" s="1" t="n">
        <v>45667.63929398148</v>
      </c>
      <c r="C458" s="1" t="n">
        <v>45884</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2125-2025</t>
        </is>
      </c>
      <c r="B459" s="1" t="n">
        <v>45672.64940972222</v>
      </c>
      <c r="C459" s="1" t="n">
        <v>45884</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24001-2021</t>
        </is>
      </c>
      <c r="B460" s="1" t="n">
        <v>44335</v>
      </c>
      <c r="C460" s="1" t="n">
        <v>45884</v>
      </c>
      <c r="D460" t="inlineStr">
        <is>
          <t>GOTLANDS LÄN</t>
        </is>
      </c>
      <c r="E460" t="inlineStr">
        <is>
          <t>GOTLAND</t>
        </is>
      </c>
      <c r="G460" t="n">
        <v>3.4</v>
      </c>
      <c r="H460" t="n">
        <v>0</v>
      </c>
      <c r="I460" t="n">
        <v>0</v>
      </c>
      <c r="J460" t="n">
        <v>0</v>
      </c>
      <c r="K460" t="n">
        <v>0</v>
      </c>
      <c r="L460" t="n">
        <v>0</v>
      </c>
      <c r="M460" t="n">
        <v>0</v>
      </c>
      <c r="N460" t="n">
        <v>0</v>
      </c>
      <c r="O460" t="n">
        <v>0</v>
      </c>
      <c r="P460" t="n">
        <v>0</v>
      </c>
      <c r="Q460" t="n">
        <v>0</v>
      </c>
      <c r="R460" s="2" t="inlineStr"/>
    </row>
    <row r="461" ht="15" customHeight="1">
      <c r="A461" t="inlineStr">
        <is>
          <t>A 8684-2025</t>
        </is>
      </c>
      <c r="B461" s="1" t="n">
        <v>45712.45605324074</v>
      </c>
      <c r="C461" s="1" t="n">
        <v>45884</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45884</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39496-2022</t>
        </is>
      </c>
      <c r="B463" s="1" t="n">
        <v>44818</v>
      </c>
      <c r="C463" s="1" t="n">
        <v>45884</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14141-2024</t>
        </is>
      </c>
      <c r="B464" s="1" t="n">
        <v>45392.85193287037</v>
      </c>
      <c r="C464" s="1" t="n">
        <v>45884</v>
      </c>
      <c r="D464" t="inlineStr">
        <is>
          <t>GOTLANDS LÄN</t>
        </is>
      </c>
      <c r="E464" t="inlineStr">
        <is>
          <t>GOTLAND</t>
        </is>
      </c>
      <c r="G464" t="n">
        <v>5.3</v>
      </c>
      <c r="H464" t="n">
        <v>0</v>
      </c>
      <c r="I464" t="n">
        <v>0</v>
      </c>
      <c r="J464" t="n">
        <v>0</v>
      </c>
      <c r="K464" t="n">
        <v>0</v>
      </c>
      <c r="L464" t="n">
        <v>0</v>
      </c>
      <c r="M464" t="n">
        <v>0</v>
      </c>
      <c r="N464" t="n">
        <v>0</v>
      </c>
      <c r="O464" t="n">
        <v>0</v>
      </c>
      <c r="P464" t="n">
        <v>0</v>
      </c>
      <c r="Q464" t="n">
        <v>0</v>
      </c>
      <c r="R464" s="2" t="inlineStr"/>
    </row>
    <row r="465" ht="15" customHeight="1">
      <c r="A465" t="inlineStr">
        <is>
          <t>A 12155-2023</t>
        </is>
      </c>
      <c r="B465" s="1" t="n">
        <v>44998.49106481481</v>
      </c>
      <c r="C465" s="1" t="n">
        <v>45884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45884</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44949-2023</t>
        </is>
      </c>
      <c r="B467" s="1" t="n">
        <v>45190.69520833333</v>
      </c>
      <c r="C467" s="1" t="n">
        <v>45884</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2774-2024</t>
        </is>
      </c>
      <c r="B468" s="1" t="n">
        <v>45314.62375</v>
      </c>
      <c r="C468" s="1" t="n">
        <v>45884</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18742-2025</t>
        </is>
      </c>
      <c r="B469" s="1" t="n">
        <v>45763</v>
      </c>
      <c r="C469" s="1" t="n">
        <v>45884</v>
      </c>
      <c r="D469" t="inlineStr">
        <is>
          <t>GOTLANDS LÄN</t>
        </is>
      </c>
      <c r="E469" t="inlineStr">
        <is>
          <t>GOTLAND</t>
        </is>
      </c>
      <c r="G469" t="n">
        <v>3.4</v>
      </c>
      <c r="H469" t="n">
        <v>0</v>
      </c>
      <c r="I469" t="n">
        <v>0</v>
      </c>
      <c r="J469" t="n">
        <v>0</v>
      </c>
      <c r="K469" t="n">
        <v>0</v>
      </c>
      <c r="L469" t="n">
        <v>0</v>
      </c>
      <c r="M469" t="n">
        <v>0</v>
      </c>
      <c r="N469" t="n">
        <v>0</v>
      </c>
      <c r="O469" t="n">
        <v>0</v>
      </c>
      <c r="P469" t="n">
        <v>0</v>
      </c>
      <c r="Q469" t="n">
        <v>0</v>
      </c>
      <c r="R469" s="2" t="inlineStr"/>
    </row>
    <row r="470" ht="15" customHeight="1">
      <c r="A470" t="inlineStr">
        <is>
          <t>A 20307-2025</t>
        </is>
      </c>
      <c r="B470" s="1" t="n">
        <v>45774.95546296296</v>
      </c>
      <c r="C470" s="1" t="n">
        <v>45884</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17227-2021</t>
        </is>
      </c>
      <c r="B471" s="1" t="n">
        <v>44298.49725694444</v>
      </c>
      <c r="C471" s="1" t="n">
        <v>45884</v>
      </c>
      <c r="D471" t="inlineStr">
        <is>
          <t>GOTLANDS LÄN</t>
        </is>
      </c>
      <c r="E471" t="inlineStr">
        <is>
          <t>GOTLAND</t>
        </is>
      </c>
      <c r="G471" t="n">
        <v>6.2</v>
      </c>
      <c r="H471" t="n">
        <v>0</v>
      </c>
      <c r="I471" t="n">
        <v>0</v>
      </c>
      <c r="J471" t="n">
        <v>0</v>
      </c>
      <c r="K471" t="n">
        <v>0</v>
      </c>
      <c r="L471" t="n">
        <v>0</v>
      </c>
      <c r="M471" t="n">
        <v>0</v>
      </c>
      <c r="N471" t="n">
        <v>0</v>
      </c>
      <c r="O471" t="n">
        <v>0</v>
      </c>
      <c r="P471" t="n">
        <v>0</v>
      </c>
      <c r="Q471" t="n">
        <v>0</v>
      </c>
      <c r="R471" s="2" t="inlineStr"/>
    </row>
    <row r="472" ht="15" customHeight="1">
      <c r="A472" t="inlineStr">
        <is>
          <t>A 9947-2024</t>
        </is>
      </c>
      <c r="B472" s="1" t="n">
        <v>45363</v>
      </c>
      <c r="C472" s="1" t="n">
        <v>45884</v>
      </c>
      <c r="D472" t="inlineStr">
        <is>
          <t>GOTLANDS LÄN</t>
        </is>
      </c>
      <c r="E472" t="inlineStr">
        <is>
          <t>GOTLAND</t>
        </is>
      </c>
      <c r="G472" t="n">
        <v>2</v>
      </c>
      <c r="H472" t="n">
        <v>0</v>
      </c>
      <c r="I472" t="n">
        <v>0</v>
      </c>
      <c r="J472" t="n">
        <v>0</v>
      </c>
      <c r="K472" t="n">
        <v>0</v>
      </c>
      <c r="L472" t="n">
        <v>0</v>
      </c>
      <c r="M472" t="n">
        <v>0</v>
      </c>
      <c r="N472" t="n">
        <v>0</v>
      </c>
      <c r="O472" t="n">
        <v>0</v>
      </c>
      <c r="P472" t="n">
        <v>0</v>
      </c>
      <c r="Q472" t="n">
        <v>0</v>
      </c>
      <c r="R472" s="2" t="inlineStr"/>
    </row>
    <row r="473" ht="15" customHeight="1">
      <c r="A473" t="inlineStr">
        <is>
          <t>A 42007-2023</t>
        </is>
      </c>
      <c r="B473" s="1" t="n">
        <v>45177</v>
      </c>
      <c r="C473" s="1" t="n">
        <v>45884</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2292-2021</t>
        </is>
      </c>
      <c r="B474" s="1" t="n">
        <v>44212</v>
      </c>
      <c r="C474" s="1" t="n">
        <v>45884</v>
      </c>
      <c r="D474" t="inlineStr">
        <is>
          <t>GOTLANDS LÄN</t>
        </is>
      </c>
      <c r="E474" t="inlineStr">
        <is>
          <t>GOTLAND</t>
        </is>
      </c>
      <c r="G474" t="n">
        <v>3</v>
      </c>
      <c r="H474" t="n">
        <v>0</v>
      </c>
      <c r="I474" t="n">
        <v>0</v>
      </c>
      <c r="J474" t="n">
        <v>0</v>
      </c>
      <c r="K474" t="n">
        <v>0</v>
      </c>
      <c r="L474" t="n">
        <v>0</v>
      </c>
      <c r="M474" t="n">
        <v>0</v>
      </c>
      <c r="N474" t="n">
        <v>0</v>
      </c>
      <c r="O474" t="n">
        <v>0</v>
      </c>
      <c r="P474" t="n">
        <v>0</v>
      </c>
      <c r="Q474" t="n">
        <v>0</v>
      </c>
      <c r="R474" s="2" t="inlineStr"/>
    </row>
    <row r="475" ht="15" customHeight="1">
      <c r="A475" t="inlineStr">
        <is>
          <t>A 17682-2024</t>
        </is>
      </c>
      <c r="B475" s="1" t="n">
        <v>45418.42966435185</v>
      </c>
      <c r="C475" s="1" t="n">
        <v>45884</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61897-2024</t>
        </is>
      </c>
      <c r="B476" s="1" t="n">
        <v>45652.75685185185</v>
      </c>
      <c r="C476" s="1" t="n">
        <v>45884</v>
      </c>
      <c r="D476" t="inlineStr">
        <is>
          <t>GOTLANDS LÄN</t>
        </is>
      </c>
      <c r="E476" t="inlineStr">
        <is>
          <t>GOTLAND</t>
        </is>
      </c>
      <c r="G476" t="n">
        <v>6.4</v>
      </c>
      <c r="H476" t="n">
        <v>0</v>
      </c>
      <c r="I476" t="n">
        <v>0</v>
      </c>
      <c r="J476" t="n">
        <v>0</v>
      </c>
      <c r="K476" t="n">
        <v>0</v>
      </c>
      <c r="L476" t="n">
        <v>0</v>
      </c>
      <c r="M476" t="n">
        <v>0</v>
      </c>
      <c r="N476" t="n">
        <v>0</v>
      </c>
      <c r="O476" t="n">
        <v>0</v>
      </c>
      <c r="P476" t="n">
        <v>0</v>
      </c>
      <c r="Q476" t="n">
        <v>0</v>
      </c>
      <c r="R476" s="2" t="inlineStr"/>
    </row>
    <row r="477" ht="15" customHeight="1">
      <c r="A477" t="inlineStr">
        <is>
          <t>A 12032-2025</t>
        </is>
      </c>
      <c r="B477" s="1" t="n">
        <v>45728.64472222222</v>
      </c>
      <c r="C477" s="1" t="n">
        <v>45884</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15595-2024</t>
        </is>
      </c>
      <c r="B478" s="1" t="n">
        <v>45401.81480324074</v>
      </c>
      <c r="C478" s="1" t="n">
        <v>45884</v>
      </c>
      <c r="D478" t="inlineStr">
        <is>
          <t>GOTLANDS LÄN</t>
        </is>
      </c>
      <c r="E478" t="inlineStr">
        <is>
          <t>GOTLAND</t>
        </is>
      </c>
      <c r="G478" t="n">
        <v>6.4</v>
      </c>
      <c r="H478" t="n">
        <v>0</v>
      </c>
      <c r="I478" t="n">
        <v>0</v>
      </c>
      <c r="J478" t="n">
        <v>0</v>
      </c>
      <c r="K478" t="n">
        <v>0</v>
      </c>
      <c r="L478" t="n">
        <v>0</v>
      </c>
      <c r="M478" t="n">
        <v>0</v>
      </c>
      <c r="N478" t="n">
        <v>0</v>
      </c>
      <c r="O478" t="n">
        <v>0</v>
      </c>
      <c r="P478" t="n">
        <v>0</v>
      </c>
      <c r="Q478" t="n">
        <v>0</v>
      </c>
      <c r="R478" s="2" t="inlineStr"/>
    </row>
    <row r="479" ht="15" customHeight="1">
      <c r="A479" t="inlineStr">
        <is>
          <t>A 44304-2021</t>
        </is>
      </c>
      <c r="B479" s="1" t="n">
        <v>44434</v>
      </c>
      <c r="C479" s="1" t="n">
        <v>45884</v>
      </c>
      <c r="D479" t="inlineStr">
        <is>
          <t>GOTLANDS LÄN</t>
        </is>
      </c>
      <c r="E479" t="inlineStr">
        <is>
          <t>GOTLAND</t>
        </is>
      </c>
      <c r="G479" t="n">
        <v>5.8</v>
      </c>
      <c r="H479" t="n">
        <v>0</v>
      </c>
      <c r="I479" t="n">
        <v>0</v>
      </c>
      <c r="J479" t="n">
        <v>0</v>
      </c>
      <c r="K479" t="n">
        <v>0</v>
      </c>
      <c r="L479" t="n">
        <v>0</v>
      </c>
      <c r="M479" t="n">
        <v>0</v>
      </c>
      <c r="N479" t="n">
        <v>0</v>
      </c>
      <c r="O479" t="n">
        <v>0</v>
      </c>
      <c r="P479" t="n">
        <v>0</v>
      </c>
      <c r="Q479" t="n">
        <v>0</v>
      </c>
      <c r="R479" s="2" t="inlineStr"/>
    </row>
    <row r="480" ht="15" customHeight="1">
      <c r="A480" t="inlineStr">
        <is>
          <t>A 15083-2025</t>
        </is>
      </c>
      <c r="B480" s="1" t="n">
        <v>45743</v>
      </c>
      <c r="C480" s="1" t="n">
        <v>45884</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21164-2024</t>
        </is>
      </c>
      <c r="B481" s="1" t="n">
        <v>45440</v>
      </c>
      <c r="C481" s="1" t="n">
        <v>45884</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17541-2024</t>
        </is>
      </c>
      <c r="B482" s="1" t="n">
        <v>45415</v>
      </c>
      <c r="C482" s="1" t="n">
        <v>45884</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883-2025</t>
        </is>
      </c>
      <c r="B483" s="1" t="n">
        <v>45665</v>
      </c>
      <c r="C483" s="1" t="n">
        <v>45884</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13910-2025</t>
        </is>
      </c>
      <c r="B484" s="1" t="n">
        <v>45737</v>
      </c>
      <c r="C484" s="1" t="n">
        <v>45884</v>
      </c>
      <c r="D484" t="inlineStr">
        <is>
          <t>GOTLANDS LÄN</t>
        </is>
      </c>
      <c r="E484" t="inlineStr">
        <is>
          <t>GOTLAND</t>
        </is>
      </c>
      <c r="F484" t="inlineStr">
        <is>
          <t>Kommuner</t>
        </is>
      </c>
      <c r="G484" t="n">
        <v>3.2</v>
      </c>
      <c r="H484" t="n">
        <v>0</v>
      </c>
      <c r="I484" t="n">
        <v>0</v>
      </c>
      <c r="J484" t="n">
        <v>0</v>
      </c>
      <c r="K484" t="n">
        <v>0</v>
      </c>
      <c r="L484" t="n">
        <v>0</v>
      </c>
      <c r="M484" t="n">
        <v>0</v>
      </c>
      <c r="N484" t="n">
        <v>0</v>
      </c>
      <c r="O484" t="n">
        <v>0</v>
      </c>
      <c r="P484" t="n">
        <v>0</v>
      </c>
      <c r="Q484" t="n">
        <v>0</v>
      </c>
      <c r="R484" s="2" t="inlineStr"/>
    </row>
    <row r="485" ht="15" customHeight="1">
      <c r="A485" t="inlineStr">
        <is>
          <t>A 20794-2025</t>
        </is>
      </c>
      <c r="B485" s="1" t="n">
        <v>45776</v>
      </c>
      <c r="C485" s="1" t="n">
        <v>45884</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20812-2025</t>
        </is>
      </c>
      <c r="B486" s="1" t="n">
        <v>45776</v>
      </c>
      <c r="C486" s="1" t="n">
        <v>45884</v>
      </c>
      <c r="D486" t="inlineStr">
        <is>
          <t>GOTLANDS LÄN</t>
        </is>
      </c>
      <c r="E486" t="inlineStr">
        <is>
          <t>GOTLAND</t>
        </is>
      </c>
      <c r="G486" t="n">
        <v>3</v>
      </c>
      <c r="H486" t="n">
        <v>0</v>
      </c>
      <c r="I486" t="n">
        <v>0</v>
      </c>
      <c r="J486" t="n">
        <v>0</v>
      </c>
      <c r="K486" t="n">
        <v>0</v>
      </c>
      <c r="L486" t="n">
        <v>0</v>
      </c>
      <c r="M486" t="n">
        <v>0</v>
      </c>
      <c r="N486" t="n">
        <v>0</v>
      </c>
      <c r="O486" t="n">
        <v>0</v>
      </c>
      <c r="P486" t="n">
        <v>0</v>
      </c>
      <c r="Q486" t="n">
        <v>0</v>
      </c>
      <c r="R486" s="2" t="inlineStr"/>
    </row>
    <row r="487" ht="15" customHeight="1">
      <c r="A487" t="inlineStr">
        <is>
          <t>A 20805-2025</t>
        </is>
      </c>
      <c r="B487" s="1" t="n">
        <v>45776</v>
      </c>
      <c r="C487" s="1" t="n">
        <v>45884</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21389-2025</t>
        </is>
      </c>
      <c r="B488" s="1" t="n">
        <v>45782</v>
      </c>
      <c r="C488" s="1" t="n">
        <v>45884</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21142-2025</t>
        </is>
      </c>
      <c r="B489" s="1" t="n">
        <v>45779</v>
      </c>
      <c r="C489" s="1" t="n">
        <v>45884</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10652-2025</t>
        </is>
      </c>
      <c r="B490" s="1" t="n">
        <v>45721.68640046296</v>
      </c>
      <c r="C490" s="1" t="n">
        <v>45884</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10813-2025</t>
        </is>
      </c>
      <c r="B491" s="1" t="n">
        <v>45722.54163194444</v>
      </c>
      <c r="C491" s="1" t="n">
        <v>45884</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45884</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37202-2024</t>
        </is>
      </c>
      <c r="B493" s="1" t="n">
        <v>45539.67310185185</v>
      </c>
      <c r="C493" s="1" t="n">
        <v>45884</v>
      </c>
      <c r="D493" t="inlineStr">
        <is>
          <t>GOTLANDS LÄN</t>
        </is>
      </c>
      <c r="E493" t="inlineStr">
        <is>
          <t>GOTLAND</t>
        </is>
      </c>
      <c r="G493" t="n">
        <v>0.3</v>
      </c>
      <c r="H493" t="n">
        <v>0</v>
      </c>
      <c r="I493" t="n">
        <v>0</v>
      </c>
      <c r="J493" t="n">
        <v>0</v>
      </c>
      <c r="K493" t="n">
        <v>0</v>
      </c>
      <c r="L493" t="n">
        <v>0</v>
      </c>
      <c r="M493" t="n">
        <v>0</v>
      </c>
      <c r="N493" t="n">
        <v>0</v>
      </c>
      <c r="O493" t="n">
        <v>0</v>
      </c>
      <c r="P493" t="n">
        <v>0</v>
      </c>
      <c r="Q493" t="n">
        <v>0</v>
      </c>
      <c r="R493" s="2" t="inlineStr"/>
    </row>
    <row r="494" ht="15" customHeight="1">
      <c r="A494" t="inlineStr">
        <is>
          <t>A 21651-2025</t>
        </is>
      </c>
      <c r="B494" s="1" t="n">
        <v>45783</v>
      </c>
      <c r="C494" s="1" t="n">
        <v>45884</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30815-2023</t>
        </is>
      </c>
      <c r="B495" s="1" t="n">
        <v>45112</v>
      </c>
      <c r="C495" s="1" t="n">
        <v>45884</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45884</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10492-2023</t>
        </is>
      </c>
      <c r="B497" s="1" t="n">
        <v>44987</v>
      </c>
      <c r="C497" s="1" t="n">
        <v>45884</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44919-2022</t>
        </is>
      </c>
      <c r="B498" s="1" t="n">
        <v>44841</v>
      </c>
      <c r="C498" s="1" t="n">
        <v>45884</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16501-2023</t>
        </is>
      </c>
      <c r="B499" s="1" t="n">
        <v>45029</v>
      </c>
      <c r="C499" s="1" t="n">
        <v>45884</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27095-2022</t>
        </is>
      </c>
      <c r="B500" s="1" t="n">
        <v>44741</v>
      </c>
      <c r="C500" s="1" t="n">
        <v>45884</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458-2023</t>
        </is>
      </c>
      <c r="B501" s="1" t="n">
        <v>44929</v>
      </c>
      <c r="C501" s="1" t="n">
        <v>45884</v>
      </c>
      <c r="D501" t="inlineStr">
        <is>
          <t>GOTLANDS LÄN</t>
        </is>
      </c>
      <c r="E501" t="inlineStr">
        <is>
          <t>GOTLAND</t>
        </is>
      </c>
      <c r="G501" t="n">
        <v>3.6</v>
      </c>
      <c r="H501" t="n">
        <v>0</v>
      </c>
      <c r="I501" t="n">
        <v>0</v>
      </c>
      <c r="J501" t="n">
        <v>0</v>
      </c>
      <c r="K501" t="n">
        <v>0</v>
      </c>
      <c r="L501" t="n">
        <v>0</v>
      </c>
      <c r="M501" t="n">
        <v>0</v>
      </c>
      <c r="N501" t="n">
        <v>0</v>
      </c>
      <c r="O501" t="n">
        <v>0</v>
      </c>
      <c r="P501" t="n">
        <v>0</v>
      </c>
      <c r="Q501" t="n">
        <v>0</v>
      </c>
      <c r="R501" s="2" t="inlineStr"/>
    </row>
    <row r="502" ht="15" customHeight="1">
      <c r="A502" t="inlineStr">
        <is>
          <t>A 1291-2023</t>
        </is>
      </c>
      <c r="B502" s="1" t="n">
        <v>44936.47561342592</v>
      </c>
      <c r="C502" s="1" t="n">
        <v>45884</v>
      </c>
      <c r="D502" t="inlineStr">
        <is>
          <t>GOTLANDS LÄN</t>
        </is>
      </c>
      <c r="E502" t="inlineStr">
        <is>
          <t>GOTLAND</t>
        </is>
      </c>
      <c r="G502" t="n">
        <v>7.4</v>
      </c>
      <c r="H502" t="n">
        <v>0</v>
      </c>
      <c r="I502" t="n">
        <v>0</v>
      </c>
      <c r="J502" t="n">
        <v>0</v>
      </c>
      <c r="K502" t="n">
        <v>0</v>
      </c>
      <c r="L502" t="n">
        <v>0</v>
      </c>
      <c r="M502" t="n">
        <v>0</v>
      </c>
      <c r="N502" t="n">
        <v>0</v>
      </c>
      <c r="O502" t="n">
        <v>0</v>
      </c>
      <c r="P502" t="n">
        <v>0</v>
      </c>
      <c r="Q502" t="n">
        <v>0</v>
      </c>
      <c r="R502" s="2" t="inlineStr"/>
    </row>
    <row r="503" ht="15" customHeight="1">
      <c r="A503" t="inlineStr">
        <is>
          <t>A 32330-2024</t>
        </is>
      </c>
      <c r="B503" s="1" t="n">
        <v>45512</v>
      </c>
      <c r="C503" s="1" t="n">
        <v>45884</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21420-2024</t>
        </is>
      </c>
      <c r="B504" s="1" t="n">
        <v>45441.38293981482</v>
      </c>
      <c r="C504" s="1" t="n">
        <v>45884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12599-2025</t>
        </is>
      </c>
      <c r="B505" s="1" t="n">
        <v>45733.29546296296</v>
      </c>
      <c r="C505" s="1" t="n">
        <v>45884</v>
      </c>
      <c r="D505" t="inlineStr">
        <is>
          <t>GOTLANDS LÄN</t>
        </is>
      </c>
      <c r="E505" t="inlineStr">
        <is>
          <t>GOTLAND</t>
        </is>
      </c>
      <c r="G505" t="n">
        <v>4.7</v>
      </c>
      <c r="H505" t="n">
        <v>0</v>
      </c>
      <c r="I505" t="n">
        <v>0</v>
      </c>
      <c r="J505" t="n">
        <v>0</v>
      </c>
      <c r="K505" t="n">
        <v>0</v>
      </c>
      <c r="L505" t="n">
        <v>0</v>
      </c>
      <c r="M505" t="n">
        <v>0</v>
      </c>
      <c r="N505" t="n">
        <v>0</v>
      </c>
      <c r="O505" t="n">
        <v>0</v>
      </c>
      <c r="P505" t="n">
        <v>0</v>
      </c>
      <c r="Q505" t="n">
        <v>0</v>
      </c>
      <c r="R505" s="2" t="inlineStr"/>
    </row>
    <row r="506" ht="15" customHeight="1">
      <c r="A506" t="inlineStr">
        <is>
          <t>A 5891-2025</t>
        </is>
      </c>
      <c r="B506" s="1" t="n">
        <v>45695.38327546296</v>
      </c>
      <c r="C506" s="1" t="n">
        <v>45884</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10656-2024</t>
        </is>
      </c>
      <c r="B507" s="1" t="n">
        <v>45368</v>
      </c>
      <c r="C507" s="1" t="n">
        <v>45884</v>
      </c>
      <c r="D507" t="inlineStr">
        <is>
          <t>GOTLANDS LÄN</t>
        </is>
      </c>
      <c r="E507" t="inlineStr">
        <is>
          <t>GOTLAND</t>
        </is>
      </c>
      <c r="G507" t="n">
        <v>1.5</v>
      </c>
      <c r="H507" t="n">
        <v>0</v>
      </c>
      <c r="I507" t="n">
        <v>0</v>
      </c>
      <c r="J507" t="n">
        <v>0</v>
      </c>
      <c r="K507" t="n">
        <v>0</v>
      </c>
      <c r="L507" t="n">
        <v>0</v>
      </c>
      <c r="M507" t="n">
        <v>0</v>
      </c>
      <c r="N507" t="n">
        <v>0</v>
      </c>
      <c r="O507" t="n">
        <v>0</v>
      </c>
      <c r="P507" t="n">
        <v>0</v>
      </c>
      <c r="Q507" t="n">
        <v>0</v>
      </c>
      <c r="R507" s="2" t="inlineStr"/>
    </row>
    <row r="508" ht="15" customHeight="1">
      <c r="A508" t="inlineStr">
        <is>
          <t>A 57356-2023</t>
        </is>
      </c>
      <c r="B508" s="1" t="n">
        <v>45240</v>
      </c>
      <c r="C508" s="1" t="n">
        <v>45884</v>
      </c>
      <c r="D508" t="inlineStr">
        <is>
          <t>GOTLANDS LÄN</t>
        </is>
      </c>
      <c r="E508" t="inlineStr">
        <is>
          <t>GOTLAND</t>
        </is>
      </c>
      <c r="G508" t="n">
        <v>6.4</v>
      </c>
      <c r="H508" t="n">
        <v>0</v>
      </c>
      <c r="I508" t="n">
        <v>0</v>
      </c>
      <c r="J508" t="n">
        <v>0</v>
      </c>
      <c r="K508" t="n">
        <v>0</v>
      </c>
      <c r="L508" t="n">
        <v>0</v>
      </c>
      <c r="M508" t="n">
        <v>0</v>
      </c>
      <c r="N508" t="n">
        <v>0</v>
      </c>
      <c r="O508" t="n">
        <v>0</v>
      </c>
      <c r="P508" t="n">
        <v>0</v>
      </c>
      <c r="Q508" t="n">
        <v>0</v>
      </c>
      <c r="R508" s="2" t="inlineStr"/>
    </row>
    <row r="509" ht="15" customHeight="1">
      <c r="A509" t="inlineStr">
        <is>
          <t>A 28506-2023</t>
        </is>
      </c>
      <c r="B509" s="1" t="n">
        <v>45103</v>
      </c>
      <c r="C509" s="1" t="n">
        <v>45884</v>
      </c>
      <c r="D509" t="inlineStr">
        <is>
          <t>GOTLANDS LÄN</t>
        </is>
      </c>
      <c r="E509" t="inlineStr">
        <is>
          <t>GOTLAND</t>
        </is>
      </c>
      <c r="G509" t="n">
        <v>3.2</v>
      </c>
      <c r="H509" t="n">
        <v>0</v>
      </c>
      <c r="I509" t="n">
        <v>0</v>
      </c>
      <c r="J509" t="n">
        <v>0</v>
      </c>
      <c r="K509" t="n">
        <v>0</v>
      </c>
      <c r="L509" t="n">
        <v>0</v>
      </c>
      <c r="M509" t="n">
        <v>0</v>
      </c>
      <c r="N509" t="n">
        <v>0</v>
      </c>
      <c r="O509" t="n">
        <v>0</v>
      </c>
      <c r="P509" t="n">
        <v>0</v>
      </c>
      <c r="Q509" t="n">
        <v>0</v>
      </c>
      <c r="R509" s="2" t="inlineStr"/>
    </row>
    <row r="510" ht="15" customHeight="1">
      <c r="A510" t="inlineStr">
        <is>
          <t>A 14804-2021</t>
        </is>
      </c>
      <c r="B510" s="1" t="n">
        <v>44280</v>
      </c>
      <c r="C510" s="1" t="n">
        <v>45884</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23188-2025</t>
        </is>
      </c>
      <c r="B511" s="1" t="n">
        <v>45791</v>
      </c>
      <c r="C511" s="1" t="n">
        <v>45884</v>
      </c>
      <c r="D511" t="inlineStr">
        <is>
          <t>GOTLANDS LÄN</t>
        </is>
      </c>
      <c r="E511" t="inlineStr">
        <is>
          <t>GOTLAND</t>
        </is>
      </c>
      <c r="G511" t="n">
        <v>6.2</v>
      </c>
      <c r="H511" t="n">
        <v>0</v>
      </c>
      <c r="I511" t="n">
        <v>0</v>
      </c>
      <c r="J511" t="n">
        <v>0</v>
      </c>
      <c r="K511" t="n">
        <v>0</v>
      </c>
      <c r="L511" t="n">
        <v>0</v>
      </c>
      <c r="M511" t="n">
        <v>0</v>
      </c>
      <c r="N511" t="n">
        <v>0</v>
      </c>
      <c r="O511" t="n">
        <v>0</v>
      </c>
      <c r="P511" t="n">
        <v>0</v>
      </c>
      <c r="Q511" t="n">
        <v>0</v>
      </c>
      <c r="R511" s="2" t="inlineStr"/>
    </row>
    <row r="512" ht="15" customHeight="1">
      <c r="A512" t="inlineStr">
        <is>
          <t>A 19002-2025</t>
        </is>
      </c>
      <c r="B512" s="1" t="n">
        <v>45764</v>
      </c>
      <c r="C512" s="1" t="n">
        <v>45884</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2719-2023</t>
        </is>
      </c>
      <c r="B513" s="1" t="n">
        <v>44944.55361111111</v>
      </c>
      <c r="C513" s="1" t="n">
        <v>45884</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17144-2025</t>
        </is>
      </c>
      <c r="B514" s="1" t="n">
        <v>45755.9499537037</v>
      </c>
      <c r="C514" s="1" t="n">
        <v>45884</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49314-2024</t>
        </is>
      </c>
      <c r="B515" s="1" t="n">
        <v>45595.55893518519</v>
      </c>
      <c r="C515" s="1" t="n">
        <v>45884</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9875-2025</t>
        </is>
      </c>
      <c r="B516" s="1" t="n">
        <v>45716</v>
      </c>
      <c r="C516" s="1" t="n">
        <v>45884</v>
      </c>
      <c r="D516" t="inlineStr">
        <is>
          <t>GOTLANDS LÄN</t>
        </is>
      </c>
      <c r="E516" t="inlineStr">
        <is>
          <t>GOTLAND</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44755.8713425926</v>
      </c>
      <c r="C517" s="1" t="n">
        <v>45884</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16361-2024</t>
        </is>
      </c>
      <c r="B518" s="1" t="n">
        <v>45407</v>
      </c>
      <c r="C518" s="1" t="n">
        <v>45884</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23856-2025</t>
        </is>
      </c>
      <c r="B519" s="1" t="n">
        <v>45793</v>
      </c>
      <c r="C519" s="1" t="n">
        <v>45884</v>
      </c>
      <c r="D519" t="inlineStr">
        <is>
          <t>GOTLANDS LÄN</t>
        </is>
      </c>
      <c r="E519" t="inlineStr">
        <is>
          <t>GOTLAND</t>
        </is>
      </c>
      <c r="G519" t="n">
        <v>4.4</v>
      </c>
      <c r="H519" t="n">
        <v>0</v>
      </c>
      <c r="I519" t="n">
        <v>0</v>
      </c>
      <c r="J519" t="n">
        <v>0</v>
      </c>
      <c r="K519" t="n">
        <v>0</v>
      </c>
      <c r="L519" t="n">
        <v>0</v>
      </c>
      <c r="M519" t="n">
        <v>0</v>
      </c>
      <c r="N519" t="n">
        <v>0</v>
      </c>
      <c r="O519" t="n">
        <v>0</v>
      </c>
      <c r="P519" t="n">
        <v>0</v>
      </c>
      <c r="Q519" t="n">
        <v>0</v>
      </c>
      <c r="R519" s="2" t="inlineStr"/>
    </row>
    <row r="520" ht="15" customHeight="1">
      <c r="A520" t="inlineStr">
        <is>
          <t>A 23473-2025</t>
        </is>
      </c>
      <c r="B520" s="1" t="n">
        <v>45792</v>
      </c>
      <c r="C520" s="1" t="n">
        <v>45884</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23698-2025</t>
        </is>
      </c>
      <c r="B521" s="1" t="n">
        <v>45793</v>
      </c>
      <c r="C521" s="1" t="n">
        <v>45884</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23700-2025</t>
        </is>
      </c>
      <c r="B522" s="1" t="n">
        <v>45793</v>
      </c>
      <c r="C522" s="1" t="n">
        <v>45884</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15073-2025</t>
        </is>
      </c>
      <c r="B523" s="1" t="n">
        <v>45743</v>
      </c>
      <c r="C523" s="1" t="n">
        <v>45884</v>
      </c>
      <c r="D523" t="inlineStr">
        <is>
          <t>GOTLANDS LÄN</t>
        </is>
      </c>
      <c r="E523" t="inlineStr">
        <is>
          <t>GOTLAND</t>
        </is>
      </c>
      <c r="G523" t="n">
        <v>12.1</v>
      </c>
      <c r="H523" t="n">
        <v>0</v>
      </c>
      <c r="I523" t="n">
        <v>0</v>
      </c>
      <c r="J523" t="n">
        <v>0</v>
      </c>
      <c r="K523" t="n">
        <v>0</v>
      </c>
      <c r="L523" t="n">
        <v>0</v>
      </c>
      <c r="M523" t="n">
        <v>0</v>
      </c>
      <c r="N523" t="n">
        <v>0</v>
      </c>
      <c r="O523" t="n">
        <v>0</v>
      </c>
      <c r="P523" t="n">
        <v>0</v>
      </c>
      <c r="Q523" t="n">
        <v>0</v>
      </c>
      <c r="R523" s="2" t="inlineStr"/>
    </row>
    <row r="524" ht="15" customHeight="1">
      <c r="A524" t="inlineStr">
        <is>
          <t>A 15075-2025</t>
        </is>
      </c>
      <c r="B524" s="1" t="n">
        <v>45743</v>
      </c>
      <c r="C524" s="1" t="n">
        <v>45884</v>
      </c>
      <c r="D524" t="inlineStr">
        <is>
          <t>GOTLANDS LÄN</t>
        </is>
      </c>
      <c r="E524" t="inlineStr">
        <is>
          <t>GOTLAND</t>
        </is>
      </c>
      <c r="G524" t="n">
        <v>20.9</v>
      </c>
      <c r="H524" t="n">
        <v>0</v>
      </c>
      <c r="I524" t="n">
        <v>0</v>
      </c>
      <c r="J524" t="n">
        <v>0</v>
      </c>
      <c r="K524" t="n">
        <v>0</v>
      </c>
      <c r="L524" t="n">
        <v>0</v>
      </c>
      <c r="M524" t="n">
        <v>0</v>
      </c>
      <c r="N524" t="n">
        <v>0</v>
      </c>
      <c r="O524" t="n">
        <v>0</v>
      </c>
      <c r="P524" t="n">
        <v>0</v>
      </c>
      <c r="Q524" t="n">
        <v>0</v>
      </c>
      <c r="R524" s="2" t="inlineStr"/>
    </row>
    <row r="525" ht="15" customHeight="1">
      <c r="A525" t="inlineStr">
        <is>
          <t>A 43081-2022</t>
        </is>
      </c>
      <c r="B525" s="1" t="n">
        <v>44833</v>
      </c>
      <c r="C525" s="1" t="n">
        <v>45884</v>
      </c>
      <c r="D525" t="inlineStr">
        <is>
          <t>GOTLANDS LÄN</t>
        </is>
      </c>
      <c r="E525" t="inlineStr">
        <is>
          <t>GOTLAND</t>
        </is>
      </c>
      <c r="G525" t="n">
        <v>6.8</v>
      </c>
      <c r="H525" t="n">
        <v>0</v>
      </c>
      <c r="I525" t="n">
        <v>0</v>
      </c>
      <c r="J525" t="n">
        <v>0</v>
      </c>
      <c r="K525" t="n">
        <v>0</v>
      </c>
      <c r="L525" t="n">
        <v>0</v>
      </c>
      <c r="M525" t="n">
        <v>0</v>
      </c>
      <c r="N525" t="n">
        <v>0</v>
      </c>
      <c r="O525" t="n">
        <v>0</v>
      </c>
      <c r="P525" t="n">
        <v>0</v>
      </c>
      <c r="Q525" t="n">
        <v>0</v>
      </c>
      <c r="R525" s="2" t="inlineStr"/>
    </row>
    <row r="526" ht="15" customHeight="1">
      <c r="A526" t="inlineStr">
        <is>
          <t>A 1175-2025</t>
        </is>
      </c>
      <c r="B526" s="1" t="n">
        <v>45667.34449074074</v>
      </c>
      <c r="C526" s="1" t="n">
        <v>45884</v>
      </c>
      <c r="D526" t="inlineStr">
        <is>
          <t>GOTLANDS LÄN</t>
        </is>
      </c>
      <c r="E526" t="inlineStr">
        <is>
          <t>GOTLAND</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42201-2023</t>
        </is>
      </c>
      <c r="B527" s="1" t="n">
        <v>45179</v>
      </c>
      <c r="C527" s="1" t="n">
        <v>45884</v>
      </c>
      <c r="D527" t="inlineStr">
        <is>
          <t>GOTLANDS LÄN</t>
        </is>
      </c>
      <c r="E527" t="inlineStr">
        <is>
          <t>GOTLAND</t>
        </is>
      </c>
      <c r="G527" t="n">
        <v>11.9</v>
      </c>
      <c r="H527" t="n">
        <v>0</v>
      </c>
      <c r="I527" t="n">
        <v>0</v>
      </c>
      <c r="J527" t="n">
        <v>0</v>
      </c>
      <c r="K527" t="n">
        <v>0</v>
      </c>
      <c r="L527" t="n">
        <v>0</v>
      </c>
      <c r="M527" t="n">
        <v>0</v>
      </c>
      <c r="N527" t="n">
        <v>0</v>
      </c>
      <c r="O527" t="n">
        <v>0</v>
      </c>
      <c r="P527" t="n">
        <v>0</v>
      </c>
      <c r="Q527" t="n">
        <v>0</v>
      </c>
      <c r="R527" s="2" t="inlineStr"/>
    </row>
    <row r="528" ht="15" customHeight="1">
      <c r="A528" t="inlineStr">
        <is>
          <t>A 3150-2025</t>
        </is>
      </c>
      <c r="B528" s="1" t="n">
        <v>45679.28974537037</v>
      </c>
      <c r="C528" s="1" t="n">
        <v>45884</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6749-2025</t>
        </is>
      </c>
      <c r="B529" s="1" t="n">
        <v>45700</v>
      </c>
      <c r="C529" s="1" t="n">
        <v>45884</v>
      </c>
      <c r="D529" t="inlineStr">
        <is>
          <t>GOTLANDS LÄN</t>
        </is>
      </c>
      <c r="E529" t="inlineStr">
        <is>
          <t>GOTLAND</t>
        </is>
      </c>
      <c r="G529" t="n">
        <v>4.5</v>
      </c>
      <c r="H529" t="n">
        <v>0</v>
      </c>
      <c r="I529" t="n">
        <v>0</v>
      </c>
      <c r="J529" t="n">
        <v>0</v>
      </c>
      <c r="K529" t="n">
        <v>0</v>
      </c>
      <c r="L529" t="n">
        <v>0</v>
      </c>
      <c r="M529" t="n">
        <v>0</v>
      </c>
      <c r="N529" t="n">
        <v>0</v>
      </c>
      <c r="O529" t="n">
        <v>0</v>
      </c>
      <c r="P529" t="n">
        <v>0</v>
      </c>
      <c r="Q529" t="n">
        <v>0</v>
      </c>
      <c r="R529" s="2" t="inlineStr"/>
    </row>
    <row r="530" ht="15" customHeight="1">
      <c r="A530" t="inlineStr">
        <is>
          <t>A 42041-2024</t>
        </is>
      </c>
      <c r="B530" s="1" t="n">
        <v>45561</v>
      </c>
      <c r="C530" s="1" t="n">
        <v>45884</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1345-2025</t>
        </is>
      </c>
      <c r="B531" s="1" t="n">
        <v>45667.60511574074</v>
      </c>
      <c r="C531" s="1" t="n">
        <v>45884</v>
      </c>
      <c r="D531" t="inlineStr">
        <is>
          <t>GOTLANDS LÄN</t>
        </is>
      </c>
      <c r="E531" t="inlineStr">
        <is>
          <t>GOTLAND</t>
        </is>
      </c>
      <c r="G531" t="n">
        <v>5.7</v>
      </c>
      <c r="H531" t="n">
        <v>0</v>
      </c>
      <c r="I531" t="n">
        <v>0</v>
      </c>
      <c r="J531" t="n">
        <v>0</v>
      </c>
      <c r="K531" t="n">
        <v>0</v>
      </c>
      <c r="L531" t="n">
        <v>0</v>
      </c>
      <c r="M531" t="n">
        <v>0</v>
      </c>
      <c r="N531" t="n">
        <v>0</v>
      </c>
      <c r="O531" t="n">
        <v>0</v>
      </c>
      <c r="P531" t="n">
        <v>0</v>
      </c>
      <c r="Q531" t="n">
        <v>0</v>
      </c>
      <c r="R531" s="2" t="inlineStr"/>
    </row>
    <row r="532" ht="15" customHeight="1">
      <c r="A532" t="inlineStr">
        <is>
          <t>A 5462-2025</t>
        </is>
      </c>
      <c r="B532" s="1" t="n">
        <v>45693.29331018519</v>
      </c>
      <c r="C532" s="1" t="n">
        <v>45884</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18993-2025</t>
        </is>
      </c>
      <c r="B533" s="1" t="n">
        <v>45764</v>
      </c>
      <c r="C533" s="1" t="n">
        <v>45884</v>
      </c>
      <c r="D533" t="inlineStr">
        <is>
          <t>GOTLANDS LÄN</t>
        </is>
      </c>
      <c r="E533" t="inlineStr">
        <is>
          <t>GOTLAND</t>
        </is>
      </c>
      <c r="G533" t="n">
        <v>3</v>
      </c>
      <c r="H533" t="n">
        <v>0</v>
      </c>
      <c r="I533" t="n">
        <v>0</v>
      </c>
      <c r="J533" t="n">
        <v>0</v>
      </c>
      <c r="K533" t="n">
        <v>0</v>
      </c>
      <c r="L533" t="n">
        <v>0</v>
      </c>
      <c r="M533" t="n">
        <v>0</v>
      </c>
      <c r="N533" t="n">
        <v>0</v>
      </c>
      <c r="O533" t="n">
        <v>0</v>
      </c>
      <c r="P533" t="n">
        <v>0</v>
      </c>
      <c r="Q533" t="n">
        <v>0</v>
      </c>
      <c r="R533" s="2" t="inlineStr"/>
    </row>
    <row r="534" ht="15" customHeight="1">
      <c r="A534" t="inlineStr">
        <is>
          <t>A 15436-2025</t>
        </is>
      </c>
      <c r="B534" s="1" t="n">
        <v>45747.47462962963</v>
      </c>
      <c r="C534" s="1" t="n">
        <v>45884</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21247-2022</t>
        </is>
      </c>
      <c r="B535" s="1" t="n">
        <v>44705.38832175926</v>
      </c>
      <c r="C535" s="1" t="n">
        <v>45884</v>
      </c>
      <c r="D535" t="inlineStr">
        <is>
          <t>GOTLANDS LÄN</t>
        </is>
      </c>
      <c r="E535" t="inlineStr">
        <is>
          <t>GOTLAND</t>
        </is>
      </c>
      <c r="G535" t="n">
        <v>16.2</v>
      </c>
      <c r="H535" t="n">
        <v>0</v>
      </c>
      <c r="I535" t="n">
        <v>0</v>
      </c>
      <c r="J535" t="n">
        <v>0</v>
      </c>
      <c r="K535" t="n">
        <v>0</v>
      </c>
      <c r="L535" t="n">
        <v>0</v>
      </c>
      <c r="M535" t="n">
        <v>0</v>
      </c>
      <c r="N535" t="n">
        <v>0</v>
      </c>
      <c r="O535" t="n">
        <v>0</v>
      </c>
      <c r="P535" t="n">
        <v>0</v>
      </c>
      <c r="Q535" t="n">
        <v>0</v>
      </c>
      <c r="R535" s="2" t="inlineStr"/>
    </row>
    <row r="536" ht="15" customHeight="1">
      <c r="A536" t="inlineStr">
        <is>
          <t>A 25678-2025</t>
        </is>
      </c>
      <c r="B536" s="1" t="n">
        <v>45803.64118055555</v>
      </c>
      <c r="C536" s="1" t="n">
        <v>45884</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18914-2025</t>
        </is>
      </c>
      <c r="B537" s="1" t="n">
        <v>45764.46783564815</v>
      </c>
      <c r="C537" s="1" t="n">
        <v>45884</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17780-2022</t>
        </is>
      </c>
      <c r="B538" s="1" t="n">
        <v>44682.82622685185</v>
      </c>
      <c r="C538" s="1" t="n">
        <v>45884</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63516-2023</t>
        </is>
      </c>
      <c r="B539" s="1" t="n">
        <v>45274</v>
      </c>
      <c r="C539" s="1" t="n">
        <v>45884</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33932-2025</t>
        </is>
      </c>
      <c r="B540" s="1" t="n">
        <v>45842</v>
      </c>
      <c r="C540" s="1" t="n">
        <v>45884</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53935-2024</t>
        </is>
      </c>
      <c r="B541" s="1" t="n">
        <v>45615</v>
      </c>
      <c r="C541" s="1" t="n">
        <v>45884</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25796-2025</t>
        </is>
      </c>
      <c r="B542" s="1" t="n">
        <v>45804.39543981481</v>
      </c>
      <c r="C542" s="1" t="n">
        <v>45884</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18938-2025</t>
        </is>
      </c>
      <c r="B543" s="1" t="n">
        <v>45764.49172453704</v>
      </c>
      <c r="C543" s="1" t="n">
        <v>45884</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69112-2021</t>
        </is>
      </c>
      <c r="B544" s="1" t="n">
        <v>44530</v>
      </c>
      <c r="C544" s="1" t="n">
        <v>45884</v>
      </c>
      <c r="D544" t="inlineStr">
        <is>
          <t>GOTLANDS LÄN</t>
        </is>
      </c>
      <c r="E544" t="inlineStr">
        <is>
          <t>GOTLAND</t>
        </is>
      </c>
      <c r="G544" t="n">
        <v>4.2</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45884</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23516-2023</t>
        </is>
      </c>
      <c r="B546" s="1" t="n">
        <v>45076.93391203704</v>
      </c>
      <c r="C546" s="1" t="n">
        <v>45884</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43231-2023</t>
        </is>
      </c>
      <c r="B547" s="1" t="n">
        <v>45183.47025462963</v>
      </c>
      <c r="C547" s="1" t="n">
        <v>45884</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58230-2024</t>
        </is>
      </c>
      <c r="B548" s="1" t="n">
        <v>45632.51625</v>
      </c>
      <c r="C548" s="1" t="n">
        <v>45884</v>
      </c>
      <c r="D548" t="inlineStr">
        <is>
          <t>GOTLANDS LÄN</t>
        </is>
      </c>
      <c r="E548" t="inlineStr">
        <is>
          <t>GOTLAND</t>
        </is>
      </c>
      <c r="G548" t="n">
        <v>7.3</v>
      </c>
      <c r="H548" t="n">
        <v>0</v>
      </c>
      <c r="I548" t="n">
        <v>0</v>
      </c>
      <c r="J548" t="n">
        <v>0</v>
      </c>
      <c r="K548" t="n">
        <v>0</v>
      </c>
      <c r="L548" t="n">
        <v>0</v>
      </c>
      <c r="M548" t="n">
        <v>0</v>
      </c>
      <c r="N548" t="n">
        <v>0</v>
      </c>
      <c r="O548" t="n">
        <v>0</v>
      </c>
      <c r="P548" t="n">
        <v>0</v>
      </c>
      <c r="Q548" t="n">
        <v>0</v>
      </c>
      <c r="R548" s="2" t="inlineStr"/>
    </row>
    <row r="549" ht="15" customHeight="1">
      <c r="A549" t="inlineStr">
        <is>
          <t>A 64555-2023</t>
        </is>
      </c>
      <c r="B549" s="1" t="n">
        <v>45281</v>
      </c>
      <c r="C549" s="1" t="n">
        <v>45884</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457-2023</t>
        </is>
      </c>
      <c r="B550" s="1" t="n">
        <v>44929.87238425926</v>
      </c>
      <c r="C550" s="1" t="n">
        <v>45884</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459-2023</t>
        </is>
      </c>
      <c r="B551" s="1" t="n">
        <v>44929.87423611111</v>
      </c>
      <c r="C551" s="1" t="n">
        <v>45884</v>
      </c>
      <c r="D551" t="inlineStr">
        <is>
          <t>GOTLANDS LÄN</t>
        </is>
      </c>
      <c r="E551" t="inlineStr">
        <is>
          <t>GOTLAND</t>
        </is>
      </c>
      <c r="G551" t="n">
        <v>4.2</v>
      </c>
      <c r="H551" t="n">
        <v>0</v>
      </c>
      <c r="I551" t="n">
        <v>0</v>
      </c>
      <c r="J551" t="n">
        <v>0</v>
      </c>
      <c r="K551" t="n">
        <v>0</v>
      </c>
      <c r="L551" t="n">
        <v>0</v>
      </c>
      <c r="M551" t="n">
        <v>0</v>
      </c>
      <c r="N551" t="n">
        <v>0</v>
      </c>
      <c r="O551" t="n">
        <v>0</v>
      </c>
      <c r="P551" t="n">
        <v>0</v>
      </c>
      <c r="Q551" t="n">
        <v>0</v>
      </c>
      <c r="R551" s="2" t="inlineStr"/>
    </row>
    <row r="552" ht="15" customHeight="1">
      <c r="A552" t="inlineStr">
        <is>
          <t>A 26391-2025</t>
        </is>
      </c>
      <c r="B552" s="1" t="n">
        <v>45806</v>
      </c>
      <c r="C552" s="1" t="n">
        <v>45884</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26465-2025</t>
        </is>
      </c>
      <c r="B553" s="1" t="n">
        <v>45807.44377314814</v>
      </c>
      <c r="C553" s="1" t="n">
        <v>45884</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6796-2025</t>
        </is>
      </c>
      <c r="B554" s="1" t="n">
        <v>45700.66559027778</v>
      </c>
      <c r="C554" s="1" t="n">
        <v>45884</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876-2024</t>
        </is>
      </c>
      <c r="B555" s="1" t="n">
        <v>45301</v>
      </c>
      <c r="C555" s="1" t="n">
        <v>45884</v>
      </c>
      <c r="D555" t="inlineStr">
        <is>
          <t>GOTLANDS LÄN</t>
        </is>
      </c>
      <c r="E555" t="inlineStr">
        <is>
          <t>GOTLAND</t>
        </is>
      </c>
      <c r="G555" t="n">
        <v>5.3</v>
      </c>
      <c r="H555" t="n">
        <v>0</v>
      </c>
      <c r="I555" t="n">
        <v>0</v>
      </c>
      <c r="J555" t="n">
        <v>0</v>
      </c>
      <c r="K555" t="n">
        <v>0</v>
      </c>
      <c r="L555" t="n">
        <v>0</v>
      </c>
      <c r="M555" t="n">
        <v>0</v>
      </c>
      <c r="N555" t="n">
        <v>0</v>
      </c>
      <c r="O555" t="n">
        <v>0</v>
      </c>
      <c r="P555" t="n">
        <v>0</v>
      </c>
      <c r="Q555" t="n">
        <v>0</v>
      </c>
      <c r="R555" s="2" t="inlineStr"/>
    </row>
    <row r="556" ht="15" customHeight="1">
      <c r="A556" t="inlineStr">
        <is>
          <t>A 26891-2024</t>
        </is>
      </c>
      <c r="B556" s="1" t="n">
        <v>45470.65540509259</v>
      </c>
      <c r="C556" s="1" t="n">
        <v>45884</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14536-2021</t>
        </is>
      </c>
      <c r="B557" s="1" t="n">
        <v>44279.66168981481</v>
      </c>
      <c r="C557" s="1" t="n">
        <v>45884</v>
      </c>
      <c r="D557" t="inlineStr">
        <is>
          <t>GOTLANDS LÄN</t>
        </is>
      </c>
      <c r="E557" t="inlineStr">
        <is>
          <t>GOTLAND</t>
        </is>
      </c>
      <c r="G557" t="n">
        <v>8.5</v>
      </c>
      <c r="H557" t="n">
        <v>0</v>
      </c>
      <c r="I557" t="n">
        <v>0</v>
      </c>
      <c r="J557" t="n">
        <v>0</v>
      </c>
      <c r="K557" t="n">
        <v>0</v>
      </c>
      <c r="L557" t="n">
        <v>0</v>
      </c>
      <c r="M557" t="n">
        <v>0</v>
      </c>
      <c r="N557" t="n">
        <v>0</v>
      </c>
      <c r="O557" t="n">
        <v>0</v>
      </c>
      <c r="P557" t="n">
        <v>0</v>
      </c>
      <c r="Q557" t="n">
        <v>0</v>
      </c>
      <c r="R557" s="2" t="inlineStr"/>
    </row>
    <row r="558" ht="15" customHeight="1">
      <c r="A558" t="inlineStr">
        <is>
          <t>A 26457-2025</t>
        </is>
      </c>
      <c r="B558" s="1" t="n">
        <v>45807.42773148148</v>
      </c>
      <c r="C558" s="1" t="n">
        <v>45884</v>
      </c>
      <c r="D558" t="inlineStr">
        <is>
          <t>GOTLANDS LÄN</t>
        </is>
      </c>
      <c r="E558" t="inlineStr">
        <is>
          <t>GOTLAND</t>
        </is>
      </c>
      <c r="G558" t="n">
        <v>5.7</v>
      </c>
      <c r="H558" t="n">
        <v>0</v>
      </c>
      <c r="I558" t="n">
        <v>0</v>
      </c>
      <c r="J558" t="n">
        <v>0</v>
      </c>
      <c r="K558" t="n">
        <v>0</v>
      </c>
      <c r="L558" t="n">
        <v>0</v>
      </c>
      <c r="M558" t="n">
        <v>0</v>
      </c>
      <c r="N558" t="n">
        <v>0</v>
      </c>
      <c r="O558" t="n">
        <v>0</v>
      </c>
      <c r="P558" t="n">
        <v>0</v>
      </c>
      <c r="Q558" t="n">
        <v>0</v>
      </c>
      <c r="R558" s="2" t="inlineStr"/>
    </row>
    <row r="559" ht="15" customHeight="1">
      <c r="A559" t="inlineStr">
        <is>
          <t>A 26467-2025</t>
        </is>
      </c>
      <c r="B559" s="1" t="n">
        <v>45807.44640046296</v>
      </c>
      <c r="C559" s="1" t="n">
        <v>45884</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44963.69503472222</v>
      </c>
      <c r="C560" s="1" t="n">
        <v>45884</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35123-2025</t>
        </is>
      </c>
      <c r="B561" s="1" t="n">
        <v>45852.614375</v>
      </c>
      <c r="C561" s="1" t="n">
        <v>45884</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35129-2025</t>
        </is>
      </c>
      <c r="B562" s="1" t="n">
        <v>45852.63224537037</v>
      </c>
      <c r="C562" s="1" t="n">
        <v>45884</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35133-2025</t>
        </is>
      </c>
      <c r="B563" s="1" t="n">
        <v>45852.6363425926</v>
      </c>
      <c r="C563" s="1" t="n">
        <v>45884</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50482-2024</t>
        </is>
      </c>
      <c r="B564" s="1" t="n">
        <v>45601.48114583334</v>
      </c>
      <c r="C564" s="1" t="n">
        <v>45884</v>
      </c>
      <c r="D564" t="inlineStr">
        <is>
          <t>GOTLANDS LÄN</t>
        </is>
      </c>
      <c r="E564" t="inlineStr">
        <is>
          <t>GOTLAND</t>
        </is>
      </c>
      <c r="G564" t="n">
        <v>2.3</v>
      </c>
      <c r="H564" t="n">
        <v>0</v>
      </c>
      <c r="I564" t="n">
        <v>0</v>
      </c>
      <c r="J564" t="n">
        <v>0</v>
      </c>
      <c r="K564" t="n">
        <v>0</v>
      </c>
      <c r="L564" t="n">
        <v>0</v>
      </c>
      <c r="M564" t="n">
        <v>0</v>
      </c>
      <c r="N564" t="n">
        <v>0</v>
      </c>
      <c r="O564" t="n">
        <v>0</v>
      </c>
      <c r="P564" t="n">
        <v>0</v>
      </c>
      <c r="Q564" t="n">
        <v>0</v>
      </c>
      <c r="R564" s="2" t="inlineStr"/>
    </row>
    <row r="565" ht="15" customHeight="1">
      <c r="A565" t="inlineStr">
        <is>
          <t>A 35096-2025</t>
        </is>
      </c>
      <c r="B565" s="1" t="n">
        <v>45852.54356481481</v>
      </c>
      <c r="C565" s="1" t="n">
        <v>45884</v>
      </c>
      <c r="D565" t="inlineStr">
        <is>
          <t>GOTLANDS LÄN</t>
        </is>
      </c>
      <c r="E565" t="inlineStr">
        <is>
          <t>GOTLAND</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35141-2025</t>
        </is>
      </c>
      <c r="B566" s="1" t="n">
        <v>45852.65206018519</v>
      </c>
      <c r="C566" s="1" t="n">
        <v>45884</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5943-2024</t>
        </is>
      </c>
      <c r="B567" s="1" t="n">
        <v>45336</v>
      </c>
      <c r="C567" s="1" t="n">
        <v>45884</v>
      </c>
      <c r="D567" t="inlineStr">
        <is>
          <t>GOTLANDS LÄN</t>
        </is>
      </c>
      <c r="E567" t="inlineStr">
        <is>
          <t>GOTLAND</t>
        </is>
      </c>
      <c r="G567" t="n">
        <v>4.3</v>
      </c>
      <c r="H567" t="n">
        <v>0</v>
      </c>
      <c r="I567" t="n">
        <v>0</v>
      </c>
      <c r="J567" t="n">
        <v>0</v>
      </c>
      <c r="K567" t="n">
        <v>0</v>
      </c>
      <c r="L567" t="n">
        <v>0</v>
      </c>
      <c r="M567" t="n">
        <v>0</v>
      </c>
      <c r="N567" t="n">
        <v>0</v>
      </c>
      <c r="O567" t="n">
        <v>0</v>
      </c>
      <c r="P567" t="n">
        <v>0</v>
      </c>
      <c r="Q567" t="n">
        <v>0</v>
      </c>
      <c r="R567" s="2" t="inlineStr"/>
    </row>
    <row r="568" ht="15" customHeight="1">
      <c r="A568" t="inlineStr">
        <is>
          <t>A 38234-2023</t>
        </is>
      </c>
      <c r="B568" s="1" t="n">
        <v>45161.56663194444</v>
      </c>
      <c r="C568" s="1" t="n">
        <v>45884</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35142-2025</t>
        </is>
      </c>
      <c r="B569" s="1" t="n">
        <v>45852.65532407408</v>
      </c>
      <c r="C569" s="1" t="n">
        <v>45884</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45884</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26660-2025</t>
        </is>
      </c>
      <c r="B571" s="1" t="n">
        <v>45810.39737268518</v>
      </c>
      <c r="C571" s="1" t="n">
        <v>45884</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17724-2024</t>
        </is>
      </c>
      <c r="B572" s="1" t="n">
        <v>45418.55096064815</v>
      </c>
      <c r="C572" s="1" t="n">
        <v>45884</v>
      </c>
      <c r="D572" t="inlineStr">
        <is>
          <t>GOTLANDS LÄN</t>
        </is>
      </c>
      <c r="E572" t="inlineStr">
        <is>
          <t>GOTLAND</t>
        </is>
      </c>
      <c r="G572" t="n">
        <v>2</v>
      </c>
      <c r="H572" t="n">
        <v>0</v>
      </c>
      <c r="I572" t="n">
        <v>0</v>
      </c>
      <c r="J572" t="n">
        <v>0</v>
      </c>
      <c r="K572" t="n">
        <v>0</v>
      </c>
      <c r="L572" t="n">
        <v>0</v>
      </c>
      <c r="M572" t="n">
        <v>0</v>
      </c>
      <c r="N572" t="n">
        <v>0</v>
      </c>
      <c r="O572" t="n">
        <v>0</v>
      </c>
      <c r="P572" t="n">
        <v>0</v>
      </c>
      <c r="Q572" t="n">
        <v>0</v>
      </c>
      <c r="R572" s="2" t="inlineStr"/>
    </row>
    <row r="573" ht="15" customHeight="1">
      <c r="A573" t="inlineStr">
        <is>
          <t>A 27355-2025</t>
        </is>
      </c>
      <c r="B573" s="1" t="n">
        <v>45812</v>
      </c>
      <c r="C573" s="1" t="n">
        <v>45884</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23978-2023</t>
        </is>
      </c>
      <c r="B574" s="1" t="n">
        <v>45078</v>
      </c>
      <c r="C574" s="1" t="n">
        <v>45884</v>
      </c>
      <c r="D574" t="inlineStr">
        <is>
          <t>GOTLANDS LÄN</t>
        </is>
      </c>
      <c r="E574" t="inlineStr">
        <is>
          <t>GOTLAND</t>
        </is>
      </c>
      <c r="F574" t="inlineStr">
        <is>
          <t>Naturvårdsverket</t>
        </is>
      </c>
      <c r="G574" t="n">
        <v>1.7</v>
      </c>
      <c r="H574" t="n">
        <v>0</v>
      </c>
      <c r="I574" t="n">
        <v>0</v>
      </c>
      <c r="J574" t="n">
        <v>0</v>
      </c>
      <c r="K574" t="n">
        <v>0</v>
      </c>
      <c r="L574" t="n">
        <v>0</v>
      </c>
      <c r="M574" t="n">
        <v>0</v>
      </c>
      <c r="N574" t="n">
        <v>0</v>
      </c>
      <c r="O574" t="n">
        <v>0</v>
      </c>
      <c r="P574" t="n">
        <v>0</v>
      </c>
      <c r="Q574" t="n">
        <v>0</v>
      </c>
      <c r="R574" s="2" t="inlineStr"/>
    </row>
    <row r="575" ht="15" customHeight="1">
      <c r="A575" t="inlineStr">
        <is>
          <t>A 49884-2023</t>
        </is>
      </c>
      <c r="B575" s="1" t="n">
        <v>45213</v>
      </c>
      <c r="C575" s="1" t="n">
        <v>45884</v>
      </c>
      <c r="D575" t="inlineStr">
        <is>
          <t>GOTLANDS LÄN</t>
        </is>
      </c>
      <c r="E575" t="inlineStr">
        <is>
          <t>GOTLAND</t>
        </is>
      </c>
      <c r="G575" t="n">
        <v>8.9</v>
      </c>
      <c r="H575" t="n">
        <v>0</v>
      </c>
      <c r="I575" t="n">
        <v>0</v>
      </c>
      <c r="J575" t="n">
        <v>0</v>
      </c>
      <c r="K575" t="n">
        <v>0</v>
      </c>
      <c r="L575" t="n">
        <v>0</v>
      </c>
      <c r="M575" t="n">
        <v>0</v>
      </c>
      <c r="N575" t="n">
        <v>0</v>
      </c>
      <c r="O575" t="n">
        <v>0</v>
      </c>
      <c r="P575" t="n">
        <v>0</v>
      </c>
      <c r="Q575" t="n">
        <v>0</v>
      </c>
      <c r="R575" s="2" t="inlineStr"/>
    </row>
    <row r="576" ht="15" customHeight="1">
      <c r="A576" t="inlineStr">
        <is>
          <t>A 27348-2025</t>
        </is>
      </c>
      <c r="B576" s="1" t="n">
        <v>45812.62451388889</v>
      </c>
      <c r="C576" s="1" t="n">
        <v>45884</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27371-2025</t>
        </is>
      </c>
      <c r="B577" s="1" t="n">
        <v>45812</v>
      </c>
      <c r="C577" s="1" t="n">
        <v>45884</v>
      </c>
      <c r="D577" t="inlineStr">
        <is>
          <t>GOTLANDS LÄN</t>
        </is>
      </c>
      <c r="E577" t="inlineStr">
        <is>
          <t>GOTLAND</t>
        </is>
      </c>
      <c r="G577" t="n">
        <v>8</v>
      </c>
      <c r="H577" t="n">
        <v>0</v>
      </c>
      <c r="I577" t="n">
        <v>0</v>
      </c>
      <c r="J577" t="n">
        <v>0</v>
      </c>
      <c r="K577" t="n">
        <v>0</v>
      </c>
      <c r="L577" t="n">
        <v>0</v>
      </c>
      <c r="M577" t="n">
        <v>0</v>
      </c>
      <c r="N577" t="n">
        <v>0</v>
      </c>
      <c r="O577" t="n">
        <v>0</v>
      </c>
      <c r="P577" t="n">
        <v>0</v>
      </c>
      <c r="Q577" t="n">
        <v>0</v>
      </c>
      <c r="R577" s="2" t="inlineStr"/>
    </row>
    <row r="578" ht="15" customHeight="1">
      <c r="A578" t="inlineStr">
        <is>
          <t>A 12846-2025</t>
        </is>
      </c>
      <c r="B578" s="1" t="n">
        <v>45733.65049768519</v>
      </c>
      <c r="C578" s="1" t="n">
        <v>45884</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43200-2023</t>
        </is>
      </c>
      <c r="B579" s="1" t="n">
        <v>45183</v>
      </c>
      <c r="C579" s="1" t="n">
        <v>45884</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35290-2025</t>
        </is>
      </c>
      <c r="B580" s="1" t="n">
        <v>45854.38502314815</v>
      </c>
      <c r="C580" s="1" t="n">
        <v>45884</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1477-2024</t>
        </is>
      </c>
      <c r="B581" s="1" t="n">
        <v>45305.37987268518</v>
      </c>
      <c r="C581" s="1" t="n">
        <v>45884</v>
      </c>
      <c r="D581" t="inlineStr">
        <is>
          <t>GOTLANDS LÄN</t>
        </is>
      </c>
      <c r="E581" t="inlineStr">
        <is>
          <t>GOTLAND</t>
        </is>
      </c>
      <c r="G581" t="n">
        <v>6.9</v>
      </c>
      <c r="H581" t="n">
        <v>0</v>
      </c>
      <c r="I581" t="n">
        <v>0</v>
      </c>
      <c r="J581" t="n">
        <v>0</v>
      </c>
      <c r="K581" t="n">
        <v>0</v>
      </c>
      <c r="L581" t="n">
        <v>0</v>
      </c>
      <c r="M581" t="n">
        <v>0</v>
      </c>
      <c r="N581" t="n">
        <v>0</v>
      </c>
      <c r="O581" t="n">
        <v>0</v>
      </c>
      <c r="P581" t="n">
        <v>0</v>
      </c>
      <c r="Q581" t="n">
        <v>0</v>
      </c>
      <c r="R581" s="2" t="inlineStr"/>
    </row>
    <row r="582" ht="15" customHeight="1">
      <c r="A582" t="inlineStr">
        <is>
          <t>A 3935-2025</t>
        </is>
      </c>
      <c r="B582" s="1" t="n">
        <v>45684.46070601852</v>
      </c>
      <c r="C582" s="1" t="n">
        <v>45884</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35537-2025</t>
        </is>
      </c>
      <c r="B583" s="1" t="n">
        <v>45856</v>
      </c>
      <c r="C583" s="1" t="n">
        <v>45884</v>
      </c>
      <c r="D583" t="inlineStr">
        <is>
          <t>GOTLANDS LÄN</t>
        </is>
      </c>
      <c r="E583" t="inlineStr">
        <is>
          <t>GOTLAND</t>
        </is>
      </c>
      <c r="G583" t="n">
        <v>16.8</v>
      </c>
      <c r="H583" t="n">
        <v>0</v>
      </c>
      <c r="I583" t="n">
        <v>0</v>
      </c>
      <c r="J583" t="n">
        <v>0</v>
      </c>
      <c r="K583" t="n">
        <v>0</v>
      </c>
      <c r="L583" t="n">
        <v>0</v>
      </c>
      <c r="M583" t="n">
        <v>0</v>
      </c>
      <c r="N583" t="n">
        <v>0</v>
      </c>
      <c r="O583" t="n">
        <v>0</v>
      </c>
      <c r="P583" t="n">
        <v>0</v>
      </c>
      <c r="Q583" t="n">
        <v>0</v>
      </c>
      <c r="R583" s="2" t="inlineStr"/>
    </row>
    <row r="584" ht="15" customHeight="1">
      <c r="A584" t="inlineStr">
        <is>
          <t>A 35550-2025</t>
        </is>
      </c>
      <c r="B584" s="1" t="n">
        <v>45856.49324074074</v>
      </c>
      <c r="C584" s="1" t="n">
        <v>45884</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7850-2025</t>
        </is>
      </c>
      <c r="B585" s="1" t="n">
        <v>45706</v>
      </c>
      <c r="C585" s="1" t="n">
        <v>45884</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6739-2025</t>
        </is>
      </c>
      <c r="B586" s="1" t="n">
        <v>45700</v>
      </c>
      <c r="C586" s="1" t="n">
        <v>45884</v>
      </c>
      <c r="D586" t="inlineStr">
        <is>
          <t>GOTLANDS LÄN</t>
        </is>
      </c>
      <c r="E586" t="inlineStr">
        <is>
          <t>GOTLAND</t>
        </is>
      </c>
      <c r="G586" t="n">
        <v>4.5</v>
      </c>
      <c r="H586" t="n">
        <v>0</v>
      </c>
      <c r="I586" t="n">
        <v>0</v>
      </c>
      <c r="J586" t="n">
        <v>0</v>
      </c>
      <c r="K586" t="n">
        <v>0</v>
      </c>
      <c r="L586" t="n">
        <v>0</v>
      </c>
      <c r="M586" t="n">
        <v>0</v>
      </c>
      <c r="N586" t="n">
        <v>0</v>
      </c>
      <c r="O586" t="n">
        <v>0</v>
      </c>
      <c r="P586" t="n">
        <v>0</v>
      </c>
      <c r="Q586" t="n">
        <v>0</v>
      </c>
      <c r="R586" s="2" t="inlineStr"/>
    </row>
    <row r="587" ht="15" customHeight="1">
      <c r="A587" t="inlineStr">
        <is>
          <t>A 21792-2024</t>
        </is>
      </c>
      <c r="B587" s="1" t="n">
        <v>45442.64326388889</v>
      </c>
      <c r="C587" s="1" t="n">
        <v>45884</v>
      </c>
      <c r="D587" t="inlineStr">
        <is>
          <t>GOTLANDS LÄN</t>
        </is>
      </c>
      <c r="E587" t="inlineStr">
        <is>
          <t>GOTLAND</t>
        </is>
      </c>
      <c r="G587" t="n">
        <v>1</v>
      </c>
      <c r="H587" t="n">
        <v>0</v>
      </c>
      <c r="I587" t="n">
        <v>0</v>
      </c>
      <c r="J587" t="n">
        <v>0</v>
      </c>
      <c r="K587" t="n">
        <v>0</v>
      </c>
      <c r="L587" t="n">
        <v>0</v>
      </c>
      <c r="M587" t="n">
        <v>0</v>
      </c>
      <c r="N587" t="n">
        <v>0</v>
      </c>
      <c r="O587" t="n">
        <v>0</v>
      </c>
      <c r="P587" t="n">
        <v>0</v>
      </c>
      <c r="Q587" t="n">
        <v>0</v>
      </c>
      <c r="R587" s="2" t="inlineStr"/>
    </row>
    <row r="588" ht="15" customHeight="1">
      <c r="A588" t="inlineStr">
        <is>
          <t>A 8444-2025</t>
        </is>
      </c>
      <c r="B588" s="1" t="n">
        <v>45709</v>
      </c>
      <c r="C588" s="1" t="n">
        <v>45884</v>
      </c>
      <c r="D588" t="inlineStr">
        <is>
          <t>GOTLANDS LÄN</t>
        </is>
      </c>
      <c r="E588" t="inlineStr">
        <is>
          <t>GOTLAND</t>
        </is>
      </c>
      <c r="G588" t="n">
        <v>5.2</v>
      </c>
      <c r="H588" t="n">
        <v>0</v>
      </c>
      <c r="I588" t="n">
        <v>0</v>
      </c>
      <c r="J588" t="n">
        <v>0</v>
      </c>
      <c r="K588" t="n">
        <v>0</v>
      </c>
      <c r="L588" t="n">
        <v>0</v>
      </c>
      <c r="M588" t="n">
        <v>0</v>
      </c>
      <c r="N588" t="n">
        <v>0</v>
      </c>
      <c r="O588" t="n">
        <v>0</v>
      </c>
      <c r="P588" t="n">
        <v>0</v>
      </c>
      <c r="Q588" t="n">
        <v>0</v>
      </c>
      <c r="R588" s="2" t="inlineStr"/>
    </row>
    <row r="589" ht="15" customHeight="1">
      <c r="A589" t="inlineStr">
        <is>
          <t>A 19905-2025</t>
        </is>
      </c>
      <c r="B589" s="1" t="n">
        <v>45771</v>
      </c>
      <c r="C589" s="1" t="n">
        <v>45884</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29207-2025</t>
        </is>
      </c>
      <c r="B590" s="1" t="n">
        <v>45823</v>
      </c>
      <c r="C590" s="1" t="n">
        <v>45884</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29196-2025</t>
        </is>
      </c>
      <c r="B591" s="1" t="n">
        <v>45822</v>
      </c>
      <c r="C591" s="1" t="n">
        <v>45884</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45868.38543981482</v>
      </c>
      <c r="C592" s="1" t="n">
        <v>45884</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30061-2025</t>
        </is>
      </c>
      <c r="B593" s="1" t="n">
        <v>45826.61488425926</v>
      </c>
      <c r="C593" s="1" t="n">
        <v>45884</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30104-2025</t>
        </is>
      </c>
      <c r="B594" s="1" t="n">
        <v>45826.68806712963</v>
      </c>
      <c r="C594" s="1" t="n">
        <v>45884</v>
      </c>
      <c r="D594" t="inlineStr">
        <is>
          <t>GOTLANDS LÄN</t>
        </is>
      </c>
      <c r="E594" t="inlineStr">
        <is>
          <t>GOTLAND</t>
        </is>
      </c>
      <c r="G594" t="n">
        <v>15.4</v>
      </c>
      <c r="H594" t="n">
        <v>0</v>
      </c>
      <c r="I594" t="n">
        <v>0</v>
      </c>
      <c r="J594" t="n">
        <v>0</v>
      </c>
      <c r="K594" t="n">
        <v>0</v>
      </c>
      <c r="L594" t="n">
        <v>0</v>
      </c>
      <c r="M594" t="n">
        <v>0</v>
      </c>
      <c r="N594" t="n">
        <v>0</v>
      </c>
      <c r="O594" t="n">
        <v>0</v>
      </c>
      <c r="P594" t="n">
        <v>0</v>
      </c>
      <c r="Q594" t="n">
        <v>0</v>
      </c>
      <c r="R594" s="2" t="inlineStr"/>
    </row>
    <row r="595" ht="15" customHeight="1">
      <c r="A595" t="inlineStr">
        <is>
          <t>A 30157-2025</t>
        </is>
      </c>
      <c r="B595" s="1" t="n">
        <v>45826</v>
      </c>
      <c r="C595" s="1" t="n">
        <v>45884</v>
      </c>
      <c r="D595" t="inlineStr">
        <is>
          <t>GOTLANDS LÄN</t>
        </is>
      </c>
      <c r="E595" t="inlineStr">
        <is>
          <t>GOTLAND</t>
        </is>
      </c>
      <c r="G595" t="n">
        <v>2.5</v>
      </c>
      <c r="H595" t="n">
        <v>0</v>
      </c>
      <c r="I595" t="n">
        <v>0</v>
      </c>
      <c r="J595" t="n">
        <v>0</v>
      </c>
      <c r="K595" t="n">
        <v>0</v>
      </c>
      <c r="L595" t="n">
        <v>0</v>
      </c>
      <c r="M595" t="n">
        <v>0</v>
      </c>
      <c r="N595" t="n">
        <v>0</v>
      </c>
      <c r="O595" t="n">
        <v>0</v>
      </c>
      <c r="P595" t="n">
        <v>0</v>
      </c>
      <c r="Q595" t="n">
        <v>0</v>
      </c>
      <c r="R595" s="2" t="inlineStr"/>
    </row>
    <row r="596" ht="15" customHeight="1">
      <c r="A596" t="inlineStr">
        <is>
          <t>A 30488-2025</t>
        </is>
      </c>
      <c r="B596" s="1" t="n">
        <v>45830</v>
      </c>
      <c r="C596" s="1" t="n">
        <v>45884</v>
      </c>
      <c r="D596" t="inlineStr">
        <is>
          <t>GOTLANDS LÄN</t>
        </is>
      </c>
      <c r="E596" t="inlineStr">
        <is>
          <t>GOTLAND</t>
        </is>
      </c>
      <c r="F596" t="inlineStr">
        <is>
          <t>Kyrkan</t>
        </is>
      </c>
      <c r="G596" t="n">
        <v>3.9</v>
      </c>
      <c r="H596" t="n">
        <v>0</v>
      </c>
      <c r="I596" t="n">
        <v>0</v>
      </c>
      <c r="J596" t="n">
        <v>0</v>
      </c>
      <c r="K596" t="n">
        <v>0</v>
      </c>
      <c r="L596" t="n">
        <v>0</v>
      </c>
      <c r="M596" t="n">
        <v>0</v>
      </c>
      <c r="N596" t="n">
        <v>0</v>
      </c>
      <c r="O596" t="n">
        <v>0</v>
      </c>
      <c r="P596" t="n">
        <v>0</v>
      </c>
      <c r="Q596" t="n">
        <v>0</v>
      </c>
      <c r="R596" s="2" t="inlineStr"/>
    </row>
    <row r="597" ht="15" customHeight="1">
      <c r="A597" t="inlineStr">
        <is>
          <t>A 30489-2025</t>
        </is>
      </c>
      <c r="B597" s="1" t="n">
        <v>45830</v>
      </c>
      <c r="C597" s="1" t="n">
        <v>45884</v>
      </c>
      <c r="D597" t="inlineStr">
        <is>
          <t>GOTLANDS LÄN</t>
        </is>
      </c>
      <c r="E597" t="inlineStr">
        <is>
          <t>GOTLAND</t>
        </is>
      </c>
      <c r="G597" t="n">
        <v>4.6</v>
      </c>
      <c r="H597" t="n">
        <v>0</v>
      </c>
      <c r="I597" t="n">
        <v>0</v>
      </c>
      <c r="J597" t="n">
        <v>0</v>
      </c>
      <c r="K597" t="n">
        <v>0</v>
      </c>
      <c r="L597" t="n">
        <v>0</v>
      </c>
      <c r="M597" t="n">
        <v>0</v>
      </c>
      <c r="N597" t="n">
        <v>0</v>
      </c>
      <c r="O597" t="n">
        <v>0</v>
      </c>
      <c r="P597" t="n">
        <v>0</v>
      </c>
      <c r="Q597" t="n">
        <v>0</v>
      </c>
      <c r="R597" s="2" t="inlineStr"/>
    </row>
    <row r="598" ht="15" customHeight="1">
      <c r="A598" t="inlineStr">
        <is>
          <t>A 58160-2024</t>
        </is>
      </c>
      <c r="B598" s="1" t="n">
        <v>45632.44927083333</v>
      </c>
      <c r="C598" s="1" t="n">
        <v>45884</v>
      </c>
      <c r="D598" t="inlineStr">
        <is>
          <t>GOTLANDS LÄN</t>
        </is>
      </c>
      <c r="E598" t="inlineStr">
        <is>
          <t>GOTLAND</t>
        </is>
      </c>
      <c r="G598" t="n">
        <v>5.6</v>
      </c>
      <c r="H598" t="n">
        <v>0</v>
      </c>
      <c r="I598" t="n">
        <v>0</v>
      </c>
      <c r="J598" t="n">
        <v>0</v>
      </c>
      <c r="K598" t="n">
        <v>0</v>
      </c>
      <c r="L598" t="n">
        <v>0</v>
      </c>
      <c r="M598" t="n">
        <v>0</v>
      </c>
      <c r="N598" t="n">
        <v>0</v>
      </c>
      <c r="O598" t="n">
        <v>0</v>
      </c>
      <c r="P598" t="n">
        <v>0</v>
      </c>
      <c r="Q598" t="n">
        <v>0</v>
      </c>
      <c r="R598" s="2" t="inlineStr"/>
    </row>
    <row r="599" ht="15" customHeight="1">
      <c r="A599" t="inlineStr">
        <is>
          <t>A 30135-2025</t>
        </is>
      </c>
      <c r="B599" s="1" t="n">
        <v>45826</v>
      </c>
      <c r="C599" s="1" t="n">
        <v>45884</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16109-2025</t>
        </is>
      </c>
      <c r="B600" s="1" t="n">
        <v>45750</v>
      </c>
      <c r="C600" s="1" t="n">
        <v>45884</v>
      </c>
      <c r="D600" t="inlineStr">
        <is>
          <t>GOTLANDS LÄN</t>
        </is>
      </c>
      <c r="E600" t="inlineStr">
        <is>
          <t>GOTLAND</t>
        </is>
      </c>
      <c r="G600" t="n">
        <v>4.9</v>
      </c>
      <c r="H600" t="n">
        <v>0</v>
      </c>
      <c r="I600" t="n">
        <v>0</v>
      </c>
      <c r="J600" t="n">
        <v>0</v>
      </c>
      <c r="K600" t="n">
        <v>0</v>
      </c>
      <c r="L600" t="n">
        <v>0</v>
      </c>
      <c r="M600" t="n">
        <v>0</v>
      </c>
      <c r="N600" t="n">
        <v>0</v>
      </c>
      <c r="O600" t="n">
        <v>0</v>
      </c>
      <c r="P600" t="n">
        <v>0</v>
      </c>
      <c r="Q600" t="n">
        <v>0</v>
      </c>
      <c r="R600" s="2" t="inlineStr"/>
    </row>
    <row r="601" ht="15" customHeight="1">
      <c r="A601" t="inlineStr">
        <is>
          <t>A 32467-2025</t>
        </is>
      </c>
      <c r="B601" s="1" t="n">
        <v>45838.42111111111</v>
      </c>
      <c r="C601" s="1" t="n">
        <v>45884</v>
      </c>
      <c r="D601" t="inlineStr">
        <is>
          <t>GOTLANDS LÄN</t>
        </is>
      </c>
      <c r="E601" t="inlineStr">
        <is>
          <t>GOTLAND</t>
        </is>
      </c>
      <c r="G601" t="n">
        <v>4.3</v>
      </c>
      <c r="H601" t="n">
        <v>0</v>
      </c>
      <c r="I601" t="n">
        <v>0</v>
      </c>
      <c r="J601" t="n">
        <v>0</v>
      </c>
      <c r="K601" t="n">
        <v>0</v>
      </c>
      <c r="L601" t="n">
        <v>0</v>
      </c>
      <c r="M601" t="n">
        <v>0</v>
      </c>
      <c r="N601" t="n">
        <v>0</v>
      </c>
      <c r="O601" t="n">
        <v>0</v>
      </c>
      <c r="P601" t="n">
        <v>0</v>
      </c>
      <c r="Q601" t="n">
        <v>0</v>
      </c>
      <c r="R601" s="2" t="inlineStr"/>
    </row>
    <row r="602" ht="15" customHeight="1">
      <c r="A602" t="inlineStr">
        <is>
          <t>A 32378-2025</t>
        </is>
      </c>
      <c r="B602" s="1" t="n">
        <v>45837</v>
      </c>
      <c r="C602" s="1" t="n">
        <v>45884</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32686-2025</t>
        </is>
      </c>
      <c r="B603" s="1" t="n">
        <v>45838</v>
      </c>
      <c r="C603" s="1" t="n">
        <v>45884</v>
      </c>
      <c r="D603" t="inlineStr">
        <is>
          <t>GOTLANDS LÄN</t>
        </is>
      </c>
      <c r="E603" t="inlineStr">
        <is>
          <t>GOTLAND</t>
        </is>
      </c>
      <c r="G603" t="n">
        <v>2.2</v>
      </c>
      <c r="H603" t="n">
        <v>0</v>
      </c>
      <c r="I603" t="n">
        <v>0</v>
      </c>
      <c r="J603" t="n">
        <v>0</v>
      </c>
      <c r="K603" t="n">
        <v>0</v>
      </c>
      <c r="L603" t="n">
        <v>0</v>
      </c>
      <c r="M603" t="n">
        <v>0</v>
      </c>
      <c r="N603" t="n">
        <v>0</v>
      </c>
      <c r="O603" t="n">
        <v>0</v>
      </c>
      <c r="P603" t="n">
        <v>0</v>
      </c>
      <c r="Q603" t="n">
        <v>0</v>
      </c>
      <c r="R603" s="2" t="inlineStr"/>
    </row>
    <row r="604" ht="15" customHeight="1">
      <c r="A604" t="inlineStr">
        <is>
          <t>A 20660-2025</t>
        </is>
      </c>
      <c r="B604" s="1" t="n">
        <v>45776</v>
      </c>
      <c r="C604" s="1" t="n">
        <v>45884</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32379-2025</t>
        </is>
      </c>
      <c r="B605" s="1" t="n">
        <v>45837</v>
      </c>
      <c r="C605" s="1" t="n">
        <v>45884</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33078-2025</t>
        </is>
      </c>
      <c r="B606" s="1" t="n">
        <v>45840</v>
      </c>
      <c r="C606" s="1" t="n">
        <v>45884</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33007-2025</t>
        </is>
      </c>
      <c r="B607" s="1" t="n">
        <v>45840</v>
      </c>
      <c r="C607" s="1" t="n">
        <v>45884</v>
      </c>
      <c r="D607" t="inlineStr">
        <is>
          <t>GOTLANDS LÄN</t>
        </is>
      </c>
      <c r="E607" t="inlineStr">
        <is>
          <t>GOTLAND</t>
        </is>
      </c>
      <c r="G607" t="n">
        <v>4.9</v>
      </c>
      <c r="H607" t="n">
        <v>0</v>
      </c>
      <c r="I607" t="n">
        <v>0</v>
      </c>
      <c r="J607" t="n">
        <v>0</v>
      </c>
      <c r="K607" t="n">
        <v>0</v>
      </c>
      <c r="L607" t="n">
        <v>0</v>
      </c>
      <c r="M607" t="n">
        <v>0</v>
      </c>
      <c r="N607" t="n">
        <v>0</v>
      </c>
      <c r="O607" t="n">
        <v>0</v>
      </c>
      <c r="P607" t="n">
        <v>0</v>
      </c>
      <c r="Q607" t="n">
        <v>0</v>
      </c>
      <c r="R607" s="2" t="inlineStr"/>
    </row>
    <row r="608">
      <c r="A608" t="inlineStr">
        <is>
          <t>A 33011-2025</t>
        </is>
      </c>
      <c r="B608" s="1" t="n">
        <v>45840</v>
      </c>
      <c r="C608" s="1" t="n">
        <v>45884</v>
      </c>
      <c r="D608" t="inlineStr">
        <is>
          <t>GOTLANDS LÄN</t>
        </is>
      </c>
      <c r="E608" t="inlineStr">
        <is>
          <t>GOTLAND</t>
        </is>
      </c>
      <c r="G608" t="n">
        <v>1.7</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2025-08-15T08:27:46Z</dcterms:created>
  <dcterms:modified xmlns:dcterms="http://purl.org/dc/terms/" xmlns:xsi="http://www.w3.org/2001/XMLSchema-instance" xsi:type="dcterms:W3CDTF">2025-08-15T08:27:46Z</dcterms:modified>
</cp:coreProperties>
</file>