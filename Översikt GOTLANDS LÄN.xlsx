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45933</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45933</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61664-2023</t>
        </is>
      </c>
      <c r="B10" s="1" t="n">
        <v>45265</v>
      </c>
      <c r="C10" s="1" t="n">
        <v>45933</v>
      </c>
      <c r="D10" t="inlineStr">
        <is>
          <t>GOTLANDS LÄN</t>
        </is>
      </c>
      <c r="E10" t="inlineStr">
        <is>
          <t>GOTLAND</t>
        </is>
      </c>
      <c r="G10" t="n">
        <v>13.3</v>
      </c>
      <c r="H10" t="n">
        <v>9</v>
      </c>
      <c r="I10" t="n">
        <v>11</v>
      </c>
      <c r="J10" t="n">
        <v>7</v>
      </c>
      <c r="K10" t="n">
        <v>7</v>
      </c>
      <c r="L10" t="n">
        <v>0</v>
      </c>
      <c r="M10" t="n">
        <v>0</v>
      </c>
      <c r="N10" t="n">
        <v>0</v>
      </c>
      <c r="O10" t="n">
        <v>14</v>
      </c>
      <c r="P10" t="n">
        <v>7</v>
      </c>
      <c r="Q10" t="n">
        <v>30</v>
      </c>
      <c r="R10"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c r="Z10">
        <f>HYPERLINK("https://klasma.github.io/Logging_0980/fåglar/A 61664-2023 prioriterade fågelarter.docx", "A 61664-2023")</f>
        <v/>
      </c>
    </row>
    <row r="11" ht="15" customHeight="1">
      <c r="A11" t="inlineStr">
        <is>
          <t>A 15075-2025</t>
        </is>
      </c>
      <c r="B11" s="1" t="n">
        <v>45743</v>
      </c>
      <c r="C11" s="1" t="n">
        <v>45933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45933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45933</v>
      </c>
      <c r="D13" t="inlineStr">
        <is>
          <t>GOTLANDS LÄN</t>
        </is>
      </c>
      <c r="E13" t="inlineStr">
        <is>
          <t>GOTLAND</t>
        </is>
      </c>
      <c r="G13" t="n">
        <v>15.8</v>
      </c>
      <c r="H13" t="n">
        <v>3</v>
      </c>
      <c r="I13" t="n">
        <v>10</v>
      </c>
      <c r="J13" t="n">
        <v>6</v>
      </c>
      <c r="K13" t="n">
        <v>12</v>
      </c>
      <c r="L13" t="n">
        <v>0</v>
      </c>
      <c r="M13" t="n">
        <v>0</v>
      </c>
      <c r="N13" t="n">
        <v>0</v>
      </c>
      <c r="O13" t="n">
        <v>18</v>
      </c>
      <c r="P13" t="n">
        <v>12</v>
      </c>
      <c r="Q13" t="n">
        <v>29</v>
      </c>
      <c r="R13"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45933</v>
      </c>
      <c r="D14" t="inlineStr">
        <is>
          <t>GOTLANDS LÄN</t>
        </is>
      </c>
      <c r="E14" t="inlineStr">
        <is>
          <t>GOTLAND</t>
        </is>
      </c>
      <c r="G14" t="n">
        <v>10.4</v>
      </c>
      <c r="H14" t="n">
        <v>3</v>
      </c>
      <c r="I14" t="n">
        <v>12</v>
      </c>
      <c r="J14" t="n">
        <v>3</v>
      </c>
      <c r="K14" t="n">
        <v>8</v>
      </c>
      <c r="L14" t="n">
        <v>1</v>
      </c>
      <c r="M14" t="n">
        <v>0</v>
      </c>
      <c r="N14" t="n">
        <v>0</v>
      </c>
      <c r="O14" t="n">
        <v>13</v>
      </c>
      <c r="P14" t="n">
        <v>9</v>
      </c>
      <c r="Q14" t="n">
        <v>26</v>
      </c>
      <c r="R14"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40235-2025</t>
        </is>
      </c>
      <c r="B15" s="1" t="n">
        <v>45894.74005787037</v>
      </c>
      <c r="C15" s="1" t="n">
        <v>45933</v>
      </c>
      <c r="D15" t="inlineStr">
        <is>
          <t>GOTLANDS LÄN</t>
        </is>
      </c>
      <c r="E15" t="inlineStr">
        <is>
          <t>GOTLAND</t>
        </is>
      </c>
      <c r="G15" t="n">
        <v>10.6</v>
      </c>
      <c r="H15" t="n">
        <v>1</v>
      </c>
      <c r="I15" t="n">
        <v>8</v>
      </c>
      <c r="J15" t="n">
        <v>6</v>
      </c>
      <c r="K15" t="n">
        <v>7</v>
      </c>
      <c r="L15" t="n">
        <v>0</v>
      </c>
      <c r="M15" t="n">
        <v>0</v>
      </c>
      <c r="N15" t="n">
        <v>0</v>
      </c>
      <c r="O15" t="n">
        <v>13</v>
      </c>
      <c r="P15" t="n">
        <v>7</v>
      </c>
      <c r="Q15" t="n">
        <v>22</v>
      </c>
      <c r="R15" s="2" t="inlineStr">
        <is>
          <t>Bullspindling
Duvspindling
Gulsträngad fagerspindling
Läderdoftande fingersvamp
Sotbandad spindling
Svartgrön spindling
Tallpraktspindling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922-2023</t>
        </is>
      </c>
      <c r="B16" s="1" t="n">
        <v>44932</v>
      </c>
      <c r="C16" s="1" t="n">
        <v>45933</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569-2023</t>
        </is>
      </c>
      <c r="B17" s="1" t="n">
        <v>44930</v>
      </c>
      <c r="C17" s="1" t="n">
        <v>45933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45933</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45933</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45933</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45933</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24575-2025</t>
        </is>
      </c>
      <c r="B22" s="1" t="n">
        <v>45798</v>
      </c>
      <c r="C22" s="1" t="n">
        <v>45933</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34100-2024</t>
        </is>
      </c>
      <c r="B23" s="1" t="n">
        <v>45523</v>
      </c>
      <c r="C23" s="1" t="n">
        <v>45933</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45933</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45933</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45933</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6153-2024</t>
        </is>
      </c>
      <c r="B27" s="1" t="n">
        <v>45337</v>
      </c>
      <c r="C27" s="1" t="n">
        <v>45933</v>
      </c>
      <c r="D27" t="inlineStr">
        <is>
          <t>GOTLANDS LÄN</t>
        </is>
      </c>
      <c r="E27" t="inlineStr">
        <is>
          <t>GOTLAND</t>
        </is>
      </c>
      <c r="G27" t="n">
        <v>14.2</v>
      </c>
      <c r="H27" t="n">
        <v>0</v>
      </c>
      <c r="I27" t="n">
        <v>5</v>
      </c>
      <c r="J27" t="n">
        <v>1</v>
      </c>
      <c r="K27" t="n">
        <v>7</v>
      </c>
      <c r="L27" t="n">
        <v>2</v>
      </c>
      <c r="M27" t="n">
        <v>0</v>
      </c>
      <c r="N27" t="n">
        <v>0</v>
      </c>
      <c r="O27" t="n">
        <v>10</v>
      </c>
      <c r="P27" t="n">
        <v>9</v>
      </c>
      <c r="Q27" t="n">
        <v>15</v>
      </c>
      <c r="R27" s="2" t="inlineStr">
        <is>
          <t>Ask
Svartnande fingersvamp
Gul lammticka
Gulsträngad fagerspindling
Läderdoftande fingersvamp
Mörkfjällig olivspindling
Narrspindling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45933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45933</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33728-2025</t>
        </is>
      </c>
      <c r="B30" s="1" t="n">
        <v>45842.29344907407</v>
      </c>
      <c r="C30" s="1" t="n">
        <v>45933</v>
      </c>
      <c r="D30" t="inlineStr">
        <is>
          <t>GOTLANDS LÄN</t>
        </is>
      </c>
      <c r="E30" t="inlineStr">
        <is>
          <t>GOTLAND</t>
        </is>
      </c>
      <c r="G30" t="n">
        <v>9.5</v>
      </c>
      <c r="H30" t="n">
        <v>3</v>
      </c>
      <c r="I30" t="n">
        <v>3</v>
      </c>
      <c r="J30" t="n">
        <v>6</v>
      </c>
      <c r="K30" t="n">
        <v>3</v>
      </c>
      <c r="L30" t="n">
        <v>2</v>
      </c>
      <c r="M30" t="n">
        <v>0</v>
      </c>
      <c r="N30" t="n">
        <v>0</v>
      </c>
      <c r="O30" t="n">
        <v>11</v>
      </c>
      <c r="P30" t="n">
        <v>5</v>
      </c>
      <c r="Q30" t="n">
        <v>14</v>
      </c>
      <c r="R30" s="2" t="inlineStr">
        <is>
          <t>Ask
Sienamusseron
Gotlandsmåra
Läderdoftande fingersvamp
Mörkfjällig olivspindling
Axveronika
Backtimjan
Duvhök
Jordtistel
Svartfläckig blåvinge
Svinrot
Olivspindling
Skogsknipprot
Svavelriska</t>
        </is>
      </c>
      <c r="S30">
        <f>HYPERLINK("https://klasma.github.io/Logging_0980/artfynd/A 33728-2025 artfynd.xlsx", "A 33728-2025")</f>
        <v/>
      </c>
      <c r="T30">
        <f>HYPERLINK("https://klasma.github.io/Logging_0980/kartor/A 33728-2025 karta.png", "A 33728-2025")</f>
        <v/>
      </c>
      <c r="V30">
        <f>HYPERLINK("https://klasma.github.io/Logging_0980/klagomål/A 33728-2025 FSC-klagomål.docx", "A 33728-2025")</f>
        <v/>
      </c>
      <c r="W30">
        <f>HYPERLINK("https://klasma.github.io/Logging_0980/klagomålsmail/A 33728-2025 FSC-klagomål mail.docx", "A 33728-2025")</f>
        <v/>
      </c>
      <c r="X30">
        <f>HYPERLINK("https://klasma.github.io/Logging_0980/tillsyn/A 33728-2025 tillsynsbegäran.docx", "A 33728-2025")</f>
        <v/>
      </c>
      <c r="Y30">
        <f>HYPERLINK("https://klasma.github.io/Logging_0980/tillsynsmail/A 33728-2025 tillsynsbegäran mail.docx", "A 33728-2025")</f>
        <v/>
      </c>
      <c r="Z30">
        <f>HYPERLINK("https://klasma.github.io/Logging_0980/fåglar/A 33728-2025 prioriterade fågelarter.docx", "A 33728-2025")</f>
        <v/>
      </c>
    </row>
    <row r="31" ht="15" customHeight="1">
      <c r="A31" t="inlineStr">
        <is>
          <t>A 24309-2025</t>
        </is>
      </c>
      <c r="B31" s="1" t="n">
        <v>45797</v>
      </c>
      <c r="C31" s="1" t="n">
        <v>45933</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2222-2024</t>
        </is>
      </c>
      <c r="B32" s="1" t="n">
        <v>45309</v>
      </c>
      <c r="C32" s="1" t="n">
        <v>45933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45933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45933</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45933</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45933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45933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30542-2025</t>
        </is>
      </c>
      <c r="B40" s="1" t="n">
        <v>45831</v>
      </c>
      <c r="C40" s="1" t="n">
        <v>45933</v>
      </c>
      <c r="D40" t="inlineStr">
        <is>
          <t>GOTLANDS LÄN</t>
        </is>
      </c>
      <c r="E40" t="inlineStr">
        <is>
          <t>GOTLAND</t>
        </is>
      </c>
      <c r="G40" t="n">
        <v>8.300000000000001</v>
      </c>
      <c r="H40" t="n">
        <v>5</v>
      </c>
      <c r="I40" t="n">
        <v>3</v>
      </c>
      <c r="J40" t="n">
        <v>6</v>
      </c>
      <c r="K40" t="n">
        <v>0</v>
      </c>
      <c r="L40" t="n">
        <v>1</v>
      </c>
      <c r="M40" t="n">
        <v>0</v>
      </c>
      <c r="N40" t="n">
        <v>0</v>
      </c>
      <c r="O40" t="n">
        <v>7</v>
      </c>
      <c r="P40" t="n">
        <v>1</v>
      </c>
      <c r="Q40" t="n">
        <v>12</v>
      </c>
      <c r="R40" s="2" t="inlineStr">
        <is>
          <t>Ask
Backtimjan
Dårgräsfjäril
Jordtistel
Solvända
Svinrot
Ängsstarr
Blåmossa
Skogsknipprot
Tvåblad
Brudsporre
Fläcknycklar</t>
        </is>
      </c>
      <c r="S40">
        <f>HYPERLINK("https://klasma.github.io/Logging_0980/artfynd/A 30542-2025 artfynd.xlsx", "A 30542-2025")</f>
        <v/>
      </c>
      <c r="T40">
        <f>HYPERLINK("https://klasma.github.io/Logging_0980/kartor/A 30542-2025 karta.png", "A 30542-2025")</f>
        <v/>
      </c>
      <c r="V40">
        <f>HYPERLINK("https://klasma.github.io/Logging_0980/klagomål/A 30542-2025 FSC-klagomål.docx", "A 30542-2025")</f>
        <v/>
      </c>
      <c r="W40">
        <f>HYPERLINK("https://klasma.github.io/Logging_0980/klagomålsmail/A 30542-2025 FSC-klagomål mail.docx", "A 30542-2025")</f>
        <v/>
      </c>
      <c r="X40">
        <f>HYPERLINK("https://klasma.github.io/Logging_0980/tillsyn/A 30542-2025 tillsynsbegäran.docx", "A 30542-2025")</f>
        <v/>
      </c>
      <c r="Y40">
        <f>HYPERLINK("https://klasma.github.io/Logging_0980/tillsynsmail/A 30542-2025 tillsynsbegäran mail.docx", "A 30542-2025")</f>
        <v/>
      </c>
    </row>
    <row r="41" ht="15" customHeight="1">
      <c r="A41" t="inlineStr">
        <is>
          <t>A 15850-2025</t>
        </is>
      </c>
      <c r="B41" s="1" t="n">
        <v>45748</v>
      </c>
      <c r="C41" s="1" t="n">
        <v>45933</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45933</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28287-2024</t>
        </is>
      </c>
      <c r="B43" s="1" t="n">
        <v>45477</v>
      </c>
      <c r="C43" s="1" t="n">
        <v>45933</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6052-2024</t>
        </is>
      </c>
      <c r="B44" s="1" t="n">
        <v>45336</v>
      </c>
      <c r="C44" s="1" t="n">
        <v>45933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45933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45933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14354-2024</t>
        </is>
      </c>
      <c r="B47" s="1" t="n">
        <v>45393</v>
      </c>
      <c r="C47" s="1" t="n">
        <v>45933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45933</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584-2023</t>
        </is>
      </c>
      <c r="B49" s="1" t="n">
        <v>44930</v>
      </c>
      <c r="C49" s="1" t="n">
        <v>45933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45933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17766-2024</t>
        </is>
      </c>
      <c r="B51" s="1" t="n">
        <v>45418</v>
      </c>
      <c r="C51" s="1" t="n">
        <v>45933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45933</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45933</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45933</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1769-2022</t>
        </is>
      </c>
      <c r="B56" s="1" t="n">
        <v>44574</v>
      </c>
      <c r="C56" s="1" t="n">
        <v>45933</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45933</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45933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27280-2023</t>
        </is>
      </c>
      <c r="B59" s="1" t="n">
        <v>45096</v>
      </c>
      <c r="C59" s="1" t="n">
        <v>45933</v>
      </c>
      <c r="D59" t="inlineStr">
        <is>
          <t>GOTLANDS LÄN</t>
        </is>
      </c>
      <c r="E59" t="inlineStr">
        <is>
          <t>GOTLAND</t>
        </is>
      </c>
      <c r="G59" t="n">
        <v>2.7</v>
      </c>
      <c r="H59" t="n">
        <v>7</v>
      </c>
      <c r="I59" t="n">
        <v>2</v>
      </c>
      <c r="J59" t="n">
        <v>1</v>
      </c>
      <c r="K59" t="n">
        <v>0</v>
      </c>
      <c r="L59" t="n">
        <v>0</v>
      </c>
      <c r="M59" t="n">
        <v>0</v>
      </c>
      <c r="N59" t="n">
        <v>0</v>
      </c>
      <c r="O59" t="n">
        <v>1</v>
      </c>
      <c r="P59" t="n">
        <v>0</v>
      </c>
      <c r="Q59" t="n">
        <v>7</v>
      </c>
      <c r="R59" s="2" t="inlineStr">
        <is>
          <t>Mindre hackspett
Skogsknipprot
Tvåblad
Brudsporre
Fläcknycklar
Grönvit nattviol
Nattviol</t>
        </is>
      </c>
      <c r="S59">
        <f>HYPERLINK("https://klasma.github.io/Logging_0980/artfynd/A 27280-2023 artfynd.xlsx", "A 27280-2023")</f>
        <v/>
      </c>
      <c r="T59">
        <f>HYPERLINK("https://klasma.github.io/Logging_0980/kartor/A 27280-2023 karta.png", "A 27280-2023")</f>
        <v/>
      </c>
      <c r="V59">
        <f>HYPERLINK("https://klasma.github.io/Logging_0980/klagomål/A 27280-2023 FSC-klagomål.docx", "A 27280-2023")</f>
        <v/>
      </c>
      <c r="W59">
        <f>HYPERLINK("https://klasma.github.io/Logging_0980/klagomålsmail/A 27280-2023 FSC-klagomål mail.docx", "A 27280-2023")</f>
        <v/>
      </c>
      <c r="X59">
        <f>HYPERLINK("https://klasma.github.io/Logging_0980/tillsyn/A 27280-2023 tillsynsbegäran.docx", "A 27280-2023")</f>
        <v/>
      </c>
      <c r="Y59">
        <f>HYPERLINK("https://klasma.github.io/Logging_0980/tillsynsmail/A 27280-2023 tillsynsbegäran mail.docx", "A 27280-2023")</f>
        <v/>
      </c>
      <c r="Z59">
        <f>HYPERLINK("https://klasma.github.io/Logging_0980/fåglar/A 27280-2023 prioriterade fågelarter.docx", "A 27280-2023")</f>
        <v/>
      </c>
    </row>
    <row r="60" ht="15" customHeight="1">
      <c r="A60" t="inlineStr">
        <is>
          <t>A 4984-2025</t>
        </is>
      </c>
      <c r="B60" s="1" t="n">
        <v>45691.29891203704</v>
      </c>
      <c r="C60" s="1" t="n">
        <v>45933</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45933</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45933</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6960-2025</t>
        </is>
      </c>
      <c r="B63" s="1" t="n">
        <v>45701.49409722222</v>
      </c>
      <c r="C63" s="1" t="n">
        <v>45933</v>
      </c>
      <c r="D63" t="inlineStr">
        <is>
          <t>GOTLANDS LÄN</t>
        </is>
      </c>
      <c r="E63" t="inlineStr">
        <is>
          <t>GOTLAND</t>
        </is>
      </c>
      <c r="G63" t="n">
        <v>4</v>
      </c>
      <c r="H63" t="n">
        <v>4</v>
      </c>
      <c r="I63" t="n">
        <v>1</v>
      </c>
      <c r="J63" t="n">
        <v>4</v>
      </c>
      <c r="K63" t="n">
        <v>0</v>
      </c>
      <c r="L63" t="n">
        <v>0</v>
      </c>
      <c r="M63" t="n">
        <v>0</v>
      </c>
      <c r="N63" t="n">
        <v>0</v>
      </c>
      <c r="O63" t="n">
        <v>4</v>
      </c>
      <c r="P63" t="n">
        <v>0</v>
      </c>
      <c r="Q63" t="n">
        <v>7</v>
      </c>
      <c r="R63" s="2" t="inlineStr">
        <is>
          <t>Majviva
Spillkråka
Svinrot
Ängsstarr
Skogsknipprot
Dactylorhiza incarnata subsp. incarnata
Nattviol</t>
        </is>
      </c>
      <c r="S63">
        <f>HYPERLINK("https://klasma.github.io/Logging_0980/artfynd/A 6960-2025 artfynd.xlsx", "A 6960-2025")</f>
        <v/>
      </c>
      <c r="T63">
        <f>HYPERLINK("https://klasma.github.io/Logging_0980/kartor/A 6960-2025 karta.png", "A 6960-2025")</f>
        <v/>
      </c>
      <c r="U63">
        <f>HYPERLINK("https://klasma.github.io/Logging_0980/knärot/A 6960-2025 karta knärot.png", "A 6960-2025")</f>
        <v/>
      </c>
      <c r="V63">
        <f>HYPERLINK("https://klasma.github.io/Logging_0980/klagomål/A 6960-2025 FSC-klagomål.docx", "A 6960-2025")</f>
        <v/>
      </c>
      <c r="W63">
        <f>HYPERLINK("https://klasma.github.io/Logging_0980/klagomålsmail/A 6960-2025 FSC-klagomål mail.docx", "A 6960-2025")</f>
        <v/>
      </c>
      <c r="X63">
        <f>HYPERLINK("https://klasma.github.io/Logging_0980/tillsyn/A 6960-2025 tillsynsbegäran.docx", "A 6960-2025")</f>
        <v/>
      </c>
      <c r="Y63">
        <f>HYPERLINK("https://klasma.github.io/Logging_0980/tillsynsmail/A 6960-2025 tillsynsbegäran mail.docx", "A 6960-2025")</f>
        <v/>
      </c>
      <c r="Z63">
        <f>HYPERLINK("https://klasma.github.io/Logging_0980/fåglar/A 6960-2025 prioriterade fågelarter.docx", "A 6960-2025")</f>
        <v/>
      </c>
    </row>
    <row r="64" ht="15" customHeight="1">
      <c r="A64" t="inlineStr">
        <is>
          <t>A 10419-2025</t>
        </is>
      </c>
      <c r="B64" s="1" t="n">
        <v>45720</v>
      </c>
      <c r="C64" s="1" t="n">
        <v>45933</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25205-2021</t>
        </is>
      </c>
      <c r="B65" s="1" t="n">
        <v>44342</v>
      </c>
      <c r="C65" s="1" t="n">
        <v>45933</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45933</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16823-2024</t>
        </is>
      </c>
      <c r="B67" s="1" t="n">
        <v>45411</v>
      </c>
      <c r="C67" s="1" t="n">
        <v>45933</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65819-2020</t>
        </is>
      </c>
      <c r="B68" s="1" t="n">
        <v>44174</v>
      </c>
      <c r="C68" s="1" t="n">
        <v>45933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446-2023</t>
        </is>
      </c>
      <c r="B69" s="1" t="n">
        <v>44929</v>
      </c>
      <c r="C69" s="1" t="n">
        <v>45933</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7038-2023</t>
        </is>
      </c>
      <c r="B70" s="1" t="n">
        <v>44968</v>
      </c>
      <c r="C70" s="1" t="n">
        <v>45933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45933</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45933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66091-2021</t>
        </is>
      </c>
      <c r="B73" s="1" t="n">
        <v>44517</v>
      </c>
      <c r="C73" s="1" t="n">
        <v>45933</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54055-2022</t>
        </is>
      </c>
      <c r="B74" s="1" t="n">
        <v>44881</v>
      </c>
      <c r="C74" s="1" t="n">
        <v>45933</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Diskvaxskivling
Kryddspindling
Olivspindling</t>
        </is>
      </c>
      <c r="S74">
        <f>HYPERLINK("https://klasma.github.io/Logging_0980/artfynd/A 54055-2022 artfynd.xlsx", "A 54055-2022")</f>
        <v/>
      </c>
      <c r="T74">
        <f>HYPERLINK("https://klasma.github.io/Logging_0980/kartor/A 54055-2022 karta.png", "A 54055-2022")</f>
        <v/>
      </c>
      <c r="V74">
        <f>HYPERLINK("https://klasma.github.io/Logging_0980/klagomål/A 54055-2022 FSC-klagomål.docx", "A 54055-2022")</f>
        <v/>
      </c>
      <c r="W74">
        <f>HYPERLINK("https://klasma.github.io/Logging_0980/klagomålsmail/A 54055-2022 FSC-klagomål mail.docx", "A 54055-2022")</f>
        <v/>
      </c>
      <c r="X74">
        <f>HYPERLINK("https://klasma.github.io/Logging_0980/tillsyn/A 54055-2022 tillsynsbegäran.docx", "A 54055-2022")</f>
        <v/>
      </c>
      <c r="Y74">
        <f>HYPERLINK("https://klasma.github.io/Logging_0980/tillsynsmail/A 54055-2022 tillsynsbegäran mail.docx", "A 54055-2022")</f>
        <v/>
      </c>
    </row>
    <row r="75" ht="15" customHeight="1">
      <c r="A75" t="inlineStr">
        <is>
          <t>A 42936-2024</t>
        </is>
      </c>
      <c r="B75" s="1" t="n">
        <v>45567</v>
      </c>
      <c r="C75" s="1" t="n">
        <v>45933</v>
      </c>
      <c r="D75" t="inlineStr">
        <is>
          <t>GOTLANDS LÄN</t>
        </is>
      </c>
      <c r="E75" t="inlineStr">
        <is>
          <t>GOTLAND</t>
        </is>
      </c>
      <c r="G75" t="n">
        <v>3.4</v>
      </c>
      <c r="H75" t="n">
        <v>0</v>
      </c>
      <c r="I75" t="n">
        <v>3</v>
      </c>
      <c r="J75" t="n">
        <v>1</v>
      </c>
      <c r="K75" t="n">
        <v>1</v>
      </c>
      <c r="L75" t="n">
        <v>0</v>
      </c>
      <c r="M75" t="n">
        <v>0</v>
      </c>
      <c r="N75" t="n">
        <v>0</v>
      </c>
      <c r="O75" t="n">
        <v>2</v>
      </c>
      <c r="P75" t="n">
        <v>1</v>
      </c>
      <c r="Q75" t="n">
        <v>5</v>
      </c>
      <c r="R75" s="2" t="inlineStr">
        <is>
          <t>Vit taggsvamp
Äggspindling
Barrfagerspindling
Blå slemspindling
Svavelriska</t>
        </is>
      </c>
      <c r="S75">
        <f>HYPERLINK("https://klasma.github.io/Logging_0980/artfynd/A 42936-2024 artfynd.xlsx", "A 42936-2024")</f>
        <v/>
      </c>
      <c r="T75">
        <f>HYPERLINK("https://klasma.github.io/Logging_0980/kartor/A 42936-2024 karta.png", "A 42936-2024")</f>
        <v/>
      </c>
      <c r="V75">
        <f>HYPERLINK("https://klasma.github.io/Logging_0980/klagomål/A 42936-2024 FSC-klagomål.docx", "A 42936-2024")</f>
        <v/>
      </c>
      <c r="W75">
        <f>HYPERLINK("https://klasma.github.io/Logging_0980/klagomålsmail/A 42936-2024 FSC-klagomål mail.docx", "A 42936-2024")</f>
        <v/>
      </c>
      <c r="X75">
        <f>HYPERLINK("https://klasma.github.io/Logging_0980/tillsyn/A 42936-2024 tillsynsbegäran.docx", "A 42936-2024")</f>
        <v/>
      </c>
      <c r="Y75">
        <f>HYPERLINK("https://klasma.github.io/Logging_0980/tillsynsmail/A 42936-2024 tillsynsbegäran mail.docx", "A 42936-2024")</f>
        <v/>
      </c>
    </row>
    <row r="76" ht="15" customHeight="1">
      <c r="A76" t="inlineStr">
        <is>
          <t>A 35293-2025</t>
        </is>
      </c>
      <c r="B76" s="1" t="n">
        <v>45854.39438657407</v>
      </c>
      <c r="C76" s="1" t="n">
        <v>45933</v>
      </c>
      <c r="D76" t="inlineStr">
        <is>
          <t>GOTLANDS LÄN</t>
        </is>
      </c>
      <c r="E76" t="inlineStr">
        <is>
          <t>GOTLAND</t>
        </is>
      </c>
      <c r="G76" t="n">
        <v>9.199999999999999</v>
      </c>
      <c r="H76" t="n">
        <v>1</v>
      </c>
      <c r="I76" t="n">
        <v>1</v>
      </c>
      <c r="J76" t="n">
        <v>4</v>
      </c>
      <c r="K76" t="n">
        <v>0</v>
      </c>
      <c r="L76" t="n">
        <v>0</v>
      </c>
      <c r="M76" t="n">
        <v>0</v>
      </c>
      <c r="N76" t="n">
        <v>0</v>
      </c>
      <c r="O76" t="n">
        <v>4</v>
      </c>
      <c r="P76" t="n">
        <v>0</v>
      </c>
      <c r="Q76" t="n">
        <v>5</v>
      </c>
      <c r="R76" s="2" t="inlineStr">
        <is>
          <t>Krusfrö
Loppstarr
Svinrot
Ängsstarr
Skogsknipprot</t>
        </is>
      </c>
      <c r="S76">
        <f>HYPERLINK("https://klasma.github.io/Logging_0980/artfynd/A 35293-2025 artfynd.xlsx", "A 35293-2025")</f>
        <v/>
      </c>
      <c r="T76">
        <f>HYPERLINK("https://klasma.github.io/Logging_0980/kartor/A 35293-2025 karta.png", "A 35293-2025")</f>
        <v/>
      </c>
      <c r="V76">
        <f>HYPERLINK("https://klasma.github.io/Logging_0980/klagomål/A 35293-2025 FSC-klagomål.docx", "A 35293-2025")</f>
        <v/>
      </c>
      <c r="W76">
        <f>HYPERLINK("https://klasma.github.io/Logging_0980/klagomålsmail/A 35293-2025 FSC-klagomål mail.docx", "A 35293-2025")</f>
        <v/>
      </c>
      <c r="X76">
        <f>HYPERLINK("https://klasma.github.io/Logging_0980/tillsyn/A 35293-2025 tillsynsbegäran.docx", "A 35293-2025")</f>
        <v/>
      </c>
      <c r="Y76">
        <f>HYPERLINK("https://klasma.github.io/Logging_0980/tillsynsmail/A 35293-2025 tillsynsbegäran mail.docx", "A 35293-2025")</f>
        <v/>
      </c>
    </row>
    <row r="77" ht="15" customHeight="1">
      <c r="A77" t="inlineStr">
        <is>
          <t>A 44944-2022</t>
        </is>
      </c>
      <c r="B77" s="1" t="n">
        <v>44841</v>
      </c>
      <c r="C77" s="1" t="n">
        <v>45933</v>
      </c>
      <c r="D77" t="inlineStr">
        <is>
          <t>GOTLANDS LÄN</t>
        </is>
      </c>
      <c r="E77" t="inlineStr">
        <is>
          <t>GOTLAND</t>
        </is>
      </c>
      <c r="G77" t="n">
        <v>2.8</v>
      </c>
      <c r="H77" t="n">
        <v>0</v>
      </c>
      <c r="I77" t="n">
        <v>3</v>
      </c>
      <c r="J77" t="n">
        <v>2</v>
      </c>
      <c r="K77" t="n">
        <v>0</v>
      </c>
      <c r="L77" t="n">
        <v>0</v>
      </c>
      <c r="M77" t="n">
        <v>0</v>
      </c>
      <c r="N77" t="n">
        <v>0</v>
      </c>
      <c r="O77" t="n">
        <v>2</v>
      </c>
      <c r="P77" t="n">
        <v>0</v>
      </c>
      <c r="Q77" t="n">
        <v>5</v>
      </c>
      <c r="R77" s="2" t="inlineStr">
        <is>
          <t>Denisespindling
Odörspindling
Anisspindling
Fjällig taggsvamp s.str.
Rödgul trumpetsvamp</t>
        </is>
      </c>
      <c r="S77">
        <f>HYPERLINK("https://klasma.github.io/Logging_0980/artfynd/A 44944-2022 artfynd.xlsx", "A 44944-2022")</f>
        <v/>
      </c>
      <c r="T77">
        <f>HYPERLINK("https://klasma.github.io/Logging_0980/kartor/A 44944-2022 karta.png", "A 44944-2022")</f>
        <v/>
      </c>
      <c r="V77">
        <f>HYPERLINK("https://klasma.github.io/Logging_0980/klagomål/A 44944-2022 FSC-klagomål.docx", "A 44944-2022")</f>
        <v/>
      </c>
      <c r="W77">
        <f>HYPERLINK("https://klasma.github.io/Logging_0980/klagomålsmail/A 44944-2022 FSC-klagomål mail.docx", "A 44944-2022")</f>
        <v/>
      </c>
      <c r="X77">
        <f>HYPERLINK("https://klasma.github.io/Logging_0980/tillsyn/A 44944-2022 tillsynsbegäran.docx", "A 44944-2022")</f>
        <v/>
      </c>
      <c r="Y77">
        <f>HYPERLINK("https://klasma.github.io/Logging_0980/tillsynsmail/A 44944-2022 tillsynsbegäran mail.docx", "A 44944-2022")</f>
        <v/>
      </c>
    </row>
    <row r="78" ht="15" customHeight="1">
      <c r="A78" t="inlineStr">
        <is>
          <t>A 39425-2023</t>
        </is>
      </c>
      <c r="B78" s="1" t="n">
        <v>45166</v>
      </c>
      <c r="C78" s="1" t="n">
        <v>45933</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2213-2023</t>
        </is>
      </c>
      <c r="B79" s="1" t="n">
        <v>44942</v>
      </c>
      <c r="C79" s="1" t="n">
        <v>45933</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45933</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16375-2025</t>
        </is>
      </c>
      <c r="B81" s="1" t="n">
        <v>45751.41064814815</v>
      </c>
      <c r="C81" s="1" t="n">
        <v>45933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29331-2021</t>
        </is>
      </c>
      <c r="B82" s="1" t="n">
        <v>44361</v>
      </c>
      <c r="C82" s="1" t="n">
        <v>45933</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44933-2022</t>
        </is>
      </c>
      <c r="B83" s="1" t="n">
        <v>44841</v>
      </c>
      <c r="C83" s="1" t="n">
        <v>45933</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54523-2023</t>
        </is>
      </c>
      <c r="B84" s="1" t="n">
        <v>45233</v>
      </c>
      <c r="C84" s="1" t="n">
        <v>45933</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6159-2023</t>
        </is>
      </c>
      <c r="B85" s="1" t="n">
        <v>44964</v>
      </c>
      <c r="C85" s="1" t="n">
        <v>45933</v>
      </c>
      <c r="D85" t="inlineStr">
        <is>
          <t>GOTLANDS LÄN</t>
        </is>
      </c>
      <c r="E85" t="inlineStr">
        <is>
          <t>GOTLAND</t>
        </is>
      </c>
      <c r="G85" t="n">
        <v>2</v>
      </c>
      <c r="H85" t="n">
        <v>0</v>
      </c>
      <c r="I85" t="n">
        <v>2</v>
      </c>
      <c r="J85" t="n">
        <v>2</v>
      </c>
      <c r="K85" t="n">
        <v>0</v>
      </c>
      <c r="L85" t="n">
        <v>0</v>
      </c>
      <c r="M85" t="n">
        <v>0</v>
      </c>
      <c r="N85" t="n">
        <v>0</v>
      </c>
      <c r="O85" t="n">
        <v>2</v>
      </c>
      <c r="P85" t="n">
        <v>0</v>
      </c>
      <c r="Q85" t="n">
        <v>4</v>
      </c>
      <c r="R85" s="2" t="inlineStr">
        <is>
          <t>Dofttaggsvamp
Odörspindling
Anisspindling
Olivspindling</t>
        </is>
      </c>
      <c r="S85">
        <f>HYPERLINK("https://klasma.github.io/Logging_0980/artfynd/A 6159-2023 artfynd.xlsx", "A 6159-2023")</f>
        <v/>
      </c>
      <c r="T85">
        <f>HYPERLINK("https://klasma.github.io/Logging_0980/kartor/A 6159-2023 karta.png", "A 6159-2023")</f>
        <v/>
      </c>
      <c r="V85">
        <f>HYPERLINK("https://klasma.github.io/Logging_0980/klagomål/A 6159-2023 FSC-klagomål.docx", "A 6159-2023")</f>
        <v/>
      </c>
      <c r="W85">
        <f>HYPERLINK("https://klasma.github.io/Logging_0980/klagomålsmail/A 6159-2023 FSC-klagomål mail.docx", "A 6159-2023")</f>
        <v/>
      </c>
      <c r="X85">
        <f>HYPERLINK("https://klasma.github.io/Logging_0980/tillsyn/A 6159-2023 tillsynsbegäran.docx", "A 6159-2023")</f>
        <v/>
      </c>
      <c r="Y85">
        <f>HYPERLINK("https://klasma.github.io/Logging_0980/tillsynsmail/A 6159-2023 tillsynsbegäran mail.docx", "A 6159-2023")</f>
        <v/>
      </c>
    </row>
    <row r="86" ht="15" customHeight="1">
      <c r="A86" t="inlineStr">
        <is>
          <t>A 43197-2023</t>
        </is>
      </c>
      <c r="B86" s="1" t="n">
        <v>45183</v>
      </c>
      <c r="C86" s="1" t="n">
        <v>45933</v>
      </c>
      <c r="D86" t="inlineStr">
        <is>
          <t>GOTLANDS LÄN</t>
        </is>
      </c>
      <c r="E86" t="inlineStr">
        <is>
          <t>GOTLAND</t>
        </is>
      </c>
      <c r="G86" t="n">
        <v>3.7</v>
      </c>
      <c r="H86" t="n">
        <v>2</v>
      </c>
      <c r="I86" t="n">
        <v>1</v>
      </c>
      <c r="J86" t="n">
        <v>1</v>
      </c>
      <c r="K86" t="n">
        <v>1</v>
      </c>
      <c r="L86" t="n">
        <v>0</v>
      </c>
      <c r="M86" t="n">
        <v>0</v>
      </c>
      <c r="N86" t="n">
        <v>0</v>
      </c>
      <c r="O86" t="n">
        <v>2</v>
      </c>
      <c r="P86" t="n">
        <v>1</v>
      </c>
      <c r="Q86" t="n">
        <v>4</v>
      </c>
      <c r="R86" s="2" t="inlineStr">
        <is>
          <t>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1971-2023</t>
        </is>
      </c>
      <c r="B87" s="1" t="n">
        <v>44939</v>
      </c>
      <c r="C87" s="1" t="n">
        <v>45933</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64378-2020</t>
        </is>
      </c>
      <c r="B88" s="1" t="n">
        <v>44168</v>
      </c>
      <c r="C88" s="1" t="n">
        <v>45933</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2485-2025</t>
        </is>
      </c>
      <c r="B89" s="1" t="n">
        <v>45673</v>
      </c>
      <c r="C89" s="1" t="n">
        <v>45933</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40099-2025</t>
        </is>
      </c>
      <c r="B90" s="1" t="n">
        <v>45894.48462962963</v>
      </c>
      <c r="C90" s="1" t="n">
        <v>45933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45933</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45933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8265-2023</t>
        </is>
      </c>
      <c r="B93" s="1" t="n">
        <v>44974</v>
      </c>
      <c r="C93" s="1" t="n">
        <v>45933</v>
      </c>
      <c r="D93" t="inlineStr">
        <is>
          <t>GOTLANDS LÄN</t>
        </is>
      </c>
      <c r="E93" t="inlineStr">
        <is>
          <t>GOTLAND</t>
        </is>
      </c>
      <c r="G93" t="n">
        <v>3.3</v>
      </c>
      <c r="H93" t="n">
        <v>4</v>
      </c>
      <c r="I93" t="n">
        <v>3</v>
      </c>
      <c r="J93" t="n">
        <v>0</v>
      </c>
      <c r="K93" t="n">
        <v>0</v>
      </c>
      <c r="L93" t="n">
        <v>0</v>
      </c>
      <c r="M93" t="n">
        <v>0</v>
      </c>
      <c r="N93" t="n">
        <v>0</v>
      </c>
      <c r="O93" t="n">
        <v>0</v>
      </c>
      <c r="P93" t="n">
        <v>0</v>
      </c>
      <c r="Q93" t="n">
        <v>4</v>
      </c>
      <c r="R93" s="2" t="inlineStr">
        <is>
          <t>Flugblomster
Purpurknipprot
Tvåblad
Salepsrot</t>
        </is>
      </c>
      <c r="S93">
        <f>HYPERLINK("https://klasma.github.io/Logging_0980/artfynd/A 8265-2023 artfynd.xlsx", "A 8265-2023")</f>
        <v/>
      </c>
      <c r="T93">
        <f>HYPERLINK("https://klasma.github.io/Logging_0980/kartor/A 8265-2023 karta.png", "A 8265-2023")</f>
        <v/>
      </c>
      <c r="V93">
        <f>HYPERLINK("https://klasma.github.io/Logging_0980/klagomål/A 8265-2023 FSC-klagomål.docx", "A 8265-2023")</f>
        <v/>
      </c>
      <c r="W93">
        <f>HYPERLINK("https://klasma.github.io/Logging_0980/klagomålsmail/A 8265-2023 FSC-klagomål mail.docx", "A 8265-2023")</f>
        <v/>
      </c>
      <c r="X93">
        <f>HYPERLINK("https://klasma.github.io/Logging_0980/tillsyn/A 8265-2023 tillsynsbegäran.docx", "A 8265-2023")</f>
        <v/>
      </c>
      <c r="Y93">
        <f>HYPERLINK("https://klasma.github.io/Logging_0980/tillsynsmail/A 8265-2023 tillsynsbegäran mail.docx", "A 8265-2023")</f>
        <v/>
      </c>
    </row>
    <row r="94" ht="15" customHeight="1">
      <c r="A94" t="inlineStr">
        <is>
          <t>A 186-2023</t>
        </is>
      </c>
      <c r="B94" s="1" t="n">
        <v>44928</v>
      </c>
      <c r="C94" s="1" t="n">
        <v>45933</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56717-2024</t>
        </is>
      </c>
      <c r="B95" s="1" t="n">
        <v>45628.3166550926</v>
      </c>
      <c r="C95" s="1" t="n">
        <v>45933</v>
      </c>
      <c r="D95" t="inlineStr">
        <is>
          <t>GOTLANDS LÄN</t>
        </is>
      </c>
      <c r="E95" t="inlineStr">
        <is>
          <t>GOTLAND</t>
        </is>
      </c>
      <c r="G95" t="n">
        <v>9.699999999999999</v>
      </c>
      <c r="H95" t="n">
        <v>0</v>
      </c>
      <c r="I95" t="n">
        <v>2</v>
      </c>
      <c r="J95" t="n">
        <v>2</v>
      </c>
      <c r="K95" t="n">
        <v>0</v>
      </c>
      <c r="L95" t="n">
        <v>0</v>
      </c>
      <c r="M95" t="n">
        <v>0</v>
      </c>
      <c r="N95" t="n">
        <v>0</v>
      </c>
      <c r="O95" t="n">
        <v>2</v>
      </c>
      <c r="P95" t="n">
        <v>0</v>
      </c>
      <c r="Q95" t="n">
        <v>4</v>
      </c>
      <c r="R95" s="2" t="inlineStr">
        <is>
          <t>Ekvaxskivling
Odörspindling
Fjällig taggsvamp s.str.
Kattfotslav</t>
        </is>
      </c>
      <c r="S95">
        <f>HYPERLINK("https://klasma.github.io/Logging_0980/artfynd/A 56717-2024 artfynd.xlsx", "A 56717-2024")</f>
        <v/>
      </c>
      <c r="T95">
        <f>HYPERLINK("https://klasma.github.io/Logging_0980/kartor/A 56717-2024 karta.png", "A 56717-2024")</f>
        <v/>
      </c>
      <c r="V95">
        <f>HYPERLINK("https://klasma.github.io/Logging_0980/klagomål/A 56717-2024 FSC-klagomål.docx", "A 56717-2024")</f>
        <v/>
      </c>
      <c r="W95">
        <f>HYPERLINK("https://klasma.github.io/Logging_0980/klagomålsmail/A 56717-2024 FSC-klagomål mail.docx", "A 56717-2024")</f>
        <v/>
      </c>
      <c r="X95">
        <f>HYPERLINK("https://klasma.github.io/Logging_0980/tillsyn/A 56717-2024 tillsynsbegäran.docx", "A 56717-2024")</f>
        <v/>
      </c>
      <c r="Y95">
        <f>HYPERLINK("https://klasma.github.io/Logging_0980/tillsynsmail/A 56717-2024 tillsynsbegäran mail.docx", "A 56717-2024")</f>
        <v/>
      </c>
    </row>
    <row r="96" ht="15" customHeight="1">
      <c r="A96" t="inlineStr">
        <is>
          <t>A 55029-2020</t>
        </is>
      </c>
      <c r="B96" s="1" t="n">
        <v>44130</v>
      </c>
      <c r="C96" s="1" t="n">
        <v>45933</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45933</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45933</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45933</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32718-2021</t>
        </is>
      </c>
      <c r="B101" s="1" t="n">
        <v>44375</v>
      </c>
      <c r="C101" s="1" t="n">
        <v>45933</v>
      </c>
      <c r="D101" t="inlineStr">
        <is>
          <t>GOTLANDS LÄN</t>
        </is>
      </c>
      <c r="E101" t="inlineStr">
        <is>
          <t>GOTLAND</t>
        </is>
      </c>
      <c r="G101" t="n">
        <v>2.1</v>
      </c>
      <c r="H101" t="n">
        <v>0</v>
      </c>
      <c r="I101" t="n">
        <v>1</v>
      </c>
      <c r="J101" t="n">
        <v>1</v>
      </c>
      <c r="K101" t="n">
        <v>1</v>
      </c>
      <c r="L101" t="n">
        <v>0</v>
      </c>
      <c r="M101" t="n">
        <v>0</v>
      </c>
      <c r="N101" t="n">
        <v>0</v>
      </c>
      <c r="O101" t="n">
        <v>2</v>
      </c>
      <c r="P101" t="n">
        <v>1</v>
      </c>
      <c r="Q101" t="n">
        <v>3</v>
      </c>
      <c r="R101" s="2" t="inlineStr">
        <is>
          <t>Skogskorn
Skugglosta
Strävlosta</t>
        </is>
      </c>
      <c r="S101">
        <f>HYPERLINK("https://klasma.github.io/Logging_0980/artfynd/A 32718-2021 artfynd.xlsx", "A 32718-2021")</f>
        <v/>
      </c>
      <c r="T101">
        <f>HYPERLINK("https://klasma.github.io/Logging_0980/kartor/A 32718-2021 karta.png", "A 32718-2021")</f>
        <v/>
      </c>
      <c r="V101">
        <f>HYPERLINK("https://klasma.github.io/Logging_0980/klagomål/A 32718-2021 FSC-klagomål.docx", "A 32718-2021")</f>
        <v/>
      </c>
      <c r="W101">
        <f>HYPERLINK("https://klasma.github.io/Logging_0980/klagomålsmail/A 32718-2021 FSC-klagomål mail.docx", "A 32718-2021")</f>
        <v/>
      </c>
      <c r="X101">
        <f>HYPERLINK("https://klasma.github.io/Logging_0980/tillsyn/A 32718-2021 tillsynsbegäran.docx", "A 32718-2021")</f>
        <v/>
      </c>
      <c r="Y101">
        <f>HYPERLINK("https://klasma.github.io/Logging_0980/tillsynsmail/A 32718-2021 tillsynsbegäran mail.docx", "A 32718-2021")</f>
        <v/>
      </c>
    </row>
    <row r="102" ht="15" customHeight="1">
      <c r="A102" t="inlineStr">
        <is>
          <t>A 2332-2021</t>
        </is>
      </c>
      <c r="B102" s="1" t="n">
        <v>44214</v>
      </c>
      <c r="C102" s="1" t="n">
        <v>45933</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17982-2023</t>
        </is>
      </c>
      <c r="B103" s="1" t="n">
        <v>45040</v>
      </c>
      <c r="C103" s="1" t="n">
        <v>45933</v>
      </c>
      <c r="D103" t="inlineStr">
        <is>
          <t>GOTLANDS LÄN</t>
        </is>
      </c>
      <c r="E103" t="inlineStr">
        <is>
          <t>GOTLAND</t>
        </is>
      </c>
      <c r="G103" t="n">
        <v>2.2</v>
      </c>
      <c r="H103" t="n">
        <v>0</v>
      </c>
      <c r="I103" t="n">
        <v>0</v>
      </c>
      <c r="J103" t="n">
        <v>2</v>
      </c>
      <c r="K103" t="n">
        <v>0</v>
      </c>
      <c r="L103" t="n">
        <v>0</v>
      </c>
      <c r="M103" t="n">
        <v>1</v>
      </c>
      <c r="N103" t="n">
        <v>0</v>
      </c>
      <c r="O103" t="n">
        <v>3</v>
      </c>
      <c r="P103" t="n">
        <v>1</v>
      </c>
      <c r="Q103" t="n">
        <v>3</v>
      </c>
      <c r="R103" s="2" t="inlineStr">
        <is>
          <t>Lundalm
Krusfrö
Ängsskära</t>
        </is>
      </c>
      <c r="S103">
        <f>HYPERLINK("https://klasma.github.io/Logging_0980/artfynd/A 17982-2023 artfynd.xlsx", "A 17982-2023")</f>
        <v/>
      </c>
      <c r="T103">
        <f>HYPERLINK("https://klasma.github.io/Logging_0980/kartor/A 17982-2023 karta.png", "A 17982-2023")</f>
        <v/>
      </c>
      <c r="V103">
        <f>HYPERLINK("https://klasma.github.io/Logging_0980/klagomål/A 17982-2023 FSC-klagomål.docx", "A 17982-2023")</f>
        <v/>
      </c>
      <c r="W103">
        <f>HYPERLINK("https://klasma.github.io/Logging_0980/klagomålsmail/A 17982-2023 FSC-klagomål mail.docx", "A 17982-2023")</f>
        <v/>
      </c>
      <c r="X103">
        <f>HYPERLINK("https://klasma.github.io/Logging_0980/tillsyn/A 17982-2023 tillsynsbegäran.docx", "A 17982-2023")</f>
        <v/>
      </c>
      <c r="Y103">
        <f>HYPERLINK("https://klasma.github.io/Logging_0980/tillsynsmail/A 17982-2023 tillsynsbegäran mail.docx", "A 17982-2023")</f>
        <v/>
      </c>
    </row>
    <row r="104" ht="15" customHeight="1">
      <c r="A104" t="inlineStr">
        <is>
          <t>A 17975-2024</t>
        </is>
      </c>
      <c r="B104" s="1" t="n">
        <v>45419.85546296297</v>
      </c>
      <c r="C104" s="1" t="n">
        <v>45933</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48126-2022</t>
        </is>
      </c>
      <c r="B105" s="1" t="n">
        <v>44857</v>
      </c>
      <c r="C105" s="1" t="n">
        <v>45933</v>
      </c>
      <c r="D105" t="inlineStr">
        <is>
          <t>GOTLANDS LÄN</t>
        </is>
      </c>
      <c r="E105" t="inlineStr">
        <is>
          <t>GOTLAND</t>
        </is>
      </c>
      <c r="G105" t="n">
        <v>9.800000000000001</v>
      </c>
      <c r="H105" t="n">
        <v>1</v>
      </c>
      <c r="I105" t="n">
        <v>0</v>
      </c>
      <c r="J105" t="n">
        <v>3</v>
      </c>
      <c r="K105" t="n">
        <v>0</v>
      </c>
      <c r="L105" t="n">
        <v>0</v>
      </c>
      <c r="M105" t="n">
        <v>0</v>
      </c>
      <c r="N105" t="n">
        <v>0</v>
      </c>
      <c r="O105" t="n">
        <v>3</v>
      </c>
      <c r="P105" t="n">
        <v>0</v>
      </c>
      <c r="Q105" t="n">
        <v>3</v>
      </c>
      <c r="R105" s="2" t="inlineStr">
        <is>
          <t>Jordtistel
Spillkråka
Svinrot</t>
        </is>
      </c>
      <c r="S105">
        <f>HYPERLINK("https://klasma.github.io/Logging_0980/artfynd/A 48126-2022 artfynd.xlsx", "A 48126-2022")</f>
        <v/>
      </c>
      <c r="T105">
        <f>HYPERLINK("https://klasma.github.io/Logging_0980/kartor/A 48126-2022 karta.png", "A 48126-2022")</f>
        <v/>
      </c>
      <c r="V105">
        <f>HYPERLINK("https://klasma.github.io/Logging_0980/klagomål/A 48126-2022 FSC-klagomål.docx", "A 48126-2022")</f>
        <v/>
      </c>
      <c r="W105">
        <f>HYPERLINK("https://klasma.github.io/Logging_0980/klagomålsmail/A 48126-2022 FSC-klagomål mail.docx", "A 48126-2022")</f>
        <v/>
      </c>
      <c r="X105">
        <f>HYPERLINK("https://klasma.github.io/Logging_0980/tillsyn/A 48126-2022 tillsynsbegäran.docx", "A 48126-2022")</f>
        <v/>
      </c>
      <c r="Y105">
        <f>HYPERLINK("https://klasma.github.io/Logging_0980/tillsynsmail/A 48126-2022 tillsynsbegäran mail.docx", "A 48126-2022")</f>
        <v/>
      </c>
      <c r="Z105">
        <f>HYPERLINK("https://klasma.github.io/Logging_0980/fåglar/A 48126-2022 prioriterade fågelarter.docx", "A 48126-2022")</f>
        <v/>
      </c>
    </row>
    <row r="106" ht="15" customHeight="1">
      <c r="A106" t="inlineStr">
        <is>
          <t>A 13499-2022</t>
        </is>
      </c>
      <c r="B106" s="1" t="n">
        <v>44647.79203703703</v>
      </c>
      <c r="C106" s="1" t="n">
        <v>45933</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30490-2025</t>
        </is>
      </c>
      <c r="B107" s="1" t="n">
        <v>45830</v>
      </c>
      <c r="C107" s="1" t="n">
        <v>45933</v>
      </c>
      <c r="D107" t="inlineStr">
        <is>
          <t>GOTLANDS LÄN</t>
        </is>
      </c>
      <c r="E107" t="inlineStr">
        <is>
          <t>GOTLAND</t>
        </is>
      </c>
      <c r="G107" t="n">
        <v>7.9</v>
      </c>
      <c r="H107" t="n">
        <v>1</v>
      </c>
      <c r="I107" t="n">
        <v>0</v>
      </c>
      <c r="J107" t="n">
        <v>2</v>
      </c>
      <c r="K107" t="n">
        <v>0</v>
      </c>
      <c r="L107" t="n">
        <v>0</v>
      </c>
      <c r="M107" t="n">
        <v>0</v>
      </c>
      <c r="N107" t="n">
        <v>0</v>
      </c>
      <c r="O107" t="n">
        <v>2</v>
      </c>
      <c r="P107" t="n">
        <v>0</v>
      </c>
      <c r="Q107" t="n">
        <v>3</v>
      </c>
      <c r="R107" s="2" t="inlineStr">
        <is>
          <t>Klasefibbla
Majviva
Nattviol</t>
        </is>
      </c>
      <c r="S107">
        <f>HYPERLINK("https://klasma.github.io/Logging_0980/artfynd/A 30490-2025 artfynd.xlsx", "A 30490-2025")</f>
        <v/>
      </c>
      <c r="T107">
        <f>HYPERLINK("https://klasma.github.io/Logging_0980/kartor/A 30490-2025 karta.png", "A 30490-2025")</f>
        <v/>
      </c>
      <c r="V107">
        <f>HYPERLINK("https://klasma.github.io/Logging_0980/klagomål/A 30490-2025 FSC-klagomål.docx", "A 30490-2025")</f>
        <v/>
      </c>
      <c r="W107">
        <f>HYPERLINK("https://klasma.github.io/Logging_0980/klagomålsmail/A 30490-2025 FSC-klagomål mail.docx", "A 30490-2025")</f>
        <v/>
      </c>
      <c r="X107">
        <f>HYPERLINK("https://klasma.github.io/Logging_0980/tillsyn/A 30490-2025 tillsynsbegäran.docx", "A 30490-2025")</f>
        <v/>
      </c>
      <c r="Y107">
        <f>HYPERLINK("https://klasma.github.io/Logging_0980/tillsynsmail/A 30490-2025 tillsynsbegäran mail.docx", "A 30490-2025")</f>
        <v/>
      </c>
    </row>
    <row r="108" ht="15" customHeight="1">
      <c r="A108" t="inlineStr">
        <is>
          <t>A 55334-2024</t>
        </is>
      </c>
      <c r="B108" s="1" t="n">
        <v>45621</v>
      </c>
      <c r="C108" s="1" t="n">
        <v>45933</v>
      </c>
      <c r="D108" t="inlineStr">
        <is>
          <t>GOTLANDS LÄN</t>
        </is>
      </c>
      <c r="E108" t="inlineStr">
        <is>
          <t>GOTLAND</t>
        </is>
      </c>
      <c r="G108" t="n">
        <v>21.7</v>
      </c>
      <c r="H108" t="n">
        <v>0</v>
      </c>
      <c r="I108" t="n">
        <v>3</v>
      </c>
      <c r="J108" t="n">
        <v>0</v>
      </c>
      <c r="K108" t="n">
        <v>0</v>
      </c>
      <c r="L108" t="n">
        <v>0</v>
      </c>
      <c r="M108" t="n">
        <v>0</v>
      </c>
      <c r="N108" t="n">
        <v>0</v>
      </c>
      <c r="O108" t="n">
        <v>0</v>
      </c>
      <c r="P108" t="n">
        <v>0</v>
      </c>
      <c r="Q108" t="n">
        <v>3</v>
      </c>
      <c r="R108" s="2" t="inlineStr">
        <is>
          <t>Anisspindling
Besk kastanjemusseron
Svavelriska</t>
        </is>
      </c>
      <c r="S108">
        <f>HYPERLINK("https://klasma.github.io/Logging_0980/artfynd/A 55334-2024 artfynd.xlsx", "A 55334-2024")</f>
        <v/>
      </c>
      <c r="T108">
        <f>HYPERLINK("https://klasma.github.io/Logging_0980/kartor/A 55334-2024 karta.png", "A 55334-2024")</f>
        <v/>
      </c>
      <c r="V108">
        <f>HYPERLINK("https://klasma.github.io/Logging_0980/klagomål/A 55334-2024 FSC-klagomål.docx", "A 55334-2024")</f>
        <v/>
      </c>
      <c r="W108">
        <f>HYPERLINK("https://klasma.github.io/Logging_0980/klagomålsmail/A 55334-2024 FSC-klagomål mail.docx", "A 55334-2024")</f>
        <v/>
      </c>
      <c r="X108">
        <f>HYPERLINK("https://klasma.github.io/Logging_0980/tillsyn/A 55334-2024 tillsynsbegäran.docx", "A 55334-2024")</f>
        <v/>
      </c>
      <c r="Y108">
        <f>HYPERLINK("https://klasma.github.io/Logging_0980/tillsynsmail/A 55334-2024 tillsynsbegäran mail.docx", "A 55334-2024")</f>
        <v/>
      </c>
    </row>
    <row r="109" ht="15" customHeight="1">
      <c r="A109" t="inlineStr">
        <is>
          <t>A 20831-2024</t>
        </is>
      </c>
      <c r="B109" s="1" t="n">
        <v>45439</v>
      </c>
      <c r="C109" s="1" t="n">
        <v>45933</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12315-2024</t>
        </is>
      </c>
      <c r="B110" s="1" t="n">
        <v>45378.6434837963</v>
      </c>
      <c r="C110" s="1" t="n">
        <v>45933</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43013-2022</t>
        </is>
      </c>
      <c r="B111" s="1" t="n">
        <v>44833</v>
      </c>
      <c r="C111" s="1" t="n">
        <v>45933</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45933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45933</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62326-2020</t>
        </is>
      </c>
      <c r="B114" s="1" t="n">
        <v>44160</v>
      </c>
      <c r="C114" s="1" t="n">
        <v>45933</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73144-2021</t>
        </is>
      </c>
      <c r="B115" s="1" t="n">
        <v>44550</v>
      </c>
      <c r="C115" s="1" t="n">
        <v>45933</v>
      </c>
      <c r="D115" t="inlineStr">
        <is>
          <t>GOTLANDS LÄN</t>
        </is>
      </c>
      <c r="E115" t="inlineStr">
        <is>
          <t>GOTLAND</t>
        </is>
      </c>
      <c r="G115" t="n">
        <v>1.9</v>
      </c>
      <c r="H115" t="n">
        <v>0</v>
      </c>
      <c r="I115" t="n">
        <v>1</v>
      </c>
      <c r="J115" t="n">
        <v>1</v>
      </c>
      <c r="K115" t="n">
        <v>1</v>
      </c>
      <c r="L115" t="n">
        <v>0</v>
      </c>
      <c r="M115" t="n">
        <v>0</v>
      </c>
      <c r="N115" t="n">
        <v>0</v>
      </c>
      <c r="O115" t="n">
        <v>2</v>
      </c>
      <c r="P115" t="n">
        <v>1</v>
      </c>
      <c r="Q115" t="n">
        <v>3</v>
      </c>
      <c r="R115" s="2" t="inlineStr">
        <is>
          <t>Skogskorn
Igelkott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29870-2021</t>
        </is>
      </c>
      <c r="B116" s="1" t="n">
        <v>44362</v>
      </c>
      <c r="C116" s="1" t="n">
        <v>45933</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45933</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45933</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45933</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45933</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60665-2021</t>
        </is>
      </c>
      <c r="B121" s="1" t="n">
        <v>44496</v>
      </c>
      <c r="C121" s="1" t="n">
        <v>45933</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45933</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26077-2024</t>
        </is>
      </c>
      <c r="B123" s="1" t="n">
        <v>45467</v>
      </c>
      <c r="C123" s="1" t="n">
        <v>45933</v>
      </c>
      <c r="D123" t="inlineStr">
        <is>
          <t>GOTLANDS LÄN</t>
        </is>
      </c>
      <c r="E123" t="inlineStr">
        <is>
          <t>GOTLAND</t>
        </is>
      </c>
      <c r="G123" t="n">
        <v>4.6</v>
      </c>
      <c r="H123" t="n">
        <v>0</v>
      </c>
      <c r="I123" t="n">
        <v>0</v>
      </c>
      <c r="J123" t="n">
        <v>1</v>
      </c>
      <c r="K123" t="n">
        <v>0</v>
      </c>
      <c r="L123" t="n">
        <v>1</v>
      </c>
      <c r="M123" t="n">
        <v>0</v>
      </c>
      <c r="N123" t="n">
        <v>0</v>
      </c>
      <c r="O123" t="n">
        <v>2</v>
      </c>
      <c r="P123" t="n">
        <v>1</v>
      </c>
      <c r="Q123" t="n">
        <v>2</v>
      </c>
      <c r="R123" s="2" t="inlineStr">
        <is>
          <t>Ask
Tallticka</t>
        </is>
      </c>
      <c r="S123">
        <f>HYPERLINK("https://klasma.github.io/Logging_0980/artfynd/A 26077-2024 artfynd.xlsx", "A 26077-2024")</f>
        <v/>
      </c>
      <c r="T123">
        <f>HYPERLINK("https://klasma.github.io/Logging_0980/kartor/A 26077-2024 karta.png", "A 26077-2024")</f>
        <v/>
      </c>
      <c r="V123">
        <f>HYPERLINK("https://klasma.github.io/Logging_0980/klagomål/A 26077-2024 FSC-klagomål.docx", "A 26077-2024")</f>
        <v/>
      </c>
      <c r="W123">
        <f>HYPERLINK("https://klasma.github.io/Logging_0980/klagomålsmail/A 26077-2024 FSC-klagomål mail.docx", "A 26077-2024")</f>
        <v/>
      </c>
      <c r="X123">
        <f>HYPERLINK("https://klasma.github.io/Logging_0980/tillsyn/A 26077-2024 tillsynsbegäran.docx", "A 26077-2024")</f>
        <v/>
      </c>
      <c r="Y123">
        <f>HYPERLINK("https://klasma.github.io/Logging_0980/tillsynsmail/A 26077-2024 tillsynsbegäran mail.docx", "A 26077-2024")</f>
        <v/>
      </c>
    </row>
    <row r="124" ht="15" customHeight="1">
      <c r="A124" t="inlineStr">
        <is>
          <t>A 54357-2024</t>
        </is>
      </c>
      <c r="B124" s="1" t="n">
        <v>45617.40662037037</v>
      </c>
      <c r="C124" s="1" t="n">
        <v>45933</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58701-2020</t>
        </is>
      </c>
      <c r="B125" s="1" t="n">
        <v>44146</v>
      </c>
      <c r="C125" s="1" t="n">
        <v>45933</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7070-2022</t>
        </is>
      </c>
      <c r="B126" s="1" t="n">
        <v>44603</v>
      </c>
      <c r="C126" s="1" t="n">
        <v>45933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43219-2023</t>
        </is>
      </c>
      <c r="B127" s="1" t="n">
        <v>45183</v>
      </c>
      <c r="C127" s="1" t="n">
        <v>45933</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41238-2025</t>
        </is>
      </c>
      <c r="B128" s="1" t="n">
        <v>45898</v>
      </c>
      <c r="C128" s="1" t="n">
        <v>45933</v>
      </c>
      <c r="D128" t="inlineStr">
        <is>
          <t>GOTLANDS LÄN</t>
        </is>
      </c>
      <c r="E128" t="inlineStr">
        <is>
          <t>GOTLAND</t>
        </is>
      </c>
      <c r="G128" t="n">
        <v>7.1</v>
      </c>
      <c r="H128" t="n">
        <v>1</v>
      </c>
      <c r="I128" t="n">
        <v>2</v>
      </c>
      <c r="J128" t="n">
        <v>0</v>
      </c>
      <c r="K128" t="n">
        <v>0</v>
      </c>
      <c r="L128" t="n">
        <v>0</v>
      </c>
      <c r="M128" t="n">
        <v>0</v>
      </c>
      <c r="N128" t="n">
        <v>0</v>
      </c>
      <c r="O128" t="n">
        <v>0</v>
      </c>
      <c r="P128" t="n">
        <v>0</v>
      </c>
      <c r="Q128" t="n">
        <v>2</v>
      </c>
      <c r="R128" s="2" t="inlineStr">
        <is>
          <t>Granbarkgnagare
Skogsknipprot</t>
        </is>
      </c>
      <c r="S128">
        <f>HYPERLINK("https://klasma.github.io/Logging_0980/artfynd/A 41238-2025 artfynd.xlsx", "A 41238-2025")</f>
        <v/>
      </c>
      <c r="T128">
        <f>HYPERLINK("https://klasma.github.io/Logging_0980/kartor/A 41238-2025 karta.png", "A 41238-2025")</f>
        <v/>
      </c>
      <c r="V128">
        <f>HYPERLINK("https://klasma.github.io/Logging_0980/klagomål/A 41238-2025 FSC-klagomål.docx", "A 41238-2025")</f>
        <v/>
      </c>
      <c r="W128">
        <f>HYPERLINK("https://klasma.github.io/Logging_0980/klagomålsmail/A 41238-2025 FSC-klagomål mail.docx", "A 41238-2025")</f>
        <v/>
      </c>
      <c r="X128">
        <f>HYPERLINK("https://klasma.github.io/Logging_0980/tillsyn/A 41238-2025 tillsynsbegäran.docx", "A 41238-2025")</f>
        <v/>
      </c>
      <c r="Y128">
        <f>HYPERLINK("https://klasma.github.io/Logging_0980/tillsynsmail/A 41238-2025 tillsynsbegäran mail.docx", "A 41238-2025")</f>
        <v/>
      </c>
    </row>
    <row r="129" ht="15" customHeight="1">
      <c r="A129" t="inlineStr">
        <is>
          <t>A 12914-2025</t>
        </is>
      </c>
      <c r="B129" s="1" t="n">
        <v>45733</v>
      </c>
      <c r="C129" s="1" t="n">
        <v>45933</v>
      </c>
      <c r="D129" t="inlineStr">
        <is>
          <t>GOTLANDS LÄN</t>
        </is>
      </c>
      <c r="E129" t="inlineStr">
        <is>
          <t>GOTLAND</t>
        </is>
      </c>
      <c r="G129" t="n">
        <v>24.8</v>
      </c>
      <c r="H129" t="n">
        <v>2</v>
      </c>
      <c r="I129" t="n">
        <v>1</v>
      </c>
      <c r="J129" t="n">
        <v>0</v>
      </c>
      <c r="K129" t="n">
        <v>0</v>
      </c>
      <c r="L129" t="n">
        <v>0</v>
      </c>
      <c r="M129" t="n">
        <v>0</v>
      </c>
      <c r="N129" t="n">
        <v>0</v>
      </c>
      <c r="O129" t="n">
        <v>0</v>
      </c>
      <c r="P129" t="n">
        <v>0</v>
      </c>
      <c r="Q129" t="n">
        <v>2</v>
      </c>
      <c r="R129" s="2" t="inlineStr">
        <is>
          <t>Purpurknipprot
Brudsporre</t>
        </is>
      </c>
      <c r="S129">
        <f>HYPERLINK("https://klasma.github.io/Logging_0980/artfynd/A 12914-2025 artfynd.xlsx", "A 12914-2025")</f>
        <v/>
      </c>
      <c r="T129">
        <f>HYPERLINK("https://klasma.github.io/Logging_0980/kartor/A 12914-2025 karta.png", "A 12914-2025")</f>
        <v/>
      </c>
      <c r="V129">
        <f>HYPERLINK("https://klasma.github.io/Logging_0980/klagomål/A 12914-2025 FSC-klagomål.docx", "A 12914-2025")</f>
        <v/>
      </c>
      <c r="W129">
        <f>HYPERLINK("https://klasma.github.io/Logging_0980/klagomålsmail/A 12914-2025 FSC-klagomål mail.docx", "A 12914-2025")</f>
        <v/>
      </c>
      <c r="X129">
        <f>HYPERLINK("https://klasma.github.io/Logging_0980/tillsyn/A 12914-2025 tillsynsbegäran.docx", "A 12914-2025")</f>
        <v/>
      </c>
      <c r="Y129">
        <f>HYPERLINK("https://klasma.github.io/Logging_0980/tillsynsmail/A 12914-2025 tillsynsbegäran mail.docx", "A 12914-2025")</f>
        <v/>
      </c>
    </row>
    <row r="130" ht="15" customHeight="1">
      <c r="A130" t="inlineStr">
        <is>
          <t>A 28261-2024</t>
        </is>
      </c>
      <c r="B130" s="1" t="n">
        <v>45477</v>
      </c>
      <c r="C130" s="1" t="n">
        <v>45933</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28261-2024 artfynd.xlsx", "A 28261-2024")</f>
        <v/>
      </c>
      <c r="T130">
        <f>HYPERLINK("https://klasma.github.io/Logging_0980/kartor/A 28261-2024 karta.png", "A 28261-2024")</f>
        <v/>
      </c>
      <c r="V130">
        <f>HYPERLINK("https://klasma.github.io/Logging_0980/klagomål/A 28261-2024 FSC-klagomål.docx", "A 28261-2024")</f>
        <v/>
      </c>
      <c r="W130">
        <f>HYPERLINK("https://klasma.github.io/Logging_0980/klagomålsmail/A 28261-2024 FSC-klagomål mail.docx", "A 28261-2024")</f>
        <v/>
      </c>
      <c r="X130">
        <f>HYPERLINK("https://klasma.github.io/Logging_0980/tillsyn/A 28261-2024 tillsynsbegäran.docx", "A 28261-2024")</f>
        <v/>
      </c>
      <c r="Y130">
        <f>HYPERLINK("https://klasma.github.io/Logging_0980/tillsynsmail/A 28261-2024 tillsynsbegäran mail.docx", "A 28261-2024")</f>
        <v/>
      </c>
    </row>
    <row r="131" ht="15" customHeight="1">
      <c r="A131" t="inlineStr">
        <is>
          <t>A 55649-2024</t>
        </is>
      </c>
      <c r="B131" s="1" t="n">
        <v>45622.63053240741</v>
      </c>
      <c r="C131" s="1" t="n">
        <v>45933</v>
      </c>
      <c r="D131" t="inlineStr">
        <is>
          <t>GOTLANDS LÄN</t>
        </is>
      </c>
      <c r="E131" t="inlineStr">
        <is>
          <t>GOTLAND</t>
        </is>
      </c>
      <c r="G131" t="n">
        <v>4.6</v>
      </c>
      <c r="H131" t="n">
        <v>2</v>
      </c>
      <c r="I131" t="n">
        <v>0</v>
      </c>
      <c r="J131" t="n">
        <v>0</v>
      </c>
      <c r="K131" t="n">
        <v>0</v>
      </c>
      <c r="L131" t="n">
        <v>0</v>
      </c>
      <c r="M131" t="n">
        <v>0</v>
      </c>
      <c r="N131" t="n">
        <v>0</v>
      </c>
      <c r="O131" t="n">
        <v>0</v>
      </c>
      <c r="P131" t="n">
        <v>0</v>
      </c>
      <c r="Q131" t="n">
        <v>2</v>
      </c>
      <c r="R131" s="2" t="inlineStr">
        <is>
          <t>Sankt pers nycklar
Blåsippa</t>
        </is>
      </c>
      <c r="S131">
        <f>HYPERLINK("https://klasma.github.io/Logging_0980/artfynd/A 55649-2024 artfynd.xlsx", "A 55649-2024")</f>
        <v/>
      </c>
      <c r="T131">
        <f>HYPERLINK("https://klasma.github.io/Logging_0980/kartor/A 55649-2024 karta.png", "A 55649-2024")</f>
        <v/>
      </c>
      <c r="V131">
        <f>HYPERLINK("https://klasma.github.io/Logging_0980/klagomål/A 55649-2024 FSC-klagomål.docx", "A 55649-2024")</f>
        <v/>
      </c>
      <c r="W131">
        <f>HYPERLINK("https://klasma.github.io/Logging_0980/klagomålsmail/A 55649-2024 FSC-klagomål mail.docx", "A 55649-2024")</f>
        <v/>
      </c>
      <c r="X131">
        <f>HYPERLINK("https://klasma.github.io/Logging_0980/tillsyn/A 55649-2024 tillsynsbegäran.docx", "A 55649-2024")</f>
        <v/>
      </c>
      <c r="Y131">
        <f>HYPERLINK("https://klasma.github.io/Logging_0980/tillsynsmail/A 55649-2024 tillsynsbegäran mail.docx", "A 55649-2024")</f>
        <v/>
      </c>
    </row>
    <row r="132" ht="15" customHeight="1">
      <c r="A132" t="inlineStr">
        <is>
          <t>A 20838-2024</t>
        </is>
      </c>
      <c r="B132" s="1" t="n">
        <v>45439</v>
      </c>
      <c r="C132" s="1" t="n">
        <v>45933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64263-2020</t>
        </is>
      </c>
      <c r="B133" s="1" t="n">
        <v>44168</v>
      </c>
      <c r="C133" s="1" t="n">
        <v>45933</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13627-2023</t>
        </is>
      </c>
      <c r="B134" s="1" t="n">
        <v>45006</v>
      </c>
      <c r="C134" s="1" t="n">
        <v>45933</v>
      </c>
      <c r="D134" t="inlineStr">
        <is>
          <t>GOTLANDS LÄN</t>
        </is>
      </c>
      <c r="E134" t="inlineStr">
        <is>
          <t>GOTLAND</t>
        </is>
      </c>
      <c r="G134" t="n">
        <v>10.7</v>
      </c>
      <c r="H134" t="n">
        <v>0</v>
      </c>
      <c r="I134" t="n">
        <v>0</v>
      </c>
      <c r="J134" t="n">
        <v>1</v>
      </c>
      <c r="K134" t="n">
        <v>1</v>
      </c>
      <c r="L134" t="n">
        <v>0</v>
      </c>
      <c r="M134" t="n">
        <v>0</v>
      </c>
      <c r="N134" t="n">
        <v>0</v>
      </c>
      <c r="O134" t="n">
        <v>2</v>
      </c>
      <c r="P134" t="n">
        <v>1</v>
      </c>
      <c r="Q134" t="n">
        <v>2</v>
      </c>
      <c r="R134" s="2" t="inlineStr">
        <is>
          <t>Sammetsbockrot
Igelkott</t>
        </is>
      </c>
      <c r="S134">
        <f>HYPERLINK("https://klasma.github.io/Logging_0980/artfynd/A 13627-2023 artfynd.xlsx", "A 13627-2023")</f>
        <v/>
      </c>
      <c r="T134">
        <f>HYPERLINK("https://klasma.github.io/Logging_0980/kartor/A 13627-2023 karta.png", "A 13627-2023")</f>
        <v/>
      </c>
      <c r="V134">
        <f>HYPERLINK("https://klasma.github.io/Logging_0980/klagomål/A 13627-2023 FSC-klagomål.docx", "A 13627-2023")</f>
        <v/>
      </c>
      <c r="W134">
        <f>HYPERLINK("https://klasma.github.io/Logging_0980/klagomålsmail/A 13627-2023 FSC-klagomål mail.docx", "A 13627-2023")</f>
        <v/>
      </c>
      <c r="X134">
        <f>HYPERLINK("https://klasma.github.io/Logging_0980/tillsyn/A 13627-2023 tillsynsbegäran.docx", "A 13627-2023")</f>
        <v/>
      </c>
      <c r="Y134">
        <f>HYPERLINK("https://klasma.github.io/Logging_0980/tillsynsmail/A 13627-2023 tillsynsbegäran mail.docx", "A 13627-2023")</f>
        <v/>
      </c>
    </row>
    <row r="135" ht="15" customHeight="1">
      <c r="A135" t="inlineStr">
        <is>
          <t>A 28276-2024</t>
        </is>
      </c>
      <c r="B135" s="1" t="n">
        <v>45477</v>
      </c>
      <c r="C135" s="1" t="n">
        <v>45933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21879-2025</t>
        </is>
      </c>
      <c r="B136" s="1" t="n">
        <v>45784.40533564815</v>
      </c>
      <c r="C136" s="1" t="n">
        <v>45933</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24-2021</t>
        </is>
      </c>
      <c r="B137" s="1" t="n">
        <v>44197</v>
      </c>
      <c r="C137" s="1" t="n">
        <v>45933</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45933</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45933</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1477-2024</t>
        </is>
      </c>
      <c r="B142" s="1" t="n">
        <v>45305.37987268518</v>
      </c>
      <c r="C142" s="1" t="n">
        <v>45933</v>
      </c>
      <c r="D142" t="inlineStr">
        <is>
          <t>GOTLANDS LÄN</t>
        </is>
      </c>
      <c r="E142" t="inlineStr">
        <is>
          <t>GOTLAND</t>
        </is>
      </c>
      <c r="G142" t="n">
        <v>6.9</v>
      </c>
      <c r="H142" t="n">
        <v>0</v>
      </c>
      <c r="I142" t="n">
        <v>0</v>
      </c>
      <c r="J142" t="n">
        <v>1</v>
      </c>
      <c r="K142" t="n">
        <v>0</v>
      </c>
      <c r="L142" t="n">
        <v>0</v>
      </c>
      <c r="M142" t="n">
        <v>0</v>
      </c>
      <c r="N142" t="n">
        <v>0</v>
      </c>
      <c r="O142" t="n">
        <v>1</v>
      </c>
      <c r="P142" t="n">
        <v>0</v>
      </c>
      <c r="Q142" t="n">
        <v>1</v>
      </c>
      <c r="R142" s="2" t="inlineStr">
        <is>
          <t>Igelkott</t>
        </is>
      </c>
      <c r="S142">
        <f>HYPERLINK("https://klasma.github.io/Logging_0980/artfynd/A 1477-2024 artfynd.xlsx", "A 1477-2024")</f>
        <v/>
      </c>
      <c r="T142">
        <f>HYPERLINK("https://klasma.github.io/Logging_0980/kartor/A 1477-2024 karta.png", "A 1477-2024")</f>
        <v/>
      </c>
      <c r="V142">
        <f>HYPERLINK("https://klasma.github.io/Logging_0980/klagomål/A 1477-2024 FSC-klagomål.docx", "A 1477-2024")</f>
        <v/>
      </c>
      <c r="W142">
        <f>HYPERLINK("https://klasma.github.io/Logging_0980/klagomålsmail/A 1477-2024 FSC-klagomål mail.docx", "A 1477-2024")</f>
        <v/>
      </c>
      <c r="X142">
        <f>HYPERLINK("https://klasma.github.io/Logging_0980/tillsyn/A 1477-2024 tillsynsbegäran.docx", "A 1477-2024")</f>
        <v/>
      </c>
      <c r="Y142">
        <f>HYPERLINK("https://klasma.github.io/Logging_0980/tillsynsmail/A 1477-2024 tillsynsbegäran mail.docx", "A 1477-2024")</f>
        <v/>
      </c>
    </row>
    <row r="143" ht="15" customHeight="1">
      <c r="A143" t="inlineStr">
        <is>
          <t>A 35574-2024</t>
        </is>
      </c>
      <c r="B143" s="1" t="n">
        <v>45531</v>
      </c>
      <c r="C143" s="1" t="n">
        <v>45933</v>
      </c>
      <c r="D143" t="inlineStr">
        <is>
          <t>GOTLANDS LÄN</t>
        </is>
      </c>
      <c r="E143" t="inlineStr">
        <is>
          <t>GOTLAND</t>
        </is>
      </c>
      <c r="G143" t="n">
        <v>5.7</v>
      </c>
      <c r="H143" t="n">
        <v>0</v>
      </c>
      <c r="I143" t="n">
        <v>1</v>
      </c>
      <c r="J143" t="n">
        <v>0</v>
      </c>
      <c r="K143" t="n">
        <v>0</v>
      </c>
      <c r="L143" t="n">
        <v>0</v>
      </c>
      <c r="M143" t="n">
        <v>0</v>
      </c>
      <c r="N143" t="n">
        <v>0</v>
      </c>
      <c r="O143" t="n">
        <v>0</v>
      </c>
      <c r="P143" t="n">
        <v>0</v>
      </c>
      <c r="Q143" t="n">
        <v>1</v>
      </c>
      <c r="R143" s="2" t="inlineStr">
        <is>
          <t>Murgröna</t>
        </is>
      </c>
      <c r="S143">
        <f>HYPERLINK("https://klasma.github.io/Logging_0980/artfynd/A 35574-2024 artfynd.xlsx", "A 35574-2024")</f>
        <v/>
      </c>
      <c r="T143">
        <f>HYPERLINK("https://klasma.github.io/Logging_0980/kartor/A 35574-2024 karta.png", "A 35574-2024")</f>
        <v/>
      </c>
      <c r="V143">
        <f>HYPERLINK("https://klasma.github.io/Logging_0980/klagomål/A 35574-2024 FSC-klagomål.docx", "A 35574-2024")</f>
        <v/>
      </c>
      <c r="W143">
        <f>HYPERLINK("https://klasma.github.io/Logging_0980/klagomålsmail/A 35574-2024 FSC-klagomål mail.docx", "A 35574-2024")</f>
        <v/>
      </c>
      <c r="X143">
        <f>HYPERLINK("https://klasma.github.io/Logging_0980/tillsyn/A 35574-2024 tillsynsbegäran.docx", "A 35574-2024")</f>
        <v/>
      </c>
      <c r="Y143">
        <f>HYPERLINK("https://klasma.github.io/Logging_0980/tillsynsmail/A 35574-2024 tillsynsbegäran mail.docx", "A 35574-2024")</f>
        <v/>
      </c>
    </row>
    <row r="144" ht="15" customHeight="1">
      <c r="A144" t="inlineStr">
        <is>
          <t>A 7637-2025</t>
        </is>
      </c>
      <c r="B144" s="1" t="n">
        <v>45705.77181712963</v>
      </c>
      <c r="C144" s="1" t="n">
        <v>45933</v>
      </c>
      <c r="D144" t="inlineStr">
        <is>
          <t>GOTLANDS LÄN</t>
        </is>
      </c>
      <c r="E144" t="inlineStr">
        <is>
          <t>GOTLAND</t>
        </is>
      </c>
      <c r="G144" t="n">
        <v>3.7</v>
      </c>
      <c r="H144" t="n">
        <v>0</v>
      </c>
      <c r="I144" t="n">
        <v>0</v>
      </c>
      <c r="J144" t="n">
        <v>0</v>
      </c>
      <c r="K144" t="n">
        <v>0</v>
      </c>
      <c r="L144" t="n">
        <v>0</v>
      </c>
      <c r="M144" t="n">
        <v>1</v>
      </c>
      <c r="N144" t="n">
        <v>0</v>
      </c>
      <c r="O144" t="n">
        <v>1</v>
      </c>
      <c r="P144" t="n">
        <v>1</v>
      </c>
      <c r="Q144" t="n">
        <v>1</v>
      </c>
      <c r="R144" s="2" t="inlineStr">
        <is>
          <t>Skogsalm</t>
        </is>
      </c>
      <c r="S144">
        <f>HYPERLINK("https://klasma.github.io/Logging_0980/artfynd/A 7637-2025 artfynd.xlsx", "A 7637-2025")</f>
        <v/>
      </c>
      <c r="T144">
        <f>HYPERLINK("https://klasma.github.io/Logging_0980/kartor/A 7637-2025 karta.png", "A 7637-2025")</f>
        <v/>
      </c>
      <c r="V144">
        <f>HYPERLINK("https://klasma.github.io/Logging_0980/klagomål/A 7637-2025 FSC-klagomål.docx", "A 7637-2025")</f>
        <v/>
      </c>
      <c r="W144">
        <f>HYPERLINK("https://klasma.github.io/Logging_0980/klagomålsmail/A 7637-2025 FSC-klagomål mail.docx", "A 7637-2025")</f>
        <v/>
      </c>
      <c r="X144">
        <f>HYPERLINK("https://klasma.github.io/Logging_0980/tillsyn/A 7637-2025 tillsynsbegäran.docx", "A 7637-2025")</f>
        <v/>
      </c>
      <c r="Y144">
        <f>HYPERLINK("https://klasma.github.io/Logging_0980/tillsynsmail/A 7637-2025 tillsynsbegäran mail.docx", "A 7637-2025")</f>
        <v/>
      </c>
    </row>
    <row r="145" ht="15" customHeight="1">
      <c r="A145" t="inlineStr">
        <is>
          <t>A 26461-2025</t>
        </is>
      </c>
      <c r="B145" s="1" t="n">
        <v>45807.43337962963</v>
      </c>
      <c r="C145" s="1" t="n">
        <v>45933</v>
      </c>
      <c r="D145" t="inlineStr">
        <is>
          <t>GOTLANDS LÄN</t>
        </is>
      </c>
      <c r="E145" t="inlineStr">
        <is>
          <t>GOTLAND</t>
        </is>
      </c>
      <c r="G145" t="n">
        <v>4.1</v>
      </c>
      <c r="H145" t="n">
        <v>0</v>
      </c>
      <c r="I145" t="n">
        <v>0</v>
      </c>
      <c r="J145" t="n">
        <v>0</v>
      </c>
      <c r="K145" t="n">
        <v>1</v>
      </c>
      <c r="L145" t="n">
        <v>0</v>
      </c>
      <c r="M145" t="n">
        <v>0</v>
      </c>
      <c r="N145" t="n">
        <v>0</v>
      </c>
      <c r="O145" t="n">
        <v>1</v>
      </c>
      <c r="P145" t="n">
        <v>1</v>
      </c>
      <c r="Q145" t="n">
        <v>1</v>
      </c>
      <c r="R145" s="2" t="inlineStr">
        <is>
          <t>Gotlandsmåra</t>
        </is>
      </c>
      <c r="S145">
        <f>HYPERLINK("https://klasma.github.io/Logging_0980/artfynd/A 26461-2025 artfynd.xlsx", "A 26461-2025")</f>
        <v/>
      </c>
      <c r="T145">
        <f>HYPERLINK("https://klasma.github.io/Logging_0980/kartor/A 26461-2025 karta.png", "A 26461-2025")</f>
        <v/>
      </c>
      <c r="V145">
        <f>HYPERLINK("https://klasma.github.io/Logging_0980/klagomål/A 26461-2025 FSC-klagomål.docx", "A 26461-2025")</f>
        <v/>
      </c>
      <c r="W145">
        <f>HYPERLINK("https://klasma.github.io/Logging_0980/klagomålsmail/A 26461-2025 FSC-klagomål mail.docx", "A 26461-2025")</f>
        <v/>
      </c>
      <c r="X145">
        <f>HYPERLINK("https://klasma.github.io/Logging_0980/tillsyn/A 26461-2025 tillsynsbegäran.docx", "A 26461-2025")</f>
        <v/>
      </c>
      <c r="Y145">
        <f>HYPERLINK("https://klasma.github.io/Logging_0980/tillsynsmail/A 26461-2025 tillsynsbegäran mail.docx", "A 26461-2025")</f>
        <v/>
      </c>
    </row>
    <row r="146" ht="15" customHeight="1">
      <c r="A146" t="inlineStr">
        <is>
          <t>A 10218-2025</t>
        </is>
      </c>
      <c r="B146" s="1" t="n">
        <v>45720</v>
      </c>
      <c r="C146" s="1" t="n">
        <v>45933</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25977-2024</t>
        </is>
      </c>
      <c r="B147" s="1" t="n">
        <v>45467.69356481481</v>
      </c>
      <c r="C147" s="1" t="n">
        <v>45933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34142-2024</t>
        </is>
      </c>
      <c r="B148" s="1" t="n">
        <v>45524.36521990741</v>
      </c>
      <c r="C148" s="1" t="n">
        <v>45933</v>
      </c>
      <c r="D148" t="inlineStr">
        <is>
          <t>GOTLANDS LÄN</t>
        </is>
      </c>
      <c r="E148" t="inlineStr">
        <is>
          <t>GOTLAND</t>
        </is>
      </c>
      <c r="G148" t="n">
        <v>6</v>
      </c>
      <c r="H148" t="n">
        <v>0</v>
      </c>
      <c r="I148" t="n">
        <v>0</v>
      </c>
      <c r="J148" t="n">
        <v>1</v>
      </c>
      <c r="K148" t="n">
        <v>0</v>
      </c>
      <c r="L148" t="n">
        <v>0</v>
      </c>
      <c r="M148" t="n">
        <v>0</v>
      </c>
      <c r="N148" t="n">
        <v>0</v>
      </c>
      <c r="O148" t="n">
        <v>1</v>
      </c>
      <c r="P148" t="n">
        <v>0</v>
      </c>
      <c r="Q148" t="n">
        <v>1</v>
      </c>
      <c r="R148" s="2" t="inlineStr">
        <is>
          <t>Igelkott</t>
        </is>
      </c>
      <c r="S148">
        <f>HYPERLINK("https://klasma.github.io/Logging_0980/artfynd/A 34142-2024 artfynd.xlsx", "A 34142-2024")</f>
        <v/>
      </c>
      <c r="T148">
        <f>HYPERLINK("https://klasma.github.io/Logging_0980/kartor/A 34142-2024 karta.png", "A 34142-2024")</f>
        <v/>
      </c>
      <c r="V148">
        <f>HYPERLINK("https://klasma.github.io/Logging_0980/klagomål/A 34142-2024 FSC-klagomål.docx", "A 34142-2024")</f>
        <v/>
      </c>
      <c r="W148">
        <f>HYPERLINK("https://klasma.github.io/Logging_0980/klagomålsmail/A 34142-2024 FSC-klagomål mail.docx", "A 34142-2024")</f>
        <v/>
      </c>
      <c r="X148">
        <f>HYPERLINK("https://klasma.github.io/Logging_0980/tillsyn/A 34142-2024 tillsynsbegäran.docx", "A 34142-2024")</f>
        <v/>
      </c>
      <c r="Y148">
        <f>HYPERLINK("https://klasma.github.io/Logging_0980/tillsynsmail/A 34142-2024 tillsynsbegäran mail.docx", "A 34142-2024")</f>
        <v/>
      </c>
    </row>
    <row r="149" ht="15" customHeight="1">
      <c r="A149" t="inlineStr">
        <is>
          <t>A 12379-2024</t>
        </is>
      </c>
      <c r="B149" s="1" t="n">
        <v>45379.28155092592</v>
      </c>
      <c r="C149" s="1" t="n">
        <v>45933</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65927-2021</t>
        </is>
      </c>
      <c r="B150" s="1" t="n">
        <v>44516</v>
      </c>
      <c r="C150" s="1" t="n">
        <v>45933</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6303-2024</t>
        </is>
      </c>
      <c r="B151" s="1" t="n">
        <v>45338.35376157407</v>
      </c>
      <c r="C151" s="1" t="n">
        <v>45933</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17723-2021</t>
        </is>
      </c>
      <c r="B152" s="1" t="n">
        <v>44300</v>
      </c>
      <c r="C152" s="1" t="n">
        <v>45933</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61796-2022</t>
        </is>
      </c>
      <c r="B153" s="1" t="n">
        <v>44917</v>
      </c>
      <c r="C153" s="1" t="n">
        <v>45933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34141-2024</t>
        </is>
      </c>
      <c r="B154" s="1" t="n">
        <v>45524.36229166666</v>
      </c>
      <c r="C154" s="1" t="n">
        <v>45933</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9862-2024</t>
        </is>
      </c>
      <c r="B155" s="1" t="n">
        <v>45363</v>
      </c>
      <c r="C155" s="1" t="n">
        <v>45933</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15637-2024</t>
        </is>
      </c>
      <c r="B156" s="1" t="n">
        <v>45403.6684837963</v>
      </c>
      <c r="C156" s="1" t="n">
        <v>45933</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34809-2024</t>
        </is>
      </c>
      <c r="B157" s="1" t="n">
        <v>45526</v>
      </c>
      <c r="C157" s="1" t="n">
        <v>45933</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39812-2025</t>
        </is>
      </c>
      <c r="B158" s="1" t="n">
        <v>45891</v>
      </c>
      <c r="C158" s="1" t="n">
        <v>45933</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2476-2025</t>
        </is>
      </c>
      <c r="B159" s="1" t="n">
        <v>45673</v>
      </c>
      <c r="C159" s="1" t="n">
        <v>45933</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45933</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44619-2025</t>
        </is>
      </c>
      <c r="B161" s="1" t="n">
        <v>45917</v>
      </c>
      <c r="C161" s="1" t="n">
        <v>45933</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20429-2025</t>
        </is>
      </c>
      <c r="B162" s="1" t="n">
        <v>45775.47728009259</v>
      </c>
      <c r="C162" s="1" t="n">
        <v>45933</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62552-2022</t>
        </is>
      </c>
      <c r="B163" s="1" t="n">
        <v>44924</v>
      </c>
      <c r="C163" s="1" t="n">
        <v>45933</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12924-2025</t>
        </is>
      </c>
      <c r="B164" s="1" t="n">
        <v>45734</v>
      </c>
      <c r="C164" s="1" t="n">
        <v>45933</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44088-2022</t>
        </is>
      </c>
      <c r="B165" s="1" t="n">
        <v>44839</v>
      </c>
      <c r="C165" s="1" t="n">
        <v>45933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61561-2023</t>
        </is>
      </c>
      <c r="B166" s="1" t="n">
        <v>45265</v>
      </c>
      <c r="C166" s="1" t="n">
        <v>45933</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44308-2021</t>
        </is>
      </c>
      <c r="B167" s="1" t="n">
        <v>44434</v>
      </c>
      <c r="C167" s="1" t="n">
        <v>45933</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13939-2021</t>
        </is>
      </c>
      <c r="B168" s="1" t="n">
        <v>44277</v>
      </c>
      <c r="C168" s="1" t="n">
        <v>45933</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447-2023</t>
        </is>
      </c>
      <c r="B169" s="1" t="n">
        <v>44929</v>
      </c>
      <c r="C169" s="1" t="n">
        <v>45933</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63299-2020</t>
        </is>
      </c>
      <c r="B170" s="1" t="n">
        <v>44165</v>
      </c>
      <c r="C170" s="1" t="n">
        <v>45933</v>
      </c>
      <c r="D170" t="inlineStr">
        <is>
          <t>GOTLANDS LÄN</t>
        </is>
      </c>
      <c r="E170" t="inlineStr">
        <is>
          <t>GOTLAND</t>
        </is>
      </c>
      <c r="G170" t="n">
        <v>12.9</v>
      </c>
      <c r="H170" t="n">
        <v>1</v>
      </c>
      <c r="I170" t="n">
        <v>0</v>
      </c>
      <c r="J170" t="n">
        <v>1</v>
      </c>
      <c r="K170" t="n">
        <v>0</v>
      </c>
      <c r="L170" t="n">
        <v>0</v>
      </c>
      <c r="M170" t="n">
        <v>0</v>
      </c>
      <c r="N170" t="n">
        <v>0</v>
      </c>
      <c r="O170" t="n">
        <v>1</v>
      </c>
      <c r="P170" t="n">
        <v>0</v>
      </c>
      <c r="Q170" t="n">
        <v>1</v>
      </c>
      <c r="R170" s="2" t="inlineStr">
        <is>
          <t>Svartfläckig blåvinge</t>
        </is>
      </c>
      <c r="S170">
        <f>HYPERLINK("https://klasma.github.io/Logging_0980/artfynd/A 63299-2020 artfynd.xlsx", "A 63299-2020")</f>
        <v/>
      </c>
      <c r="T170">
        <f>HYPERLINK("https://klasma.github.io/Logging_0980/kartor/A 63299-2020 karta.png", "A 63299-2020")</f>
        <v/>
      </c>
      <c r="V170">
        <f>HYPERLINK("https://klasma.github.io/Logging_0980/klagomål/A 63299-2020 FSC-klagomål.docx", "A 63299-2020")</f>
        <v/>
      </c>
      <c r="W170">
        <f>HYPERLINK("https://klasma.github.io/Logging_0980/klagomålsmail/A 63299-2020 FSC-klagomål mail.docx", "A 63299-2020")</f>
        <v/>
      </c>
      <c r="X170">
        <f>HYPERLINK("https://klasma.github.io/Logging_0980/tillsyn/A 63299-2020 tillsynsbegäran.docx", "A 63299-2020")</f>
        <v/>
      </c>
      <c r="Y170">
        <f>HYPERLINK("https://klasma.github.io/Logging_0980/tillsynsmail/A 63299-2020 tillsynsbegäran mail.docx", "A 63299-2020")</f>
        <v/>
      </c>
    </row>
    <row r="171" ht="15" customHeight="1">
      <c r="A171" t="inlineStr">
        <is>
          <t>A 27168-2022</t>
        </is>
      </c>
      <c r="B171" s="1" t="n">
        <v>44741</v>
      </c>
      <c r="C171" s="1" t="n">
        <v>45933</v>
      </c>
      <c r="D171" t="inlineStr">
        <is>
          <t>GOTLANDS LÄN</t>
        </is>
      </c>
      <c r="E171" t="inlineStr">
        <is>
          <t>GOTLAND</t>
        </is>
      </c>
      <c r="G171" t="n">
        <v>2.2</v>
      </c>
      <c r="H171" t="n">
        <v>1</v>
      </c>
      <c r="I171" t="n">
        <v>1</v>
      </c>
      <c r="J171" t="n">
        <v>0</v>
      </c>
      <c r="K171" t="n">
        <v>0</v>
      </c>
      <c r="L171" t="n">
        <v>0</v>
      </c>
      <c r="M171" t="n">
        <v>0</v>
      </c>
      <c r="N171" t="n">
        <v>0</v>
      </c>
      <c r="O171" t="n">
        <v>0</v>
      </c>
      <c r="P171" t="n">
        <v>0</v>
      </c>
      <c r="Q171" t="n">
        <v>1</v>
      </c>
      <c r="R171" s="2" t="inlineStr">
        <is>
          <t>Purpurknipprot</t>
        </is>
      </c>
      <c r="S171">
        <f>HYPERLINK("https://klasma.github.io/Logging_0980/artfynd/A 27168-2022 artfynd.xlsx", "A 27168-2022")</f>
        <v/>
      </c>
      <c r="T171">
        <f>HYPERLINK("https://klasma.github.io/Logging_0980/kartor/A 27168-2022 karta.png", "A 27168-2022")</f>
        <v/>
      </c>
      <c r="V171">
        <f>HYPERLINK("https://klasma.github.io/Logging_0980/klagomål/A 27168-2022 FSC-klagomål.docx", "A 27168-2022")</f>
        <v/>
      </c>
      <c r="W171">
        <f>HYPERLINK("https://klasma.github.io/Logging_0980/klagomålsmail/A 27168-2022 FSC-klagomål mail.docx", "A 27168-2022")</f>
        <v/>
      </c>
      <c r="X171">
        <f>HYPERLINK("https://klasma.github.io/Logging_0980/tillsyn/A 27168-2022 tillsynsbegäran.docx", "A 27168-2022")</f>
        <v/>
      </c>
      <c r="Y171">
        <f>HYPERLINK("https://klasma.github.io/Logging_0980/tillsynsmail/A 27168-2022 tillsynsbegäran mail.docx", "A 27168-2022")</f>
        <v/>
      </c>
    </row>
    <row r="172" ht="15" customHeight="1">
      <c r="A172" t="inlineStr">
        <is>
          <t>A 947-2023</t>
        </is>
      </c>
      <c r="B172" s="1" t="n">
        <v>44934</v>
      </c>
      <c r="C172" s="1" t="n">
        <v>45933</v>
      </c>
      <c r="D172" t="inlineStr">
        <is>
          <t>GOTLANDS LÄN</t>
        </is>
      </c>
      <c r="E172" t="inlineStr">
        <is>
          <t>GOTLAND</t>
        </is>
      </c>
      <c r="G172" t="n">
        <v>0.7</v>
      </c>
      <c r="H172" t="n">
        <v>1</v>
      </c>
      <c r="I172" t="n">
        <v>0</v>
      </c>
      <c r="J172" t="n">
        <v>0</v>
      </c>
      <c r="K172" t="n">
        <v>1</v>
      </c>
      <c r="L172" t="n">
        <v>0</v>
      </c>
      <c r="M172" t="n">
        <v>0</v>
      </c>
      <c r="N172" t="n">
        <v>0</v>
      </c>
      <c r="O172" t="n">
        <v>1</v>
      </c>
      <c r="P172" t="n">
        <v>1</v>
      </c>
      <c r="Q172" t="n">
        <v>1</v>
      </c>
      <c r="R172" s="2" t="inlineStr">
        <is>
          <t>Garderönn</t>
        </is>
      </c>
      <c r="S172">
        <f>HYPERLINK("https://klasma.github.io/Logging_0980/artfynd/A 947-2023 artfynd.xlsx", "A 947-2023")</f>
        <v/>
      </c>
      <c r="T172">
        <f>HYPERLINK("https://klasma.github.io/Logging_0980/kartor/A 947-2023 karta.png", "A 947-2023")</f>
        <v/>
      </c>
      <c r="V172">
        <f>HYPERLINK("https://klasma.github.io/Logging_0980/klagomål/A 947-2023 FSC-klagomål.docx", "A 947-2023")</f>
        <v/>
      </c>
      <c r="W172">
        <f>HYPERLINK("https://klasma.github.io/Logging_0980/klagomålsmail/A 947-2023 FSC-klagomål mail.docx", "A 947-2023")</f>
        <v/>
      </c>
      <c r="X172">
        <f>HYPERLINK("https://klasma.github.io/Logging_0980/tillsyn/A 947-2023 tillsynsbegäran.docx", "A 947-2023")</f>
        <v/>
      </c>
      <c r="Y172">
        <f>HYPERLINK("https://klasma.github.io/Logging_0980/tillsynsmail/A 947-2023 tillsynsbegäran mail.docx", "A 947-2023")</f>
        <v/>
      </c>
    </row>
    <row r="173" ht="15" customHeight="1">
      <c r="A173" t="inlineStr">
        <is>
          <t>A 49304-2024</t>
        </is>
      </c>
      <c r="B173" s="1" t="n">
        <v>45595.54996527778</v>
      </c>
      <c r="C173" s="1" t="n">
        <v>45933</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22782-2023</t>
        </is>
      </c>
      <c r="B174" s="1" t="n">
        <v>45072</v>
      </c>
      <c r="C174" s="1" t="n">
        <v>45933</v>
      </c>
      <c r="D174" t="inlineStr">
        <is>
          <t>GOTLANDS LÄN</t>
        </is>
      </c>
      <c r="E174" t="inlineStr">
        <is>
          <t>GOTLAND</t>
        </is>
      </c>
      <c r="F174" t="inlineStr">
        <is>
          <t>Kyrkan</t>
        </is>
      </c>
      <c r="G174" t="n">
        <v>3.1</v>
      </c>
      <c r="H174" t="n">
        <v>1</v>
      </c>
      <c r="I174" t="n">
        <v>0</v>
      </c>
      <c r="J174" t="n">
        <v>0</v>
      </c>
      <c r="K174" t="n">
        <v>0</v>
      </c>
      <c r="L174" t="n">
        <v>0</v>
      </c>
      <c r="M174" t="n">
        <v>0</v>
      </c>
      <c r="N174" t="n">
        <v>0</v>
      </c>
      <c r="O174" t="n">
        <v>0</v>
      </c>
      <c r="P174" t="n">
        <v>0</v>
      </c>
      <c r="Q174" t="n">
        <v>1</v>
      </c>
      <c r="R174" s="2" t="inlineStr">
        <is>
          <t>Ängsnycklar × skogsnycklar</t>
        </is>
      </c>
      <c r="S174">
        <f>HYPERLINK("https://klasma.github.io/Logging_0980/artfynd/A 22782-2023 artfynd.xlsx", "A 22782-2023")</f>
        <v/>
      </c>
      <c r="T174">
        <f>HYPERLINK("https://klasma.github.io/Logging_0980/kartor/A 22782-2023 karta.png", "A 22782-2023")</f>
        <v/>
      </c>
      <c r="V174">
        <f>HYPERLINK("https://klasma.github.io/Logging_0980/klagomål/A 22782-2023 FSC-klagomål.docx", "A 22782-2023")</f>
        <v/>
      </c>
      <c r="W174">
        <f>HYPERLINK("https://klasma.github.io/Logging_0980/klagomålsmail/A 22782-2023 FSC-klagomål mail.docx", "A 22782-2023")</f>
        <v/>
      </c>
      <c r="X174">
        <f>HYPERLINK("https://klasma.github.io/Logging_0980/tillsyn/A 22782-2023 tillsynsbegäran.docx", "A 22782-2023")</f>
        <v/>
      </c>
      <c r="Y174">
        <f>HYPERLINK("https://klasma.github.io/Logging_0980/tillsynsmail/A 22782-2023 tillsynsbegäran mail.docx", "A 22782-2023")</f>
        <v/>
      </c>
    </row>
    <row r="175" ht="15" customHeight="1">
      <c r="A175" t="inlineStr">
        <is>
          <t>A 63576-2021</t>
        </is>
      </c>
      <c r="B175" s="1" t="n">
        <v>44508</v>
      </c>
      <c r="C175" s="1" t="n">
        <v>45933</v>
      </c>
      <c r="D175" t="inlineStr">
        <is>
          <t>GOTLANDS LÄN</t>
        </is>
      </c>
      <c r="E175" t="inlineStr">
        <is>
          <t>GOTLAND</t>
        </is>
      </c>
      <c r="F175" t="inlineStr">
        <is>
          <t>Kyrkan</t>
        </is>
      </c>
      <c r="G175" t="n">
        <v>4.1</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63576-2021 artfynd.xlsx", "A 63576-2021")</f>
        <v/>
      </c>
      <c r="T175">
        <f>HYPERLINK("https://klasma.github.io/Logging_0980/kartor/A 63576-2021 karta.png", "A 63576-2021")</f>
        <v/>
      </c>
      <c r="V175">
        <f>HYPERLINK("https://klasma.github.io/Logging_0980/klagomål/A 63576-2021 FSC-klagomål.docx", "A 63576-2021")</f>
        <v/>
      </c>
      <c r="W175">
        <f>HYPERLINK("https://klasma.github.io/Logging_0980/klagomålsmail/A 63576-2021 FSC-klagomål mail.docx", "A 63576-2021")</f>
        <v/>
      </c>
      <c r="X175">
        <f>HYPERLINK("https://klasma.github.io/Logging_0980/tillsyn/A 63576-2021 tillsynsbegäran.docx", "A 63576-2021")</f>
        <v/>
      </c>
      <c r="Y175">
        <f>HYPERLINK("https://klasma.github.io/Logging_0980/tillsynsmail/A 63576-2021 tillsynsbegäran mail.docx", "A 63576-2021")</f>
        <v/>
      </c>
    </row>
    <row r="176" ht="15" customHeight="1">
      <c r="A176" t="inlineStr">
        <is>
          <t>A 64700-2021</t>
        </is>
      </c>
      <c r="B176" s="1" t="n">
        <v>44511</v>
      </c>
      <c r="C176" s="1" t="n">
        <v>45933</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22883-2024</t>
        </is>
      </c>
      <c r="B177" s="1" t="n">
        <v>45448.66368055555</v>
      </c>
      <c r="C177" s="1" t="n">
        <v>45933</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14915-2025</t>
        </is>
      </c>
      <c r="B178" s="1" t="n">
        <v>45743.53121527778</v>
      </c>
      <c r="C178" s="1" t="n">
        <v>45933</v>
      </c>
      <c r="D178" t="inlineStr">
        <is>
          <t>GOTLANDS LÄN</t>
        </is>
      </c>
      <c r="E178" t="inlineStr">
        <is>
          <t>GOTLAND</t>
        </is>
      </c>
      <c r="G178" t="n">
        <v>5.9</v>
      </c>
      <c r="H178" t="n">
        <v>0</v>
      </c>
      <c r="I178" t="n">
        <v>0</v>
      </c>
      <c r="J178" t="n">
        <v>1</v>
      </c>
      <c r="K178" t="n">
        <v>0</v>
      </c>
      <c r="L178" t="n">
        <v>0</v>
      </c>
      <c r="M178" t="n">
        <v>0</v>
      </c>
      <c r="N178" t="n">
        <v>0</v>
      </c>
      <c r="O178" t="n">
        <v>1</v>
      </c>
      <c r="P178" t="n">
        <v>0</v>
      </c>
      <c r="Q178" t="n">
        <v>1</v>
      </c>
      <c r="R178" s="2" t="inlineStr">
        <is>
          <t>Igelkott</t>
        </is>
      </c>
      <c r="S178">
        <f>HYPERLINK("https://klasma.github.io/Logging_0980/artfynd/A 14915-2025 artfynd.xlsx", "A 14915-2025")</f>
        <v/>
      </c>
      <c r="T178">
        <f>HYPERLINK("https://klasma.github.io/Logging_0980/kartor/A 14915-2025 karta.png", "A 14915-2025")</f>
        <v/>
      </c>
      <c r="V178">
        <f>HYPERLINK("https://klasma.github.io/Logging_0980/klagomål/A 14915-2025 FSC-klagomål.docx", "A 14915-2025")</f>
        <v/>
      </c>
      <c r="W178">
        <f>HYPERLINK("https://klasma.github.io/Logging_0980/klagomålsmail/A 14915-2025 FSC-klagomål mail.docx", "A 14915-2025")</f>
        <v/>
      </c>
      <c r="X178">
        <f>HYPERLINK("https://klasma.github.io/Logging_0980/tillsyn/A 14915-2025 tillsynsbegäran.docx", "A 14915-2025")</f>
        <v/>
      </c>
      <c r="Y178">
        <f>HYPERLINK("https://klasma.github.io/Logging_0980/tillsynsmail/A 14915-2025 tillsynsbegäran mail.docx", "A 14915-2025")</f>
        <v/>
      </c>
    </row>
    <row r="179" ht="15" customHeight="1">
      <c r="A179" t="inlineStr">
        <is>
          <t>A 27589-2023</t>
        </is>
      </c>
      <c r="B179" s="1" t="n">
        <v>45097</v>
      </c>
      <c r="C179" s="1" t="n">
        <v>45933</v>
      </c>
      <c r="D179" t="inlineStr">
        <is>
          <t>GOTLANDS LÄN</t>
        </is>
      </c>
      <c r="E179" t="inlineStr">
        <is>
          <t>GOTLAND</t>
        </is>
      </c>
      <c r="G179" t="n">
        <v>5.4</v>
      </c>
      <c r="H179" t="n">
        <v>0</v>
      </c>
      <c r="I179" t="n">
        <v>0</v>
      </c>
      <c r="J179" t="n">
        <v>0</v>
      </c>
      <c r="K179" t="n">
        <v>0</v>
      </c>
      <c r="L179" t="n">
        <v>0</v>
      </c>
      <c r="M179" t="n">
        <v>1</v>
      </c>
      <c r="N179" t="n">
        <v>0</v>
      </c>
      <c r="O179" t="n">
        <v>1</v>
      </c>
      <c r="P179" t="n">
        <v>1</v>
      </c>
      <c r="Q179" t="n">
        <v>1</v>
      </c>
      <c r="R179" s="2" t="inlineStr">
        <is>
          <t>Skogsalm</t>
        </is>
      </c>
      <c r="S179">
        <f>HYPERLINK("https://klasma.github.io/Logging_0980/artfynd/A 27589-2023 artfynd.xlsx", "A 27589-2023")</f>
        <v/>
      </c>
      <c r="T179">
        <f>HYPERLINK("https://klasma.github.io/Logging_0980/kartor/A 27589-2023 karta.png", "A 27589-2023")</f>
        <v/>
      </c>
      <c r="V179">
        <f>HYPERLINK("https://klasma.github.io/Logging_0980/klagomål/A 27589-2023 FSC-klagomål.docx", "A 27589-2023")</f>
        <v/>
      </c>
      <c r="W179">
        <f>HYPERLINK("https://klasma.github.io/Logging_0980/klagomålsmail/A 27589-2023 FSC-klagomål mail.docx", "A 27589-2023")</f>
        <v/>
      </c>
      <c r="X179">
        <f>HYPERLINK("https://klasma.github.io/Logging_0980/tillsyn/A 27589-2023 tillsynsbegäran.docx", "A 27589-2023")</f>
        <v/>
      </c>
      <c r="Y179">
        <f>HYPERLINK("https://klasma.github.io/Logging_0980/tillsynsmail/A 27589-2023 tillsynsbegäran mail.docx", "A 27589-2023")</f>
        <v/>
      </c>
    </row>
    <row r="180" ht="15" customHeight="1">
      <c r="A180" t="inlineStr">
        <is>
          <t>A 24245-2022</t>
        </is>
      </c>
      <c r="B180" s="1" t="n">
        <v>44725</v>
      </c>
      <c r="C180" s="1" t="n">
        <v>45933</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45933</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45933</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45933</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45933</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45933</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45933</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45933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45933</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45933</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45933</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45933</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45933</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45933</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45933</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45933</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45933</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45933</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45933</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45933</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45933</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45933</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45933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37037-2021</t>
        </is>
      </c>
      <c r="B221" s="1" t="n">
        <v>44393.84688657407</v>
      </c>
      <c r="C221" s="1" t="n">
        <v>45933</v>
      </c>
      <c r="D221" t="inlineStr">
        <is>
          <t>GOTLANDS LÄN</t>
        </is>
      </c>
      <c r="E221" t="inlineStr">
        <is>
          <t>GOTLAND</t>
        </is>
      </c>
      <c r="G221" t="n">
        <v>10.2</v>
      </c>
      <c r="H221" t="n">
        <v>0</v>
      </c>
      <c r="I221" t="n">
        <v>0</v>
      </c>
      <c r="J221" t="n">
        <v>0</v>
      </c>
      <c r="K221" t="n">
        <v>0</v>
      </c>
      <c r="L221" t="n">
        <v>0</v>
      </c>
      <c r="M221" t="n">
        <v>0</v>
      </c>
      <c r="N221" t="n">
        <v>0</v>
      </c>
      <c r="O221" t="n">
        <v>0</v>
      </c>
      <c r="P221" t="n">
        <v>0</v>
      </c>
      <c r="Q221" t="n">
        <v>0</v>
      </c>
      <c r="R221" s="2" t="inlineStr"/>
    </row>
    <row r="222" ht="15" customHeight="1">
      <c r="A222" t="inlineStr">
        <is>
          <t>A 64380-2020</t>
        </is>
      </c>
      <c r="B222" s="1" t="n">
        <v>44168.60128472222</v>
      </c>
      <c r="C222" s="1" t="n">
        <v>45933</v>
      </c>
      <c r="D222" t="inlineStr">
        <is>
          <t>GOTLANDS LÄN</t>
        </is>
      </c>
      <c r="E222" t="inlineStr">
        <is>
          <t>GOTLAND</t>
        </is>
      </c>
      <c r="G222" t="n">
        <v>2.1</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45933</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2608-2021</t>
        </is>
      </c>
      <c r="B224" s="1" t="n">
        <v>44214</v>
      </c>
      <c r="C224" s="1" t="n">
        <v>45933</v>
      </c>
      <c r="D224" t="inlineStr">
        <is>
          <t>GOTLANDS LÄN</t>
        </is>
      </c>
      <c r="E224" t="inlineStr">
        <is>
          <t>GOTLAND</t>
        </is>
      </c>
      <c r="G224" t="n">
        <v>3.9</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45933</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11029-2022</t>
        </is>
      </c>
      <c r="B226" s="1" t="n">
        <v>44628</v>
      </c>
      <c r="C226" s="1" t="n">
        <v>45933</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45933</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31239-2022</t>
        </is>
      </c>
      <c r="B228" s="1" t="n">
        <v>44771.49383101852</v>
      </c>
      <c r="C228" s="1" t="n">
        <v>45933</v>
      </c>
      <c r="D228" t="inlineStr">
        <is>
          <t>GOTLANDS LÄN</t>
        </is>
      </c>
      <c r="E228" t="inlineStr">
        <is>
          <t>GOTLAND</t>
        </is>
      </c>
      <c r="G228" t="n">
        <v>1.9</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45933</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45933</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58224-2021</t>
        </is>
      </c>
      <c r="B231" s="1" t="n">
        <v>44487</v>
      </c>
      <c r="C231" s="1" t="n">
        <v>45933</v>
      </c>
      <c r="D231" t="inlineStr">
        <is>
          <t>GOTLANDS LÄN</t>
        </is>
      </c>
      <c r="E231" t="inlineStr">
        <is>
          <t>GOTLAND</t>
        </is>
      </c>
      <c r="G231" t="n">
        <v>1.4</v>
      </c>
      <c r="H231" t="n">
        <v>0</v>
      </c>
      <c r="I231" t="n">
        <v>0</v>
      </c>
      <c r="J231" t="n">
        <v>0</v>
      </c>
      <c r="K231" t="n">
        <v>0</v>
      </c>
      <c r="L231" t="n">
        <v>0</v>
      </c>
      <c r="M231" t="n">
        <v>0</v>
      </c>
      <c r="N231" t="n">
        <v>0</v>
      </c>
      <c r="O231" t="n">
        <v>0</v>
      </c>
      <c r="P231" t="n">
        <v>0</v>
      </c>
      <c r="Q231" t="n">
        <v>0</v>
      </c>
      <c r="R231" s="2" t="inlineStr"/>
    </row>
    <row r="232" ht="15" customHeight="1">
      <c r="A232" t="inlineStr">
        <is>
          <t>A 30055-2021</t>
        </is>
      </c>
      <c r="B232" s="1" t="n">
        <v>44363</v>
      </c>
      <c r="C232" s="1" t="n">
        <v>45933</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58815-2021</t>
        </is>
      </c>
      <c r="B233" s="1" t="n">
        <v>44489</v>
      </c>
      <c r="C233" s="1" t="n">
        <v>45933</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22155-2021</t>
        </is>
      </c>
      <c r="B234" s="1" t="n">
        <v>44325.49369212963</v>
      </c>
      <c r="C234" s="1" t="n">
        <v>45933</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65393-2021</t>
        </is>
      </c>
      <c r="B235" s="1" t="n">
        <v>44515</v>
      </c>
      <c r="C235" s="1" t="n">
        <v>45933</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1229-2021</t>
        </is>
      </c>
      <c r="B236" s="1" t="n">
        <v>44208</v>
      </c>
      <c r="C236" s="1" t="n">
        <v>45933</v>
      </c>
      <c r="D236" t="inlineStr">
        <is>
          <t>GOTLANDS LÄN</t>
        </is>
      </c>
      <c r="E236" t="inlineStr">
        <is>
          <t>GOTLAND</t>
        </is>
      </c>
      <c r="G236" t="n">
        <v>5.3</v>
      </c>
      <c r="H236" t="n">
        <v>0</v>
      </c>
      <c r="I236" t="n">
        <v>0</v>
      </c>
      <c r="J236" t="n">
        <v>0</v>
      </c>
      <c r="K236" t="n">
        <v>0</v>
      </c>
      <c r="L236" t="n">
        <v>0</v>
      </c>
      <c r="M236" t="n">
        <v>0</v>
      </c>
      <c r="N236" t="n">
        <v>0</v>
      </c>
      <c r="O236" t="n">
        <v>0</v>
      </c>
      <c r="P236" t="n">
        <v>0</v>
      </c>
      <c r="Q236" t="n">
        <v>0</v>
      </c>
      <c r="R236" s="2" t="inlineStr"/>
    </row>
    <row r="237" ht="15" customHeight="1">
      <c r="A237" t="inlineStr">
        <is>
          <t>A 23910-2021</t>
        </is>
      </c>
      <c r="B237" s="1" t="n">
        <v>44335</v>
      </c>
      <c r="C237" s="1" t="n">
        <v>45933</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45933</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45933</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3271-2021</t>
        </is>
      </c>
      <c r="B240" s="1" t="n">
        <v>44217</v>
      </c>
      <c r="C240" s="1" t="n">
        <v>45933</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1677-2023</t>
        </is>
      </c>
      <c r="B241" s="1" t="n">
        <v>44938</v>
      </c>
      <c r="C241" s="1" t="n">
        <v>45933</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45933</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45244-2024</t>
        </is>
      </c>
      <c r="B243" s="1" t="n">
        <v>45576</v>
      </c>
      <c r="C243" s="1" t="n">
        <v>45933</v>
      </c>
      <c r="D243" t="inlineStr">
        <is>
          <t>GOTLANDS LÄN</t>
        </is>
      </c>
      <c r="E243" t="inlineStr">
        <is>
          <t>GOTLAND</t>
        </is>
      </c>
      <c r="G243" t="n">
        <v>2.4</v>
      </c>
      <c r="H243" t="n">
        <v>0</v>
      </c>
      <c r="I243" t="n">
        <v>0</v>
      </c>
      <c r="J243" t="n">
        <v>0</v>
      </c>
      <c r="K243" t="n">
        <v>0</v>
      </c>
      <c r="L243" t="n">
        <v>0</v>
      </c>
      <c r="M243" t="n">
        <v>0</v>
      </c>
      <c r="N243" t="n">
        <v>0</v>
      </c>
      <c r="O243" t="n">
        <v>0</v>
      </c>
      <c r="P243" t="n">
        <v>0</v>
      </c>
      <c r="Q243" t="n">
        <v>0</v>
      </c>
      <c r="R243" s="2" t="inlineStr"/>
    </row>
    <row r="244" ht="15" customHeight="1">
      <c r="A244" t="inlineStr">
        <is>
          <t>A 13498-2022</t>
        </is>
      </c>
      <c r="B244" s="1" t="n">
        <v>44647.78866898148</v>
      </c>
      <c r="C244" s="1" t="n">
        <v>45933</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13500-2022</t>
        </is>
      </c>
      <c r="B245" s="1" t="n">
        <v>44647.79513888889</v>
      </c>
      <c r="C245" s="1" t="n">
        <v>45933</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45933</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24001-2021</t>
        </is>
      </c>
      <c r="B247" s="1" t="n">
        <v>44335</v>
      </c>
      <c r="C247" s="1" t="n">
        <v>45933</v>
      </c>
      <c r="D247" t="inlineStr">
        <is>
          <t>GOTLANDS LÄN</t>
        </is>
      </c>
      <c r="E247" t="inlineStr">
        <is>
          <t>GOTLAND</t>
        </is>
      </c>
      <c r="G247" t="n">
        <v>3.4</v>
      </c>
      <c r="H247" t="n">
        <v>0</v>
      </c>
      <c r="I247" t="n">
        <v>0</v>
      </c>
      <c r="J247" t="n">
        <v>0</v>
      </c>
      <c r="K247" t="n">
        <v>0</v>
      </c>
      <c r="L247" t="n">
        <v>0</v>
      </c>
      <c r="M247" t="n">
        <v>0</v>
      </c>
      <c r="N247" t="n">
        <v>0</v>
      </c>
      <c r="O247" t="n">
        <v>0</v>
      </c>
      <c r="P247" t="n">
        <v>0</v>
      </c>
      <c r="Q247" t="n">
        <v>0</v>
      </c>
      <c r="R247" s="2" t="inlineStr"/>
    </row>
    <row r="248" ht="15" customHeight="1">
      <c r="A248" t="inlineStr">
        <is>
          <t>A 8260-2023</t>
        </is>
      </c>
      <c r="B248" s="1" t="n">
        <v>44974.61608796296</v>
      </c>
      <c r="C248" s="1" t="n">
        <v>45933</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26391-2025</t>
        </is>
      </c>
      <c r="B249" s="1" t="n">
        <v>45806</v>
      </c>
      <c r="C249" s="1" t="n">
        <v>45933</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21507-2021</t>
        </is>
      </c>
      <c r="B250" s="1" t="n">
        <v>44321</v>
      </c>
      <c r="C250" s="1" t="n">
        <v>45933</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64969-2023</t>
        </is>
      </c>
      <c r="B251" s="1" t="n">
        <v>45284.54009259259</v>
      </c>
      <c r="C251" s="1" t="n">
        <v>45933</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48843-2024</t>
        </is>
      </c>
      <c r="B252" s="1" t="n">
        <v>45593</v>
      </c>
      <c r="C252" s="1" t="n">
        <v>45933</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17541-2024</t>
        </is>
      </c>
      <c r="B253" s="1" t="n">
        <v>45415</v>
      </c>
      <c r="C253" s="1" t="n">
        <v>45933</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30365-2024</t>
        </is>
      </c>
      <c r="B254" s="1" t="n">
        <v>45491.3716087963</v>
      </c>
      <c r="C254" s="1" t="n">
        <v>45933</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2241-2025</t>
        </is>
      </c>
      <c r="B255" s="1" t="n">
        <v>45673.48710648148</v>
      </c>
      <c r="C255" s="1" t="n">
        <v>45933</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26457-2025</t>
        </is>
      </c>
      <c r="B256" s="1" t="n">
        <v>45807.42773148148</v>
      </c>
      <c r="C256" s="1" t="n">
        <v>45933</v>
      </c>
      <c r="D256" t="inlineStr">
        <is>
          <t>GOTLANDS LÄN</t>
        </is>
      </c>
      <c r="E256" t="inlineStr">
        <is>
          <t>GOTLAND</t>
        </is>
      </c>
      <c r="G256" t="n">
        <v>5.7</v>
      </c>
      <c r="H256" t="n">
        <v>0</v>
      </c>
      <c r="I256" t="n">
        <v>0</v>
      </c>
      <c r="J256" t="n">
        <v>0</v>
      </c>
      <c r="K256" t="n">
        <v>0</v>
      </c>
      <c r="L256" t="n">
        <v>0</v>
      </c>
      <c r="M256" t="n">
        <v>0</v>
      </c>
      <c r="N256" t="n">
        <v>0</v>
      </c>
      <c r="O256" t="n">
        <v>0</v>
      </c>
      <c r="P256" t="n">
        <v>0</v>
      </c>
      <c r="Q256" t="n">
        <v>0</v>
      </c>
      <c r="R256" s="2" t="inlineStr"/>
    </row>
    <row r="257" ht="15" customHeight="1">
      <c r="A257" t="inlineStr">
        <is>
          <t>A 26467-2025</t>
        </is>
      </c>
      <c r="B257" s="1" t="n">
        <v>45807.44640046296</v>
      </c>
      <c r="C257" s="1" t="n">
        <v>45933</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15434-2024</t>
        </is>
      </c>
      <c r="B258" s="1" t="n">
        <v>45401.38836805556</v>
      </c>
      <c r="C258" s="1" t="n">
        <v>45933</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45933</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57219-2021</t>
        </is>
      </c>
      <c r="B260" s="1" t="n">
        <v>44483</v>
      </c>
      <c r="C260" s="1" t="n">
        <v>45933</v>
      </c>
      <c r="D260" t="inlineStr">
        <is>
          <t>GOTLANDS LÄN</t>
        </is>
      </c>
      <c r="E260" t="inlineStr">
        <is>
          <t>GOTLAND</t>
        </is>
      </c>
      <c r="F260" t="inlineStr">
        <is>
          <t>Kyrkan</t>
        </is>
      </c>
      <c r="G260" t="n">
        <v>4</v>
      </c>
      <c r="H260" t="n">
        <v>0</v>
      </c>
      <c r="I260" t="n">
        <v>0</v>
      </c>
      <c r="J260" t="n">
        <v>0</v>
      </c>
      <c r="K260" t="n">
        <v>0</v>
      </c>
      <c r="L260" t="n">
        <v>0</v>
      </c>
      <c r="M260" t="n">
        <v>0</v>
      </c>
      <c r="N260" t="n">
        <v>0</v>
      </c>
      <c r="O260" t="n">
        <v>0</v>
      </c>
      <c r="P260" t="n">
        <v>0</v>
      </c>
      <c r="Q260" t="n">
        <v>0</v>
      </c>
      <c r="R260" s="2" t="inlineStr"/>
    </row>
    <row r="261" ht="15" customHeight="1">
      <c r="A261" t="inlineStr">
        <is>
          <t>A 26465-2025</t>
        </is>
      </c>
      <c r="B261" s="1" t="n">
        <v>45807.44377314814</v>
      </c>
      <c r="C261" s="1" t="n">
        <v>45933</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26660-2025</t>
        </is>
      </c>
      <c r="B262" s="1" t="n">
        <v>45810.39737268518</v>
      </c>
      <c r="C262" s="1" t="n">
        <v>45933</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5943-2024</t>
        </is>
      </c>
      <c r="B263" s="1" t="n">
        <v>45336</v>
      </c>
      <c r="C263" s="1" t="n">
        <v>45933</v>
      </c>
      <c r="D263" t="inlineStr">
        <is>
          <t>GOTLANDS LÄN</t>
        </is>
      </c>
      <c r="E263" t="inlineStr">
        <is>
          <t>GOTLAND</t>
        </is>
      </c>
      <c r="G263" t="n">
        <v>4.3</v>
      </c>
      <c r="H263" t="n">
        <v>0</v>
      </c>
      <c r="I263" t="n">
        <v>0</v>
      </c>
      <c r="J263" t="n">
        <v>0</v>
      </c>
      <c r="K263" t="n">
        <v>0</v>
      </c>
      <c r="L263" t="n">
        <v>0</v>
      </c>
      <c r="M263" t="n">
        <v>0</v>
      </c>
      <c r="N263" t="n">
        <v>0</v>
      </c>
      <c r="O263" t="n">
        <v>0</v>
      </c>
      <c r="P263" t="n">
        <v>0</v>
      </c>
      <c r="Q263" t="n">
        <v>0</v>
      </c>
      <c r="R263" s="2" t="inlineStr"/>
    </row>
    <row r="264" ht="15" customHeight="1">
      <c r="A264" t="inlineStr">
        <is>
          <t>A 54073-2022</t>
        </is>
      </c>
      <c r="B264" s="1" t="n">
        <v>44881.50380787037</v>
      </c>
      <c r="C264" s="1" t="n">
        <v>45933</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16361-2024</t>
        </is>
      </c>
      <c r="B265" s="1" t="n">
        <v>45407</v>
      </c>
      <c r="C265" s="1" t="n">
        <v>45933</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41038-2023</t>
        </is>
      </c>
      <c r="B266" s="1" t="n">
        <v>45173.60959490741</v>
      </c>
      <c r="C266" s="1" t="n">
        <v>45933</v>
      </c>
      <c r="D266" t="inlineStr">
        <is>
          <t>GOTLANDS LÄN</t>
        </is>
      </c>
      <c r="E266" t="inlineStr">
        <is>
          <t>GOTLAND</t>
        </is>
      </c>
      <c r="G266" t="n">
        <v>2.7</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45933</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27348-2025</t>
        </is>
      </c>
      <c r="B268" s="1" t="n">
        <v>45812.62451388889</v>
      </c>
      <c r="C268" s="1" t="n">
        <v>45933</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45933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53641-2020</t>
        </is>
      </c>
      <c r="B270" s="1" t="n">
        <v>44124</v>
      </c>
      <c r="C270" s="1" t="n">
        <v>45933</v>
      </c>
      <c r="D270" t="inlineStr">
        <is>
          <t>GOTLANDS LÄN</t>
        </is>
      </c>
      <c r="E270" t="inlineStr">
        <is>
          <t>GOTLAND</t>
        </is>
      </c>
      <c r="G270" t="n">
        <v>3.2</v>
      </c>
      <c r="H270" t="n">
        <v>0</v>
      </c>
      <c r="I270" t="n">
        <v>0</v>
      </c>
      <c r="J270" t="n">
        <v>0</v>
      </c>
      <c r="K270" t="n">
        <v>0</v>
      </c>
      <c r="L270" t="n">
        <v>0</v>
      </c>
      <c r="M270" t="n">
        <v>0</v>
      </c>
      <c r="N270" t="n">
        <v>0</v>
      </c>
      <c r="O270" t="n">
        <v>0</v>
      </c>
      <c r="P270" t="n">
        <v>0</v>
      </c>
      <c r="Q270" t="n">
        <v>0</v>
      </c>
      <c r="R270" s="2" t="inlineStr"/>
    </row>
    <row r="271" ht="15" customHeight="1">
      <c r="A271" t="inlineStr">
        <is>
          <t>A 27371-2025</t>
        </is>
      </c>
      <c r="B271" s="1" t="n">
        <v>45812</v>
      </c>
      <c r="C271" s="1" t="n">
        <v>45933</v>
      </c>
      <c r="D271" t="inlineStr">
        <is>
          <t>GOTLANDS LÄN</t>
        </is>
      </c>
      <c r="E271" t="inlineStr">
        <is>
          <t>GOTLAND</t>
        </is>
      </c>
      <c r="G271" t="n">
        <v>8</v>
      </c>
      <c r="H271" t="n">
        <v>0</v>
      </c>
      <c r="I271" t="n">
        <v>0</v>
      </c>
      <c r="J271" t="n">
        <v>0</v>
      </c>
      <c r="K271" t="n">
        <v>0</v>
      </c>
      <c r="L271" t="n">
        <v>0</v>
      </c>
      <c r="M271" t="n">
        <v>0</v>
      </c>
      <c r="N271" t="n">
        <v>0</v>
      </c>
      <c r="O271" t="n">
        <v>0</v>
      </c>
      <c r="P271" t="n">
        <v>0</v>
      </c>
      <c r="Q271" t="n">
        <v>0</v>
      </c>
      <c r="R271" s="2" t="inlineStr"/>
    </row>
    <row r="272" ht="15" customHeight="1">
      <c r="A272" t="inlineStr">
        <is>
          <t>A 58780-2024</t>
        </is>
      </c>
      <c r="B272" s="1" t="n">
        <v>45635.84113425926</v>
      </c>
      <c r="C272" s="1" t="n">
        <v>45933</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27355-2025</t>
        </is>
      </c>
      <c r="B273" s="1" t="n">
        <v>45812</v>
      </c>
      <c r="C273" s="1" t="n">
        <v>45933</v>
      </c>
      <c r="D273" t="inlineStr">
        <is>
          <t>GOTLANDS LÄN</t>
        </is>
      </c>
      <c r="E273" t="inlineStr">
        <is>
          <t>GOTLAND</t>
        </is>
      </c>
      <c r="G273" t="n">
        <v>1.1</v>
      </c>
      <c r="H273" t="n">
        <v>0</v>
      </c>
      <c r="I273" t="n">
        <v>0</v>
      </c>
      <c r="J273" t="n">
        <v>0</v>
      </c>
      <c r="K273" t="n">
        <v>0</v>
      </c>
      <c r="L273" t="n">
        <v>0</v>
      </c>
      <c r="M273" t="n">
        <v>0</v>
      </c>
      <c r="N273" t="n">
        <v>0</v>
      </c>
      <c r="O273" t="n">
        <v>0</v>
      </c>
      <c r="P273" t="n">
        <v>0</v>
      </c>
      <c r="Q273" t="n">
        <v>0</v>
      </c>
      <c r="R273" s="2" t="inlineStr"/>
    </row>
    <row r="274" ht="15" customHeight="1">
      <c r="A274" t="inlineStr">
        <is>
          <t>A 6739-2025</t>
        </is>
      </c>
      <c r="B274" s="1" t="n">
        <v>45700</v>
      </c>
      <c r="C274" s="1" t="n">
        <v>45933</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7850-2025</t>
        </is>
      </c>
      <c r="B275" s="1" t="n">
        <v>45706</v>
      </c>
      <c r="C275" s="1" t="n">
        <v>45933</v>
      </c>
      <c r="D275" t="inlineStr">
        <is>
          <t>GOTLANDS LÄN</t>
        </is>
      </c>
      <c r="E275" t="inlineStr">
        <is>
          <t>GOTLAND</t>
        </is>
      </c>
      <c r="G275" t="n">
        <v>0.5</v>
      </c>
      <c r="H275" t="n">
        <v>0</v>
      </c>
      <c r="I275" t="n">
        <v>0</v>
      </c>
      <c r="J275" t="n">
        <v>0</v>
      </c>
      <c r="K275" t="n">
        <v>0</v>
      </c>
      <c r="L275" t="n">
        <v>0</v>
      </c>
      <c r="M275" t="n">
        <v>0</v>
      </c>
      <c r="N275" t="n">
        <v>0</v>
      </c>
      <c r="O275" t="n">
        <v>0</v>
      </c>
      <c r="P275" t="n">
        <v>0</v>
      </c>
      <c r="Q275" t="n">
        <v>0</v>
      </c>
      <c r="R275" s="2" t="inlineStr"/>
    </row>
    <row r="276" ht="15" customHeight="1">
      <c r="A276" t="inlineStr">
        <is>
          <t>A 14427-2024</t>
        </is>
      </c>
      <c r="B276" s="1" t="n">
        <v>45394</v>
      </c>
      <c r="C276" s="1" t="n">
        <v>45933</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8444-2025</t>
        </is>
      </c>
      <c r="B277" s="1" t="n">
        <v>45709</v>
      </c>
      <c r="C277" s="1" t="n">
        <v>45933</v>
      </c>
      <c r="D277" t="inlineStr">
        <is>
          <t>GOTLANDS LÄN</t>
        </is>
      </c>
      <c r="E277" t="inlineStr">
        <is>
          <t>GOTLAND</t>
        </is>
      </c>
      <c r="G277" t="n">
        <v>5.2</v>
      </c>
      <c r="H277" t="n">
        <v>0</v>
      </c>
      <c r="I277" t="n">
        <v>0</v>
      </c>
      <c r="J277" t="n">
        <v>0</v>
      </c>
      <c r="K277" t="n">
        <v>0</v>
      </c>
      <c r="L277" t="n">
        <v>0</v>
      </c>
      <c r="M277" t="n">
        <v>0</v>
      </c>
      <c r="N277" t="n">
        <v>0</v>
      </c>
      <c r="O277" t="n">
        <v>0</v>
      </c>
      <c r="P277" t="n">
        <v>0</v>
      </c>
      <c r="Q277" t="n">
        <v>0</v>
      </c>
      <c r="R277" s="2" t="inlineStr"/>
    </row>
    <row r="278" ht="15" customHeight="1">
      <c r="A278" t="inlineStr">
        <is>
          <t>A 45692-2023</t>
        </is>
      </c>
      <c r="B278" s="1" t="n">
        <v>45195</v>
      </c>
      <c r="C278" s="1" t="n">
        <v>45933</v>
      </c>
      <c r="D278" t="inlineStr">
        <is>
          <t>GOTLANDS LÄN</t>
        </is>
      </c>
      <c r="E278" t="inlineStr">
        <is>
          <t>GOTLAND</t>
        </is>
      </c>
      <c r="G278" t="n">
        <v>5.3</v>
      </c>
      <c r="H278" t="n">
        <v>0</v>
      </c>
      <c r="I278" t="n">
        <v>0</v>
      </c>
      <c r="J278" t="n">
        <v>0</v>
      </c>
      <c r="K278" t="n">
        <v>0</v>
      </c>
      <c r="L278" t="n">
        <v>0</v>
      </c>
      <c r="M278" t="n">
        <v>0</v>
      </c>
      <c r="N278" t="n">
        <v>0</v>
      </c>
      <c r="O278" t="n">
        <v>0</v>
      </c>
      <c r="P278" t="n">
        <v>0</v>
      </c>
      <c r="Q278" t="n">
        <v>0</v>
      </c>
      <c r="R278" s="2" t="inlineStr"/>
    </row>
    <row r="279" ht="15" customHeight="1">
      <c r="A279" t="inlineStr">
        <is>
          <t>A 30282-2022</t>
        </is>
      </c>
      <c r="B279" s="1" t="n">
        <v>44760</v>
      </c>
      <c r="C279" s="1" t="n">
        <v>45933</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31802-2024</t>
        </is>
      </c>
      <c r="B280" s="1" t="n">
        <v>45509</v>
      </c>
      <c r="C280" s="1" t="n">
        <v>45933</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33876-2024</t>
        </is>
      </c>
      <c r="B281" s="1" t="n">
        <v>45521.87988425926</v>
      </c>
      <c r="C281" s="1" t="n">
        <v>45933</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4868-2024</t>
        </is>
      </c>
      <c r="B282" s="1" t="n">
        <v>45329</v>
      </c>
      <c r="C282" s="1" t="n">
        <v>45933</v>
      </c>
      <c r="D282" t="inlineStr">
        <is>
          <t>GOTLANDS LÄN</t>
        </is>
      </c>
      <c r="E282" t="inlineStr">
        <is>
          <t>GOTLAND</t>
        </is>
      </c>
      <c r="G282" t="n">
        <v>7.1</v>
      </c>
      <c r="H282" t="n">
        <v>0</v>
      </c>
      <c r="I282" t="n">
        <v>0</v>
      </c>
      <c r="J282" t="n">
        <v>0</v>
      </c>
      <c r="K282" t="n">
        <v>0</v>
      </c>
      <c r="L282" t="n">
        <v>0</v>
      </c>
      <c r="M282" t="n">
        <v>0</v>
      </c>
      <c r="N282" t="n">
        <v>0</v>
      </c>
      <c r="O282" t="n">
        <v>0</v>
      </c>
      <c r="P282" t="n">
        <v>0</v>
      </c>
      <c r="Q282" t="n">
        <v>0</v>
      </c>
      <c r="R282" s="2" t="inlineStr"/>
    </row>
    <row r="283" ht="15" customHeight="1">
      <c r="A283" t="inlineStr">
        <is>
          <t>A 8684-2025</t>
        </is>
      </c>
      <c r="B283" s="1" t="n">
        <v>45712.45605324074</v>
      </c>
      <c r="C283" s="1" t="n">
        <v>45933</v>
      </c>
      <c r="D283" t="inlineStr">
        <is>
          <t>GOTLANDS LÄN</t>
        </is>
      </c>
      <c r="E283" t="inlineStr">
        <is>
          <t>GOTLAND</t>
        </is>
      </c>
      <c r="G283" t="n">
        <v>3.5</v>
      </c>
      <c r="H283" t="n">
        <v>0</v>
      </c>
      <c r="I283" t="n">
        <v>0</v>
      </c>
      <c r="J283" t="n">
        <v>0</v>
      </c>
      <c r="K283" t="n">
        <v>0</v>
      </c>
      <c r="L283" t="n">
        <v>0</v>
      </c>
      <c r="M283" t="n">
        <v>0</v>
      </c>
      <c r="N283" t="n">
        <v>0</v>
      </c>
      <c r="O283" t="n">
        <v>0</v>
      </c>
      <c r="P283" t="n">
        <v>0</v>
      </c>
      <c r="Q283" t="n">
        <v>0</v>
      </c>
      <c r="R283" s="2" t="inlineStr"/>
    </row>
    <row r="284" ht="15" customHeight="1">
      <c r="A284" t="inlineStr">
        <is>
          <t>A 28285-2024</t>
        </is>
      </c>
      <c r="B284" s="1" t="n">
        <v>45477</v>
      </c>
      <c r="C284" s="1" t="n">
        <v>45933</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61100-2022</t>
        </is>
      </c>
      <c r="B285" s="1" t="n">
        <v>44915</v>
      </c>
      <c r="C285" s="1" t="n">
        <v>45933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61682-2024</t>
        </is>
      </c>
      <c r="B286" s="1" t="n">
        <v>45647.48824074074</v>
      </c>
      <c r="C286" s="1" t="n">
        <v>45933</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32330-2024</t>
        </is>
      </c>
      <c r="B287" s="1" t="n">
        <v>45512</v>
      </c>
      <c r="C287" s="1" t="n">
        <v>45933</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9613-2025</t>
        </is>
      </c>
      <c r="B288" s="1" t="n">
        <v>45715</v>
      </c>
      <c r="C288" s="1" t="n">
        <v>45933</v>
      </c>
      <c r="D288" t="inlineStr">
        <is>
          <t>GOTLANDS LÄN</t>
        </is>
      </c>
      <c r="E288" t="inlineStr">
        <is>
          <t>GOTLAND</t>
        </is>
      </c>
      <c r="G288" t="n">
        <v>3.5</v>
      </c>
      <c r="H288" t="n">
        <v>0</v>
      </c>
      <c r="I288" t="n">
        <v>0</v>
      </c>
      <c r="J288" t="n">
        <v>0</v>
      </c>
      <c r="K288" t="n">
        <v>0</v>
      </c>
      <c r="L288" t="n">
        <v>0</v>
      </c>
      <c r="M288" t="n">
        <v>0</v>
      </c>
      <c r="N288" t="n">
        <v>0</v>
      </c>
      <c r="O288" t="n">
        <v>0</v>
      </c>
      <c r="P288" t="n">
        <v>0</v>
      </c>
      <c r="Q288" t="n">
        <v>0</v>
      </c>
      <c r="R288" s="2" t="inlineStr"/>
    </row>
    <row r="289" ht="15" customHeight="1">
      <c r="A289" t="inlineStr">
        <is>
          <t>A 19905-2025</t>
        </is>
      </c>
      <c r="B289" s="1" t="n">
        <v>45771</v>
      </c>
      <c r="C289" s="1" t="n">
        <v>45933</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8036-2022</t>
        </is>
      </c>
      <c r="B290" s="1" t="n">
        <v>44609.44362268518</v>
      </c>
      <c r="C290" s="1" t="n">
        <v>45933</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15595-2024</t>
        </is>
      </c>
      <c r="B291" s="1" t="n">
        <v>45401.81480324074</v>
      </c>
      <c r="C291" s="1" t="n">
        <v>45933</v>
      </c>
      <c r="D291" t="inlineStr">
        <is>
          <t>GOTLANDS LÄN</t>
        </is>
      </c>
      <c r="E291" t="inlineStr">
        <is>
          <t>GOTLAND</t>
        </is>
      </c>
      <c r="G291" t="n">
        <v>6.4</v>
      </c>
      <c r="H291" t="n">
        <v>0</v>
      </c>
      <c r="I291" t="n">
        <v>0</v>
      </c>
      <c r="J291" t="n">
        <v>0</v>
      </c>
      <c r="K291" t="n">
        <v>0</v>
      </c>
      <c r="L291" t="n">
        <v>0</v>
      </c>
      <c r="M291" t="n">
        <v>0</v>
      </c>
      <c r="N291" t="n">
        <v>0</v>
      </c>
      <c r="O291" t="n">
        <v>0</v>
      </c>
      <c r="P291" t="n">
        <v>0</v>
      </c>
      <c r="Q291" t="n">
        <v>0</v>
      </c>
      <c r="R291" s="2" t="inlineStr"/>
    </row>
    <row r="292" ht="15" customHeight="1">
      <c r="A292" t="inlineStr">
        <is>
          <t>A 12846-2025</t>
        </is>
      </c>
      <c r="B292" s="1" t="n">
        <v>45733.65049768519</v>
      </c>
      <c r="C292" s="1" t="n">
        <v>45933</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5751-2024</t>
        </is>
      </c>
      <c r="B293" s="1" t="n">
        <v>45335.32702546296</v>
      </c>
      <c r="C293" s="1" t="n">
        <v>45933</v>
      </c>
      <c r="D293" t="inlineStr">
        <is>
          <t>GOTLANDS LÄN</t>
        </is>
      </c>
      <c r="E293" t="inlineStr">
        <is>
          <t>GOTLAND</t>
        </is>
      </c>
      <c r="G293" t="n">
        <v>4.2</v>
      </c>
      <c r="H293" t="n">
        <v>0</v>
      </c>
      <c r="I293" t="n">
        <v>0</v>
      </c>
      <c r="J293" t="n">
        <v>0</v>
      </c>
      <c r="K293" t="n">
        <v>0</v>
      </c>
      <c r="L293" t="n">
        <v>0</v>
      </c>
      <c r="M293" t="n">
        <v>0</v>
      </c>
      <c r="N293" t="n">
        <v>0</v>
      </c>
      <c r="O293" t="n">
        <v>0</v>
      </c>
      <c r="P293" t="n">
        <v>0</v>
      </c>
      <c r="Q293" t="n">
        <v>0</v>
      </c>
      <c r="R293" s="2" t="inlineStr"/>
    </row>
    <row r="294" ht="15" customHeight="1">
      <c r="A294" t="inlineStr">
        <is>
          <t>A 29196-2025</t>
        </is>
      </c>
      <c r="B294" s="1" t="n">
        <v>45822</v>
      </c>
      <c r="C294" s="1" t="n">
        <v>45933</v>
      </c>
      <c r="D294" t="inlineStr">
        <is>
          <t>GOTLANDS LÄN</t>
        </is>
      </c>
      <c r="E294" t="inlineStr">
        <is>
          <t>GOTLAND</t>
        </is>
      </c>
      <c r="G294" t="n">
        <v>0.5</v>
      </c>
      <c r="H294" t="n">
        <v>0</v>
      </c>
      <c r="I294" t="n">
        <v>0</v>
      </c>
      <c r="J294" t="n">
        <v>0</v>
      </c>
      <c r="K294" t="n">
        <v>0</v>
      </c>
      <c r="L294" t="n">
        <v>0</v>
      </c>
      <c r="M294" t="n">
        <v>0</v>
      </c>
      <c r="N294" t="n">
        <v>0</v>
      </c>
      <c r="O294" t="n">
        <v>0</v>
      </c>
      <c r="P294" t="n">
        <v>0</v>
      </c>
      <c r="Q294" t="n">
        <v>0</v>
      </c>
      <c r="R294" s="2" t="inlineStr"/>
    </row>
    <row r="295" ht="15" customHeight="1">
      <c r="A295" t="inlineStr">
        <is>
          <t>A 46949-2024</t>
        </is>
      </c>
      <c r="B295" s="1" t="n">
        <v>45585</v>
      </c>
      <c r="C295" s="1" t="n">
        <v>45933</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29207-2025</t>
        </is>
      </c>
      <c r="B296" s="1" t="n">
        <v>45823</v>
      </c>
      <c r="C296" s="1" t="n">
        <v>45933</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10650-2022</t>
        </is>
      </c>
      <c r="B297" s="1" t="n">
        <v>44624.57945601852</v>
      </c>
      <c r="C297" s="1" t="n">
        <v>45933</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58388-2022</t>
        </is>
      </c>
      <c r="B298" s="1" t="n">
        <v>44894</v>
      </c>
      <c r="C298" s="1" t="n">
        <v>45933</v>
      </c>
      <c r="D298" t="inlineStr">
        <is>
          <t>GOTLANDS LÄN</t>
        </is>
      </c>
      <c r="E298" t="inlineStr">
        <is>
          <t>GOTLAND</t>
        </is>
      </c>
      <c r="F298" t="inlineStr">
        <is>
          <t>Övriga statliga verk och myndigheter</t>
        </is>
      </c>
      <c r="G298" t="n">
        <v>3.1</v>
      </c>
      <c r="H298" t="n">
        <v>0</v>
      </c>
      <c r="I298" t="n">
        <v>0</v>
      </c>
      <c r="J298" t="n">
        <v>0</v>
      </c>
      <c r="K298" t="n">
        <v>0</v>
      </c>
      <c r="L298" t="n">
        <v>0</v>
      </c>
      <c r="M298" t="n">
        <v>0</v>
      </c>
      <c r="N298" t="n">
        <v>0</v>
      </c>
      <c r="O298" t="n">
        <v>0</v>
      </c>
      <c r="P298" t="n">
        <v>0</v>
      </c>
      <c r="Q298" t="n">
        <v>0</v>
      </c>
      <c r="R298" s="2" t="inlineStr"/>
    </row>
    <row r="299" ht="15" customHeight="1">
      <c r="A299" t="inlineStr">
        <is>
          <t>A 21792-2024</t>
        </is>
      </c>
      <c r="B299" s="1" t="n">
        <v>45442.64326388889</v>
      </c>
      <c r="C299" s="1" t="n">
        <v>45933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30061-2025</t>
        </is>
      </c>
      <c r="B300" s="1" t="n">
        <v>45826.61488425926</v>
      </c>
      <c r="C300" s="1" t="n">
        <v>45933</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24966-2023</t>
        </is>
      </c>
      <c r="B301" s="1" t="n">
        <v>45085</v>
      </c>
      <c r="C301" s="1" t="n">
        <v>45933</v>
      </c>
      <c r="D301" t="inlineStr">
        <is>
          <t>GOTLANDS LÄN</t>
        </is>
      </c>
      <c r="E301" t="inlineStr">
        <is>
          <t>GOTLAND</t>
        </is>
      </c>
      <c r="G301" t="n">
        <v>7</v>
      </c>
      <c r="H301" t="n">
        <v>0</v>
      </c>
      <c r="I301" t="n">
        <v>0</v>
      </c>
      <c r="J301" t="n">
        <v>0</v>
      </c>
      <c r="K301" t="n">
        <v>0</v>
      </c>
      <c r="L301" t="n">
        <v>0</v>
      </c>
      <c r="M301" t="n">
        <v>0</v>
      </c>
      <c r="N301" t="n">
        <v>0</v>
      </c>
      <c r="O301" t="n">
        <v>0</v>
      </c>
      <c r="P301" t="n">
        <v>0</v>
      </c>
      <c r="Q301" t="n">
        <v>0</v>
      </c>
      <c r="R301" s="2" t="inlineStr"/>
    </row>
    <row r="302" ht="15" customHeight="1">
      <c r="A302" t="inlineStr">
        <is>
          <t>A 46189-2022</t>
        </is>
      </c>
      <c r="B302" s="1" t="n">
        <v>44847</v>
      </c>
      <c r="C302" s="1" t="n">
        <v>45933</v>
      </c>
      <c r="D302" t="inlineStr">
        <is>
          <t>GOTLANDS LÄN</t>
        </is>
      </c>
      <c r="E302" t="inlineStr">
        <is>
          <t>GOTLAND</t>
        </is>
      </c>
      <c r="G302" t="n">
        <v>0.4</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45933</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45933</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45933</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11634-2024</t>
        </is>
      </c>
      <c r="B306" s="1" t="n">
        <v>45373</v>
      </c>
      <c r="C306" s="1" t="n">
        <v>45933</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1351-2025</t>
        </is>
      </c>
      <c r="B307" s="1" t="n">
        <v>45667.62246527777</v>
      </c>
      <c r="C307" s="1" t="n">
        <v>45933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39496-2022</t>
        </is>
      </c>
      <c r="B308" s="1" t="n">
        <v>44818</v>
      </c>
      <c r="C308" s="1" t="n">
        <v>45933</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22031-2024</t>
        </is>
      </c>
      <c r="B309" s="1" t="n">
        <v>45443.60075231481</v>
      </c>
      <c r="C309" s="1" t="n">
        <v>45933</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49314-2024</t>
        </is>
      </c>
      <c r="B310" s="1" t="n">
        <v>45595.55893518519</v>
      </c>
      <c r="C310" s="1" t="n">
        <v>45933</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49874-2024</t>
        </is>
      </c>
      <c r="B311" s="1" t="n">
        <v>45597.49274305555</v>
      </c>
      <c r="C311" s="1" t="n">
        <v>45933</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44919-2022</t>
        </is>
      </c>
      <c r="B312" s="1" t="n">
        <v>44841</v>
      </c>
      <c r="C312" s="1" t="n">
        <v>45933</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45933</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42201-2023</t>
        </is>
      </c>
      <c r="B314" s="1" t="n">
        <v>45179</v>
      </c>
      <c r="C314" s="1" t="n">
        <v>45933</v>
      </c>
      <c r="D314" t="inlineStr">
        <is>
          <t>GOTLANDS LÄN</t>
        </is>
      </c>
      <c r="E314" t="inlineStr">
        <is>
          <t>GOTLAND</t>
        </is>
      </c>
      <c r="G314" t="n">
        <v>11.9</v>
      </c>
      <c r="H314" t="n">
        <v>0</v>
      </c>
      <c r="I314" t="n">
        <v>0</v>
      </c>
      <c r="J314" t="n">
        <v>0</v>
      </c>
      <c r="K314" t="n">
        <v>0</v>
      </c>
      <c r="L314" t="n">
        <v>0</v>
      </c>
      <c r="M314" t="n">
        <v>0</v>
      </c>
      <c r="N314" t="n">
        <v>0</v>
      </c>
      <c r="O314" t="n">
        <v>0</v>
      </c>
      <c r="P314" t="n">
        <v>0</v>
      </c>
      <c r="Q314" t="n">
        <v>0</v>
      </c>
      <c r="R314" s="2" t="inlineStr"/>
    </row>
    <row r="315" ht="15" customHeight="1">
      <c r="A315" t="inlineStr">
        <is>
          <t>A 46400-2023</t>
        </is>
      </c>
      <c r="B315" s="1" t="n">
        <v>45197.49290509259</v>
      </c>
      <c r="C315" s="1" t="n">
        <v>45933</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9875-2025</t>
        </is>
      </c>
      <c r="B316" s="1" t="n">
        <v>45716</v>
      </c>
      <c r="C316" s="1" t="n">
        <v>45933</v>
      </c>
      <c r="D316" t="inlineStr">
        <is>
          <t>GOTLANDS LÄN</t>
        </is>
      </c>
      <c r="E316" t="inlineStr">
        <is>
          <t>GOTLAND</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35512-2023</t>
        </is>
      </c>
      <c r="B317" s="1" t="n">
        <v>45147.25623842593</v>
      </c>
      <c r="C317" s="1" t="n">
        <v>45933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48503-2023</t>
        </is>
      </c>
      <c r="B318" s="1" t="n">
        <v>45207</v>
      </c>
      <c r="C318" s="1" t="n">
        <v>45933</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5905-2024</t>
        </is>
      </c>
      <c r="B319" s="1" t="n">
        <v>45335.88993055555</v>
      </c>
      <c r="C319" s="1" t="n">
        <v>45933</v>
      </c>
      <c r="D319" t="inlineStr">
        <is>
          <t>GOTLANDS LÄN</t>
        </is>
      </c>
      <c r="E319" t="inlineStr">
        <is>
          <t>GOTLAND</t>
        </is>
      </c>
      <c r="G319" t="n">
        <v>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45933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65901-2021</t>
        </is>
      </c>
      <c r="B321" s="1" t="n">
        <v>44516</v>
      </c>
      <c r="C321" s="1" t="n">
        <v>45933</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32467-2025</t>
        </is>
      </c>
      <c r="B322" s="1" t="n">
        <v>45838.42111111111</v>
      </c>
      <c r="C322" s="1" t="n">
        <v>45933</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21164-2024</t>
        </is>
      </c>
      <c r="B323" s="1" t="n">
        <v>45440</v>
      </c>
      <c r="C323" s="1" t="n">
        <v>45933</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1291-2023</t>
        </is>
      </c>
      <c r="B324" s="1" t="n">
        <v>44936.47561342592</v>
      </c>
      <c r="C324" s="1" t="n">
        <v>45933</v>
      </c>
      <c r="D324" t="inlineStr">
        <is>
          <t>GOTLANDS LÄN</t>
        </is>
      </c>
      <c r="E324" t="inlineStr">
        <is>
          <t>GOTLAND</t>
        </is>
      </c>
      <c r="G324" t="n">
        <v>7.4</v>
      </c>
      <c r="H324" t="n">
        <v>0</v>
      </c>
      <c r="I324" t="n">
        <v>0</v>
      </c>
      <c r="J324" t="n">
        <v>0</v>
      </c>
      <c r="K324" t="n">
        <v>0</v>
      </c>
      <c r="L324" t="n">
        <v>0</v>
      </c>
      <c r="M324" t="n">
        <v>0</v>
      </c>
      <c r="N324" t="n">
        <v>0</v>
      </c>
      <c r="O324" t="n">
        <v>0</v>
      </c>
      <c r="P324" t="n">
        <v>0</v>
      </c>
      <c r="Q324" t="n">
        <v>0</v>
      </c>
      <c r="R324" s="2" t="inlineStr"/>
    </row>
    <row r="325" ht="15" customHeight="1">
      <c r="A325" t="inlineStr">
        <is>
          <t>A 32378-2025</t>
        </is>
      </c>
      <c r="B325" s="1" t="n">
        <v>45837</v>
      </c>
      <c r="C325" s="1" t="n">
        <v>45933</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45933</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33078-2025</t>
        </is>
      </c>
      <c r="B327" s="1" t="n">
        <v>45840</v>
      </c>
      <c r="C327" s="1" t="n">
        <v>45933</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8045-2022</t>
        </is>
      </c>
      <c r="B328" s="1" t="n">
        <v>44609</v>
      </c>
      <c r="C328" s="1" t="n">
        <v>45933</v>
      </c>
      <c r="D328" t="inlineStr">
        <is>
          <t>GOTLANDS LÄN</t>
        </is>
      </c>
      <c r="E328" t="inlineStr">
        <is>
          <t>GOTLAND</t>
        </is>
      </c>
      <c r="G328" t="n">
        <v>7</v>
      </c>
      <c r="H328" t="n">
        <v>0</v>
      </c>
      <c r="I328" t="n">
        <v>0</v>
      </c>
      <c r="J328" t="n">
        <v>0</v>
      </c>
      <c r="K328" t="n">
        <v>0</v>
      </c>
      <c r="L328" t="n">
        <v>0</v>
      </c>
      <c r="M328" t="n">
        <v>0</v>
      </c>
      <c r="N328" t="n">
        <v>0</v>
      </c>
      <c r="O328" t="n">
        <v>0</v>
      </c>
      <c r="P328" t="n">
        <v>0</v>
      </c>
      <c r="Q328" t="n">
        <v>0</v>
      </c>
      <c r="R328" s="2" t="inlineStr"/>
    </row>
    <row r="329" ht="15" customHeight="1">
      <c r="A329" t="inlineStr">
        <is>
          <t>A 44649-2021</t>
        </is>
      </c>
      <c r="B329" s="1" t="n">
        <v>44437</v>
      </c>
      <c r="C329" s="1" t="n">
        <v>45933</v>
      </c>
      <c r="D329" t="inlineStr">
        <is>
          <t>GOTLANDS LÄN</t>
        </is>
      </c>
      <c r="E329" t="inlineStr">
        <is>
          <t>GOTLAND</t>
        </is>
      </c>
      <c r="G329" t="n">
        <v>8.1</v>
      </c>
      <c r="H329" t="n">
        <v>0</v>
      </c>
      <c r="I329" t="n">
        <v>0</v>
      </c>
      <c r="J329" t="n">
        <v>0</v>
      </c>
      <c r="K329" t="n">
        <v>0</v>
      </c>
      <c r="L329" t="n">
        <v>0</v>
      </c>
      <c r="M329" t="n">
        <v>0</v>
      </c>
      <c r="N329" t="n">
        <v>0</v>
      </c>
      <c r="O329" t="n">
        <v>0</v>
      </c>
      <c r="P329" t="n">
        <v>0</v>
      </c>
      <c r="Q329" t="n">
        <v>0</v>
      </c>
      <c r="R329" s="2" t="inlineStr"/>
    </row>
    <row r="330" ht="15" customHeight="1">
      <c r="A330" t="inlineStr">
        <is>
          <t>A 57652-2023</t>
        </is>
      </c>
      <c r="B330" s="1" t="n">
        <v>45246</v>
      </c>
      <c r="C330" s="1" t="n">
        <v>45933</v>
      </c>
      <c r="D330" t="inlineStr">
        <is>
          <t>GOTLANDS LÄN</t>
        </is>
      </c>
      <c r="E330" t="inlineStr">
        <is>
          <t>GOTLAND</t>
        </is>
      </c>
      <c r="G330" t="n">
        <v>7.2</v>
      </c>
      <c r="H330" t="n">
        <v>0</v>
      </c>
      <c r="I330" t="n">
        <v>0</v>
      </c>
      <c r="J330" t="n">
        <v>0</v>
      </c>
      <c r="K330" t="n">
        <v>0</v>
      </c>
      <c r="L330" t="n">
        <v>0</v>
      </c>
      <c r="M330" t="n">
        <v>0</v>
      </c>
      <c r="N330" t="n">
        <v>0</v>
      </c>
      <c r="O330" t="n">
        <v>0</v>
      </c>
      <c r="P330" t="n">
        <v>0</v>
      </c>
      <c r="Q330" t="n">
        <v>0</v>
      </c>
      <c r="R330" s="2" t="inlineStr"/>
    </row>
    <row r="331" ht="15" customHeight="1">
      <c r="A331" t="inlineStr">
        <is>
          <t>A 9947-2024</t>
        </is>
      </c>
      <c r="B331" s="1" t="n">
        <v>45363</v>
      </c>
      <c r="C331" s="1" t="n">
        <v>45933</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33007-2025</t>
        </is>
      </c>
      <c r="B332" s="1" t="n">
        <v>45840</v>
      </c>
      <c r="C332" s="1" t="n">
        <v>45933</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33011-2025</t>
        </is>
      </c>
      <c r="B333" s="1" t="n">
        <v>45840</v>
      </c>
      <c r="C333" s="1" t="n">
        <v>45933</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49315-2024</t>
        </is>
      </c>
      <c r="B334" s="1" t="n">
        <v>45595</v>
      </c>
      <c r="C334" s="1" t="n">
        <v>45933</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44304-2021</t>
        </is>
      </c>
      <c r="B335" s="1" t="n">
        <v>44434</v>
      </c>
      <c r="C335" s="1" t="n">
        <v>45933</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45106-2024</t>
        </is>
      </c>
      <c r="B336" s="1" t="n">
        <v>45575</v>
      </c>
      <c r="C336" s="1" t="n">
        <v>45933</v>
      </c>
      <c r="D336" t="inlineStr">
        <is>
          <t>GOTLANDS LÄN</t>
        </is>
      </c>
      <c r="E336" t="inlineStr">
        <is>
          <t>GOTLAND</t>
        </is>
      </c>
      <c r="G336" t="n">
        <v>10</v>
      </c>
      <c r="H336" t="n">
        <v>0</v>
      </c>
      <c r="I336" t="n">
        <v>0</v>
      </c>
      <c r="J336" t="n">
        <v>0</v>
      </c>
      <c r="K336" t="n">
        <v>0</v>
      </c>
      <c r="L336" t="n">
        <v>0</v>
      </c>
      <c r="M336" t="n">
        <v>0</v>
      </c>
      <c r="N336" t="n">
        <v>0</v>
      </c>
      <c r="O336" t="n">
        <v>0</v>
      </c>
      <c r="P336" t="n">
        <v>0</v>
      </c>
      <c r="Q336" t="n">
        <v>0</v>
      </c>
      <c r="R336" s="2" t="inlineStr"/>
    </row>
    <row r="337" ht="15" customHeight="1">
      <c r="A337" t="inlineStr">
        <is>
          <t>A 45112-2024</t>
        </is>
      </c>
      <c r="B337" s="1" t="n">
        <v>45575</v>
      </c>
      <c r="C337" s="1" t="n">
        <v>45933</v>
      </c>
      <c r="D337" t="inlineStr">
        <is>
          <t>GOTLANDS LÄN</t>
        </is>
      </c>
      <c r="E337" t="inlineStr">
        <is>
          <t>GOTLAND</t>
        </is>
      </c>
      <c r="G337" t="n">
        <v>5.1</v>
      </c>
      <c r="H337" t="n">
        <v>0</v>
      </c>
      <c r="I337" t="n">
        <v>0</v>
      </c>
      <c r="J337" t="n">
        <v>0</v>
      </c>
      <c r="K337" t="n">
        <v>0</v>
      </c>
      <c r="L337" t="n">
        <v>0</v>
      </c>
      <c r="M337" t="n">
        <v>0</v>
      </c>
      <c r="N337" t="n">
        <v>0</v>
      </c>
      <c r="O337" t="n">
        <v>0</v>
      </c>
      <c r="P337" t="n">
        <v>0</v>
      </c>
      <c r="Q337" t="n">
        <v>0</v>
      </c>
      <c r="R337" s="2" t="inlineStr"/>
    </row>
    <row r="338" ht="15" customHeight="1">
      <c r="A338" t="inlineStr">
        <is>
          <t>A 2676-2023</t>
        </is>
      </c>
      <c r="B338" s="1" t="n">
        <v>44944</v>
      </c>
      <c r="C338" s="1" t="n">
        <v>45933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45933</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17682-2024</t>
        </is>
      </c>
      <c r="B340" s="1" t="n">
        <v>45418.42966435185</v>
      </c>
      <c r="C340" s="1" t="n">
        <v>45933</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57522-2022</t>
        </is>
      </c>
      <c r="B341" s="1" t="n">
        <v>44896</v>
      </c>
      <c r="C341" s="1" t="n">
        <v>45933</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3150-2025</t>
        </is>
      </c>
      <c r="B342" s="1" t="n">
        <v>45679.28974537037</v>
      </c>
      <c r="C342" s="1" t="n">
        <v>45933</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8484-2025</t>
        </is>
      </c>
      <c r="B343" s="1" t="n">
        <v>45709</v>
      </c>
      <c r="C343" s="1" t="n">
        <v>45933</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7635-2025</t>
        </is>
      </c>
      <c r="B344" s="1" t="n">
        <v>45705</v>
      </c>
      <c r="C344" s="1" t="n">
        <v>45933</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7636-2025</t>
        </is>
      </c>
      <c r="B345" s="1" t="n">
        <v>45705.7687962963</v>
      </c>
      <c r="C345" s="1" t="n">
        <v>45933</v>
      </c>
      <c r="D345" t="inlineStr">
        <is>
          <t>GOTLANDS LÄN</t>
        </is>
      </c>
      <c r="E345" t="inlineStr">
        <is>
          <t>GOTLAND</t>
        </is>
      </c>
      <c r="G345" t="n">
        <v>0.6</v>
      </c>
      <c r="H345" t="n">
        <v>0</v>
      </c>
      <c r="I345" t="n">
        <v>0</v>
      </c>
      <c r="J345" t="n">
        <v>0</v>
      </c>
      <c r="K345" t="n">
        <v>0</v>
      </c>
      <c r="L345" t="n">
        <v>0</v>
      </c>
      <c r="M345" t="n">
        <v>0</v>
      </c>
      <c r="N345" t="n">
        <v>0</v>
      </c>
      <c r="O345" t="n">
        <v>0</v>
      </c>
      <c r="P345" t="n">
        <v>0</v>
      </c>
      <c r="Q345" t="n">
        <v>0</v>
      </c>
      <c r="R345" s="2" t="inlineStr"/>
    </row>
    <row r="346" ht="15" customHeight="1">
      <c r="A346" t="inlineStr">
        <is>
          <t>A 7639-2025</t>
        </is>
      </c>
      <c r="B346" s="1" t="n">
        <v>45705.77465277778</v>
      </c>
      <c r="C346" s="1" t="n">
        <v>45933</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61897-2024</t>
        </is>
      </c>
      <c r="B347" s="1" t="n">
        <v>45652.75685185185</v>
      </c>
      <c r="C347" s="1" t="n">
        <v>45933</v>
      </c>
      <c r="D347" t="inlineStr">
        <is>
          <t>GOTLANDS LÄN</t>
        </is>
      </c>
      <c r="E347" t="inlineStr">
        <is>
          <t>GOTLAND</t>
        </is>
      </c>
      <c r="G347" t="n">
        <v>6.4</v>
      </c>
      <c r="H347" t="n">
        <v>0</v>
      </c>
      <c r="I347" t="n">
        <v>0</v>
      </c>
      <c r="J347" t="n">
        <v>0</v>
      </c>
      <c r="K347" t="n">
        <v>0</v>
      </c>
      <c r="L347" t="n">
        <v>0</v>
      </c>
      <c r="M347" t="n">
        <v>0</v>
      </c>
      <c r="N347" t="n">
        <v>0</v>
      </c>
      <c r="O347" t="n">
        <v>0</v>
      </c>
      <c r="P347" t="n">
        <v>0</v>
      </c>
      <c r="Q347" t="n">
        <v>0</v>
      </c>
      <c r="R347" s="2" t="inlineStr"/>
    </row>
    <row r="348" ht="15" customHeight="1">
      <c r="A348" t="inlineStr">
        <is>
          <t>A 20356-2022</t>
        </is>
      </c>
      <c r="B348" s="1" t="n">
        <v>44699</v>
      </c>
      <c r="C348" s="1" t="n">
        <v>45933</v>
      </c>
      <c r="D348" t="inlineStr">
        <is>
          <t>GOTLANDS LÄN</t>
        </is>
      </c>
      <c r="E348" t="inlineStr">
        <is>
          <t>GOTLAND</t>
        </is>
      </c>
      <c r="F348" t="inlineStr">
        <is>
          <t>Övriga Aktiebolag</t>
        </is>
      </c>
      <c r="G348" t="n">
        <v>4.4</v>
      </c>
      <c r="H348" t="n">
        <v>0</v>
      </c>
      <c r="I348" t="n">
        <v>0</v>
      </c>
      <c r="J348" t="n">
        <v>0</v>
      </c>
      <c r="K348" t="n">
        <v>0</v>
      </c>
      <c r="L348" t="n">
        <v>0</v>
      </c>
      <c r="M348" t="n">
        <v>0</v>
      </c>
      <c r="N348" t="n">
        <v>0</v>
      </c>
      <c r="O348" t="n">
        <v>0</v>
      </c>
      <c r="P348" t="n">
        <v>0</v>
      </c>
      <c r="Q348" t="n">
        <v>0</v>
      </c>
      <c r="R348" s="2" t="inlineStr"/>
    </row>
    <row r="349" ht="15" customHeight="1">
      <c r="A349" t="inlineStr">
        <is>
          <t>A 48734-2022</t>
        </is>
      </c>
      <c r="B349" s="1" t="n">
        <v>44855</v>
      </c>
      <c r="C349" s="1" t="n">
        <v>45933</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14141-2024</t>
        </is>
      </c>
      <c r="B350" s="1" t="n">
        <v>45392.85193287037</v>
      </c>
      <c r="C350" s="1" t="n">
        <v>45933</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29809-2022</t>
        </is>
      </c>
      <c r="B351" s="1" t="n">
        <v>44755.8713425926</v>
      </c>
      <c r="C351" s="1" t="n">
        <v>45933</v>
      </c>
      <c r="D351" t="inlineStr">
        <is>
          <t>GOTLANDS LÄN</t>
        </is>
      </c>
      <c r="E351" t="inlineStr">
        <is>
          <t>GOTLAND</t>
        </is>
      </c>
      <c r="G351" t="n">
        <v>11.5</v>
      </c>
      <c r="H351" t="n">
        <v>0</v>
      </c>
      <c r="I351" t="n">
        <v>0</v>
      </c>
      <c r="J351" t="n">
        <v>0</v>
      </c>
      <c r="K351" t="n">
        <v>0</v>
      </c>
      <c r="L351" t="n">
        <v>0</v>
      </c>
      <c r="M351" t="n">
        <v>0</v>
      </c>
      <c r="N351" t="n">
        <v>0</v>
      </c>
      <c r="O351" t="n">
        <v>0</v>
      </c>
      <c r="P351" t="n">
        <v>0</v>
      </c>
      <c r="Q351" t="n">
        <v>0</v>
      </c>
      <c r="R351" s="2" t="inlineStr"/>
    </row>
    <row r="352" ht="15" customHeight="1">
      <c r="A352" t="inlineStr">
        <is>
          <t>A 49962-2023</t>
        </is>
      </c>
      <c r="B352" s="1" t="n">
        <v>45215.38775462963</v>
      </c>
      <c r="C352" s="1" t="n">
        <v>45933</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15413-2025</t>
        </is>
      </c>
      <c r="B353" s="1" t="n">
        <v>45747.451875</v>
      </c>
      <c r="C353" s="1" t="n">
        <v>45933</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38649-2025</t>
        </is>
      </c>
      <c r="B354" s="1" t="n">
        <v>45884</v>
      </c>
      <c r="C354" s="1" t="n">
        <v>45933</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20165-2022</t>
        </is>
      </c>
      <c r="B355" s="1" t="n">
        <v>44698.49854166667</v>
      </c>
      <c r="C355" s="1" t="n">
        <v>45933</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45933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39814-2025</t>
        </is>
      </c>
      <c r="B357" s="1" t="n">
        <v>45891.52694444444</v>
      </c>
      <c r="C357" s="1" t="n">
        <v>45933</v>
      </c>
      <c r="D357" t="inlineStr">
        <is>
          <t>GOTLANDS LÄN</t>
        </is>
      </c>
      <c r="E357" t="inlineStr">
        <is>
          <t>GOTLAND</t>
        </is>
      </c>
      <c r="G357" t="n">
        <v>4.5</v>
      </c>
      <c r="H357" t="n">
        <v>0</v>
      </c>
      <c r="I357" t="n">
        <v>0</v>
      </c>
      <c r="J357" t="n">
        <v>0</v>
      </c>
      <c r="K357" t="n">
        <v>0</v>
      </c>
      <c r="L357" t="n">
        <v>0</v>
      </c>
      <c r="M357" t="n">
        <v>0</v>
      </c>
      <c r="N357" t="n">
        <v>0</v>
      </c>
      <c r="O357" t="n">
        <v>0</v>
      </c>
      <c r="P357" t="n">
        <v>0</v>
      </c>
      <c r="Q357" t="n">
        <v>0</v>
      </c>
      <c r="R357" s="2" t="inlineStr"/>
    </row>
    <row r="358" ht="15" customHeight="1">
      <c r="A358" t="inlineStr">
        <is>
          <t>A 57685-2022</t>
        </is>
      </c>
      <c r="B358" s="1" t="n">
        <v>44897.4777662037</v>
      </c>
      <c r="C358" s="1" t="n">
        <v>45933</v>
      </c>
      <c r="D358" t="inlineStr">
        <is>
          <t>GOTLANDS LÄN</t>
        </is>
      </c>
      <c r="E358" t="inlineStr">
        <is>
          <t>GOTLAND</t>
        </is>
      </c>
      <c r="G358" t="n">
        <v>3.7</v>
      </c>
      <c r="H358" t="n">
        <v>0</v>
      </c>
      <c r="I358" t="n">
        <v>0</v>
      </c>
      <c r="J358" t="n">
        <v>0</v>
      </c>
      <c r="K358" t="n">
        <v>0</v>
      </c>
      <c r="L358" t="n">
        <v>0</v>
      </c>
      <c r="M358" t="n">
        <v>0</v>
      </c>
      <c r="N358" t="n">
        <v>0</v>
      </c>
      <c r="O358" t="n">
        <v>0</v>
      </c>
      <c r="P358" t="n">
        <v>0</v>
      </c>
      <c r="Q358" t="n">
        <v>0</v>
      </c>
      <c r="R358" s="2" t="inlineStr"/>
    </row>
    <row r="359" ht="15" customHeight="1">
      <c r="A359" t="inlineStr">
        <is>
          <t>A 40294-2022</t>
        </is>
      </c>
      <c r="B359" s="1" t="n">
        <v>44821</v>
      </c>
      <c r="C359" s="1" t="n">
        <v>45933</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45933</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12032-2025</t>
        </is>
      </c>
      <c r="B361" s="1" t="n">
        <v>45728.64472222222</v>
      </c>
      <c r="C361" s="1" t="n">
        <v>45933</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39849-2025</t>
        </is>
      </c>
      <c r="B362" s="1" t="n">
        <v>45891.58502314815</v>
      </c>
      <c r="C362" s="1" t="n">
        <v>45933</v>
      </c>
      <c r="D362" t="inlineStr">
        <is>
          <t>GOTLANDS LÄN</t>
        </is>
      </c>
      <c r="E362" t="inlineStr">
        <is>
          <t>GOTLAND</t>
        </is>
      </c>
      <c r="G362" t="n">
        <v>6.1</v>
      </c>
      <c r="H362" t="n">
        <v>0</v>
      </c>
      <c r="I362" t="n">
        <v>0</v>
      </c>
      <c r="J362" t="n">
        <v>0</v>
      </c>
      <c r="K362" t="n">
        <v>0</v>
      </c>
      <c r="L362" t="n">
        <v>0</v>
      </c>
      <c r="M362" t="n">
        <v>0</v>
      </c>
      <c r="N362" t="n">
        <v>0</v>
      </c>
      <c r="O362" t="n">
        <v>0</v>
      </c>
      <c r="P362" t="n">
        <v>0</v>
      </c>
      <c r="Q362" t="n">
        <v>0</v>
      </c>
      <c r="R362" s="2" t="inlineStr"/>
    </row>
    <row r="363" ht="15" customHeight="1">
      <c r="A363" t="inlineStr">
        <is>
          <t>A 30815-2023</t>
        </is>
      </c>
      <c r="B363" s="1" t="n">
        <v>45112</v>
      </c>
      <c r="C363" s="1" t="n">
        <v>45933</v>
      </c>
      <c r="D363" t="inlineStr">
        <is>
          <t>GOTLANDS LÄN</t>
        </is>
      </c>
      <c r="E363" t="inlineStr">
        <is>
          <t>GOTLAND</t>
        </is>
      </c>
      <c r="G363" t="n">
        <v>6</v>
      </c>
      <c r="H363" t="n">
        <v>0</v>
      </c>
      <c r="I363" t="n">
        <v>0</v>
      </c>
      <c r="J363" t="n">
        <v>0</v>
      </c>
      <c r="K363" t="n">
        <v>0</v>
      </c>
      <c r="L363" t="n">
        <v>0</v>
      </c>
      <c r="M363" t="n">
        <v>0</v>
      </c>
      <c r="N363" t="n">
        <v>0</v>
      </c>
      <c r="O363" t="n">
        <v>0</v>
      </c>
      <c r="P363" t="n">
        <v>0</v>
      </c>
      <c r="Q363" t="n">
        <v>0</v>
      </c>
      <c r="R363" s="2" t="inlineStr"/>
    </row>
    <row r="364" ht="15" customHeight="1">
      <c r="A364" t="inlineStr">
        <is>
          <t>A 40103-2025</t>
        </is>
      </c>
      <c r="B364" s="1" t="n">
        <v>45894.4880324074</v>
      </c>
      <c r="C364" s="1" t="n">
        <v>45933</v>
      </c>
      <c r="D364" t="inlineStr">
        <is>
          <t>GOTLANDS LÄN</t>
        </is>
      </c>
      <c r="E364" t="inlineStr">
        <is>
          <t>GOTLAND</t>
        </is>
      </c>
      <c r="G364" t="n">
        <v>0.9</v>
      </c>
      <c r="H364" t="n">
        <v>0</v>
      </c>
      <c r="I364" t="n">
        <v>0</v>
      </c>
      <c r="J364" t="n">
        <v>0</v>
      </c>
      <c r="K364" t="n">
        <v>0</v>
      </c>
      <c r="L364" t="n">
        <v>0</v>
      </c>
      <c r="M364" t="n">
        <v>0</v>
      </c>
      <c r="N364" t="n">
        <v>0</v>
      </c>
      <c r="O364" t="n">
        <v>0</v>
      </c>
      <c r="P364" t="n">
        <v>0</v>
      </c>
      <c r="Q364" t="n">
        <v>0</v>
      </c>
      <c r="R364" s="2" t="inlineStr"/>
    </row>
    <row r="365" ht="15" customHeight="1">
      <c r="A365" t="inlineStr">
        <is>
          <t>A 38787-2023</t>
        </is>
      </c>
      <c r="B365" s="1" t="n">
        <v>45163</v>
      </c>
      <c r="C365" s="1" t="n">
        <v>45933</v>
      </c>
      <c r="D365" t="inlineStr">
        <is>
          <t>GOTLANDS LÄN</t>
        </is>
      </c>
      <c r="E365" t="inlineStr">
        <is>
          <t>GOTLAND</t>
        </is>
      </c>
      <c r="G365" t="n">
        <v>0.4</v>
      </c>
      <c r="H365" t="n">
        <v>0</v>
      </c>
      <c r="I365" t="n">
        <v>0</v>
      </c>
      <c r="J365" t="n">
        <v>0</v>
      </c>
      <c r="K365" t="n">
        <v>0</v>
      </c>
      <c r="L365" t="n">
        <v>0</v>
      </c>
      <c r="M365" t="n">
        <v>0</v>
      </c>
      <c r="N365" t="n">
        <v>0</v>
      </c>
      <c r="O365" t="n">
        <v>0</v>
      </c>
      <c r="P365" t="n">
        <v>0</v>
      </c>
      <c r="Q365" t="n">
        <v>0</v>
      </c>
      <c r="R365" s="2" t="inlineStr"/>
    </row>
    <row r="366" ht="15" customHeight="1">
      <c r="A366" t="inlineStr">
        <is>
          <t>A 39819-2025</t>
        </is>
      </c>
      <c r="B366" s="1" t="n">
        <v>45891.53418981482</v>
      </c>
      <c r="C366" s="1" t="n">
        <v>45933</v>
      </c>
      <c r="D366" t="inlineStr">
        <is>
          <t>GOTLANDS LÄN</t>
        </is>
      </c>
      <c r="E366" t="inlineStr">
        <is>
          <t>GOTLAND</t>
        </is>
      </c>
      <c r="G366" t="n">
        <v>3.1</v>
      </c>
      <c r="H366" t="n">
        <v>0</v>
      </c>
      <c r="I366" t="n">
        <v>0</v>
      </c>
      <c r="J366" t="n">
        <v>0</v>
      </c>
      <c r="K366" t="n">
        <v>0</v>
      </c>
      <c r="L366" t="n">
        <v>0</v>
      </c>
      <c r="M366" t="n">
        <v>0</v>
      </c>
      <c r="N366" t="n">
        <v>0</v>
      </c>
      <c r="O366" t="n">
        <v>0</v>
      </c>
      <c r="P366" t="n">
        <v>0</v>
      </c>
      <c r="Q366" t="n">
        <v>0</v>
      </c>
      <c r="R366" s="2" t="inlineStr"/>
    </row>
    <row r="367" ht="15" customHeight="1">
      <c r="A367" t="inlineStr">
        <is>
          <t>A 40372-2025</t>
        </is>
      </c>
      <c r="B367" s="1" t="n">
        <v>45895.5162037037</v>
      </c>
      <c r="C367" s="1" t="n">
        <v>45933</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40373-2025</t>
        </is>
      </c>
      <c r="B368" s="1" t="n">
        <v>45895.51821759259</v>
      </c>
      <c r="C368" s="1" t="n">
        <v>45933</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30104-2025</t>
        </is>
      </c>
      <c r="B369" s="1" t="n">
        <v>45826.68806712963</v>
      </c>
      <c r="C369" s="1" t="n">
        <v>45933</v>
      </c>
      <c r="D369" t="inlineStr">
        <is>
          <t>GOTLANDS LÄN</t>
        </is>
      </c>
      <c r="E369" t="inlineStr">
        <is>
          <t>GOTLAND</t>
        </is>
      </c>
      <c r="G369" t="n">
        <v>15.4</v>
      </c>
      <c r="H369" t="n">
        <v>0</v>
      </c>
      <c r="I369" t="n">
        <v>0</v>
      </c>
      <c r="J369" t="n">
        <v>0</v>
      </c>
      <c r="K369" t="n">
        <v>0</v>
      </c>
      <c r="L369" t="n">
        <v>0</v>
      </c>
      <c r="M369" t="n">
        <v>0</v>
      </c>
      <c r="N369" t="n">
        <v>0</v>
      </c>
      <c r="O369" t="n">
        <v>0</v>
      </c>
      <c r="P369" t="n">
        <v>0</v>
      </c>
      <c r="Q369" t="n">
        <v>0</v>
      </c>
      <c r="R369" s="2" t="inlineStr"/>
    </row>
    <row r="370" ht="15" customHeight="1">
      <c r="A370" t="inlineStr">
        <is>
          <t>A 43231-2023</t>
        </is>
      </c>
      <c r="B370" s="1" t="n">
        <v>45183.47025462963</v>
      </c>
      <c r="C370" s="1" t="n">
        <v>45933</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40499-2025</t>
        </is>
      </c>
      <c r="B371" s="1" t="n">
        <v>45896.32517361111</v>
      </c>
      <c r="C371" s="1" t="n">
        <v>45933</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17532-2024</t>
        </is>
      </c>
      <c r="B372" s="1" t="n">
        <v>45415</v>
      </c>
      <c r="C372" s="1" t="n">
        <v>45933</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35290-2025</t>
        </is>
      </c>
      <c r="B373" s="1" t="n">
        <v>45854.38502314815</v>
      </c>
      <c r="C373" s="1" t="n">
        <v>45933</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39752-2025</t>
        </is>
      </c>
      <c r="B374" s="1" t="n">
        <v>45891</v>
      </c>
      <c r="C374" s="1" t="n">
        <v>45933</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39816-2025</t>
        </is>
      </c>
      <c r="B375" s="1" t="n">
        <v>45891</v>
      </c>
      <c r="C375" s="1" t="n">
        <v>45933</v>
      </c>
      <c r="D375" t="inlineStr">
        <is>
          <t>GOTLANDS LÄN</t>
        </is>
      </c>
      <c r="E375" t="inlineStr">
        <is>
          <t>GOTLAND</t>
        </is>
      </c>
      <c r="G375" t="n">
        <v>0.9</v>
      </c>
      <c r="H375" t="n">
        <v>0</v>
      </c>
      <c r="I375" t="n">
        <v>0</v>
      </c>
      <c r="J375" t="n">
        <v>0</v>
      </c>
      <c r="K375" t="n">
        <v>0</v>
      </c>
      <c r="L375" t="n">
        <v>0</v>
      </c>
      <c r="M375" t="n">
        <v>0</v>
      </c>
      <c r="N375" t="n">
        <v>0</v>
      </c>
      <c r="O375" t="n">
        <v>0</v>
      </c>
      <c r="P375" t="n">
        <v>0</v>
      </c>
      <c r="Q375" t="n">
        <v>0</v>
      </c>
      <c r="R375" s="2" t="inlineStr"/>
    </row>
    <row r="376" ht="15" customHeight="1">
      <c r="A376" t="inlineStr">
        <is>
          <t>A 32669-2024</t>
        </is>
      </c>
      <c r="B376" s="1" t="n">
        <v>45514</v>
      </c>
      <c r="C376" s="1" t="n">
        <v>45933</v>
      </c>
      <c r="D376" t="inlineStr">
        <is>
          <t>GOTLANDS LÄN</t>
        </is>
      </c>
      <c r="E376" t="inlineStr">
        <is>
          <t>GOTLAND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20356-2022</t>
        </is>
      </c>
      <c r="B377" s="1" t="n">
        <v>44699</v>
      </c>
      <c r="C377" s="1" t="n">
        <v>45933</v>
      </c>
      <c r="D377" t="inlineStr">
        <is>
          <t>GOTLANDS LÄN</t>
        </is>
      </c>
      <c r="E377" t="inlineStr">
        <is>
          <t>GOTLAND</t>
        </is>
      </c>
      <c r="F377" t="inlineStr">
        <is>
          <t>Övriga Aktiebolag</t>
        </is>
      </c>
      <c r="G377" t="n">
        <v>4.4</v>
      </c>
      <c r="H377" t="n">
        <v>0</v>
      </c>
      <c r="I377" t="n">
        <v>0</v>
      </c>
      <c r="J377" t="n">
        <v>0</v>
      </c>
      <c r="K377" t="n">
        <v>0</v>
      </c>
      <c r="L377" t="n">
        <v>0</v>
      </c>
      <c r="M377" t="n">
        <v>0</v>
      </c>
      <c r="N377" t="n">
        <v>0</v>
      </c>
      <c r="O377" t="n">
        <v>0</v>
      </c>
      <c r="P377" t="n">
        <v>0</v>
      </c>
      <c r="Q377" t="n">
        <v>0</v>
      </c>
      <c r="R377" s="2" t="inlineStr"/>
    </row>
    <row r="378" ht="15" customHeight="1">
      <c r="A378" t="inlineStr">
        <is>
          <t>A 7034-2023</t>
        </is>
      </c>
      <c r="B378" s="1" t="n">
        <v>44968.32108796296</v>
      </c>
      <c r="C378" s="1" t="n">
        <v>45933</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7042-2023</t>
        </is>
      </c>
      <c r="B379" s="1" t="n">
        <v>44968</v>
      </c>
      <c r="C379" s="1" t="n">
        <v>45933</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23516-2023</t>
        </is>
      </c>
      <c r="B380" s="1" t="n">
        <v>45076.93391203704</v>
      </c>
      <c r="C380" s="1" t="n">
        <v>45933</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64660-2023</t>
        </is>
      </c>
      <c r="B381" s="1" t="n">
        <v>45281.60122685185</v>
      </c>
      <c r="C381" s="1" t="n">
        <v>45933</v>
      </c>
      <c r="D381" t="inlineStr">
        <is>
          <t>GOTLANDS LÄN</t>
        </is>
      </c>
      <c r="E381" t="inlineStr">
        <is>
          <t>GOTLAND</t>
        </is>
      </c>
      <c r="G381" t="n">
        <v>6.3</v>
      </c>
      <c r="H381" t="n">
        <v>0</v>
      </c>
      <c r="I381" t="n">
        <v>0</v>
      </c>
      <c r="J381" t="n">
        <v>0</v>
      </c>
      <c r="K381" t="n">
        <v>0</v>
      </c>
      <c r="L381" t="n">
        <v>0</v>
      </c>
      <c r="M381" t="n">
        <v>0</v>
      </c>
      <c r="N381" t="n">
        <v>0</v>
      </c>
      <c r="O381" t="n">
        <v>0</v>
      </c>
      <c r="P381" t="n">
        <v>0</v>
      </c>
      <c r="Q381" t="n">
        <v>0</v>
      </c>
      <c r="R381" s="2" t="inlineStr"/>
    </row>
    <row r="382" ht="15" customHeight="1">
      <c r="A382" t="inlineStr">
        <is>
          <t>A 35537-2025</t>
        </is>
      </c>
      <c r="B382" s="1" t="n">
        <v>45856</v>
      </c>
      <c r="C382" s="1" t="n">
        <v>45933</v>
      </c>
      <c r="D382" t="inlineStr">
        <is>
          <t>GOTLANDS LÄN</t>
        </is>
      </c>
      <c r="E382" t="inlineStr">
        <is>
          <t>GOTLAND</t>
        </is>
      </c>
      <c r="G382" t="n">
        <v>16.8</v>
      </c>
      <c r="H382" t="n">
        <v>0</v>
      </c>
      <c r="I382" t="n">
        <v>0</v>
      </c>
      <c r="J382" t="n">
        <v>0</v>
      </c>
      <c r="K382" t="n">
        <v>0</v>
      </c>
      <c r="L382" t="n">
        <v>0</v>
      </c>
      <c r="M382" t="n">
        <v>0</v>
      </c>
      <c r="N382" t="n">
        <v>0</v>
      </c>
      <c r="O382" t="n">
        <v>0</v>
      </c>
      <c r="P382" t="n">
        <v>0</v>
      </c>
      <c r="Q382" t="n">
        <v>0</v>
      </c>
      <c r="R382" s="2" t="inlineStr"/>
    </row>
    <row r="383" ht="15" customHeight="1">
      <c r="A383" t="inlineStr">
        <is>
          <t>A 3935-2025</t>
        </is>
      </c>
      <c r="B383" s="1" t="n">
        <v>45684.46070601852</v>
      </c>
      <c r="C383" s="1" t="n">
        <v>45933</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63763-2023</t>
        </is>
      </c>
      <c r="B384" s="1" t="n">
        <v>45278.33944444444</v>
      </c>
      <c r="C384" s="1" t="n">
        <v>45933</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45856.49324074074</v>
      </c>
      <c r="C385" s="1" t="n">
        <v>45933</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63229-2021</t>
        </is>
      </c>
      <c r="B386" s="1" t="n">
        <v>44508.34518518519</v>
      </c>
      <c r="C386" s="1" t="n">
        <v>45933</v>
      </c>
      <c r="D386" t="inlineStr">
        <is>
          <t>GOTLANDS LÄN</t>
        </is>
      </c>
      <c r="E386" t="inlineStr">
        <is>
          <t>GOTLAND</t>
        </is>
      </c>
      <c r="F386" t="inlineStr">
        <is>
          <t>Kyrkan</t>
        </is>
      </c>
      <c r="G386" t="n">
        <v>3.8</v>
      </c>
      <c r="H386" t="n">
        <v>0</v>
      </c>
      <c r="I386" t="n">
        <v>0</v>
      </c>
      <c r="J386" t="n">
        <v>0</v>
      </c>
      <c r="K386" t="n">
        <v>0</v>
      </c>
      <c r="L386" t="n">
        <v>0</v>
      </c>
      <c r="M386" t="n">
        <v>0</v>
      </c>
      <c r="N386" t="n">
        <v>0</v>
      </c>
      <c r="O386" t="n">
        <v>0</v>
      </c>
      <c r="P386" t="n">
        <v>0</v>
      </c>
      <c r="Q386" t="n">
        <v>0</v>
      </c>
      <c r="R386" s="2" t="inlineStr"/>
    </row>
    <row r="387" ht="15" customHeight="1">
      <c r="A387" t="inlineStr">
        <is>
          <t>A 46375-2024</t>
        </is>
      </c>
      <c r="B387" s="1" t="n">
        <v>45582</v>
      </c>
      <c r="C387" s="1" t="n">
        <v>45933</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41551-2025</t>
        </is>
      </c>
      <c r="B388" s="1" t="n">
        <v>45901.58854166666</v>
      </c>
      <c r="C388" s="1" t="n">
        <v>45933</v>
      </c>
      <c r="D388" t="inlineStr">
        <is>
          <t>GOTLANDS LÄN</t>
        </is>
      </c>
      <c r="E388" t="inlineStr">
        <is>
          <t>GOTLAND</t>
        </is>
      </c>
      <c r="G388" t="n">
        <v>5.6</v>
      </c>
      <c r="H388" t="n">
        <v>0</v>
      </c>
      <c r="I388" t="n">
        <v>0</v>
      </c>
      <c r="J388" t="n">
        <v>0</v>
      </c>
      <c r="K388" t="n">
        <v>0</v>
      </c>
      <c r="L388" t="n">
        <v>0</v>
      </c>
      <c r="M388" t="n">
        <v>0</v>
      </c>
      <c r="N388" t="n">
        <v>0</v>
      </c>
      <c r="O388" t="n">
        <v>0</v>
      </c>
      <c r="P388" t="n">
        <v>0</v>
      </c>
      <c r="Q388" t="n">
        <v>0</v>
      </c>
      <c r="R388" s="2" t="inlineStr"/>
    </row>
    <row r="389" ht="15" customHeight="1">
      <c r="A389" t="inlineStr">
        <is>
          <t>A 41435-2025</t>
        </is>
      </c>
      <c r="B389" s="1" t="n">
        <v>45901.39974537037</v>
      </c>
      <c r="C389" s="1" t="n">
        <v>45933</v>
      </c>
      <c r="D389" t="inlineStr">
        <is>
          <t>GOTLANDS LÄN</t>
        </is>
      </c>
      <c r="E389" t="inlineStr">
        <is>
          <t>GOTLAND</t>
        </is>
      </c>
      <c r="G389" t="n">
        <v>4.9</v>
      </c>
      <c r="H389" t="n">
        <v>0</v>
      </c>
      <c r="I389" t="n">
        <v>0</v>
      </c>
      <c r="J389" t="n">
        <v>0</v>
      </c>
      <c r="K389" t="n">
        <v>0</v>
      </c>
      <c r="L389" t="n">
        <v>0</v>
      </c>
      <c r="M389" t="n">
        <v>0</v>
      </c>
      <c r="N389" t="n">
        <v>0</v>
      </c>
      <c r="O389" t="n">
        <v>0</v>
      </c>
      <c r="P389" t="n">
        <v>0</v>
      </c>
      <c r="Q389" t="n">
        <v>0</v>
      </c>
      <c r="R389" s="2" t="inlineStr"/>
    </row>
    <row r="390" ht="15" customHeight="1">
      <c r="A390" t="inlineStr">
        <is>
          <t>A 20225-2025</t>
        </is>
      </c>
      <c r="B390" s="1" t="n">
        <v>45772.65802083333</v>
      </c>
      <c r="C390" s="1" t="n">
        <v>45933</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883-2025</t>
        </is>
      </c>
      <c r="B391" s="1" t="n">
        <v>45665</v>
      </c>
      <c r="C391" s="1" t="n">
        <v>45933</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15216-2025</t>
        </is>
      </c>
      <c r="B392" s="1" t="n">
        <v>45744</v>
      </c>
      <c r="C392" s="1" t="n">
        <v>45933</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1734-2025</t>
        </is>
      </c>
      <c r="B393" s="1" t="n">
        <v>45671.3840625</v>
      </c>
      <c r="C393" s="1" t="n">
        <v>45933</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43790-2024</t>
        </is>
      </c>
      <c r="B394" s="1" t="n">
        <v>45571</v>
      </c>
      <c r="C394" s="1" t="n">
        <v>45933</v>
      </c>
      <c r="D394" t="inlineStr">
        <is>
          <t>GOTLANDS LÄN</t>
        </is>
      </c>
      <c r="E394" t="inlineStr">
        <is>
          <t>GOTLAND</t>
        </is>
      </c>
      <c r="G394" t="n">
        <v>3.5</v>
      </c>
      <c r="H394" t="n">
        <v>0</v>
      </c>
      <c r="I394" t="n">
        <v>0</v>
      </c>
      <c r="J394" t="n">
        <v>0</v>
      </c>
      <c r="K394" t="n">
        <v>0</v>
      </c>
      <c r="L394" t="n">
        <v>0</v>
      </c>
      <c r="M394" t="n">
        <v>0</v>
      </c>
      <c r="N394" t="n">
        <v>0</v>
      </c>
      <c r="O394" t="n">
        <v>0</v>
      </c>
      <c r="P394" t="n">
        <v>0</v>
      </c>
      <c r="Q394" t="n">
        <v>0</v>
      </c>
      <c r="R394" s="2" t="inlineStr"/>
    </row>
    <row r="395" ht="15" customHeight="1">
      <c r="A395" t="inlineStr">
        <is>
          <t>A 1066-2024</t>
        </is>
      </c>
      <c r="B395" s="1" t="n">
        <v>45302.285</v>
      </c>
      <c r="C395" s="1" t="n">
        <v>45933</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20993-2023</t>
        </is>
      </c>
      <c r="B396" s="1" t="n">
        <v>45056</v>
      </c>
      <c r="C396" s="1" t="n">
        <v>45933</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17144-2025</t>
        </is>
      </c>
      <c r="B397" s="1" t="n">
        <v>45755.9499537037</v>
      </c>
      <c r="C397" s="1" t="n">
        <v>45933</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15001-2025</t>
        </is>
      </c>
      <c r="B398" s="1" t="n">
        <v>45743</v>
      </c>
      <c r="C398" s="1" t="n">
        <v>45933</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30488-2025</t>
        </is>
      </c>
      <c r="B399" s="1" t="n">
        <v>45830</v>
      </c>
      <c r="C399" s="1" t="n">
        <v>45933</v>
      </c>
      <c r="D399" t="inlineStr">
        <is>
          <t>GOTLANDS LÄN</t>
        </is>
      </c>
      <c r="E399" t="inlineStr">
        <is>
          <t>GOTLAND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42608-2025</t>
        </is>
      </c>
      <c r="B400" s="1" t="n">
        <v>45905</v>
      </c>
      <c r="C400" s="1" t="n">
        <v>45933</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17847-2025</t>
        </is>
      </c>
      <c r="B401" s="1" t="n">
        <v>45758</v>
      </c>
      <c r="C401" s="1" t="n">
        <v>45933</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12596-2023</t>
        </is>
      </c>
      <c r="B402" s="1" t="n">
        <v>45000.43310185185</v>
      </c>
      <c r="C402" s="1" t="n">
        <v>45933</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2125-2025</t>
        </is>
      </c>
      <c r="B403" s="1" t="n">
        <v>45672.64940972222</v>
      </c>
      <c r="C403" s="1" t="n">
        <v>45933</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18742-2025</t>
        </is>
      </c>
      <c r="B404" s="1" t="n">
        <v>45763</v>
      </c>
      <c r="C404" s="1" t="n">
        <v>45933</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36319-2025</t>
        </is>
      </c>
      <c r="B405" s="1" t="n">
        <v>45868</v>
      </c>
      <c r="C405" s="1" t="n">
        <v>45933</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12155-2023</t>
        </is>
      </c>
      <c r="B406" s="1" t="n">
        <v>44998.49106481481</v>
      </c>
      <c r="C406" s="1" t="n">
        <v>45933</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457-2023</t>
        </is>
      </c>
      <c r="B407" s="1" t="n">
        <v>44929.87238425926</v>
      </c>
      <c r="C407" s="1" t="n">
        <v>45933</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459-2023</t>
        </is>
      </c>
      <c r="B408" s="1" t="n">
        <v>44929.87423611111</v>
      </c>
      <c r="C408" s="1" t="n">
        <v>45933</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35129-2025</t>
        </is>
      </c>
      <c r="B409" s="1" t="n">
        <v>45852.63224537037</v>
      </c>
      <c r="C409" s="1" t="n">
        <v>45933</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38234-2023</t>
        </is>
      </c>
      <c r="B410" s="1" t="n">
        <v>45161.56663194444</v>
      </c>
      <c r="C410" s="1" t="n">
        <v>45933</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50744-2024</t>
        </is>
      </c>
      <c r="B411" s="1" t="n">
        <v>45602.4187037037</v>
      </c>
      <c r="C411" s="1" t="n">
        <v>45933</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56009-2024</t>
        </is>
      </c>
      <c r="B412" s="1" t="n">
        <v>45623.80864583333</v>
      </c>
      <c r="C412" s="1" t="n">
        <v>45933</v>
      </c>
      <c r="D412" t="inlineStr">
        <is>
          <t>GOTLANDS LÄN</t>
        </is>
      </c>
      <c r="E412" t="inlineStr">
        <is>
          <t>GOTLAND</t>
        </is>
      </c>
      <c r="G412" t="n">
        <v>2.8</v>
      </c>
      <c r="H412" t="n">
        <v>0</v>
      </c>
      <c r="I412" t="n">
        <v>0</v>
      </c>
      <c r="J412" t="n">
        <v>0</v>
      </c>
      <c r="K412" t="n">
        <v>0</v>
      </c>
      <c r="L412" t="n">
        <v>0</v>
      </c>
      <c r="M412" t="n">
        <v>0</v>
      </c>
      <c r="N412" t="n">
        <v>0</v>
      </c>
      <c r="O412" t="n">
        <v>0</v>
      </c>
      <c r="P412" t="n">
        <v>0</v>
      </c>
      <c r="Q412" t="n">
        <v>0</v>
      </c>
      <c r="R412" s="2" t="inlineStr"/>
    </row>
    <row r="413" ht="15" customHeight="1">
      <c r="A413" t="inlineStr">
        <is>
          <t>A 53934-2024</t>
        </is>
      </c>
      <c r="B413" s="1" t="n">
        <v>45615</v>
      </c>
      <c r="C413" s="1" t="n">
        <v>45933</v>
      </c>
      <c r="D413" t="inlineStr">
        <is>
          <t>GOTLANDS LÄN</t>
        </is>
      </c>
      <c r="E413" t="inlineStr">
        <is>
          <t>GOTLAND</t>
        </is>
      </c>
      <c r="G413" t="n">
        <v>5</v>
      </c>
      <c r="H413" t="n">
        <v>0</v>
      </c>
      <c r="I413" t="n">
        <v>0</v>
      </c>
      <c r="J413" t="n">
        <v>0</v>
      </c>
      <c r="K413" t="n">
        <v>0</v>
      </c>
      <c r="L413" t="n">
        <v>0</v>
      </c>
      <c r="M413" t="n">
        <v>0</v>
      </c>
      <c r="N413" t="n">
        <v>0</v>
      </c>
      <c r="O413" t="n">
        <v>0</v>
      </c>
      <c r="P413" t="n">
        <v>0</v>
      </c>
      <c r="Q413" t="n">
        <v>0</v>
      </c>
      <c r="R413" s="2" t="inlineStr"/>
    </row>
    <row r="414" ht="15" customHeight="1">
      <c r="A414" t="inlineStr">
        <is>
          <t>A 42338-2023</t>
        </is>
      </c>
      <c r="B414" s="1" t="n">
        <v>45180</v>
      </c>
      <c r="C414" s="1" t="n">
        <v>45933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44410-2025</t>
        </is>
      </c>
      <c r="B415" s="1" t="n">
        <v>45916.53699074074</v>
      </c>
      <c r="C415" s="1" t="n">
        <v>45933</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44405-2025</t>
        </is>
      </c>
      <c r="B416" s="1" t="n">
        <v>45916.52405092592</v>
      </c>
      <c r="C416" s="1" t="n">
        <v>45933</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45933</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18993-2025</t>
        </is>
      </c>
      <c r="B418" s="1" t="n">
        <v>45764</v>
      </c>
      <c r="C418" s="1" t="n">
        <v>45933</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43911-2025</t>
        </is>
      </c>
      <c r="B419" s="1" t="n">
        <v>45914.3881712963</v>
      </c>
      <c r="C419" s="1" t="n">
        <v>45933</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31264-2021</t>
        </is>
      </c>
      <c r="B420" s="1" t="n">
        <v>44368</v>
      </c>
      <c r="C420" s="1" t="n">
        <v>45933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43951-2025</t>
        </is>
      </c>
      <c r="B421" s="1" t="n">
        <v>45915.38119212963</v>
      </c>
      <c r="C421" s="1" t="n">
        <v>45933</v>
      </c>
      <c r="D421" t="inlineStr">
        <is>
          <t>GOTLANDS LÄN</t>
        </is>
      </c>
      <c r="E421" t="inlineStr">
        <is>
          <t>GOTLAND</t>
        </is>
      </c>
      <c r="G421" t="n">
        <v>4.4</v>
      </c>
      <c r="H421" t="n">
        <v>0</v>
      </c>
      <c r="I421" t="n">
        <v>0</v>
      </c>
      <c r="J421" t="n">
        <v>0</v>
      </c>
      <c r="K421" t="n">
        <v>0</v>
      </c>
      <c r="L421" t="n">
        <v>0</v>
      </c>
      <c r="M421" t="n">
        <v>0</v>
      </c>
      <c r="N421" t="n">
        <v>0</v>
      </c>
      <c r="O421" t="n">
        <v>0</v>
      </c>
      <c r="P421" t="n">
        <v>0</v>
      </c>
      <c r="Q421" t="n">
        <v>0</v>
      </c>
      <c r="R421" s="2" t="inlineStr"/>
    </row>
    <row r="422" ht="15" customHeight="1">
      <c r="A422" t="inlineStr">
        <is>
          <t>A 47147-2025</t>
        </is>
      </c>
      <c r="B422" s="1" t="n">
        <v>45929.71716435185</v>
      </c>
      <c r="C422" s="1" t="n">
        <v>45933</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43901-2023</t>
        </is>
      </c>
      <c r="B423" s="1" t="n">
        <v>45187</v>
      </c>
      <c r="C423" s="1" t="n">
        <v>45933</v>
      </c>
      <c r="D423" t="inlineStr">
        <is>
          <t>GOTLANDS LÄN</t>
        </is>
      </c>
      <c r="E423" t="inlineStr">
        <is>
          <t>GOTLAND</t>
        </is>
      </c>
      <c r="G423" t="n">
        <v>5.4</v>
      </c>
      <c r="H423" t="n">
        <v>0</v>
      </c>
      <c r="I423" t="n">
        <v>0</v>
      </c>
      <c r="J423" t="n">
        <v>0</v>
      </c>
      <c r="K423" t="n">
        <v>0</v>
      </c>
      <c r="L423" t="n">
        <v>0</v>
      </c>
      <c r="M423" t="n">
        <v>0</v>
      </c>
      <c r="N423" t="n">
        <v>0</v>
      </c>
      <c r="O423" t="n">
        <v>0</v>
      </c>
      <c r="P423" t="n">
        <v>0</v>
      </c>
      <c r="Q423" t="n">
        <v>0</v>
      </c>
      <c r="R423" s="2" t="inlineStr"/>
    </row>
    <row r="424" ht="15" customHeight="1">
      <c r="A424" t="inlineStr">
        <is>
          <t>A 10746-2025</t>
        </is>
      </c>
      <c r="B424" s="1" t="n">
        <v>45722.42766203704</v>
      </c>
      <c r="C424" s="1" t="n">
        <v>45933</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16501-2023</t>
        </is>
      </c>
      <c r="B425" s="1" t="n">
        <v>45029</v>
      </c>
      <c r="C425" s="1" t="n">
        <v>45933</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30135-2025</t>
        </is>
      </c>
      <c r="B426" s="1" t="n">
        <v>45826</v>
      </c>
      <c r="C426" s="1" t="n">
        <v>45933</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12599-2025</t>
        </is>
      </c>
      <c r="B427" s="1" t="n">
        <v>45733.29546296296</v>
      </c>
      <c r="C427" s="1" t="n">
        <v>45933</v>
      </c>
      <c r="D427" t="inlineStr">
        <is>
          <t>GOTLANDS LÄN</t>
        </is>
      </c>
      <c r="E427" t="inlineStr">
        <is>
          <t>GOTLAND</t>
        </is>
      </c>
      <c r="G427" t="n">
        <v>4.7</v>
      </c>
      <c r="H427" t="n">
        <v>0</v>
      </c>
      <c r="I427" t="n">
        <v>0</v>
      </c>
      <c r="J427" t="n">
        <v>0</v>
      </c>
      <c r="K427" t="n">
        <v>0</v>
      </c>
      <c r="L427" t="n">
        <v>0</v>
      </c>
      <c r="M427" t="n">
        <v>0</v>
      </c>
      <c r="N427" t="n">
        <v>0</v>
      </c>
      <c r="O427" t="n">
        <v>0</v>
      </c>
      <c r="P427" t="n">
        <v>0</v>
      </c>
      <c r="Q427" t="n">
        <v>0</v>
      </c>
      <c r="R427" s="2" t="inlineStr"/>
    </row>
    <row r="428" ht="15" customHeight="1">
      <c r="A428" t="inlineStr">
        <is>
          <t>A 35141-2025</t>
        </is>
      </c>
      <c r="B428" s="1" t="n">
        <v>45852.65206018519</v>
      </c>
      <c r="C428" s="1" t="n">
        <v>45933</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27930-2021</t>
        </is>
      </c>
      <c r="B429" s="1" t="n">
        <v>44354</v>
      </c>
      <c r="C429" s="1" t="n">
        <v>45933</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46836-2025</t>
        </is>
      </c>
      <c r="B430" s="1" t="n">
        <v>45928.31511574074</v>
      </c>
      <c r="C430" s="1" t="n">
        <v>45933</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581-2023</t>
        </is>
      </c>
      <c r="B431" s="1" t="n">
        <v>44930</v>
      </c>
      <c r="C431" s="1" t="n">
        <v>45933</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61962-2024</t>
        </is>
      </c>
      <c r="B432" s="1" t="n">
        <v>45653.54340277778</v>
      </c>
      <c r="C432" s="1" t="n">
        <v>45933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35142-2025</t>
        </is>
      </c>
      <c r="B433" s="1" t="n">
        <v>45852.65532407408</v>
      </c>
      <c r="C433" s="1" t="n">
        <v>45933</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61386-2023</t>
        </is>
      </c>
      <c r="B434" s="1" t="n">
        <v>45264</v>
      </c>
      <c r="C434" s="1" t="n">
        <v>45933</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10492-2023</t>
        </is>
      </c>
      <c r="B435" s="1" t="n">
        <v>44987</v>
      </c>
      <c r="C435" s="1" t="n">
        <v>45933</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873-2024</t>
        </is>
      </c>
      <c r="B436" s="1" t="n">
        <v>45301</v>
      </c>
      <c r="C436" s="1" t="n">
        <v>45933</v>
      </c>
      <c r="D436" t="inlineStr">
        <is>
          <t>GOTLANDS LÄN</t>
        </is>
      </c>
      <c r="E436" t="inlineStr">
        <is>
          <t>GOTLAND</t>
        </is>
      </c>
      <c r="G436" t="n">
        <v>2.7</v>
      </c>
      <c r="H436" t="n">
        <v>0</v>
      </c>
      <c r="I436" t="n">
        <v>0</v>
      </c>
      <c r="J436" t="n">
        <v>0</v>
      </c>
      <c r="K436" t="n">
        <v>0</v>
      </c>
      <c r="L436" t="n">
        <v>0</v>
      </c>
      <c r="M436" t="n">
        <v>0</v>
      </c>
      <c r="N436" t="n">
        <v>0</v>
      </c>
      <c r="O436" t="n">
        <v>0</v>
      </c>
      <c r="P436" t="n">
        <v>0</v>
      </c>
      <c r="Q436" t="n">
        <v>0</v>
      </c>
      <c r="R436" s="2" t="inlineStr"/>
    </row>
    <row r="437" ht="15" customHeight="1">
      <c r="A437" t="inlineStr">
        <is>
          <t>A 49411-2023</t>
        </is>
      </c>
      <c r="B437" s="1" t="n">
        <v>45205</v>
      </c>
      <c r="C437" s="1" t="n">
        <v>45933</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6108-2025</t>
        </is>
      </c>
      <c r="B438" s="1" t="n">
        <v>45698.29880787037</v>
      </c>
      <c r="C438" s="1" t="n">
        <v>45933</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21142-2025</t>
        </is>
      </c>
      <c r="B439" s="1" t="n">
        <v>45779</v>
      </c>
      <c r="C439" s="1" t="n">
        <v>45933</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5909-2025</t>
        </is>
      </c>
      <c r="B440" s="1" t="n">
        <v>45695.40634259259</v>
      </c>
      <c r="C440" s="1" t="n">
        <v>45933</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10158-2025</t>
        </is>
      </c>
      <c r="B441" s="1" t="n">
        <v>45719</v>
      </c>
      <c r="C441" s="1" t="n">
        <v>45933</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10653-2023</t>
        </is>
      </c>
      <c r="B442" s="1" t="n">
        <v>44988.48859953704</v>
      </c>
      <c r="C442" s="1" t="n">
        <v>45933</v>
      </c>
      <c r="D442" t="inlineStr">
        <is>
          <t>GOTLANDS LÄN</t>
        </is>
      </c>
      <c r="E442" t="inlineStr">
        <is>
          <t>GOTLAND</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22275-2023</t>
        </is>
      </c>
      <c r="B443" s="1" t="n">
        <v>45070.39875</v>
      </c>
      <c r="C443" s="1" t="n">
        <v>45933</v>
      </c>
      <c r="D443" t="inlineStr">
        <is>
          <t>GOTLANDS LÄN</t>
        </is>
      </c>
      <c r="E443" t="inlineStr">
        <is>
          <t>GOTLAND</t>
        </is>
      </c>
      <c r="G443" t="n">
        <v>7.2</v>
      </c>
      <c r="H443" t="n">
        <v>0</v>
      </c>
      <c r="I443" t="n">
        <v>0</v>
      </c>
      <c r="J443" t="n">
        <v>0</v>
      </c>
      <c r="K443" t="n">
        <v>0</v>
      </c>
      <c r="L443" t="n">
        <v>0</v>
      </c>
      <c r="M443" t="n">
        <v>0</v>
      </c>
      <c r="N443" t="n">
        <v>0</v>
      </c>
      <c r="O443" t="n">
        <v>0</v>
      </c>
      <c r="P443" t="n">
        <v>0</v>
      </c>
      <c r="Q443" t="n">
        <v>0</v>
      </c>
      <c r="R443" s="2" t="inlineStr"/>
    </row>
    <row r="444" ht="15" customHeight="1">
      <c r="A444" t="inlineStr">
        <is>
          <t>A 12322-2025</t>
        </is>
      </c>
      <c r="B444" s="1" t="n">
        <v>45730</v>
      </c>
      <c r="C444" s="1" t="n">
        <v>45933</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47637-2025</t>
        </is>
      </c>
      <c r="B445" s="1" t="n">
        <v>45931.49753472222</v>
      </c>
      <c r="C445" s="1" t="n">
        <v>45933</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4990-2025</t>
        </is>
      </c>
      <c r="B446" s="1" t="n">
        <v>45691</v>
      </c>
      <c r="C446" s="1" t="n">
        <v>45933</v>
      </c>
      <c r="D446" t="inlineStr">
        <is>
          <t>GOTLANDS LÄN</t>
        </is>
      </c>
      <c r="E446" t="inlineStr">
        <is>
          <t>GOTLAND</t>
        </is>
      </c>
      <c r="G446" t="n">
        <v>7.7</v>
      </c>
      <c r="H446" t="n">
        <v>0</v>
      </c>
      <c r="I446" t="n">
        <v>0</v>
      </c>
      <c r="J446" t="n">
        <v>0</v>
      </c>
      <c r="K446" t="n">
        <v>0</v>
      </c>
      <c r="L446" t="n">
        <v>0</v>
      </c>
      <c r="M446" t="n">
        <v>0</v>
      </c>
      <c r="N446" t="n">
        <v>0</v>
      </c>
      <c r="O446" t="n">
        <v>0</v>
      </c>
      <c r="P446" t="n">
        <v>0</v>
      </c>
      <c r="Q446" t="n">
        <v>0</v>
      </c>
      <c r="R446" s="2" t="inlineStr"/>
    </row>
    <row r="447" ht="15" customHeight="1">
      <c r="A447" t="inlineStr">
        <is>
          <t>A 47578-2025</t>
        </is>
      </c>
      <c r="B447" s="1" t="n">
        <v>45931</v>
      </c>
      <c r="C447" s="1" t="n">
        <v>45933</v>
      </c>
      <c r="D447" t="inlineStr">
        <is>
          <t>GOTLANDS LÄN</t>
        </is>
      </c>
      <c r="E447" t="inlineStr">
        <is>
          <t>GOTLAND</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39278-2025</t>
        </is>
      </c>
      <c r="B448" s="1" t="n">
        <v>45889</v>
      </c>
      <c r="C448" s="1" t="n">
        <v>45933</v>
      </c>
      <c r="D448" t="inlineStr">
        <is>
          <t>GOTLANDS LÄN</t>
        </is>
      </c>
      <c r="E448" t="inlineStr">
        <is>
          <t>GOTLAND</t>
        </is>
      </c>
      <c r="G448" t="n">
        <v>3.7</v>
      </c>
      <c r="H448" t="n">
        <v>0</v>
      </c>
      <c r="I448" t="n">
        <v>0</v>
      </c>
      <c r="J448" t="n">
        <v>0</v>
      </c>
      <c r="K448" t="n">
        <v>0</v>
      </c>
      <c r="L448" t="n">
        <v>0</v>
      </c>
      <c r="M448" t="n">
        <v>0</v>
      </c>
      <c r="N448" t="n">
        <v>0</v>
      </c>
      <c r="O448" t="n">
        <v>0</v>
      </c>
      <c r="P448" t="n">
        <v>0</v>
      </c>
      <c r="Q448" t="n">
        <v>0</v>
      </c>
      <c r="R448" s="2" t="inlineStr"/>
    </row>
    <row r="449" ht="15" customHeight="1">
      <c r="A449" t="inlineStr">
        <is>
          <t>A 14797-2024</t>
        </is>
      </c>
      <c r="B449" s="1" t="n">
        <v>45397.87030092593</v>
      </c>
      <c r="C449" s="1" t="n">
        <v>45933</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999-2024</t>
        </is>
      </c>
      <c r="B450" s="1" t="n">
        <v>45301</v>
      </c>
      <c r="C450" s="1" t="n">
        <v>45933</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17343-2025</t>
        </is>
      </c>
      <c r="B451" s="1" t="n">
        <v>45756.6687037037</v>
      </c>
      <c r="C451" s="1" t="n">
        <v>45933</v>
      </c>
      <c r="D451" t="inlineStr">
        <is>
          <t>GOTLANDS LÄN</t>
        </is>
      </c>
      <c r="E451" t="inlineStr">
        <is>
          <t>GOTLAND</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18938-2025</t>
        </is>
      </c>
      <c r="B452" s="1" t="n">
        <v>45764.49172453704</v>
      </c>
      <c r="C452" s="1" t="n">
        <v>45933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61596-2023</t>
        </is>
      </c>
      <c r="B453" s="1" t="n">
        <v>45265</v>
      </c>
      <c r="C453" s="1" t="n">
        <v>45933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45933</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45933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45933</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30489-2025</t>
        </is>
      </c>
      <c r="B457" s="1" t="n">
        <v>45830</v>
      </c>
      <c r="C457" s="1" t="n">
        <v>45933</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5884-2025</t>
        </is>
      </c>
      <c r="B458" s="1" t="n">
        <v>45695.37482638889</v>
      </c>
      <c r="C458" s="1" t="n">
        <v>45933</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5897-2025</t>
        </is>
      </c>
      <c r="B459" s="1" t="n">
        <v>45695.39273148148</v>
      </c>
      <c r="C459" s="1" t="n">
        <v>45933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20307-2025</t>
        </is>
      </c>
      <c r="B460" s="1" t="n">
        <v>45774.95546296296</v>
      </c>
      <c r="C460" s="1" t="n">
        <v>45933</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44496.64855324074</v>
      </c>
      <c r="C461" s="1" t="n">
        <v>45933</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37728-2024</t>
        </is>
      </c>
      <c r="B462" s="1" t="n">
        <v>45541</v>
      </c>
      <c r="C462" s="1" t="n">
        <v>45933</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49693-2023</t>
        </is>
      </c>
      <c r="B463" s="1" t="n">
        <v>45212.38138888889</v>
      </c>
      <c r="C463" s="1" t="n">
        <v>45933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49697-2023</t>
        </is>
      </c>
      <c r="B464" s="1" t="n">
        <v>45212.38909722222</v>
      </c>
      <c r="C464" s="1" t="n">
        <v>45933</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17901-2023</t>
        </is>
      </c>
      <c r="B465" s="1" t="n">
        <v>45039</v>
      </c>
      <c r="C465" s="1" t="n">
        <v>45933</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22287-2022</t>
        </is>
      </c>
      <c r="B466" s="1" t="n">
        <v>44712</v>
      </c>
      <c r="C466" s="1" t="n">
        <v>45933</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44467.49048611111</v>
      </c>
      <c r="C467" s="1" t="n">
        <v>45933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54074-2022</t>
        </is>
      </c>
      <c r="B468" s="1" t="n">
        <v>44881</v>
      </c>
      <c r="C468" s="1" t="n">
        <v>45933</v>
      </c>
      <c r="D468" t="inlineStr">
        <is>
          <t>GOTLANDS LÄN</t>
        </is>
      </c>
      <c r="E468" t="inlineStr">
        <is>
          <t>GOTLAND</t>
        </is>
      </c>
      <c r="G468" t="n">
        <v>0.9</v>
      </c>
      <c r="H468" t="n">
        <v>0</v>
      </c>
      <c r="I468" t="n">
        <v>0</v>
      </c>
      <c r="J468" t="n">
        <v>0</v>
      </c>
      <c r="K468" t="n">
        <v>0</v>
      </c>
      <c r="L468" t="n">
        <v>0</v>
      </c>
      <c r="M468" t="n">
        <v>0</v>
      </c>
      <c r="N468" t="n">
        <v>0</v>
      </c>
      <c r="O468" t="n">
        <v>0</v>
      </c>
      <c r="P468" t="n">
        <v>0</v>
      </c>
      <c r="Q468" t="n">
        <v>0</v>
      </c>
      <c r="R468" s="2" t="inlineStr"/>
    </row>
    <row r="469" ht="15" customHeight="1">
      <c r="A469" t="inlineStr">
        <is>
          <t>A 46396-2023</t>
        </is>
      </c>
      <c r="B469" s="1" t="n">
        <v>45197</v>
      </c>
      <c r="C469" s="1" t="n">
        <v>45933</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65249-2023</t>
        </is>
      </c>
      <c r="B470" s="1" t="n">
        <v>45290</v>
      </c>
      <c r="C470" s="1" t="n">
        <v>45933</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17724-2024</t>
        </is>
      </c>
      <c r="B471" s="1" t="n">
        <v>45418.55096064815</v>
      </c>
      <c r="C471" s="1" t="n">
        <v>45933</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34312-2024</t>
        </is>
      </c>
      <c r="B472" s="1" t="n">
        <v>45524.69703703704</v>
      </c>
      <c r="C472" s="1" t="n">
        <v>45933</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2292-2021</t>
        </is>
      </c>
      <c r="B473" s="1" t="n">
        <v>44212</v>
      </c>
      <c r="C473" s="1" t="n">
        <v>45933</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13910-2025</t>
        </is>
      </c>
      <c r="B474" s="1" t="n">
        <v>45737</v>
      </c>
      <c r="C474" s="1" t="n">
        <v>45933</v>
      </c>
      <c r="D474" t="inlineStr">
        <is>
          <t>GOTLANDS LÄN</t>
        </is>
      </c>
      <c r="E474" t="inlineStr">
        <is>
          <t>GOTLAND</t>
        </is>
      </c>
      <c r="F474" t="inlineStr">
        <is>
          <t>Kommuner</t>
        </is>
      </c>
      <c r="G474" t="n">
        <v>3.2</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45933</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44682.82622685185</v>
      </c>
      <c r="C476" s="1" t="n">
        <v>45933</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7638-2025</t>
        </is>
      </c>
      <c r="B477" s="1" t="n">
        <v>45705.77306712963</v>
      </c>
      <c r="C477" s="1" t="n">
        <v>45933</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50482-2024</t>
        </is>
      </c>
      <c r="B478" s="1" t="n">
        <v>45601.48114583334</v>
      </c>
      <c r="C478" s="1" t="n">
        <v>45933</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45933</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1394-2023</t>
        </is>
      </c>
      <c r="B480" s="1" t="n">
        <v>44936.72997685185</v>
      </c>
      <c r="C480" s="1" t="n">
        <v>45933</v>
      </c>
      <c r="D480" t="inlineStr">
        <is>
          <t>GOTLANDS LÄN</t>
        </is>
      </c>
      <c r="E480" t="inlineStr">
        <is>
          <t>GOTLAND</t>
        </is>
      </c>
      <c r="G480" t="n">
        <v>2.1</v>
      </c>
      <c r="H480" t="n">
        <v>0</v>
      </c>
      <c r="I480" t="n">
        <v>0</v>
      </c>
      <c r="J480" t="n">
        <v>0</v>
      </c>
      <c r="K480" t="n">
        <v>0</v>
      </c>
      <c r="L480" t="n">
        <v>0</v>
      </c>
      <c r="M480" t="n">
        <v>0</v>
      </c>
      <c r="N480" t="n">
        <v>0</v>
      </c>
      <c r="O480" t="n">
        <v>0</v>
      </c>
      <c r="P480" t="n">
        <v>0</v>
      </c>
      <c r="Q480" t="n">
        <v>0</v>
      </c>
      <c r="R480" s="2" t="inlineStr"/>
    </row>
    <row r="481" ht="15" customHeight="1">
      <c r="A481" t="inlineStr">
        <is>
          <t>A 14536-2021</t>
        </is>
      </c>
      <c r="B481" s="1" t="n">
        <v>44279.66168981481</v>
      </c>
      <c r="C481" s="1" t="n">
        <v>45933</v>
      </c>
      <c r="D481" t="inlineStr">
        <is>
          <t>GOTLANDS LÄN</t>
        </is>
      </c>
      <c r="E481" t="inlineStr">
        <is>
          <t>GOTLAND</t>
        </is>
      </c>
      <c r="G481" t="n">
        <v>8.5</v>
      </c>
      <c r="H481" t="n">
        <v>0</v>
      </c>
      <c r="I481" t="n">
        <v>0</v>
      </c>
      <c r="J481" t="n">
        <v>0</v>
      </c>
      <c r="K481" t="n">
        <v>0</v>
      </c>
      <c r="L481" t="n">
        <v>0</v>
      </c>
      <c r="M481" t="n">
        <v>0</v>
      </c>
      <c r="N481" t="n">
        <v>0</v>
      </c>
      <c r="O481" t="n">
        <v>0</v>
      </c>
      <c r="P481" t="n">
        <v>0</v>
      </c>
      <c r="Q481" t="n">
        <v>0</v>
      </c>
      <c r="R481" s="2" t="inlineStr"/>
    </row>
    <row r="482" ht="15" customHeight="1">
      <c r="A482" t="inlineStr">
        <is>
          <t>A 58230-2024</t>
        </is>
      </c>
      <c r="B482" s="1" t="n">
        <v>45632.51625</v>
      </c>
      <c r="C482" s="1" t="n">
        <v>45933</v>
      </c>
      <c r="D482" t="inlineStr">
        <is>
          <t>GOTLANDS LÄN</t>
        </is>
      </c>
      <c r="E482" t="inlineStr">
        <is>
          <t>GOTLAND</t>
        </is>
      </c>
      <c r="G482" t="n">
        <v>7.3</v>
      </c>
      <c r="H482" t="n">
        <v>0</v>
      </c>
      <c r="I482" t="n">
        <v>0</v>
      </c>
      <c r="J482" t="n">
        <v>0</v>
      </c>
      <c r="K482" t="n">
        <v>0</v>
      </c>
      <c r="L482" t="n">
        <v>0</v>
      </c>
      <c r="M482" t="n">
        <v>0</v>
      </c>
      <c r="N482" t="n">
        <v>0</v>
      </c>
      <c r="O482" t="n">
        <v>0</v>
      </c>
      <c r="P482" t="n">
        <v>0</v>
      </c>
      <c r="Q482" t="n">
        <v>0</v>
      </c>
      <c r="R482" s="2" t="inlineStr"/>
    </row>
    <row r="483" ht="15" customHeight="1">
      <c r="A483" t="inlineStr">
        <is>
          <t>A 1462-2025</t>
        </is>
      </c>
      <c r="B483" s="1" t="n">
        <v>45670.36319444444</v>
      </c>
      <c r="C483" s="1" t="n">
        <v>45933</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25129-2023</t>
        </is>
      </c>
      <c r="B484" s="1" t="n">
        <v>45086.44261574074</v>
      </c>
      <c r="C484" s="1" t="n">
        <v>45933</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24192-2023</t>
        </is>
      </c>
      <c r="B485" s="1" t="n">
        <v>45079</v>
      </c>
      <c r="C485" s="1" t="n">
        <v>45933</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11874-2024</t>
        </is>
      </c>
      <c r="B486" s="1" t="n">
        <v>45376.46956018519</v>
      </c>
      <c r="C486" s="1" t="n">
        <v>45933</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5386-2023</t>
        </is>
      </c>
      <c r="B487" s="1" t="n">
        <v>44959</v>
      </c>
      <c r="C487" s="1" t="n">
        <v>45933</v>
      </c>
      <c r="D487" t="inlineStr">
        <is>
          <t>GOTLANDS LÄN</t>
        </is>
      </c>
      <c r="E487" t="inlineStr">
        <is>
          <t>GOTLAND</t>
        </is>
      </c>
      <c r="G487" t="n">
        <v>5.4</v>
      </c>
      <c r="H487" t="n">
        <v>0</v>
      </c>
      <c r="I487" t="n">
        <v>0</v>
      </c>
      <c r="J487" t="n">
        <v>0</v>
      </c>
      <c r="K487" t="n">
        <v>0</v>
      </c>
      <c r="L487" t="n">
        <v>0</v>
      </c>
      <c r="M487" t="n">
        <v>0</v>
      </c>
      <c r="N487" t="n">
        <v>0</v>
      </c>
      <c r="O487" t="n">
        <v>0</v>
      </c>
      <c r="P487" t="n">
        <v>0</v>
      </c>
      <c r="Q487" t="n">
        <v>0</v>
      </c>
      <c r="R487" s="2" t="inlineStr"/>
    </row>
    <row r="488" ht="15" customHeight="1">
      <c r="A488" t="inlineStr">
        <is>
          <t>A 42041-2024</t>
        </is>
      </c>
      <c r="B488" s="1" t="n">
        <v>45561</v>
      </c>
      <c r="C488" s="1" t="n">
        <v>45933</v>
      </c>
      <c r="D488" t="inlineStr">
        <is>
          <t>GOTLANDS LÄN</t>
        </is>
      </c>
      <c r="E488" t="inlineStr">
        <is>
          <t>GOTLAND</t>
        </is>
      </c>
      <c r="G488" t="n">
        <v>3.2</v>
      </c>
      <c r="H488" t="n">
        <v>0</v>
      </c>
      <c r="I488" t="n">
        <v>0</v>
      </c>
      <c r="J488" t="n">
        <v>0</v>
      </c>
      <c r="K488" t="n">
        <v>0</v>
      </c>
      <c r="L488" t="n">
        <v>0</v>
      </c>
      <c r="M488" t="n">
        <v>0</v>
      </c>
      <c r="N488" t="n">
        <v>0</v>
      </c>
      <c r="O488" t="n">
        <v>0</v>
      </c>
      <c r="P488" t="n">
        <v>0</v>
      </c>
      <c r="Q488" t="n">
        <v>0</v>
      </c>
      <c r="R488" s="2" t="inlineStr"/>
    </row>
    <row r="489" ht="15" customHeight="1">
      <c r="A489" t="inlineStr">
        <is>
          <t>A 61694-2023</t>
        </is>
      </c>
      <c r="B489" s="1" t="n">
        <v>45264</v>
      </c>
      <c r="C489" s="1" t="n">
        <v>45933</v>
      </c>
      <c r="D489" t="inlineStr">
        <is>
          <t>GOTLANDS LÄN</t>
        </is>
      </c>
      <c r="E489" t="inlineStr">
        <is>
          <t>GOTLAND</t>
        </is>
      </c>
      <c r="G489" t="n">
        <v>4.6</v>
      </c>
      <c r="H489" t="n">
        <v>0</v>
      </c>
      <c r="I489" t="n">
        <v>0</v>
      </c>
      <c r="J489" t="n">
        <v>0</v>
      </c>
      <c r="K489" t="n">
        <v>0</v>
      </c>
      <c r="L489" t="n">
        <v>0</v>
      </c>
      <c r="M489" t="n">
        <v>0</v>
      </c>
      <c r="N489" t="n">
        <v>0</v>
      </c>
      <c r="O489" t="n">
        <v>0</v>
      </c>
      <c r="P489" t="n">
        <v>0</v>
      </c>
      <c r="Q489" t="n">
        <v>0</v>
      </c>
      <c r="R489" s="2" t="inlineStr"/>
    </row>
    <row r="490" ht="15" customHeight="1">
      <c r="A490" t="inlineStr">
        <is>
          <t>A 7026-2023</t>
        </is>
      </c>
      <c r="B490" s="1" t="n">
        <v>44968.30340277778</v>
      </c>
      <c r="C490" s="1" t="n">
        <v>45933</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20855-2023</t>
        </is>
      </c>
      <c r="B491" s="1" t="n">
        <v>45058.82172453704</v>
      </c>
      <c r="C491" s="1" t="n">
        <v>45933</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16373-2025</t>
        </is>
      </c>
      <c r="B492" s="1" t="n">
        <v>45751</v>
      </c>
      <c r="C492" s="1" t="n">
        <v>45933</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1000-2024</t>
        </is>
      </c>
      <c r="B493" s="1" t="n">
        <v>45301.63371527778</v>
      </c>
      <c r="C493" s="1" t="n">
        <v>45933</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1010-2024</t>
        </is>
      </c>
      <c r="B494" s="1" t="n">
        <v>45301</v>
      </c>
      <c r="C494" s="1" t="n">
        <v>45933</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45933</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64831-2023</t>
        </is>
      </c>
      <c r="B496" s="1" t="n">
        <v>45282.44924768519</v>
      </c>
      <c r="C496" s="1" t="n">
        <v>45933</v>
      </c>
      <c r="D496" t="inlineStr">
        <is>
          <t>GOTLANDS LÄN</t>
        </is>
      </c>
      <c r="E496" t="inlineStr">
        <is>
          <t>GOTLAND</t>
        </is>
      </c>
      <c r="G496" t="n">
        <v>1.9</v>
      </c>
      <c r="H496" t="n">
        <v>0</v>
      </c>
      <c r="I496" t="n">
        <v>0</v>
      </c>
      <c r="J496" t="n">
        <v>0</v>
      </c>
      <c r="K496" t="n">
        <v>0</v>
      </c>
      <c r="L496" t="n">
        <v>0</v>
      </c>
      <c r="M496" t="n">
        <v>0</v>
      </c>
      <c r="N496" t="n">
        <v>0</v>
      </c>
      <c r="O496" t="n">
        <v>0</v>
      </c>
      <c r="P496" t="n">
        <v>0</v>
      </c>
      <c r="Q496" t="n">
        <v>0</v>
      </c>
      <c r="R496" s="2" t="inlineStr"/>
    </row>
    <row r="497" ht="15" customHeight="1">
      <c r="A497" t="inlineStr">
        <is>
          <t>A 14804-2021</t>
        </is>
      </c>
      <c r="B497" s="1" t="n">
        <v>44280</v>
      </c>
      <c r="C497" s="1" t="n">
        <v>45933</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999-2023</t>
        </is>
      </c>
      <c r="B498" s="1" t="n">
        <v>44935</v>
      </c>
      <c r="C498" s="1" t="n">
        <v>45933</v>
      </c>
      <c r="D498" t="inlineStr">
        <is>
          <t>GOTLANDS LÄN</t>
        </is>
      </c>
      <c r="E498" t="inlineStr">
        <is>
          <t>GOTLAND</t>
        </is>
      </c>
      <c r="G498" t="n">
        <v>4.7</v>
      </c>
      <c r="H498" t="n">
        <v>0</v>
      </c>
      <c r="I498" t="n">
        <v>0</v>
      </c>
      <c r="J498" t="n">
        <v>0</v>
      </c>
      <c r="K498" t="n">
        <v>0</v>
      </c>
      <c r="L498" t="n">
        <v>0</v>
      </c>
      <c r="M498" t="n">
        <v>0</v>
      </c>
      <c r="N498" t="n">
        <v>0</v>
      </c>
      <c r="O498" t="n">
        <v>0</v>
      </c>
      <c r="P498" t="n">
        <v>0</v>
      </c>
      <c r="Q498" t="n">
        <v>0</v>
      </c>
      <c r="R498" s="2" t="inlineStr"/>
    </row>
    <row r="499" ht="15" customHeight="1">
      <c r="A499" t="inlineStr">
        <is>
          <t>A 47762-2023</t>
        </is>
      </c>
      <c r="B499" s="1" t="n">
        <v>45203.86256944444</v>
      </c>
      <c r="C499" s="1" t="n">
        <v>45933</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27602-2023</t>
        </is>
      </c>
      <c r="B500" s="1" t="n">
        <v>45097</v>
      </c>
      <c r="C500" s="1" t="n">
        <v>45933</v>
      </c>
      <c r="D500" t="inlineStr">
        <is>
          <t>GOTLANDS LÄN</t>
        </is>
      </c>
      <c r="E500" t="inlineStr">
        <is>
          <t>GOTLAND</t>
        </is>
      </c>
      <c r="G500" t="n">
        <v>2.7</v>
      </c>
      <c r="H500" t="n">
        <v>0</v>
      </c>
      <c r="I500" t="n">
        <v>0</v>
      </c>
      <c r="J500" t="n">
        <v>0</v>
      </c>
      <c r="K500" t="n">
        <v>0</v>
      </c>
      <c r="L500" t="n">
        <v>0</v>
      </c>
      <c r="M500" t="n">
        <v>0</v>
      </c>
      <c r="N500" t="n">
        <v>0</v>
      </c>
      <c r="O500" t="n">
        <v>0</v>
      </c>
      <c r="P500" t="n">
        <v>0</v>
      </c>
      <c r="Q500" t="n">
        <v>0</v>
      </c>
      <c r="R500" s="2" t="inlineStr"/>
    </row>
    <row r="501" ht="15" customHeight="1">
      <c r="A501" t="inlineStr">
        <is>
          <t>A 46545-2024</t>
        </is>
      </c>
      <c r="B501" s="1" t="n">
        <v>45582.65831018519</v>
      </c>
      <c r="C501" s="1" t="n">
        <v>45933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60086-2022</t>
        </is>
      </c>
      <c r="B502" s="1" t="n">
        <v>44909</v>
      </c>
      <c r="C502" s="1" t="n">
        <v>45933</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28480-2023</t>
        </is>
      </c>
      <c r="B503" s="1" t="n">
        <v>45103</v>
      </c>
      <c r="C503" s="1" t="n">
        <v>45933</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28485-2023</t>
        </is>
      </c>
      <c r="B504" s="1" t="n">
        <v>45103.43731481482</v>
      </c>
      <c r="C504" s="1" t="n">
        <v>45933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62915-2021</t>
        </is>
      </c>
      <c r="B505" s="1" t="n">
        <v>44504</v>
      </c>
      <c r="C505" s="1" t="n">
        <v>45933</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44949-2023</t>
        </is>
      </c>
      <c r="B506" s="1" t="n">
        <v>45190.69520833333</v>
      </c>
      <c r="C506" s="1" t="n">
        <v>45933</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4377-2023</t>
        </is>
      </c>
      <c r="B507" s="1" t="n">
        <v>44955.5502662037</v>
      </c>
      <c r="C507" s="1" t="n">
        <v>45933</v>
      </c>
      <c r="D507" t="inlineStr">
        <is>
          <t>GOTLANDS LÄN</t>
        </is>
      </c>
      <c r="E507" t="inlineStr">
        <is>
          <t>GOTLAND</t>
        </is>
      </c>
      <c r="F507" t="inlineStr">
        <is>
          <t>Kyrkan</t>
        </is>
      </c>
      <c r="G507" t="n">
        <v>0.6</v>
      </c>
      <c r="H507" t="n">
        <v>0</v>
      </c>
      <c r="I507" t="n">
        <v>0</v>
      </c>
      <c r="J507" t="n">
        <v>0</v>
      </c>
      <c r="K507" t="n">
        <v>0</v>
      </c>
      <c r="L507" t="n">
        <v>0</v>
      </c>
      <c r="M507" t="n">
        <v>0</v>
      </c>
      <c r="N507" t="n">
        <v>0</v>
      </c>
      <c r="O507" t="n">
        <v>0</v>
      </c>
      <c r="P507" t="n">
        <v>0</v>
      </c>
      <c r="Q507" t="n">
        <v>0</v>
      </c>
      <c r="R507" s="2" t="inlineStr"/>
    </row>
    <row r="508" ht="15" customHeight="1">
      <c r="A508" t="inlineStr">
        <is>
          <t>A 4387-2023</t>
        </is>
      </c>
      <c r="B508" s="1" t="n">
        <v>44955.73359953704</v>
      </c>
      <c r="C508" s="1" t="n">
        <v>45933</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39479-2022</t>
        </is>
      </c>
      <c r="B509" s="1" t="n">
        <v>44818</v>
      </c>
      <c r="C509" s="1" t="n">
        <v>45933</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37222-2021</t>
        </is>
      </c>
      <c r="B510" s="1" t="n">
        <v>44396</v>
      </c>
      <c r="C510" s="1" t="n">
        <v>45933</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51963-2024</t>
        </is>
      </c>
      <c r="B511" s="1" t="n">
        <v>45607.64833333333</v>
      </c>
      <c r="C511" s="1" t="n">
        <v>45933</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811-2023</t>
        </is>
      </c>
      <c r="B512" s="1" t="n">
        <v>44931</v>
      </c>
      <c r="C512" s="1" t="n">
        <v>45933</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46389-2021</t>
        </is>
      </c>
      <c r="B513" s="1" t="n">
        <v>44443</v>
      </c>
      <c r="C513" s="1" t="n">
        <v>45933</v>
      </c>
      <c r="D513" t="inlineStr">
        <is>
          <t>GOTLANDS LÄN</t>
        </is>
      </c>
      <c r="E513" t="inlineStr">
        <is>
          <t>GOTLAND</t>
        </is>
      </c>
      <c r="F513" t="inlineStr">
        <is>
          <t>Kyrkan</t>
        </is>
      </c>
      <c r="G513" t="n">
        <v>2.1</v>
      </c>
      <c r="H513" t="n">
        <v>0</v>
      </c>
      <c r="I513" t="n">
        <v>0</v>
      </c>
      <c r="J513" t="n">
        <v>0</v>
      </c>
      <c r="K513" t="n">
        <v>0</v>
      </c>
      <c r="L513" t="n">
        <v>0</v>
      </c>
      <c r="M513" t="n">
        <v>0</v>
      </c>
      <c r="N513" t="n">
        <v>0</v>
      </c>
      <c r="O513" t="n">
        <v>0</v>
      </c>
      <c r="P513" t="n">
        <v>0</v>
      </c>
      <c r="Q513" t="n">
        <v>0</v>
      </c>
      <c r="R513" s="2" t="inlineStr"/>
    </row>
    <row r="514" ht="15" customHeight="1">
      <c r="A514" t="inlineStr">
        <is>
          <t>A 26810-2021</t>
        </is>
      </c>
      <c r="B514" s="1" t="n">
        <v>44349.55087962963</v>
      </c>
      <c r="C514" s="1" t="n">
        <v>45933</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3964-2024</t>
        </is>
      </c>
      <c r="B515" s="1" t="n">
        <v>45322</v>
      </c>
      <c r="C515" s="1" t="n">
        <v>45933</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45084-2024</t>
        </is>
      </c>
      <c r="B516" s="1" t="n">
        <v>45575</v>
      </c>
      <c r="C516" s="1" t="n">
        <v>45933</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5923-2023</t>
        </is>
      </c>
      <c r="B517" s="1" t="n">
        <v>44963.69503472222</v>
      </c>
      <c r="C517" s="1" t="n">
        <v>45933</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33853-2024</t>
        </is>
      </c>
      <c r="B518" s="1" t="n">
        <v>45520.64298611111</v>
      </c>
      <c r="C518" s="1" t="n">
        <v>45933</v>
      </c>
      <c r="D518" t="inlineStr">
        <is>
          <t>GOTLANDS LÄN</t>
        </is>
      </c>
      <c r="E518" t="inlineStr">
        <is>
          <t>GOTLAND</t>
        </is>
      </c>
      <c r="G518" t="n">
        <v>3.9</v>
      </c>
      <c r="H518" t="n">
        <v>0</v>
      </c>
      <c r="I518" t="n">
        <v>0</v>
      </c>
      <c r="J518" t="n">
        <v>0</v>
      </c>
      <c r="K518" t="n">
        <v>0</v>
      </c>
      <c r="L518" t="n">
        <v>0</v>
      </c>
      <c r="M518" t="n">
        <v>0</v>
      </c>
      <c r="N518" t="n">
        <v>0</v>
      </c>
      <c r="O518" t="n">
        <v>0</v>
      </c>
      <c r="P518" t="n">
        <v>0</v>
      </c>
      <c r="Q518" t="n">
        <v>0</v>
      </c>
      <c r="R518" s="2" t="inlineStr"/>
    </row>
    <row r="519" ht="15" customHeight="1">
      <c r="A519" t="inlineStr">
        <is>
          <t>A 18918-2025</t>
        </is>
      </c>
      <c r="B519" s="1" t="n">
        <v>45764</v>
      </c>
      <c r="C519" s="1" t="n">
        <v>45933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2674-2023</t>
        </is>
      </c>
      <c r="B520" s="1" t="n">
        <v>44944</v>
      </c>
      <c r="C520" s="1" t="n">
        <v>45933</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10655-2023</t>
        </is>
      </c>
      <c r="B521" s="1" t="n">
        <v>44988.49543981482</v>
      </c>
      <c r="C521" s="1" t="n">
        <v>45933</v>
      </c>
      <c r="D521" t="inlineStr">
        <is>
          <t>GOTLANDS LÄN</t>
        </is>
      </c>
      <c r="E521" t="inlineStr">
        <is>
          <t>GOTLAND</t>
        </is>
      </c>
      <c r="F521" t="inlineStr">
        <is>
          <t>Kyrkan</t>
        </is>
      </c>
      <c r="G521" t="n">
        <v>2</v>
      </c>
      <c r="H521" t="n">
        <v>0</v>
      </c>
      <c r="I521" t="n">
        <v>0</v>
      </c>
      <c r="J521" t="n">
        <v>0</v>
      </c>
      <c r="K521" t="n">
        <v>0</v>
      </c>
      <c r="L521" t="n">
        <v>0</v>
      </c>
      <c r="M521" t="n">
        <v>0</v>
      </c>
      <c r="N521" t="n">
        <v>0</v>
      </c>
      <c r="O521" t="n">
        <v>0</v>
      </c>
      <c r="P521" t="n">
        <v>0</v>
      </c>
      <c r="Q521" t="n">
        <v>0</v>
      </c>
      <c r="R521" s="2" t="inlineStr"/>
    </row>
    <row r="522" ht="15" customHeight="1">
      <c r="A522" t="inlineStr">
        <is>
          <t>A 5217-2023</t>
        </is>
      </c>
      <c r="B522" s="1" t="n">
        <v>44959.39582175926</v>
      </c>
      <c r="C522" s="1" t="n">
        <v>45933</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2719-2023</t>
        </is>
      </c>
      <c r="B523" s="1" t="n">
        <v>44944.55361111111</v>
      </c>
      <c r="C523" s="1" t="n">
        <v>45933</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26891-2024</t>
        </is>
      </c>
      <c r="B524" s="1" t="n">
        <v>45470.65540509259</v>
      </c>
      <c r="C524" s="1" t="n">
        <v>45933</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42007-2023</t>
        </is>
      </c>
      <c r="B525" s="1" t="n">
        <v>45177</v>
      </c>
      <c r="C525" s="1" t="n">
        <v>45933</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9887-2025</t>
        </is>
      </c>
      <c r="B526" s="1" t="n">
        <v>45716</v>
      </c>
      <c r="C526" s="1" t="n">
        <v>45933</v>
      </c>
      <c r="D526" t="inlineStr">
        <is>
          <t>GOTLANDS LÄN</t>
        </is>
      </c>
      <c r="E526" t="inlineStr">
        <is>
          <t>GOTLAND</t>
        </is>
      </c>
      <c r="G526" t="n">
        <v>7.5</v>
      </c>
      <c r="H526" t="n">
        <v>0</v>
      </c>
      <c r="I526" t="n">
        <v>0</v>
      </c>
      <c r="J526" t="n">
        <v>0</v>
      </c>
      <c r="K526" t="n">
        <v>0</v>
      </c>
      <c r="L526" t="n">
        <v>0</v>
      </c>
      <c r="M526" t="n">
        <v>0</v>
      </c>
      <c r="N526" t="n">
        <v>0</v>
      </c>
      <c r="O526" t="n">
        <v>0</v>
      </c>
      <c r="P526" t="n">
        <v>0</v>
      </c>
      <c r="Q526" t="n">
        <v>0</v>
      </c>
      <c r="R526" s="2" t="inlineStr"/>
    </row>
    <row r="527" ht="15" customHeight="1">
      <c r="A527" t="inlineStr">
        <is>
          <t>A 38165-2023</t>
        </is>
      </c>
      <c r="B527" s="1" t="n">
        <v>45161</v>
      </c>
      <c r="C527" s="1" t="n">
        <v>45933</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27596-2023</t>
        </is>
      </c>
      <c r="B528" s="1" t="n">
        <v>45097</v>
      </c>
      <c r="C528" s="1" t="n">
        <v>45933</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24825-2024</t>
        </is>
      </c>
      <c r="B529" s="1" t="n">
        <v>45461</v>
      </c>
      <c r="C529" s="1" t="n">
        <v>45933</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6696-2023</t>
        </is>
      </c>
      <c r="B530" s="1" t="n">
        <v>44966.66425925926</v>
      </c>
      <c r="C530" s="1" t="n">
        <v>45933</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45933</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44929.87122685185</v>
      </c>
      <c r="C532" s="1" t="n">
        <v>45933</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2714-2023</t>
        </is>
      </c>
      <c r="B533" s="1" t="n">
        <v>44944.54896990741</v>
      </c>
      <c r="C533" s="1" t="n">
        <v>45933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4421-2024</t>
        </is>
      </c>
      <c r="B534" s="1" t="n">
        <v>45327.45173611111</v>
      </c>
      <c r="C534" s="1" t="n">
        <v>45933</v>
      </c>
      <c r="D534" t="inlineStr">
        <is>
          <t>GOTLANDS LÄN</t>
        </is>
      </c>
      <c r="E534" t="inlineStr">
        <is>
          <t>GOTLAND</t>
        </is>
      </c>
      <c r="G534" t="n">
        <v>5.1</v>
      </c>
      <c r="H534" t="n">
        <v>0</v>
      </c>
      <c r="I534" t="n">
        <v>0</v>
      </c>
      <c r="J534" t="n">
        <v>0</v>
      </c>
      <c r="K534" t="n">
        <v>0</v>
      </c>
      <c r="L534" t="n">
        <v>0</v>
      </c>
      <c r="M534" t="n">
        <v>0</v>
      </c>
      <c r="N534" t="n">
        <v>0</v>
      </c>
      <c r="O534" t="n">
        <v>0</v>
      </c>
      <c r="P534" t="n">
        <v>0</v>
      </c>
      <c r="Q534" t="n">
        <v>0</v>
      </c>
      <c r="R534" s="2" t="inlineStr"/>
    </row>
    <row r="535" ht="15" customHeight="1">
      <c r="A535" t="inlineStr">
        <is>
          <t>A 51782-2023</t>
        </is>
      </c>
      <c r="B535" s="1" t="n">
        <v>45222.80952546297</v>
      </c>
      <c r="C535" s="1" t="n">
        <v>45933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54268-2022</t>
        </is>
      </c>
      <c r="B536" s="1" t="n">
        <v>44882</v>
      </c>
      <c r="C536" s="1" t="n">
        <v>45933</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45933</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25866-2022</t>
        </is>
      </c>
      <c r="B538" s="1" t="n">
        <v>44733</v>
      </c>
      <c r="C538" s="1" t="n">
        <v>45933</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43229-2023</t>
        </is>
      </c>
      <c r="B539" s="1" t="n">
        <v>45183.46704861111</v>
      </c>
      <c r="C539" s="1" t="n">
        <v>45933</v>
      </c>
      <c r="D539" t="inlineStr">
        <is>
          <t>GOTLANDS LÄN</t>
        </is>
      </c>
      <c r="E539" t="inlineStr">
        <is>
          <t>GOTLAND</t>
        </is>
      </c>
      <c r="G539" t="n">
        <v>7.1</v>
      </c>
      <c r="H539" t="n">
        <v>0</v>
      </c>
      <c r="I539" t="n">
        <v>0</v>
      </c>
      <c r="J539" t="n">
        <v>0</v>
      </c>
      <c r="K539" t="n">
        <v>0</v>
      </c>
      <c r="L539" t="n">
        <v>0</v>
      </c>
      <c r="M539" t="n">
        <v>0</v>
      </c>
      <c r="N539" t="n">
        <v>0</v>
      </c>
      <c r="O539" t="n">
        <v>0</v>
      </c>
      <c r="P539" t="n">
        <v>0</v>
      </c>
      <c r="Q539" t="n">
        <v>0</v>
      </c>
      <c r="R539" s="2" t="inlineStr"/>
    </row>
    <row r="540" ht="15" customHeight="1">
      <c r="A540" t="inlineStr">
        <is>
          <t>A 1175-2025</t>
        </is>
      </c>
      <c r="B540" s="1" t="n">
        <v>45667.34449074074</v>
      </c>
      <c r="C540" s="1" t="n">
        <v>45933</v>
      </c>
      <c r="D540" t="inlineStr">
        <is>
          <t>GOTLANDS LÄN</t>
        </is>
      </c>
      <c r="E540" t="inlineStr">
        <is>
          <t>GOTLAND</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27095-2022</t>
        </is>
      </c>
      <c r="B541" s="1" t="n">
        <v>44741</v>
      </c>
      <c r="C541" s="1" t="n">
        <v>45933</v>
      </c>
      <c r="D541" t="inlineStr">
        <is>
          <t>GOTLANDS LÄN</t>
        </is>
      </c>
      <c r="E541" t="inlineStr">
        <is>
          <t>GOTLAND</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22899-2023</t>
        </is>
      </c>
      <c r="B542" s="1" t="n">
        <v>45072</v>
      </c>
      <c r="C542" s="1" t="n">
        <v>45933</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23978-2023</t>
        </is>
      </c>
      <c r="B543" s="1" t="n">
        <v>45078</v>
      </c>
      <c r="C543" s="1" t="n">
        <v>45933</v>
      </c>
      <c r="D543" t="inlineStr">
        <is>
          <t>GOTLANDS LÄN</t>
        </is>
      </c>
      <c r="E543" t="inlineStr">
        <is>
          <t>GOTLAND</t>
        </is>
      </c>
      <c r="F543" t="inlineStr">
        <is>
          <t>Naturvårdsverket</t>
        </is>
      </c>
      <c r="G543" t="n">
        <v>1.7</v>
      </c>
      <c r="H543" t="n">
        <v>0</v>
      </c>
      <c r="I543" t="n">
        <v>0</v>
      </c>
      <c r="J543" t="n">
        <v>0</v>
      </c>
      <c r="K543" t="n">
        <v>0</v>
      </c>
      <c r="L543" t="n">
        <v>0</v>
      </c>
      <c r="M543" t="n">
        <v>0</v>
      </c>
      <c r="N543" t="n">
        <v>0</v>
      </c>
      <c r="O543" t="n">
        <v>0</v>
      </c>
      <c r="P543" t="n">
        <v>0</v>
      </c>
      <c r="Q543" t="n">
        <v>0</v>
      </c>
      <c r="R543" s="2" t="inlineStr"/>
    </row>
    <row r="544" ht="15" customHeight="1">
      <c r="A544" t="inlineStr">
        <is>
          <t>A 34407-2023</t>
        </is>
      </c>
      <c r="B544" s="1" t="n">
        <v>45132</v>
      </c>
      <c r="C544" s="1" t="n">
        <v>45933</v>
      </c>
      <c r="D544" t="inlineStr">
        <is>
          <t>GOTLANDS LÄN</t>
        </is>
      </c>
      <c r="E544" t="inlineStr">
        <is>
          <t>GOTLAND</t>
        </is>
      </c>
      <c r="G544" t="n">
        <v>4.4</v>
      </c>
      <c r="H544" t="n">
        <v>0</v>
      </c>
      <c r="I544" t="n">
        <v>0</v>
      </c>
      <c r="J544" t="n">
        <v>0</v>
      </c>
      <c r="K544" t="n">
        <v>0</v>
      </c>
      <c r="L544" t="n">
        <v>0</v>
      </c>
      <c r="M544" t="n">
        <v>0</v>
      </c>
      <c r="N544" t="n">
        <v>0</v>
      </c>
      <c r="O544" t="n">
        <v>0</v>
      </c>
      <c r="P544" t="n">
        <v>0</v>
      </c>
      <c r="Q544" t="n">
        <v>0</v>
      </c>
      <c r="R544" s="2" t="inlineStr"/>
    </row>
    <row r="545" ht="15" customHeight="1">
      <c r="A545" t="inlineStr">
        <is>
          <t>A 11013-2024</t>
        </is>
      </c>
      <c r="B545" s="1" t="n">
        <v>45370</v>
      </c>
      <c r="C545" s="1" t="n">
        <v>45933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27694-2024</t>
        </is>
      </c>
      <c r="B546" s="1" t="n">
        <v>45475</v>
      </c>
      <c r="C546" s="1" t="n">
        <v>45933</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15083-2025</t>
        </is>
      </c>
      <c r="B547" s="1" t="n">
        <v>45743</v>
      </c>
      <c r="C547" s="1" t="n">
        <v>45933</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13037-2025</t>
        </is>
      </c>
      <c r="B548" s="1" t="n">
        <v>45734</v>
      </c>
      <c r="C548" s="1" t="n">
        <v>45933</v>
      </c>
      <c r="D548" t="inlineStr">
        <is>
          <t>GOTLANDS LÄN</t>
        </is>
      </c>
      <c r="E548" t="inlineStr">
        <is>
          <t>GOTLAND</t>
        </is>
      </c>
      <c r="G548" t="n">
        <v>9.5</v>
      </c>
      <c r="H548" t="n">
        <v>0</v>
      </c>
      <c r="I548" t="n">
        <v>0</v>
      </c>
      <c r="J548" t="n">
        <v>0</v>
      </c>
      <c r="K548" t="n">
        <v>0</v>
      </c>
      <c r="L548" t="n">
        <v>0</v>
      </c>
      <c r="M548" t="n">
        <v>0</v>
      </c>
      <c r="N548" t="n">
        <v>0</v>
      </c>
      <c r="O548" t="n">
        <v>0</v>
      </c>
      <c r="P548" t="n">
        <v>0</v>
      </c>
      <c r="Q548" t="n">
        <v>0</v>
      </c>
      <c r="R548" s="2" t="inlineStr"/>
    </row>
    <row r="549" ht="15" customHeight="1">
      <c r="A549" t="inlineStr">
        <is>
          <t>A 458-2023</t>
        </is>
      </c>
      <c r="B549" s="1" t="n">
        <v>44929</v>
      </c>
      <c r="C549" s="1" t="n">
        <v>45933</v>
      </c>
      <c r="D549" t="inlineStr">
        <is>
          <t>GOTLANDS LÄN</t>
        </is>
      </c>
      <c r="E549" t="inlineStr">
        <is>
          <t>GOTLAND</t>
        </is>
      </c>
      <c r="G549" t="n">
        <v>3.6</v>
      </c>
      <c r="H549" t="n">
        <v>0</v>
      </c>
      <c r="I549" t="n">
        <v>0</v>
      </c>
      <c r="J549" t="n">
        <v>0</v>
      </c>
      <c r="K549" t="n">
        <v>0</v>
      </c>
      <c r="L549" t="n">
        <v>0</v>
      </c>
      <c r="M549" t="n">
        <v>0</v>
      </c>
      <c r="N549" t="n">
        <v>0</v>
      </c>
      <c r="O549" t="n">
        <v>0</v>
      </c>
      <c r="P549" t="n">
        <v>0</v>
      </c>
      <c r="Q549" t="n">
        <v>0</v>
      </c>
      <c r="R549" s="2" t="inlineStr"/>
    </row>
    <row r="550" ht="15" customHeight="1">
      <c r="A550" t="inlineStr">
        <is>
          <t>A 44228-2022</t>
        </is>
      </c>
      <c r="B550" s="1" t="n">
        <v>44839.51599537037</v>
      </c>
      <c r="C550" s="1" t="n">
        <v>45933</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58132-2023</t>
        </is>
      </c>
      <c r="B551" s="1" t="n">
        <v>45250</v>
      </c>
      <c r="C551" s="1" t="n">
        <v>45933</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49884-2023</t>
        </is>
      </c>
      <c r="B552" s="1" t="n">
        <v>45213</v>
      </c>
      <c r="C552" s="1" t="n">
        <v>45933</v>
      </c>
      <c r="D552" t="inlineStr">
        <is>
          <t>GOTLANDS LÄN</t>
        </is>
      </c>
      <c r="E552" t="inlineStr">
        <is>
          <t>GOTLAND</t>
        </is>
      </c>
      <c r="G552" t="n">
        <v>8.9</v>
      </c>
      <c r="H552" t="n">
        <v>0</v>
      </c>
      <c r="I552" t="n">
        <v>0</v>
      </c>
      <c r="J552" t="n">
        <v>0</v>
      </c>
      <c r="K552" t="n">
        <v>0</v>
      </c>
      <c r="L552" t="n">
        <v>0</v>
      </c>
      <c r="M552" t="n">
        <v>0</v>
      </c>
      <c r="N552" t="n">
        <v>0</v>
      </c>
      <c r="O552" t="n">
        <v>0</v>
      </c>
      <c r="P552" t="n">
        <v>0</v>
      </c>
      <c r="Q552" t="n">
        <v>0</v>
      </c>
      <c r="R552" s="2" t="inlineStr"/>
    </row>
    <row r="553" ht="15" customHeight="1">
      <c r="A553" t="inlineStr">
        <is>
          <t>A 876-2024</t>
        </is>
      </c>
      <c r="B553" s="1" t="n">
        <v>45301</v>
      </c>
      <c r="C553" s="1" t="n">
        <v>45933</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6796-2025</t>
        </is>
      </c>
      <c r="B554" s="1" t="n">
        <v>45700.66559027778</v>
      </c>
      <c r="C554" s="1" t="n">
        <v>45933</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22704-2023</t>
        </is>
      </c>
      <c r="B555" s="1" t="n">
        <v>45071</v>
      </c>
      <c r="C555" s="1" t="n">
        <v>45933</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28425-2023</t>
        </is>
      </c>
      <c r="B556" s="1" t="n">
        <v>45102</v>
      </c>
      <c r="C556" s="1" t="n">
        <v>45933</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45933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43200-2023</t>
        </is>
      </c>
      <c r="B558" s="1" t="n">
        <v>45183</v>
      </c>
      <c r="C558" s="1" t="n">
        <v>45933</v>
      </c>
      <c r="D558" t="inlineStr">
        <is>
          <t>GOTLANDS LÄN</t>
        </is>
      </c>
      <c r="E558" t="inlineStr">
        <is>
          <t>GOTLAND</t>
        </is>
      </c>
      <c r="G558" t="n">
        <v>0.5</v>
      </c>
      <c r="H558" t="n">
        <v>0</v>
      </c>
      <c r="I558" t="n">
        <v>0</v>
      </c>
      <c r="J558" t="n">
        <v>0</v>
      </c>
      <c r="K558" t="n">
        <v>0</v>
      </c>
      <c r="L558" t="n">
        <v>0</v>
      </c>
      <c r="M558" t="n">
        <v>0</v>
      </c>
      <c r="N558" t="n">
        <v>0</v>
      </c>
      <c r="O558" t="n">
        <v>0</v>
      </c>
      <c r="P558" t="n">
        <v>0</v>
      </c>
      <c r="Q558" t="n">
        <v>0</v>
      </c>
      <c r="R558" s="2" t="inlineStr"/>
    </row>
    <row r="559" ht="15" customHeight="1">
      <c r="A559" t="inlineStr">
        <is>
          <t>A 43223-2023</t>
        </is>
      </c>
      <c r="B559" s="1" t="n">
        <v>45183.45642361111</v>
      </c>
      <c r="C559" s="1" t="n">
        <v>45933</v>
      </c>
      <c r="D559" t="inlineStr">
        <is>
          <t>GOTLANDS LÄN</t>
        </is>
      </c>
      <c r="E559" t="inlineStr">
        <is>
          <t>GOTLAND</t>
        </is>
      </c>
      <c r="G559" t="n">
        <v>1.8</v>
      </c>
      <c r="H559" t="n">
        <v>0</v>
      </c>
      <c r="I559" t="n">
        <v>0</v>
      </c>
      <c r="J559" t="n">
        <v>0</v>
      </c>
      <c r="K559" t="n">
        <v>0</v>
      </c>
      <c r="L559" t="n">
        <v>0</v>
      </c>
      <c r="M559" t="n">
        <v>0</v>
      </c>
      <c r="N559" t="n">
        <v>0</v>
      </c>
      <c r="O559" t="n">
        <v>0</v>
      </c>
      <c r="P559" t="n">
        <v>0</v>
      </c>
      <c r="Q559" t="n">
        <v>0</v>
      </c>
      <c r="R559" s="2" t="inlineStr"/>
    </row>
    <row r="560" ht="15" customHeight="1">
      <c r="A560" t="inlineStr">
        <is>
          <t>A 12327-2025</t>
        </is>
      </c>
      <c r="B560" s="1" t="n">
        <v>45730</v>
      </c>
      <c r="C560" s="1" t="n">
        <v>45933</v>
      </c>
      <c r="D560" t="inlineStr">
        <is>
          <t>GOTLANDS LÄN</t>
        </is>
      </c>
      <c r="E560" t="inlineStr">
        <is>
          <t>GOTLAND</t>
        </is>
      </c>
      <c r="G560" t="n">
        <v>1.8</v>
      </c>
      <c r="H560" t="n">
        <v>0</v>
      </c>
      <c r="I560" t="n">
        <v>0</v>
      </c>
      <c r="J560" t="n">
        <v>0</v>
      </c>
      <c r="K560" t="n">
        <v>0</v>
      </c>
      <c r="L560" t="n">
        <v>0</v>
      </c>
      <c r="M560" t="n">
        <v>0</v>
      </c>
      <c r="N560" t="n">
        <v>0</v>
      </c>
      <c r="O560" t="n">
        <v>0</v>
      </c>
      <c r="P560" t="n">
        <v>0</v>
      </c>
      <c r="Q560" t="n">
        <v>0</v>
      </c>
      <c r="R560" s="2" t="inlineStr"/>
    </row>
    <row r="561" ht="15" customHeight="1">
      <c r="A561" t="inlineStr">
        <is>
          <t>A 3431-2025</t>
        </is>
      </c>
      <c r="B561" s="1" t="n">
        <v>45680.42935185185</v>
      </c>
      <c r="C561" s="1" t="n">
        <v>45933</v>
      </c>
      <c r="D561" t="inlineStr">
        <is>
          <t>GOTLANDS LÄN</t>
        </is>
      </c>
      <c r="E561" t="inlineStr">
        <is>
          <t>GOTLAND</t>
        </is>
      </c>
      <c r="G561" t="n">
        <v>4.8</v>
      </c>
      <c r="H561" t="n">
        <v>0</v>
      </c>
      <c r="I561" t="n">
        <v>0</v>
      </c>
      <c r="J561" t="n">
        <v>0</v>
      </c>
      <c r="K561" t="n">
        <v>0</v>
      </c>
      <c r="L561" t="n">
        <v>0</v>
      </c>
      <c r="M561" t="n">
        <v>0</v>
      </c>
      <c r="N561" t="n">
        <v>0</v>
      </c>
      <c r="O561" t="n">
        <v>0</v>
      </c>
      <c r="P561" t="n">
        <v>0</v>
      </c>
      <c r="Q561" t="n">
        <v>0</v>
      </c>
      <c r="R561" s="2" t="inlineStr"/>
    </row>
    <row r="562" ht="15" customHeight="1">
      <c r="A562" t="inlineStr">
        <is>
          <t>A 12209-2024</t>
        </is>
      </c>
      <c r="B562" s="1" t="n">
        <v>45378</v>
      </c>
      <c r="C562" s="1" t="n">
        <v>45933</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12210-2024</t>
        </is>
      </c>
      <c r="B563" s="1" t="n">
        <v>45378</v>
      </c>
      <c r="C563" s="1" t="n">
        <v>45933</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1364-2025</t>
        </is>
      </c>
      <c r="B564" s="1" t="n">
        <v>45667.63929398148</v>
      </c>
      <c r="C564" s="1" t="n">
        <v>45933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15042-2025</t>
        </is>
      </c>
      <c r="B565" s="1" t="n">
        <v>45743</v>
      </c>
      <c r="C565" s="1" t="n">
        <v>45933</v>
      </c>
      <c r="D565" t="inlineStr">
        <is>
          <t>GOTLANDS LÄN</t>
        </is>
      </c>
      <c r="E565" t="inlineStr">
        <is>
          <t>GOTLAND</t>
        </is>
      </c>
      <c r="G565" t="n">
        <v>8.5</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45933</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15436-2025</t>
        </is>
      </c>
      <c r="B567" s="1" t="n">
        <v>45747.47462962963</v>
      </c>
      <c r="C567" s="1" t="n">
        <v>45933</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49257-2024</t>
        </is>
      </c>
      <c r="B568" s="1" t="n">
        <v>45595.47627314815</v>
      </c>
      <c r="C568" s="1" t="n">
        <v>45933</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37202-2024</t>
        </is>
      </c>
      <c r="B569" s="1" t="n">
        <v>45539.67310185185</v>
      </c>
      <c r="C569" s="1" t="n">
        <v>45933</v>
      </c>
      <c r="D569" t="inlineStr">
        <is>
          <t>GOTLANDS LÄN</t>
        </is>
      </c>
      <c r="E569" t="inlineStr">
        <is>
          <t>GOTLAND</t>
        </is>
      </c>
      <c r="G569" t="n">
        <v>0.3</v>
      </c>
      <c r="H569" t="n">
        <v>0</v>
      </c>
      <c r="I569" t="n">
        <v>0</v>
      </c>
      <c r="J569" t="n">
        <v>0</v>
      </c>
      <c r="K569" t="n">
        <v>0</v>
      </c>
      <c r="L569" t="n">
        <v>0</v>
      </c>
      <c r="M569" t="n">
        <v>0</v>
      </c>
      <c r="N569" t="n">
        <v>0</v>
      </c>
      <c r="O569" t="n">
        <v>0</v>
      </c>
      <c r="P569" t="n">
        <v>0</v>
      </c>
      <c r="Q569" t="n">
        <v>0</v>
      </c>
      <c r="R569" s="2" t="inlineStr"/>
    </row>
    <row r="570" ht="15" customHeight="1">
      <c r="A570" t="inlineStr">
        <is>
          <t>A 56115-2023</t>
        </is>
      </c>
      <c r="B570" s="1" t="n">
        <v>45236</v>
      </c>
      <c r="C570" s="1" t="n">
        <v>45933</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2774-2024</t>
        </is>
      </c>
      <c r="B571" s="1" t="n">
        <v>45314.62375</v>
      </c>
      <c r="C571" s="1" t="n">
        <v>45933</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60709-2023</t>
        </is>
      </c>
      <c r="B572" s="1" t="n">
        <v>45260</v>
      </c>
      <c r="C572" s="1" t="n">
        <v>45933</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64208-2021</t>
        </is>
      </c>
      <c r="B573" s="1" t="n">
        <v>44510</v>
      </c>
      <c r="C573" s="1" t="n">
        <v>45933</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39764-2022</t>
        </is>
      </c>
      <c r="B574" s="1" t="n">
        <v>44819</v>
      </c>
      <c r="C574" s="1" t="n">
        <v>45933</v>
      </c>
      <c r="D574" t="inlineStr">
        <is>
          <t>GOTLANDS LÄN</t>
        </is>
      </c>
      <c r="E574" t="inlineStr">
        <is>
          <t>GOTLAND</t>
        </is>
      </c>
      <c r="F574" t="inlineStr">
        <is>
          <t>Kyrkan</t>
        </is>
      </c>
      <c r="G574" t="n">
        <v>3.7</v>
      </c>
      <c r="H574" t="n">
        <v>0</v>
      </c>
      <c r="I574" t="n">
        <v>0</v>
      </c>
      <c r="J574" t="n">
        <v>0</v>
      </c>
      <c r="K574" t="n">
        <v>0</v>
      </c>
      <c r="L574" t="n">
        <v>0</v>
      </c>
      <c r="M574" t="n">
        <v>0</v>
      </c>
      <c r="N574" t="n">
        <v>0</v>
      </c>
      <c r="O574" t="n">
        <v>0</v>
      </c>
      <c r="P574" t="n">
        <v>0</v>
      </c>
      <c r="Q574" t="n">
        <v>0</v>
      </c>
      <c r="R574" s="2" t="inlineStr"/>
    </row>
    <row r="575" ht="15" customHeight="1">
      <c r="A575" t="inlineStr">
        <is>
          <t>A 58211-2024</t>
        </is>
      </c>
      <c r="B575" s="1" t="n">
        <v>45632.49292824074</v>
      </c>
      <c r="C575" s="1" t="n">
        <v>45933</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30956-2024</t>
        </is>
      </c>
      <c r="B576" s="1" t="n">
        <v>45499.42527777778</v>
      </c>
      <c r="C576" s="1" t="n">
        <v>45933</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30892-2024</t>
        </is>
      </c>
      <c r="B577" s="1" t="n">
        <v>45491</v>
      </c>
      <c r="C577" s="1" t="n">
        <v>45933</v>
      </c>
      <c r="D577" t="inlineStr">
        <is>
          <t>GOTLANDS LÄN</t>
        </is>
      </c>
      <c r="E577" t="inlineStr">
        <is>
          <t>GOTLAND</t>
        </is>
      </c>
      <c r="G577" t="n">
        <v>6.1</v>
      </c>
      <c r="H577" t="n">
        <v>0</v>
      </c>
      <c r="I577" t="n">
        <v>0</v>
      </c>
      <c r="J577" t="n">
        <v>0</v>
      </c>
      <c r="K577" t="n">
        <v>0</v>
      </c>
      <c r="L577" t="n">
        <v>0</v>
      </c>
      <c r="M577" t="n">
        <v>0</v>
      </c>
      <c r="N577" t="n">
        <v>0</v>
      </c>
      <c r="O577" t="n">
        <v>0</v>
      </c>
      <c r="P577" t="n">
        <v>0</v>
      </c>
      <c r="Q577" t="n">
        <v>0</v>
      </c>
      <c r="R577" s="2" t="inlineStr"/>
    </row>
    <row r="578" ht="15" customHeight="1">
      <c r="A578" t="inlineStr">
        <is>
          <t>A 14635-2023</t>
        </is>
      </c>
      <c r="B578" s="1" t="n">
        <v>45013.69365740741</v>
      </c>
      <c r="C578" s="1" t="n">
        <v>45933</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59469-2024</t>
        </is>
      </c>
      <c r="B579" s="1" t="n">
        <v>45638</v>
      </c>
      <c r="C579" s="1" t="n">
        <v>45933</v>
      </c>
      <c r="D579" t="inlineStr">
        <is>
          <t>GOTLANDS LÄN</t>
        </is>
      </c>
      <c r="E579" t="inlineStr">
        <is>
          <t>GOTLAND</t>
        </is>
      </c>
      <c r="G579" t="n">
        <v>0.4</v>
      </c>
      <c r="H579" t="n">
        <v>0</v>
      </c>
      <c r="I579" t="n">
        <v>0</v>
      </c>
      <c r="J579" t="n">
        <v>0</v>
      </c>
      <c r="K579" t="n">
        <v>0</v>
      </c>
      <c r="L579" t="n">
        <v>0</v>
      </c>
      <c r="M579" t="n">
        <v>0</v>
      </c>
      <c r="N579" t="n">
        <v>0</v>
      </c>
      <c r="O579" t="n">
        <v>0</v>
      </c>
      <c r="P579" t="n">
        <v>0</v>
      </c>
      <c r="Q579" t="n">
        <v>0</v>
      </c>
      <c r="R579" s="2" t="inlineStr"/>
    </row>
    <row r="580" ht="15" customHeight="1">
      <c r="A580" t="inlineStr">
        <is>
          <t>A 7858-2025</t>
        </is>
      </c>
      <c r="B580" s="1" t="n">
        <v>45706.68633101852</v>
      </c>
      <c r="C580" s="1" t="n">
        <v>45933</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53935-2024</t>
        </is>
      </c>
      <c r="B581" s="1" t="n">
        <v>45615</v>
      </c>
      <c r="C581" s="1" t="n">
        <v>45933</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18223-2025</t>
        </is>
      </c>
      <c r="B582" s="1" t="n">
        <v>45761</v>
      </c>
      <c r="C582" s="1" t="n">
        <v>45933</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4420-2025</t>
        </is>
      </c>
      <c r="B583" s="1" t="n">
        <v>45686.47157407407</v>
      </c>
      <c r="C583" s="1" t="n">
        <v>45933</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5891-2025</t>
        </is>
      </c>
      <c r="B584" s="1" t="n">
        <v>45695.38327546296</v>
      </c>
      <c r="C584" s="1" t="n">
        <v>45933</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7835-2024</t>
        </is>
      </c>
      <c r="B585" s="1" t="n">
        <v>45349.83138888889</v>
      </c>
      <c r="C585" s="1" t="n">
        <v>45933</v>
      </c>
      <c r="D585" t="inlineStr">
        <is>
          <t>GOTLANDS LÄN</t>
        </is>
      </c>
      <c r="E585" t="inlineStr">
        <is>
          <t>GOTLAND</t>
        </is>
      </c>
      <c r="G585" t="n">
        <v>3.8</v>
      </c>
      <c r="H585" t="n">
        <v>0</v>
      </c>
      <c r="I585" t="n">
        <v>0</v>
      </c>
      <c r="J585" t="n">
        <v>0</v>
      </c>
      <c r="K585" t="n">
        <v>0</v>
      </c>
      <c r="L585" t="n">
        <v>0</v>
      </c>
      <c r="M585" t="n">
        <v>0</v>
      </c>
      <c r="N585" t="n">
        <v>0</v>
      </c>
      <c r="O585" t="n">
        <v>0</v>
      </c>
      <c r="P585" t="n">
        <v>0</v>
      </c>
      <c r="Q585" t="n">
        <v>0</v>
      </c>
      <c r="R585" s="2" t="inlineStr"/>
    </row>
    <row r="586" ht="15" customHeight="1">
      <c r="A586" t="inlineStr">
        <is>
          <t>A 20794-2025</t>
        </is>
      </c>
      <c r="B586" s="1" t="n">
        <v>45776</v>
      </c>
      <c r="C586" s="1" t="n">
        <v>45933</v>
      </c>
      <c r="D586" t="inlineStr">
        <is>
          <t>GOTLANDS LÄN</t>
        </is>
      </c>
      <c r="E586" t="inlineStr">
        <is>
          <t>GOTLAND</t>
        </is>
      </c>
      <c r="G586" t="n">
        <v>6</v>
      </c>
      <c r="H586" t="n">
        <v>0</v>
      </c>
      <c r="I586" t="n">
        <v>0</v>
      </c>
      <c r="J586" t="n">
        <v>0</v>
      </c>
      <c r="K586" t="n">
        <v>0</v>
      </c>
      <c r="L586" t="n">
        <v>0</v>
      </c>
      <c r="M586" t="n">
        <v>0</v>
      </c>
      <c r="N586" t="n">
        <v>0</v>
      </c>
      <c r="O586" t="n">
        <v>0</v>
      </c>
      <c r="P586" t="n">
        <v>0</v>
      </c>
      <c r="Q586" t="n">
        <v>0</v>
      </c>
      <c r="R586" s="2" t="inlineStr"/>
    </row>
    <row r="587" ht="15" customHeight="1">
      <c r="A587" t="inlineStr">
        <is>
          <t>A 20805-2025</t>
        </is>
      </c>
      <c r="B587" s="1" t="n">
        <v>45776</v>
      </c>
      <c r="C587" s="1" t="n">
        <v>45933</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21389-2025</t>
        </is>
      </c>
      <c r="B588" s="1" t="n">
        <v>45782</v>
      </c>
      <c r="C588" s="1" t="n">
        <v>45933</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21651-2025</t>
        </is>
      </c>
      <c r="B589" s="1" t="n">
        <v>45783</v>
      </c>
      <c r="C589" s="1" t="n">
        <v>45933</v>
      </c>
      <c r="D589" t="inlineStr">
        <is>
          <t>GOTLANDS LÄN</t>
        </is>
      </c>
      <c r="E589" t="inlineStr">
        <is>
          <t>GOTLAND</t>
        </is>
      </c>
      <c r="G589" t="n">
        <v>4.2</v>
      </c>
      <c r="H589" t="n">
        <v>0</v>
      </c>
      <c r="I589" t="n">
        <v>0</v>
      </c>
      <c r="J589" t="n">
        <v>0</v>
      </c>
      <c r="K589" t="n">
        <v>0</v>
      </c>
      <c r="L589" t="n">
        <v>0</v>
      </c>
      <c r="M589" t="n">
        <v>0</v>
      </c>
      <c r="N589" t="n">
        <v>0</v>
      </c>
      <c r="O589" t="n">
        <v>0</v>
      </c>
      <c r="P589" t="n">
        <v>0</v>
      </c>
      <c r="Q589" t="n">
        <v>0</v>
      </c>
      <c r="R589" s="2" t="inlineStr"/>
    </row>
    <row r="590" ht="15" customHeight="1">
      <c r="A590" t="inlineStr">
        <is>
          <t>A 57356-2023</t>
        </is>
      </c>
      <c r="B590" s="1" t="n">
        <v>45240</v>
      </c>
      <c r="C590" s="1" t="n">
        <v>45933</v>
      </c>
      <c r="D590" t="inlineStr">
        <is>
          <t>GOTLANDS LÄN</t>
        </is>
      </c>
      <c r="E590" t="inlineStr">
        <is>
          <t>GOTLAND</t>
        </is>
      </c>
      <c r="G590" t="n">
        <v>6.4</v>
      </c>
      <c r="H590" t="n">
        <v>0</v>
      </c>
      <c r="I590" t="n">
        <v>0</v>
      </c>
      <c r="J590" t="n">
        <v>0</v>
      </c>
      <c r="K590" t="n">
        <v>0</v>
      </c>
      <c r="L590" t="n">
        <v>0</v>
      </c>
      <c r="M590" t="n">
        <v>0</v>
      </c>
      <c r="N590" t="n">
        <v>0</v>
      </c>
      <c r="O590" t="n">
        <v>0</v>
      </c>
      <c r="P590" t="n">
        <v>0</v>
      </c>
      <c r="Q590" t="n">
        <v>0</v>
      </c>
      <c r="R590" s="2" t="inlineStr"/>
    </row>
    <row r="591" ht="15" customHeight="1">
      <c r="A591" t="inlineStr">
        <is>
          <t>A 10656-2024</t>
        </is>
      </c>
      <c r="B591" s="1" t="n">
        <v>45368</v>
      </c>
      <c r="C591" s="1" t="n">
        <v>45933</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28506-2023</t>
        </is>
      </c>
      <c r="B592" s="1" t="n">
        <v>45103</v>
      </c>
      <c r="C592" s="1" t="n">
        <v>45933</v>
      </c>
      <c r="D592" t="inlineStr">
        <is>
          <t>GOTLANDS LÄN</t>
        </is>
      </c>
      <c r="E592" t="inlineStr">
        <is>
          <t>GOTLAND</t>
        </is>
      </c>
      <c r="G592" t="n">
        <v>3.2</v>
      </c>
      <c r="H592" t="n">
        <v>0</v>
      </c>
      <c r="I592" t="n">
        <v>0</v>
      </c>
      <c r="J592" t="n">
        <v>0</v>
      </c>
      <c r="K592" t="n">
        <v>0</v>
      </c>
      <c r="L592" t="n">
        <v>0</v>
      </c>
      <c r="M592" t="n">
        <v>0</v>
      </c>
      <c r="N592" t="n">
        <v>0</v>
      </c>
      <c r="O592" t="n">
        <v>0</v>
      </c>
      <c r="P592" t="n">
        <v>0</v>
      </c>
      <c r="Q592" t="n">
        <v>0</v>
      </c>
      <c r="R592" s="2" t="inlineStr"/>
    </row>
    <row r="593" ht="15" customHeight="1">
      <c r="A593" t="inlineStr">
        <is>
          <t>A 21420-2024</t>
        </is>
      </c>
      <c r="B593" s="1" t="n">
        <v>45441.38293981482</v>
      </c>
      <c r="C593" s="1" t="n">
        <v>45933</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23188-2025</t>
        </is>
      </c>
      <c r="B594" s="1" t="n">
        <v>45791</v>
      </c>
      <c r="C594" s="1" t="n">
        <v>45933</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23473-2025</t>
        </is>
      </c>
      <c r="B595" s="1" t="n">
        <v>45792</v>
      </c>
      <c r="C595" s="1" t="n">
        <v>45933</v>
      </c>
      <c r="D595" t="inlineStr">
        <is>
          <t>GOTLANDS LÄN</t>
        </is>
      </c>
      <c r="E595" t="inlineStr">
        <is>
          <t>GOTLAND</t>
        </is>
      </c>
      <c r="G595" t="n">
        <v>3.6</v>
      </c>
      <c r="H595" t="n">
        <v>0</v>
      </c>
      <c r="I595" t="n">
        <v>0</v>
      </c>
      <c r="J595" t="n">
        <v>0</v>
      </c>
      <c r="K595" t="n">
        <v>0</v>
      </c>
      <c r="L595" t="n">
        <v>0</v>
      </c>
      <c r="M595" t="n">
        <v>0</v>
      </c>
      <c r="N595" t="n">
        <v>0</v>
      </c>
      <c r="O595" t="n">
        <v>0</v>
      </c>
      <c r="P595" t="n">
        <v>0</v>
      </c>
      <c r="Q595" t="n">
        <v>0</v>
      </c>
      <c r="R595" s="2" t="inlineStr"/>
    </row>
    <row r="596" ht="15" customHeight="1">
      <c r="A596" t="inlineStr">
        <is>
          <t>A 23856-2025</t>
        </is>
      </c>
      <c r="B596" s="1" t="n">
        <v>45793</v>
      </c>
      <c r="C596" s="1" t="n">
        <v>45933</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15073-2025</t>
        </is>
      </c>
      <c r="B597" s="1" t="n">
        <v>45743</v>
      </c>
      <c r="C597" s="1" t="n">
        <v>45933</v>
      </c>
      <c r="D597" t="inlineStr">
        <is>
          <t>GOTLANDS LÄN</t>
        </is>
      </c>
      <c r="E597" t="inlineStr">
        <is>
          <t>GOTLAND</t>
        </is>
      </c>
      <c r="G597" t="n">
        <v>12.1</v>
      </c>
      <c r="H597" t="n">
        <v>0</v>
      </c>
      <c r="I597" t="n">
        <v>0</v>
      </c>
      <c r="J597" t="n">
        <v>0</v>
      </c>
      <c r="K597" t="n">
        <v>0</v>
      </c>
      <c r="L597" t="n">
        <v>0</v>
      </c>
      <c r="M597" t="n">
        <v>0</v>
      </c>
      <c r="N597" t="n">
        <v>0</v>
      </c>
      <c r="O597" t="n">
        <v>0</v>
      </c>
      <c r="P597" t="n">
        <v>0</v>
      </c>
      <c r="Q597" t="n">
        <v>0</v>
      </c>
      <c r="R597" s="2" t="inlineStr"/>
    </row>
    <row r="598" ht="15" customHeight="1">
      <c r="A598" t="inlineStr">
        <is>
          <t>A 6749-2025</t>
        </is>
      </c>
      <c r="B598" s="1" t="n">
        <v>45700</v>
      </c>
      <c r="C598" s="1" t="n">
        <v>45933</v>
      </c>
      <c r="D598" t="inlineStr">
        <is>
          <t>GOTLANDS LÄN</t>
        </is>
      </c>
      <c r="E598" t="inlineStr">
        <is>
          <t>GOTLAND</t>
        </is>
      </c>
      <c r="G598" t="n">
        <v>4.5</v>
      </c>
      <c r="H598" t="n">
        <v>0</v>
      </c>
      <c r="I598" t="n">
        <v>0</v>
      </c>
      <c r="J598" t="n">
        <v>0</v>
      </c>
      <c r="K598" t="n">
        <v>0</v>
      </c>
      <c r="L598" t="n">
        <v>0</v>
      </c>
      <c r="M598" t="n">
        <v>0</v>
      </c>
      <c r="N598" t="n">
        <v>0</v>
      </c>
      <c r="O598" t="n">
        <v>0</v>
      </c>
      <c r="P598" t="n">
        <v>0</v>
      </c>
      <c r="Q598" t="n">
        <v>0</v>
      </c>
      <c r="R598" s="2" t="inlineStr"/>
    </row>
    <row r="599" ht="15" customHeight="1">
      <c r="A599" t="inlineStr">
        <is>
          <t>A 23698-2025</t>
        </is>
      </c>
      <c r="B599" s="1" t="n">
        <v>45793</v>
      </c>
      <c r="C599" s="1" t="n">
        <v>45933</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5462-2025</t>
        </is>
      </c>
      <c r="B600" s="1" t="n">
        <v>45693.29331018519</v>
      </c>
      <c r="C600" s="1" t="n">
        <v>45933</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c r="A601" t="inlineStr">
        <is>
          <t>A 25796-2025</t>
        </is>
      </c>
      <c r="B601" s="1" t="n">
        <v>45804.39543981481</v>
      </c>
      <c r="C601" s="1" t="n">
        <v>45933</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2025-10-03T12:31:28Z</dcterms:created>
  <dcterms:modified xmlns:dcterms="http://purl.org/dc/terms/" xmlns:xsi="http://www.w3.org/2001/XMLSchema-instance" xsi:type="dcterms:W3CDTF">2025-10-03T12:31:29Z</dcterms:modified>
</cp:coreProperties>
</file>