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45985</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45985</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45985</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45985</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45985</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45985</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45985</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45985</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45985</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45985</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16823-2024</t>
        </is>
      </c>
      <c r="B71" s="1" t="n">
        <v>45411</v>
      </c>
      <c r="C71" s="1" t="n">
        <v>45985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54527-2023</t>
        </is>
      </c>
      <c r="B72" s="1" t="n">
        <v>45233</v>
      </c>
      <c r="C72" s="1" t="n">
        <v>45985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45985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57773-2025</t>
        </is>
      </c>
      <c r="B74" s="1" t="n">
        <v>45981.56349537037</v>
      </c>
      <c r="C74" s="1" t="n">
        <v>45985</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45985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65819-2020</t>
        </is>
      </c>
      <c r="B76" s="1" t="n">
        <v>44174</v>
      </c>
      <c r="C76" s="1" t="n">
        <v>45985</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45985</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45985</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45985</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44944-2022</t>
        </is>
      </c>
      <c r="B83" s="1" t="n">
        <v>44841</v>
      </c>
      <c r="C83" s="1" t="n">
        <v>45985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39425-2023</t>
        </is>
      </c>
      <c r="B84" s="1" t="n">
        <v>45166</v>
      </c>
      <c r="C84" s="1" t="n">
        <v>45985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45985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45985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45985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45985</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54523-2023</t>
        </is>
      </c>
      <c r="B89" s="1" t="n">
        <v>45233</v>
      </c>
      <c r="C89" s="1" t="n">
        <v>45985</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40099-2025</t>
        </is>
      </c>
      <c r="B90" s="1" t="n">
        <v>45894.48462962963</v>
      </c>
      <c r="C90" s="1" t="n">
        <v>45985</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45985</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45985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45985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64378-2020</t>
        </is>
      </c>
      <c r="B94" s="1" t="n">
        <v>44168</v>
      </c>
      <c r="C94" s="1" t="n">
        <v>45985</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52309-2025</t>
        </is>
      </c>
      <c r="B95" s="1" t="n">
        <v>45953.64381944444</v>
      </c>
      <c r="C95" s="1" t="n">
        <v>45985</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52250-2025</t>
        </is>
      </c>
      <c r="B96" s="1" t="n">
        <v>45953.48998842593</v>
      </c>
      <c r="C96" s="1" t="n">
        <v>45985</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20833-2024</t>
        </is>
      </c>
      <c r="B97" s="1" t="n">
        <v>45439</v>
      </c>
      <c r="C97" s="1" t="n">
        <v>45985</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57463-2025</t>
        </is>
      </c>
      <c r="B98" s="1" t="n">
        <v>45980.54174768519</v>
      </c>
      <c r="C98" s="1" t="n">
        <v>45985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45985</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45985</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45985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45985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45985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65537-2020</t>
        </is>
      </c>
      <c r="B104" s="1" t="n">
        <v>44173</v>
      </c>
      <c r="C104" s="1" t="n">
        <v>45985</v>
      </c>
      <c r="D104" t="inlineStr">
        <is>
          <t>GOTLANDS LÄN</t>
        </is>
      </c>
      <c r="E104" t="inlineStr">
        <is>
          <t>GOTLAND</t>
        </is>
      </c>
      <c r="G104" t="n">
        <v>1.6</v>
      </c>
      <c r="H104" t="n">
        <v>0</v>
      </c>
      <c r="I104" t="n">
        <v>0</v>
      </c>
      <c r="J104" t="n">
        <v>3</v>
      </c>
      <c r="K104" t="n">
        <v>0</v>
      </c>
      <c r="L104" t="n">
        <v>0</v>
      </c>
      <c r="M104" t="n">
        <v>0</v>
      </c>
      <c r="N104" t="n">
        <v>0</v>
      </c>
      <c r="O104" t="n">
        <v>3</v>
      </c>
      <c r="P104" t="n">
        <v>0</v>
      </c>
      <c r="Q104" t="n">
        <v>3</v>
      </c>
      <c r="R104" s="2" t="inlineStr">
        <is>
          <t>Axveronika
Backtimjan
Solvända</t>
        </is>
      </c>
      <c r="S104">
        <f>HYPERLINK("https://klasma.github.io/Logging_0980/artfynd/A 65537-2020 artfynd.xlsx", "A 65537-2020")</f>
        <v/>
      </c>
      <c r="T104">
        <f>HYPERLINK("https://klasma.github.io/Logging_0980/kartor/A 65537-2020 karta.png", "A 65537-2020")</f>
        <v/>
      </c>
      <c r="V104">
        <f>HYPERLINK("https://klasma.github.io/Logging_0980/klagomål/A 65537-2020 FSC-klagomål.docx", "A 65537-2020")</f>
        <v/>
      </c>
      <c r="W104">
        <f>HYPERLINK("https://klasma.github.io/Logging_0980/klagomålsmail/A 65537-2020 FSC-klagomål mail.docx", "A 65537-2020")</f>
        <v/>
      </c>
      <c r="X104">
        <f>HYPERLINK("https://klasma.github.io/Logging_0980/tillsyn/A 65537-2020 tillsynsbegäran.docx", "A 65537-2020")</f>
        <v/>
      </c>
      <c r="Y104">
        <f>HYPERLINK("https://klasma.github.io/Logging_0980/tillsynsmail/A 65537-2020 tillsynsbegäran mail.docx", "A 65537-2020")</f>
        <v/>
      </c>
    </row>
    <row r="105" ht="15" customHeight="1">
      <c r="A105" t="inlineStr">
        <is>
          <t>A 44323-2021</t>
        </is>
      </c>
      <c r="B105" s="1" t="n">
        <v>44434</v>
      </c>
      <c r="C105" s="1" t="n">
        <v>45985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45985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45985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45985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2332-2021</t>
        </is>
      </c>
      <c r="B109" s="1" t="n">
        <v>44214</v>
      </c>
      <c r="C109" s="1" t="n">
        <v>45985</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48126-2022</t>
        </is>
      </c>
      <c r="B110" s="1" t="n">
        <v>44857</v>
      </c>
      <c r="C110" s="1" t="n">
        <v>45985</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45985</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45985</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45985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45985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45985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49709-2025</t>
        </is>
      </c>
      <c r="B116" s="1" t="n">
        <v>45939.68228009259</v>
      </c>
      <c r="C116" s="1" t="n">
        <v>45985</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53552-2021</t>
        </is>
      </c>
      <c r="B117" s="1" t="n">
        <v>44468</v>
      </c>
      <c r="C117" s="1" t="n">
        <v>45985</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17982-2023</t>
        </is>
      </c>
      <c r="B118" s="1" t="n">
        <v>45040</v>
      </c>
      <c r="C118" s="1" t="n">
        <v>45985</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45985</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45985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45985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62326-2020</t>
        </is>
      </c>
      <c r="B122" s="1" t="n">
        <v>44160</v>
      </c>
      <c r="C122" s="1" t="n">
        <v>45985</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73144-2021</t>
        </is>
      </c>
      <c r="B123" s="1" t="n">
        <v>44550</v>
      </c>
      <c r="C123" s="1" t="n">
        <v>45985</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45985</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45985</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45985</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45985</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45985</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45985</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52245-2025</t>
        </is>
      </c>
      <c r="B131" s="1" t="n">
        <v>45953.47115740741</v>
      </c>
      <c r="C131" s="1" t="n">
        <v>45985</v>
      </c>
      <c r="D131" t="inlineStr">
        <is>
          <t>GOTLANDS LÄN</t>
        </is>
      </c>
      <c r="E131" t="inlineStr">
        <is>
          <t>GOTLAND</t>
        </is>
      </c>
      <c r="F131" t="inlineStr">
        <is>
          <t>Övriga Aktiebolag</t>
        </is>
      </c>
      <c r="G131" t="n">
        <v>10.1</v>
      </c>
      <c r="H131" t="n">
        <v>0</v>
      </c>
      <c r="I131" t="n">
        <v>1</v>
      </c>
      <c r="J131" t="n">
        <v>0</v>
      </c>
      <c r="K131" t="n">
        <v>1</v>
      </c>
      <c r="L131" t="n">
        <v>0</v>
      </c>
      <c r="M131" t="n">
        <v>0</v>
      </c>
      <c r="N131" t="n">
        <v>0</v>
      </c>
      <c r="O131" t="n">
        <v>1</v>
      </c>
      <c r="P131" t="n">
        <v>1</v>
      </c>
      <c r="Q131" t="n">
        <v>2</v>
      </c>
      <c r="R131" s="2" t="inlineStr">
        <is>
          <t>Källnate
Underviol</t>
        </is>
      </c>
      <c r="S131">
        <f>HYPERLINK("https://klasma.github.io/Logging_0980/artfynd/A 52245-2025 artfynd.xlsx", "A 52245-2025")</f>
        <v/>
      </c>
      <c r="T131">
        <f>HYPERLINK("https://klasma.github.io/Logging_0980/kartor/A 52245-2025 karta.png", "A 52245-2025")</f>
        <v/>
      </c>
      <c r="V131">
        <f>HYPERLINK("https://klasma.github.io/Logging_0980/klagomål/A 52245-2025 FSC-klagomål.docx", "A 52245-2025")</f>
        <v/>
      </c>
      <c r="W131">
        <f>HYPERLINK("https://klasma.github.io/Logging_0980/klagomålsmail/A 52245-2025 FSC-klagomål mail.docx", "A 52245-2025")</f>
        <v/>
      </c>
      <c r="X131">
        <f>HYPERLINK("https://klasma.github.io/Logging_0980/tillsyn/A 52245-2025 tillsynsbegäran.docx", "A 52245-2025")</f>
        <v/>
      </c>
      <c r="Y131">
        <f>HYPERLINK("https://klasma.github.io/Logging_0980/tillsynsmail/A 52245-2025 tillsynsbegäran mail.docx", "A 52245-2025")</f>
        <v/>
      </c>
    </row>
    <row r="132" ht="15" customHeight="1">
      <c r="A132" t="inlineStr">
        <is>
          <t>A 20838-2024</t>
        </is>
      </c>
      <c r="B132" s="1" t="n">
        <v>45439</v>
      </c>
      <c r="C132" s="1" t="n">
        <v>45985</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64263-2020</t>
        </is>
      </c>
      <c r="B133" s="1" t="n">
        <v>44168</v>
      </c>
      <c r="C133" s="1" t="n">
        <v>45985</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54357-2024</t>
        </is>
      </c>
      <c r="B134" s="1" t="n">
        <v>45617.40662037037</v>
      </c>
      <c r="C134" s="1" t="n">
        <v>45985</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45985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45985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45985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45985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45985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45985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45985</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45985</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45985</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45985</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45985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10218-2025</t>
        </is>
      </c>
      <c r="B146" s="1" t="n">
        <v>45720</v>
      </c>
      <c r="C146" s="1" t="n">
        <v>45985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12379-2024</t>
        </is>
      </c>
      <c r="B147" s="1" t="n">
        <v>45379.28155092592</v>
      </c>
      <c r="C147" s="1" t="n">
        <v>45985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17723-2021</t>
        </is>
      </c>
      <c r="B148" s="1" t="n">
        <v>44300</v>
      </c>
      <c r="C148" s="1" t="n">
        <v>45985</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10440-2024</t>
        </is>
      </c>
      <c r="B149" s="1" t="n">
        <v>45366.32818287037</v>
      </c>
      <c r="C149" s="1" t="n">
        <v>45985</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39812-2025</t>
        </is>
      </c>
      <c r="B150" s="1" t="n">
        <v>45891</v>
      </c>
      <c r="C150" s="1" t="n">
        <v>45985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25977-2024</t>
        </is>
      </c>
      <c r="B151" s="1" t="n">
        <v>45467.69356481481</v>
      </c>
      <c r="C151" s="1" t="n">
        <v>45985</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26461-2025</t>
        </is>
      </c>
      <c r="B152" s="1" t="n">
        <v>45807.43337962963</v>
      </c>
      <c r="C152" s="1" t="n">
        <v>45985</v>
      </c>
      <c r="D152" t="inlineStr">
        <is>
          <t>GOTLANDS LÄN</t>
        </is>
      </c>
      <c r="E152" t="inlineStr">
        <is>
          <t>GOTLAND</t>
        </is>
      </c>
      <c r="G152" t="n">
        <v>4.1</v>
      </c>
      <c r="H152" t="n">
        <v>0</v>
      </c>
      <c r="I152" t="n">
        <v>0</v>
      </c>
      <c r="J152" t="n">
        <v>0</v>
      </c>
      <c r="K152" t="n">
        <v>1</v>
      </c>
      <c r="L152" t="n">
        <v>0</v>
      </c>
      <c r="M152" t="n">
        <v>0</v>
      </c>
      <c r="N152" t="n">
        <v>0</v>
      </c>
      <c r="O152" t="n">
        <v>1</v>
      </c>
      <c r="P152" t="n">
        <v>1</v>
      </c>
      <c r="Q152" t="n">
        <v>1</v>
      </c>
      <c r="R152" s="2" t="inlineStr">
        <is>
          <t>Gotlandsmåra</t>
        </is>
      </c>
      <c r="S152">
        <f>HYPERLINK("https://klasma.github.io/Logging_0980/artfynd/A 26461-2025 artfynd.xlsx", "A 26461-2025")</f>
        <v/>
      </c>
      <c r="T152">
        <f>HYPERLINK("https://klasma.github.io/Logging_0980/kartor/A 26461-2025 karta.png", "A 26461-2025")</f>
        <v/>
      </c>
      <c r="V152">
        <f>HYPERLINK("https://klasma.github.io/Logging_0980/klagomål/A 26461-2025 FSC-klagomål.docx", "A 26461-2025")</f>
        <v/>
      </c>
      <c r="W152">
        <f>HYPERLINK("https://klasma.github.io/Logging_0980/klagomålsmail/A 26461-2025 FSC-klagomål mail.docx", "A 26461-2025")</f>
        <v/>
      </c>
      <c r="X152">
        <f>HYPERLINK("https://klasma.github.io/Logging_0980/tillsyn/A 26461-2025 tillsynsbegäran.docx", "A 26461-2025")</f>
        <v/>
      </c>
      <c r="Y152">
        <f>HYPERLINK("https://klasma.github.io/Logging_0980/tillsynsmail/A 26461-2025 tillsynsbegäran mail.docx", "A 26461-2025")</f>
        <v/>
      </c>
    </row>
    <row r="153" ht="15" customHeight="1">
      <c r="A153" t="inlineStr">
        <is>
          <t>A 65927-2021</t>
        </is>
      </c>
      <c r="B153" s="1" t="n">
        <v>44516</v>
      </c>
      <c r="C153" s="1" t="n">
        <v>45985</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61796-2022</t>
        </is>
      </c>
      <c r="B154" s="1" t="n">
        <v>44917</v>
      </c>
      <c r="C154" s="1" t="n">
        <v>45985</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35467-2021</t>
        </is>
      </c>
      <c r="B155" s="1" t="n">
        <v>44385</v>
      </c>
      <c r="C155" s="1" t="n">
        <v>45985</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45985</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15637-2024</t>
        </is>
      </c>
      <c r="B157" s="1" t="n">
        <v>45403.6684837963</v>
      </c>
      <c r="C157" s="1" t="n">
        <v>45985</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34141-2024</t>
        </is>
      </c>
      <c r="B158" s="1" t="n">
        <v>45524.36229166666</v>
      </c>
      <c r="C158" s="1" t="n">
        <v>45985</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9862-2024</t>
        </is>
      </c>
      <c r="B159" s="1" t="n">
        <v>45363</v>
      </c>
      <c r="C159" s="1" t="n">
        <v>45985</v>
      </c>
      <c r="D159" t="inlineStr">
        <is>
          <t>GOTLANDS LÄN</t>
        </is>
      </c>
      <c r="E159" t="inlineStr">
        <is>
          <t>GOTLAND</t>
        </is>
      </c>
      <c r="G159" t="n">
        <v>3.5</v>
      </c>
      <c r="H159" t="n">
        <v>1</v>
      </c>
      <c r="I159" t="n">
        <v>0</v>
      </c>
      <c r="J159" t="n">
        <v>0</v>
      </c>
      <c r="K159" t="n">
        <v>0</v>
      </c>
      <c r="L159" t="n">
        <v>0</v>
      </c>
      <c r="M159" t="n">
        <v>0</v>
      </c>
      <c r="N159" t="n">
        <v>0</v>
      </c>
      <c r="O159" t="n">
        <v>0</v>
      </c>
      <c r="P159" t="n">
        <v>0</v>
      </c>
      <c r="Q159" t="n">
        <v>1</v>
      </c>
      <c r="R159" s="2" t="inlineStr">
        <is>
          <t>Nattviol</t>
        </is>
      </c>
      <c r="S159">
        <f>HYPERLINK("https://klasma.github.io/Logging_0980/artfynd/A 9862-2024 artfynd.xlsx", "A 9862-2024")</f>
        <v/>
      </c>
      <c r="T159">
        <f>HYPERLINK("https://klasma.github.io/Logging_0980/kartor/A 9862-2024 karta.png", "A 9862-2024")</f>
        <v/>
      </c>
      <c r="V159">
        <f>HYPERLINK("https://klasma.github.io/Logging_0980/klagomål/A 9862-2024 FSC-klagomål.docx", "A 9862-2024")</f>
        <v/>
      </c>
      <c r="W159">
        <f>HYPERLINK("https://klasma.github.io/Logging_0980/klagomålsmail/A 9862-2024 FSC-klagomål mail.docx", "A 9862-2024")</f>
        <v/>
      </c>
      <c r="X159">
        <f>HYPERLINK("https://klasma.github.io/Logging_0980/tillsyn/A 9862-2024 tillsynsbegäran.docx", "A 9862-2024")</f>
        <v/>
      </c>
      <c r="Y159">
        <f>HYPERLINK("https://klasma.github.io/Logging_0980/tillsynsmail/A 9862-2024 tillsynsbegäran mail.docx", "A 9862-2024")</f>
        <v/>
      </c>
    </row>
    <row r="160" ht="15" customHeight="1">
      <c r="A160" t="inlineStr">
        <is>
          <t>A 2476-2025</t>
        </is>
      </c>
      <c r="B160" s="1" t="n">
        <v>45673</v>
      </c>
      <c r="C160" s="1" t="n">
        <v>45985</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45985</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12924-2025</t>
        </is>
      </c>
      <c r="B162" s="1" t="n">
        <v>45734</v>
      </c>
      <c r="C162" s="1" t="n">
        <v>45985</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45985</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45985</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45985</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45985</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45985</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45985</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45985</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45985</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45985</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45985</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45985</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45985</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45985</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45985</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45985</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45985</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45985</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45985</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45985</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45985</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45985</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45985</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45985</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45985</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45985</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45985</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45985</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45985</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45985</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45985</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45985</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45985</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45985</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45985</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45985</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45985</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45985</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45985</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45985</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45985</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45985</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45985</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45985</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45985</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45985</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45985</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45985</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45985</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45985</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45985</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45985</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45985</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45985</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45985</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45985</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45985</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45985</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45985</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45985</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45985</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45985</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45985</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45985</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45985</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45985</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45985</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45985</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45985</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45985</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45985</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45985</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45985</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45985</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45985</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45985</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45985</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45985</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45985</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45985</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45985</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45985</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45985</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45985</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45985</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45985</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45985</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45985</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45985</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45985</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45985</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45985</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45985</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45985</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45985</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45985</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45985</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45985</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45985</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45985</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45985</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45985</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45985</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45985</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45985</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45985</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45985</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45985</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45985</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45985</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45985</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45985</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45985</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45985</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45985</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45985</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45985</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45985</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45985</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45985</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45985</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45985</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45985</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45985</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45985</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45985</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45985</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45985</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45985</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45985</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45985</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45985</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45985</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45985</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45985</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45985</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45985</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45985</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45985</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45985</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45985</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45985</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45985</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45985</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45985</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45985</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45985</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45985</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45985</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45985</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45985</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45985</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45985</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45985</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45985</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45985</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45985</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45985</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45985</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45985</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45985</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45985</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45985</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45985</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45985</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45985</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45985</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45985</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45985</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45985</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45985</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45985</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45985</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45985</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45985</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45985</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45985</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45985</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45985</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45985</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45985</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45985</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45985</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45985</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45985</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45985</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45985</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45985</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45985</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45985</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45985</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45985</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45985</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45985</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45985</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45985</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45985</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45985</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45985</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45985</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45985</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45985</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45985</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45985</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45985</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45985</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45985</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45985</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45985</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45985</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45985</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45985</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45985</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45985</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45985</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45985</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45985</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45985</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45985</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45985</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45985</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45985</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45985</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45985</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45985</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45985</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45985</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45985</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45985</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45985</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45985</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45985</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45985</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45985</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45985</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45985</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45985</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45985</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45985</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45985</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45985</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45985</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45985</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45985</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45985</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45985</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45985</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45985</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45985</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45985</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45985</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45985</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45985</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45985</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45985</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45985</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45985</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45985</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45985</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45985</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45985</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45985</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45985</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45985</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45985</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45985</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45985</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45985</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45985</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45985</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45985</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45985</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45985</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45985</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45985</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45985</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45985</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45985</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45985</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45985</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45985</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45985</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45985</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45985</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45985</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45985</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45985</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45985</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45985</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45985</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45985</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45985</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45985</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45985</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45985</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45985</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45985</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45985</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45985</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45985</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45985</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45985</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45985</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45985</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45985</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45985</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45985</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45985</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45985</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45985</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45985</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45985</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45985</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45985</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45985</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45985</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45985</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45985</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45985</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45985</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45985</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45985</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45985</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45985</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45985</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45985</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45985</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45985</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45985</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45985</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45985</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45985</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45985</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45985</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45985</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45985</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45985</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45985</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45985</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45985</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45985</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45985</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45985</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45985</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45985</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45985</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45985</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45985</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45985</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45985</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45985</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45985</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45985</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45985</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45985</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2025-11-24T10:20:20Z</dcterms:created>
  <dcterms:modified xmlns:dcterms="http://purl.org/dc/terms/" xmlns:xsi="http://www.w3.org/2001/XMLSchema-instance" xsi:type="dcterms:W3CDTF">2025-11-24T10:20:21Z</dcterms:modified>
</cp:coreProperties>
</file>