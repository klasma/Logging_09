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46121</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46121</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46121</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46121</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46121</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46121</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46121</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46121</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46121</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46121</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46121</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46121</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46121</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46121</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6153-2024</t>
        </is>
      </c>
      <c r="B24" s="1" t="n">
        <v>45337</v>
      </c>
      <c r="C24" s="1" t="n">
        <v>46121</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24575-2025</t>
        </is>
      </c>
      <c r="B25" s="1" t="n">
        <v>45798</v>
      </c>
      <c r="C25" s="1" t="n">
        <v>46121</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15629-2024</t>
        </is>
      </c>
      <c r="B26" s="1" t="n">
        <v>45402.78372685185</v>
      </c>
      <c r="C26" s="1" t="n">
        <v>46121</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46121</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46121</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46121</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46121</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46121</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46121</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46121</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44204-2022</t>
        </is>
      </c>
      <c r="B34" s="1" t="n">
        <v>44839</v>
      </c>
      <c r="C34" s="1" t="n">
        <v>46121</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35141-2022</t>
        </is>
      </c>
      <c r="B35" s="1" t="n">
        <v>44797.53318287037</v>
      </c>
      <c r="C35" s="1" t="n">
        <v>46121</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46121</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46121</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46121</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46121</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46121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46121</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46121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46121</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52223-2025</t>
        </is>
      </c>
      <c r="B44" s="1" t="n">
        <v>45953.44509259259</v>
      </c>
      <c r="C44" s="1" t="n">
        <v>46121</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46121</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46121</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46121</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46121</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46121</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46121</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46121</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33153-2024</t>
        </is>
      </c>
      <c r="B52" s="1" t="n">
        <v>45518</v>
      </c>
      <c r="C52" s="1" t="n">
        <v>46121</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46121</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46121</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46121</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27168-2022</t>
        </is>
      </c>
      <c r="B57" s="1" t="n">
        <v>44741</v>
      </c>
      <c r="C57" s="1" t="n">
        <v>46121</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7039-2023</t>
        </is>
      </c>
      <c r="B58" s="1" t="n">
        <v>44968</v>
      </c>
      <c r="C58" s="1" t="n">
        <v>46121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46121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46121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46121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46121</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46121</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46121</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46121</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46121</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46121</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46121</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46121</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46121</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53584-2025</t>
        </is>
      </c>
      <c r="B71" s="1" t="n">
        <v>45960.43130787037</v>
      </c>
      <c r="C71" s="1" t="n">
        <v>46121</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46121</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7038-2023</t>
        </is>
      </c>
      <c r="B73" s="1" t="n">
        <v>44968</v>
      </c>
      <c r="C73" s="1" t="n">
        <v>46121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46121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46121</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46121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46121</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46121</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46121</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32326-2024</t>
        </is>
      </c>
      <c r="B80" s="1" t="n">
        <v>45512</v>
      </c>
      <c r="C80" s="1" t="n">
        <v>46121</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52245-2025</t>
        </is>
      </c>
      <c r="B81" s="1" t="n">
        <v>45953.47115740741</v>
      </c>
      <c r="C81" s="1" t="n">
        <v>46121</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39425-2023</t>
        </is>
      </c>
      <c r="B82" s="1" t="n">
        <v>45166</v>
      </c>
      <c r="C82" s="1" t="n">
        <v>46121</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6839-2026</t>
        </is>
      </c>
      <c r="B83" s="1" t="n">
        <v>46057.41193287037</v>
      </c>
      <c r="C83" s="1" t="n">
        <v>46121</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2213-2023</t>
        </is>
      </c>
      <c r="B84" s="1" t="n">
        <v>44942</v>
      </c>
      <c r="C84" s="1" t="n">
        <v>46121</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10274-2026</t>
        </is>
      </c>
      <c r="B85" s="1" t="n">
        <v>46076.58261574074</v>
      </c>
      <c r="C85" s="1" t="n">
        <v>46121</v>
      </c>
      <c r="D85" t="inlineStr">
        <is>
          <t>GOTLANDS LÄN</t>
        </is>
      </c>
      <c r="E85" t="inlineStr">
        <is>
          <t>GOTLAND</t>
        </is>
      </c>
      <c r="G85" t="n">
        <v>9.800000000000001</v>
      </c>
      <c r="H85" t="n">
        <v>2</v>
      </c>
      <c r="I85" t="n">
        <v>2</v>
      </c>
      <c r="J85" t="n">
        <v>1</v>
      </c>
      <c r="K85" t="n">
        <v>1</v>
      </c>
      <c r="L85" t="n">
        <v>0</v>
      </c>
      <c r="M85" t="n">
        <v>0</v>
      </c>
      <c r="N85" t="n">
        <v>0</v>
      </c>
      <c r="O85" t="n">
        <v>2</v>
      </c>
      <c r="P85" t="n">
        <v>1</v>
      </c>
      <c r="Q85" t="n">
        <v>5</v>
      </c>
      <c r="R85" s="2" t="inlineStr">
        <is>
          <t>Gråfingerört
Spillkråka
Axag
Grönpyrola
Alvarstånds</t>
        </is>
      </c>
      <c r="S85">
        <f>HYPERLINK("https://klasma.github.io/Logging_0980/artfynd/A 10274-2026 artfynd.xlsx", "A 10274-2026")</f>
        <v/>
      </c>
      <c r="T85">
        <f>HYPERLINK("https://klasma.github.io/Logging_0980/kartor/A 10274-2026 karta.png", "A 10274-2026")</f>
        <v/>
      </c>
      <c r="V85">
        <f>HYPERLINK("https://klasma.github.io/Logging_0980/klagomål/A 10274-2026 FSC-klagomål.docx", "A 10274-2026")</f>
        <v/>
      </c>
      <c r="W85">
        <f>HYPERLINK("https://klasma.github.io/Logging_0980/klagomålsmail/A 10274-2026 FSC-klagomål mail.docx", "A 10274-2026")</f>
        <v/>
      </c>
      <c r="X85">
        <f>HYPERLINK("https://klasma.github.io/Logging_0980/tillsyn/A 10274-2026 tillsynsbegäran.docx", "A 10274-2026")</f>
        <v/>
      </c>
      <c r="Y85">
        <f>HYPERLINK("https://klasma.github.io/Logging_0980/tillsynsmail/A 10274-2026 tillsynsbegäran mail.docx", "A 10274-2026")</f>
        <v/>
      </c>
      <c r="Z85">
        <f>HYPERLINK("https://klasma.github.io/Logging_0980/fåglar/A 10274-2026 prioriterade fågelarter.docx", "A 10274-2026")</f>
        <v/>
      </c>
    </row>
    <row r="86" ht="15" customHeight="1">
      <c r="A86" t="inlineStr">
        <is>
          <t>A 42936-2024</t>
        </is>
      </c>
      <c r="B86" s="1" t="n">
        <v>45567</v>
      </c>
      <c r="C86" s="1" t="n">
        <v>46121</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46121</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46121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46121</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46121</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46121</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20833-2024</t>
        </is>
      </c>
      <c r="B92" s="1" t="n">
        <v>45439</v>
      </c>
      <c r="C92" s="1" t="n">
        <v>46121</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46121</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54523-2023</t>
        </is>
      </c>
      <c r="B94" s="1" t="n">
        <v>45233</v>
      </c>
      <c r="C94" s="1" t="n">
        <v>46121</v>
      </c>
      <c r="D94" t="inlineStr">
        <is>
          <t>GOTLANDS LÄN</t>
        </is>
      </c>
      <c r="E94" t="inlineStr">
        <is>
          <t>GOTLAND</t>
        </is>
      </c>
      <c r="G94" t="n">
        <v>3.7</v>
      </c>
      <c r="H94" t="n">
        <v>2</v>
      </c>
      <c r="I94" t="n">
        <v>0</v>
      </c>
      <c r="J94" t="n">
        <v>1</v>
      </c>
      <c r="K94" t="n">
        <v>1</v>
      </c>
      <c r="L94" t="n">
        <v>0</v>
      </c>
      <c r="M94" t="n">
        <v>0</v>
      </c>
      <c r="N94" t="n">
        <v>0</v>
      </c>
      <c r="O94" t="n">
        <v>2</v>
      </c>
      <c r="P94" t="n">
        <v>1</v>
      </c>
      <c r="Q94" t="n">
        <v>4</v>
      </c>
      <c r="R94" s="2" t="inlineStr">
        <is>
          <t>Sommarklynne
Åkerkulla
Brudsporre
Kärrknipprot</t>
        </is>
      </c>
      <c r="S94">
        <f>HYPERLINK("https://klasma.github.io/Logging_0980/artfynd/A 54523-2023 artfynd.xlsx", "A 54523-2023")</f>
        <v/>
      </c>
      <c r="T94">
        <f>HYPERLINK("https://klasma.github.io/Logging_0980/kartor/A 54523-2023 karta.png", "A 54523-2023")</f>
        <v/>
      </c>
      <c r="V94">
        <f>HYPERLINK("https://klasma.github.io/Logging_0980/klagomål/A 54523-2023 FSC-klagomål.docx", "A 54523-2023")</f>
        <v/>
      </c>
      <c r="W94">
        <f>HYPERLINK("https://klasma.github.io/Logging_0980/klagomålsmail/A 54523-2023 FSC-klagomål mail.docx", "A 54523-2023")</f>
        <v/>
      </c>
      <c r="X94">
        <f>HYPERLINK("https://klasma.github.io/Logging_0980/tillsyn/A 54523-2023 tillsynsbegäran.docx", "A 54523-2023")</f>
        <v/>
      </c>
      <c r="Y94">
        <f>HYPERLINK("https://klasma.github.io/Logging_0980/tillsynsmail/A 54523-2023 tillsynsbegäran mail.docx", "A 54523-2023")</f>
        <v/>
      </c>
    </row>
    <row r="95" ht="15" customHeight="1">
      <c r="A95" t="inlineStr">
        <is>
          <t>A 6159-2023</t>
        </is>
      </c>
      <c r="B95" s="1" t="n">
        <v>44964</v>
      </c>
      <c r="C95" s="1" t="n">
        <v>46121</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46121</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57463-2025</t>
        </is>
      </c>
      <c r="B97" s="1" t="n">
        <v>45980.54174768519</v>
      </c>
      <c r="C97" s="1" t="n">
        <v>46121</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46121</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13203-2026</t>
        </is>
      </c>
      <c r="B99" s="1" t="n">
        <v>46093</v>
      </c>
      <c r="C99" s="1" t="n">
        <v>46121</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1971-2023</t>
        </is>
      </c>
      <c r="B100" s="1" t="n">
        <v>44939</v>
      </c>
      <c r="C100" s="1" t="n">
        <v>46121</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6836-2026</t>
        </is>
      </c>
      <c r="B101" s="1" t="n">
        <v>46057.40902777778</v>
      </c>
      <c r="C101" s="1" t="n">
        <v>46121</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186-2023</t>
        </is>
      </c>
      <c r="B102" s="1" t="n">
        <v>44928</v>
      </c>
      <c r="C102" s="1" t="n">
        <v>46121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46121</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46121</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46121</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46121</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46121</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46121</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46121</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46121</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30490-2025</t>
        </is>
      </c>
      <c r="B112" s="1" t="n">
        <v>45830</v>
      </c>
      <c r="C112" s="1" t="n">
        <v>46121</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55334-2024</t>
        </is>
      </c>
      <c r="B113" s="1" t="n">
        <v>45621</v>
      </c>
      <c r="C113" s="1" t="n">
        <v>46121</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48126-2022</t>
        </is>
      </c>
      <c r="B114" s="1" t="n">
        <v>44857</v>
      </c>
      <c r="C114" s="1" t="n">
        <v>46121</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49709-2025</t>
        </is>
      </c>
      <c r="B115" s="1" t="n">
        <v>45939.68228009259</v>
      </c>
      <c r="C115" s="1" t="n">
        <v>46121</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46121</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17975-2024</t>
        </is>
      </c>
      <c r="B117" s="1" t="n">
        <v>45419.85546296297</v>
      </c>
      <c r="C117" s="1" t="n">
        <v>46121</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1520-2026</t>
        </is>
      </c>
      <c r="B118" s="1" t="n">
        <v>46034.35891203704</v>
      </c>
      <c r="C118" s="1" t="n">
        <v>46121</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17982-2023</t>
        </is>
      </c>
      <c r="B119" s="1" t="n">
        <v>45040</v>
      </c>
      <c r="C119" s="1" t="n">
        <v>46121</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46121</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46121</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46121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46121</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46121</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46121</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55649-2024</t>
        </is>
      </c>
      <c r="B127" s="1" t="n">
        <v>45622.63053240741</v>
      </c>
      <c r="C127" s="1" t="n">
        <v>46121</v>
      </c>
      <c r="D127" t="inlineStr">
        <is>
          <t>GOTLANDS LÄN</t>
        </is>
      </c>
      <c r="E127" t="inlineStr">
        <is>
          <t>GOTLAND</t>
        </is>
      </c>
      <c r="G127" t="n">
        <v>4.6</v>
      </c>
      <c r="H127" t="n">
        <v>2</v>
      </c>
      <c r="I127" t="n">
        <v>0</v>
      </c>
      <c r="J127" t="n">
        <v>0</v>
      </c>
      <c r="K127" t="n">
        <v>0</v>
      </c>
      <c r="L127" t="n">
        <v>0</v>
      </c>
      <c r="M127" t="n">
        <v>0</v>
      </c>
      <c r="N127" t="n">
        <v>0</v>
      </c>
      <c r="O127" t="n">
        <v>0</v>
      </c>
      <c r="P127" t="n">
        <v>0</v>
      </c>
      <c r="Q127" t="n">
        <v>2</v>
      </c>
      <c r="R127" s="2" t="inlineStr">
        <is>
          <t>Sankt pers nycklar
Blåsippa</t>
        </is>
      </c>
      <c r="S127">
        <f>HYPERLINK("https://klasma.github.io/Logging_0980/artfynd/A 55649-2024 artfynd.xlsx", "A 55649-2024")</f>
        <v/>
      </c>
      <c r="T127">
        <f>HYPERLINK("https://klasma.github.io/Logging_0980/kartor/A 55649-2024 karta.png", "A 55649-2024")</f>
        <v/>
      </c>
      <c r="V127">
        <f>HYPERLINK("https://klasma.github.io/Logging_0980/klagomål/A 55649-2024 FSC-klagomål.docx", "A 55649-2024")</f>
        <v/>
      </c>
      <c r="W127">
        <f>HYPERLINK("https://klasma.github.io/Logging_0980/klagomålsmail/A 55649-2024 FSC-klagomål mail.docx", "A 55649-2024")</f>
        <v/>
      </c>
      <c r="X127">
        <f>HYPERLINK("https://klasma.github.io/Logging_0980/tillsyn/A 55649-2024 tillsynsbegäran.docx", "A 55649-2024")</f>
        <v/>
      </c>
      <c r="Y127">
        <f>HYPERLINK("https://klasma.github.io/Logging_0980/tillsynsmail/A 55649-2024 tillsynsbegäran mail.docx", "A 55649-2024")</f>
        <v/>
      </c>
    </row>
    <row r="128" ht="15" customHeight="1">
      <c r="A128" t="inlineStr">
        <is>
          <t>A 7070-2022</t>
        </is>
      </c>
      <c r="B128" s="1" t="n">
        <v>44603</v>
      </c>
      <c r="C128" s="1" t="n">
        <v>46121</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20429-2025</t>
        </is>
      </c>
      <c r="B129" s="1" t="n">
        <v>45775.47728009259</v>
      </c>
      <c r="C129" s="1" t="n">
        <v>46121</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12914-2025</t>
        </is>
      </c>
      <c r="B130" s="1" t="n">
        <v>45733</v>
      </c>
      <c r="C130" s="1" t="n">
        <v>46121</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46121</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20838-2024</t>
        </is>
      </c>
      <c r="B132" s="1" t="n">
        <v>45439</v>
      </c>
      <c r="C132" s="1" t="n">
        <v>46121</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63162-2025</t>
        </is>
      </c>
      <c r="B133" s="1" t="n">
        <v>46010.37629629629</v>
      </c>
      <c r="C133" s="1" t="n">
        <v>46121</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62760-2025</t>
        </is>
      </c>
      <c r="B134" s="1" t="n">
        <v>46008</v>
      </c>
      <c r="C134" s="1" t="n">
        <v>46121</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26077-2024</t>
        </is>
      </c>
      <c r="B135" s="1" t="n">
        <v>45467</v>
      </c>
      <c r="C135" s="1" t="n">
        <v>46121</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16997-2026</t>
        </is>
      </c>
      <c r="B136" s="1" t="n">
        <v>46114.42539351852</v>
      </c>
      <c r="C136" s="1" t="n">
        <v>46121</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43219-2023</t>
        </is>
      </c>
      <c r="B137" s="1" t="n">
        <v>45183</v>
      </c>
      <c r="C137" s="1" t="n">
        <v>46121</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46121</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46121</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46121</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46121</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46121</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10440-2024</t>
        </is>
      </c>
      <c r="B143" s="1" t="n">
        <v>45366.32818287037</v>
      </c>
      <c r="C143" s="1" t="n">
        <v>46121</v>
      </c>
      <c r="D143" t="inlineStr">
        <is>
          <t>GOTLANDS LÄN</t>
        </is>
      </c>
      <c r="E143" t="inlineStr">
        <is>
          <t>GOTLAND</t>
        </is>
      </c>
      <c r="G143" t="n">
        <v>2.5</v>
      </c>
      <c r="H143" t="n">
        <v>1</v>
      </c>
      <c r="I143" t="n">
        <v>0</v>
      </c>
      <c r="J143" t="n">
        <v>1</v>
      </c>
      <c r="K143" t="n">
        <v>0</v>
      </c>
      <c r="L143" t="n">
        <v>0</v>
      </c>
      <c r="M143" t="n">
        <v>0</v>
      </c>
      <c r="N143" t="n">
        <v>0</v>
      </c>
      <c r="O143" t="n">
        <v>1</v>
      </c>
      <c r="P143" t="n">
        <v>0</v>
      </c>
      <c r="Q143" t="n">
        <v>1</v>
      </c>
      <c r="R143" s="2" t="inlineStr">
        <is>
          <t>Mindre hackspett</t>
        </is>
      </c>
      <c r="S143">
        <f>HYPERLINK("https://klasma.github.io/Logging_0980/artfynd/A 10440-2024 artfynd.xlsx", "A 10440-2024")</f>
        <v/>
      </c>
      <c r="T143">
        <f>HYPERLINK("https://klasma.github.io/Logging_0980/kartor/A 10440-2024 karta.png", "A 10440-2024")</f>
        <v/>
      </c>
      <c r="V143">
        <f>HYPERLINK("https://klasma.github.io/Logging_0980/klagomål/A 10440-2024 FSC-klagomål.docx", "A 10440-2024")</f>
        <v/>
      </c>
      <c r="W143">
        <f>HYPERLINK("https://klasma.github.io/Logging_0980/klagomålsmail/A 10440-2024 FSC-klagomål mail.docx", "A 10440-2024")</f>
        <v/>
      </c>
      <c r="X143">
        <f>HYPERLINK("https://klasma.github.io/Logging_0980/tillsyn/A 10440-2024 tillsynsbegäran.docx", "A 10440-2024")</f>
        <v/>
      </c>
      <c r="Y143">
        <f>HYPERLINK("https://klasma.github.io/Logging_0980/tillsynsmail/A 10440-2024 tillsynsbegäran mail.docx", "A 10440-2024")</f>
        <v/>
      </c>
      <c r="Z143">
        <f>HYPERLINK("https://klasma.github.io/Logging_0980/fåglar/A 10440-2024 prioriterade fågelarter.docx", "A 10440-2024")</f>
        <v/>
      </c>
    </row>
    <row r="144" ht="15" customHeight="1">
      <c r="A144" t="inlineStr">
        <is>
          <t>A 39812-2025</t>
        </is>
      </c>
      <c r="B144" s="1" t="n">
        <v>45891</v>
      </c>
      <c r="C144" s="1" t="n">
        <v>46121</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44308-2021</t>
        </is>
      </c>
      <c r="B145" s="1" t="n">
        <v>44434</v>
      </c>
      <c r="C145" s="1" t="n">
        <v>46121</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26461-2025</t>
        </is>
      </c>
      <c r="B146" s="1" t="n">
        <v>45807.43337962963</v>
      </c>
      <c r="C146" s="1" t="n">
        <v>46121</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46527-2023</t>
        </is>
      </c>
      <c r="B147" s="1" t="n">
        <v>45197</v>
      </c>
      <c r="C147" s="1" t="n">
        <v>46121</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35467-2021</t>
        </is>
      </c>
      <c r="B148" s="1" t="n">
        <v>44385</v>
      </c>
      <c r="C148" s="1" t="n">
        <v>46121</v>
      </c>
      <c r="D148" t="inlineStr">
        <is>
          <t>GOTLANDS LÄN</t>
        </is>
      </c>
      <c r="E148" t="inlineStr">
        <is>
          <t>GOTLAND</t>
        </is>
      </c>
      <c r="G148" t="n">
        <v>12.7</v>
      </c>
      <c r="H148" t="n">
        <v>0</v>
      </c>
      <c r="I148" t="n">
        <v>0</v>
      </c>
      <c r="J148" t="n">
        <v>1</v>
      </c>
      <c r="K148" t="n">
        <v>0</v>
      </c>
      <c r="L148" t="n">
        <v>0</v>
      </c>
      <c r="M148" t="n">
        <v>0</v>
      </c>
      <c r="N148" t="n">
        <v>0</v>
      </c>
      <c r="O148" t="n">
        <v>1</v>
      </c>
      <c r="P148" t="n">
        <v>0</v>
      </c>
      <c r="Q148" t="n">
        <v>1</v>
      </c>
      <c r="R148" s="2" t="inlineStr">
        <is>
          <t>Loppstarr</t>
        </is>
      </c>
      <c r="S148">
        <f>HYPERLINK("https://klasma.github.io/Logging_0980/artfynd/A 35467-2021 artfynd.xlsx", "A 35467-2021")</f>
        <v/>
      </c>
      <c r="T148">
        <f>HYPERLINK("https://klasma.github.io/Logging_0980/kartor/A 35467-2021 karta.png", "A 35467-2021")</f>
        <v/>
      </c>
      <c r="V148">
        <f>HYPERLINK("https://klasma.github.io/Logging_0980/klagomål/A 35467-2021 FSC-klagomål.docx", "A 35467-2021")</f>
        <v/>
      </c>
      <c r="W148">
        <f>HYPERLINK("https://klasma.github.io/Logging_0980/klagomålsmail/A 35467-2021 FSC-klagomål mail.docx", "A 35467-2021")</f>
        <v/>
      </c>
      <c r="X148">
        <f>HYPERLINK("https://klasma.github.io/Logging_0980/tillsyn/A 35467-2021 tillsynsbegäran.docx", "A 35467-2021")</f>
        <v/>
      </c>
      <c r="Y148">
        <f>HYPERLINK("https://klasma.github.io/Logging_0980/tillsynsmail/A 35467-2021 tillsynsbegäran mail.docx", "A 35467-2021")</f>
        <v/>
      </c>
    </row>
    <row r="149" ht="15" customHeight="1">
      <c r="A149" t="inlineStr">
        <is>
          <t>A 44619-2025</t>
        </is>
      </c>
      <c r="B149" s="1" t="n">
        <v>45917</v>
      </c>
      <c r="C149" s="1" t="n">
        <v>46121</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17723-2021</t>
        </is>
      </c>
      <c r="B150" s="1" t="n">
        <v>44300</v>
      </c>
      <c r="C150" s="1" t="n">
        <v>46121</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6303-2024</t>
        </is>
      </c>
      <c r="B151" s="1" t="n">
        <v>45338.35376157407</v>
      </c>
      <c r="C151" s="1" t="n">
        <v>46121</v>
      </c>
      <c r="D151" t="inlineStr">
        <is>
          <t>GOTLANDS LÄN</t>
        </is>
      </c>
      <c r="E151" t="inlineStr">
        <is>
          <t>GOTLAND</t>
        </is>
      </c>
      <c r="G151" t="n">
        <v>0.6</v>
      </c>
      <c r="H151" t="n">
        <v>0</v>
      </c>
      <c r="I151" t="n">
        <v>1</v>
      </c>
      <c r="J151" t="n">
        <v>0</v>
      </c>
      <c r="K151" t="n">
        <v>0</v>
      </c>
      <c r="L151" t="n">
        <v>0</v>
      </c>
      <c r="M151" t="n">
        <v>0</v>
      </c>
      <c r="N151" t="n">
        <v>0</v>
      </c>
      <c r="O151" t="n">
        <v>0</v>
      </c>
      <c r="P151" t="n">
        <v>0</v>
      </c>
      <c r="Q151" t="n">
        <v>1</v>
      </c>
      <c r="R151" s="2" t="inlineStr">
        <is>
          <t>Strävlosta</t>
        </is>
      </c>
      <c r="S151">
        <f>HYPERLINK("https://klasma.github.io/Logging_0980/artfynd/A 6303-2024 artfynd.xlsx", "A 6303-2024")</f>
        <v/>
      </c>
      <c r="T151">
        <f>HYPERLINK("https://klasma.github.io/Logging_0980/kartor/A 6303-2024 karta.png", "A 6303-2024")</f>
        <v/>
      </c>
      <c r="V151">
        <f>HYPERLINK("https://klasma.github.io/Logging_0980/klagomål/A 6303-2024 FSC-klagomål.docx", "A 6303-2024")</f>
        <v/>
      </c>
      <c r="W151">
        <f>HYPERLINK("https://klasma.github.io/Logging_0980/klagomålsmail/A 6303-2024 FSC-klagomål mail.docx", "A 6303-2024")</f>
        <v/>
      </c>
      <c r="X151">
        <f>HYPERLINK("https://klasma.github.io/Logging_0980/tillsyn/A 6303-2024 tillsynsbegäran.docx", "A 6303-2024")</f>
        <v/>
      </c>
      <c r="Y151">
        <f>HYPERLINK("https://klasma.github.io/Logging_0980/tillsynsmail/A 6303-2024 tillsynsbegäran mail.docx", "A 6303-2024")</f>
        <v/>
      </c>
    </row>
    <row r="152" ht="15" customHeight="1">
      <c r="A152" t="inlineStr">
        <is>
          <t>A 62552-2022</t>
        </is>
      </c>
      <c r="B152" s="1" t="n">
        <v>44924</v>
      </c>
      <c r="C152" s="1" t="n">
        <v>46121</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25977-2024</t>
        </is>
      </c>
      <c r="B153" s="1" t="n">
        <v>45467.69356481481</v>
      </c>
      <c r="C153" s="1" t="n">
        <v>46121</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27589-2023</t>
        </is>
      </c>
      <c r="B154" s="1" t="n">
        <v>45097</v>
      </c>
      <c r="C154" s="1" t="n">
        <v>46121</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9862-2024</t>
        </is>
      </c>
      <c r="B155" s="1" t="n">
        <v>45363</v>
      </c>
      <c r="C155" s="1" t="n">
        <v>46121</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34141-2024</t>
        </is>
      </c>
      <c r="B156" s="1" t="n">
        <v>45524.36229166666</v>
      </c>
      <c r="C156" s="1" t="n">
        <v>46121</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49726-2025</t>
        </is>
      </c>
      <c r="B157" s="1" t="n">
        <v>45939.84466435185</v>
      </c>
      <c r="C157" s="1" t="n">
        <v>46121</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65927-2021</t>
        </is>
      </c>
      <c r="B158" s="1" t="n">
        <v>44516</v>
      </c>
      <c r="C158" s="1" t="n">
        <v>46121</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46121</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12924-2025</t>
        </is>
      </c>
      <c r="B160" s="1" t="n">
        <v>45734</v>
      </c>
      <c r="C160" s="1" t="n">
        <v>46121</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61561-2023</t>
        </is>
      </c>
      <c r="B161" s="1" t="n">
        <v>45265</v>
      </c>
      <c r="C161" s="1" t="n">
        <v>46121</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12324-2025</t>
        </is>
      </c>
      <c r="B162" s="1" t="n">
        <v>45730</v>
      </c>
      <c r="C162" s="1" t="n">
        <v>46121</v>
      </c>
      <c r="D162" t="inlineStr">
        <is>
          <t>GOTLANDS LÄN</t>
        </is>
      </c>
      <c r="E162" t="inlineStr">
        <is>
          <t>GOTLAND</t>
        </is>
      </c>
      <c r="G162" t="n">
        <v>5</v>
      </c>
      <c r="H162" t="n">
        <v>0</v>
      </c>
      <c r="I162" t="n">
        <v>0</v>
      </c>
      <c r="J162" t="n">
        <v>0</v>
      </c>
      <c r="K162" t="n">
        <v>1</v>
      </c>
      <c r="L162" t="n">
        <v>0</v>
      </c>
      <c r="M162" t="n">
        <v>0</v>
      </c>
      <c r="N162" t="n">
        <v>0</v>
      </c>
      <c r="O162" t="n">
        <v>1</v>
      </c>
      <c r="P162" t="n">
        <v>1</v>
      </c>
      <c r="Q162" t="n">
        <v>1</v>
      </c>
      <c r="R162" s="2" t="inlineStr">
        <is>
          <t>Sommarklynne</t>
        </is>
      </c>
      <c r="S162">
        <f>HYPERLINK("https://klasma.github.io/Logging_0980/artfynd/A 12324-2025 artfynd.xlsx", "A 12324-2025")</f>
        <v/>
      </c>
      <c r="T162">
        <f>HYPERLINK("https://klasma.github.io/Logging_0980/kartor/A 12324-2025 karta.png", "A 12324-2025")</f>
        <v/>
      </c>
      <c r="V162">
        <f>HYPERLINK("https://klasma.github.io/Logging_0980/klagomål/A 12324-2025 FSC-klagomål.docx", "A 12324-2025")</f>
        <v/>
      </c>
      <c r="W162">
        <f>HYPERLINK("https://klasma.github.io/Logging_0980/klagomålsmail/A 12324-2025 FSC-klagomål mail.docx", "A 12324-2025")</f>
        <v/>
      </c>
      <c r="X162">
        <f>HYPERLINK("https://klasma.github.io/Logging_0980/tillsyn/A 12324-2025 tillsynsbegäran.docx", "A 12324-2025")</f>
        <v/>
      </c>
      <c r="Y162">
        <f>HYPERLINK("https://klasma.github.io/Logging_0980/tillsynsmail/A 12324-2025 tillsynsbegäran mail.docx", "A 12324-2025")</f>
        <v/>
      </c>
    </row>
    <row r="163" ht="15" customHeight="1">
      <c r="A163" t="inlineStr">
        <is>
          <t>A 2476-2025</t>
        </is>
      </c>
      <c r="B163" s="1" t="n">
        <v>45673</v>
      </c>
      <c r="C163" s="1" t="n">
        <v>46121</v>
      </c>
      <c r="D163" t="inlineStr">
        <is>
          <t>GOTLANDS LÄN</t>
        </is>
      </c>
      <c r="E163" t="inlineStr">
        <is>
          <t>GOTLAND</t>
        </is>
      </c>
      <c r="G163" t="n">
        <v>3.1</v>
      </c>
      <c r="H163" t="n">
        <v>0</v>
      </c>
      <c r="I163" t="n">
        <v>1</v>
      </c>
      <c r="J163" t="n">
        <v>0</v>
      </c>
      <c r="K163" t="n">
        <v>0</v>
      </c>
      <c r="L163" t="n">
        <v>0</v>
      </c>
      <c r="M163" t="n">
        <v>0</v>
      </c>
      <c r="N163" t="n">
        <v>0</v>
      </c>
      <c r="O163" t="n">
        <v>0</v>
      </c>
      <c r="P163" t="n">
        <v>0</v>
      </c>
      <c r="Q163" t="n">
        <v>1</v>
      </c>
      <c r="R163" s="2" t="inlineStr">
        <is>
          <t>Kryddspindling</t>
        </is>
      </c>
      <c r="S163">
        <f>HYPERLINK("https://klasma.github.io/Logging_0980/artfynd/A 2476-2025 artfynd.xlsx", "A 2476-2025")</f>
        <v/>
      </c>
      <c r="T163">
        <f>HYPERLINK("https://klasma.github.io/Logging_0980/kartor/A 2476-2025 karta.png", "A 2476-2025")</f>
        <v/>
      </c>
      <c r="V163">
        <f>HYPERLINK("https://klasma.github.io/Logging_0980/klagomål/A 2476-2025 FSC-klagomål.docx", "A 2476-2025")</f>
        <v/>
      </c>
      <c r="W163">
        <f>HYPERLINK("https://klasma.github.io/Logging_0980/klagomålsmail/A 2476-2025 FSC-klagomål mail.docx", "A 2476-2025")</f>
        <v/>
      </c>
      <c r="X163">
        <f>HYPERLINK("https://klasma.github.io/Logging_0980/tillsyn/A 2476-2025 tillsynsbegäran.docx", "A 2476-2025")</f>
        <v/>
      </c>
      <c r="Y163">
        <f>HYPERLINK("https://klasma.github.io/Logging_0980/tillsynsmail/A 2476-2025 tillsynsbegäran mail.docx", "A 2476-2025")</f>
        <v/>
      </c>
    </row>
    <row r="164" ht="15" customHeight="1">
      <c r="A164" t="inlineStr">
        <is>
          <t>A 44304-2021</t>
        </is>
      </c>
      <c r="B164" s="1" t="n">
        <v>44434</v>
      </c>
      <c r="C164" s="1" t="n">
        <v>46121</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11708-2026</t>
        </is>
      </c>
      <c r="B165" s="1" t="n">
        <v>46084</v>
      </c>
      <c r="C165" s="1" t="n">
        <v>46121</v>
      </c>
      <c r="D165" t="inlineStr">
        <is>
          <t>GOTLANDS LÄN</t>
        </is>
      </c>
      <c r="E165" t="inlineStr">
        <is>
          <t>GOTLAND</t>
        </is>
      </c>
      <c r="G165" t="n">
        <v>8.4</v>
      </c>
      <c r="H165" t="n">
        <v>1</v>
      </c>
      <c r="I165" t="n">
        <v>0</v>
      </c>
      <c r="J165" t="n">
        <v>1</v>
      </c>
      <c r="K165" t="n">
        <v>0</v>
      </c>
      <c r="L165" t="n">
        <v>0</v>
      </c>
      <c r="M165" t="n">
        <v>0</v>
      </c>
      <c r="N165" t="n">
        <v>0</v>
      </c>
      <c r="O165" t="n">
        <v>1</v>
      </c>
      <c r="P165" t="n">
        <v>0</v>
      </c>
      <c r="Q165" t="n">
        <v>1</v>
      </c>
      <c r="R165" s="2" t="inlineStr">
        <is>
          <t>Bredarun</t>
        </is>
      </c>
      <c r="S165">
        <f>HYPERLINK("https://klasma.github.io/Logging_0980/artfynd/A 11708-2026 artfynd.xlsx", "A 11708-2026")</f>
        <v/>
      </c>
      <c r="T165">
        <f>HYPERLINK("https://klasma.github.io/Logging_0980/kartor/A 11708-2026 karta.png", "A 11708-2026")</f>
        <v/>
      </c>
      <c r="V165">
        <f>HYPERLINK("https://klasma.github.io/Logging_0980/klagomål/A 11708-2026 FSC-klagomål.docx", "A 11708-2026")</f>
        <v/>
      </c>
      <c r="W165">
        <f>HYPERLINK("https://klasma.github.io/Logging_0980/klagomålsmail/A 11708-2026 FSC-klagomål mail.docx", "A 11708-2026")</f>
        <v/>
      </c>
      <c r="X165">
        <f>HYPERLINK("https://klasma.github.io/Logging_0980/tillsyn/A 11708-2026 tillsynsbegäran.docx", "A 11708-2026")</f>
        <v/>
      </c>
      <c r="Y165">
        <f>HYPERLINK("https://klasma.github.io/Logging_0980/tillsynsmail/A 11708-2026 tillsynsbegäran mail.docx", "A 11708-2026")</f>
        <v/>
      </c>
    </row>
    <row r="166" ht="15" customHeight="1">
      <c r="A166" t="inlineStr">
        <is>
          <t>A 447-2023</t>
        </is>
      </c>
      <c r="B166" s="1" t="n">
        <v>44929</v>
      </c>
      <c r="C166" s="1" t="n">
        <v>46121</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34809-2024</t>
        </is>
      </c>
      <c r="B167" s="1" t="n">
        <v>45526</v>
      </c>
      <c r="C167" s="1" t="n">
        <v>46121</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13482-2026</t>
        </is>
      </c>
      <c r="B168" s="1" t="n">
        <v>46094</v>
      </c>
      <c r="C168" s="1" t="n">
        <v>46121</v>
      </c>
      <c r="D168" t="inlineStr">
        <is>
          <t>GOTLANDS LÄN</t>
        </is>
      </c>
      <c r="E168" t="inlineStr">
        <is>
          <t>GOTLAND</t>
        </is>
      </c>
      <c r="G168" t="n">
        <v>1.7</v>
      </c>
      <c r="H168" t="n">
        <v>1</v>
      </c>
      <c r="I168" t="n">
        <v>0</v>
      </c>
      <c r="J168" t="n">
        <v>1</v>
      </c>
      <c r="K168" t="n">
        <v>0</v>
      </c>
      <c r="L168" t="n">
        <v>0</v>
      </c>
      <c r="M168" t="n">
        <v>0</v>
      </c>
      <c r="N168" t="n">
        <v>0</v>
      </c>
      <c r="O168" t="n">
        <v>1</v>
      </c>
      <c r="P168" t="n">
        <v>0</v>
      </c>
      <c r="Q168" t="n">
        <v>1</v>
      </c>
      <c r="R168" s="2" t="inlineStr">
        <is>
          <t>Spillkråka</t>
        </is>
      </c>
      <c r="S168">
        <f>HYPERLINK("https://klasma.github.io/Logging_0980/artfynd/A 13482-2026 artfynd.xlsx", "A 13482-2026")</f>
        <v/>
      </c>
      <c r="T168">
        <f>HYPERLINK("https://klasma.github.io/Logging_0980/kartor/A 13482-2026 karta.png", "A 13482-2026")</f>
        <v/>
      </c>
      <c r="V168">
        <f>HYPERLINK("https://klasma.github.io/Logging_0980/klagomål/A 13482-2026 FSC-klagomål.docx", "A 13482-2026")</f>
        <v/>
      </c>
      <c r="W168">
        <f>HYPERLINK("https://klasma.github.io/Logging_0980/klagomålsmail/A 13482-2026 FSC-klagomål mail.docx", "A 13482-2026")</f>
        <v/>
      </c>
      <c r="X168">
        <f>HYPERLINK("https://klasma.github.io/Logging_0980/tillsyn/A 13482-2026 tillsynsbegäran.docx", "A 13482-2026")</f>
        <v/>
      </c>
      <c r="Y168">
        <f>HYPERLINK("https://klasma.github.io/Logging_0980/tillsynsmail/A 13482-2026 tillsynsbegäran mail.docx", "A 13482-2026")</f>
        <v/>
      </c>
      <c r="Z168">
        <f>HYPERLINK("https://klasma.github.io/Logging_0980/fåglar/A 13482-2026 prioriterade fågelarter.docx", "A 13482-2026")</f>
        <v/>
      </c>
    </row>
    <row r="169" ht="15" customHeight="1">
      <c r="A169" t="inlineStr">
        <is>
          <t>A 49304-2024</t>
        </is>
      </c>
      <c r="B169" s="1" t="n">
        <v>45595.54996527778</v>
      </c>
      <c r="C169" s="1" t="n">
        <v>46121</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46121</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46121</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46121</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10013-2026</t>
        </is>
      </c>
      <c r="B173" s="1" t="n">
        <v>46073</v>
      </c>
      <c r="C173" s="1" t="n">
        <v>46121</v>
      </c>
      <c r="D173" t="inlineStr">
        <is>
          <t>GOTLANDS LÄN</t>
        </is>
      </c>
      <c r="E173" t="inlineStr">
        <is>
          <t>GOTLAND</t>
        </is>
      </c>
      <c r="G173" t="n">
        <v>10.5</v>
      </c>
      <c r="H173" t="n">
        <v>0</v>
      </c>
      <c r="I173" t="n">
        <v>0</v>
      </c>
      <c r="J173" t="n">
        <v>0</v>
      </c>
      <c r="K173" t="n">
        <v>1</v>
      </c>
      <c r="L173" t="n">
        <v>0</v>
      </c>
      <c r="M173" t="n">
        <v>0</v>
      </c>
      <c r="N173" t="n">
        <v>0</v>
      </c>
      <c r="O173" t="n">
        <v>1</v>
      </c>
      <c r="P173" t="n">
        <v>1</v>
      </c>
      <c r="Q173" t="n">
        <v>1</v>
      </c>
      <c r="R173" s="2" t="inlineStr">
        <is>
          <t>Skogskorn</t>
        </is>
      </c>
      <c r="S173">
        <f>HYPERLINK("https://klasma.github.io/Logging_0980/artfynd/A 10013-2026 artfynd.xlsx", "A 10013-2026")</f>
        <v/>
      </c>
      <c r="T173">
        <f>HYPERLINK("https://klasma.github.io/Logging_0980/kartor/A 10013-2026 karta.png", "A 10013-2026")</f>
        <v/>
      </c>
      <c r="V173">
        <f>HYPERLINK("https://klasma.github.io/Logging_0980/klagomål/A 10013-2026 FSC-klagomål.docx", "A 10013-2026")</f>
        <v/>
      </c>
      <c r="W173">
        <f>HYPERLINK("https://klasma.github.io/Logging_0980/klagomålsmail/A 10013-2026 FSC-klagomål mail.docx", "A 10013-2026")</f>
        <v/>
      </c>
      <c r="X173">
        <f>HYPERLINK("https://klasma.github.io/Logging_0980/tillsyn/A 10013-2026 tillsynsbegäran.docx", "A 10013-2026")</f>
        <v/>
      </c>
      <c r="Y173">
        <f>HYPERLINK("https://klasma.github.io/Logging_0980/tillsynsmail/A 10013-2026 tillsynsbegäran mail.docx", "A 10013-2026")</f>
        <v/>
      </c>
    </row>
    <row r="174" ht="15" customHeight="1">
      <c r="A174" t="inlineStr">
        <is>
          <t>A 63149-2025</t>
        </is>
      </c>
      <c r="B174" s="1" t="n">
        <v>46010</v>
      </c>
      <c r="C174" s="1" t="n">
        <v>46121</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7637-2025</t>
        </is>
      </c>
      <c r="B175" s="1" t="n">
        <v>45705.77181712963</v>
      </c>
      <c r="C175" s="1" t="n">
        <v>46121</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46121</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46121</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46121</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46121</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46121</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46121</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46121</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46121</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46121</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46121</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46121</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46121</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46121</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46121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46121</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46121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46121</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46121</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46121</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46121</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46121</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46121</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46121</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46121</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46121</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46121</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46121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46121</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46121</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46121</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46121</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46121</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46121</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46121</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46121</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46121</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46121</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46121</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46121</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71010-2021</t>
        </is>
      </c>
      <c r="B215" s="1" t="n">
        <v>44538.63775462963</v>
      </c>
      <c r="C215" s="1" t="n">
        <v>46121</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46121</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44942-2022</t>
        </is>
      </c>
      <c r="B217" s="1" t="n">
        <v>44841</v>
      </c>
      <c r="C217" s="1" t="n">
        <v>46121</v>
      </c>
      <c r="D217" t="inlineStr">
        <is>
          <t>GOTLANDS LÄN</t>
        </is>
      </c>
      <c r="E217" t="inlineStr">
        <is>
          <t>GOTLAND</t>
        </is>
      </c>
      <c r="G217" t="n">
        <v>2</v>
      </c>
      <c r="H217" t="n">
        <v>0</v>
      </c>
      <c r="I217" t="n">
        <v>0</v>
      </c>
      <c r="J217" t="n">
        <v>0</v>
      </c>
      <c r="K217" t="n">
        <v>0</v>
      </c>
      <c r="L217" t="n">
        <v>0</v>
      </c>
      <c r="M217" t="n">
        <v>0</v>
      </c>
      <c r="N217" t="n">
        <v>0</v>
      </c>
      <c r="O217" t="n">
        <v>0</v>
      </c>
      <c r="P217" t="n">
        <v>0</v>
      </c>
      <c r="Q217" t="n">
        <v>0</v>
      </c>
      <c r="R217" s="2" t="inlineStr"/>
    </row>
    <row r="218" ht="15" customHeight="1">
      <c r="A218" t="inlineStr">
        <is>
          <t>A 53225-2022</t>
        </is>
      </c>
      <c r="B218" s="1" t="n">
        <v>44876</v>
      </c>
      <c r="C218" s="1" t="n">
        <v>46121</v>
      </c>
      <c r="D218" t="inlineStr">
        <is>
          <t>GOTLANDS LÄN</t>
        </is>
      </c>
      <c r="E218" t="inlineStr">
        <is>
          <t>GOTLAND</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46121</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46121</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46121</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46121</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46121</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46121</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46121</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46121</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46121</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46121</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17901-2023</t>
        </is>
      </c>
      <c r="B229" s="1" t="n">
        <v>45039</v>
      </c>
      <c r="C229" s="1" t="n">
        <v>46121</v>
      </c>
      <c r="D229" t="inlineStr">
        <is>
          <t>GOTLANDS LÄN</t>
        </is>
      </c>
      <c r="E229" t="inlineStr">
        <is>
          <t>GOTLAND</t>
        </is>
      </c>
      <c r="F229" t="inlineStr">
        <is>
          <t>Kyrkan</t>
        </is>
      </c>
      <c r="G229" t="n">
        <v>0.6</v>
      </c>
      <c r="H229" t="n">
        <v>0</v>
      </c>
      <c r="I229" t="n">
        <v>0</v>
      </c>
      <c r="J229" t="n">
        <v>0</v>
      </c>
      <c r="K229" t="n">
        <v>0</v>
      </c>
      <c r="L229" t="n">
        <v>0</v>
      </c>
      <c r="M229" t="n">
        <v>0</v>
      </c>
      <c r="N229" t="n">
        <v>0</v>
      </c>
      <c r="O229" t="n">
        <v>0</v>
      </c>
      <c r="P229" t="n">
        <v>0</v>
      </c>
      <c r="Q229" t="n">
        <v>0</v>
      </c>
      <c r="R229" s="2" t="inlineStr"/>
    </row>
    <row r="230" ht="15" customHeight="1">
      <c r="A230" t="inlineStr">
        <is>
          <t>A 456-2023</t>
        </is>
      </c>
      <c r="B230" s="1" t="n">
        <v>44929.87122685185</v>
      </c>
      <c r="C230" s="1" t="n">
        <v>46121</v>
      </c>
      <c r="D230" t="inlineStr">
        <is>
          <t>GOTLANDS LÄN</t>
        </is>
      </c>
      <c r="E230" t="inlineStr">
        <is>
          <t>GOTLAND</t>
        </is>
      </c>
      <c r="G230" t="n">
        <v>3.2</v>
      </c>
      <c r="H230" t="n">
        <v>0</v>
      </c>
      <c r="I230" t="n">
        <v>0</v>
      </c>
      <c r="J230" t="n">
        <v>0</v>
      </c>
      <c r="K230" t="n">
        <v>0</v>
      </c>
      <c r="L230" t="n">
        <v>0</v>
      </c>
      <c r="M230" t="n">
        <v>0</v>
      </c>
      <c r="N230" t="n">
        <v>0</v>
      </c>
      <c r="O230" t="n">
        <v>0</v>
      </c>
      <c r="P230" t="n">
        <v>0</v>
      </c>
      <c r="Q230" t="n">
        <v>0</v>
      </c>
      <c r="R230" s="2" t="inlineStr"/>
    </row>
    <row r="231" ht="15" customHeight="1">
      <c r="A231" t="inlineStr">
        <is>
          <t>A 58476-2022</t>
        </is>
      </c>
      <c r="B231" s="1" t="n">
        <v>44902</v>
      </c>
      <c r="C231" s="1" t="n">
        <v>46121</v>
      </c>
      <c r="D231" t="inlineStr">
        <is>
          <t>GOTLANDS LÄN</t>
        </is>
      </c>
      <c r="E231" t="inlineStr">
        <is>
          <t>GOTLAND</t>
        </is>
      </c>
      <c r="G231" t="n">
        <v>0.9</v>
      </c>
      <c r="H231" t="n">
        <v>0</v>
      </c>
      <c r="I231" t="n">
        <v>0</v>
      </c>
      <c r="J231" t="n">
        <v>0</v>
      </c>
      <c r="K231" t="n">
        <v>0</v>
      </c>
      <c r="L231" t="n">
        <v>0</v>
      </c>
      <c r="M231" t="n">
        <v>0</v>
      </c>
      <c r="N231" t="n">
        <v>0</v>
      </c>
      <c r="O231" t="n">
        <v>0</v>
      </c>
      <c r="P231" t="n">
        <v>0</v>
      </c>
      <c r="Q231" t="n">
        <v>0</v>
      </c>
      <c r="R231" s="2" t="inlineStr"/>
    </row>
    <row r="232" ht="15" customHeight="1">
      <c r="A232" t="inlineStr">
        <is>
          <t>A 63229-2021</t>
        </is>
      </c>
      <c r="B232" s="1" t="n">
        <v>44508.34518518519</v>
      </c>
      <c r="C232" s="1" t="n">
        <v>46121</v>
      </c>
      <c r="D232" t="inlineStr">
        <is>
          <t>GOTLANDS LÄN</t>
        </is>
      </c>
      <c r="E232" t="inlineStr">
        <is>
          <t>GOTLAND</t>
        </is>
      </c>
      <c r="F232" t="inlineStr">
        <is>
          <t>Kyrkan</t>
        </is>
      </c>
      <c r="G232" t="n">
        <v>3.8</v>
      </c>
      <c r="H232" t="n">
        <v>0</v>
      </c>
      <c r="I232" t="n">
        <v>0</v>
      </c>
      <c r="J232" t="n">
        <v>0</v>
      </c>
      <c r="K232" t="n">
        <v>0</v>
      </c>
      <c r="L232" t="n">
        <v>0</v>
      </c>
      <c r="M232" t="n">
        <v>0</v>
      </c>
      <c r="N232" t="n">
        <v>0</v>
      </c>
      <c r="O232" t="n">
        <v>0</v>
      </c>
      <c r="P232" t="n">
        <v>0</v>
      </c>
      <c r="Q232" t="n">
        <v>0</v>
      </c>
      <c r="R232" s="2" t="inlineStr"/>
    </row>
    <row r="233" ht="15" customHeight="1">
      <c r="A233" t="inlineStr">
        <is>
          <t>A 61596-2023</t>
        </is>
      </c>
      <c r="B233" s="1" t="n">
        <v>45265</v>
      </c>
      <c r="C233" s="1" t="n">
        <v>46121</v>
      </c>
      <c r="D233" t="inlineStr">
        <is>
          <t>GOTLANDS LÄN</t>
        </is>
      </c>
      <c r="E233" t="inlineStr">
        <is>
          <t>GOTLAND</t>
        </is>
      </c>
      <c r="G233" t="n">
        <v>1.7</v>
      </c>
      <c r="H233" t="n">
        <v>0</v>
      </c>
      <c r="I233" t="n">
        <v>0</v>
      </c>
      <c r="J233" t="n">
        <v>0</v>
      </c>
      <c r="K233" t="n">
        <v>0</v>
      </c>
      <c r="L233" t="n">
        <v>0</v>
      </c>
      <c r="M233" t="n">
        <v>0</v>
      </c>
      <c r="N233" t="n">
        <v>0</v>
      </c>
      <c r="O233" t="n">
        <v>0</v>
      </c>
      <c r="P233" t="n">
        <v>0</v>
      </c>
      <c r="Q233" t="n">
        <v>0</v>
      </c>
      <c r="R233" s="2" t="inlineStr"/>
    </row>
    <row r="234" ht="15" customHeight="1">
      <c r="A234" t="inlineStr">
        <is>
          <t>A 873-2024</t>
        </is>
      </c>
      <c r="B234" s="1" t="n">
        <v>45301</v>
      </c>
      <c r="C234" s="1" t="n">
        <v>46121</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27593-2023</t>
        </is>
      </c>
      <c r="B235" s="1" t="n">
        <v>45097</v>
      </c>
      <c r="C235" s="1" t="n">
        <v>46121</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44228-2022</t>
        </is>
      </c>
      <c r="B236" s="1" t="n">
        <v>44839.51599537037</v>
      </c>
      <c r="C236" s="1" t="n">
        <v>46121</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46121</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46121</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56009-2024</t>
        </is>
      </c>
      <c r="B239" s="1" t="n">
        <v>45623.80864583333</v>
      </c>
      <c r="C239" s="1" t="n">
        <v>46121</v>
      </c>
      <c r="D239" t="inlineStr">
        <is>
          <t>GOTLANDS LÄN</t>
        </is>
      </c>
      <c r="E239" t="inlineStr">
        <is>
          <t>GOTLAND</t>
        </is>
      </c>
      <c r="G239" t="n">
        <v>2.8</v>
      </c>
      <c r="H239" t="n">
        <v>0</v>
      </c>
      <c r="I239" t="n">
        <v>0</v>
      </c>
      <c r="J239" t="n">
        <v>0</v>
      </c>
      <c r="K239" t="n">
        <v>0</v>
      </c>
      <c r="L239" t="n">
        <v>0</v>
      </c>
      <c r="M239" t="n">
        <v>0</v>
      </c>
      <c r="N239" t="n">
        <v>0</v>
      </c>
      <c r="O239" t="n">
        <v>0</v>
      </c>
      <c r="P239" t="n">
        <v>0</v>
      </c>
      <c r="Q239" t="n">
        <v>0</v>
      </c>
      <c r="R239" s="2" t="inlineStr"/>
    </row>
    <row r="240" ht="15" customHeight="1">
      <c r="A240" t="inlineStr">
        <is>
          <t>A 54073-2022</t>
        </is>
      </c>
      <c r="B240" s="1" t="n">
        <v>44881.50380787037</v>
      </c>
      <c r="C240" s="1" t="n">
        <v>46121</v>
      </c>
      <c r="D240" t="inlineStr">
        <is>
          <t>GOTLANDS LÄN</t>
        </is>
      </c>
      <c r="E240" t="inlineStr">
        <is>
          <t>GOTLAND</t>
        </is>
      </c>
      <c r="G240" t="n">
        <v>3.8</v>
      </c>
      <c r="H240" t="n">
        <v>0</v>
      </c>
      <c r="I240" t="n">
        <v>0</v>
      </c>
      <c r="J240" t="n">
        <v>0</v>
      </c>
      <c r="K240" t="n">
        <v>0</v>
      </c>
      <c r="L240" t="n">
        <v>0</v>
      </c>
      <c r="M240" t="n">
        <v>0</v>
      </c>
      <c r="N240" t="n">
        <v>0</v>
      </c>
      <c r="O240" t="n">
        <v>0</v>
      </c>
      <c r="P240" t="n">
        <v>0</v>
      </c>
      <c r="Q240" t="n">
        <v>0</v>
      </c>
      <c r="R240" s="2" t="inlineStr"/>
    </row>
    <row r="241" ht="15" customHeight="1">
      <c r="A241" t="inlineStr">
        <is>
          <t>A 20356-2022</t>
        </is>
      </c>
      <c r="B241" s="1" t="n">
        <v>44699</v>
      </c>
      <c r="C241" s="1" t="n">
        <v>46121</v>
      </c>
      <c r="D241" t="inlineStr">
        <is>
          <t>GOTLANDS LÄN</t>
        </is>
      </c>
      <c r="E241" t="inlineStr">
        <is>
          <t>GOTLAND</t>
        </is>
      </c>
      <c r="F241" t="inlineStr">
        <is>
          <t>Övriga Aktiebolag</t>
        </is>
      </c>
      <c r="G241" t="n">
        <v>4.4</v>
      </c>
      <c r="H241" t="n">
        <v>0</v>
      </c>
      <c r="I241" t="n">
        <v>0</v>
      </c>
      <c r="J241" t="n">
        <v>0</v>
      </c>
      <c r="K241" t="n">
        <v>0</v>
      </c>
      <c r="L241" t="n">
        <v>0</v>
      </c>
      <c r="M241" t="n">
        <v>0</v>
      </c>
      <c r="N241" t="n">
        <v>0</v>
      </c>
      <c r="O241" t="n">
        <v>0</v>
      </c>
      <c r="P241" t="n">
        <v>0</v>
      </c>
      <c r="Q241" t="n">
        <v>0</v>
      </c>
      <c r="R241" s="2" t="inlineStr"/>
    </row>
    <row r="242" ht="15" customHeight="1">
      <c r="A242" t="inlineStr">
        <is>
          <t>A 3964-2024</t>
        </is>
      </c>
      <c r="B242" s="1" t="n">
        <v>45322</v>
      </c>
      <c r="C242" s="1" t="n">
        <v>46121</v>
      </c>
      <c r="D242" t="inlineStr">
        <is>
          <t>GOTLANDS LÄN</t>
        </is>
      </c>
      <c r="E242" t="inlineStr">
        <is>
          <t>GOTLAND</t>
        </is>
      </c>
      <c r="G242" t="n">
        <v>1.4</v>
      </c>
      <c r="H242" t="n">
        <v>0</v>
      </c>
      <c r="I242" t="n">
        <v>0</v>
      </c>
      <c r="J242" t="n">
        <v>0</v>
      </c>
      <c r="K242" t="n">
        <v>0</v>
      </c>
      <c r="L242" t="n">
        <v>0</v>
      </c>
      <c r="M242" t="n">
        <v>0</v>
      </c>
      <c r="N242" t="n">
        <v>0</v>
      </c>
      <c r="O242" t="n">
        <v>0</v>
      </c>
      <c r="P242" t="n">
        <v>0</v>
      </c>
      <c r="Q242" t="n">
        <v>0</v>
      </c>
      <c r="R242" s="2" t="inlineStr"/>
    </row>
    <row r="243" ht="15" customHeight="1">
      <c r="A243" t="inlineStr">
        <is>
          <t>A 45106-2024</t>
        </is>
      </c>
      <c r="B243" s="1" t="n">
        <v>45575</v>
      </c>
      <c r="C243" s="1" t="n">
        <v>46121</v>
      </c>
      <c r="D243" t="inlineStr">
        <is>
          <t>GOTLANDS LÄN</t>
        </is>
      </c>
      <c r="E243" t="inlineStr">
        <is>
          <t>GOTLAND</t>
        </is>
      </c>
      <c r="G243" t="n">
        <v>10</v>
      </c>
      <c r="H243" t="n">
        <v>0</v>
      </c>
      <c r="I243" t="n">
        <v>0</v>
      </c>
      <c r="J243" t="n">
        <v>0</v>
      </c>
      <c r="K243" t="n">
        <v>0</v>
      </c>
      <c r="L243" t="n">
        <v>0</v>
      </c>
      <c r="M243" t="n">
        <v>0</v>
      </c>
      <c r="N243" t="n">
        <v>0</v>
      </c>
      <c r="O243" t="n">
        <v>0</v>
      </c>
      <c r="P243" t="n">
        <v>0</v>
      </c>
      <c r="Q243" t="n">
        <v>0</v>
      </c>
      <c r="R243" s="2" t="inlineStr"/>
    </row>
    <row r="244" ht="15" customHeight="1">
      <c r="A244" t="inlineStr">
        <is>
          <t>A 45112-2024</t>
        </is>
      </c>
      <c r="B244" s="1" t="n">
        <v>45575</v>
      </c>
      <c r="C244" s="1" t="n">
        <v>46121</v>
      </c>
      <c r="D244" t="inlineStr">
        <is>
          <t>GOTLANDS LÄN</t>
        </is>
      </c>
      <c r="E244" t="inlineStr">
        <is>
          <t>GOTLAND</t>
        </is>
      </c>
      <c r="G244" t="n">
        <v>5.1</v>
      </c>
      <c r="H244" t="n">
        <v>0</v>
      </c>
      <c r="I244" t="n">
        <v>0</v>
      </c>
      <c r="J244" t="n">
        <v>0</v>
      </c>
      <c r="K244" t="n">
        <v>0</v>
      </c>
      <c r="L244" t="n">
        <v>0</v>
      </c>
      <c r="M244" t="n">
        <v>0</v>
      </c>
      <c r="N244" t="n">
        <v>0</v>
      </c>
      <c r="O244" t="n">
        <v>0</v>
      </c>
      <c r="P244" t="n">
        <v>0</v>
      </c>
      <c r="Q244" t="n">
        <v>0</v>
      </c>
      <c r="R244" s="2" t="inlineStr"/>
    </row>
    <row r="245" ht="15" customHeight="1">
      <c r="A245" t="inlineStr">
        <is>
          <t>A 21420-2024</t>
        </is>
      </c>
      <c r="B245" s="1" t="n">
        <v>45441.38293981482</v>
      </c>
      <c r="C245" s="1" t="n">
        <v>46121</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10656-2024</t>
        </is>
      </c>
      <c r="B246" s="1" t="n">
        <v>45368</v>
      </c>
      <c r="C246" s="1" t="n">
        <v>46121</v>
      </c>
      <c r="D246" t="inlineStr">
        <is>
          <t>GOTLANDS LÄN</t>
        </is>
      </c>
      <c r="E246" t="inlineStr">
        <is>
          <t>GOTLAND</t>
        </is>
      </c>
      <c r="G246" t="n">
        <v>1.5</v>
      </c>
      <c r="H246" t="n">
        <v>0</v>
      </c>
      <c r="I246" t="n">
        <v>0</v>
      </c>
      <c r="J246" t="n">
        <v>0</v>
      </c>
      <c r="K246" t="n">
        <v>0</v>
      </c>
      <c r="L246" t="n">
        <v>0</v>
      </c>
      <c r="M246" t="n">
        <v>0</v>
      </c>
      <c r="N246" t="n">
        <v>0</v>
      </c>
      <c r="O246" t="n">
        <v>0</v>
      </c>
      <c r="P246" t="n">
        <v>0</v>
      </c>
      <c r="Q246" t="n">
        <v>0</v>
      </c>
      <c r="R246" s="2" t="inlineStr"/>
    </row>
    <row r="247" ht="15" customHeight="1">
      <c r="A247" t="inlineStr">
        <is>
          <t>A 57356-2023</t>
        </is>
      </c>
      <c r="B247" s="1" t="n">
        <v>45240</v>
      </c>
      <c r="C247" s="1" t="n">
        <v>46121</v>
      </c>
      <c r="D247" t="inlineStr">
        <is>
          <t>GOTLANDS LÄN</t>
        </is>
      </c>
      <c r="E247" t="inlineStr">
        <is>
          <t>GOTLAND</t>
        </is>
      </c>
      <c r="G247" t="n">
        <v>6.4</v>
      </c>
      <c r="H247" t="n">
        <v>0</v>
      </c>
      <c r="I247" t="n">
        <v>0</v>
      </c>
      <c r="J247" t="n">
        <v>0</v>
      </c>
      <c r="K247" t="n">
        <v>0</v>
      </c>
      <c r="L247" t="n">
        <v>0</v>
      </c>
      <c r="M247" t="n">
        <v>0</v>
      </c>
      <c r="N247" t="n">
        <v>0</v>
      </c>
      <c r="O247" t="n">
        <v>0</v>
      </c>
      <c r="P247" t="n">
        <v>0</v>
      </c>
      <c r="Q247" t="n">
        <v>0</v>
      </c>
      <c r="R247" s="2" t="inlineStr"/>
    </row>
    <row r="248" ht="15" customHeight="1">
      <c r="A248" t="inlineStr">
        <is>
          <t>A 28506-2023</t>
        </is>
      </c>
      <c r="B248" s="1" t="n">
        <v>45103</v>
      </c>
      <c r="C248" s="1" t="n">
        <v>46121</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35142-2025</t>
        </is>
      </c>
      <c r="B249" s="1" t="n">
        <v>45852.65532407408</v>
      </c>
      <c r="C249" s="1" t="n">
        <v>46121</v>
      </c>
      <c r="D249" t="inlineStr">
        <is>
          <t>GOTLANDS LÄN</t>
        </is>
      </c>
      <c r="E249" t="inlineStr">
        <is>
          <t>GOTLAND</t>
        </is>
      </c>
      <c r="G249" t="n">
        <v>2.4</v>
      </c>
      <c r="H249" t="n">
        <v>0</v>
      </c>
      <c r="I249" t="n">
        <v>0</v>
      </c>
      <c r="J249" t="n">
        <v>0</v>
      </c>
      <c r="K249" t="n">
        <v>0</v>
      </c>
      <c r="L249" t="n">
        <v>0</v>
      </c>
      <c r="M249" t="n">
        <v>0</v>
      </c>
      <c r="N249" t="n">
        <v>0</v>
      </c>
      <c r="O249" t="n">
        <v>0</v>
      </c>
      <c r="P249" t="n">
        <v>0</v>
      </c>
      <c r="Q249" t="n">
        <v>0</v>
      </c>
      <c r="R249" s="2" t="inlineStr"/>
    </row>
    <row r="250" ht="15" customHeight="1">
      <c r="A250" t="inlineStr">
        <is>
          <t>A 7026-2023</t>
        </is>
      </c>
      <c r="B250" s="1" t="n">
        <v>44968.30340277778</v>
      </c>
      <c r="C250" s="1" t="n">
        <v>46121</v>
      </c>
      <c r="D250" t="inlineStr">
        <is>
          <t>GOTLANDS LÄN</t>
        </is>
      </c>
      <c r="E250" t="inlineStr">
        <is>
          <t>GOTLAND</t>
        </is>
      </c>
      <c r="G250" t="n">
        <v>2.9</v>
      </c>
      <c r="H250" t="n">
        <v>0</v>
      </c>
      <c r="I250" t="n">
        <v>0</v>
      </c>
      <c r="J250" t="n">
        <v>0</v>
      </c>
      <c r="K250" t="n">
        <v>0</v>
      </c>
      <c r="L250" t="n">
        <v>0</v>
      </c>
      <c r="M250" t="n">
        <v>0</v>
      </c>
      <c r="N250" t="n">
        <v>0</v>
      </c>
      <c r="O250" t="n">
        <v>0</v>
      </c>
      <c r="P250" t="n">
        <v>0</v>
      </c>
      <c r="Q250" t="n">
        <v>0</v>
      </c>
      <c r="R250" s="2" t="inlineStr"/>
    </row>
    <row r="251" ht="15" customHeight="1">
      <c r="A251" t="inlineStr">
        <is>
          <t>A 23188-2025</t>
        </is>
      </c>
      <c r="B251" s="1" t="n">
        <v>45791</v>
      </c>
      <c r="C251" s="1" t="n">
        <v>46121</v>
      </c>
      <c r="D251" t="inlineStr">
        <is>
          <t>GOTLANDS LÄN</t>
        </is>
      </c>
      <c r="E251" t="inlineStr">
        <is>
          <t>GOTLAND</t>
        </is>
      </c>
      <c r="G251" t="n">
        <v>6.2</v>
      </c>
      <c r="H251" t="n">
        <v>0</v>
      </c>
      <c r="I251" t="n">
        <v>0</v>
      </c>
      <c r="J251" t="n">
        <v>0</v>
      </c>
      <c r="K251" t="n">
        <v>0</v>
      </c>
      <c r="L251" t="n">
        <v>0</v>
      </c>
      <c r="M251" t="n">
        <v>0</v>
      </c>
      <c r="N251" t="n">
        <v>0</v>
      </c>
      <c r="O251" t="n">
        <v>0</v>
      </c>
      <c r="P251" t="n">
        <v>0</v>
      </c>
      <c r="Q251" t="n">
        <v>0</v>
      </c>
      <c r="R251" s="2" t="inlineStr"/>
    </row>
    <row r="252" ht="15" customHeight="1">
      <c r="A252" t="inlineStr">
        <is>
          <t>A 52892-2021</t>
        </is>
      </c>
      <c r="B252" s="1" t="n">
        <v>44467.49048611111</v>
      </c>
      <c r="C252" s="1" t="n">
        <v>46121</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1351-2025</t>
        </is>
      </c>
      <c r="B253" s="1" t="n">
        <v>45667.62246527777</v>
      </c>
      <c r="C253" s="1" t="n">
        <v>46121</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35141-2025</t>
        </is>
      </c>
      <c r="B254" s="1" t="n">
        <v>45852.65206018519</v>
      </c>
      <c r="C254" s="1" t="n">
        <v>46121</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49874-2024</t>
        </is>
      </c>
      <c r="B255" s="1" t="n">
        <v>45597.49274305555</v>
      </c>
      <c r="C255" s="1" t="n">
        <v>46121</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23856-2025</t>
        </is>
      </c>
      <c r="B256" s="1" t="n">
        <v>45793</v>
      </c>
      <c r="C256" s="1" t="n">
        <v>46121</v>
      </c>
      <c r="D256" t="inlineStr">
        <is>
          <t>GOTLANDS LÄN</t>
        </is>
      </c>
      <c r="E256" t="inlineStr">
        <is>
          <t>GOTLAND</t>
        </is>
      </c>
      <c r="G256" t="n">
        <v>4.4</v>
      </c>
      <c r="H256" t="n">
        <v>0</v>
      </c>
      <c r="I256" t="n">
        <v>0</v>
      </c>
      <c r="J256" t="n">
        <v>0</v>
      </c>
      <c r="K256" t="n">
        <v>0</v>
      </c>
      <c r="L256" t="n">
        <v>0</v>
      </c>
      <c r="M256" t="n">
        <v>0</v>
      </c>
      <c r="N256" t="n">
        <v>0</v>
      </c>
      <c r="O256" t="n">
        <v>0</v>
      </c>
      <c r="P256" t="n">
        <v>0</v>
      </c>
      <c r="Q256" t="n">
        <v>0</v>
      </c>
      <c r="R256" s="2" t="inlineStr"/>
    </row>
    <row r="257" ht="15" customHeight="1">
      <c r="A257" t="inlineStr">
        <is>
          <t>A 23473-2025</t>
        </is>
      </c>
      <c r="B257" s="1" t="n">
        <v>45792</v>
      </c>
      <c r="C257" s="1" t="n">
        <v>46121</v>
      </c>
      <c r="D257" t="inlineStr">
        <is>
          <t>GOTLANDS LÄN</t>
        </is>
      </c>
      <c r="E257" t="inlineStr">
        <is>
          <t>GOTLAND</t>
        </is>
      </c>
      <c r="G257" t="n">
        <v>3.6</v>
      </c>
      <c r="H257" t="n">
        <v>0</v>
      </c>
      <c r="I257" t="n">
        <v>0</v>
      </c>
      <c r="J257" t="n">
        <v>0</v>
      </c>
      <c r="K257" t="n">
        <v>0</v>
      </c>
      <c r="L257" t="n">
        <v>0</v>
      </c>
      <c r="M257" t="n">
        <v>0</v>
      </c>
      <c r="N257" t="n">
        <v>0</v>
      </c>
      <c r="O257" t="n">
        <v>0</v>
      </c>
      <c r="P257" t="n">
        <v>0</v>
      </c>
      <c r="Q257" t="n">
        <v>0</v>
      </c>
      <c r="R257" s="2" t="inlineStr"/>
    </row>
    <row r="258" ht="15" customHeight="1">
      <c r="A258" t="inlineStr">
        <is>
          <t>A 56688-2025</t>
        </is>
      </c>
      <c r="B258" s="1" t="n">
        <v>45975.84331018518</v>
      </c>
      <c r="C258" s="1" t="n">
        <v>46121</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56799-2025</t>
        </is>
      </c>
      <c r="B259" s="1" t="n">
        <v>45978.43392361111</v>
      </c>
      <c r="C259" s="1" t="n">
        <v>46121</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23698-2025</t>
        </is>
      </c>
      <c r="B260" s="1" t="n">
        <v>45793</v>
      </c>
      <c r="C260" s="1" t="n">
        <v>46121</v>
      </c>
      <c r="D260" t="inlineStr">
        <is>
          <t>GOTLANDS LÄN</t>
        </is>
      </c>
      <c r="E260" t="inlineStr">
        <is>
          <t>GOTLAND</t>
        </is>
      </c>
      <c r="G260" t="n">
        <v>0.8</v>
      </c>
      <c r="H260" t="n">
        <v>0</v>
      </c>
      <c r="I260" t="n">
        <v>0</v>
      </c>
      <c r="J260" t="n">
        <v>0</v>
      </c>
      <c r="K260" t="n">
        <v>0</v>
      </c>
      <c r="L260" t="n">
        <v>0</v>
      </c>
      <c r="M260" t="n">
        <v>0</v>
      </c>
      <c r="N260" t="n">
        <v>0</v>
      </c>
      <c r="O260" t="n">
        <v>0</v>
      </c>
      <c r="P260" t="n">
        <v>0</v>
      </c>
      <c r="Q260" t="n">
        <v>0</v>
      </c>
      <c r="R260" s="2" t="inlineStr"/>
    </row>
    <row r="261" ht="15" customHeight="1">
      <c r="A261" t="inlineStr">
        <is>
          <t>A 15073-2025</t>
        </is>
      </c>
      <c r="B261" s="1" t="n">
        <v>45743</v>
      </c>
      <c r="C261" s="1" t="n">
        <v>46121</v>
      </c>
      <c r="D261" t="inlineStr">
        <is>
          <t>GOTLANDS LÄN</t>
        </is>
      </c>
      <c r="E261" t="inlineStr">
        <is>
          <t>GOTLAND</t>
        </is>
      </c>
      <c r="G261" t="n">
        <v>12.1</v>
      </c>
      <c r="H261" t="n">
        <v>0</v>
      </c>
      <c r="I261" t="n">
        <v>0</v>
      </c>
      <c r="J261" t="n">
        <v>0</v>
      </c>
      <c r="K261" t="n">
        <v>0</v>
      </c>
      <c r="L261" t="n">
        <v>0</v>
      </c>
      <c r="M261" t="n">
        <v>0</v>
      </c>
      <c r="N261" t="n">
        <v>0</v>
      </c>
      <c r="O261" t="n">
        <v>0</v>
      </c>
      <c r="P261" t="n">
        <v>0</v>
      </c>
      <c r="Q261" t="n">
        <v>0</v>
      </c>
      <c r="R261" s="2" t="inlineStr"/>
    </row>
    <row r="262" ht="15" customHeight="1">
      <c r="A262" t="inlineStr">
        <is>
          <t>A 39849-2025</t>
        </is>
      </c>
      <c r="B262" s="1" t="n">
        <v>45891.58502314815</v>
      </c>
      <c r="C262" s="1" t="n">
        <v>46121</v>
      </c>
      <c r="D262" t="inlineStr">
        <is>
          <t>GOTLANDS LÄN</t>
        </is>
      </c>
      <c r="E262" t="inlineStr">
        <is>
          <t>GOTLAND</t>
        </is>
      </c>
      <c r="G262" t="n">
        <v>6.1</v>
      </c>
      <c r="H262" t="n">
        <v>0</v>
      </c>
      <c r="I262" t="n">
        <v>0</v>
      </c>
      <c r="J262" t="n">
        <v>0</v>
      </c>
      <c r="K262" t="n">
        <v>0</v>
      </c>
      <c r="L262" t="n">
        <v>0</v>
      </c>
      <c r="M262" t="n">
        <v>0</v>
      </c>
      <c r="N262" t="n">
        <v>0</v>
      </c>
      <c r="O262" t="n">
        <v>0</v>
      </c>
      <c r="P262" t="n">
        <v>0</v>
      </c>
      <c r="Q262" t="n">
        <v>0</v>
      </c>
      <c r="R262" s="2" t="inlineStr"/>
    </row>
    <row r="263" ht="15" customHeight="1">
      <c r="A263" t="inlineStr">
        <is>
          <t>A 39814-2025</t>
        </is>
      </c>
      <c r="B263" s="1" t="n">
        <v>45891.52694444444</v>
      </c>
      <c r="C263" s="1" t="n">
        <v>46121</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39819-2025</t>
        </is>
      </c>
      <c r="B264" s="1" t="n">
        <v>45891.53418981482</v>
      </c>
      <c r="C264" s="1" t="n">
        <v>46121</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51782-2023</t>
        </is>
      </c>
      <c r="B265" s="1" t="n">
        <v>45222.80952546297</v>
      </c>
      <c r="C265" s="1" t="n">
        <v>46121</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39752-2025</t>
        </is>
      </c>
      <c r="B266" s="1" t="n">
        <v>45891</v>
      </c>
      <c r="C266" s="1" t="n">
        <v>46121</v>
      </c>
      <c r="D266" t="inlineStr">
        <is>
          <t>GOTLANDS LÄN</t>
        </is>
      </c>
      <c r="E266" t="inlineStr">
        <is>
          <t>GOTLAND</t>
        </is>
      </c>
      <c r="G266" t="n">
        <v>5.3</v>
      </c>
      <c r="H266" t="n">
        <v>0</v>
      </c>
      <c r="I266" t="n">
        <v>0</v>
      </c>
      <c r="J266" t="n">
        <v>0</v>
      </c>
      <c r="K266" t="n">
        <v>0</v>
      </c>
      <c r="L266" t="n">
        <v>0</v>
      </c>
      <c r="M266" t="n">
        <v>0</v>
      </c>
      <c r="N266" t="n">
        <v>0</v>
      </c>
      <c r="O266" t="n">
        <v>0</v>
      </c>
      <c r="P266" t="n">
        <v>0</v>
      </c>
      <c r="Q266" t="n">
        <v>0</v>
      </c>
      <c r="R266" s="2" t="inlineStr"/>
    </row>
    <row r="267" ht="15" customHeight="1">
      <c r="A267" t="inlineStr">
        <is>
          <t>A 39816-2025</t>
        </is>
      </c>
      <c r="B267" s="1" t="n">
        <v>45891</v>
      </c>
      <c r="C267" s="1" t="n">
        <v>46121</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40372-2025</t>
        </is>
      </c>
      <c r="B268" s="1" t="n">
        <v>45895.5162037037</v>
      </c>
      <c r="C268" s="1" t="n">
        <v>46121</v>
      </c>
      <c r="D268" t="inlineStr">
        <is>
          <t>GOTLANDS LÄN</t>
        </is>
      </c>
      <c r="E268" t="inlineStr">
        <is>
          <t>GOTLAND</t>
        </is>
      </c>
      <c r="G268" t="n">
        <v>3.3</v>
      </c>
      <c r="H268" t="n">
        <v>0</v>
      </c>
      <c r="I268" t="n">
        <v>0</v>
      </c>
      <c r="J268" t="n">
        <v>0</v>
      </c>
      <c r="K268" t="n">
        <v>0</v>
      </c>
      <c r="L268" t="n">
        <v>0</v>
      </c>
      <c r="M268" t="n">
        <v>0</v>
      </c>
      <c r="N268" t="n">
        <v>0</v>
      </c>
      <c r="O268" t="n">
        <v>0</v>
      </c>
      <c r="P268" t="n">
        <v>0</v>
      </c>
      <c r="Q268" t="n">
        <v>0</v>
      </c>
      <c r="R268" s="2" t="inlineStr"/>
    </row>
    <row r="269" ht="15" customHeight="1">
      <c r="A269" t="inlineStr">
        <is>
          <t>A 60675-2021</t>
        </is>
      </c>
      <c r="B269" s="1" t="n">
        <v>44496.64855324074</v>
      </c>
      <c r="C269" s="1" t="n">
        <v>46121</v>
      </c>
      <c r="D269" t="inlineStr">
        <is>
          <t>GOTLANDS LÄN</t>
        </is>
      </c>
      <c r="E269" t="inlineStr">
        <is>
          <t>GOTLAND</t>
        </is>
      </c>
      <c r="G269" t="n">
        <v>4.6</v>
      </c>
      <c r="H269" t="n">
        <v>0</v>
      </c>
      <c r="I269" t="n">
        <v>0</v>
      </c>
      <c r="J269" t="n">
        <v>0</v>
      </c>
      <c r="K269" t="n">
        <v>0</v>
      </c>
      <c r="L269" t="n">
        <v>0</v>
      </c>
      <c r="M269" t="n">
        <v>0</v>
      </c>
      <c r="N269" t="n">
        <v>0</v>
      </c>
      <c r="O269" t="n">
        <v>0</v>
      </c>
      <c r="P269" t="n">
        <v>0</v>
      </c>
      <c r="Q269" t="n">
        <v>0</v>
      </c>
      <c r="R269" s="2" t="inlineStr"/>
    </row>
    <row r="270" ht="15" customHeight="1">
      <c r="A270" t="inlineStr">
        <is>
          <t>A 6749-2025</t>
        </is>
      </c>
      <c r="B270" s="1" t="n">
        <v>45700</v>
      </c>
      <c r="C270" s="1" t="n">
        <v>46121</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40373-2025</t>
        </is>
      </c>
      <c r="B271" s="1" t="n">
        <v>45895.51821759259</v>
      </c>
      <c r="C271" s="1" t="n">
        <v>46121</v>
      </c>
      <c r="D271" t="inlineStr">
        <is>
          <t>GOTLANDS LÄN</t>
        </is>
      </c>
      <c r="E271" t="inlineStr">
        <is>
          <t>GOTLAND</t>
        </is>
      </c>
      <c r="G271" t="n">
        <v>0.6</v>
      </c>
      <c r="H271" t="n">
        <v>0</v>
      </c>
      <c r="I271" t="n">
        <v>0</v>
      </c>
      <c r="J271" t="n">
        <v>0</v>
      </c>
      <c r="K271" t="n">
        <v>0</v>
      </c>
      <c r="L271" t="n">
        <v>0</v>
      </c>
      <c r="M271" t="n">
        <v>0</v>
      </c>
      <c r="N271" t="n">
        <v>0</v>
      </c>
      <c r="O271" t="n">
        <v>0</v>
      </c>
      <c r="P271" t="n">
        <v>0</v>
      </c>
      <c r="Q271" t="n">
        <v>0</v>
      </c>
      <c r="R271" s="2" t="inlineStr"/>
    </row>
    <row r="272" ht="15" customHeight="1">
      <c r="A272" t="inlineStr">
        <is>
          <t>A 5217-2023</t>
        </is>
      </c>
      <c r="B272" s="1" t="n">
        <v>44959.39582175926</v>
      </c>
      <c r="C272" s="1" t="n">
        <v>46121</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14638-2025</t>
        </is>
      </c>
      <c r="B273" s="1" t="n">
        <v>45742</v>
      </c>
      <c r="C273" s="1" t="n">
        <v>46121</v>
      </c>
      <c r="D273" t="inlineStr">
        <is>
          <t>GOTLANDS LÄN</t>
        </is>
      </c>
      <c r="E273" t="inlineStr">
        <is>
          <t>GOTLAND</t>
        </is>
      </c>
      <c r="G273" t="n">
        <v>13.4</v>
      </c>
      <c r="H273" t="n">
        <v>0</v>
      </c>
      <c r="I273" t="n">
        <v>0</v>
      </c>
      <c r="J273" t="n">
        <v>0</v>
      </c>
      <c r="K273" t="n">
        <v>0</v>
      </c>
      <c r="L273" t="n">
        <v>0</v>
      </c>
      <c r="M273" t="n">
        <v>0</v>
      </c>
      <c r="N273" t="n">
        <v>0</v>
      </c>
      <c r="O273" t="n">
        <v>0</v>
      </c>
      <c r="P273" t="n">
        <v>0</v>
      </c>
      <c r="Q273" t="n">
        <v>0</v>
      </c>
      <c r="R273" s="2" t="inlineStr"/>
    </row>
    <row r="274" ht="15" customHeight="1">
      <c r="A274" t="inlineStr">
        <is>
          <t>A 4421-2024</t>
        </is>
      </c>
      <c r="B274" s="1" t="n">
        <v>45327.45173611111</v>
      </c>
      <c r="C274" s="1" t="n">
        <v>46121</v>
      </c>
      <c r="D274" t="inlineStr">
        <is>
          <t>GOTLANDS LÄN</t>
        </is>
      </c>
      <c r="E274" t="inlineStr">
        <is>
          <t>GOTLAND</t>
        </is>
      </c>
      <c r="G274" t="n">
        <v>5.1</v>
      </c>
      <c r="H274" t="n">
        <v>0</v>
      </c>
      <c r="I274" t="n">
        <v>0</v>
      </c>
      <c r="J274" t="n">
        <v>0</v>
      </c>
      <c r="K274" t="n">
        <v>0</v>
      </c>
      <c r="L274" t="n">
        <v>0</v>
      </c>
      <c r="M274" t="n">
        <v>0</v>
      </c>
      <c r="N274" t="n">
        <v>0</v>
      </c>
      <c r="O274" t="n">
        <v>0</v>
      </c>
      <c r="P274" t="n">
        <v>0</v>
      </c>
      <c r="Q274" t="n">
        <v>0</v>
      </c>
      <c r="R274" s="2" t="inlineStr"/>
    </row>
    <row r="275" ht="15" customHeight="1">
      <c r="A275" t="inlineStr">
        <is>
          <t>A 5462-2025</t>
        </is>
      </c>
      <c r="B275" s="1" t="n">
        <v>45693.29331018519</v>
      </c>
      <c r="C275" s="1" t="n">
        <v>46121</v>
      </c>
      <c r="D275" t="inlineStr">
        <is>
          <t>GOTLANDS LÄN</t>
        </is>
      </c>
      <c r="E275" t="inlineStr">
        <is>
          <t>GOTLAND</t>
        </is>
      </c>
      <c r="G275" t="n">
        <v>2.6</v>
      </c>
      <c r="H275" t="n">
        <v>0</v>
      </c>
      <c r="I275" t="n">
        <v>0</v>
      </c>
      <c r="J275" t="n">
        <v>0</v>
      </c>
      <c r="K275" t="n">
        <v>0</v>
      </c>
      <c r="L275" t="n">
        <v>0</v>
      </c>
      <c r="M275" t="n">
        <v>0</v>
      </c>
      <c r="N275" t="n">
        <v>0</v>
      </c>
      <c r="O275" t="n">
        <v>0</v>
      </c>
      <c r="P275" t="n">
        <v>0</v>
      </c>
      <c r="Q275" t="n">
        <v>0</v>
      </c>
      <c r="R275" s="2" t="inlineStr"/>
    </row>
    <row r="276" ht="15" customHeight="1">
      <c r="A276" t="inlineStr">
        <is>
          <t>A 40103-2025</t>
        </is>
      </c>
      <c r="B276" s="1" t="n">
        <v>45894.4880324074</v>
      </c>
      <c r="C276" s="1" t="n">
        <v>46121</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20165-2022</t>
        </is>
      </c>
      <c r="B277" s="1" t="n">
        <v>44698.49854166667</v>
      </c>
      <c r="C277" s="1" t="n">
        <v>46121</v>
      </c>
      <c r="D277" t="inlineStr">
        <is>
          <t>GOTLANDS LÄN</t>
        </is>
      </c>
      <c r="E277" t="inlineStr">
        <is>
          <t>GOTLAND</t>
        </is>
      </c>
      <c r="G277" t="n">
        <v>4.1</v>
      </c>
      <c r="H277" t="n">
        <v>0</v>
      </c>
      <c r="I277" t="n">
        <v>0</v>
      </c>
      <c r="J277" t="n">
        <v>0</v>
      </c>
      <c r="K277" t="n">
        <v>0</v>
      </c>
      <c r="L277" t="n">
        <v>0</v>
      </c>
      <c r="M277" t="n">
        <v>0</v>
      </c>
      <c r="N277" t="n">
        <v>0</v>
      </c>
      <c r="O277" t="n">
        <v>0</v>
      </c>
      <c r="P277" t="n">
        <v>0</v>
      </c>
      <c r="Q277" t="n">
        <v>0</v>
      </c>
      <c r="R277" s="2" t="inlineStr"/>
    </row>
    <row r="278" ht="15" customHeight="1">
      <c r="A278" t="inlineStr">
        <is>
          <t>A 40499-2025</t>
        </is>
      </c>
      <c r="B278" s="1" t="n">
        <v>45896.32517361111</v>
      </c>
      <c r="C278" s="1" t="n">
        <v>46121</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31264-2021</t>
        </is>
      </c>
      <c r="B279" s="1" t="n">
        <v>44368</v>
      </c>
      <c r="C279" s="1" t="n">
        <v>46121</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33876-2024</t>
        </is>
      </c>
      <c r="B280" s="1" t="n">
        <v>45521.87988425926</v>
      </c>
      <c r="C280" s="1" t="n">
        <v>46121</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41551-2025</t>
        </is>
      </c>
      <c r="B281" s="1" t="n">
        <v>45901.58854166666</v>
      </c>
      <c r="C281" s="1" t="n">
        <v>46121</v>
      </c>
      <c r="D281" t="inlineStr">
        <is>
          <t>GOTLANDS LÄN</t>
        </is>
      </c>
      <c r="E281" t="inlineStr">
        <is>
          <t>GOTLAND</t>
        </is>
      </c>
      <c r="G281" t="n">
        <v>5.6</v>
      </c>
      <c r="H281" t="n">
        <v>0</v>
      </c>
      <c r="I281" t="n">
        <v>0</v>
      </c>
      <c r="J281" t="n">
        <v>0</v>
      </c>
      <c r="K281" t="n">
        <v>0</v>
      </c>
      <c r="L281" t="n">
        <v>0</v>
      </c>
      <c r="M281" t="n">
        <v>0</v>
      </c>
      <c r="N281" t="n">
        <v>0</v>
      </c>
      <c r="O281" t="n">
        <v>0</v>
      </c>
      <c r="P281" t="n">
        <v>0</v>
      </c>
      <c r="Q281" t="n">
        <v>0</v>
      </c>
      <c r="R281" s="2" t="inlineStr"/>
    </row>
    <row r="282" ht="15" customHeight="1">
      <c r="A282" t="inlineStr">
        <is>
          <t>A 43223-2023</t>
        </is>
      </c>
      <c r="B282" s="1" t="n">
        <v>45183.45642361111</v>
      </c>
      <c r="C282" s="1" t="n">
        <v>46121</v>
      </c>
      <c r="D282" t="inlineStr">
        <is>
          <t>GOTLANDS LÄN</t>
        </is>
      </c>
      <c r="E282" t="inlineStr">
        <is>
          <t>GOTLAND</t>
        </is>
      </c>
      <c r="G282" t="n">
        <v>1.8</v>
      </c>
      <c r="H282" t="n">
        <v>0</v>
      </c>
      <c r="I282" t="n">
        <v>0</v>
      </c>
      <c r="J282" t="n">
        <v>0</v>
      </c>
      <c r="K282" t="n">
        <v>0</v>
      </c>
      <c r="L282" t="n">
        <v>0</v>
      </c>
      <c r="M282" t="n">
        <v>0</v>
      </c>
      <c r="N282" t="n">
        <v>0</v>
      </c>
      <c r="O282" t="n">
        <v>0</v>
      </c>
      <c r="P282" t="n">
        <v>0</v>
      </c>
      <c r="Q282" t="n">
        <v>0</v>
      </c>
      <c r="R282" s="2" t="inlineStr"/>
    </row>
    <row r="283" ht="15" customHeight="1">
      <c r="A283" t="inlineStr">
        <is>
          <t>A 39278-2025</t>
        </is>
      </c>
      <c r="B283" s="1" t="n">
        <v>45889</v>
      </c>
      <c r="C283" s="1" t="n">
        <v>46121</v>
      </c>
      <c r="D283" t="inlineStr">
        <is>
          <t>GOTLANDS LÄN</t>
        </is>
      </c>
      <c r="E283" t="inlineStr">
        <is>
          <t>GOTLAND</t>
        </is>
      </c>
      <c r="G283" t="n">
        <v>3.7</v>
      </c>
      <c r="H283" t="n">
        <v>0</v>
      </c>
      <c r="I283" t="n">
        <v>0</v>
      </c>
      <c r="J283" t="n">
        <v>0</v>
      </c>
      <c r="K283" t="n">
        <v>0</v>
      </c>
      <c r="L283" t="n">
        <v>0</v>
      </c>
      <c r="M283" t="n">
        <v>0</v>
      </c>
      <c r="N283" t="n">
        <v>0</v>
      </c>
      <c r="O283" t="n">
        <v>0</v>
      </c>
      <c r="P283" t="n">
        <v>0</v>
      </c>
      <c r="Q283" t="n">
        <v>0</v>
      </c>
      <c r="R283" s="2" t="inlineStr"/>
    </row>
    <row r="284" ht="15" customHeight="1">
      <c r="A284" t="inlineStr">
        <is>
          <t>A 61962-2024</t>
        </is>
      </c>
      <c r="B284" s="1" t="n">
        <v>45653.54340277778</v>
      </c>
      <c r="C284" s="1" t="n">
        <v>46121</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41435-2025</t>
        </is>
      </c>
      <c r="B285" s="1" t="n">
        <v>45901.39974537037</v>
      </c>
      <c r="C285" s="1" t="n">
        <v>46121</v>
      </c>
      <c r="D285" t="inlineStr">
        <is>
          <t>GOTLANDS LÄN</t>
        </is>
      </c>
      <c r="E285" t="inlineStr">
        <is>
          <t>GOTLAND</t>
        </is>
      </c>
      <c r="G285" t="n">
        <v>4.9</v>
      </c>
      <c r="H285" t="n">
        <v>0</v>
      </c>
      <c r="I285" t="n">
        <v>0</v>
      </c>
      <c r="J285" t="n">
        <v>0</v>
      </c>
      <c r="K285" t="n">
        <v>0</v>
      </c>
      <c r="L285" t="n">
        <v>0</v>
      </c>
      <c r="M285" t="n">
        <v>0</v>
      </c>
      <c r="N285" t="n">
        <v>0</v>
      </c>
      <c r="O285" t="n">
        <v>0</v>
      </c>
      <c r="P285" t="n">
        <v>0</v>
      </c>
      <c r="Q285" t="n">
        <v>0</v>
      </c>
      <c r="R285" s="2" t="inlineStr"/>
    </row>
    <row r="286" ht="15" customHeight="1">
      <c r="A286" t="inlineStr">
        <is>
          <t>A 27930-2021</t>
        </is>
      </c>
      <c r="B286" s="1" t="n">
        <v>44354</v>
      </c>
      <c r="C286" s="1" t="n">
        <v>46121</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59469-2024</t>
        </is>
      </c>
      <c r="B287" s="1" t="n">
        <v>45638</v>
      </c>
      <c r="C287" s="1" t="n">
        <v>46121</v>
      </c>
      <c r="D287" t="inlineStr">
        <is>
          <t>GOTLANDS LÄN</t>
        </is>
      </c>
      <c r="E287" t="inlineStr">
        <is>
          <t>GOTLAND</t>
        </is>
      </c>
      <c r="G287" t="n">
        <v>0.4</v>
      </c>
      <c r="H287" t="n">
        <v>0</v>
      </c>
      <c r="I287" t="n">
        <v>0</v>
      </c>
      <c r="J287" t="n">
        <v>0</v>
      </c>
      <c r="K287" t="n">
        <v>0</v>
      </c>
      <c r="L287" t="n">
        <v>0</v>
      </c>
      <c r="M287" t="n">
        <v>0</v>
      </c>
      <c r="N287" t="n">
        <v>0</v>
      </c>
      <c r="O287" t="n">
        <v>0</v>
      </c>
      <c r="P287" t="n">
        <v>0</v>
      </c>
      <c r="Q287" t="n">
        <v>0</v>
      </c>
      <c r="R287" s="2" t="inlineStr"/>
    </row>
    <row r="288" ht="15" customHeight="1">
      <c r="A288" t="inlineStr">
        <is>
          <t>A 25796-2025</t>
        </is>
      </c>
      <c r="B288" s="1" t="n">
        <v>45804.39543981481</v>
      </c>
      <c r="C288" s="1" t="n">
        <v>46121</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5751-2024</t>
        </is>
      </c>
      <c r="B289" s="1" t="n">
        <v>45335.32702546296</v>
      </c>
      <c r="C289" s="1" t="n">
        <v>46121</v>
      </c>
      <c r="D289" t="inlineStr">
        <is>
          <t>GOTLANDS LÄN</t>
        </is>
      </c>
      <c r="E289" t="inlineStr">
        <is>
          <t>GOTLAND</t>
        </is>
      </c>
      <c r="G289" t="n">
        <v>4.2</v>
      </c>
      <c r="H289" t="n">
        <v>0</v>
      </c>
      <c r="I289" t="n">
        <v>0</v>
      </c>
      <c r="J289" t="n">
        <v>0</v>
      </c>
      <c r="K289" t="n">
        <v>0</v>
      </c>
      <c r="L289" t="n">
        <v>0</v>
      </c>
      <c r="M289" t="n">
        <v>0</v>
      </c>
      <c r="N289" t="n">
        <v>0</v>
      </c>
      <c r="O289" t="n">
        <v>0</v>
      </c>
      <c r="P289" t="n">
        <v>0</v>
      </c>
      <c r="Q289" t="n">
        <v>0</v>
      </c>
      <c r="R289" s="2" t="inlineStr"/>
    </row>
    <row r="290" ht="15" customHeight="1">
      <c r="A290" t="inlineStr">
        <is>
          <t>A 6696-2023</t>
        </is>
      </c>
      <c r="B290" s="1" t="n">
        <v>44966.66425925926</v>
      </c>
      <c r="C290" s="1" t="n">
        <v>46121</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28480-2023</t>
        </is>
      </c>
      <c r="B291" s="1" t="n">
        <v>45103</v>
      </c>
      <c r="C291" s="1" t="n">
        <v>46121</v>
      </c>
      <c r="D291" t="inlineStr">
        <is>
          <t>GOTLANDS LÄN</t>
        </is>
      </c>
      <c r="E291" t="inlineStr">
        <is>
          <t>GOTLAND</t>
        </is>
      </c>
      <c r="G291" t="n">
        <v>5.7</v>
      </c>
      <c r="H291" t="n">
        <v>0</v>
      </c>
      <c r="I291" t="n">
        <v>0</v>
      </c>
      <c r="J291" t="n">
        <v>0</v>
      </c>
      <c r="K291" t="n">
        <v>0</v>
      </c>
      <c r="L291" t="n">
        <v>0</v>
      </c>
      <c r="M291" t="n">
        <v>0</v>
      </c>
      <c r="N291" t="n">
        <v>0</v>
      </c>
      <c r="O291" t="n">
        <v>0</v>
      </c>
      <c r="P291" t="n">
        <v>0</v>
      </c>
      <c r="Q291" t="n">
        <v>0</v>
      </c>
      <c r="R291" s="2" t="inlineStr"/>
    </row>
    <row r="292" ht="15" customHeight="1">
      <c r="A292" t="inlineStr">
        <is>
          <t>A 28485-2023</t>
        </is>
      </c>
      <c r="B292" s="1" t="n">
        <v>45103.43731481482</v>
      </c>
      <c r="C292" s="1" t="n">
        <v>46121</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4990-2025</t>
        </is>
      </c>
      <c r="B293" s="1" t="n">
        <v>45691</v>
      </c>
      <c r="C293" s="1" t="n">
        <v>46121</v>
      </c>
      <c r="D293" t="inlineStr">
        <is>
          <t>GOTLANDS LÄN</t>
        </is>
      </c>
      <c r="E293" t="inlineStr">
        <is>
          <t>GOTLAND</t>
        </is>
      </c>
      <c r="G293" t="n">
        <v>7.7</v>
      </c>
      <c r="H293" t="n">
        <v>0</v>
      </c>
      <c r="I293" t="n">
        <v>0</v>
      </c>
      <c r="J293" t="n">
        <v>0</v>
      </c>
      <c r="K293" t="n">
        <v>0</v>
      </c>
      <c r="L293" t="n">
        <v>0</v>
      </c>
      <c r="M293" t="n">
        <v>0</v>
      </c>
      <c r="N293" t="n">
        <v>0</v>
      </c>
      <c r="O293" t="n">
        <v>0</v>
      </c>
      <c r="P293" t="n">
        <v>0</v>
      </c>
      <c r="Q293" t="n">
        <v>0</v>
      </c>
      <c r="R293" s="2" t="inlineStr"/>
    </row>
    <row r="294" ht="15" customHeight="1">
      <c r="A294" t="inlineStr">
        <is>
          <t>A 26465-2025</t>
        </is>
      </c>
      <c r="B294" s="1" t="n">
        <v>45807.44377314814</v>
      </c>
      <c r="C294" s="1" t="n">
        <v>46121</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42608-2025</t>
        </is>
      </c>
      <c r="B295" s="1" t="n">
        <v>45905</v>
      </c>
      <c r="C295" s="1" t="n">
        <v>46121</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26457-2025</t>
        </is>
      </c>
      <c r="B296" s="1" t="n">
        <v>45807.42773148148</v>
      </c>
      <c r="C296" s="1" t="n">
        <v>46121</v>
      </c>
      <c r="D296" t="inlineStr">
        <is>
          <t>GOTLANDS LÄN</t>
        </is>
      </c>
      <c r="E296" t="inlineStr">
        <is>
          <t>GOTLAND</t>
        </is>
      </c>
      <c r="G296" t="n">
        <v>5.7</v>
      </c>
      <c r="H296" t="n">
        <v>0</v>
      </c>
      <c r="I296" t="n">
        <v>0</v>
      </c>
      <c r="J296" t="n">
        <v>0</v>
      </c>
      <c r="K296" t="n">
        <v>0</v>
      </c>
      <c r="L296" t="n">
        <v>0</v>
      </c>
      <c r="M296" t="n">
        <v>0</v>
      </c>
      <c r="N296" t="n">
        <v>0</v>
      </c>
      <c r="O296" t="n">
        <v>0</v>
      </c>
      <c r="P296" t="n">
        <v>0</v>
      </c>
      <c r="Q296" t="n">
        <v>0</v>
      </c>
      <c r="R296" s="2" t="inlineStr"/>
    </row>
    <row r="297" ht="15" customHeight="1">
      <c r="A297" t="inlineStr">
        <is>
          <t>A 26467-2025</t>
        </is>
      </c>
      <c r="B297" s="1" t="n">
        <v>45807.44640046296</v>
      </c>
      <c r="C297" s="1" t="n">
        <v>46121</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46121</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38165-2023</t>
        </is>
      </c>
      <c r="B299" s="1" t="n">
        <v>45161</v>
      </c>
      <c r="C299" s="1" t="n">
        <v>46121</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46121</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27355-2025</t>
        </is>
      </c>
      <c r="B301" s="1" t="n">
        <v>45812</v>
      </c>
      <c r="C301" s="1" t="n">
        <v>46121</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27371-2025</t>
        </is>
      </c>
      <c r="B302" s="1" t="n">
        <v>45812</v>
      </c>
      <c r="C302" s="1" t="n">
        <v>46121</v>
      </c>
      <c r="D302" t="inlineStr">
        <is>
          <t>GOTLANDS LÄN</t>
        </is>
      </c>
      <c r="E302" t="inlineStr">
        <is>
          <t>GOTLAND</t>
        </is>
      </c>
      <c r="G302" t="n">
        <v>8</v>
      </c>
      <c r="H302" t="n">
        <v>0</v>
      </c>
      <c r="I302" t="n">
        <v>0</v>
      </c>
      <c r="J302" t="n">
        <v>0</v>
      </c>
      <c r="K302" t="n">
        <v>0</v>
      </c>
      <c r="L302" t="n">
        <v>0</v>
      </c>
      <c r="M302" t="n">
        <v>0</v>
      </c>
      <c r="N302" t="n">
        <v>0</v>
      </c>
      <c r="O302" t="n">
        <v>0</v>
      </c>
      <c r="P302" t="n">
        <v>0</v>
      </c>
      <c r="Q302" t="n">
        <v>0</v>
      </c>
      <c r="R302" s="2" t="inlineStr"/>
    </row>
    <row r="303" ht="15" customHeight="1">
      <c r="A303" t="inlineStr">
        <is>
          <t>A 10158-2025</t>
        </is>
      </c>
      <c r="B303" s="1" t="n">
        <v>45719</v>
      </c>
      <c r="C303" s="1" t="n">
        <v>46121</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49693-2023</t>
        </is>
      </c>
      <c r="B304" s="1" t="n">
        <v>45212.38138888889</v>
      </c>
      <c r="C304" s="1" t="n">
        <v>46121</v>
      </c>
      <c r="D304" t="inlineStr">
        <is>
          <t>GOTLANDS LÄN</t>
        </is>
      </c>
      <c r="E304" t="inlineStr">
        <is>
          <t>GOTLAND</t>
        </is>
      </c>
      <c r="G304" t="n">
        <v>2.4</v>
      </c>
      <c r="H304" t="n">
        <v>0</v>
      </c>
      <c r="I304" t="n">
        <v>0</v>
      </c>
      <c r="J304" t="n">
        <v>0</v>
      </c>
      <c r="K304" t="n">
        <v>0</v>
      </c>
      <c r="L304" t="n">
        <v>0</v>
      </c>
      <c r="M304" t="n">
        <v>0</v>
      </c>
      <c r="N304" t="n">
        <v>0</v>
      </c>
      <c r="O304" t="n">
        <v>0</v>
      </c>
      <c r="P304" t="n">
        <v>0</v>
      </c>
      <c r="Q304" t="n">
        <v>0</v>
      </c>
      <c r="R304" s="2" t="inlineStr"/>
    </row>
    <row r="305" ht="15" customHeight="1">
      <c r="A305" t="inlineStr">
        <is>
          <t>A 49697-2023</t>
        </is>
      </c>
      <c r="B305" s="1" t="n">
        <v>45212.38909722222</v>
      </c>
      <c r="C305" s="1" t="n">
        <v>46121</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34312-2024</t>
        </is>
      </c>
      <c r="B306" s="1" t="n">
        <v>45524.69703703704</v>
      </c>
      <c r="C306" s="1" t="n">
        <v>46121</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43911-2025</t>
        </is>
      </c>
      <c r="B307" s="1" t="n">
        <v>45914.3881712963</v>
      </c>
      <c r="C307" s="1" t="n">
        <v>46121</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7850-2025</t>
        </is>
      </c>
      <c r="B308" s="1" t="n">
        <v>45706</v>
      </c>
      <c r="C308" s="1" t="n">
        <v>46121</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6739-2025</t>
        </is>
      </c>
      <c r="B309" s="1" t="n">
        <v>45700</v>
      </c>
      <c r="C309" s="1" t="n">
        <v>46121</v>
      </c>
      <c r="D309" t="inlineStr">
        <is>
          <t>GOTLANDS LÄN</t>
        </is>
      </c>
      <c r="E309" t="inlineStr">
        <is>
          <t>GOTLAND</t>
        </is>
      </c>
      <c r="G309" t="n">
        <v>4.5</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46121</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48503-2023</t>
        </is>
      </c>
      <c r="B311" s="1" t="n">
        <v>45207</v>
      </c>
      <c r="C311" s="1" t="n">
        <v>46121</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44410-2025</t>
        </is>
      </c>
      <c r="B312" s="1" t="n">
        <v>45916.53699074074</v>
      </c>
      <c r="C312" s="1" t="n">
        <v>46121</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8444-2025</t>
        </is>
      </c>
      <c r="B313" s="1" t="n">
        <v>45709</v>
      </c>
      <c r="C313" s="1" t="n">
        <v>46121</v>
      </c>
      <c r="D313" t="inlineStr">
        <is>
          <t>GOTLANDS LÄN</t>
        </is>
      </c>
      <c r="E313" t="inlineStr">
        <is>
          <t>GOTLAND</t>
        </is>
      </c>
      <c r="G313" t="n">
        <v>5.2</v>
      </c>
      <c r="H313" t="n">
        <v>0</v>
      </c>
      <c r="I313" t="n">
        <v>0</v>
      </c>
      <c r="J313" t="n">
        <v>0</v>
      </c>
      <c r="K313" t="n">
        <v>0</v>
      </c>
      <c r="L313" t="n">
        <v>0</v>
      </c>
      <c r="M313" t="n">
        <v>0</v>
      </c>
      <c r="N313" t="n">
        <v>0</v>
      </c>
      <c r="O313" t="n">
        <v>0</v>
      </c>
      <c r="P313" t="n">
        <v>0</v>
      </c>
      <c r="Q313" t="n">
        <v>0</v>
      </c>
      <c r="R313" s="2" t="inlineStr"/>
    </row>
    <row r="314" ht="15" customHeight="1">
      <c r="A314" t="inlineStr">
        <is>
          <t>A 19905-2025</t>
        </is>
      </c>
      <c r="B314" s="1" t="n">
        <v>45771</v>
      </c>
      <c r="C314" s="1" t="n">
        <v>46121</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44405-2025</t>
        </is>
      </c>
      <c r="B315" s="1" t="n">
        <v>45916.52405092592</v>
      </c>
      <c r="C315" s="1" t="n">
        <v>46121</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24825-2024</t>
        </is>
      </c>
      <c r="B316" s="1" t="n">
        <v>45461</v>
      </c>
      <c r="C316" s="1" t="n">
        <v>46121</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22031-2024</t>
        </is>
      </c>
      <c r="B317" s="1" t="n">
        <v>45443.60075231481</v>
      </c>
      <c r="C317" s="1" t="n">
        <v>46121</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17688-2024</t>
        </is>
      </c>
      <c r="B318" s="1" t="n">
        <v>45418.43575231481</v>
      </c>
      <c r="C318" s="1" t="n">
        <v>46121</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29207-2025</t>
        </is>
      </c>
      <c r="B319" s="1" t="n">
        <v>45823</v>
      </c>
      <c r="C319" s="1" t="n">
        <v>46121</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29196-2025</t>
        </is>
      </c>
      <c r="B320" s="1" t="n">
        <v>45822</v>
      </c>
      <c r="C320" s="1" t="n">
        <v>46121</v>
      </c>
      <c r="D320" t="inlineStr">
        <is>
          <t>GOTLANDS LÄN</t>
        </is>
      </c>
      <c r="E320" t="inlineStr">
        <is>
          <t>GOTLAND</t>
        </is>
      </c>
      <c r="G320" t="n">
        <v>0.5</v>
      </c>
      <c r="H320" t="n">
        <v>0</v>
      </c>
      <c r="I320" t="n">
        <v>0</v>
      </c>
      <c r="J320" t="n">
        <v>0</v>
      </c>
      <c r="K320" t="n">
        <v>0</v>
      </c>
      <c r="L320" t="n">
        <v>0</v>
      </c>
      <c r="M320" t="n">
        <v>0</v>
      </c>
      <c r="N320" t="n">
        <v>0</v>
      </c>
      <c r="O320" t="n">
        <v>0</v>
      </c>
      <c r="P320" t="n">
        <v>0</v>
      </c>
      <c r="Q320" t="n">
        <v>0</v>
      </c>
      <c r="R320" s="2" t="inlineStr"/>
    </row>
    <row r="321" ht="15" customHeight="1">
      <c r="A321" t="inlineStr">
        <is>
          <t>A 27694-2024</t>
        </is>
      </c>
      <c r="B321" s="1" t="n">
        <v>45475</v>
      </c>
      <c r="C321" s="1" t="n">
        <v>46121</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39764-2022</t>
        </is>
      </c>
      <c r="B322" s="1" t="n">
        <v>44819</v>
      </c>
      <c r="C322" s="1" t="n">
        <v>46121</v>
      </c>
      <c r="D322" t="inlineStr">
        <is>
          <t>GOTLANDS LÄN</t>
        </is>
      </c>
      <c r="E322" t="inlineStr">
        <is>
          <t>GOTLAND</t>
        </is>
      </c>
      <c r="F322" t="inlineStr">
        <is>
          <t>Kyrkan</t>
        </is>
      </c>
      <c r="G322" t="n">
        <v>3.7</v>
      </c>
      <c r="H322" t="n">
        <v>0</v>
      </c>
      <c r="I322" t="n">
        <v>0</v>
      </c>
      <c r="J322" t="n">
        <v>0</v>
      </c>
      <c r="K322" t="n">
        <v>0</v>
      </c>
      <c r="L322" t="n">
        <v>0</v>
      </c>
      <c r="M322" t="n">
        <v>0</v>
      </c>
      <c r="N322" t="n">
        <v>0</v>
      </c>
      <c r="O322" t="n">
        <v>0</v>
      </c>
      <c r="P322" t="n">
        <v>0</v>
      </c>
      <c r="Q322" t="n">
        <v>0</v>
      </c>
      <c r="R322" s="2" t="inlineStr"/>
    </row>
    <row r="323" ht="15" customHeight="1">
      <c r="A323" t="inlineStr">
        <is>
          <t>A 6099-2024</t>
        </is>
      </c>
      <c r="B323" s="1" t="n">
        <v>45337</v>
      </c>
      <c r="C323" s="1" t="n">
        <v>46121</v>
      </c>
      <c r="D323" t="inlineStr">
        <is>
          <t>GOTLANDS LÄN</t>
        </is>
      </c>
      <c r="E323" t="inlineStr">
        <is>
          <t>GOTLAND</t>
        </is>
      </c>
      <c r="G323" t="n">
        <v>12.6</v>
      </c>
      <c r="H323" t="n">
        <v>0</v>
      </c>
      <c r="I323" t="n">
        <v>0</v>
      </c>
      <c r="J323" t="n">
        <v>0</v>
      </c>
      <c r="K323" t="n">
        <v>0</v>
      </c>
      <c r="L323" t="n">
        <v>0</v>
      </c>
      <c r="M323" t="n">
        <v>0</v>
      </c>
      <c r="N323" t="n">
        <v>0</v>
      </c>
      <c r="O323" t="n">
        <v>0</v>
      </c>
      <c r="P323" t="n">
        <v>0</v>
      </c>
      <c r="Q323" t="n">
        <v>0</v>
      </c>
      <c r="R323" s="2" t="inlineStr"/>
    </row>
    <row r="324" ht="15" customHeight="1">
      <c r="A324" t="inlineStr">
        <is>
          <t>A 8260-2023</t>
        </is>
      </c>
      <c r="B324" s="1" t="n">
        <v>44974.61608796296</v>
      </c>
      <c r="C324" s="1" t="n">
        <v>46121</v>
      </c>
      <c r="D324" t="inlineStr">
        <is>
          <t>GOTLANDS LÄN</t>
        </is>
      </c>
      <c r="E324" t="inlineStr">
        <is>
          <t>GOTLAND</t>
        </is>
      </c>
      <c r="G324" t="n">
        <v>2.9</v>
      </c>
      <c r="H324" t="n">
        <v>0</v>
      </c>
      <c r="I324" t="n">
        <v>0</v>
      </c>
      <c r="J324" t="n">
        <v>0</v>
      </c>
      <c r="K324" t="n">
        <v>0</v>
      </c>
      <c r="L324" t="n">
        <v>0</v>
      </c>
      <c r="M324" t="n">
        <v>0</v>
      </c>
      <c r="N324" t="n">
        <v>0</v>
      </c>
      <c r="O324" t="n">
        <v>0</v>
      </c>
      <c r="P324" t="n">
        <v>0</v>
      </c>
      <c r="Q324" t="n">
        <v>0</v>
      </c>
      <c r="R324" s="2" t="inlineStr"/>
    </row>
    <row r="325" ht="15" customHeight="1">
      <c r="A325" t="inlineStr">
        <is>
          <t>A 30061-2025</t>
        </is>
      </c>
      <c r="B325" s="1" t="n">
        <v>45826.61488425926</v>
      </c>
      <c r="C325" s="1" t="n">
        <v>46121</v>
      </c>
      <c r="D325" t="inlineStr">
        <is>
          <t>GOTLANDS LÄN</t>
        </is>
      </c>
      <c r="E325" t="inlineStr">
        <is>
          <t>GOTLAND</t>
        </is>
      </c>
      <c r="G325" t="n">
        <v>4.1</v>
      </c>
      <c r="H325" t="n">
        <v>0</v>
      </c>
      <c r="I325" t="n">
        <v>0</v>
      </c>
      <c r="J325" t="n">
        <v>0</v>
      </c>
      <c r="K325" t="n">
        <v>0</v>
      </c>
      <c r="L325" t="n">
        <v>0</v>
      </c>
      <c r="M325" t="n">
        <v>0</v>
      </c>
      <c r="N325" t="n">
        <v>0</v>
      </c>
      <c r="O325" t="n">
        <v>0</v>
      </c>
      <c r="P325" t="n">
        <v>0</v>
      </c>
      <c r="Q325" t="n">
        <v>0</v>
      </c>
      <c r="R325" s="2" t="inlineStr"/>
    </row>
    <row r="326" ht="15" customHeight="1">
      <c r="A326" t="inlineStr">
        <is>
          <t>A 22287-2022</t>
        </is>
      </c>
      <c r="B326" s="1" t="n">
        <v>44712</v>
      </c>
      <c r="C326" s="1" t="n">
        <v>46121</v>
      </c>
      <c r="D326" t="inlineStr">
        <is>
          <t>GOTLANDS LÄN</t>
        </is>
      </c>
      <c r="E326" t="inlineStr">
        <is>
          <t>GOTLAND</t>
        </is>
      </c>
      <c r="G326" t="n">
        <v>6.1</v>
      </c>
      <c r="H326" t="n">
        <v>0</v>
      </c>
      <c r="I326" t="n">
        <v>0</v>
      </c>
      <c r="J326" t="n">
        <v>0</v>
      </c>
      <c r="K326" t="n">
        <v>0</v>
      </c>
      <c r="L326" t="n">
        <v>0</v>
      </c>
      <c r="M326" t="n">
        <v>0</v>
      </c>
      <c r="N326" t="n">
        <v>0</v>
      </c>
      <c r="O326" t="n">
        <v>0</v>
      </c>
      <c r="P326" t="n">
        <v>0</v>
      </c>
      <c r="Q326" t="n">
        <v>0</v>
      </c>
      <c r="R326" s="2" t="inlineStr"/>
    </row>
    <row r="327" ht="15" customHeight="1">
      <c r="A327" t="inlineStr">
        <is>
          <t>A 57534-2022</t>
        </is>
      </c>
      <c r="B327" s="1" t="n">
        <v>44896</v>
      </c>
      <c r="C327" s="1" t="n">
        <v>46121</v>
      </c>
      <c r="D327" t="inlineStr">
        <is>
          <t>GOTLANDS LÄN</t>
        </is>
      </c>
      <c r="E327" t="inlineStr">
        <is>
          <t>GOTLAND</t>
        </is>
      </c>
      <c r="G327" t="n">
        <v>0.6</v>
      </c>
      <c r="H327" t="n">
        <v>0</v>
      </c>
      <c r="I327" t="n">
        <v>0</v>
      </c>
      <c r="J327" t="n">
        <v>0</v>
      </c>
      <c r="K327" t="n">
        <v>0</v>
      </c>
      <c r="L327" t="n">
        <v>0</v>
      </c>
      <c r="M327" t="n">
        <v>0</v>
      </c>
      <c r="N327" t="n">
        <v>0</v>
      </c>
      <c r="O327" t="n">
        <v>0</v>
      </c>
      <c r="P327" t="n">
        <v>0</v>
      </c>
      <c r="Q327" t="n">
        <v>0</v>
      </c>
      <c r="R327" s="2" t="inlineStr"/>
    </row>
    <row r="328" ht="15" customHeight="1">
      <c r="A328" t="inlineStr">
        <is>
          <t>A 26391-2025</t>
        </is>
      </c>
      <c r="B328" s="1" t="n">
        <v>45806</v>
      </c>
      <c r="C328" s="1" t="n">
        <v>46121</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58160-2024</t>
        </is>
      </c>
      <c r="B329" s="1" t="n">
        <v>45632.44927083333</v>
      </c>
      <c r="C329" s="1" t="n">
        <v>46121</v>
      </c>
      <c r="D329" t="inlineStr">
        <is>
          <t>GOTLANDS LÄN</t>
        </is>
      </c>
      <c r="E329" t="inlineStr">
        <is>
          <t>GOTLAND</t>
        </is>
      </c>
      <c r="G329" t="n">
        <v>5.6</v>
      </c>
      <c r="H329" t="n">
        <v>0</v>
      </c>
      <c r="I329" t="n">
        <v>0</v>
      </c>
      <c r="J329" t="n">
        <v>0</v>
      </c>
      <c r="K329" t="n">
        <v>0</v>
      </c>
      <c r="L329" t="n">
        <v>0</v>
      </c>
      <c r="M329" t="n">
        <v>0</v>
      </c>
      <c r="N329" t="n">
        <v>0</v>
      </c>
      <c r="O329" t="n">
        <v>0</v>
      </c>
      <c r="P329" t="n">
        <v>0</v>
      </c>
      <c r="Q329" t="n">
        <v>0</v>
      </c>
      <c r="R329" s="2" t="inlineStr"/>
    </row>
    <row r="330" ht="15" customHeight="1">
      <c r="A330" t="inlineStr">
        <is>
          <t>A 46836-2025</t>
        </is>
      </c>
      <c r="B330" s="1" t="n">
        <v>45928.31511574074</v>
      </c>
      <c r="C330" s="1" t="n">
        <v>46121</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47637-2025</t>
        </is>
      </c>
      <c r="B331" s="1" t="n">
        <v>45931.49753472222</v>
      </c>
      <c r="C331" s="1" t="n">
        <v>46121</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59197-2025</t>
        </is>
      </c>
      <c r="B332" s="1" t="n">
        <v>45988.59846064815</v>
      </c>
      <c r="C332" s="1" t="n">
        <v>46121</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64660-2023</t>
        </is>
      </c>
      <c r="B333" s="1" t="n">
        <v>45281.60122685185</v>
      </c>
      <c r="C333" s="1" t="n">
        <v>46121</v>
      </c>
      <c r="D333" t="inlineStr">
        <is>
          <t>GOTLANDS LÄN</t>
        </is>
      </c>
      <c r="E333" t="inlineStr">
        <is>
          <t>GOTLAND</t>
        </is>
      </c>
      <c r="G333" t="n">
        <v>6.3</v>
      </c>
      <c r="H333" t="n">
        <v>0</v>
      </c>
      <c r="I333" t="n">
        <v>0</v>
      </c>
      <c r="J333" t="n">
        <v>0</v>
      </c>
      <c r="K333" t="n">
        <v>0</v>
      </c>
      <c r="L333" t="n">
        <v>0</v>
      </c>
      <c r="M333" t="n">
        <v>0</v>
      </c>
      <c r="N333" t="n">
        <v>0</v>
      </c>
      <c r="O333" t="n">
        <v>0</v>
      </c>
      <c r="P333" t="n">
        <v>0</v>
      </c>
      <c r="Q333" t="n">
        <v>0</v>
      </c>
      <c r="R333" s="2" t="inlineStr"/>
    </row>
    <row r="334" ht="15" customHeight="1">
      <c r="A334" t="inlineStr">
        <is>
          <t>A 32378-2025</t>
        </is>
      </c>
      <c r="B334" s="1" t="n">
        <v>45837</v>
      </c>
      <c r="C334" s="1" t="n">
        <v>46121</v>
      </c>
      <c r="D334" t="inlineStr">
        <is>
          <t>GOTLANDS LÄN</t>
        </is>
      </c>
      <c r="E334" t="inlineStr">
        <is>
          <t>GOTLAND</t>
        </is>
      </c>
      <c r="G334" t="n">
        <v>4.1</v>
      </c>
      <c r="H334" t="n">
        <v>0</v>
      </c>
      <c r="I334" t="n">
        <v>0</v>
      </c>
      <c r="J334" t="n">
        <v>0</v>
      </c>
      <c r="K334" t="n">
        <v>0</v>
      </c>
      <c r="L334" t="n">
        <v>0</v>
      </c>
      <c r="M334" t="n">
        <v>0</v>
      </c>
      <c r="N334" t="n">
        <v>0</v>
      </c>
      <c r="O334" t="n">
        <v>0</v>
      </c>
      <c r="P334" t="n">
        <v>0</v>
      </c>
      <c r="Q334" t="n">
        <v>0</v>
      </c>
      <c r="R334" s="2" t="inlineStr"/>
    </row>
    <row r="335" ht="15" customHeight="1">
      <c r="A335" t="inlineStr">
        <is>
          <t>A 16109-2025</t>
        </is>
      </c>
      <c r="B335" s="1" t="n">
        <v>45750</v>
      </c>
      <c r="C335" s="1" t="n">
        <v>46121</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32467-2025</t>
        </is>
      </c>
      <c r="B336" s="1" t="n">
        <v>45838.42111111111</v>
      </c>
      <c r="C336" s="1" t="n">
        <v>46121</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32379-2025</t>
        </is>
      </c>
      <c r="B337" s="1" t="n">
        <v>45837</v>
      </c>
      <c r="C337" s="1" t="n">
        <v>46121</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36319-2025</t>
        </is>
      </c>
      <c r="B338" s="1" t="n">
        <v>45868</v>
      </c>
      <c r="C338" s="1" t="n">
        <v>46121</v>
      </c>
      <c r="D338" t="inlineStr">
        <is>
          <t>GOTLANDS LÄN</t>
        </is>
      </c>
      <c r="E338" t="inlineStr">
        <is>
          <t>GOTLAND</t>
        </is>
      </c>
      <c r="G338" t="n">
        <v>2.9</v>
      </c>
      <c r="H338" t="n">
        <v>0</v>
      </c>
      <c r="I338" t="n">
        <v>0</v>
      </c>
      <c r="J338" t="n">
        <v>0</v>
      </c>
      <c r="K338" t="n">
        <v>0</v>
      </c>
      <c r="L338" t="n">
        <v>0</v>
      </c>
      <c r="M338" t="n">
        <v>0</v>
      </c>
      <c r="N338" t="n">
        <v>0</v>
      </c>
      <c r="O338" t="n">
        <v>0</v>
      </c>
      <c r="P338" t="n">
        <v>0</v>
      </c>
      <c r="Q338" t="n">
        <v>0</v>
      </c>
      <c r="R338" s="2" t="inlineStr"/>
    </row>
    <row r="339" ht="15" customHeight="1">
      <c r="A339" t="inlineStr">
        <is>
          <t>A 35550-2025</t>
        </is>
      </c>
      <c r="B339" s="1" t="n">
        <v>45856.49324074074</v>
      </c>
      <c r="C339" s="1" t="n">
        <v>46121</v>
      </c>
      <c r="D339" t="inlineStr">
        <is>
          <t>GOTLANDS LÄN</t>
        </is>
      </c>
      <c r="E339" t="inlineStr">
        <is>
          <t>GOTLAND</t>
        </is>
      </c>
      <c r="G339" t="n">
        <v>3.2</v>
      </c>
      <c r="H339" t="n">
        <v>0</v>
      </c>
      <c r="I339" t="n">
        <v>0</v>
      </c>
      <c r="J339" t="n">
        <v>0</v>
      </c>
      <c r="K339" t="n">
        <v>0</v>
      </c>
      <c r="L339" t="n">
        <v>0</v>
      </c>
      <c r="M339" t="n">
        <v>0</v>
      </c>
      <c r="N339" t="n">
        <v>0</v>
      </c>
      <c r="O339" t="n">
        <v>0</v>
      </c>
      <c r="P339" t="n">
        <v>0</v>
      </c>
      <c r="Q339" t="n">
        <v>0</v>
      </c>
      <c r="R339" s="2" t="inlineStr"/>
    </row>
    <row r="340" ht="15" customHeight="1">
      <c r="A340" t="inlineStr">
        <is>
          <t>A 20855-2023</t>
        </is>
      </c>
      <c r="B340" s="1" t="n">
        <v>45058.82172453704</v>
      </c>
      <c r="C340" s="1" t="n">
        <v>46121</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33007-2025</t>
        </is>
      </c>
      <c r="B341" s="1" t="n">
        <v>45840</v>
      </c>
      <c r="C341" s="1" t="n">
        <v>46121</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47578-2025</t>
        </is>
      </c>
      <c r="B342" s="1" t="n">
        <v>45931</v>
      </c>
      <c r="C342" s="1" t="n">
        <v>46121</v>
      </c>
      <c r="D342" t="inlineStr">
        <is>
          <t>GOTLANDS LÄN</t>
        </is>
      </c>
      <c r="E342" t="inlineStr">
        <is>
          <t>GOTLAND</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33011-2025</t>
        </is>
      </c>
      <c r="B343" s="1" t="n">
        <v>45840</v>
      </c>
      <c r="C343" s="1" t="n">
        <v>46121</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60709-2023</t>
        </is>
      </c>
      <c r="B344" s="1" t="n">
        <v>45260</v>
      </c>
      <c r="C344" s="1" t="n">
        <v>46121</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49690-2025</t>
        </is>
      </c>
      <c r="B345" s="1" t="n">
        <v>45939.66730324074</v>
      </c>
      <c r="C345" s="1" t="n">
        <v>46121</v>
      </c>
      <c r="D345" t="inlineStr">
        <is>
          <t>GOTLANDS LÄN</t>
        </is>
      </c>
      <c r="E345" t="inlineStr">
        <is>
          <t>GOTLAND</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1000-2024</t>
        </is>
      </c>
      <c r="B346" s="1" t="n">
        <v>45301.63371527778</v>
      </c>
      <c r="C346" s="1" t="n">
        <v>46121</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1010-2024</t>
        </is>
      </c>
      <c r="B347" s="1" t="n">
        <v>45301</v>
      </c>
      <c r="C347" s="1" t="n">
        <v>46121</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65249-2023</t>
        </is>
      </c>
      <c r="B348" s="1" t="n">
        <v>45290</v>
      </c>
      <c r="C348" s="1" t="n">
        <v>46121</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30956-2024</t>
        </is>
      </c>
      <c r="B349" s="1" t="n">
        <v>45499.42527777778</v>
      </c>
      <c r="C349" s="1" t="n">
        <v>46121</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12596-2023</t>
        </is>
      </c>
      <c r="B350" s="1" t="n">
        <v>45000.43310185185</v>
      </c>
      <c r="C350" s="1" t="n">
        <v>46121</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8045-2022</t>
        </is>
      </c>
      <c r="B351" s="1" t="n">
        <v>44609</v>
      </c>
      <c r="C351" s="1" t="n">
        <v>46121</v>
      </c>
      <c r="D351" t="inlineStr">
        <is>
          <t>GOTLANDS LÄN</t>
        </is>
      </c>
      <c r="E351" t="inlineStr">
        <is>
          <t>GOTLAND</t>
        </is>
      </c>
      <c r="G351" t="n">
        <v>7</v>
      </c>
      <c r="H351" t="n">
        <v>0</v>
      </c>
      <c r="I351" t="n">
        <v>0</v>
      </c>
      <c r="J351" t="n">
        <v>0</v>
      </c>
      <c r="K351" t="n">
        <v>0</v>
      </c>
      <c r="L351" t="n">
        <v>0</v>
      </c>
      <c r="M351" t="n">
        <v>0</v>
      </c>
      <c r="N351" t="n">
        <v>0</v>
      </c>
      <c r="O351" t="n">
        <v>0</v>
      </c>
      <c r="P351" t="n">
        <v>0</v>
      </c>
      <c r="Q351" t="n">
        <v>0</v>
      </c>
      <c r="R351" s="2" t="inlineStr"/>
    </row>
    <row r="352" ht="15" customHeight="1">
      <c r="A352" t="inlineStr">
        <is>
          <t>A 49724-2025</t>
        </is>
      </c>
      <c r="B352" s="1" t="n">
        <v>45939.83730324074</v>
      </c>
      <c r="C352" s="1" t="n">
        <v>46121</v>
      </c>
      <c r="D352" t="inlineStr">
        <is>
          <t>GOTLANDS LÄN</t>
        </is>
      </c>
      <c r="E352" t="inlineStr">
        <is>
          <t>GOTLAND</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49730-2025</t>
        </is>
      </c>
      <c r="B353" s="1" t="n">
        <v>45939.87613425926</v>
      </c>
      <c r="C353" s="1" t="n">
        <v>46121</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15413-2025</t>
        </is>
      </c>
      <c r="B354" s="1" t="n">
        <v>45747.451875</v>
      </c>
      <c r="C354" s="1" t="n">
        <v>46121</v>
      </c>
      <c r="D354" t="inlineStr">
        <is>
          <t>GOTLANDS LÄN</t>
        </is>
      </c>
      <c r="E354" t="inlineStr">
        <is>
          <t>GOTLAND</t>
        </is>
      </c>
      <c r="G354" t="n">
        <v>0.6</v>
      </c>
      <c r="H354" t="n">
        <v>0</v>
      </c>
      <c r="I354" t="n">
        <v>0</v>
      </c>
      <c r="J354" t="n">
        <v>0</v>
      </c>
      <c r="K354" t="n">
        <v>0</v>
      </c>
      <c r="L354" t="n">
        <v>0</v>
      </c>
      <c r="M354" t="n">
        <v>0</v>
      </c>
      <c r="N354" t="n">
        <v>0</v>
      </c>
      <c r="O354" t="n">
        <v>0</v>
      </c>
      <c r="P354" t="n">
        <v>0</v>
      </c>
      <c r="Q354" t="n">
        <v>0</v>
      </c>
      <c r="R354" s="2" t="inlineStr"/>
    </row>
    <row r="355" ht="15" customHeight="1">
      <c r="A355" t="inlineStr">
        <is>
          <t>A 50421-2025</t>
        </is>
      </c>
      <c r="B355" s="1" t="n">
        <v>45944.66049768519</v>
      </c>
      <c r="C355" s="1" t="n">
        <v>46121</v>
      </c>
      <c r="D355" t="inlineStr">
        <is>
          <t>GOTLANDS LÄN</t>
        </is>
      </c>
      <c r="E355" t="inlineStr">
        <is>
          <t>GOTLAND</t>
        </is>
      </c>
      <c r="G355" t="n">
        <v>3.9</v>
      </c>
      <c r="H355" t="n">
        <v>0</v>
      </c>
      <c r="I355" t="n">
        <v>0</v>
      </c>
      <c r="J355" t="n">
        <v>0</v>
      </c>
      <c r="K355" t="n">
        <v>0</v>
      </c>
      <c r="L355" t="n">
        <v>0</v>
      </c>
      <c r="M355" t="n">
        <v>0</v>
      </c>
      <c r="N355" t="n">
        <v>0</v>
      </c>
      <c r="O355" t="n">
        <v>0</v>
      </c>
      <c r="P355" t="n">
        <v>0</v>
      </c>
      <c r="Q355" t="n">
        <v>0</v>
      </c>
      <c r="R355" s="2" t="inlineStr"/>
    </row>
    <row r="356" ht="15" customHeight="1">
      <c r="A356" t="inlineStr">
        <is>
          <t>A 35096-2025</t>
        </is>
      </c>
      <c r="B356" s="1" t="n">
        <v>45852.54356481481</v>
      </c>
      <c r="C356" s="1" t="n">
        <v>46121</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35123-2025</t>
        </is>
      </c>
      <c r="B357" s="1" t="n">
        <v>45852.614375</v>
      </c>
      <c r="C357" s="1" t="n">
        <v>46121</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999-2024</t>
        </is>
      </c>
      <c r="B358" s="1" t="n">
        <v>45301</v>
      </c>
      <c r="C358" s="1" t="n">
        <v>46121</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65901-2021</t>
        </is>
      </c>
      <c r="B359" s="1" t="n">
        <v>44516</v>
      </c>
      <c r="C359" s="1" t="n">
        <v>46121</v>
      </c>
      <c r="D359" t="inlineStr">
        <is>
          <t>GOTLANDS LÄN</t>
        </is>
      </c>
      <c r="E359" t="inlineStr">
        <is>
          <t>GOTLAND</t>
        </is>
      </c>
      <c r="G359" t="n">
        <v>4.9</v>
      </c>
      <c r="H359" t="n">
        <v>0</v>
      </c>
      <c r="I359" t="n">
        <v>0</v>
      </c>
      <c r="J359" t="n">
        <v>0</v>
      </c>
      <c r="K359" t="n">
        <v>0</v>
      </c>
      <c r="L359" t="n">
        <v>0</v>
      </c>
      <c r="M359" t="n">
        <v>0</v>
      </c>
      <c r="N359" t="n">
        <v>0</v>
      </c>
      <c r="O359" t="n">
        <v>0</v>
      </c>
      <c r="P359" t="n">
        <v>0</v>
      </c>
      <c r="Q359" t="n">
        <v>0</v>
      </c>
      <c r="R359" s="2" t="inlineStr"/>
    </row>
    <row r="360" ht="15" customHeight="1">
      <c r="A360" t="inlineStr">
        <is>
          <t>A 47762-2023</t>
        </is>
      </c>
      <c r="B360" s="1" t="n">
        <v>45203.86256944444</v>
      </c>
      <c r="C360" s="1" t="n">
        <v>46121</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50431-2025</t>
        </is>
      </c>
      <c r="B361" s="1" t="n">
        <v>45944.68453703704</v>
      </c>
      <c r="C361" s="1" t="n">
        <v>46121</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35290-2025</t>
        </is>
      </c>
      <c r="B362" s="1" t="n">
        <v>45854.38502314815</v>
      </c>
      <c r="C362" s="1" t="n">
        <v>46121</v>
      </c>
      <c r="D362" t="inlineStr">
        <is>
          <t>GOTLANDS LÄN</t>
        </is>
      </c>
      <c r="E362" t="inlineStr">
        <is>
          <t>GOTLAND</t>
        </is>
      </c>
      <c r="G362" t="n">
        <v>5.4</v>
      </c>
      <c r="H362" t="n">
        <v>0</v>
      </c>
      <c r="I362" t="n">
        <v>0</v>
      </c>
      <c r="J362" t="n">
        <v>0</v>
      </c>
      <c r="K362" t="n">
        <v>0</v>
      </c>
      <c r="L362" t="n">
        <v>0</v>
      </c>
      <c r="M362" t="n">
        <v>0</v>
      </c>
      <c r="N362" t="n">
        <v>0</v>
      </c>
      <c r="O362" t="n">
        <v>0</v>
      </c>
      <c r="P362" t="n">
        <v>0</v>
      </c>
      <c r="Q362" t="n">
        <v>0</v>
      </c>
      <c r="R362" s="2" t="inlineStr"/>
    </row>
    <row r="363" ht="15" customHeight="1">
      <c r="A363" t="inlineStr">
        <is>
          <t>A 40294-2022</t>
        </is>
      </c>
      <c r="B363" s="1" t="n">
        <v>44821</v>
      </c>
      <c r="C363" s="1" t="n">
        <v>46121</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30104-2025</t>
        </is>
      </c>
      <c r="B364" s="1" t="n">
        <v>45826.68806712963</v>
      </c>
      <c r="C364" s="1" t="n">
        <v>46121</v>
      </c>
      <c r="D364" t="inlineStr">
        <is>
          <t>GOTLANDS LÄN</t>
        </is>
      </c>
      <c r="E364" t="inlineStr">
        <is>
          <t>GOTLAND</t>
        </is>
      </c>
      <c r="G364" t="n">
        <v>15.4</v>
      </c>
      <c r="H364" t="n">
        <v>0</v>
      </c>
      <c r="I364" t="n">
        <v>0</v>
      </c>
      <c r="J364" t="n">
        <v>0</v>
      </c>
      <c r="K364" t="n">
        <v>0</v>
      </c>
      <c r="L364" t="n">
        <v>0</v>
      </c>
      <c r="M364" t="n">
        <v>0</v>
      </c>
      <c r="N364" t="n">
        <v>0</v>
      </c>
      <c r="O364" t="n">
        <v>0</v>
      </c>
      <c r="P364" t="n">
        <v>0</v>
      </c>
      <c r="Q364" t="n">
        <v>0</v>
      </c>
      <c r="R364" s="2" t="inlineStr"/>
    </row>
    <row r="365" ht="15" customHeight="1">
      <c r="A365" t="inlineStr">
        <is>
          <t>A 27602-2023</t>
        </is>
      </c>
      <c r="B365" s="1" t="n">
        <v>45097</v>
      </c>
      <c r="C365" s="1" t="n">
        <v>46121</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32669-2024</t>
        </is>
      </c>
      <c r="B366" s="1" t="n">
        <v>45514</v>
      </c>
      <c r="C366" s="1" t="n">
        <v>46121</v>
      </c>
      <c r="D366" t="inlineStr">
        <is>
          <t>GOTLANDS LÄN</t>
        </is>
      </c>
      <c r="E366" t="inlineStr">
        <is>
          <t>GOTLAND</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58780-2024</t>
        </is>
      </c>
      <c r="B367" s="1" t="n">
        <v>45635.84113425926</v>
      </c>
      <c r="C367" s="1" t="n">
        <v>46121</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12322-2025</t>
        </is>
      </c>
      <c r="B368" s="1" t="n">
        <v>45730</v>
      </c>
      <c r="C368" s="1" t="n">
        <v>46121</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35537-2025</t>
        </is>
      </c>
      <c r="B369" s="1" t="n">
        <v>45856</v>
      </c>
      <c r="C369" s="1" t="n">
        <v>46121</v>
      </c>
      <c r="D369" t="inlineStr">
        <is>
          <t>GOTLANDS LÄN</t>
        </is>
      </c>
      <c r="E369" t="inlineStr">
        <is>
          <t>GOTLAND</t>
        </is>
      </c>
      <c r="G369" t="n">
        <v>16.8</v>
      </c>
      <c r="H369" t="n">
        <v>0</v>
      </c>
      <c r="I369" t="n">
        <v>0</v>
      </c>
      <c r="J369" t="n">
        <v>0</v>
      </c>
      <c r="K369" t="n">
        <v>0</v>
      </c>
      <c r="L369" t="n">
        <v>0</v>
      </c>
      <c r="M369" t="n">
        <v>0</v>
      </c>
      <c r="N369" t="n">
        <v>0</v>
      </c>
      <c r="O369" t="n">
        <v>0</v>
      </c>
      <c r="P369" t="n">
        <v>0</v>
      </c>
      <c r="Q369" t="n">
        <v>0</v>
      </c>
      <c r="R369" s="2" t="inlineStr"/>
    </row>
    <row r="370" ht="15" customHeight="1">
      <c r="A370" t="inlineStr">
        <is>
          <t>A 24192-2023</t>
        </is>
      </c>
      <c r="B370" s="1" t="n">
        <v>45079</v>
      </c>
      <c r="C370" s="1" t="n">
        <v>46121</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30282-2022</t>
        </is>
      </c>
      <c r="B371" s="1" t="n">
        <v>44760</v>
      </c>
      <c r="C371" s="1" t="n">
        <v>46121</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50928-2025</t>
        </is>
      </c>
      <c r="B372" s="1" t="n">
        <v>45946.67896990741</v>
      </c>
      <c r="C372" s="1" t="n">
        <v>46121</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51262-2025</t>
        </is>
      </c>
      <c r="B373" s="1" t="n">
        <v>45949.49872685185</v>
      </c>
      <c r="C373" s="1" t="n">
        <v>46121</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7835-2024</t>
        </is>
      </c>
      <c r="B374" s="1" t="n">
        <v>45349.83138888889</v>
      </c>
      <c r="C374" s="1" t="n">
        <v>46121</v>
      </c>
      <c r="D374" t="inlineStr">
        <is>
          <t>GOTLANDS LÄN</t>
        </is>
      </c>
      <c r="E374" t="inlineStr">
        <is>
          <t>GOTLAND</t>
        </is>
      </c>
      <c r="G374" t="n">
        <v>3.8</v>
      </c>
      <c r="H374" t="n">
        <v>0</v>
      </c>
      <c r="I374" t="n">
        <v>0</v>
      </c>
      <c r="J374" t="n">
        <v>0</v>
      </c>
      <c r="K374" t="n">
        <v>0</v>
      </c>
      <c r="L374" t="n">
        <v>0</v>
      </c>
      <c r="M374" t="n">
        <v>0</v>
      </c>
      <c r="N374" t="n">
        <v>0</v>
      </c>
      <c r="O374" t="n">
        <v>0</v>
      </c>
      <c r="P374" t="n">
        <v>0</v>
      </c>
      <c r="Q374" t="n">
        <v>0</v>
      </c>
      <c r="R374" s="2" t="inlineStr"/>
    </row>
    <row r="375" ht="15" customHeight="1">
      <c r="A375" t="inlineStr">
        <is>
          <t>A 10650-2022</t>
        </is>
      </c>
      <c r="B375" s="1" t="n">
        <v>44624.57945601852</v>
      </c>
      <c r="C375" s="1" t="n">
        <v>46121</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26810-2021</t>
        </is>
      </c>
      <c r="B376" s="1" t="n">
        <v>44349.55087962963</v>
      </c>
      <c r="C376" s="1" t="n">
        <v>46121</v>
      </c>
      <c r="D376" t="inlineStr">
        <is>
          <t>GOTLANDS LÄN</t>
        </is>
      </c>
      <c r="E376" t="inlineStr">
        <is>
          <t>GOTLAND</t>
        </is>
      </c>
      <c r="G376" t="n">
        <v>3.5</v>
      </c>
      <c r="H376" t="n">
        <v>0</v>
      </c>
      <c r="I376" t="n">
        <v>0</v>
      </c>
      <c r="J376" t="n">
        <v>0</v>
      </c>
      <c r="K376" t="n">
        <v>0</v>
      </c>
      <c r="L376" t="n">
        <v>0</v>
      </c>
      <c r="M376" t="n">
        <v>0</v>
      </c>
      <c r="N376" t="n">
        <v>0</v>
      </c>
      <c r="O376" t="n">
        <v>0</v>
      </c>
      <c r="P376" t="n">
        <v>0</v>
      </c>
      <c r="Q376" t="n">
        <v>0</v>
      </c>
      <c r="R376" s="2" t="inlineStr"/>
    </row>
    <row r="377" ht="15" customHeight="1">
      <c r="A377" t="inlineStr">
        <is>
          <t>A 30488-2025</t>
        </is>
      </c>
      <c r="B377" s="1" t="n">
        <v>45830</v>
      </c>
      <c r="C377" s="1" t="n">
        <v>46121</v>
      </c>
      <c r="D377" t="inlineStr">
        <is>
          <t>GOTLANDS LÄN</t>
        </is>
      </c>
      <c r="E377" t="inlineStr">
        <is>
          <t>GOTLAND</t>
        </is>
      </c>
      <c r="F377" t="inlineStr">
        <is>
          <t>Kyrkan</t>
        </is>
      </c>
      <c r="G377" t="n">
        <v>3.9</v>
      </c>
      <c r="H377" t="n">
        <v>0</v>
      </c>
      <c r="I377" t="n">
        <v>0</v>
      </c>
      <c r="J377" t="n">
        <v>0</v>
      </c>
      <c r="K377" t="n">
        <v>0</v>
      </c>
      <c r="L377" t="n">
        <v>0</v>
      </c>
      <c r="M377" t="n">
        <v>0</v>
      </c>
      <c r="N377" t="n">
        <v>0</v>
      </c>
      <c r="O377" t="n">
        <v>0</v>
      </c>
      <c r="P377" t="n">
        <v>0</v>
      </c>
      <c r="Q377" t="n">
        <v>0</v>
      </c>
      <c r="R377" s="2" t="inlineStr"/>
    </row>
    <row r="378" ht="15" customHeight="1">
      <c r="A378" t="inlineStr">
        <is>
          <t>A 15216-2025</t>
        </is>
      </c>
      <c r="B378" s="1" t="n">
        <v>45744</v>
      </c>
      <c r="C378" s="1" t="n">
        <v>46121</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15001-2025</t>
        </is>
      </c>
      <c r="B379" s="1" t="n">
        <v>45743</v>
      </c>
      <c r="C379" s="1" t="n">
        <v>46121</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43790-2024</t>
        </is>
      </c>
      <c r="B380" s="1" t="n">
        <v>45571</v>
      </c>
      <c r="C380" s="1" t="n">
        <v>46121</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17847-2025</t>
        </is>
      </c>
      <c r="B381" s="1" t="n">
        <v>45758</v>
      </c>
      <c r="C381" s="1" t="n">
        <v>46121</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46121</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28425-2023</t>
        </is>
      </c>
      <c r="B383" s="1" t="n">
        <v>45102</v>
      </c>
      <c r="C383" s="1" t="n">
        <v>46121</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35129-2025</t>
        </is>
      </c>
      <c r="B384" s="1" t="n">
        <v>45852.63224537037</v>
      </c>
      <c r="C384" s="1" t="n">
        <v>46121</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52249-2025</t>
        </is>
      </c>
      <c r="B385" s="1" t="n">
        <v>45953.48637731482</v>
      </c>
      <c r="C385" s="1" t="n">
        <v>46121</v>
      </c>
      <c r="D385" t="inlineStr">
        <is>
          <t>GOTLANDS LÄN</t>
        </is>
      </c>
      <c r="E385" t="inlineStr">
        <is>
          <t>GOTLAND</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13037-2025</t>
        </is>
      </c>
      <c r="B386" s="1" t="n">
        <v>45734</v>
      </c>
      <c r="C386" s="1" t="n">
        <v>46121</v>
      </c>
      <c r="D386" t="inlineStr">
        <is>
          <t>GOTLANDS LÄN</t>
        </is>
      </c>
      <c r="E386" t="inlineStr">
        <is>
          <t>GOTLAND</t>
        </is>
      </c>
      <c r="G386" t="n">
        <v>9.5</v>
      </c>
      <c r="H386" t="n">
        <v>0</v>
      </c>
      <c r="I386" t="n">
        <v>0</v>
      </c>
      <c r="J386" t="n">
        <v>0</v>
      </c>
      <c r="K386" t="n">
        <v>0</v>
      </c>
      <c r="L386" t="n">
        <v>0</v>
      </c>
      <c r="M386" t="n">
        <v>0</v>
      </c>
      <c r="N386" t="n">
        <v>0</v>
      </c>
      <c r="O386" t="n">
        <v>0</v>
      </c>
      <c r="P386" t="n">
        <v>0</v>
      </c>
      <c r="Q386" t="n">
        <v>0</v>
      </c>
      <c r="R386" s="2" t="inlineStr"/>
    </row>
    <row r="387" ht="15" customHeight="1">
      <c r="A387" t="inlineStr">
        <is>
          <t>A 52637-2025</t>
        </is>
      </c>
      <c r="B387" s="1" t="n">
        <v>45954.75099537037</v>
      </c>
      <c r="C387" s="1" t="n">
        <v>46121</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53577-2025</t>
        </is>
      </c>
      <c r="B388" s="1" t="n">
        <v>45960.42224537037</v>
      </c>
      <c r="C388" s="1" t="n">
        <v>46121</v>
      </c>
      <c r="D388" t="inlineStr">
        <is>
          <t>GOTLANDS LÄN</t>
        </is>
      </c>
      <c r="E388" t="inlineStr">
        <is>
          <t>GOTLAND</t>
        </is>
      </c>
      <c r="F388" t="inlineStr">
        <is>
          <t>Övriga Aktiebolag</t>
        </is>
      </c>
      <c r="G388" t="n">
        <v>3.3</v>
      </c>
      <c r="H388" t="n">
        <v>0</v>
      </c>
      <c r="I388" t="n">
        <v>0</v>
      </c>
      <c r="J388" t="n">
        <v>0</v>
      </c>
      <c r="K388" t="n">
        <v>0</v>
      </c>
      <c r="L388" t="n">
        <v>0</v>
      </c>
      <c r="M388" t="n">
        <v>0</v>
      </c>
      <c r="N388" t="n">
        <v>0</v>
      </c>
      <c r="O388" t="n">
        <v>0</v>
      </c>
      <c r="P388" t="n">
        <v>0</v>
      </c>
      <c r="Q388" t="n">
        <v>0</v>
      </c>
      <c r="R388" s="2" t="inlineStr"/>
    </row>
    <row r="389" ht="15" customHeight="1">
      <c r="A389" t="inlineStr">
        <is>
          <t>A 53569-2025</t>
        </is>
      </c>
      <c r="B389" s="1" t="n">
        <v>45960.41155092593</v>
      </c>
      <c r="C389" s="1" t="n">
        <v>46121</v>
      </c>
      <c r="D389" t="inlineStr">
        <is>
          <t>GOTLANDS LÄN</t>
        </is>
      </c>
      <c r="E389" t="inlineStr">
        <is>
          <t>GOTLAND</t>
        </is>
      </c>
      <c r="F389" t="inlineStr">
        <is>
          <t>Övriga Aktiebolag</t>
        </is>
      </c>
      <c r="G389" t="n">
        <v>11.3</v>
      </c>
      <c r="H389" t="n">
        <v>0</v>
      </c>
      <c r="I389" t="n">
        <v>0</v>
      </c>
      <c r="J389" t="n">
        <v>0</v>
      </c>
      <c r="K389" t="n">
        <v>0</v>
      </c>
      <c r="L389" t="n">
        <v>0</v>
      </c>
      <c r="M389" t="n">
        <v>0</v>
      </c>
      <c r="N389" t="n">
        <v>0</v>
      </c>
      <c r="O389" t="n">
        <v>0</v>
      </c>
      <c r="P389" t="n">
        <v>0</v>
      </c>
      <c r="Q389" t="n">
        <v>0</v>
      </c>
      <c r="R389" s="2" t="inlineStr"/>
    </row>
    <row r="390" ht="15" customHeight="1">
      <c r="A390" t="inlineStr">
        <is>
          <t>A 10746-2025</t>
        </is>
      </c>
      <c r="B390" s="1" t="n">
        <v>45722.42766203704</v>
      </c>
      <c r="C390" s="1" t="n">
        <v>46121</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30489-2025</t>
        </is>
      </c>
      <c r="B391" s="1" t="n">
        <v>45830</v>
      </c>
      <c r="C391" s="1" t="n">
        <v>46121</v>
      </c>
      <c r="D391" t="inlineStr">
        <is>
          <t>GOTLANDS LÄN</t>
        </is>
      </c>
      <c r="E391" t="inlineStr">
        <is>
          <t>GOTLAND</t>
        </is>
      </c>
      <c r="G391" t="n">
        <v>4.6</v>
      </c>
      <c r="H391" t="n">
        <v>0</v>
      </c>
      <c r="I391" t="n">
        <v>0</v>
      </c>
      <c r="J391" t="n">
        <v>0</v>
      </c>
      <c r="K391" t="n">
        <v>0</v>
      </c>
      <c r="L391" t="n">
        <v>0</v>
      </c>
      <c r="M391" t="n">
        <v>0</v>
      </c>
      <c r="N391" t="n">
        <v>0</v>
      </c>
      <c r="O391" t="n">
        <v>0</v>
      </c>
      <c r="P391" t="n">
        <v>0</v>
      </c>
      <c r="Q391" t="n">
        <v>0</v>
      </c>
      <c r="R391" s="2" t="inlineStr"/>
    </row>
    <row r="392" ht="15" customHeight="1">
      <c r="A392" t="inlineStr">
        <is>
          <t>A 21142-2025</t>
        </is>
      </c>
      <c r="B392" s="1" t="n">
        <v>45779</v>
      </c>
      <c r="C392" s="1" t="n">
        <v>46121</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6108-2025</t>
        </is>
      </c>
      <c r="B393" s="1" t="n">
        <v>45698.29880787037</v>
      </c>
      <c r="C393" s="1" t="n">
        <v>46121</v>
      </c>
      <c r="D393" t="inlineStr">
        <is>
          <t>GOTLANDS LÄN</t>
        </is>
      </c>
      <c r="E393" t="inlineStr">
        <is>
          <t>GOTLAND</t>
        </is>
      </c>
      <c r="G393" t="n">
        <v>2.8</v>
      </c>
      <c r="H393" t="n">
        <v>0</v>
      </c>
      <c r="I393" t="n">
        <v>0</v>
      </c>
      <c r="J393" t="n">
        <v>0</v>
      </c>
      <c r="K393" t="n">
        <v>0</v>
      </c>
      <c r="L393" t="n">
        <v>0</v>
      </c>
      <c r="M393" t="n">
        <v>0</v>
      </c>
      <c r="N393" t="n">
        <v>0</v>
      </c>
      <c r="O393" t="n">
        <v>0</v>
      </c>
      <c r="P393" t="n">
        <v>0</v>
      </c>
      <c r="Q393" t="n">
        <v>0</v>
      </c>
      <c r="R393" s="2" t="inlineStr"/>
    </row>
    <row r="394" ht="15" customHeight="1">
      <c r="A394" t="inlineStr">
        <is>
          <t>A 17343-2025</t>
        </is>
      </c>
      <c r="B394" s="1" t="n">
        <v>45756.6687037037</v>
      </c>
      <c r="C394" s="1" t="n">
        <v>46121</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18938-2025</t>
        </is>
      </c>
      <c r="B395" s="1" t="n">
        <v>45764.49172453704</v>
      </c>
      <c r="C395" s="1" t="n">
        <v>46121</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20307-2025</t>
        </is>
      </c>
      <c r="B396" s="1" t="n">
        <v>45774.95546296296</v>
      </c>
      <c r="C396" s="1" t="n">
        <v>46121</v>
      </c>
      <c r="D396" t="inlineStr">
        <is>
          <t>GOTLANDS LÄN</t>
        </is>
      </c>
      <c r="E396" t="inlineStr">
        <is>
          <t>GOTLAND</t>
        </is>
      </c>
      <c r="G396" t="n">
        <v>6.8</v>
      </c>
      <c r="H396" t="n">
        <v>0</v>
      </c>
      <c r="I396" t="n">
        <v>0</v>
      </c>
      <c r="J396" t="n">
        <v>0</v>
      </c>
      <c r="K396" t="n">
        <v>0</v>
      </c>
      <c r="L396" t="n">
        <v>0</v>
      </c>
      <c r="M396" t="n">
        <v>0</v>
      </c>
      <c r="N396" t="n">
        <v>0</v>
      </c>
      <c r="O396" t="n">
        <v>0</v>
      </c>
      <c r="P396" t="n">
        <v>0</v>
      </c>
      <c r="Q396" t="n">
        <v>0</v>
      </c>
      <c r="R396" s="2" t="inlineStr"/>
    </row>
    <row r="397" ht="15" customHeight="1">
      <c r="A397" t="inlineStr">
        <is>
          <t>A 43229-2023</t>
        </is>
      </c>
      <c r="B397" s="1" t="n">
        <v>45183.46704861111</v>
      </c>
      <c r="C397" s="1" t="n">
        <v>46121</v>
      </c>
      <c r="D397" t="inlineStr">
        <is>
          <t>GOTLANDS LÄN</t>
        </is>
      </c>
      <c r="E397" t="inlineStr">
        <is>
          <t>GOTLAND</t>
        </is>
      </c>
      <c r="G397" t="n">
        <v>7.1</v>
      </c>
      <c r="H397" t="n">
        <v>0</v>
      </c>
      <c r="I397" t="n">
        <v>0</v>
      </c>
      <c r="J397" t="n">
        <v>0</v>
      </c>
      <c r="K397" t="n">
        <v>0</v>
      </c>
      <c r="L397" t="n">
        <v>0</v>
      </c>
      <c r="M397" t="n">
        <v>0</v>
      </c>
      <c r="N397" t="n">
        <v>0</v>
      </c>
      <c r="O397" t="n">
        <v>0</v>
      </c>
      <c r="P397" t="n">
        <v>0</v>
      </c>
      <c r="Q397" t="n">
        <v>0</v>
      </c>
      <c r="R397" s="2" t="inlineStr"/>
    </row>
    <row r="398" ht="15" customHeight="1">
      <c r="A398" t="inlineStr">
        <is>
          <t>A 41038-2023</t>
        </is>
      </c>
      <c r="B398" s="1" t="n">
        <v>45173.60959490741</v>
      </c>
      <c r="C398" s="1" t="n">
        <v>46121</v>
      </c>
      <c r="D398" t="inlineStr">
        <is>
          <t>GOTLANDS LÄN</t>
        </is>
      </c>
      <c r="E398" t="inlineStr">
        <is>
          <t>GOTLAND</t>
        </is>
      </c>
      <c r="G398" t="n">
        <v>2.7</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46121</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30135-2025</t>
        </is>
      </c>
      <c r="B400" s="1" t="n">
        <v>45826</v>
      </c>
      <c r="C400" s="1" t="n">
        <v>46121</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24966-2023</t>
        </is>
      </c>
      <c r="B401" s="1" t="n">
        <v>45085</v>
      </c>
      <c r="C401" s="1" t="n">
        <v>46121</v>
      </c>
      <c r="D401" t="inlineStr">
        <is>
          <t>GOTLANDS LÄN</t>
        </is>
      </c>
      <c r="E401" t="inlineStr">
        <is>
          <t>GOTLAND</t>
        </is>
      </c>
      <c r="G401" t="n">
        <v>7</v>
      </c>
      <c r="H401" t="n">
        <v>0</v>
      </c>
      <c r="I401" t="n">
        <v>0</v>
      </c>
      <c r="J401" t="n">
        <v>0</v>
      </c>
      <c r="K401" t="n">
        <v>0</v>
      </c>
      <c r="L401" t="n">
        <v>0</v>
      </c>
      <c r="M401" t="n">
        <v>0</v>
      </c>
      <c r="N401" t="n">
        <v>0</v>
      </c>
      <c r="O401" t="n">
        <v>0</v>
      </c>
      <c r="P401" t="n">
        <v>0</v>
      </c>
      <c r="Q401" t="n">
        <v>0</v>
      </c>
      <c r="R401" s="2" t="inlineStr"/>
    </row>
    <row r="402" ht="15" customHeight="1">
      <c r="A402" t="inlineStr">
        <is>
          <t>A 57652-2023</t>
        </is>
      </c>
      <c r="B402" s="1" t="n">
        <v>45246</v>
      </c>
      <c r="C402" s="1" t="n">
        <v>46121</v>
      </c>
      <c r="D402" t="inlineStr">
        <is>
          <t>GOTLANDS LÄN</t>
        </is>
      </c>
      <c r="E402" t="inlineStr">
        <is>
          <t>GOTLAND</t>
        </is>
      </c>
      <c r="G402" t="n">
        <v>7.2</v>
      </c>
      <c r="H402" t="n">
        <v>0</v>
      </c>
      <c r="I402" t="n">
        <v>0</v>
      </c>
      <c r="J402" t="n">
        <v>0</v>
      </c>
      <c r="K402" t="n">
        <v>0</v>
      </c>
      <c r="L402" t="n">
        <v>0</v>
      </c>
      <c r="M402" t="n">
        <v>0</v>
      </c>
      <c r="N402" t="n">
        <v>0</v>
      </c>
      <c r="O402" t="n">
        <v>0</v>
      </c>
      <c r="P402" t="n">
        <v>0</v>
      </c>
      <c r="Q402" t="n">
        <v>0</v>
      </c>
      <c r="R402" s="2" t="inlineStr"/>
    </row>
    <row r="403" ht="15" customHeight="1">
      <c r="A403" t="inlineStr">
        <is>
          <t>A 46189-2022</t>
        </is>
      </c>
      <c r="B403" s="1" t="n">
        <v>44847</v>
      </c>
      <c r="C403" s="1" t="n">
        <v>46121</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12599-2025</t>
        </is>
      </c>
      <c r="B404" s="1" t="n">
        <v>45733.29546296296</v>
      </c>
      <c r="C404" s="1" t="n">
        <v>46121</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57522-2022</t>
        </is>
      </c>
      <c r="B405" s="1" t="n">
        <v>44896</v>
      </c>
      <c r="C405" s="1" t="n">
        <v>46121</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14797-2024</t>
        </is>
      </c>
      <c r="B406" s="1" t="n">
        <v>45397.87030092593</v>
      </c>
      <c r="C406" s="1" t="n">
        <v>46121</v>
      </c>
      <c r="D406" t="inlineStr">
        <is>
          <t>GOTLANDS LÄN</t>
        </is>
      </c>
      <c r="E406" t="inlineStr">
        <is>
          <t>GOTLAND</t>
        </is>
      </c>
      <c r="G406" t="n">
        <v>8.1</v>
      </c>
      <c r="H406" t="n">
        <v>0</v>
      </c>
      <c r="I406" t="n">
        <v>0</v>
      </c>
      <c r="J406" t="n">
        <v>0</v>
      </c>
      <c r="K406" t="n">
        <v>0</v>
      </c>
      <c r="L406" t="n">
        <v>0</v>
      </c>
      <c r="M406" t="n">
        <v>0</v>
      </c>
      <c r="N406" t="n">
        <v>0</v>
      </c>
      <c r="O406" t="n">
        <v>0</v>
      </c>
      <c r="P406" t="n">
        <v>0</v>
      </c>
      <c r="Q406" t="n">
        <v>0</v>
      </c>
      <c r="R406" s="2" t="inlineStr"/>
    </row>
    <row r="407" ht="15" customHeight="1">
      <c r="A407" t="inlineStr">
        <is>
          <t>A 7837-2024</t>
        </is>
      </c>
      <c r="B407" s="1" t="n">
        <v>45349.83787037037</v>
      </c>
      <c r="C407" s="1" t="n">
        <v>46121</v>
      </c>
      <c r="D407" t="inlineStr">
        <is>
          <t>GOTLANDS LÄN</t>
        </is>
      </c>
      <c r="E407" t="inlineStr">
        <is>
          <t>GOTLAND</t>
        </is>
      </c>
      <c r="G407" t="n">
        <v>5</v>
      </c>
      <c r="H407" t="n">
        <v>0</v>
      </c>
      <c r="I407" t="n">
        <v>0</v>
      </c>
      <c r="J407" t="n">
        <v>0</v>
      </c>
      <c r="K407" t="n">
        <v>0</v>
      </c>
      <c r="L407" t="n">
        <v>0</v>
      </c>
      <c r="M407" t="n">
        <v>0</v>
      </c>
      <c r="N407" t="n">
        <v>0</v>
      </c>
      <c r="O407" t="n">
        <v>0</v>
      </c>
      <c r="P407" t="n">
        <v>0</v>
      </c>
      <c r="Q407" t="n">
        <v>0</v>
      </c>
      <c r="R407" s="2" t="inlineStr"/>
    </row>
    <row r="408" ht="15" customHeight="1">
      <c r="A408" t="inlineStr">
        <is>
          <t>A 1394-2023</t>
        </is>
      </c>
      <c r="B408" s="1" t="n">
        <v>44936.72997685185</v>
      </c>
      <c r="C408" s="1" t="n">
        <v>46121</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2676-2023</t>
        </is>
      </c>
      <c r="B409" s="1" t="n">
        <v>44944</v>
      </c>
      <c r="C409" s="1" t="n">
        <v>46121</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4387-2023</t>
        </is>
      </c>
      <c r="B410" s="1" t="n">
        <v>44955.73359953704</v>
      </c>
      <c r="C410" s="1" t="n">
        <v>46121</v>
      </c>
      <c r="D410" t="inlineStr">
        <is>
          <t>GOTLANDS LÄN</t>
        </is>
      </c>
      <c r="E410" t="inlineStr">
        <is>
          <t>GOTLAND</t>
        </is>
      </c>
      <c r="G410" t="n">
        <v>1.9</v>
      </c>
      <c r="H410" t="n">
        <v>0</v>
      </c>
      <c r="I410" t="n">
        <v>0</v>
      </c>
      <c r="J410" t="n">
        <v>0</v>
      </c>
      <c r="K410" t="n">
        <v>0</v>
      </c>
      <c r="L410" t="n">
        <v>0</v>
      </c>
      <c r="M410" t="n">
        <v>0</v>
      </c>
      <c r="N410" t="n">
        <v>0</v>
      </c>
      <c r="O410" t="n">
        <v>0</v>
      </c>
      <c r="P410" t="n">
        <v>0</v>
      </c>
      <c r="Q410" t="n">
        <v>0</v>
      </c>
      <c r="R410" s="2" t="inlineStr"/>
    </row>
    <row r="411" ht="15" customHeight="1">
      <c r="A411" t="inlineStr">
        <is>
          <t>A 49411-2023</t>
        </is>
      </c>
      <c r="B411" s="1" t="n">
        <v>45205</v>
      </c>
      <c r="C411" s="1" t="n">
        <v>46121</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37728-2024</t>
        </is>
      </c>
      <c r="B412" s="1" t="n">
        <v>45541</v>
      </c>
      <c r="C412" s="1" t="n">
        <v>46121</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62066-2025</t>
        </is>
      </c>
      <c r="B413" s="1" t="n">
        <v>46006.34738425926</v>
      </c>
      <c r="C413" s="1" t="n">
        <v>46121</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62103-2025</t>
        </is>
      </c>
      <c r="B414" s="1" t="n">
        <v>46006</v>
      </c>
      <c r="C414" s="1" t="n">
        <v>46121</v>
      </c>
      <c r="D414" t="inlineStr">
        <is>
          <t>GOTLANDS LÄN</t>
        </is>
      </c>
      <c r="E414" t="inlineStr">
        <is>
          <t>GOTLAND</t>
        </is>
      </c>
      <c r="F414" t="inlineStr">
        <is>
          <t>Övriga Aktiebolag</t>
        </is>
      </c>
      <c r="G414" t="n">
        <v>1.7</v>
      </c>
      <c r="H414" t="n">
        <v>0</v>
      </c>
      <c r="I414" t="n">
        <v>0</v>
      </c>
      <c r="J414" t="n">
        <v>0</v>
      </c>
      <c r="K414" t="n">
        <v>0</v>
      </c>
      <c r="L414" t="n">
        <v>0</v>
      </c>
      <c r="M414" t="n">
        <v>0</v>
      </c>
      <c r="N414" t="n">
        <v>0</v>
      </c>
      <c r="O414" t="n">
        <v>0</v>
      </c>
      <c r="P414" t="n">
        <v>0</v>
      </c>
      <c r="Q414" t="n">
        <v>0</v>
      </c>
      <c r="R414" s="2" t="inlineStr"/>
    </row>
    <row r="415" ht="15" customHeight="1">
      <c r="A415" t="inlineStr">
        <is>
          <t>A 2241-2025</t>
        </is>
      </c>
      <c r="B415" s="1" t="n">
        <v>45673.48710648148</v>
      </c>
      <c r="C415" s="1" t="n">
        <v>46121</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63002-2025</t>
        </is>
      </c>
      <c r="B416" s="1" t="n">
        <v>46009.56564814815</v>
      </c>
      <c r="C416" s="1" t="n">
        <v>46121</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22275-2023</t>
        </is>
      </c>
      <c r="B417" s="1" t="n">
        <v>45070.39875</v>
      </c>
      <c r="C417" s="1" t="n">
        <v>46121</v>
      </c>
      <c r="D417" t="inlineStr">
        <is>
          <t>GOTLANDS LÄN</t>
        </is>
      </c>
      <c r="E417" t="inlineStr">
        <is>
          <t>GOTLAND</t>
        </is>
      </c>
      <c r="G417" t="n">
        <v>7.2</v>
      </c>
      <c r="H417" t="n">
        <v>0</v>
      </c>
      <c r="I417" t="n">
        <v>0</v>
      </c>
      <c r="J417" t="n">
        <v>0</v>
      </c>
      <c r="K417" t="n">
        <v>0</v>
      </c>
      <c r="L417" t="n">
        <v>0</v>
      </c>
      <c r="M417" t="n">
        <v>0</v>
      </c>
      <c r="N417" t="n">
        <v>0</v>
      </c>
      <c r="O417" t="n">
        <v>0</v>
      </c>
      <c r="P417" t="n">
        <v>0</v>
      </c>
      <c r="Q417" t="n">
        <v>0</v>
      </c>
      <c r="R417" s="2" t="inlineStr"/>
    </row>
    <row r="418" ht="15" customHeight="1">
      <c r="A418" t="inlineStr">
        <is>
          <t>A 14635-2023</t>
        </is>
      </c>
      <c r="B418" s="1" t="n">
        <v>45013.69365740741</v>
      </c>
      <c r="C418" s="1" t="n">
        <v>46121</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63763-2023</t>
        </is>
      </c>
      <c r="B419" s="1" t="n">
        <v>45278.33944444444</v>
      </c>
      <c r="C419" s="1" t="n">
        <v>46121</v>
      </c>
      <c r="D419" t="inlineStr">
        <is>
          <t>GOTLANDS LÄN</t>
        </is>
      </c>
      <c r="E419" t="inlineStr">
        <is>
          <t>GOTLAND</t>
        </is>
      </c>
      <c r="G419" t="n">
        <v>0.5</v>
      </c>
      <c r="H419" t="n">
        <v>0</v>
      </c>
      <c r="I419" t="n">
        <v>0</v>
      </c>
      <c r="J419" t="n">
        <v>0</v>
      </c>
      <c r="K419" t="n">
        <v>0</v>
      </c>
      <c r="L419" t="n">
        <v>0</v>
      </c>
      <c r="M419" t="n">
        <v>0</v>
      </c>
      <c r="N419" t="n">
        <v>0</v>
      </c>
      <c r="O419" t="n">
        <v>0</v>
      </c>
      <c r="P419" t="n">
        <v>0</v>
      </c>
      <c r="Q419" t="n">
        <v>0</v>
      </c>
      <c r="R419" s="2" t="inlineStr"/>
    </row>
    <row r="420" ht="15" customHeight="1">
      <c r="A420" t="inlineStr">
        <is>
          <t>A 7635-2025</t>
        </is>
      </c>
      <c r="B420" s="1" t="n">
        <v>45705</v>
      </c>
      <c r="C420" s="1" t="n">
        <v>46121</v>
      </c>
      <c r="D420" t="inlineStr">
        <is>
          <t>GOTLANDS LÄN</t>
        </is>
      </c>
      <c r="E420" t="inlineStr">
        <is>
          <t>GOTLAND</t>
        </is>
      </c>
      <c r="G420" t="n">
        <v>0.9</v>
      </c>
      <c r="H420" t="n">
        <v>0</v>
      </c>
      <c r="I420" t="n">
        <v>0</v>
      </c>
      <c r="J420" t="n">
        <v>0</v>
      </c>
      <c r="K420" t="n">
        <v>0</v>
      </c>
      <c r="L420" t="n">
        <v>0</v>
      </c>
      <c r="M420" t="n">
        <v>0</v>
      </c>
      <c r="N420" t="n">
        <v>0</v>
      </c>
      <c r="O420" t="n">
        <v>0</v>
      </c>
      <c r="P420" t="n">
        <v>0</v>
      </c>
      <c r="Q420" t="n">
        <v>0</v>
      </c>
      <c r="R420" s="2" t="inlineStr"/>
    </row>
    <row r="421" ht="15" customHeight="1">
      <c r="A421" t="inlineStr">
        <is>
          <t>A 7636-2025</t>
        </is>
      </c>
      <c r="B421" s="1" t="n">
        <v>45705.7687962963</v>
      </c>
      <c r="C421" s="1" t="n">
        <v>46121</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7639-2025</t>
        </is>
      </c>
      <c r="B422" s="1" t="n">
        <v>45705.77465277778</v>
      </c>
      <c r="C422" s="1" t="n">
        <v>46121</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61682-2024</t>
        </is>
      </c>
      <c r="B423" s="1" t="n">
        <v>45647.48824074074</v>
      </c>
      <c r="C423" s="1" t="n">
        <v>46121</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15434-2024</t>
        </is>
      </c>
      <c r="B424" s="1" t="n">
        <v>45401.38836805556</v>
      </c>
      <c r="C424" s="1" t="n">
        <v>46121</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7034-2023</t>
        </is>
      </c>
      <c r="B425" s="1" t="n">
        <v>44968.32108796296</v>
      </c>
      <c r="C425" s="1" t="n">
        <v>46121</v>
      </c>
      <c r="D425" t="inlineStr">
        <is>
          <t>GOTLANDS LÄN</t>
        </is>
      </c>
      <c r="E425" t="inlineStr">
        <is>
          <t>GOTLAND</t>
        </is>
      </c>
      <c r="G425" t="n">
        <v>1.6</v>
      </c>
      <c r="H425" t="n">
        <v>0</v>
      </c>
      <c r="I425" t="n">
        <v>0</v>
      </c>
      <c r="J425" t="n">
        <v>0</v>
      </c>
      <c r="K425" t="n">
        <v>0</v>
      </c>
      <c r="L425" t="n">
        <v>0</v>
      </c>
      <c r="M425" t="n">
        <v>0</v>
      </c>
      <c r="N425" t="n">
        <v>0</v>
      </c>
      <c r="O425" t="n">
        <v>0</v>
      </c>
      <c r="P425" t="n">
        <v>0</v>
      </c>
      <c r="Q425" t="n">
        <v>0</v>
      </c>
      <c r="R425" s="2" t="inlineStr"/>
    </row>
    <row r="426" ht="15" customHeight="1">
      <c r="A426" t="inlineStr">
        <is>
          <t>A 7042-2023</t>
        </is>
      </c>
      <c r="B426" s="1" t="n">
        <v>44968</v>
      </c>
      <c r="C426" s="1" t="n">
        <v>46121</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2180-2025</t>
        </is>
      </c>
      <c r="B427" s="1" t="n">
        <v>45673</v>
      </c>
      <c r="C427" s="1" t="n">
        <v>46121</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54584-2025</t>
        </is>
      </c>
      <c r="B428" s="1" t="n">
        <v>45965.71788194445</v>
      </c>
      <c r="C428" s="1" t="n">
        <v>46121</v>
      </c>
      <c r="D428" t="inlineStr">
        <is>
          <t>GOTLANDS LÄN</t>
        </is>
      </c>
      <c r="E428" t="inlineStr">
        <is>
          <t>GOTLAND</t>
        </is>
      </c>
      <c r="G428" t="n">
        <v>3.5</v>
      </c>
      <c r="H428" t="n">
        <v>0</v>
      </c>
      <c r="I428" t="n">
        <v>0</v>
      </c>
      <c r="J428" t="n">
        <v>0</v>
      </c>
      <c r="K428" t="n">
        <v>0</v>
      </c>
      <c r="L428" t="n">
        <v>0</v>
      </c>
      <c r="M428" t="n">
        <v>0</v>
      </c>
      <c r="N428" t="n">
        <v>0</v>
      </c>
      <c r="O428" t="n">
        <v>0</v>
      </c>
      <c r="P428" t="n">
        <v>0</v>
      </c>
      <c r="Q428" t="n">
        <v>0</v>
      </c>
      <c r="R428" s="2" t="inlineStr"/>
    </row>
    <row r="429" ht="15" customHeight="1">
      <c r="A429" t="inlineStr">
        <is>
          <t>A 38649-2025</t>
        </is>
      </c>
      <c r="B429" s="1" t="n">
        <v>45884</v>
      </c>
      <c r="C429" s="1" t="n">
        <v>46121</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54074-2022</t>
        </is>
      </c>
      <c r="B430" s="1" t="n">
        <v>44881</v>
      </c>
      <c r="C430" s="1" t="n">
        <v>46121</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61694-2023</t>
        </is>
      </c>
      <c r="B431" s="1" t="n">
        <v>45264</v>
      </c>
      <c r="C431" s="1" t="n">
        <v>46121</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64208-2021</t>
        </is>
      </c>
      <c r="B432" s="1" t="n">
        <v>44510</v>
      </c>
      <c r="C432" s="1" t="n">
        <v>46121</v>
      </c>
      <c r="D432" t="inlineStr">
        <is>
          <t>GOTLANDS LÄN</t>
        </is>
      </c>
      <c r="E432" t="inlineStr">
        <is>
          <t>GOTLAND</t>
        </is>
      </c>
      <c r="G432" t="n">
        <v>4.7</v>
      </c>
      <c r="H432" t="n">
        <v>0</v>
      </c>
      <c r="I432" t="n">
        <v>0</v>
      </c>
      <c r="J432" t="n">
        <v>0</v>
      </c>
      <c r="K432" t="n">
        <v>0</v>
      </c>
      <c r="L432" t="n">
        <v>0</v>
      </c>
      <c r="M432" t="n">
        <v>0</v>
      </c>
      <c r="N432" t="n">
        <v>0</v>
      </c>
      <c r="O432" t="n">
        <v>0</v>
      </c>
      <c r="P432" t="n">
        <v>0</v>
      </c>
      <c r="Q432" t="n">
        <v>0</v>
      </c>
      <c r="R432" s="2" t="inlineStr"/>
    </row>
    <row r="433" ht="15" customHeight="1">
      <c r="A433" t="inlineStr">
        <is>
          <t>A 61078-2025</t>
        </is>
      </c>
      <c r="B433" s="1" t="n">
        <v>46000</v>
      </c>
      <c r="C433" s="1" t="n">
        <v>46121</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54268-2022</t>
        </is>
      </c>
      <c r="B434" s="1" t="n">
        <v>44882</v>
      </c>
      <c r="C434" s="1" t="n">
        <v>46121</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1446-2025</t>
        </is>
      </c>
      <c r="B435" s="1" t="n">
        <v>45669.86035879629</v>
      </c>
      <c r="C435" s="1" t="n">
        <v>46121</v>
      </c>
      <c r="D435" t="inlineStr">
        <is>
          <t>GOTLANDS LÄN</t>
        </is>
      </c>
      <c r="E435" t="inlineStr">
        <is>
          <t>GOTLAND</t>
        </is>
      </c>
      <c r="G435" t="n">
        <v>3.1</v>
      </c>
      <c r="H435" t="n">
        <v>0</v>
      </c>
      <c r="I435" t="n">
        <v>0</v>
      </c>
      <c r="J435" t="n">
        <v>0</v>
      </c>
      <c r="K435" t="n">
        <v>0</v>
      </c>
      <c r="L435" t="n">
        <v>0</v>
      </c>
      <c r="M435" t="n">
        <v>0</v>
      </c>
      <c r="N435" t="n">
        <v>0</v>
      </c>
      <c r="O435" t="n">
        <v>0</v>
      </c>
      <c r="P435" t="n">
        <v>0</v>
      </c>
      <c r="Q435" t="n">
        <v>0</v>
      </c>
      <c r="R435" s="2" t="inlineStr"/>
    </row>
    <row r="436" ht="15" customHeight="1">
      <c r="A436" t="inlineStr">
        <is>
          <t>A 1462-2025</t>
        </is>
      </c>
      <c r="B436" s="1" t="n">
        <v>45670.36319444444</v>
      </c>
      <c r="C436" s="1" t="n">
        <v>46121</v>
      </c>
      <c r="D436" t="inlineStr">
        <is>
          <t>GOTLANDS LÄN</t>
        </is>
      </c>
      <c r="E436" t="inlineStr">
        <is>
          <t>GOTLAND</t>
        </is>
      </c>
      <c r="G436" t="n">
        <v>2.8</v>
      </c>
      <c r="H436" t="n">
        <v>0</v>
      </c>
      <c r="I436" t="n">
        <v>0</v>
      </c>
      <c r="J436" t="n">
        <v>0</v>
      </c>
      <c r="K436" t="n">
        <v>0</v>
      </c>
      <c r="L436" t="n">
        <v>0</v>
      </c>
      <c r="M436" t="n">
        <v>0</v>
      </c>
      <c r="N436" t="n">
        <v>0</v>
      </c>
      <c r="O436" t="n">
        <v>0</v>
      </c>
      <c r="P436" t="n">
        <v>0</v>
      </c>
      <c r="Q436" t="n">
        <v>0</v>
      </c>
      <c r="R436" s="2" t="inlineStr"/>
    </row>
    <row r="437" ht="15" customHeight="1">
      <c r="A437" t="inlineStr">
        <is>
          <t>A 36-2026</t>
        </is>
      </c>
      <c r="B437" s="1" t="n">
        <v>46024.38886574074</v>
      </c>
      <c r="C437" s="1" t="n">
        <v>46121</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57685-2022</t>
        </is>
      </c>
      <c r="B438" s="1" t="n">
        <v>44897.4777662037</v>
      </c>
      <c r="C438" s="1" t="n">
        <v>46121</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811-2023</t>
        </is>
      </c>
      <c r="B439" s="1" t="n">
        <v>44931</v>
      </c>
      <c r="C439" s="1" t="n">
        <v>46121</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62674-2025</t>
        </is>
      </c>
      <c r="B440" s="1" t="n">
        <v>46008</v>
      </c>
      <c r="C440" s="1" t="n">
        <v>46121</v>
      </c>
      <c r="D440" t="inlineStr">
        <is>
          <t>GOTLANDS LÄN</t>
        </is>
      </c>
      <c r="E440" t="inlineStr">
        <is>
          <t>GOTLAND</t>
        </is>
      </c>
      <c r="G440" t="n">
        <v>5</v>
      </c>
      <c r="H440" t="n">
        <v>0</v>
      </c>
      <c r="I440" t="n">
        <v>0</v>
      </c>
      <c r="J440" t="n">
        <v>0</v>
      </c>
      <c r="K440" t="n">
        <v>0</v>
      </c>
      <c r="L440" t="n">
        <v>0</v>
      </c>
      <c r="M440" t="n">
        <v>0</v>
      </c>
      <c r="N440" t="n">
        <v>0</v>
      </c>
      <c r="O440" t="n">
        <v>0</v>
      </c>
      <c r="P440" t="n">
        <v>0</v>
      </c>
      <c r="Q440" t="n">
        <v>0</v>
      </c>
      <c r="R440" s="2" t="inlineStr"/>
    </row>
    <row r="441" ht="15" customHeight="1">
      <c r="A441" t="inlineStr">
        <is>
          <t>A 5905-2024</t>
        </is>
      </c>
      <c r="B441" s="1" t="n">
        <v>45335.88993055555</v>
      </c>
      <c r="C441" s="1" t="n">
        <v>46121</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3431-2025</t>
        </is>
      </c>
      <c r="B442" s="1" t="n">
        <v>45680.42935185185</v>
      </c>
      <c r="C442" s="1" t="n">
        <v>46121</v>
      </c>
      <c r="D442" t="inlineStr">
        <is>
          <t>GOTLANDS LÄN</t>
        </is>
      </c>
      <c r="E442" t="inlineStr">
        <is>
          <t>GOTLAND</t>
        </is>
      </c>
      <c r="G442" t="n">
        <v>4.8</v>
      </c>
      <c r="H442" t="n">
        <v>0</v>
      </c>
      <c r="I442" t="n">
        <v>0</v>
      </c>
      <c r="J442" t="n">
        <v>0</v>
      </c>
      <c r="K442" t="n">
        <v>0</v>
      </c>
      <c r="L442" t="n">
        <v>0</v>
      </c>
      <c r="M442" t="n">
        <v>0</v>
      </c>
      <c r="N442" t="n">
        <v>0</v>
      </c>
      <c r="O442" t="n">
        <v>0</v>
      </c>
      <c r="P442" t="n">
        <v>0</v>
      </c>
      <c r="Q442" t="n">
        <v>0</v>
      </c>
      <c r="R442" s="2" t="inlineStr"/>
    </row>
    <row r="443" ht="15" customHeight="1">
      <c r="A443" t="inlineStr">
        <is>
          <t>A 34407-2023</t>
        </is>
      </c>
      <c r="B443" s="1" t="n">
        <v>45132</v>
      </c>
      <c r="C443" s="1" t="n">
        <v>46121</v>
      </c>
      <c r="D443" t="inlineStr">
        <is>
          <t>GOTLANDS LÄN</t>
        </is>
      </c>
      <c r="E443" t="inlineStr">
        <is>
          <t>GOTLAND</t>
        </is>
      </c>
      <c r="G443" t="n">
        <v>4.4</v>
      </c>
      <c r="H443" t="n">
        <v>0</v>
      </c>
      <c r="I443" t="n">
        <v>0</v>
      </c>
      <c r="J443" t="n">
        <v>0</v>
      </c>
      <c r="K443" t="n">
        <v>0</v>
      </c>
      <c r="L443" t="n">
        <v>0</v>
      </c>
      <c r="M443" t="n">
        <v>0</v>
      </c>
      <c r="N443" t="n">
        <v>0</v>
      </c>
      <c r="O443" t="n">
        <v>0</v>
      </c>
      <c r="P443" t="n">
        <v>0</v>
      </c>
      <c r="Q443" t="n">
        <v>0</v>
      </c>
      <c r="R443" s="2" t="inlineStr"/>
    </row>
    <row r="444" ht="15" customHeight="1">
      <c r="A444" t="inlineStr">
        <is>
          <t>A 30892-2024</t>
        </is>
      </c>
      <c r="B444" s="1" t="n">
        <v>45491</v>
      </c>
      <c r="C444" s="1" t="n">
        <v>46121</v>
      </c>
      <c r="D444" t="inlineStr">
        <is>
          <t>GOTLANDS LÄN</t>
        </is>
      </c>
      <c r="E444" t="inlineStr">
        <is>
          <t>GOTLAND</t>
        </is>
      </c>
      <c r="G444" t="n">
        <v>6.1</v>
      </c>
      <c r="H444" t="n">
        <v>0</v>
      </c>
      <c r="I444" t="n">
        <v>0</v>
      </c>
      <c r="J444" t="n">
        <v>0</v>
      </c>
      <c r="K444" t="n">
        <v>0</v>
      </c>
      <c r="L444" t="n">
        <v>0</v>
      </c>
      <c r="M444" t="n">
        <v>0</v>
      </c>
      <c r="N444" t="n">
        <v>0</v>
      </c>
      <c r="O444" t="n">
        <v>0</v>
      </c>
      <c r="P444" t="n">
        <v>0</v>
      </c>
      <c r="Q444" t="n">
        <v>0</v>
      </c>
      <c r="R444" s="2" t="inlineStr"/>
    </row>
    <row r="445" ht="15" customHeight="1">
      <c r="A445" t="inlineStr">
        <is>
          <t>A 32958-2021</t>
        </is>
      </c>
      <c r="B445" s="1" t="n">
        <v>44376</v>
      </c>
      <c r="C445" s="1" t="n">
        <v>46121</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1355-2026</t>
        </is>
      </c>
      <c r="B446" s="1" t="n">
        <v>46031.59909722222</v>
      </c>
      <c r="C446" s="1" t="n">
        <v>46121</v>
      </c>
      <c r="D446" t="inlineStr">
        <is>
          <t>GOTLANDS LÄN</t>
        </is>
      </c>
      <c r="E446" t="inlineStr">
        <is>
          <t>GOTLAND</t>
        </is>
      </c>
      <c r="G446" t="n">
        <v>3.1</v>
      </c>
      <c r="H446" t="n">
        <v>0</v>
      </c>
      <c r="I446" t="n">
        <v>0</v>
      </c>
      <c r="J446" t="n">
        <v>0</v>
      </c>
      <c r="K446" t="n">
        <v>0</v>
      </c>
      <c r="L446" t="n">
        <v>0</v>
      </c>
      <c r="M446" t="n">
        <v>0</v>
      </c>
      <c r="N446" t="n">
        <v>0</v>
      </c>
      <c r="O446" t="n">
        <v>0</v>
      </c>
      <c r="P446" t="n">
        <v>0</v>
      </c>
      <c r="Q446" t="n">
        <v>0</v>
      </c>
      <c r="R446" s="2" t="inlineStr"/>
    </row>
    <row r="447" ht="15" customHeight="1">
      <c r="A447" t="inlineStr">
        <is>
          <t>A 7858-2025</t>
        </is>
      </c>
      <c r="B447" s="1" t="n">
        <v>45706.68633101852</v>
      </c>
      <c r="C447" s="1" t="n">
        <v>46121</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46545-2024</t>
        </is>
      </c>
      <c r="B448" s="1" t="n">
        <v>45582.65831018519</v>
      </c>
      <c r="C448" s="1" t="n">
        <v>46121</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999-2023</t>
        </is>
      </c>
      <c r="B449" s="1" t="n">
        <v>44935</v>
      </c>
      <c r="C449" s="1" t="n">
        <v>46121</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1364-2025</t>
        </is>
      </c>
      <c r="B450" s="1" t="n">
        <v>45667.63929398148</v>
      </c>
      <c r="C450" s="1" t="n">
        <v>46121</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2125-2025</t>
        </is>
      </c>
      <c r="B451" s="1" t="n">
        <v>45672.64940972222</v>
      </c>
      <c r="C451" s="1" t="n">
        <v>46121</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1898-2026</t>
        </is>
      </c>
      <c r="B452" s="1" t="n">
        <v>46035.52024305556</v>
      </c>
      <c r="C452" s="1" t="n">
        <v>46121</v>
      </c>
      <c r="D452" t="inlineStr">
        <is>
          <t>GOTLANDS LÄN</t>
        </is>
      </c>
      <c r="E452" t="inlineStr">
        <is>
          <t>GOTLAND</t>
        </is>
      </c>
      <c r="G452" t="n">
        <v>3.7</v>
      </c>
      <c r="H452" t="n">
        <v>0</v>
      </c>
      <c r="I452" t="n">
        <v>0</v>
      </c>
      <c r="J452" t="n">
        <v>0</v>
      </c>
      <c r="K452" t="n">
        <v>0</v>
      </c>
      <c r="L452" t="n">
        <v>0</v>
      </c>
      <c r="M452" t="n">
        <v>0</v>
      </c>
      <c r="N452" t="n">
        <v>0</v>
      </c>
      <c r="O452" t="n">
        <v>0</v>
      </c>
      <c r="P452" t="n">
        <v>0</v>
      </c>
      <c r="Q452" t="n">
        <v>0</v>
      </c>
      <c r="R452" s="2" t="inlineStr"/>
    </row>
    <row r="453" ht="15" customHeight="1">
      <c r="A453" t="inlineStr">
        <is>
          <t>A 14141-2024</t>
        </is>
      </c>
      <c r="B453" s="1" t="n">
        <v>45392.85193287037</v>
      </c>
      <c r="C453" s="1" t="n">
        <v>46121</v>
      </c>
      <c r="D453" t="inlineStr">
        <is>
          <t>GOTLANDS LÄN</t>
        </is>
      </c>
      <c r="E453" t="inlineStr">
        <is>
          <t>GOTLAND</t>
        </is>
      </c>
      <c r="G453" t="n">
        <v>5.3</v>
      </c>
      <c r="H453" t="n">
        <v>0</v>
      </c>
      <c r="I453" t="n">
        <v>0</v>
      </c>
      <c r="J453" t="n">
        <v>0</v>
      </c>
      <c r="K453" t="n">
        <v>0</v>
      </c>
      <c r="L453" t="n">
        <v>0</v>
      </c>
      <c r="M453" t="n">
        <v>0</v>
      </c>
      <c r="N453" t="n">
        <v>0</v>
      </c>
      <c r="O453" t="n">
        <v>0</v>
      </c>
      <c r="P453" t="n">
        <v>0</v>
      </c>
      <c r="Q453" t="n">
        <v>0</v>
      </c>
      <c r="R453" s="2" t="inlineStr"/>
    </row>
    <row r="454" ht="15" customHeight="1">
      <c r="A454" t="inlineStr">
        <is>
          <t>A 12155-2023</t>
        </is>
      </c>
      <c r="B454" s="1" t="n">
        <v>44998.49106481481</v>
      </c>
      <c r="C454" s="1" t="n">
        <v>46121</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2415-2026</t>
        </is>
      </c>
      <c r="B455" s="1" t="n">
        <v>46036.76203703704</v>
      </c>
      <c r="C455" s="1" t="n">
        <v>46121</v>
      </c>
      <c r="D455" t="inlineStr">
        <is>
          <t>GOTLANDS LÄN</t>
        </is>
      </c>
      <c r="E455" t="inlineStr">
        <is>
          <t>GOTLAND</t>
        </is>
      </c>
      <c r="G455" t="n">
        <v>6.9</v>
      </c>
      <c r="H455" t="n">
        <v>0</v>
      </c>
      <c r="I455" t="n">
        <v>0</v>
      </c>
      <c r="J455" t="n">
        <v>0</v>
      </c>
      <c r="K455" t="n">
        <v>0</v>
      </c>
      <c r="L455" t="n">
        <v>0</v>
      </c>
      <c r="M455" t="n">
        <v>0</v>
      </c>
      <c r="N455" t="n">
        <v>0</v>
      </c>
      <c r="O455" t="n">
        <v>0</v>
      </c>
      <c r="P455" t="n">
        <v>0</v>
      </c>
      <c r="Q455" t="n">
        <v>0</v>
      </c>
      <c r="R455" s="2" t="inlineStr"/>
    </row>
    <row r="456" ht="15" customHeight="1">
      <c r="A456" t="inlineStr">
        <is>
          <t>A 2774-2024</t>
        </is>
      </c>
      <c r="B456" s="1" t="n">
        <v>45314.62375</v>
      </c>
      <c r="C456" s="1" t="n">
        <v>46121</v>
      </c>
      <c r="D456" t="inlineStr">
        <is>
          <t>GOTLANDS LÄN</t>
        </is>
      </c>
      <c r="E456" t="inlineStr">
        <is>
          <t>GOTLAND</t>
        </is>
      </c>
      <c r="G456" t="n">
        <v>1</v>
      </c>
      <c r="H456" t="n">
        <v>0</v>
      </c>
      <c r="I456" t="n">
        <v>0</v>
      </c>
      <c r="J456" t="n">
        <v>0</v>
      </c>
      <c r="K456" t="n">
        <v>0</v>
      </c>
      <c r="L456" t="n">
        <v>0</v>
      </c>
      <c r="M456" t="n">
        <v>0</v>
      </c>
      <c r="N456" t="n">
        <v>0</v>
      </c>
      <c r="O456" t="n">
        <v>0</v>
      </c>
      <c r="P456" t="n">
        <v>0</v>
      </c>
      <c r="Q456" t="n">
        <v>0</v>
      </c>
      <c r="R456" s="2" t="inlineStr"/>
    </row>
    <row r="457" ht="15" customHeight="1">
      <c r="A457" t="inlineStr">
        <is>
          <t>A 9947-2024</t>
        </is>
      </c>
      <c r="B457" s="1" t="n">
        <v>45363</v>
      </c>
      <c r="C457" s="1" t="n">
        <v>46121</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42007-2023</t>
        </is>
      </c>
      <c r="B458" s="1" t="n">
        <v>45177</v>
      </c>
      <c r="C458" s="1" t="n">
        <v>46121</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3253-2026</t>
        </is>
      </c>
      <c r="B459" s="1" t="n">
        <v>46041.58902777778</v>
      </c>
      <c r="C459" s="1" t="n">
        <v>46121</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11414-2026</t>
        </is>
      </c>
      <c r="B460" s="1" t="n">
        <v>46083.46336805556</v>
      </c>
      <c r="C460" s="1" t="n">
        <v>46121</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11424-2026</t>
        </is>
      </c>
      <c r="B461" s="1" t="n">
        <v>46083.48068287037</v>
      </c>
      <c r="C461" s="1" t="n">
        <v>46121</v>
      </c>
      <c r="D461" t="inlineStr">
        <is>
          <t>GOTLANDS LÄN</t>
        </is>
      </c>
      <c r="E461" t="inlineStr">
        <is>
          <t>GOTLAND</t>
        </is>
      </c>
      <c r="G461" t="n">
        <v>1.3</v>
      </c>
      <c r="H461" t="n">
        <v>0</v>
      </c>
      <c r="I461" t="n">
        <v>0</v>
      </c>
      <c r="J461" t="n">
        <v>0</v>
      </c>
      <c r="K461" t="n">
        <v>0</v>
      </c>
      <c r="L461" t="n">
        <v>0</v>
      </c>
      <c r="M461" t="n">
        <v>0</v>
      </c>
      <c r="N461" t="n">
        <v>0</v>
      </c>
      <c r="O461" t="n">
        <v>0</v>
      </c>
      <c r="P461" t="n">
        <v>0</v>
      </c>
      <c r="Q461" t="n">
        <v>0</v>
      </c>
      <c r="R461" s="2" t="inlineStr"/>
    </row>
    <row r="462" ht="15" customHeight="1">
      <c r="A462" t="inlineStr">
        <is>
          <t>A 15083-2025</t>
        </is>
      </c>
      <c r="B462" s="1" t="n">
        <v>45743</v>
      </c>
      <c r="C462" s="1" t="n">
        <v>46121</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11982-2026</t>
        </is>
      </c>
      <c r="B463" s="1" t="n">
        <v>46085.6434375</v>
      </c>
      <c r="C463" s="1" t="n">
        <v>46121</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12135-2026</t>
        </is>
      </c>
      <c r="B464" s="1" t="n">
        <v>46086</v>
      </c>
      <c r="C464" s="1" t="n">
        <v>46121</v>
      </c>
      <c r="D464" t="inlineStr">
        <is>
          <t>GOTLANDS LÄN</t>
        </is>
      </c>
      <c r="E464" t="inlineStr">
        <is>
          <t>GOTLAND</t>
        </is>
      </c>
      <c r="G464" t="n">
        <v>3</v>
      </c>
      <c r="H464" t="n">
        <v>0</v>
      </c>
      <c r="I464" t="n">
        <v>0</v>
      </c>
      <c r="J464" t="n">
        <v>0</v>
      </c>
      <c r="K464" t="n">
        <v>0</v>
      </c>
      <c r="L464" t="n">
        <v>0</v>
      </c>
      <c r="M464" t="n">
        <v>0</v>
      </c>
      <c r="N464" t="n">
        <v>0</v>
      </c>
      <c r="O464" t="n">
        <v>0</v>
      </c>
      <c r="P464" t="n">
        <v>0</v>
      </c>
      <c r="Q464" t="n">
        <v>0</v>
      </c>
      <c r="R464" s="2" t="inlineStr"/>
    </row>
    <row r="465" ht="15" customHeight="1">
      <c r="A465" t="inlineStr">
        <is>
          <t>A 1066-2024</t>
        </is>
      </c>
      <c r="B465" s="1" t="n">
        <v>45302.285</v>
      </c>
      <c r="C465" s="1" t="n">
        <v>46121</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37202-2024</t>
        </is>
      </c>
      <c r="B466" s="1" t="n">
        <v>45539.67310185185</v>
      </c>
      <c r="C466" s="1" t="n">
        <v>46121</v>
      </c>
      <c r="D466" t="inlineStr">
        <is>
          <t>GOTLANDS LÄN</t>
        </is>
      </c>
      <c r="E466" t="inlineStr">
        <is>
          <t>GOTLAND</t>
        </is>
      </c>
      <c r="G466" t="n">
        <v>0.3</v>
      </c>
      <c r="H466" t="n">
        <v>0</v>
      </c>
      <c r="I466" t="n">
        <v>0</v>
      </c>
      <c r="J466" t="n">
        <v>0</v>
      </c>
      <c r="K466" t="n">
        <v>0</v>
      </c>
      <c r="L466" t="n">
        <v>0</v>
      </c>
      <c r="M466" t="n">
        <v>0</v>
      </c>
      <c r="N466" t="n">
        <v>0</v>
      </c>
      <c r="O466" t="n">
        <v>0</v>
      </c>
      <c r="P466" t="n">
        <v>0</v>
      </c>
      <c r="Q466" t="n">
        <v>0</v>
      </c>
      <c r="R466" s="2" t="inlineStr"/>
    </row>
    <row r="467" ht="15" customHeight="1">
      <c r="A467" t="inlineStr">
        <is>
          <t>A 1839-2026</t>
        </is>
      </c>
      <c r="B467" s="1" t="n">
        <v>46035.3942824074</v>
      </c>
      <c r="C467" s="1" t="n">
        <v>46121</v>
      </c>
      <c r="D467" t="inlineStr">
        <is>
          <t>GOTLANDS LÄN</t>
        </is>
      </c>
      <c r="E467" t="inlineStr">
        <is>
          <t>GOTLAND</t>
        </is>
      </c>
      <c r="G467" t="n">
        <v>3.5</v>
      </c>
      <c r="H467" t="n">
        <v>0</v>
      </c>
      <c r="I467" t="n">
        <v>0</v>
      </c>
      <c r="J467" t="n">
        <v>0</v>
      </c>
      <c r="K467" t="n">
        <v>0</v>
      </c>
      <c r="L467" t="n">
        <v>0</v>
      </c>
      <c r="M467" t="n">
        <v>0</v>
      </c>
      <c r="N467" t="n">
        <v>0</v>
      </c>
      <c r="O467" t="n">
        <v>0</v>
      </c>
      <c r="P467" t="n">
        <v>0</v>
      </c>
      <c r="Q467" t="n">
        <v>0</v>
      </c>
      <c r="R467" s="2" t="inlineStr"/>
    </row>
    <row r="468" ht="15" customHeight="1">
      <c r="A468" t="inlineStr">
        <is>
          <t>A 4639-2026</t>
        </is>
      </c>
      <c r="B468" s="1" t="n">
        <v>46048.39880787037</v>
      </c>
      <c r="C468" s="1" t="n">
        <v>46121</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4662-2026</t>
        </is>
      </c>
      <c r="B469" s="1" t="n">
        <v>46048.40949074074</v>
      </c>
      <c r="C469" s="1" t="n">
        <v>46121</v>
      </c>
      <c r="D469" t="inlineStr">
        <is>
          <t>GOTLANDS LÄN</t>
        </is>
      </c>
      <c r="E469" t="inlineStr">
        <is>
          <t>GOTLAND</t>
        </is>
      </c>
      <c r="G469" t="n">
        <v>7.6</v>
      </c>
      <c r="H469" t="n">
        <v>0</v>
      </c>
      <c r="I469" t="n">
        <v>0</v>
      </c>
      <c r="J469" t="n">
        <v>0</v>
      </c>
      <c r="K469" t="n">
        <v>0</v>
      </c>
      <c r="L469" t="n">
        <v>0</v>
      </c>
      <c r="M469" t="n">
        <v>0</v>
      </c>
      <c r="N469" t="n">
        <v>0</v>
      </c>
      <c r="O469" t="n">
        <v>0</v>
      </c>
      <c r="P469" t="n">
        <v>0</v>
      </c>
      <c r="Q469" t="n">
        <v>0</v>
      </c>
      <c r="R469" s="2" t="inlineStr"/>
    </row>
    <row r="470" ht="15" customHeight="1">
      <c r="A470" t="inlineStr">
        <is>
          <t>A 30815-2023</t>
        </is>
      </c>
      <c r="B470" s="1" t="n">
        <v>45112</v>
      </c>
      <c r="C470" s="1" t="n">
        <v>46121</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46400-2023</t>
        </is>
      </c>
      <c r="B471" s="1" t="n">
        <v>45197.49290509259</v>
      </c>
      <c r="C471" s="1" t="n">
        <v>46121</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10492-2023</t>
        </is>
      </c>
      <c r="B472" s="1" t="n">
        <v>44987</v>
      </c>
      <c r="C472" s="1" t="n">
        <v>46121</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4646-2026</t>
        </is>
      </c>
      <c r="B473" s="1" t="n">
        <v>46048.40357638889</v>
      </c>
      <c r="C473" s="1" t="n">
        <v>46121</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4634-2026</t>
        </is>
      </c>
      <c r="B474" s="1" t="n">
        <v>46048.39304398148</v>
      </c>
      <c r="C474" s="1" t="n">
        <v>46121</v>
      </c>
      <c r="D474" t="inlineStr">
        <is>
          <t>GOTLANDS LÄN</t>
        </is>
      </c>
      <c r="E474" t="inlineStr">
        <is>
          <t>GOTLAND</t>
        </is>
      </c>
      <c r="G474" t="n">
        <v>7.8</v>
      </c>
      <c r="H474" t="n">
        <v>0</v>
      </c>
      <c r="I474" t="n">
        <v>0</v>
      </c>
      <c r="J474" t="n">
        <v>0</v>
      </c>
      <c r="K474" t="n">
        <v>0</v>
      </c>
      <c r="L474" t="n">
        <v>0</v>
      </c>
      <c r="M474" t="n">
        <v>0</v>
      </c>
      <c r="N474" t="n">
        <v>0</v>
      </c>
      <c r="O474" t="n">
        <v>0</v>
      </c>
      <c r="P474" t="n">
        <v>0</v>
      </c>
      <c r="Q474" t="n">
        <v>0</v>
      </c>
      <c r="R474" s="2" t="inlineStr"/>
    </row>
    <row r="475" ht="15" customHeight="1">
      <c r="A475" t="inlineStr">
        <is>
          <t>A 4670-2026</t>
        </is>
      </c>
      <c r="B475" s="1" t="n">
        <v>46048.41733796296</v>
      </c>
      <c r="C475" s="1" t="n">
        <v>46121</v>
      </c>
      <c r="D475" t="inlineStr">
        <is>
          <t>GOTLANDS LÄN</t>
        </is>
      </c>
      <c r="E475" t="inlineStr">
        <is>
          <t>GOTLAND</t>
        </is>
      </c>
      <c r="G475" t="n">
        <v>1.7</v>
      </c>
      <c r="H475" t="n">
        <v>0</v>
      </c>
      <c r="I475" t="n">
        <v>0</v>
      </c>
      <c r="J475" t="n">
        <v>0</v>
      </c>
      <c r="K475" t="n">
        <v>0</v>
      </c>
      <c r="L475" t="n">
        <v>0</v>
      </c>
      <c r="M475" t="n">
        <v>0</v>
      </c>
      <c r="N475" t="n">
        <v>0</v>
      </c>
      <c r="O475" t="n">
        <v>0</v>
      </c>
      <c r="P475" t="n">
        <v>0</v>
      </c>
      <c r="Q475" t="n">
        <v>0</v>
      </c>
      <c r="R475" s="2" t="inlineStr"/>
    </row>
    <row r="476" ht="15" customHeight="1">
      <c r="A476" t="inlineStr">
        <is>
          <t>A 44919-2022</t>
        </is>
      </c>
      <c r="B476" s="1" t="n">
        <v>44841</v>
      </c>
      <c r="C476" s="1" t="n">
        <v>46121</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16501-2023</t>
        </is>
      </c>
      <c r="B477" s="1" t="n">
        <v>45029</v>
      </c>
      <c r="C477" s="1" t="n">
        <v>46121</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27095-2022</t>
        </is>
      </c>
      <c r="B478" s="1" t="n">
        <v>44741</v>
      </c>
      <c r="C478" s="1" t="n">
        <v>46121</v>
      </c>
      <c r="D478" t="inlineStr">
        <is>
          <t>GOTLANDS LÄN</t>
        </is>
      </c>
      <c r="E478" t="inlineStr">
        <is>
          <t>GOTLAND</t>
        </is>
      </c>
      <c r="F478" t="inlineStr">
        <is>
          <t>Övriga Aktiebolag</t>
        </is>
      </c>
      <c r="G478" t="n">
        <v>2.9</v>
      </c>
      <c r="H478" t="n">
        <v>0</v>
      </c>
      <c r="I478" t="n">
        <v>0</v>
      </c>
      <c r="J478" t="n">
        <v>0</v>
      </c>
      <c r="K478" t="n">
        <v>0</v>
      </c>
      <c r="L478" t="n">
        <v>0</v>
      </c>
      <c r="M478" t="n">
        <v>0</v>
      </c>
      <c r="N478" t="n">
        <v>0</v>
      </c>
      <c r="O478" t="n">
        <v>0</v>
      </c>
      <c r="P478" t="n">
        <v>0</v>
      </c>
      <c r="Q478" t="n">
        <v>0</v>
      </c>
      <c r="R478" s="2" t="inlineStr"/>
    </row>
    <row r="479" ht="15" customHeight="1">
      <c r="A479" t="inlineStr">
        <is>
          <t>A 458-2023</t>
        </is>
      </c>
      <c r="B479" s="1" t="n">
        <v>44929</v>
      </c>
      <c r="C479" s="1" t="n">
        <v>46121</v>
      </c>
      <c r="D479" t="inlineStr">
        <is>
          <t>GOTLANDS LÄN</t>
        </is>
      </c>
      <c r="E479" t="inlineStr">
        <is>
          <t>GOTLAND</t>
        </is>
      </c>
      <c r="G479" t="n">
        <v>3.6</v>
      </c>
      <c r="H479" t="n">
        <v>0</v>
      </c>
      <c r="I479" t="n">
        <v>0</v>
      </c>
      <c r="J479" t="n">
        <v>0</v>
      </c>
      <c r="K479" t="n">
        <v>0</v>
      </c>
      <c r="L479" t="n">
        <v>0</v>
      </c>
      <c r="M479" t="n">
        <v>0</v>
      </c>
      <c r="N479" t="n">
        <v>0</v>
      </c>
      <c r="O479" t="n">
        <v>0</v>
      </c>
      <c r="P479" t="n">
        <v>0</v>
      </c>
      <c r="Q479" t="n">
        <v>0</v>
      </c>
      <c r="R479" s="2" t="inlineStr"/>
    </row>
    <row r="480" ht="15" customHeight="1">
      <c r="A480" t="inlineStr">
        <is>
          <t>A 1291-2023</t>
        </is>
      </c>
      <c r="B480" s="1" t="n">
        <v>44936.47561342592</v>
      </c>
      <c r="C480" s="1" t="n">
        <v>46121</v>
      </c>
      <c r="D480" t="inlineStr">
        <is>
          <t>GOTLANDS LÄN</t>
        </is>
      </c>
      <c r="E480" t="inlineStr">
        <is>
          <t>GOTLAND</t>
        </is>
      </c>
      <c r="G480" t="n">
        <v>7.4</v>
      </c>
      <c r="H480" t="n">
        <v>0</v>
      </c>
      <c r="I480" t="n">
        <v>0</v>
      </c>
      <c r="J480" t="n">
        <v>0</v>
      </c>
      <c r="K480" t="n">
        <v>0</v>
      </c>
      <c r="L480" t="n">
        <v>0</v>
      </c>
      <c r="M480" t="n">
        <v>0</v>
      </c>
      <c r="N480" t="n">
        <v>0</v>
      </c>
      <c r="O480" t="n">
        <v>0</v>
      </c>
      <c r="P480" t="n">
        <v>0</v>
      </c>
      <c r="Q480" t="n">
        <v>0</v>
      </c>
      <c r="R480" s="2" t="inlineStr"/>
    </row>
    <row r="481" ht="15" customHeight="1">
      <c r="A481" t="inlineStr">
        <is>
          <t>A 32330-2024</t>
        </is>
      </c>
      <c r="B481" s="1" t="n">
        <v>45512</v>
      </c>
      <c r="C481" s="1" t="n">
        <v>46121</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5891-2025</t>
        </is>
      </c>
      <c r="B482" s="1" t="n">
        <v>45695.38327546296</v>
      </c>
      <c r="C482" s="1" t="n">
        <v>46121</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1854-2026</t>
        </is>
      </c>
      <c r="B483" s="1" t="n">
        <v>46035.4171875</v>
      </c>
      <c r="C483" s="1" t="n">
        <v>46121</v>
      </c>
      <c r="D483" t="inlineStr">
        <is>
          <t>GOTLANDS LÄN</t>
        </is>
      </c>
      <c r="E483" t="inlineStr">
        <is>
          <t>GOTLAND</t>
        </is>
      </c>
      <c r="G483" t="n">
        <v>3</v>
      </c>
      <c r="H483" t="n">
        <v>0</v>
      </c>
      <c r="I483" t="n">
        <v>0</v>
      </c>
      <c r="J483" t="n">
        <v>0</v>
      </c>
      <c r="K483" t="n">
        <v>0</v>
      </c>
      <c r="L483" t="n">
        <v>0</v>
      </c>
      <c r="M483" t="n">
        <v>0</v>
      </c>
      <c r="N483" t="n">
        <v>0</v>
      </c>
      <c r="O483" t="n">
        <v>0</v>
      </c>
      <c r="P483" t="n">
        <v>0</v>
      </c>
      <c r="Q483" t="n">
        <v>0</v>
      </c>
      <c r="R483" s="2" t="inlineStr"/>
    </row>
    <row r="484" ht="15" customHeight="1">
      <c r="A484" t="inlineStr">
        <is>
          <t>A 2719-2023</t>
        </is>
      </c>
      <c r="B484" s="1" t="n">
        <v>44944.55361111111</v>
      </c>
      <c r="C484" s="1" t="n">
        <v>46121</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17144-2025</t>
        </is>
      </c>
      <c r="B485" s="1" t="n">
        <v>45755.9499537037</v>
      </c>
      <c r="C485" s="1" t="n">
        <v>46121</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49314-2024</t>
        </is>
      </c>
      <c r="B486" s="1" t="n">
        <v>45595.55893518519</v>
      </c>
      <c r="C486" s="1" t="n">
        <v>46121</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9875-2025</t>
        </is>
      </c>
      <c r="B487" s="1" t="n">
        <v>45716</v>
      </c>
      <c r="C487" s="1" t="n">
        <v>46121</v>
      </c>
      <c r="D487" t="inlineStr">
        <is>
          <t>GOTLANDS LÄN</t>
        </is>
      </c>
      <c r="E487" t="inlineStr">
        <is>
          <t>GOTLAND</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29809-2022</t>
        </is>
      </c>
      <c r="B488" s="1" t="n">
        <v>44755.8713425926</v>
      </c>
      <c r="C488" s="1" t="n">
        <v>46121</v>
      </c>
      <c r="D488" t="inlineStr">
        <is>
          <t>GOTLANDS LÄN</t>
        </is>
      </c>
      <c r="E488" t="inlineStr">
        <is>
          <t>GOTLAND</t>
        </is>
      </c>
      <c r="G488" t="n">
        <v>11.5</v>
      </c>
      <c r="H488" t="n">
        <v>0</v>
      </c>
      <c r="I488" t="n">
        <v>0</v>
      </c>
      <c r="J488" t="n">
        <v>0</v>
      </c>
      <c r="K488" t="n">
        <v>0</v>
      </c>
      <c r="L488" t="n">
        <v>0</v>
      </c>
      <c r="M488" t="n">
        <v>0</v>
      </c>
      <c r="N488" t="n">
        <v>0</v>
      </c>
      <c r="O488" t="n">
        <v>0</v>
      </c>
      <c r="P488" t="n">
        <v>0</v>
      </c>
      <c r="Q488" t="n">
        <v>0</v>
      </c>
      <c r="R488" s="2" t="inlineStr"/>
    </row>
    <row r="489" ht="15" customHeight="1">
      <c r="A489" t="inlineStr">
        <is>
          <t>A 13486-2026</t>
        </is>
      </c>
      <c r="B489" s="1" t="n">
        <v>46094</v>
      </c>
      <c r="C489" s="1" t="n">
        <v>46121</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16361-2024</t>
        </is>
      </c>
      <c r="B490" s="1" t="n">
        <v>45407</v>
      </c>
      <c r="C490" s="1" t="n">
        <v>46121</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6207-2026</t>
        </is>
      </c>
      <c r="B491" s="1" t="n">
        <v>46055.42083333333</v>
      </c>
      <c r="C491" s="1" t="n">
        <v>46121</v>
      </c>
      <c r="D491" t="inlineStr">
        <is>
          <t>GOTLANDS LÄN</t>
        </is>
      </c>
      <c r="E491" t="inlineStr">
        <is>
          <t>GOTLAND</t>
        </is>
      </c>
      <c r="G491" t="n">
        <v>7.6</v>
      </c>
      <c r="H491" t="n">
        <v>0</v>
      </c>
      <c r="I491" t="n">
        <v>0</v>
      </c>
      <c r="J491" t="n">
        <v>0</v>
      </c>
      <c r="K491" t="n">
        <v>0</v>
      </c>
      <c r="L491" t="n">
        <v>0</v>
      </c>
      <c r="M491" t="n">
        <v>0</v>
      </c>
      <c r="N491" t="n">
        <v>0</v>
      </c>
      <c r="O491" t="n">
        <v>0</v>
      </c>
      <c r="P491" t="n">
        <v>0</v>
      </c>
      <c r="Q491" t="n">
        <v>0</v>
      </c>
      <c r="R491" s="2" t="inlineStr"/>
    </row>
    <row r="492" ht="15" customHeight="1">
      <c r="A492" t="inlineStr">
        <is>
          <t>A 43081-2022</t>
        </is>
      </c>
      <c r="B492" s="1" t="n">
        <v>44833</v>
      </c>
      <c r="C492" s="1" t="n">
        <v>46121</v>
      </c>
      <c r="D492" t="inlineStr">
        <is>
          <t>GOTLANDS LÄN</t>
        </is>
      </c>
      <c r="E492" t="inlineStr">
        <is>
          <t>GOTLAND</t>
        </is>
      </c>
      <c r="G492" t="n">
        <v>6.8</v>
      </c>
      <c r="H492" t="n">
        <v>0</v>
      </c>
      <c r="I492" t="n">
        <v>0</v>
      </c>
      <c r="J492" t="n">
        <v>0</v>
      </c>
      <c r="K492" t="n">
        <v>0</v>
      </c>
      <c r="L492" t="n">
        <v>0</v>
      </c>
      <c r="M492" t="n">
        <v>0</v>
      </c>
      <c r="N492" t="n">
        <v>0</v>
      </c>
      <c r="O492" t="n">
        <v>0</v>
      </c>
      <c r="P492" t="n">
        <v>0</v>
      </c>
      <c r="Q492" t="n">
        <v>0</v>
      </c>
      <c r="R492" s="2" t="inlineStr"/>
    </row>
    <row r="493" ht="15" customHeight="1">
      <c r="A493" t="inlineStr">
        <is>
          <t>A 6218-2026</t>
        </is>
      </c>
      <c r="B493" s="1" t="n">
        <v>46055.42859953704</v>
      </c>
      <c r="C493" s="1" t="n">
        <v>46121</v>
      </c>
      <c r="D493" t="inlineStr">
        <is>
          <t>GOTLANDS LÄN</t>
        </is>
      </c>
      <c r="E493" t="inlineStr">
        <is>
          <t>GOTLAND</t>
        </is>
      </c>
      <c r="G493" t="n">
        <v>4.3</v>
      </c>
      <c r="H493" t="n">
        <v>0</v>
      </c>
      <c r="I493" t="n">
        <v>0</v>
      </c>
      <c r="J493" t="n">
        <v>0</v>
      </c>
      <c r="K493" t="n">
        <v>0</v>
      </c>
      <c r="L493" t="n">
        <v>0</v>
      </c>
      <c r="M493" t="n">
        <v>0</v>
      </c>
      <c r="N493" t="n">
        <v>0</v>
      </c>
      <c r="O493" t="n">
        <v>0</v>
      </c>
      <c r="P493" t="n">
        <v>0</v>
      </c>
      <c r="Q493" t="n">
        <v>0</v>
      </c>
      <c r="R493" s="2" t="inlineStr"/>
    </row>
    <row r="494" ht="15" customHeight="1">
      <c r="A494" t="inlineStr">
        <is>
          <t>A 1175-2025</t>
        </is>
      </c>
      <c r="B494" s="1" t="n">
        <v>45667.34449074074</v>
      </c>
      <c r="C494" s="1" t="n">
        <v>46121</v>
      </c>
      <c r="D494" t="inlineStr">
        <is>
          <t>GOTLANDS LÄN</t>
        </is>
      </c>
      <c r="E494" t="inlineStr">
        <is>
          <t>GOTLAND</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6959-2026</t>
        </is>
      </c>
      <c r="B495" s="1" t="n">
        <v>46057.580625</v>
      </c>
      <c r="C495" s="1" t="n">
        <v>46121</v>
      </c>
      <c r="D495" t="inlineStr">
        <is>
          <t>GOTLANDS LÄN</t>
        </is>
      </c>
      <c r="E495" t="inlineStr">
        <is>
          <t>GOTLAND</t>
        </is>
      </c>
      <c r="F495" t="inlineStr">
        <is>
          <t>Kyrkan</t>
        </is>
      </c>
      <c r="G495" t="n">
        <v>1.2</v>
      </c>
      <c r="H495" t="n">
        <v>0</v>
      </c>
      <c r="I495" t="n">
        <v>0</v>
      </c>
      <c r="J495" t="n">
        <v>0</v>
      </c>
      <c r="K495" t="n">
        <v>0</v>
      </c>
      <c r="L495" t="n">
        <v>0</v>
      </c>
      <c r="M495" t="n">
        <v>0</v>
      </c>
      <c r="N495" t="n">
        <v>0</v>
      </c>
      <c r="O495" t="n">
        <v>0</v>
      </c>
      <c r="P495" t="n">
        <v>0</v>
      </c>
      <c r="Q495" t="n">
        <v>0</v>
      </c>
      <c r="R495" s="2" t="inlineStr"/>
    </row>
    <row r="496" ht="15" customHeight="1">
      <c r="A496" t="inlineStr">
        <is>
          <t>A 3067-2026</t>
        </is>
      </c>
      <c r="B496" s="1" t="n">
        <v>46040.59025462963</v>
      </c>
      <c r="C496" s="1" t="n">
        <v>46121</v>
      </c>
      <c r="D496" t="inlineStr">
        <is>
          <t>GOTLANDS LÄN</t>
        </is>
      </c>
      <c r="E496" t="inlineStr">
        <is>
          <t>GOTLAND</t>
        </is>
      </c>
      <c r="G496" t="n">
        <v>7.8</v>
      </c>
      <c r="H496" t="n">
        <v>0</v>
      </c>
      <c r="I496" t="n">
        <v>0</v>
      </c>
      <c r="J496" t="n">
        <v>0</v>
      </c>
      <c r="K496" t="n">
        <v>0</v>
      </c>
      <c r="L496" t="n">
        <v>0</v>
      </c>
      <c r="M496" t="n">
        <v>0</v>
      </c>
      <c r="N496" t="n">
        <v>0</v>
      </c>
      <c r="O496" t="n">
        <v>0</v>
      </c>
      <c r="P496" t="n">
        <v>0</v>
      </c>
      <c r="Q496" t="n">
        <v>0</v>
      </c>
      <c r="R496" s="2" t="inlineStr"/>
    </row>
    <row r="497" ht="15" customHeight="1">
      <c r="A497" t="inlineStr">
        <is>
          <t>A 6960-2026</t>
        </is>
      </c>
      <c r="B497" s="1" t="n">
        <v>46057.58105324074</v>
      </c>
      <c r="C497" s="1" t="n">
        <v>46121</v>
      </c>
      <c r="D497" t="inlineStr">
        <is>
          <t>GOTLANDS LÄN</t>
        </is>
      </c>
      <c r="E497" t="inlineStr">
        <is>
          <t>GOTLAND</t>
        </is>
      </c>
      <c r="F497" t="inlineStr">
        <is>
          <t>Kyrkan</t>
        </is>
      </c>
      <c r="G497" t="n">
        <v>2.4</v>
      </c>
      <c r="H497" t="n">
        <v>0</v>
      </c>
      <c r="I497" t="n">
        <v>0</v>
      </c>
      <c r="J497" t="n">
        <v>0</v>
      </c>
      <c r="K497" t="n">
        <v>0</v>
      </c>
      <c r="L497" t="n">
        <v>0</v>
      </c>
      <c r="M497" t="n">
        <v>0</v>
      </c>
      <c r="N497" t="n">
        <v>0</v>
      </c>
      <c r="O497" t="n">
        <v>0</v>
      </c>
      <c r="P497" t="n">
        <v>0</v>
      </c>
      <c r="Q497" t="n">
        <v>0</v>
      </c>
      <c r="R497" s="2" t="inlineStr"/>
    </row>
    <row r="498" ht="15" customHeight="1">
      <c r="A498" t="inlineStr">
        <is>
          <t>A 42201-2023</t>
        </is>
      </c>
      <c r="B498" s="1" t="n">
        <v>45179</v>
      </c>
      <c r="C498" s="1" t="n">
        <v>46121</v>
      </c>
      <c r="D498" t="inlineStr">
        <is>
          <t>GOTLANDS LÄN</t>
        </is>
      </c>
      <c r="E498" t="inlineStr">
        <is>
          <t>GOTLAND</t>
        </is>
      </c>
      <c r="G498" t="n">
        <v>11.9</v>
      </c>
      <c r="H498" t="n">
        <v>0</v>
      </c>
      <c r="I498" t="n">
        <v>0</v>
      </c>
      <c r="J498" t="n">
        <v>0</v>
      </c>
      <c r="K498" t="n">
        <v>0</v>
      </c>
      <c r="L498" t="n">
        <v>0</v>
      </c>
      <c r="M498" t="n">
        <v>0</v>
      </c>
      <c r="N498" t="n">
        <v>0</v>
      </c>
      <c r="O498" t="n">
        <v>0</v>
      </c>
      <c r="P498" t="n">
        <v>0</v>
      </c>
      <c r="Q498" t="n">
        <v>0</v>
      </c>
      <c r="R498" s="2" t="inlineStr"/>
    </row>
    <row r="499" ht="15" customHeight="1">
      <c r="A499" t="inlineStr">
        <is>
          <t>A 3150-2025</t>
        </is>
      </c>
      <c r="B499" s="1" t="n">
        <v>45679.28974537037</v>
      </c>
      <c r="C499" s="1" t="n">
        <v>46121</v>
      </c>
      <c r="D499" t="inlineStr">
        <is>
          <t>GOTLANDS LÄN</t>
        </is>
      </c>
      <c r="E499" t="inlineStr">
        <is>
          <t>GOTLAND</t>
        </is>
      </c>
      <c r="G499" t="n">
        <v>2.5</v>
      </c>
      <c r="H499" t="n">
        <v>0</v>
      </c>
      <c r="I499" t="n">
        <v>0</v>
      </c>
      <c r="J499" t="n">
        <v>0</v>
      </c>
      <c r="K499" t="n">
        <v>0</v>
      </c>
      <c r="L499" t="n">
        <v>0</v>
      </c>
      <c r="M499" t="n">
        <v>0</v>
      </c>
      <c r="N499" t="n">
        <v>0</v>
      </c>
      <c r="O499" t="n">
        <v>0</v>
      </c>
      <c r="P499" t="n">
        <v>0</v>
      </c>
      <c r="Q499" t="n">
        <v>0</v>
      </c>
      <c r="R499" s="2" t="inlineStr"/>
    </row>
    <row r="500" ht="15" customHeight="1">
      <c r="A500" t="inlineStr">
        <is>
          <t>A 42041-2024</t>
        </is>
      </c>
      <c r="B500" s="1" t="n">
        <v>45561</v>
      </c>
      <c r="C500" s="1" t="n">
        <v>46121</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15436-2025</t>
        </is>
      </c>
      <c r="B501" s="1" t="n">
        <v>45747.47462962963</v>
      </c>
      <c r="C501" s="1" t="n">
        <v>46121</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5863-2026</t>
        </is>
      </c>
      <c r="B502" s="1" t="n">
        <v>46052.36697916667</v>
      </c>
      <c r="C502" s="1" t="n">
        <v>46121</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7627-2026</t>
        </is>
      </c>
      <c r="B503" s="1" t="n">
        <v>46062.35465277778</v>
      </c>
      <c r="C503" s="1" t="n">
        <v>46121</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63105-2025</t>
        </is>
      </c>
      <c r="B504" s="1" t="n">
        <v>46009</v>
      </c>
      <c r="C504" s="1" t="n">
        <v>46121</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21247-2022</t>
        </is>
      </c>
      <c r="B505" s="1" t="n">
        <v>44705.38832175926</v>
      </c>
      <c r="C505" s="1" t="n">
        <v>46121</v>
      </c>
      <c r="D505" t="inlineStr">
        <is>
          <t>GOTLANDS LÄN</t>
        </is>
      </c>
      <c r="E505" t="inlineStr">
        <is>
          <t>GOTLAND</t>
        </is>
      </c>
      <c r="G505" t="n">
        <v>16.2</v>
      </c>
      <c r="H505" t="n">
        <v>0</v>
      </c>
      <c r="I505" t="n">
        <v>0</v>
      </c>
      <c r="J505" t="n">
        <v>0</v>
      </c>
      <c r="K505" t="n">
        <v>0</v>
      </c>
      <c r="L505" t="n">
        <v>0</v>
      </c>
      <c r="M505" t="n">
        <v>0</v>
      </c>
      <c r="N505" t="n">
        <v>0</v>
      </c>
      <c r="O505" t="n">
        <v>0</v>
      </c>
      <c r="P505" t="n">
        <v>0</v>
      </c>
      <c r="Q505" t="n">
        <v>0</v>
      </c>
      <c r="R505" s="2" t="inlineStr"/>
    </row>
    <row r="506" ht="15" customHeight="1">
      <c r="A506" t="inlineStr">
        <is>
          <t>A 14840-2026</t>
        </is>
      </c>
      <c r="B506" s="1" t="n">
        <v>46104.39498842593</v>
      </c>
      <c r="C506" s="1" t="n">
        <v>46121</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7625-2026</t>
        </is>
      </c>
      <c r="B507" s="1" t="n">
        <v>46062.35135416667</v>
      </c>
      <c r="C507" s="1" t="n">
        <v>46121</v>
      </c>
      <c r="D507" t="inlineStr">
        <is>
          <t>GOTLANDS LÄN</t>
        </is>
      </c>
      <c r="E507" t="inlineStr">
        <is>
          <t>GOTLAND</t>
        </is>
      </c>
      <c r="G507" t="n">
        <v>2.1</v>
      </c>
      <c r="H507" t="n">
        <v>0</v>
      </c>
      <c r="I507" t="n">
        <v>0</v>
      </c>
      <c r="J507" t="n">
        <v>0</v>
      </c>
      <c r="K507" t="n">
        <v>0</v>
      </c>
      <c r="L507" t="n">
        <v>0</v>
      </c>
      <c r="M507" t="n">
        <v>0</v>
      </c>
      <c r="N507" t="n">
        <v>0</v>
      </c>
      <c r="O507" t="n">
        <v>0</v>
      </c>
      <c r="P507" t="n">
        <v>0</v>
      </c>
      <c r="Q507" t="n">
        <v>0</v>
      </c>
      <c r="R507" s="2" t="inlineStr"/>
    </row>
    <row r="508" ht="15" customHeight="1">
      <c r="A508" t="inlineStr">
        <is>
          <t>A 2135-2026</t>
        </is>
      </c>
      <c r="B508" s="1" t="n">
        <v>46036</v>
      </c>
      <c r="C508" s="1" t="n">
        <v>46121</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44682.82622685185</v>
      </c>
      <c r="C509" s="1" t="n">
        <v>46121</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63516-2023</t>
        </is>
      </c>
      <c r="B510" s="1" t="n">
        <v>45274</v>
      </c>
      <c r="C510" s="1" t="n">
        <v>46121</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2134-2026</t>
        </is>
      </c>
      <c r="B511" s="1" t="n">
        <v>46036</v>
      </c>
      <c r="C511" s="1" t="n">
        <v>46121</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62836-2025</t>
        </is>
      </c>
      <c r="B512" s="1" t="n">
        <v>46008</v>
      </c>
      <c r="C512" s="1" t="n">
        <v>46121</v>
      </c>
      <c r="D512" t="inlineStr">
        <is>
          <t>GOTLANDS LÄN</t>
        </is>
      </c>
      <c r="E512" t="inlineStr">
        <is>
          <t>GOTLAND</t>
        </is>
      </c>
      <c r="G512" t="n">
        <v>6.5</v>
      </c>
      <c r="H512" t="n">
        <v>0</v>
      </c>
      <c r="I512" t="n">
        <v>0</v>
      </c>
      <c r="J512" t="n">
        <v>0</v>
      </c>
      <c r="K512" t="n">
        <v>0</v>
      </c>
      <c r="L512" t="n">
        <v>0</v>
      </c>
      <c r="M512" t="n">
        <v>0</v>
      </c>
      <c r="N512" t="n">
        <v>0</v>
      </c>
      <c r="O512" t="n">
        <v>0</v>
      </c>
      <c r="P512" t="n">
        <v>0</v>
      </c>
      <c r="Q512" t="n">
        <v>0</v>
      </c>
      <c r="R512" s="2" t="inlineStr"/>
    </row>
    <row r="513" ht="15" customHeight="1">
      <c r="A513" t="inlineStr">
        <is>
          <t>A 53935-2024</t>
        </is>
      </c>
      <c r="B513" s="1" t="n">
        <v>45615</v>
      </c>
      <c r="C513" s="1" t="n">
        <v>46121</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69112-2021</t>
        </is>
      </c>
      <c r="B514" s="1" t="n">
        <v>44530</v>
      </c>
      <c r="C514" s="1" t="n">
        <v>46121</v>
      </c>
      <c r="D514" t="inlineStr">
        <is>
          <t>GOTLANDS LÄN</t>
        </is>
      </c>
      <c r="E514" t="inlineStr">
        <is>
          <t>GOTLAND</t>
        </is>
      </c>
      <c r="G514" t="n">
        <v>4.2</v>
      </c>
      <c r="H514" t="n">
        <v>0</v>
      </c>
      <c r="I514" t="n">
        <v>0</v>
      </c>
      <c r="J514" t="n">
        <v>0</v>
      </c>
      <c r="K514" t="n">
        <v>0</v>
      </c>
      <c r="L514" t="n">
        <v>0</v>
      </c>
      <c r="M514" t="n">
        <v>0</v>
      </c>
      <c r="N514" t="n">
        <v>0</v>
      </c>
      <c r="O514" t="n">
        <v>0</v>
      </c>
      <c r="P514" t="n">
        <v>0</v>
      </c>
      <c r="Q514" t="n">
        <v>0</v>
      </c>
      <c r="R514" s="2" t="inlineStr"/>
    </row>
    <row r="515" ht="15" customHeight="1">
      <c r="A515" t="inlineStr">
        <is>
          <t>A 48734-2022</t>
        </is>
      </c>
      <c r="B515" s="1" t="n">
        <v>44855</v>
      </c>
      <c r="C515" s="1" t="n">
        <v>46121</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23516-2023</t>
        </is>
      </c>
      <c r="B516" s="1" t="n">
        <v>45076.93391203704</v>
      </c>
      <c r="C516" s="1" t="n">
        <v>46121</v>
      </c>
      <c r="D516" t="inlineStr">
        <is>
          <t>GOTLANDS LÄN</t>
        </is>
      </c>
      <c r="E516" t="inlineStr">
        <is>
          <t>GOTLAND</t>
        </is>
      </c>
      <c r="G516" t="n">
        <v>1.4</v>
      </c>
      <c r="H516" t="n">
        <v>0</v>
      </c>
      <c r="I516" t="n">
        <v>0</v>
      </c>
      <c r="J516" t="n">
        <v>0</v>
      </c>
      <c r="K516" t="n">
        <v>0</v>
      </c>
      <c r="L516" t="n">
        <v>0</v>
      </c>
      <c r="M516" t="n">
        <v>0</v>
      </c>
      <c r="N516" t="n">
        <v>0</v>
      </c>
      <c r="O516" t="n">
        <v>0</v>
      </c>
      <c r="P516" t="n">
        <v>0</v>
      </c>
      <c r="Q516" t="n">
        <v>0</v>
      </c>
      <c r="R516" s="2" t="inlineStr"/>
    </row>
    <row r="517" ht="15" customHeight="1">
      <c r="A517" t="inlineStr">
        <is>
          <t>A 43231-2023</t>
        </is>
      </c>
      <c r="B517" s="1" t="n">
        <v>45183.47025462963</v>
      </c>
      <c r="C517" s="1" t="n">
        <v>46121</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58230-2024</t>
        </is>
      </c>
      <c r="B518" s="1" t="n">
        <v>45632.51625</v>
      </c>
      <c r="C518" s="1" t="n">
        <v>46121</v>
      </c>
      <c r="D518" t="inlineStr">
        <is>
          <t>GOTLANDS LÄN</t>
        </is>
      </c>
      <c r="E518" t="inlineStr">
        <is>
          <t>GOTLAND</t>
        </is>
      </c>
      <c r="G518" t="n">
        <v>7.3</v>
      </c>
      <c r="H518" t="n">
        <v>0</v>
      </c>
      <c r="I518" t="n">
        <v>0</v>
      </c>
      <c r="J518" t="n">
        <v>0</v>
      </c>
      <c r="K518" t="n">
        <v>0</v>
      </c>
      <c r="L518" t="n">
        <v>0</v>
      </c>
      <c r="M518" t="n">
        <v>0</v>
      </c>
      <c r="N518" t="n">
        <v>0</v>
      </c>
      <c r="O518" t="n">
        <v>0</v>
      </c>
      <c r="P518" t="n">
        <v>0</v>
      </c>
      <c r="Q518" t="n">
        <v>0</v>
      </c>
      <c r="R518" s="2" t="inlineStr"/>
    </row>
    <row r="519" ht="15" customHeight="1">
      <c r="A519" t="inlineStr">
        <is>
          <t>A 64555-2023</t>
        </is>
      </c>
      <c r="B519" s="1" t="n">
        <v>45281</v>
      </c>
      <c r="C519" s="1" t="n">
        <v>46121</v>
      </c>
      <c r="D519" t="inlineStr">
        <is>
          <t>GOTLANDS LÄN</t>
        </is>
      </c>
      <c r="E519" t="inlineStr">
        <is>
          <t>GOTLAND</t>
        </is>
      </c>
      <c r="G519" t="n">
        <v>3.5</v>
      </c>
      <c r="H519" t="n">
        <v>0</v>
      </c>
      <c r="I519" t="n">
        <v>0</v>
      </c>
      <c r="J519" t="n">
        <v>0</v>
      </c>
      <c r="K519" t="n">
        <v>0</v>
      </c>
      <c r="L519" t="n">
        <v>0</v>
      </c>
      <c r="M519" t="n">
        <v>0</v>
      </c>
      <c r="N519" t="n">
        <v>0</v>
      </c>
      <c r="O519" t="n">
        <v>0</v>
      </c>
      <c r="P519" t="n">
        <v>0</v>
      </c>
      <c r="Q519" t="n">
        <v>0</v>
      </c>
      <c r="R519" s="2" t="inlineStr"/>
    </row>
    <row r="520" ht="15" customHeight="1">
      <c r="A520" t="inlineStr">
        <is>
          <t>A 457-2023</t>
        </is>
      </c>
      <c r="B520" s="1" t="n">
        <v>44929.87238425926</v>
      </c>
      <c r="C520" s="1" t="n">
        <v>46121</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459-2023</t>
        </is>
      </c>
      <c r="B521" s="1" t="n">
        <v>44929.87423611111</v>
      </c>
      <c r="C521" s="1" t="n">
        <v>46121</v>
      </c>
      <c r="D521" t="inlineStr">
        <is>
          <t>GOTLANDS LÄN</t>
        </is>
      </c>
      <c r="E521" t="inlineStr">
        <is>
          <t>GOTLAND</t>
        </is>
      </c>
      <c r="G521" t="n">
        <v>4.2</v>
      </c>
      <c r="H521" t="n">
        <v>0</v>
      </c>
      <c r="I521" t="n">
        <v>0</v>
      </c>
      <c r="J521" t="n">
        <v>0</v>
      </c>
      <c r="K521" t="n">
        <v>0</v>
      </c>
      <c r="L521" t="n">
        <v>0</v>
      </c>
      <c r="M521" t="n">
        <v>0</v>
      </c>
      <c r="N521" t="n">
        <v>0</v>
      </c>
      <c r="O521" t="n">
        <v>0</v>
      </c>
      <c r="P521" t="n">
        <v>0</v>
      </c>
      <c r="Q521" t="n">
        <v>0</v>
      </c>
      <c r="R521" s="2" t="inlineStr"/>
    </row>
    <row r="522" ht="15" customHeight="1">
      <c r="A522" t="inlineStr">
        <is>
          <t>A 876-2024</t>
        </is>
      </c>
      <c r="B522" s="1" t="n">
        <v>45301</v>
      </c>
      <c r="C522" s="1" t="n">
        <v>46121</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26891-2024</t>
        </is>
      </c>
      <c r="B523" s="1" t="n">
        <v>45470.65540509259</v>
      </c>
      <c r="C523" s="1" t="n">
        <v>46121</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5923-2023</t>
        </is>
      </c>
      <c r="B524" s="1" t="n">
        <v>44963.69503472222</v>
      </c>
      <c r="C524" s="1" t="n">
        <v>46121</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50482-2024</t>
        </is>
      </c>
      <c r="B525" s="1" t="n">
        <v>45601.48114583334</v>
      </c>
      <c r="C525" s="1" t="n">
        <v>46121</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5943-2024</t>
        </is>
      </c>
      <c r="B526" s="1" t="n">
        <v>45336</v>
      </c>
      <c r="C526" s="1" t="n">
        <v>46121</v>
      </c>
      <c r="D526" t="inlineStr">
        <is>
          <t>GOTLANDS LÄN</t>
        </is>
      </c>
      <c r="E526" t="inlineStr">
        <is>
          <t>GOTLAND</t>
        </is>
      </c>
      <c r="G526" t="n">
        <v>4.3</v>
      </c>
      <c r="H526" t="n">
        <v>0</v>
      </c>
      <c r="I526" t="n">
        <v>0</v>
      </c>
      <c r="J526" t="n">
        <v>0</v>
      </c>
      <c r="K526" t="n">
        <v>0</v>
      </c>
      <c r="L526" t="n">
        <v>0</v>
      </c>
      <c r="M526" t="n">
        <v>0</v>
      </c>
      <c r="N526" t="n">
        <v>0</v>
      </c>
      <c r="O526" t="n">
        <v>0</v>
      </c>
      <c r="P526" t="n">
        <v>0</v>
      </c>
      <c r="Q526" t="n">
        <v>0</v>
      </c>
      <c r="R526" s="2" t="inlineStr"/>
    </row>
    <row r="527" ht="15" customHeight="1">
      <c r="A527" t="inlineStr">
        <is>
          <t>A 38234-2023</t>
        </is>
      </c>
      <c r="B527" s="1" t="n">
        <v>45161.56663194444</v>
      </c>
      <c r="C527" s="1" t="n">
        <v>46121</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53561-2025</t>
        </is>
      </c>
      <c r="B528" s="1" t="n">
        <v>45960.4059375</v>
      </c>
      <c r="C528" s="1" t="n">
        <v>46121</v>
      </c>
      <c r="D528" t="inlineStr">
        <is>
          <t>GOTLANDS LÄN</t>
        </is>
      </c>
      <c r="E528" t="inlineStr">
        <is>
          <t>GOTLAND</t>
        </is>
      </c>
      <c r="F528" t="inlineStr">
        <is>
          <t>Övriga Aktiebolag</t>
        </is>
      </c>
      <c r="G528" t="n">
        <v>2.4</v>
      </c>
      <c r="H528" t="n">
        <v>0</v>
      </c>
      <c r="I528" t="n">
        <v>0</v>
      </c>
      <c r="J528" t="n">
        <v>0</v>
      </c>
      <c r="K528" t="n">
        <v>0</v>
      </c>
      <c r="L528" t="n">
        <v>0</v>
      </c>
      <c r="M528" t="n">
        <v>0</v>
      </c>
      <c r="N528" t="n">
        <v>0</v>
      </c>
      <c r="O528" t="n">
        <v>0</v>
      </c>
      <c r="P528" t="n">
        <v>0</v>
      </c>
      <c r="Q528" t="n">
        <v>0</v>
      </c>
      <c r="R528" s="2" t="inlineStr"/>
    </row>
    <row r="529" ht="15" customHeight="1">
      <c r="A529" t="inlineStr">
        <is>
          <t>A 1273-2023</t>
        </is>
      </c>
      <c r="B529" s="1" t="n">
        <v>44936</v>
      </c>
      <c r="C529" s="1" t="n">
        <v>46121</v>
      </c>
      <c r="D529" t="inlineStr">
        <is>
          <t>GOTLANDS LÄN</t>
        </is>
      </c>
      <c r="E529" t="inlineStr">
        <is>
          <t>GOTLAND</t>
        </is>
      </c>
      <c r="G529" t="n">
        <v>4.5</v>
      </c>
      <c r="H529" t="n">
        <v>0</v>
      </c>
      <c r="I529" t="n">
        <v>0</v>
      </c>
      <c r="J529" t="n">
        <v>0</v>
      </c>
      <c r="K529" t="n">
        <v>0</v>
      </c>
      <c r="L529" t="n">
        <v>0</v>
      </c>
      <c r="M529" t="n">
        <v>0</v>
      </c>
      <c r="N529" t="n">
        <v>0</v>
      </c>
      <c r="O529" t="n">
        <v>0</v>
      </c>
      <c r="P529" t="n">
        <v>0</v>
      </c>
      <c r="Q529" t="n">
        <v>0</v>
      </c>
      <c r="R529" s="2" t="inlineStr"/>
    </row>
    <row r="530" ht="15" customHeight="1">
      <c r="A530" t="inlineStr">
        <is>
          <t>A 53587-2025</t>
        </is>
      </c>
      <c r="B530" s="1" t="n">
        <v>45960.43681712963</v>
      </c>
      <c r="C530" s="1" t="n">
        <v>46121</v>
      </c>
      <c r="D530" t="inlineStr">
        <is>
          <t>GOTLANDS LÄN</t>
        </is>
      </c>
      <c r="E530" t="inlineStr">
        <is>
          <t>GOTLAND</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63000-2025</t>
        </is>
      </c>
      <c r="B531" s="1" t="n">
        <v>46009</v>
      </c>
      <c r="C531" s="1" t="n">
        <v>46121</v>
      </c>
      <c r="D531" t="inlineStr">
        <is>
          <t>GOTLANDS LÄN</t>
        </is>
      </c>
      <c r="E531" t="inlineStr">
        <is>
          <t>GOTLAND</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17724-2024</t>
        </is>
      </c>
      <c r="B532" s="1" t="n">
        <v>45418.55096064815</v>
      </c>
      <c r="C532" s="1" t="n">
        <v>46121</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23978-2023</t>
        </is>
      </c>
      <c r="B533" s="1" t="n">
        <v>45078</v>
      </c>
      <c r="C533" s="1" t="n">
        <v>46121</v>
      </c>
      <c r="D533" t="inlineStr">
        <is>
          <t>GOTLANDS LÄN</t>
        </is>
      </c>
      <c r="E533" t="inlineStr">
        <is>
          <t>GOTLAND</t>
        </is>
      </c>
      <c r="F533" t="inlineStr">
        <is>
          <t>Naturvårdsverket</t>
        </is>
      </c>
      <c r="G533" t="n">
        <v>1.7</v>
      </c>
      <c r="H533" t="n">
        <v>0</v>
      </c>
      <c r="I533" t="n">
        <v>0</v>
      </c>
      <c r="J533" t="n">
        <v>0</v>
      </c>
      <c r="K533" t="n">
        <v>0</v>
      </c>
      <c r="L533" t="n">
        <v>0</v>
      </c>
      <c r="M533" t="n">
        <v>0</v>
      </c>
      <c r="N533" t="n">
        <v>0</v>
      </c>
      <c r="O533" t="n">
        <v>0</v>
      </c>
      <c r="P533" t="n">
        <v>0</v>
      </c>
      <c r="Q533" t="n">
        <v>0</v>
      </c>
      <c r="R533" s="2" t="inlineStr"/>
    </row>
    <row r="534" ht="15" customHeight="1">
      <c r="A534" t="inlineStr">
        <is>
          <t>A 49884-2023</t>
        </is>
      </c>
      <c r="B534" s="1" t="n">
        <v>45213</v>
      </c>
      <c r="C534" s="1" t="n">
        <v>46121</v>
      </c>
      <c r="D534" t="inlineStr">
        <is>
          <t>GOTLANDS LÄN</t>
        </is>
      </c>
      <c r="E534" t="inlineStr">
        <is>
          <t>GOTLAND</t>
        </is>
      </c>
      <c r="G534" t="n">
        <v>8.9</v>
      </c>
      <c r="H534" t="n">
        <v>0</v>
      </c>
      <c r="I534" t="n">
        <v>0</v>
      </c>
      <c r="J534" t="n">
        <v>0</v>
      </c>
      <c r="K534" t="n">
        <v>0</v>
      </c>
      <c r="L534" t="n">
        <v>0</v>
      </c>
      <c r="M534" t="n">
        <v>0</v>
      </c>
      <c r="N534" t="n">
        <v>0</v>
      </c>
      <c r="O534" t="n">
        <v>0</v>
      </c>
      <c r="P534" t="n">
        <v>0</v>
      </c>
      <c r="Q534" t="n">
        <v>0</v>
      </c>
      <c r="R534" s="2" t="inlineStr"/>
    </row>
    <row r="535" ht="15" customHeight="1">
      <c r="A535" t="inlineStr">
        <is>
          <t>A 9540-2026</t>
        </is>
      </c>
      <c r="B535" s="1" t="n">
        <v>46071.61961805556</v>
      </c>
      <c r="C535" s="1" t="n">
        <v>46121</v>
      </c>
      <c r="D535" t="inlineStr">
        <is>
          <t>GOTLANDS LÄN</t>
        </is>
      </c>
      <c r="E535" t="inlineStr">
        <is>
          <t>GOTLAND</t>
        </is>
      </c>
      <c r="G535" t="n">
        <v>2.8</v>
      </c>
      <c r="H535" t="n">
        <v>0</v>
      </c>
      <c r="I535" t="n">
        <v>0</v>
      </c>
      <c r="J535" t="n">
        <v>0</v>
      </c>
      <c r="K535" t="n">
        <v>0</v>
      </c>
      <c r="L535" t="n">
        <v>0</v>
      </c>
      <c r="M535" t="n">
        <v>0</v>
      </c>
      <c r="N535" t="n">
        <v>0</v>
      </c>
      <c r="O535" t="n">
        <v>0</v>
      </c>
      <c r="P535" t="n">
        <v>0</v>
      </c>
      <c r="Q535" t="n">
        <v>0</v>
      </c>
      <c r="R535" s="2" t="inlineStr"/>
    </row>
    <row r="536" ht="15" customHeight="1">
      <c r="A536" t="inlineStr">
        <is>
          <t>A 12846-2025</t>
        </is>
      </c>
      <c r="B536" s="1" t="n">
        <v>45733.65049768519</v>
      </c>
      <c r="C536" s="1" t="n">
        <v>46121</v>
      </c>
      <c r="D536" t="inlineStr">
        <is>
          <t>GOTLANDS LÄN</t>
        </is>
      </c>
      <c r="E536" t="inlineStr">
        <is>
          <t>GOTLAND</t>
        </is>
      </c>
      <c r="G536" t="n">
        <v>1.7</v>
      </c>
      <c r="H536" t="n">
        <v>0</v>
      </c>
      <c r="I536" t="n">
        <v>0</v>
      </c>
      <c r="J536" t="n">
        <v>0</v>
      </c>
      <c r="K536" t="n">
        <v>0</v>
      </c>
      <c r="L536" t="n">
        <v>0</v>
      </c>
      <c r="M536" t="n">
        <v>0</v>
      </c>
      <c r="N536" t="n">
        <v>0</v>
      </c>
      <c r="O536" t="n">
        <v>0</v>
      </c>
      <c r="P536" t="n">
        <v>0</v>
      </c>
      <c r="Q536" t="n">
        <v>0</v>
      </c>
      <c r="R536" s="2" t="inlineStr"/>
    </row>
    <row r="537" ht="15" customHeight="1">
      <c r="A537" t="inlineStr">
        <is>
          <t>A 62751-2025</t>
        </is>
      </c>
      <c r="B537" s="1" t="n">
        <v>46008</v>
      </c>
      <c r="C537" s="1" t="n">
        <v>46121</v>
      </c>
      <c r="D537" t="inlineStr">
        <is>
          <t>GOTLANDS LÄN</t>
        </is>
      </c>
      <c r="E537" t="inlineStr">
        <is>
          <t>GOTLAND</t>
        </is>
      </c>
      <c r="F537" t="inlineStr">
        <is>
          <t>Övriga Aktiebolag</t>
        </is>
      </c>
      <c r="G537" t="n">
        <v>7.8</v>
      </c>
      <c r="H537" t="n">
        <v>0</v>
      </c>
      <c r="I537" t="n">
        <v>0</v>
      </c>
      <c r="J537" t="n">
        <v>0</v>
      </c>
      <c r="K537" t="n">
        <v>0</v>
      </c>
      <c r="L537" t="n">
        <v>0</v>
      </c>
      <c r="M537" t="n">
        <v>0</v>
      </c>
      <c r="N537" t="n">
        <v>0</v>
      </c>
      <c r="O537" t="n">
        <v>0</v>
      </c>
      <c r="P537" t="n">
        <v>0</v>
      </c>
      <c r="Q537" t="n">
        <v>0</v>
      </c>
      <c r="R537" s="2" t="inlineStr"/>
    </row>
    <row r="538" ht="15" customHeight="1">
      <c r="A538" t="inlineStr">
        <is>
          <t>A 43200-2023</t>
        </is>
      </c>
      <c r="B538" s="1" t="n">
        <v>45183</v>
      </c>
      <c r="C538" s="1" t="n">
        <v>46121</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9521-2026</t>
        </is>
      </c>
      <c r="B539" s="1" t="n">
        <v>46071.59969907408</v>
      </c>
      <c r="C539" s="1" t="n">
        <v>46121</v>
      </c>
      <c r="D539" t="inlineStr">
        <is>
          <t>GOTLANDS LÄN</t>
        </is>
      </c>
      <c r="E539" t="inlineStr">
        <is>
          <t>GOTLAND</t>
        </is>
      </c>
      <c r="G539" t="n">
        <v>3.9</v>
      </c>
      <c r="H539" t="n">
        <v>0</v>
      </c>
      <c r="I539" t="n">
        <v>0</v>
      </c>
      <c r="J539" t="n">
        <v>0</v>
      </c>
      <c r="K539" t="n">
        <v>0</v>
      </c>
      <c r="L539" t="n">
        <v>0</v>
      </c>
      <c r="M539" t="n">
        <v>0</v>
      </c>
      <c r="N539" t="n">
        <v>0</v>
      </c>
      <c r="O539" t="n">
        <v>0</v>
      </c>
      <c r="P539" t="n">
        <v>0</v>
      </c>
      <c r="Q539" t="n">
        <v>0</v>
      </c>
      <c r="R539" s="2" t="inlineStr"/>
    </row>
    <row r="540" ht="15" customHeight="1">
      <c r="A540" t="inlineStr">
        <is>
          <t>A 9524-2026</t>
        </is>
      </c>
      <c r="B540" s="1" t="n">
        <v>46071.60108796296</v>
      </c>
      <c r="C540" s="1" t="n">
        <v>46121</v>
      </c>
      <c r="D540" t="inlineStr">
        <is>
          <t>GOTLANDS LÄN</t>
        </is>
      </c>
      <c r="E540" t="inlineStr">
        <is>
          <t>GOTLAND</t>
        </is>
      </c>
      <c r="G540" t="n">
        <v>2.5</v>
      </c>
      <c r="H540" t="n">
        <v>0</v>
      </c>
      <c r="I540" t="n">
        <v>0</v>
      </c>
      <c r="J540" t="n">
        <v>0</v>
      </c>
      <c r="K540" t="n">
        <v>0</v>
      </c>
      <c r="L540" t="n">
        <v>0</v>
      </c>
      <c r="M540" t="n">
        <v>0</v>
      </c>
      <c r="N540" t="n">
        <v>0</v>
      </c>
      <c r="O540" t="n">
        <v>0</v>
      </c>
      <c r="P540" t="n">
        <v>0</v>
      </c>
      <c r="Q540" t="n">
        <v>0</v>
      </c>
      <c r="R540" s="2" t="inlineStr"/>
    </row>
    <row r="541" ht="15" customHeight="1">
      <c r="A541" t="inlineStr">
        <is>
          <t>A 9543-2026</t>
        </is>
      </c>
      <c r="B541" s="1" t="n">
        <v>46071.62486111111</v>
      </c>
      <c r="C541" s="1" t="n">
        <v>46121</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3935-2025</t>
        </is>
      </c>
      <c r="B542" s="1" t="n">
        <v>45684.46070601852</v>
      </c>
      <c r="C542" s="1" t="n">
        <v>46121</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9504-2026</t>
        </is>
      </c>
      <c r="B543" s="1" t="n">
        <v>46071.57730324074</v>
      </c>
      <c r="C543" s="1" t="n">
        <v>46121</v>
      </c>
      <c r="D543" t="inlineStr">
        <is>
          <t>GOTLANDS LÄN</t>
        </is>
      </c>
      <c r="E543" t="inlineStr">
        <is>
          <t>GOTLAND</t>
        </is>
      </c>
      <c r="G543" t="n">
        <v>0.6</v>
      </c>
      <c r="H543" t="n">
        <v>0</v>
      </c>
      <c r="I543" t="n">
        <v>0</v>
      </c>
      <c r="J543" t="n">
        <v>0</v>
      </c>
      <c r="K543" t="n">
        <v>0</v>
      </c>
      <c r="L543" t="n">
        <v>0</v>
      </c>
      <c r="M543" t="n">
        <v>0</v>
      </c>
      <c r="N543" t="n">
        <v>0</v>
      </c>
      <c r="O543" t="n">
        <v>0</v>
      </c>
      <c r="P543" t="n">
        <v>0</v>
      </c>
      <c r="Q543" t="n">
        <v>0</v>
      </c>
      <c r="R543" s="2" t="inlineStr"/>
    </row>
    <row r="544" ht="15" customHeight="1">
      <c r="A544" t="inlineStr">
        <is>
          <t>A 9518-2026</t>
        </is>
      </c>
      <c r="B544" s="1" t="n">
        <v>46071.59653935185</v>
      </c>
      <c r="C544" s="1" t="n">
        <v>46121</v>
      </c>
      <c r="D544" t="inlineStr">
        <is>
          <t>GOTLANDS LÄN</t>
        </is>
      </c>
      <c r="E544" t="inlineStr">
        <is>
          <t>GOTLAND</t>
        </is>
      </c>
      <c r="G544" t="n">
        <v>6.2</v>
      </c>
      <c r="H544" t="n">
        <v>0</v>
      </c>
      <c r="I544" t="n">
        <v>0</v>
      </c>
      <c r="J544" t="n">
        <v>0</v>
      </c>
      <c r="K544" t="n">
        <v>0</v>
      </c>
      <c r="L544" t="n">
        <v>0</v>
      </c>
      <c r="M544" t="n">
        <v>0</v>
      </c>
      <c r="N544" t="n">
        <v>0</v>
      </c>
      <c r="O544" t="n">
        <v>0</v>
      </c>
      <c r="P544" t="n">
        <v>0</v>
      </c>
      <c r="Q544" t="n">
        <v>0</v>
      </c>
      <c r="R544" s="2" t="inlineStr"/>
    </row>
    <row r="545" ht="15" customHeight="1">
      <c r="A545" t="inlineStr">
        <is>
          <t>A 9519-2026</t>
        </is>
      </c>
      <c r="B545" s="1" t="n">
        <v>46071.59820601852</v>
      </c>
      <c r="C545" s="1" t="n">
        <v>46121</v>
      </c>
      <c r="D545" t="inlineStr">
        <is>
          <t>GOTLANDS LÄN</t>
        </is>
      </c>
      <c r="E545" t="inlineStr">
        <is>
          <t>GOTLAND</t>
        </is>
      </c>
      <c r="G545" t="n">
        <v>4</v>
      </c>
      <c r="H545" t="n">
        <v>0</v>
      </c>
      <c r="I545" t="n">
        <v>0</v>
      </c>
      <c r="J545" t="n">
        <v>0</v>
      </c>
      <c r="K545" t="n">
        <v>0</v>
      </c>
      <c r="L545" t="n">
        <v>0</v>
      </c>
      <c r="M545" t="n">
        <v>0</v>
      </c>
      <c r="N545" t="n">
        <v>0</v>
      </c>
      <c r="O545" t="n">
        <v>0</v>
      </c>
      <c r="P545" t="n">
        <v>0</v>
      </c>
      <c r="Q545" t="n">
        <v>0</v>
      </c>
      <c r="R545" s="2" t="inlineStr"/>
    </row>
    <row r="546" ht="15" customHeight="1">
      <c r="A546" t="inlineStr">
        <is>
          <t>A 21792-2024</t>
        </is>
      </c>
      <c r="B546" s="1" t="n">
        <v>45442.64326388889</v>
      </c>
      <c r="C546" s="1" t="n">
        <v>46121</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62754-2025</t>
        </is>
      </c>
      <c r="B547" s="1" t="n">
        <v>46008</v>
      </c>
      <c r="C547" s="1" t="n">
        <v>46121</v>
      </c>
      <c r="D547" t="inlineStr">
        <is>
          <t>GOTLANDS LÄN</t>
        </is>
      </c>
      <c r="E547" t="inlineStr">
        <is>
          <t>GOTLAND</t>
        </is>
      </c>
      <c r="F547" t="inlineStr">
        <is>
          <t>Övriga Aktiebolag</t>
        </is>
      </c>
      <c r="G547" t="n">
        <v>2.9</v>
      </c>
      <c r="H547" t="n">
        <v>0</v>
      </c>
      <c r="I547" t="n">
        <v>0</v>
      </c>
      <c r="J547" t="n">
        <v>0</v>
      </c>
      <c r="K547" t="n">
        <v>0</v>
      </c>
      <c r="L547" t="n">
        <v>0</v>
      </c>
      <c r="M547" t="n">
        <v>0</v>
      </c>
      <c r="N547" t="n">
        <v>0</v>
      </c>
      <c r="O547" t="n">
        <v>0</v>
      </c>
      <c r="P547" t="n">
        <v>0</v>
      </c>
      <c r="Q547" t="n">
        <v>0</v>
      </c>
      <c r="R547" s="2" t="inlineStr"/>
    </row>
    <row r="548" ht="15" customHeight="1">
      <c r="A548" t="inlineStr">
        <is>
          <t>A 9901-2026</t>
        </is>
      </c>
      <c r="B548" s="1" t="n">
        <v>46073.40391203704</v>
      </c>
      <c r="C548" s="1" t="n">
        <v>46121</v>
      </c>
      <c r="D548" t="inlineStr">
        <is>
          <t>GOTLANDS LÄN</t>
        </is>
      </c>
      <c r="E548" t="inlineStr">
        <is>
          <t>GOTLAND</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17000-2026</t>
        </is>
      </c>
      <c r="B549" s="1" t="n">
        <v>46114.42690972222</v>
      </c>
      <c r="C549" s="1" t="n">
        <v>46121</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48843-2024</t>
        </is>
      </c>
      <c r="B550" s="1" t="n">
        <v>45593</v>
      </c>
      <c r="C550" s="1" t="n">
        <v>46121</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16993-2026</t>
        </is>
      </c>
      <c r="B551" s="1" t="n">
        <v>46114.41918981481</v>
      </c>
      <c r="C551" s="1" t="n">
        <v>46121</v>
      </c>
      <c r="D551" t="inlineStr">
        <is>
          <t>GOTLANDS LÄN</t>
        </is>
      </c>
      <c r="E551" t="inlineStr">
        <is>
          <t>GOTLAND</t>
        </is>
      </c>
      <c r="G551" t="n">
        <v>3</v>
      </c>
      <c r="H551" t="n">
        <v>0</v>
      </c>
      <c r="I551" t="n">
        <v>0</v>
      </c>
      <c r="J551" t="n">
        <v>0</v>
      </c>
      <c r="K551" t="n">
        <v>0</v>
      </c>
      <c r="L551" t="n">
        <v>0</v>
      </c>
      <c r="M551" t="n">
        <v>0</v>
      </c>
      <c r="N551" t="n">
        <v>0</v>
      </c>
      <c r="O551" t="n">
        <v>0</v>
      </c>
      <c r="P551" t="n">
        <v>0</v>
      </c>
      <c r="Q551" t="n">
        <v>0</v>
      </c>
      <c r="R551" s="2" t="inlineStr"/>
    </row>
    <row r="552" ht="15" customHeight="1">
      <c r="A552" t="inlineStr">
        <is>
          <t>A 10653-2023</t>
        </is>
      </c>
      <c r="B552" s="1" t="n">
        <v>44988.48859953704</v>
      </c>
      <c r="C552" s="1" t="n">
        <v>46121</v>
      </c>
      <c r="D552" t="inlineStr">
        <is>
          <t>GOTLANDS LÄN</t>
        </is>
      </c>
      <c r="E552" t="inlineStr">
        <is>
          <t>GOTLAND</t>
        </is>
      </c>
      <c r="F552" t="inlineStr">
        <is>
          <t>Kyrkan</t>
        </is>
      </c>
      <c r="G552" t="n">
        <v>3</v>
      </c>
      <c r="H552" t="n">
        <v>0</v>
      </c>
      <c r="I552" t="n">
        <v>0</v>
      </c>
      <c r="J552" t="n">
        <v>0</v>
      </c>
      <c r="K552" t="n">
        <v>0</v>
      </c>
      <c r="L552" t="n">
        <v>0</v>
      </c>
      <c r="M552" t="n">
        <v>0</v>
      </c>
      <c r="N552" t="n">
        <v>0</v>
      </c>
      <c r="O552" t="n">
        <v>0</v>
      </c>
      <c r="P552" t="n">
        <v>0</v>
      </c>
      <c r="Q552" t="n">
        <v>0</v>
      </c>
      <c r="R552" s="2" t="inlineStr"/>
    </row>
    <row r="553" ht="15" customHeight="1">
      <c r="A553" t="inlineStr">
        <is>
          <t>A 10284-2026</t>
        </is>
      </c>
      <c r="B553" s="1" t="n">
        <v>46076</v>
      </c>
      <c r="C553" s="1" t="n">
        <v>46121</v>
      </c>
      <c r="D553" t="inlineStr">
        <is>
          <t>GOTLANDS LÄN</t>
        </is>
      </c>
      <c r="E553" t="inlineStr">
        <is>
          <t>GOTLAND</t>
        </is>
      </c>
      <c r="G553" t="n">
        <v>5.2</v>
      </c>
      <c r="H553" t="n">
        <v>0</v>
      </c>
      <c r="I553" t="n">
        <v>0</v>
      </c>
      <c r="J553" t="n">
        <v>0</v>
      </c>
      <c r="K553" t="n">
        <v>0</v>
      </c>
      <c r="L553" t="n">
        <v>0</v>
      </c>
      <c r="M553" t="n">
        <v>0</v>
      </c>
      <c r="N553" t="n">
        <v>0</v>
      </c>
      <c r="O553" t="n">
        <v>0</v>
      </c>
      <c r="P553" t="n">
        <v>0</v>
      </c>
      <c r="Q553" t="n">
        <v>0</v>
      </c>
      <c r="R553" s="2" t="inlineStr"/>
    </row>
    <row r="554" ht="15" customHeight="1">
      <c r="A554" t="inlineStr">
        <is>
          <t>A 35512-2023</t>
        </is>
      </c>
      <c r="B554" s="1" t="n">
        <v>45147.25623842593</v>
      </c>
      <c r="C554" s="1" t="n">
        <v>46121</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63152-2025</t>
        </is>
      </c>
      <c r="B555" s="1" t="n">
        <v>46010</v>
      </c>
      <c r="C555" s="1" t="n">
        <v>46121</v>
      </c>
      <c r="D555" t="inlineStr">
        <is>
          <t>GOTLANDS LÄN</t>
        </is>
      </c>
      <c r="E555" t="inlineStr">
        <is>
          <t>GOTLAND</t>
        </is>
      </c>
      <c r="G555" t="n">
        <v>1.5</v>
      </c>
      <c r="H555" t="n">
        <v>0</v>
      </c>
      <c r="I555" t="n">
        <v>0</v>
      </c>
      <c r="J555" t="n">
        <v>0</v>
      </c>
      <c r="K555" t="n">
        <v>0</v>
      </c>
      <c r="L555" t="n">
        <v>0</v>
      </c>
      <c r="M555" t="n">
        <v>0</v>
      </c>
      <c r="N555" t="n">
        <v>0</v>
      </c>
      <c r="O555" t="n">
        <v>0</v>
      </c>
      <c r="P555" t="n">
        <v>0</v>
      </c>
      <c r="Q555" t="n">
        <v>0</v>
      </c>
      <c r="R555" s="2" t="inlineStr"/>
    </row>
    <row r="556" ht="15" customHeight="1">
      <c r="A556" t="inlineStr">
        <is>
          <t>A 10486-2026</t>
        </is>
      </c>
      <c r="B556" s="1" t="n">
        <v>46077.51425925926</v>
      </c>
      <c r="C556" s="1" t="n">
        <v>46121</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11874-2024</t>
        </is>
      </c>
      <c r="B557" s="1" t="n">
        <v>45376.46956018519</v>
      </c>
      <c r="C557" s="1" t="n">
        <v>46121</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60384-2025</t>
        </is>
      </c>
      <c r="B558" s="1" t="n">
        <v>45995</v>
      </c>
      <c r="C558" s="1" t="n">
        <v>46121</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20225-2025</t>
        </is>
      </c>
      <c r="B559" s="1" t="n">
        <v>45772.65802083333</v>
      </c>
      <c r="C559" s="1" t="n">
        <v>46121</v>
      </c>
      <c r="D559" t="inlineStr">
        <is>
          <t>GOTLANDS LÄN</t>
        </is>
      </c>
      <c r="E559" t="inlineStr">
        <is>
          <t>GOTLAND</t>
        </is>
      </c>
      <c r="G559" t="n">
        <v>1.1</v>
      </c>
      <c r="H559" t="n">
        <v>0</v>
      </c>
      <c r="I559" t="n">
        <v>0</v>
      </c>
      <c r="J559" t="n">
        <v>0</v>
      </c>
      <c r="K559" t="n">
        <v>0</v>
      </c>
      <c r="L559" t="n">
        <v>0</v>
      </c>
      <c r="M559" t="n">
        <v>0</v>
      </c>
      <c r="N559" t="n">
        <v>0</v>
      </c>
      <c r="O559" t="n">
        <v>0</v>
      </c>
      <c r="P559" t="n">
        <v>0</v>
      </c>
      <c r="Q559" t="n">
        <v>0</v>
      </c>
      <c r="R559" s="2" t="inlineStr"/>
    </row>
    <row r="560" ht="15" customHeight="1">
      <c r="A560" t="inlineStr">
        <is>
          <t>A 17328-2026</t>
        </is>
      </c>
      <c r="B560" s="1" t="n">
        <v>46119.61216435185</v>
      </c>
      <c r="C560" s="1" t="n">
        <v>46121</v>
      </c>
      <c r="D560" t="inlineStr">
        <is>
          <t>GOTLANDS LÄN</t>
        </is>
      </c>
      <c r="E560" t="inlineStr">
        <is>
          <t>GOTLAND</t>
        </is>
      </c>
      <c r="F560" t="inlineStr">
        <is>
          <t>Kyrkan</t>
        </is>
      </c>
      <c r="G560" t="n">
        <v>4</v>
      </c>
      <c r="H560" t="n">
        <v>0</v>
      </c>
      <c r="I560" t="n">
        <v>0</v>
      </c>
      <c r="J560" t="n">
        <v>0</v>
      </c>
      <c r="K560" t="n">
        <v>0</v>
      </c>
      <c r="L560" t="n">
        <v>0</v>
      </c>
      <c r="M560" t="n">
        <v>0</v>
      </c>
      <c r="N560" t="n">
        <v>0</v>
      </c>
      <c r="O560" t="n">
        <v>0</v>
      </c>
      <c r="P560" t="n">
        <v>0</v>
      </c>
      <c r="Q560" t="n">
        <v>0</v>
      </c>
      <c r="R560" s="2" t="inlineStr"/>
    </row>
    <row r="561" ht="15" customHeight="1">
      <c r="A561" t="inlineStr">
        <is>
          <t>A 1677-2023</t>
        </is>
      </c>
      <c r="B561" s="1" t="n">
        <v>44938</v>
      </c>
      <c r="C561" s="1" t="n">
        <v>46121</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64831-2023</t>
        </is>
      </c>
      <c r="B562" s="1" t="n">
        <v>45282.44924768519</v>
      </c>
      <c r="C562" s="1" t="n">
        <v>46121</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8036-2022</t>
        </is>
      </c>
      <c r="B563" s="1" t="n">
        <v>44609.44362268518</v>
      </c>
      <c r="C563" s="1" t="n">
        <v>46121</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46375-2024</t>
        </is>
      </c>
      <c r="B564" s="1" t="n">
        <v>45582</v>
      </c>
      <c r="C564" s="1" t="n">
        <v>46121</v>
      </c>
      <c r="D564" t="inlineStr">
        <is>
          <t>GOTLANDS LÄN</t>
        </is>
      </c>
      <c r="E564" t="inlineStr">
        <is>
          <t>GOTLAND</t>
        </is>
      </c>
      <c r="G564" t="n">
        <v>3</v>
      </c>
      <c r="H564" t="n">
        <v>0</v>
      </c>
      <c r="I564" t="n">
        <v>0</v>
      </c>
      <c r="J564" t="n">
        <v>0</v>
      </c>
      <c r="K564" t="n">
        <v>0</v>
      </c>
      <c r="L564" t="n">
        <v>0</v>
      </c>
      <c r="M564" t="n">
        <v>0</v>
      </c>
      <c r="N564" t="n">
        <v>0</v>
      </c>
      <c r="O564" t="n">
        <v>0</v>
      </c>
      <c r="P564" t="n">
        <v>0</v>
      </c>
      <c r="Q564" t="n">
        <v>0</v>
      </c>
      <c r="R564" s="2" t="inlineStr"/>
    </row>
    <row r="565" ht="15" customHeight="1">
      <c r="A565" t="inlineStr">
        <is>
          <t>A 62915-2021</t>
        </is>
      </c>
      <c r="B565" s="1" t="n">
        <v>44504</v>
      </c>
      <c r="C565" s="1" t="n">
        <v>46121</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7638-2025</t>
        </is>
      </c>
      <c r="B566" s="1" t="n">
        <v>45705.77306712963</v>
      </c>
      <c r="C566" s="1" t="n">
        <v>46121</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44955.5502662037</v>
      </c>
      <c r="C567" s="1" t="n">
        <v>46121</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43901-2023</t>
        </is>
      </c>
      <c r="B568" s="1" t="n">
        <v>45187</v>
      </c>
      <c r="C568" s="1" t="n">
        <v>46121</v>
      </c>
      <c r="D568" t="inlineStr">
        <is>
          <t>GOTLANDS LÄN</t>
        </is>
      </c>
      <c r="E568" t="inlineStr">
        <is>
          <t>GOTLAND</t>
        </is>
      </c>
      <c r="G568" t="n">
        <v>5.4</v>
      </c>
      <c r="H568" t="n">
        <v>0</v>
      </c>
      <c r="I568" t="n">
        <v>0</v>
      </c>
      <c r="J568" t="n">
        <v>0</v>
      </c>
      <c r="K568" t="n">
        <v>0</v>
      </c>
      <c r="L568" t="n">
        <v>0</v>
      </c>
      <c r="M568" t="n">
        <v>0</v>
      </c>
      <c r="N568" t="n">
        <v>0</v>
      </c>
      <c r="O568" t="n">
        <v>0</v>
      </c>
      <c r="P568" t="n">
        <v>0</v>
      </c>
      <c r="Q568" t="n">
        <v>0</v>
      </c>
      <c r="R568" s="2" t="inlineStr"/>
    </row>
    <row r="569" ht="15" customHeight="1">
      <c r="A569" t="inlineStr">
        <is>
          <t>A 17532-2024</t>
        </is>
      </c>
      <c r="B569" s="1" t="n">
        <v>45415</v>
      </c>
      <c r="C569" s="1" t="n">
        <v>46121</v>
      </c>
      <c r="D569" t="inlineStr">
        <is>
          <t>GOTLANDS LÄN</t>
        </is>
      </c>
      <c r="E569" t="inlineStr">
        <is>
          <t>GOTLAND</t>
        </is>
      </c>
      <c r="G569" t="n">
        <v>4.3</v>
      </c>
      <c r="H569" t="n">
        <v>0</v>
      </c>
      <c r="I569" t="n">
        <v>0</v>
      </c>
      <c r="J569" t="n">
        <v>0</v>
      </c>
      <c r="K569" t="n">
        <v>0</v>
      </c>
      <c r="L569" t="n">
        <v>0</v>
      </c>
      <c r="M569" t="n">
        <v>0</v>
      </c>
      <c r="N569" t="n">
        <v>0</v>
      </c>
      <c r="O569" t="n">
        <v>0</v>
      </c>
      <c r="P569" t="n">
        <v>0</v>
      </c>
      <c r="Q569" t="n">
        <v>0</v>
      </c>
      <c r="R569" s="2" t="inlineStr"/>
    </row>
    <row r="570" ht="15" customHeight="1">
      <c r="A570" t="inlineStr">
        <is>
          <t>A 45692-2023</t>
        </is>
      </c>
      <c r="B570" s="1" t="n">
        <v>45195</v>
      </c>
      <c r="C570" s="1" t="n">
        <v>46121</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37222-2021</t>
        </is>
      </c>
      <c r="B571" s="1" t="n">
        <v>44396</v>
      </c>
      <c r="C571" s="1" t="n">
        <v>46121</v>
      </c>
      <c r="D571" t="inlineStr">
        <is>
          <t>GOTLANDS LÄN</t>
        </is>
      </c>
      <c r="E571" t="inlineStr">
        <is>
          <t>GOTLAND</t>
        </is>
      </c>
      <c r="G571" t="n">
        <v>3</v>
      </c>
      <c r="H571" t="n">
        <v>0</v>
      </c>
      <c r="I571" t="n">
        <v>0</v>
      </c>
      <c r="J571" t="n">
        <v>0</v>
      </c>
      <c r="K571" t="n">
        <v>0</v>
      </c>
      <c r="L571" t="n">
        <v>0</v>
      </c>
      <c r="M571" t="n">
        <v>0</v>
      </c>
      <c r="N571" t="n">
        <v>0</v>
      </c>
      <c r="O571" t="n">
        <v>0</v>
      </c>
      <c r="P571" t="n">
        <v>0</v>
      </c>
      <c r="Q571" t="n">
        <v>0</v>
      </c>
      <c r="R571" s="2" t="inlineStr"/>
    </row>
    <row r="572" ht="15" customHeight="1">
      <c r="A572" t="inlineStr">
        <is>
          <t>A 46396-2023</t>
        </is>
      </c>
      <c r="B572" s="1" t="n">
        <v>45197</v>
      </c>
      <c r="C572" s="1" t="n">
        <v>46121</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58388-2022</t>
        </is>
      </c>
      <c r="B573" s="1" t="n">
        <v>44894</v>
      </c>
      <c r="C573" s="1" t="n">
        <v>46121</v>
      </c>
      <c r="D573" t="inlineStr">
        <is>
          <t>GOTLANDS LÄN</t>
        </is>
      </c>
      <c r="E573" t="inlineStr">
        <is>
          <t>GOTLAND</t>
        </is>
      </c>
      <c r="F573" t="inlineStr">
        <is>
          <t>Övriga statliga verk och myndigheter</t>
        </is>
      </c>
      <c r="G573" t="n">
        <v>3.1</v>
      </c>
      <c r="H573" t="n">
        <v>0</v>
      </c>
      <c r="I573" t="n">
        <v>0</v>
      </c>
      <c r="J573" t="n">
        <v>0</v>
      </c>
      <c r="K573" t="n">
        <v>0</v>
      </c>
      <c r="L573" t="n">
        <v>0</v>
      </c>
      <c r="M573" t="n">
        <v>0</v>
      </c>
      <c r="N573" t="n">
        <v>0</v>
      </c>
      <c r="O573" t="n">
        <v>0</v>
      </c>
      <c r="P573" t="n">
        <v>0</v>
      </c>
      <c r="Q573" t="n">
        <v>0</v>
      </c>
      <c r="R573" s="2" t="inlineStr"/>
    </row>
    <row r="574" ht="15" customHeight="1">
      <c r="A574" t="inlineStr">
        <is>
          <t>A 53934-2024</t>
        </is>
      </c>
      <c r="B574" s="1" t="n">
        <v>45615</v>
      </c>
      <c r="C574" s="1" t="n">
        <v>46121</v>
      </c>
      <c r="D574" t="inlineStr">
        <is>
          <t>GOTLANDS LÄN</t>
        </is>
      </c>
      <c r="E574" t="inlineStr">
        <is>
          <t>GOTLAND</t>
        </is>
      </c>
      <c r="G574" t="n">
        <v>5</v>
      </c>
      <c r="H574" t="n">
        <v>0</v>
      </c>
      <c r="I574" t="n">
        <v>0</v>
      </c>
      <c r="J574" t="n">
        <v>0</v>
      </c>
      <c r="K574" t="n">
        <v>0</v>
      </c>
      <c r="L574" t="n">
        <v>0</v>
      </c>
      <c r="M574" t="n">
        <v>0</v>
      </c>
      <c r="N574" t="n">
        <v>0</v>
      </c>
      <c r="O574" t="n">
        <v>0</v>
      </c>
      <c r="P574" t="n">
        <v>0</v>
      </c>
      <c r="Q574" t="n">
        <v>0</v>
      </c>
      <c r="R574" s="2" t="inlineStr"/>
    </row>
    <row r="575" ht="15" customHeight="1">
      <c r="A575" t="inlineStr">
        <is>
          <t>A 58132-2023</t>
        </is>
      </c>
      <c r="B575" s="1" t="n">
        <v>45250</v>
      </c>
      <c r="C575" s="1" t="n">
        <v>46121</v>
      </c>
      <c r="D575" t="inlineStr">
        <is>
          <t>GOTLANDS LÄN</t>
        </is>
      </c>
      <c r="E575" t="inlineStr">
        <is>
          <t>GOTLAND</t>
        </is>
      </c>
      <c r="G575" t="n">
        <v>3.1</v>
      </c>
      <c r="H575" t="n">
        <v>0</v>
      </c>
      <c r="I575" t="n">
        <v>0</v>
      </c>
      <c r="J575" t="n">
        <v>0</v>
      </c>
      <c r="K575" t="n">
        <v>0</v>
      </c>
      <c r="L575" t="n">
        <v>0</v>
      </c>
      <c r="M575" t="n">
        <v>0</v>
      </c>
      <c r="N575" t="n">
        <v>0</v>
      </c>
      <c r="O575" t="n">
        <v>0</v>
      </c>
      <c r="P575" t="n">
        <v>0</v>
      </c>
      <c r="Q575" t="n">
        <v>0</v>
      </c>
      <c r="R575" s="2" t="inlineStr"/>
    </row>
    <row r="576" ht="15" customHeight="1">
      <c r="A576" t="inlineStr">
        <is>
          <t>A 22899-2023</t>
        </is>
      </c>
      <c r="B576" s="1" t="n">
        <v>45072</v>
      </c>
      <c r="C576" s="1" t="n">
        <v>46121</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28285-2024</t>
        </is>
      </c>
      <c r="B577" s="1" t="n">
        <v>45477</v>
      </c>
      <c r="C577" s="1" t="n">
        <v>46121</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51963-2024</t>
        </is>
      </c>
      <c r="B578" s="1" t="n">
        <v>45607.64833333333</v>
      </c>
      <c r="C578" s="1" t="n">
        <v>46121</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1734-2025</t>
        </is>
      </c>
      <c r="B579" s="1" t="n">
        <v>45671.3840625</v>
      </c>
      <c r="C579" s="1" t="n">
        <v>46121</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30365-2024</t>
        </is>
      </c>
      <c r="B580" s="1" t="n">
        <v>45491.3716087963</v>
      </c>
      <c r="C580" s="1" t="n">
        <v>46121</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2674-2023</t>
        </is>
      </c>
      <c r="B581" s="1" t="n">
        <v>44944</v>
      </c>
      <c r="C581" s="1" t="n">
        <v>46121</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61100-2022</t>
        </is>
      </c>
      <c r="B582" s="1" t="n">
        <v>44915</v>
      </c>
      <c r="C582" s="1" t="n">
        <v>46121</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46121</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44988.49543981482</v>
      </c>
      <c r="C584" s="1" t="n">
        <v>46121</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44649-2021</t>
        </is>
      </c>
      <c r="B585" s="1" t="n">
        <v>44437</v>
      </c>
      <c r="C585" s="1" t="n">
        <v>46121</v>
      </c>
      <c r="D585" t="inlineStr">
        <is>
          <t>GOTLANDS LÄN</t>
        </is>
      </c>
      <c r="E585" t="inlineStr">
        <is>
          <t>GOTLAND</t>
        </is>
      </c>
      <c r="G585" t="n">
        <v>8.1</v>
      </c>
      <c r="H585" t="n">
        <v>0</v>
      </c>
      <c r="I585" t="n">
        <v>0</v>
      </c>
      <c r="J585" t="n">
        <v>0</v>
      </c>
      <c r="K585" t="n">
        <v>0</v>
      </c>
      <c r="L585" t="n">
        <v>0</v>
      </c>
      <c r="M585" t="n">
        <v>0</v>
      </c>
      <c r="N585" t="n">
        <v>0</v>
      </c>
      <c r="O585" t="n">
        <v>0</v>
      </c>
      <c r="P585" t="n">
        <v>0</v>
      </c>
      <c r="Q585" t="n">
        <v>0</v>
      </c>
      <c r="R585" s="2" t="inlineStr"/>
    </row>
    <row r="586" ht="15" customHeight="1">
      <c r="A586" t="inlineStr">
        <is>
          <t>A 8484-2025</t>
        </is>
      </c>
      <c r="B586" s="1" t="n">
        <v>45709</v>
      </c>
      <c r="C586" s="1" t="n">
        <v>46121</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49962-2023</t>
        </is>
      </c>
      <c r="B587" s="1" t="n">
        <v>45215.38775462963</v>
      </c>
      <c r="C587" s="1" t="n">
        <v>46121</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50744-2024</t>
        </is>
      </c>
      <c r="B588" s="1" t="n">
        <v>45602.4187037037</v>
      </c>
      <c r="C588" s="1" t="n">
        <v>46121</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45244-2024</t>
        </is>
      </c>
      <c r="B589" s="1" t="n">
        <v>45576</v>
      </c>
      <c r="C589" s="1" t="n">
        <v>46121</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38787-2023</t>
        </is>
      </c>
      <c r="B590" s="1" t="n">
        <v>45163</v>
      </c>
      <c r="C590" s="1" t="n">
        <v>46121</v>
      </c>
      <c r="D590" t="inlineStr">
        <is>
          <t>GOTLANDS LÄN</t>
        </is>
      </c>
      <c r="E590" t="inlineStr">
        <is>
          <t>GOTLAND</t>
        </is>
      </c>
      <c r="G590" t="n">
        <v>0.4</v>
      </c>
      <c r="H590" t="n">
        <v>0</v>
      </c>
      <c r="I590" t="n">
        <v>0</v>
      </c>
      <c r="J590" t="n">
        <v>0</v>
      </c>
      <c r="K590" t="n">
        <v>0</v>
      </c>
      <c r="L590" t="n">
        <v>0</v>
      </c>
      <c r="M590" t="n">
        <v>0</v>
      </c>
      <c r="N590" t="n">
        <v>0</v>
      </c>
      <c r="O590" t="n">
        <v>0</v>
      </c>
      <c r="P590" t="n">
        <v>0</v>
      </c>
      <c r="Q590" t="n">
        <v>0</v>
      </c>
      <c r="R590" s="2" t="inlineStr"/>
    </row>
    <row r="591" ht="15" customHeight="1">
      <c r="A591" t="inlineStr">
        <is>
          <t>A 2714-2023</t>
        </is>
      </c>
      <c r="B591" s="1" t="n">
        <v>44944.54896990741</v>
      </c>
      <c r="C591" s="1" t="n">
        <v>46121</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22897-2023</t>
        </is>
      </c>
      <c r="B592" s="1" t="n">
        <v>45072.55239583334</v>
      </c>
      <c r="C592" s="1" t="n">
        <v>46121</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4568-2025</t>
        </is>
      </c>
      <c r="B593" s="1" t="n">
        <v>45687</v>
      </c>
      <c r="C593" s="1" t="n">
        <v>46121</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1681-2023</t>
        </is>
      </c>
      <c r="B594" s="1" t="n">
        <v>44938.39715277778</v>
      </c>
      <c r="C594" s="1" t="n">
        <v>46121</v>
      </c>
      <c r="D594" t="inlineStr">
        <is>
          <t>GOTLANDS LÄN</t>
        </is>
      </c>
      <c r="E594" t="inlineStr">
        <is>
          <t>GOTLAND</t>
        </is>
      </c>
      <c r="G594" t="n">
        <v>2.4</v>
      </c>
      <c r="H594" t="n">
        <v>0</v>
      </c>
      <c r="I594" t="n">
        <v>0</v>
      </c>
      <c r="J594" t="n">
        <v>0</v>
      </c>
      <c r="K594" t="n">
        <v>0</v>
      </c>
      <c r="L594" t="n">
        <v>0</v>
      </c>
      <c r="M594" t="n">
        <v>0</v>
      </c>
      <c r="N594" t="n">
        <v>0</v>
      </c>
      <c r="O594" t="n">
        <v>0</v>
      </c>
      <c r="P594" t="n">
        <v>0</v>
      </c>
      <c r="Q594" t="n">
        <v>0</v>
      </c>
      <c r="R594" s="2" t="inlineStr"/>
    </row>
    <row r="595" ht="15" customHeight="1">
      <c r="A595" t="inlineStr">
        <is>
          <t>A 42338-2023</t>
        </is>
      </c>
      <c r="B595" s="1" t="n">
        <v>45180</v>
      </c>
      <c r="C595" s="1" t="n">
        <v>46121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18918-2025</t>
        </is>
      </c>
      <c r="B596" s="1" t="n">
        <v>45764</v>
      </c>
      <c r="C596" s="1" t="n">
        <v>46121</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11013-2024</t>
        </is>
      </c>
      <c r="B597" s="1" t="n">
        <v>45370</v>
      </c>
      <c r="C597" s="1" t="n">
        <v>46121</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45084-2024</t>
        </is>
      </c>
      <c r="B598" s="1" t="n">
        <v>45575</v>
      </c>
      <c r="C598" s="1" t="n">
        <v>46121</v>
      </c>
      <c r="D598" t="inlineStr">
        <is>
          <t>GOTLANDS LÄN</t>
        </is>
      </c>
      <c r="E598" t="inlineStr">
        <is>
          <t>GOTLAND</t>
        </is>
      </c>
      <c r="G598" t="n">
        <v>6.8</v>
      </c>
      <c r="H598" t="n">
        <v>0</v>
      </c>
      <c r="I598" t="n">
        <v>0</v>
      </c>
      <c r="J598" t="n">
        <v>0</v>
      </c>
      <c r="K598" t="n">
        <v>0</v>
      </c>
      <c r="L598" t="n">
        <v>0</v>
      </c>
      <c r="M598" t="n">
        <v>0</v>
      </c>
      <c r="N598" t="n">
        <v>0</v>
      </c>
      <c r="O598" t="n">
        <v>0</v>
      </c>
      <c r="P598" t="n">
        <v>0</v>
      </c>
      <c r="Q598" t="n">
        <v>0</v>
      </c>
      <c r="R598" s="2" t="inlineStr"/>
    </row>
    <row r="599" ht="15" customHeight="1">
      <c r="A599" t="inlineStr">
        <is>
          <t>A 20356-2022</t>
        </is>
      </c>
      <c r="B599" s="1" t="n">
        <v>44699</v>
      </c>
      <c r="C599" s="1" t="n">
        <v>46121</v>
      </c>
      <c r="D599" t="inlineStr">
        <is>
          <t>GOTLANDS LÄN</t>
        </is>
      </c>
      <c r="E599" t="inlineStr">
        <is>
          <t>GOTLAND</t>
        </is>
      </c>
      <c r="F599" t="inlineStr">
        <is>
          <t>Övriga Aktiebolag</t>
        </is>
      </c>
      <c r="G599" t="n">
        <v>4.4</v>
      </c>
      <c r="H599" t="n">
        <v>0</v>
      </c>
      <c r="I599" t="n">
        <v>0</v>
      </c>
      <c r="J599" t="n">
        <v>0</v>
      </c>
      <c r="K599" t="n">
        <v>0</v>
      </c>
      <c r="L599" t="n">
        <v>0</v>
      </c>
      <c r="M599" t="n">
        <v>0</v>
      </c>
      <c r="N599" t="n">
        <v>0</v>
      </c>
      <c r="O599" t="n">
        <v>0</v>
      </c>
      <c r="P599" t="n">
        <v>0</v>
      </c>
      <c r="Q599" t="n">
        <v>0</v>
      </c>
      <c r="R599" s="2" t="inlineStr"/>
    </row>
    <row r="600" ht="15" customHeight="1">
      <c r="A600" t="inlineStr">
        <is>
          <t>A 4868-2024</t>
        </is>
      </c>
      <c r="B600" s="1" t="n">
        <v>45329</v>
      </c>
      <c r="C600" s="1" t="n">
        <v>46121</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9613-2025</t>
        </is>
      </c>
      <c r="B601" s="1" t="n">
        <v>45715</v>
      </c>
      <c r="C601" s="1" t="n">
        <v>46121</v>
      </c>
      <c r="D601" t="inlineStr">
        <is>
          <t>GOTLANDS LÄN</t>
        </is>
      </c>
      <c r="E601" t="inlineStr">
        <is>
          <t>GOTLAND</t>
        </is>
      </c>
      <c r="G601" t="n">
        <v>3.5</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46121</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58211-2024</t>
        </is>
      </c>
      <c r="B603" s="1" t="n">
        <v>45632.49292824074</v>
      </c>
      <c r="C603" s="1" t="n">
        <v>46121</v>
      </c>
      <c r="D603" t="inlineStr">
        <is>
          <t>GOTLANDS LÄN</t>
        </is>
      </c>
      <c r="E603" t="inlineStr">
        <is>
          <t>GOTLAND</t>
        </is>
      </c>
      <c r="G603" t="n">
        <v>5.4</v>
      </c>
      <c r="H603" t="n">
        <v>0</v>
      </c>
      <c r="I603" t="n">
        <v>0</v>
      </c>
      <c r="J603" t="n">
        <v>0</v>
      </c>
      <c r="K603" t="n">
        <v>0</v>
      </c>
      <c r="L603" t="n">
        <v>0</v>
      </c>
      <c r="M603" t="n">
        <v>0</v>
      </c>
      <c r="N603" t="n">
        <v>0</v>
      </c>
      <c r="O603" t="n">
        <v>0</v>
      </c>
      <c r="P603" t="n">
        <v>0</v>
      </c>
      <c r="Q603" t="n">
        <v>0</v>
      </c>
      <c r="R603" s="2" t="inlineStr"/>
    </row>
    <row r="604" ht="15" customHeight="1">
      <c r="A604" t="inlineStr">
        <is>
          <t>A 11634-2024</t>
        </is>
      </c>
      <c r="B604" s="1" t="n">
        <v>45373</v>
      </c>
      <c r="C604" s="1" t="n">
        <v>46121</v>
      </c>
      <c r="D604" t="inlineStr">
        <is>
          <t>GOTLANDS LÄN</t>
        </is>
      </c>
      <c r="E604" t="inlineStr">
        <is>
          <t>GOTLAND</t>
        </is>
      </c>
      <c r="G604" t="n">
        <v>3</v>
      </c>
      <c r="H604" t="n">
        <v>0</v>
      </c>
      <c r="I604" t="n">
        <v>0</v>
      </c>
      <c r="J604" t="n">
        <v>0</v>
      </c>
      <c r="K604" t="n">
        <v>0</v>
      </c>
      <c r="L604" t="n">
        <v>0</v>
      </c>
      <c r="M604" t="n">
        <v>0</v>
      </c>
      <c r="N604" t="n">
        <v>0</v>
      </c>
      <c r="O604" t="n">
        <v>0</v>
      </c>
      <c r="P604" t="n">
        <v>0</v>
      </c>
      <c r="Q604" t="n">
        <v>0</v>
      </c>
      <c r="R604" s="2" t="inlineStr"/>
    </row>
    <row r="605" ht="15" customHeight="1">
      <c r="A605" t="inlineStr">
        <is>
          <t>A 5884-2025</t>
        </is>
      </c>
      <c r="B605" s="1" t="n">
        <v>45695.37482638889</v>
      </c>
      <c r="C605" s="1" t="n">
        <v>46121</v>
      </c>
      <c r="D605" t="inlineStr">
        <is>
          <t>GOTLANDS LÄN</t>
        </is>
      </c>
      <c r="E605" t="inlineStr">
        <is>
          <t>GOTLAND</t>
        </is>
      </c>
      <c r="G605" t="n">
        <v>2.1</v>
      </c>
      <c r="H605" t="n">
        <v>0</v>
      </c>
      <c r="I605" t="n">
        <v>0</v>
      </c>
      <c r="J605" t="n">
        <v>0</v>
      </c>
      <c r="K605" t="n">
        <v>0</v>
      </c>
      <c r="L605" t="n">
        <v>0</v>
      </c>
      <c r="M605" t="n">
        <v>0</v>
      </c>
      <c r="N605" t="n">
        <v>0</v>
      </c>
      <c r="O605" t="n">
        <v>0</v>
      </c>
      <c r="P605" t="n">
        <v>0</v>
      </c>
      <c r="Q605" t="n">
        <v>0</v>
      </c>
      <c r="R605" s="2" t="inlineStr"/>
    </row>
    <row r="606" ht="15" customHeight="1">
      <c r="A606" t="inlineStr">
        <is>
          <t>A 5897-2025</t>
        </is>
      </c>
      <c r="B606" s="1" t="n">
        <v>45695.39273148148</v>
      </c>
      <c r="C606" s="1" t="n">
        <v>46121</v>
      </c>
      <c r="D606" t="inlineStr">
        <is>
          <t>GOTLANDS LÄN</t>
        </is>
      </c>
      <c r="E606" t="inlineStr">
        <is>
          <t>GOTLAND</t>
        </is>
      </c>
      <c r="G606" t="n">
        <v>3.7</v>
      </c>
      <c r="H606" t="n">
        <v>0</v>
      </c>
      <c r="I606" t="n">
        <v>0</v>
      </c>
      <c r="J606" t="n">
        <v>0</v>
      </c>
      <c r="K606" t="n">
        <v>0</v>
      </c>
      <c r="L606" t="n">
        <v>0</v>
      </c>
      <c r="M606" t="n">
        <v>0</v>
      </c>
      <c r="N606" t="n">
        <v>0</v>
      </c>
      <c r="O606" t="n">
        <v>0</v>
      </c>
      <c r="P606" t="n">
        <v>0</v>
      </c>
      <c r="Q606" t="n">
        <v>0</v>
      </c>
      <c r="R606" s="2" t="inlineStr"/>
    </row>
    <row r="607" ht="15" customHeight="1">
      <c r="A607" t="inlineStr">
        <is>
          <t>A 5909-2025</t>
        </is>
      </c>
      <c r="B607" s="1" t="n">
        <v>45695.40634259259</v>
      </c>
      <c r="C607" s="1" t="n">
        <v>46121</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60086-2022</t>
        </is>
      </c>
      <c r="B608" s="1" t="n">
        <v>44909</v>
      </c>
      <c r="C608" s="1" t="n">
        <v>46121</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22704-2023</t>
        </is>
      </c>
      <c r="B609" s="1" t="n">
        <v>45071</v>
      </c>
      <c r="C609" s="1" t="n">
        <v>46121</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25866-2022</t>
        </is>
      </c>
      <c r="B610" s="1" t="n">
        <v>44733</v>
      </c>
      <c r="C610" s="1" t="n">
        <v>46121</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9887-2025</t>
        </is>
      </c>
      <c r="B611" s="1" t="n">
        <v>45716</v>
      </c>
      <c r="C611" s="1" t="n">
        <v>46121</v>
      </c>
      <c r="D611" t="inlineStr">
        <is>
          <t>GOTLANDS LÄN</t>
        </is>
      </c>
      <c r="E611" t="inlineStr">
        <is>
          <t>GOTLAND</t>
        </is>
      </c>
      <c r="G611" t="n">
        <v>7.5</v>
      </c>
      <c r="H611" t="n">
        <v>0</v>
      </c>
      <c r="I611" t="n">
        <v>0</v>
      </c>
      <c r="J611" t="n">
        <v>0</v>
      </c>
      <c r="K611" t="n">
        <v>0</v>
      </c>
      <c r="L611" t="n">
        <v>0</v>
      </c>
      <c r="M611" t="n">
        <v>0</v>
      </c>
      <c r="N611" t="n">
        <v>0</v>
      </c>
      <c r="O611" t="n">
        <v>0</v>
      </c>
      <c r="P611" t="n">
        <v>0</v>
      </c>
      <c r="Q611" t="n">
        <v>0</v>
      </c>
      <c r="R611" s="2" t="inlineStr"/>
    </row>
    <row r="612" ht="15" customHeight="1">
      <c r="A612" t="inlineStr">
        <is>
          <t>A 12209-2024</t>
        </is>
      </c>
      <c r="B612" s="1" t="n">
        <v>45378</v>
      </c>
      <c r="C612" s="1" t="n">
        <v>46121</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12210-2024</t>
        </is>
      </c>
      <c r="B613" s="1" t="n">
        <v>45378</v>
      </c>
      <c r="C613" s="1" t="n">
        <v>46121</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59986-2022</t>
        </is>
      </c>
      <c r="B614" s="1" t="n">
        <v>44909</v>
      </c>
      <c r="C614" s="1" t="n">
        <v>46121</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31802-2024</t>
        </is>
      </c>
      <c r="B615" s="1" t="n">
        <v>45509</v>
      </c>
      <c r="C615" s="1" t="n">
        <v>46121</v>
      </c>
      <c r="D615" t="inlineStr">
        <is>
          <t>GOTLANDS LÄN</t>
        </is>
      </c>
      <c r="E615" t="inlineStr">
        <is>
          <t>GOTLAND</t>
        </is>
      </c>
      <c r="G615" t="n">
        <v>2.8</v>
      </c>
      <c r="H615" t="n">
        <v>0</v>
      </c>
      <c r="I615" t="n">
        <v>0</v>
      </c>
      <c r="J615" t="n">
        <v>0</v>
      </c>
      <c r="K615" t="n">
        <v>0</v>
      </c>
      <c r="L615" t="n">
        <v>0</v>
      </c>
      <c r="M615" t="n">
        <v>0</v>
      </c>
      <c r="N615" t="n">
        <v>0</v>
      </c>
      <c r="O615" t="n">
        <v>0</v>
      </c>
      <c r="P615" t="n">
        <v>0</v>
      </c>
      <c r="Q615" t="n">
        <v>0</v>
      </c>
      <c r="R615" s="2" t="inlineStr"/>
    </row>
    <row r="616" ht="15" customHeight="1">
      <c r="A616" t="inlineStr">
        <is>
          <t>A 20993-2023</t>
        </is>
      </c>
      <c r="B616" s="1" t="n">
        <v>45056</v>
      </c>
      <c r="C616" s="1" t="n">
        <v>46121</v>
      </c>
      <c r="D616" t="inlineStr">
        <is>
          <t>GOTLANDS LÄN</t>
        </is>
      </c>
      <c r="E616" t="inlineStr">
        <is>
          <t>GOTLAND</t>
        </is>
      </c>
      <c r="G616" t="n">
        <v>7.1</v>
      </c>
      <c r="H616" t="n">
        <v>0</v>
      </c>
      <c r="I616" t="n">
        <v>0</v>
      </c>
      <c r="J616" t="n">
        <v>0</v>
      </c>
      <c r="K616" t="n">
        <v>0</v>
      </c>
      <c r="L616" t="n">
        <v>0</v>
      </c>
      <c r="M616" t="n">
        <v>0</v>
      </c>
      <c r="N616" t="n">
        <v>0</v>
      </c>
      <c r="O616" t="n">
        <v>0</v>
      </c>
      <c r="P616" t="n">
        <v>0</v>
      </c>
      <c r="Q616" t="n">
        <v>0</v>
      </c>
      <c r="R616" s="2" t="inlineStr"/>
    </row>
    <row r="617" ht="15" customHeight="1">
      <c r="A617" t="inlineStr">
        <is>
          <t>A 15042-2025</t>
        </is>
      </c>
      <c r="B617" s="1" t="n">
        <v>45743</v>
      </c>
      <c r="C617" s="1" t="n">
        <v>46121</v>
      </c>
      <c r="D617" t="inlineStr">
        <is>
          <t>GOTLANDS LÄN</t>
        </is>
      </c>
      <c r="E617" t="inlineStr">
        <is>
          <t>GOTLAND</t>
        </is>
      </c>
      <c r="G617" t="n">
        <v>8.5</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46121</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4420-2025</t>
        </is>
      </c>
      <c r="B619" s="1" t="n">
        <v>45686.47157407407</v>
      </c>
      <c r="C619" s="1" t="n">
        <v>46121</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14427-2024</t>
        </is>
      </c>
      <c r="B620" s="1" t="n">
        <v>45394</v>
      </c>
      <c r="C620" s="1" t="n">
        <v>46121</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49257-2024</t>
        </is>
      </c>
      <c r="B621" s="1" t="n">
        <v>45595.47627314815</v>
      </c>
      <c r="C621" s="1" t="n">
        <v>46121</v>
      </c>
      <c r="D621" t="inlineStr">
        <is>
          <t>GOTLANDS LÄN</t>
        </is>
      </c>
      <c r="E621" t="inlineStr">
        <is>
          <t>GOTLAND</t>
        </is>
      </c>
      <c r="G621" t="n">
        <v>6.3</v>
      </c>
      <c r="H621" t="n">
        <v>0</v>
      </c>
      <c r="I621" t="n">
        <v>0</v>
      </c>
      <c r="J621" t="n">
        <v>0</v>
      </c>
      <c r="K621" t="n">
        <v>0</v>
      </c>
      <c r="L621" t="n">
        <v>0</v>
      </c>
      <c r="M621" t="n">
        <v>0</v>
      </c>
      <c r="N621" t="n">
        <v>0</v>
      </c>
      <c r="O621" t="n">
        <v>0</v>
      </c>
      <c r="P621" t="n">
        <v>0</v>
      </c>
      <c r="Q621" t="n">
        <v>0</v>
      </c>
      <c r="R621" s="2" t="inlineStr"/>
    </row>
    <row r="622" ht="15" customHeight="1">
      <c r="A622" t="inlineStr">
        <is>
          <t>A 49315-2024</t>
        </is>
      </c>
      <c r="B622" s="1" t="n">
        <v>45595</v>
      </c>
      <c r="C622" s="1" t="n">
        <v>46121</v>
      </c>
      <c r="D622" t="inlineStr">
        <is>
          <t>GOTLANDS LÄN</t>
        </is>
      </c>
      <c r="E622" t="inlineStr">
        <is>
          <t>GOTLAND</t>
        </is>
      </c>
      <c r="G622" t="n">
        <v>1.5</v>
      </c>
      <c r="H622" t="n">
        <v>0</v>
      </c>
      <c r="I622" t="n">
        <v>0</v>
      </c>
      <c r="J622" t="n">
        <v>0</v>
      </c>
      <c r="K622" t="n">
        <v>0</v>
      </c>
      <c r="L622" t="n">
        <v>0</v>
      </c>
      <c r="M622" t="n">
        <v>0</v>
      </c>
      <c r="N622" t="n">
        <v>0</v>
      </c>
      <c r="O622" t="n">
        <v>0</v>
      </c>
      <c r="P622" t="n">
        <v>0</v>
      </c>
      <c r="Q622" t="n">
        <v>0</v>
      </c>
      <c r="R622" s="2" t="inlineStr"/>
    </row>
    <row r="623" ht="15" customHeight="1">
      <c r="A623" t="inlineStr">
        <is>
          <t>A 27596-2023</t>
        </is>
      </c>
      <c r="B623" s="1" t="n">
        <v>45097</v>
      </c>
      <c r="C623" s="1" t="n">
        <v>46121</v>
      </c>
      <c r="D623" t="inlineStr">
        <is>
          <t>GOTLANDS LÄN</t>
        </is>
      </c>
      <c r="E623" t="inlineStr">
        <is>
          <t>GOTLAND</t>
        </is>
      </c>
      <c r="G623" t="n">
        <v>3.6</v>
      </c>
      <c r="H623" t="n">
        <v>0</v>
      </c>
      <c r="I623" t="n">
        <v>0</v>
      </c>
      <c r="J623" t="n">
        <v>0</v>
      </c>
      <c r="K623" t="n">
        <v>0</v>
      </c>
      <c r="L623" t="n">
        <v>0</v>
      </c>
      <c r="M623" t="n">
        <v>0</v>
      </c>
      <c r="N623" t="n">
        <v>0</v>
      </c>
      <c r="O623" t="n">
        <v>0</v>
      </c>
      <c r="P623" t="n">
        <v>0</v>
      </c>
      <c r="Q623" t="n">
        <v>0</v>
      </c>
      <c r="R623" s="2" t="inlineStr"/>
    </row>
    <row r="624" ht="15" customHeight="1">
      <c r="A624" t="inlineStr">
        <is>
          <t>A 56115-2023</t>
        </is>
      </c>
      <c r="B624" s="1" t="n">
        <v>45236</v>
      </c>
      <c r="C624" s="1" t="n">
        <v>46121</v>
      </c>
      <c r="D624" t="inlineStr">
        <is>
          <t>GOTLANDS LÄN</t>
        </is>
      </c>
      <c r="E624" t="inlineStr">
        <is>
          <t>GOTLAND</t>
        </is>
      </c>
      <c r="G624" t="n">
        <v>2</v>
      </c>
      <c r="H624" t="n">
        <v>0</v>
      </c>
      <c r="I624" t="n">
        <v>0</v>
      </c>
      <c r="J624" t="n">
        <v>0</v>
      </c>
      <c r="K624" t="n">
        <v>0</v>
      </c>
      <c r="L624" t="n">
        <v>0</v>
      </c>
      <c r="M624" t="n">
        <v>0</v>
      </c>
      <c r="N624" t="n">
        <v>0</v>
      </c>
      <c r="O624" t="n">
        <v>0</v>
      </c>
      <c r="P624" t="n">
        <v>0</v>
      </c>
      <c r="Q624" t="n">
        <v>0</v>
      </c>
      <c r="R624" s="2" t="inlineStr"/>
    </row>
    <row r="625" ht="15" customHeight="1">
      <c r="A625" t="inlineStr">
        <is>
          <t>A 64969-2023</t>
        </is>
      </c>
      <c r="B625" s="1" t="n">
        <v>45284.54009259259</v>
      </c>
      <c r="C625" s="1" t="n">
        <v>46121</v>
      </c>
      <c r="D625" t="inlineStr">
        <is>
          <t>GOTLANDS LÄN</t>
        </is>
      </c>
      <c r="E625" t="inlineStr">
        <is>
          <t>GOTLAND</t>
        </is>
      </c>
      <c r="G625" t="n">
        <v>1.2</v>
      </c>
      <c r="H625" t="n">
        <v>0</v>
      </c>
      <c r="I625" t="n">
        <v>0</v>
      </c>
      <c r="J625" t="n">
        <v>0</v>
      </c>
      <c r="K625" t="n">
        <v>0</v>
      </c>
      <c r="L625" t="n">
        <v>0</v>
      </c>
      <c r="M625" t="n">
        <v>0</v>
      </c>
      <c r="N625" t="n">
        <v>0</v>
      </c>
      <c r="O625" t="n">
        <v>0</v>
      </c>
      <c r="P625" t="n">
        <v>0</v>
      </c>
      <c r="Q625" t="n">
        <v>0</v>
      </c>
      <c r="R625" s="2" t="inlineStr"/>
    </row>
    <row r="626" ht="15" customHeight="1">
      <c r="A626" t="inlineStr">
        <is>
          <t>A 33853-2024</t>
        </is>
      </c>
      <c r="B626" s="1" t="n">
        <v>45520.64298611111</v>
      </c>
      <c r="C626" s="1" t="n">
        <v>46121</v>
      </c>
      <c r="D626" t="inlineStr">
        <is>
          <t>GOTLANDS LÄN</t>
        </is>
      </c>
      <c r="E626" t="inlineStr">
        <is>
          <t>GOTLAND</t>
        </is>
      </c>
      <c r="G626" t="n">
        <v>3.9</v>
      </c>
      <c r="H626" t="n">
        <v>0</v>
      </c>
      <c r="I626" t="n">
        <v>0</v>
      </c>
      <c r="J626" t="n">
        <v>0</v>
      </c>
      <c r="K626" t="n">
        <v>0</v>
      </c>
      <c r="L626" t="n">
        <v>0</v>
      </c>
      <c r="M626" t="n">
        <v>0</v>
      </c>
      <c r="N626" t="n">
        <v>0</v>
      </c>
      <c r="O626" t="n">
        <v>0</v>
      </c>
      <c r="P626" t="n">
        <v>0</v>
      </c>
      <c r="Q626" t="n">
        <v>0</v>
      </c>
      <c r="R626" s="2" t="inlineStr"/>
    </row>
    <row r="627" ht="15" customHeight="1">
      <c r="A627" t="inlineStr">
        <is>
          <t>A 18223-2025</t>
        </is>
      </c>
      <c r="B627" s="1" t="n">
        <v>45761</v>
      </c>
      <c r="C627" s="1" t="n">
        <v>46121</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46949-2024</t>
        </is>
      </c>
      <c r="B628" s="1" t="n">
        <v>45585</v>
      </c>
      <c r="C628" s="1" t="n">
        <v>46121</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24001-2021</t>
        </is>
      </c>
      <c r="B629" s="1" t="n">
        <v>44335</v>
      </c>
      <c r="C629" s="1" t="n">
        <v>46121</v>
      </c>
      <c r="D629" t="inlineStr">
        <is>
          <t>GOTLANDS LÄN</t>
        </is>
      </c>
      <c r="E629" t="inlineStr">
        <is>
          <t>GOTLAND</t>
        </is>
      </c>
      <c r="G629" t="n">
        <v>3.4</v>
      </c>
      <c r="H629" t="n">
        <v>0</v>
      </c>
      <c r="I629" t="n">
        <v>0</v>
      </c>
      <c r="J629" t="n">
        <v>0</v>
      </c>
      <c r="K629" t="n">
        <v>0</v>
      </c>
      <c r="L629" t="n">
        <v>0</v>
      </c>
      <c r="M629" t="n">
        <v>0</v>
      </c>
      <c r="N629" t="n">
        <v>0</v>
      </c>
      <c r="O629" t="n">
        <v>0</v>
      </c>
      <c r="P629" t="n">
        <v>0</v>
      </c>
      <c r="Q629" t="n">
        <v>0</v>
      </c>
      <c r="R629" s="2" t="inlineStr"/>
    </row>
    <row r="630" ht="15" customHeight="1">
      <c r="A630" t="inlineStr">
        <is>
          <t>A 39479-2022</t>
        </is>
      </c>
      <c r="B630" s="1" t="n">
        <v>44818</v>
      </c>
      <c r="C630" s="1" t="n">
        <v>46121</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39496-2022</t>
        </is>
      </c>
      <c r="B631" s="1" t="n">
        <v>44818</v>
      </c>
      <c r="C631" s="1" t="n">
        <v>46121</v>
      </c>
      <c r="D631" t="inlineStr">
        <is>
          <t>GOTLANDS LÄN</t>
        </is>
      </c>
      <c r="E631" t="inlineStr">
        <is>
          <t>GOTLAND</t>
        </is>
      </c>
      <c r="G631" t="n">
        <v>2.4</v>
      </c>
      <c r="H631" t="n">
        <v>0</v>
      </c>
      <c r="I631" t="n">
        <v>0</v>
      </c>
      <c r="J631" t="n">
        <v>0</v>
      </c>
      <c r="K631" t="n">
        <v>0</v>
      </c>
      <c r="L631" t="n">
        <v>0</v>
      </c>
      <c r="M631" t="n">
        <v>0</v>
      </c>
      <c r="N631" t="n">
        <v>0</v>
      </c>
      <c r="O631" t="n">
        <v>0</v>
      </c>
      <c r="P631" t="n">
        <v>0</v>
      </c>
      <c r="Q631" t="n">
        <v>0</v>
      </c>
      <c r="R631" s="2" t="inlineStr"/>
    </row>
    <row r="632" ht="15" customHeight="1">
      <c r="A632" t="inlineStr">
        <is>
          <t>A 46389-2021</t>
        </is>
      </c>
      <c r="B632" s="1" t="n">
        <v>44443</v>
      </c>
      <c r="C632" s="1" t="n">
        <v>46121</v>
      </c>
      <c r="D632" t="inlineStr">
        <is>
          <t>GOTLANDS LÄN</t>
        </is>
      </c>
      <c r="E632" t="inlineStr">
        <is>
          <t>GOTLAND</t>
        </is>
      </c>
      <c r="F632" t="inlineStr">
        <is>
          <t>Kyrkan</t>
        </is>
      </c>
      <c r="G632" t="n">
        <v>2.1</v>
      </c>
      <c r="H632" t="n">
        <v>0</v>
      </c>
      <c r="I632" t="n">
        <v>0</v>
      </c>
      <c r="J632" t="n">
        <v>0</v>
      </c>
      <c r="K632" t="n">
        <v>0</v>
      </c>
      <c r="L632" t="n">
        <v>0</v>
      </c>
      <c r="M632" t="n">
        <v>0</v>
      </c>
      <c r="N632" t="n">
        <v>0</v>
      </c>
      <c r="O632" t="n">
        <v>0</v>
      </c>
      <c r="P632" t="n">
        <v>0</v>
      </c>
      <c r="Q632" t="n">
        <v>0</v>
      </c>
      <c r="R632" s="2" t="inlineStr"/>
    </row>
    <row r="633" ht="15" customHeight="1">
      <c r="A633" t="inlineStr">
        <is>
          <t>A 44949-2023</t>
        </is>
      </c>
      <c r="B633" s="1" t="n">
        <v>45190.69520833333</v>
      </c>
      <c r="C633" s="1" t="n">
        <v>46121</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17682-2024</t>
        </is>
      </c>
      <c r="B634" s="1" t="n">
        <v>45418.42966435185</v>
      </c>
      <c r="C634" s="1" t="n">
        <v>46121</v>
      </c>
      <c r="D634" t="inlineStr">
        <is>
          <t>GOTLANDS LÄN</t>
        </is>
      </c>
      <c r="E634" t="inlineStr">
        <is>
          <t>GOTLAND</t>
        </is>
      </c>
      <c r="G634" t="n">
        <v>2.9</v>
      </c>
      <c r="H634" t="n">
        <v>0</v>
      </c>
      <c r="I634" t="n">
        <v>0</v>
      </c>
      <c r="J634" t="n">
        <v>0</v>
      </c>
      <c r="K634" t="n">
        <v>0</v>
      </c>
      <c r="L634" t="n">
        <v>0</v>
      </c>
      <c r="M634" t="n">
        <v>0</v>
      </c>
      <c r="N634" t="n">
        <v>0</v>
      </c>
      <c r="O634" t="n">
        <v>0</v>
      </c>
      <c r="P634" t="n">
        <v>0</v>
      </c>
      <c r="Q634" t="n">
        <v>0</v>
      </c>
      <c r="R634" s="2" t="inlineStr"/>
    </row>
    <row r="635" ht="15" customHeight="1">
      <c r="A635" t="inlineStr">
        <is>
          <t>A 61897-2024</t>
        </is>
      </c>
      <c r="B635" s="1" t="n">
        <v>45652.75685185185</v>
      </c>
      <c r="C635" s="1" t="n">
        <v>46121</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12032-2025</t>
        </is>
      </c>
      <c r="B636" s="1" t="n">
        <v>45728.64472222222</v>
      </c>
      <c r="C636" s="1" t="n">
        <v>46121</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15595-2024</t>
        </is>
      </c>
      <c r="B637" s="1" t="n">
        <v>45401.81480324074</v>
      </c>
      <c r="C637" s="1" t="n">
        <v>46121</v>
      </c>
      <c r="D637" t="inlineStr">
        <is>
          <t>GOTLANDS LÄN</t>
        </is>
      </c>
      <c r="E637" t="inlineStr">
        <is>
          <t>GOTLAND</t>
        </is>
      </c>
      <c r="G637" t="n">
        <v>6.4</v>
      </c>
      <c r="H637" t="n">
        <v>0</v>
      </c>
      <c r="I637" t="n">
        <v>0</v>
      </c>
      <c r="J637" t="n">
        <v>0</v>
      </c>
      <c r="K637" t="n">
        <v>0</v>
      </c>
      <c r="L637" t="n">
        <v>0</v>
      </c>
      <c r="M637" t="n">
        <v>0</v>
      </c>
      <c r="N637" t="n">
        <v>0</v>
      </c>
      <c r="O637" t="n">
        <v>0</v>
      </c>
      <c r="P637" t="n">
        <v>0</v>
      </c>
      <c r="Q637" t="n">
        <v>0</v>
      </c>
      <c r="R637" s="2" t="inlineStr"/>
    </row>
    <row r="638" ht="15" customHeight="1">
      <c r="A638" t="inlineStr">
        <is>
          <t>A 21164-2024</t>
        </is>
      </c>
      <c r="B638" s="1" t="n">
        <v>45440</v>
      </c>
      <c r="C638" s="1" t="n">
        <v>46121</v>
      </c>
      <c r="D638" t="inlineStr">
        <is>
          <t>GOTLANDS LÄN</t>
        </is>
      </c>
      <c r="E638" t="inlineStr">
        <is>
          <t>GOTLAND</t>
        </is>
      </c>
      <c r="G638" t="n">
        <v>6.3</v>
      </c>
      <c r="H638" t="n">
        <v>0</v>
      </c>
      <c r="I638" t="n">
        <v>0</v>
      </c>
      <c r="J638" t="n">
        <v>0</v>
      </c>
      <c r="K638" t="n">
        <v>0</v>
      </c>
      <c r="L638" t="n">
        <v>0</v>
      </c>
      <c r="M638" t="n">
        <v>0</v>
      </c>
      <c r="N638" t="n">
        <v>0</v>
      </c>
      <c r="O638" t="n">
        <v>0</v>
      </c>
      <c r="P638" t="n">
        <v>0</v>
      </c>
      <c r="Q638" t="n">
        <v>0</v>
      </c>
      <c r="R638" s="2" t="inlineStr"/>
    </row>
    <row r="639" ht="15" customHeight="1">
      <c r="A639" t="inlineStr">
        <is>
          <t>A 17541-2024</t>
        </is>
      </c>
      <c r="B639" s="1" t="n">
        <v>45415</v>
      </c>
      <c r="C639" s="1" t="n">
        <v>46121</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883-2025</t>
        </is>
      </c>
      <c r="B640" s="1" t="n">
        <v>45665</v>
      </c>
      <c r="C640" s="1" t="n">
        <v>46121</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13910-2025</t>
        </is>
      </c>
      <c r="B641" s="1" t="n">
        <v>45737</v>
      </c>
      <c r="C641" s="1" t="n">
        <v>46121</v>
      </c>
      <c r="D641" t="inlineStr">
        <is>
          <t>GOTLANDS LÄN</t>
        </is>
      </c>
      <c r="E641" t="inlineStr">
        <is>
          <t>GOTLAND</t>
        </is>
      </c>
      <c r="F641" t="inlineStr">
        <is>
          <t>Kommuner</t>
        </is>
      </c>
      <c r="G641" t="n">
        <v>3.2</v>
      </c>
      <c r="H641" t="n">
        <v>0</v>
      </c>
      <c r="I641" t="n">
        <v>0</v>
      </c>
      <c r="J641" t="n">
        <v>0</v>
      </c>
      <c r="K641" t="n">
        <v>0</v>
      </c>
      <c r="L641" t="n">
        <v>0</v>
      </c>
      <c r="M641" t="n">
        <v>0</v>
      </c>
      <c r="N641" t="n">
        <v>0</v>
      </c>
      <c r="O641" t="n">
        <v>0</v>
      </c>
      <c r="P641" t="n">
        <v>0</v>
      </c>
      <c r="Q641" t="n">
        <v>0</v>
      </c>
      <c r="R641" s="2" t="inlineStr"/>
    </row>
    <row r="642" ht="15" customHeight="1">
      <c r="A642" t="inlineStr">
        <is>
          <t>A 20794-2025</t>
        </is>
      </c>
      <c r="B642" s="1" t="n">
        <v>45776</v>
      </c>
      <c r="C642" s="1" t="n">
        <v>46121</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20805-2025</t>
        </is>
      </c>
      <c r="B643" s="1" t="n">
        <v>45776</v>
      </c>
      <c r="C643" s="1" t="n">
        <v>46121</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21389-2025</t>
        </is>
      </c>
      <c r="B644" s="1" t="n">
        <v>45782</v>
      </c>
      <c r="C644" s="1" t="n">
        <v>46121</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21651-2025</t>
        </is>
      </c>
      <c r="B645" s="1" t="n">
        <v>45783</v>
      </c>
      <c r="C645" s="1" t="n">
        <v>46121</v>
      </c>
      <c r="D645" t="inlineStr">
        <is>
          <t>GOTLANDS LÄN</t>
        </is>
      </c>
      <c r="E645" t="inlineStr">
        <is>
          <t>GOTLAND</t>
        </is>
      </c>
      <c r="G645" t="n">
        <v>4.2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2026-04-09T10:54:08Z</dcterms:created>
  <dcterms:modified xmlns:dcterms="http://purl.org/dc/terms/" xmlns:xsi="http://www.w3.org/2001/XMLSchema-instance" xsi:type="dcterms:W3CDTF">2026-04-09T10:54:09Z</dcterms:modified>
</cp:coreProperties>
</file>