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46112</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46112</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46112</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46112</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46112</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46112</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46112</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46112</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6913-2025</t>
        </is>
      </c>
      <c r="B24" s="1" t="n">
        <v>45701.43809027778</v>
      </c>
      <c r="C24" s="1" t="n">
        <v>46112</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46112</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46112</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46112</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46112</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46112</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46112</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46112</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46112</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46112</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46112</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46112</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46112</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46112</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46112</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46112</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52223-2025</t>
        </is>
      </c>
      <c r="B42" s="1" t="n">
        <v>45953.44509259259</v>
      </c>
      <c r="C42" s="1" t="n">
        <v>46112</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11176-2024</t>
        </is>
      </c>
      <c r="B43" s="1" t="n">
        <v>45371</v>
      </c>
      <c r="C43" s="1" t="n">
        <v>46112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46112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46112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46112</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45248-2024</t>
        </is>
      </c>
      <c r="B47" s="1" t="n">
        <v>45576</v>
      </c>
      <c r="C47" s="1" t="n">
        <v>46112</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14354-2024</t>
        </is>
      </c>
      <c r="B48" s="1" t="n">
        <v>45393</v>
      </c>
      <c r="C48" s="1" t="n">
        <v>46112</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46112</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46112</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27280-2023</t>
        </is>
      </c>
      <c r="B51" s="1" t="n">
        <v>45096</v>
      </c>
      <c r="C51" s="1" t="n">
        <v>46112</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46112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46112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46112</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46112</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46112</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46112</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46112</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46112</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46112</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46112</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46112</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46112</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46112</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46112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46112</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46112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46112</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46112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46112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52245-2025</t>
        </is>
      </c>
      <c r="B78" s="1" t="n">
        <v>45953.47115740741</v>
      </c>
      <c r="C78" s="1" t="n">
        <v>46112</v>
      </c>
      <c r="D78" t="inlineStr">
        <is>
          <t>GOTLANDS LÄN</t>
        </is>
      </c>
      <c r="E78" t="inlineStr">
        <is>
          <t>GOTLAND</t>
        </is>
      </c>
      <c r="F78" t="inlineStr">
        <is>
          <t>Övriga Aktiebolag</t>
        </is>
      </c>
      <c r="G78" t="n">
        <v>10.1</v>
      </c>
      <c r="H78" t="n">
        <v>0</v>
      </c>
      <c r="I78" t="n">
        <v>3</v>
      </c>
      <c r="J78" t="n">
        <v>1</v>
      </c>
      <c r="K78" t="n">
        <v>1</v>
      </c>
      <c r="L78" t="n">
        <v>0</v>
      </c>
      <c r="M78" t="n">
        <v>0</v>
      </c>
      <c r="N78" t="n">
        <v>0</v>
      </c>
      <c r="O78" t="n">
        <v>2</v>
      </c>
      <c r="P78" t="n">
        <v>1</v>
      </c>
      <c r="Q78" t="n">
        <v>5</v>
      </c>
      <c r="R78" s="2" t="inlineStr">
        <is>
          <t>Källnate
Jordtistel
Olivspindling
Rödgul trumpetsvamp
Underviol</t>
        </is>
      </c>
      <c r="S78">
        <f>HYPERLINK("https://klasma.github.io/Logging_0980/artfynd/A 52245-2025 artfynd.xlsx", "A 52245-2025")</f>
        <v/>
      </c>
      <c r="T78">
        <f>HYPERLINK("https://klasma.github.io/Logging_0980/kartor/A 52245-2025 karta.png", "A 52245-2025")</f>
        <v/>
      </c>
      <c r="V78">
        <f>HYPERLINK("https://klasma.github.io/Logging_0980/klagomål/A 52245-2025 FSC-klagomål.docx", "A 52245-2025")</f>
        <v/>
      </c>
      <c r="W78">
        <f>HYPERLINK("https://klasma.github.io/Logging_0980/klagomålsmail/A 52245-2025 FSC-klagomål mail.docx", "A 52245-2025")</f>
        <v/>
      </c>
      <c r="X78">
        <f>HYPERLINK("https://klasma.github.io/Logging_0980/tillsyn/A 52245-2025 tillsynsbegäran.docx", "A 52245-2025")</f>
        <v/>
      </c>
      <c r="Y78">
        <f>HYPERLINK("https://klasma.github.io/Logging_0980/tillsynsmail/A 52245-2025 tillsynsbegäran mail.docx", "A 52245-2025")</f>
        <v/>
      </c>
    </row>
    <row r="79" ht="15" customHeight="1">
      <c r="A79" t="inlineStr">
        <is>
          <t>A 32326-2024</t>
        </is>
      </c>
      <c r="B79" s="1" t="n">
        <v>45512</v>
      </c>
      <c r="C79" s="1" t="n">
        <v>46112</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35293-2025</t>
        </is>
      </c>
      <c r="B80" s="1" t="n">
        <v>45854.39438657407</v>
      </c>
      <c r="C80" s="1" t="n">
        <v>46112</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6839-2026</t>
        </is>
      </c>
      <c r="B81" s="1" t="n">
        <v>46057.41193287037</v>
      </c>
      <c r="C81" s="1" t="n">
        <v>46112</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39425-2023</t>
        </is>
      </c>
      <c r="B82" s="1" t="n">
        <v>45166</v>
      </c>
      <c r="C82" s="1" t="n">
        <v>46112</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46112</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46112</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46112</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46112</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16375-2025</t>
        </is>
      </c>
      <c r="B87" s="1" t="n">
        <v>45751.41064814815</v>
      </c>
      <c r="C87" s="1" t="n">
        <v>46112</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46112</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46112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52250-2025</t>
        </is>
      </c>
      <c r="B91" s="1" t="n">
        <v>45953.48998842593</v>
      </c>
      <c r="C91" s="1" t="n">
        <v>46112</v>
      </c>
      <c r="D91" t="inlineStr">
        <is>
          <t>GOTLANDS LÄN</t>
        </is>
      </c>
      <c r="E91" t="inlineStr">
        <is>
          <t>GOTLAND</t>
        </is>
      </c>
      <c r="F91" t="inlineStr">
        <is>
          <t>Övriga Aktiebolag</t>
        </is>
      </c>
      <c r="G91" t="n">
        <v>1.2</v>
      </c>
      <c r="H91" t="n">
        <v>2</v>
      </c>
      <c r="I91" t="n">
        <v>1</v>
      </c>
      <c r="J91" t="n">
        <v>2</v>
      </c>
      <c r="K91" t="n">
        <v>0</v>
      </c>
      <c r="L91" t="n">
        <v>0</v>
      </c>
      <c r="M91" t="n">
        <v>0</v>
      </c>
      <c r="N91" t="n">
        <v>0</v>
      </c>
      <c r="O91" t="n">
        <v>2</v>
      </c>
      <c r="P91" t="n">
        <v>0</v>
      </c>
      <c r="Q91" t="n">
        <v>4</v>
      </c>
      <c r="R91" s="2" t="inlineStr">
        <is>
          <t>Backtimjan
Spillkråka
Anisspindling
Nattviol</t>
        </is>
      </c>
      <c r="S91">
        <f>HYPERLINK("https://klasma.github.io/Logging_0980/artfynd/A 52250-2025 artfynd.xlsx", "A 52250-2025")</f>
        <v/>
      </c>
      <c r="T91">
        <f>HYPERLINK("https://klasma.github.io/Logging_0980/kartor/A 52250-2025 karta.png", "A 52250-2025")</f>
        <v/>
      </c>
      <c r="V91">
        <f>HYPERLINK("https://klasma.github.io/Logging_0980/klagomål/A 52250-2025 FSC-klagomål.docx", "A 52250-2025")</f>
        <v/>
      </c>
      <c r="W91">
        <f>HYPERLINK("https://klasma.github.io/Logging_0980/klagomålsmail/A 52250-2025 FSC-klagomål mail.docx", "A 52250-2025")</f>
        <v/>
      </c>
      <c r="X91">
        <f>HYPERLINK("https://klasma.github.io/Logging_0980/tillsyn/A 52250-2025 tillsynsbegäran.docx", "A 52250-2025")</f>
        <v/>
      </c>
      <c r="Y91">
        <f>HYPERLINK("https://klasma.github.io/Logging_0980/tillsynsmail/A 52250-2025 tillsynsbegäran mail.docx", "A 52250-2025")</f>
        <v/>
      </c>
      <c r="Z91">
        <f>HYPERLINK("https://klasma.github.io/Logging_0980/fåglar/A 52250-2025 prioriterade fågelarter.docx", "A 52250-2025")</f>
        <v/>
      </c>
    </row>
    <row r="92" ht="15" customHeight="1">
      <c r="A92" t="inlineStr">
        <is>
          <t>A 20833-2024</t>
        </is>
      </c>
      <c r="B92" s="1" t="n">
        <v>45439</v>
      </c>
      <c r="C92" s="1" t="n">
        <v>46112</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46112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46112</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46112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46112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13203-2026</t>
        </is>
      </c>
      <c r="B97" s="1" t="n">
        <v>46093</v>
      </c>
      <c r="C97" s="1" t="n">
        <v>46112</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6836-2026</t>
        </is>
      </c>
      <c r="B98" s="1" t="n">
        <v>46057.40902777778</v>
      </c>
      <c r="C98" s="1" t="n">
        <v>46112</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1971-2023</t>
        </is>
      </c>
      <c r="B99" s="1" t="n">
        <v>44939</v>
      </c>
      <c r="C99" s="1" t="n">
        <v>46112</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186-2023</t>
        </is>
      </c>
      <c r="B100" s="1" t="n">
        <v>44928</v>
      </c>
      <c r="C100" s="1" t="n">
        <v>46112</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54523-2023</t>
        </is>
      </c>
      <c r="B101" s="1" t="n">
        <v>45233</v>
      </c>
      <c r="C101" s="1" t="n">
        <v>46112</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57463-2025</t>
        </is>
      </c>
      <c r="B102" s="1" t="n">
        <v>45980.54174768519</v>
      </c>
      <c r="C102" s="1" t="n">
        <v>46112</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46112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46112</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46112</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1520-2026</t>
        </is>
      </c>
      <c r="B112" s="1" t="n">
        <v>46034.35891203704</v>
      </c>
      <c r="C112" s="1" t="n">
        <v>46112</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48126-2022</t>
        </is>
      </c>
      <c r="B113" s="1" t="n">
        <v>44857</v>
      </c>
      <c r="C113" s="1" t="n">
        <v>46112</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46112</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46112</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46112</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46112</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46112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46112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46112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46112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46112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46112</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46112</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46112</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46112</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46112</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46112</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46112</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46112</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46112</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46112</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46112</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46112</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46112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46112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46112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46112</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46112</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46112</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46112</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17723-2021</t>
        </is>
      </c>
      <c r="B145" s="1" t="n">
        <v>44300</v>
      </c>
      <c r="C145" s="1" t="n">
        <v>46112</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6303-2024</t>
        </is>
      </c>
      <c r="B146" s="1" t="n">
        <v>45338.35376157407</v>
      </c>
      <c r="C146" s="1" t="n">
        <v>46112</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62552-2022</t>
        </is>
      </c>
      <c r="B147" s="1" t="n">
        <v>44924</v>
      </c>
      <c r="C147" s="1" t="n">
        <v>46112</v>
      </c>
      <c r="D147" t="inlineStr">
        <is>
          <t>GOTLANDS LÄN</t>
        </is>
      </c>
      <c r="E147" t="inlineStr">
        <is>
          <t>GOTLAND</t>
        </is>
      </c>
      <c r="G147" t="n">
        <v>1.6</v>
      </c>
      <c r="H147" t="n">
        <v>0</v>
      </c>
      <c r="I147" t="n">
        <v>0</v>
      </c>
      <c r="J147" t="n">
        <v>1</v>
      </c>
      <c r="K147" t="n">
        <v>0</v>
      </c>
      <c r="L147" t="n">
        <v>0</v>
      </c>
      <c r="M147" t="n">
        <v>0</v>
      </c>
      <c r="N147" t="n">
        <v>0</v>
      </c>
      <c r="O147" t="n">
        <v>1</v>
      </c>
      <c r="P147" t="n">
        <v>0</v>
      </c>
      <c r="Q147" t="n">
        <v>1</v>
      </c>
      <c r="R147" s="2" t="inlineStr">
        <is>
          <t>Äggspindling</t>
        </is>
      </c>
      <c r="S147">
        <f>HYPERLINK("https://klasma.github.io/Logging_0980/artfynd/A 62552-2022 artfynd.xlsx", "A 62552-2022")</f>
        <v/>
      </c>
      <c r="T147">
        <f>HYPERLINK("https://klasma.github.io/Logging_0980/kartor/A 62552-2022 karta.png", "A 62552-2022")</f>
        <v/>
      </c>
      <c r="V147">
        <f>HYPERLINK("https://klasma.github.io/Logging_0980/klagomål/A 62552-2022 FSC-klagomål.docx", "A 62552-2022")</f>
        <v/>
      </c>
      <c r="W147">
        <f>HYPERLINK("https://klasma.github.io/Logging_0980/klagomålsmail/A 62552-2022 FSC-klagomål mail.docx", "A 62552-2022")</f>
        <v/>
      </c>
      <c r="X147">
        <f>HYPERLINK("https://klasma.github.io/Logging_0980/tillsyn/A 62552-2022 tillsynsbegäran.docx", "A 62552-2022")</f>
        <v/>
      </c>
      <c r="Y147">
        <f>HYPERLINK("https://klasma.github.io/Logging_0980/tillsynsmail/A 62552-2022 tillsynsbegäran mail.docx", "A 62552-2022")</f>
        <v/>
      </c>
    </row>
    <row r="148" ht="15" customHeight="1">
      <c r="A148" t="inlineStr">
        <is>
          <t>A 25977-2024</t>
        </is>
      </c>
      <c r="B148" s="1" t="n">
        <v>45467.69356481481</v>
      </c>
      <c r="C148" s="1" t="n">
        <v>46112</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39812-2025</t>
        </is>
      </c>
      <c r="B149" s="1" t="n">
        <v>45891</v>
      </c>
      <c r="C149" s="1" t="n">
        <v>46112</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27589-2023</t>
        </is>
      </c>
      <c r="B150" s="1" t="n">
        <v>45097</v>
      </c>
      <c r="C150" s="1" t="n">
        <v>46112</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9862-2024</t>
        </is>
      </c>
      <c r="B151" s="1" t="n">
        <v>45363</v>
      </c>
      <c r="C151" s="1" t="n">
        <v>46112</v>
      </c>
      <c r="D151" t="inlineStr">
        <is>
          <t>GOTLANDS LÄN</t>
        </is>
      </c>
      <c r="E151" t="inlineStr">
        <is>
          <t>GOTLAND</t>
        </is>
      </c>
      <c r="G151" t="n">
        <v>3.5</v>
      </c>
      <c r="H151" t="n">
        <v>1</v>
      </c>
      <c r="I151" t="n">
        <v>0</v>
      </c>
      <c r="J151" t="n">
        <v>0</v>
      </c>
      <c r="K151" t="n">
        <v>0</v>
      </c>
      <c r="L151" t="n">
        <v>0</v>
      </c>
      <c r="M151" t="n">
        <v>0</v>
      </c>
      <c r="N151" t="n">
        <v>0</v>
      </c>
      <c r="O151" t="n">
        <v>0</v>
      </c>
      <c r="P151" t="n">
        <v>0</v>
      </c>
      <c r="Q151" t="n">
        <v>1</v>
      </c>
      <c r="R151" s="2" t="inlineStr">
        <is>
          <t>Nattviol</t>
        </is>
      </c>
      <c r="S151">
        <f>HYPERLINK("https://klasma.github.io/Logging_0980/artfynd/A 9862-2024 artfynd.xlsx", "A 9862-2024")</f>
        <v/>
      </c>
      <c r="T151">
        <f>HYPERLINK("https://klasma.github.io/Logging_0980/kartor/A 9862-2024 karta.png", "A 9862-2024")</f>
        <v/>
      </c>
      <c r="V151">
        <f>HYPERLINK("https://klasma.github.io/Logging_0980/klagomål/A 9862-2024 FSC-klagomål.docx", "A 9862-2024")</f>
        <v/>
      </c>
      <c r="W151">
        <f>HYPERLINK("https://klasma.github.io/Logging_0980/klagomålsmail/A 9862-2024 FSC-klagomål mail.docx", "A 9862-2024")</f>
        <v/>
      </c>
      <c r="X151">
        <f>HYPERLINK("https://klasma.github.io/Logging_0980/tillsyn/A 9862-2024 tillsynsbegäran.docx", "A 9862-2024")</f>
        <v/>
      </c>
      <c r="Y151">
        <f>HYPERLINK("https://klasma.github.io/Logging_0980/tillsynsmail/A 9862-2024 tillsynsbegäran mail.docx", "A 9862-2024")</f>
        <v/>
      </c>
    </row>
    <row r="152" ht="15" customHeight="1">
      <c r="A152" t="inlineStr">
        <is>
          <t>A 34141-2024</t>
        </is>
      </c>
      <c r="B152" s="1" t="n">
        <v>45524.36229166666</v>
      </c>
      <c r="C152" s="1" t="n">
        <v>46112</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65927-2021</t>
        </is>
      </c>
      <c r="B153" s="1" t="n">
        <v>44516</v>
      </c>
      <c r="C153" s="1" t="n">
        <v>46112</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947-2023</t>
        </is>
      </c>
      <c r="B154" s="1" t="n">
        <v>44934</v>
      </c>
      <c r="C154" s="1" t="n">
        <v>46112</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11708-2026</t>
        </is>
      </c>
      <c r="B155" s="1" t="n">
        <v>46084</v>
      </c>
      <c r="C155" s="1" t="n">
        <v>46112</v>
      </c>
      <c r="D155" t="inlineStr">
        <is>
          <t>GOTLANDS LÄN</t>
        </is>
      </c>
      <c r="E155" t="inlineStr">
        <is>
          <t>GOTLAND</t>
        </is>
      </c>
      <c r="G155" t="n">
        <v>8.4</v>
      </c>
      <c r="H155" t="n">
        <v>1</v>
      </c>
      <c r="I155" t="n">
        <v>0</v>
      </c>
      <c r="J155" t="n">
        <v>1</v>
      </c>
      <c r="K155" t="n">
        <v>0</v>
      </c>
      <c r="L155" t="n">
        <v>0</v>
      </c>
      <c r="M155" t="n">
        <v>0</v>
      </c>
      <c r="N155" t="n">
        <v>0</v>
      </c>
      <c r="O155" t="n">
        <v>1</v>
      </c>
      <c r="P155" t="n">
        <v>0</v>
      </c>
      <c r="Q155" t="n">
        <v>1</v>
      </c>
      <c r="R155" s="2" t="inlineStr">
        <is>
          <t>Bredarun</t>
        </is>
      </c>
      <c r="S155">
        <f>HYPERLINK("https://klasma.github.io/Logging_0980/artfynd/A 11708-2026 artfynd.xlsx", "A 11708-2026")</f>
        <v/>
      </c>
      <c r="T155">
        <f>HYPERLINK("https://klasma.github.io/Logging_0980/kartor/A 11708-2026 karta.png", "A 11708-2026")</f>
        <v/>
      </c>
      <c r="V155">
        <f>HYPERLINK("https://klasma.github.io/Logging_0980/klagomål/A 11708-2026 FSC-klagomål.docx", "A 11708-2026")</f>
        <v/>
      </c>
      <c r="W155">
        <f>HYPERLINK("https://klasma.github.io/Logging_0980/klagomålsmail/A 11708-2026 FSC-klagomål mail.docx", "A 11708-2026")</f>
        <v/>
      </c>
      <c r="X155">
        <f>HYPERLINK("https://klasma.github.io/Logging_0980/tillsyn/A 11708-2026 tillsynsbegäran.docx", "A 11708-2026")</f>
        <v/>
      </c>
      <c r="Y155">
        <f>HYPERLINK("https://klasma.github.io/Logging_0980/tillsynsmail/A 11708-2026 tillsynsbegäran mail.docx", "A 11708-2026")</f>
        <v/>
      </c>
    </row>
    <row r="156" ht="15" customHeight="1">
      <c r="A156" t="inlineStr">
        <is>
          <t>A 35467-2021</t>
        </is>
      </c>
      <c r="B156" s="1" t="n">
        <v>44385</v>
      </c>
      <c r="C156" s="1" t="n">
        <v>46112</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46112</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61561-2023</t>
        </is>
      </c>
      <c r="B158" s="1" t="n">
        <v>45265</v>
      </c>
      <c r="C158" s="1" t="n">
        <v>46112</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12924-2025</t>
        </is>
      </c>
      <c r="B159" s="1" t="n">
        <v>45734</v>
      </c>
      <c r="C159" s="1" t="n">
        <v>46112</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12324-2025</t>
        </is>
      </c>
      <c r="B160" s="1" t="n">
        <v>45730</v>
      </c>
      <c r="C160" s="1" t="n">
        <v>46112</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49726-2025</t>
        </is>
      </c>
      <c r="B161" s="1" t="n">
        <v>45939.84466435185</v>
      </c>
      <c r="C161" s="1" t="n">
        <v>46112</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10013-2026</t>
        </is>
      </c>
      <c r="B162" s="1" t="n">
        <v>46073</v>
      </c>
      <c r="C162" s="1" t="n">
        <v>46112</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2476-2025</t>
        </is>
      </c>
      <c r="B163" s="1" t="n">
        <v>45673</v>
      </c>
      <c r="C163" s="1" t="n">
        <v>46112</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46112</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46112</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46112</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46112</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46112</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46112</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63149-2025</t>
        </is>
      </c>
      <c r="B170" s="1" t="n">
        <v>46010</v>
      </c>
      <c r="C170" s="1" t="n">
        <v>46112</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1477-2024</t>
        </is>
      </c>
      <c r="B171" s="1" t="n">
        <v>45305.37987268518</v>
      </c>
      <c r="C171" s="1" t="n">
        <v>46112</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7637-2025</t>
        </is>
      </c>
      <c r="B172" s="1" t="n">
        <v>45705.77181712963</v>
      </c>
      <c r="C172" s="1" t="n">
        <v>46112</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46112</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46112</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46112</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46112</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46112</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46112</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46112</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49847-2023</t>
        </is>
      </c>
      <c r="B180" s="1" t="n">
        <v>45212</v>
      </c>
      <c r="C180" s="1" t="n">
        <v>46112</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46112</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46112</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46112</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46112</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46112</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19901-2021</t>
        </is>
      </c>
      <c r="B186" s="1" t="n">
        <v>44312</v>
      </c>
      <c r="C186" s="1" t="n">
        <v>46112</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46112</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46112</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46112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46112</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46112</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46112</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46112</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46112</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46112</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46112</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46112</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46112</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46112</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46112</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46112</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42688-2021</t>
        </is>
      </c>
      <c r="B202" s="1" t="n">
        <v>44428</v>
      </c>
      <c r="C202" s="1" t="n">
        <v>46112</v>
      </c>
      <c r="D202" t="inlineStr">
        <is>
          <t>GOTLANDS LÄN</t>
        </is>
      </c>
      <c r="E202" t="inlineStr">
        <is>
          <t>GOTLAND</t>
        </is>
      </c>
      <c r="G202" t="n">
        <v>0.6</v>
      </c>
      <c r="H202" t="n">
        <v>0</v>
      </c>
      <c r="I202" t="n">
        <v>0</v>
      </c>
      <c r="J202" t="n">
        <v>0</v>
      </c>
      <c r="K202" t="n">
        <v>0</v>
      </c>
      <c r="L202" t="n">
        <v>0</v>
      </c>
      <c r="M202" t="n">
        <v>0</v>
      </c>
      <c r="N202" t="n">
        <v>0</v>
      </c>
      <c r="O202" t="n">
        <v>0</v>
      </c>
      <c r="P202" t="n">
        <v>0</v>
      </c>
      <c r="Q202" t="n">
        <v>0</v>
      </c>
      <c r="R202" s="2" t="inlineStr"/>
    </row>
    <row r="203" ht="15" customHeight="1">
      <c r="A203" t="inlineStr">
        <is>
          <t>A 44207-2022</t>
        </is>
      </c>
      <c r="B203" s="1" t="n">
        <v>44839</v>
      </c>
      <c r="C203" s="1" t="n">
        <v>46112</v>
      </c>
      <c r="D203" t="inlineStr">
        <is>
          <t>GOTLANDS LÄN</t>
        </is>
      </c>
      <c r="E203" t="inlineStr">
        <is>
          <t>GOTLAND</t>
        </is>
      </c>
      <c r="G203" t="n">
        <v>3.8</v>
      </c>
      <c r="H203" t="n">
        <v>0</v>
      </c>
      <c r="I203" t="n">
        <v>0</v>
      </c>
      <c r="J203" t="n">
        <v>0</v>
      </c>
      <c r="K203" t="n">
        <v>0</v>
      </c>
      <c r="L203" t="n">
        <v>0</v>
      </c>
      <c r="M203" t="n">
        <v>0</v>
      </c>
      <c r="N203" t="n">
        <v>0</v>
      </c>
      <c r="O203" t="n">
        <v>0</v>
      </c>
      <c r="P203" t="n">
        <v>0</v>
      </c>
      <c r="Q203" t="n">
        <v>0</v>
      </c>
      <c r="R203" s="2" t="inlineStr"/>
    </row>
    <row r="204" ht="15" customHeight="1">
      <c r="A204" t="inlineStr">
        <is>
          <t>A 19447-2021</t>
        </is>
      </c>
      <c r="B204" s="1" t="n">
        <v>44310.72780092592</v>
      </c>
      <c r="C204" s="1" t="n">
        <v>46112</v>
      </c>
      <c r="D204" t="inlineStr">
        <is>
          <t>GOTLANDS LÄN</t>
        </is>
      </c>
      <c r="E204" t="inlineStr">
        <is>
          <t>GOTLAND</t>
        </is>
      </c>
      <c r="G204" t="n">
        <v>0.4</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46112</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46112</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46112</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46112</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46112</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46112</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46112</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46112</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46112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46112</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46112</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46112</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46112</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46112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46112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46112</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46112</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46112</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46112</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46112</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46112</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46112</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46112</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17901-2023</t>
        </is>
      </c>
      <c r="B228" s="1" t="n">
        <v>45039</v>
      </c>
      <c r="C228" s="1" t="n">
        <v>46112</v>
      </c>
      <c r="D228" t="inlineStr">
        <is>
          <t>GOTLANDS LÄN</t>
        </is>
      </c>
      <c r="E228" t="inlineStr">
        <is>
          <t>GOTLAND</t>
        </is>
      </c>
      <c r="F228" t="inlineStr">
        <is>
          <t>Kyrkan</t>
        </is>
      </c>
      <c r="G228" t="n">
        <v>0.6</v>
      </c>
      <c r="H228" t="n">
        <v>0</v>
      </c>
      <c r="I228" t="n">
        <v>0</v>
      </c>
      <c r="J228" t="n">
        <v>0</v>
      </c>
      <c r="K228" t="n">
        <v>0</v>
      </c>
      <c r="L228" t="n">
        <v>0</v>
      </c>
      <c r="M228" t="n">
        <v>0</v>
      </c>
      <c r="N228" t="n">
        <v>0</v>
      </c>
      <c r="O228" t="n">
        <v>0</v>
      </c>
      <c r="P228" t="n">
        <v>0</v>
      </c>
      <c r="Q228" t="n">
        <v>0</v>
      </c>
      <c r="R228" s="2" t="inlineStr"/>
    </row>
    <row r="229" ht="15" customHeight="1">
      <c r="A229" t="inlineStr">
        <is>
          <t>A 456-2023</t>
        </is>
      </c>
      <c r="B229" s="1" t="n">
        <v>44929.87122685185</v>
      </c>
      <c r="C229" s="1" t="n">
        <v>46112</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58476-2022</t>
        </is>
      </c>
      <c r="B230" s="1" t="n">
        <v>44902</v>
      </c>
      <c r="C230" s="1" t="n">
        <v>46112</v>
      </c>
      <c r="D230" t="inlineStr">
        <is>
          <t>GOTLANDS LÄN</t>
        </is>
      </c>
      <c r="E230" t="inlineStr">
        <is>
          <t>GOTLAND</t>
        </is>
      </c>
      <c r="G230" t="n">
        <v>0.9</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46112</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46112</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44228-2022</t>
        </is>
      </c>
      <c r="B233" s="1" t="n">
        <v>44839.51599537037</v>
      </c>
      <c r="C233" s="1" t="n">
        <v>46112</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63229-2021</t>
        </is>
      </c>
      <c r="B234" s="1" t="n">
        <v>44508.34518518519</v>
      </c>
      <c r="C234" s="1" t="n">
        <v>46112</v>
      </c>
      <c r="D234" t="inlineStr">
        <is>
          <t>GOTLANDS LÄN</t>
        </is>
      </c>
      <c r="E234" t="inlineStr">
        <is>
          <t>GOTLAND</t>
        </is>
      </c>
      <c r="F234" t="inlineStr">
        <is>
          <t>Kyrkan</t>
        </is>
      </c>
      <c r="G234" t="n">
        <v>3.8</v>
      </c>
      <c r="H234" t="n">
        <v>0</v>
      </c>
      <c r="I234" t="n">
        <v>0</v>
      </c>
      <c r="J234" t="n">
        <v>0</v>
      </c>
      <c r="K234" t="n">
        <v>0</v>
      </c>
      <c r="L234" t="n">
        <v>0</v>
      </c>
      <c r="M234" t="n">
        <v>0</v>
      </c>
      <c r="N234" t="n">
        <v>0</v>
      </c>
      <c r="O234" t="n">
        <v>0</v>
      </c>
      <c r="P234" t="n">
        <v>0</v>
      </c>
      <c r="Q234" t="n">
        <v>0</v>
      </c>
      <c r="R234" s="2" t="inlineStr"/>
    </row>
    <row r="235" ht="15" customHeight="1">
      <c r="A235" t="inlineStr">
        <is>
          <t>A 61386-2023</t>
        </is>
      </c>
      <c r="B235" s="1" t="n">
        <v>45264</v>
      </c>
      <c r="C235" s="1" t="n">
        <v>46112</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46112</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46112</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45106-2024</t>
        </is>
      </c>
      <c r="B238" s="1" t="n">
        <v>45575</v>
      </c>
      <c r="C238" s="1" t="n">
        <v>46112</v>
      </c>
      <c r="D238" t="inlineStr">
        <is>
          <t>GOTLANDS LÄN</t>
        </is>
      </c>
      <c r="E238" t="inlineStr">
        <is>
          <t>GOTLAND</t>
        </is>
      </c>
      <c r="G238" t="n">
        <v>10</v>
      </c>
      <c r="H238" t="n">
        <v>0</v>
      </c>
      <c r="I238" t="n">
        <v>0</v>
      </c>
      <c r="J238" t="n">
        <v>0</v>
      </c>
      <c r="K238" t="n">
        <v>0</v>
      </c>
      <c r="L238" t="n">
        <v>0</v>
      </c>
      <c r="M238" t="n">
        <v>0</v>
      </c>
      <c r="N238" t="n">
        <v>0</v>
      </c>
      <c r="O238" t="n">
        <v>0</v>
      </c>
      <c r="P238" t="n">
        <v>0</v>
      </c>
      <c r="Q238" t="n">
        <v>0</v>
      </c>
      <c r="R238" s="2" t="inlineStr"/>
    </row>
    <row r="239" ht="15" customHeight="1">
      <c r="A239" t="inlineStr">
        <is>
          <t>A 45112-2024</t>
        </is>
      </c>
      <c r="B239" s="1" t="n">
        <v>45575</v>
      </c>
      <c r="C239" s="1" t="n">
        <v>46112</v>
      </c>
      <c r="D239" t="inlineStr">
        <is>
          <t>GOTLANDS LÄN</t>
        </is>
      </c>
      <c r="E239" t="inlineStr">
        <is>
          <t>GOTLAND</t>
        </is>
      </c>
      <c r="G239" t="n">
        <v>5.1</v>
      </c>
      <c r="H239" t="n">
        <v>0</v>
      </c>
      <c r="I239" t="n">
        <v>0</v>
      </c>
      <c r="J239" t="n">
        <v>0</v>
      </c>
      <c r="K239" t="n">
        <v>0</v>
      </c>
      <c r="L239" t="n">
        <v>0</v>
      </c>
      <c r="M239" t="n">
        <v>0</v>
      </c>
      <c r="N239" t="n">
        <v>0</v>
      </c>
      <c r="O239" t="n">
        <v>0</v>
      </c>
      <c r="P239" t="n">
        <v>0</v>
      </c>
      <c r="Q239" t="n">
        <v>0</v>
      </c>
      <c r="R239" s="2" t="inlineStr"/>
    </row>
    <row r="240" ht="15" customHeight="1">
      <c r="A240" t="inlineStr">
        <is>
          <t>A 56009-2024</t>
        </is>
      </c>
      <c r="B240" s="1" t="n">
        <v>45623.80864583333</v>
      </c>
      <c r="C240" s="1" t="n">
        <v>46112</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54073-2022</t>
        </is>
      </c>
      <c r="B241" s="1" t="n">
        <v>44881.50380787037</v>
      </c>
      <c r="C241" s="1" t="n">
        <v>46112</v>
      </c>
      <c r="D241" t="inlineStr">
        <is>
          <t>GOTLANDS LÄN</t>
        </is>
      </c>
      <c r="E241" t="inlineStr">
        <is>
          <t>GOTLAND</t>
        </is>
      </c>
      <c r="G241" t="n">
        <v>3.8</v>
      </c>
      <c r="H241" t="n">
        <v>0</v>
      </c>
      <c r="I241" t="n">
        <v>0</v>
      </c>
      <c r="J241" t="n">
        <v>0</v>
      </c>
      <c r="K241" t="n">
        <v>0</v>
      </c>
      <c r="L241" t="n">
        <v>0</v>
      </c>
      <c r="M241" t="n">
        <v>0</v>
      </c>
      <c r="N241" t="n">
        <v>0</v>
      </c>
      <c r="O241" t="n">
        <v>0</v>
      </c>
      <c r="P241" t="n">
        <v>0</v>
      </c>
      <c r="Q241" t="n">
        <v>0</v>
      </c>
      <c r="R241" s="2" t="inlineStr"/>
    </row>
    <row r="242" ht="15" customHeight="1">
      <c r="A242" t="inlineStr">
        <is>
          <t>A 49874-2024</t>
        </is>
      </c>
      <c r="B242" s="1" t="n">
        <v>45597.49274305555</v>
      </c>
      <c r="C242" s="1" t="n">
        <v>46112</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3964-2024</t>
        </is>
      </c>
      <c r="B243" s="1" t="n">
        <v>45322</v>
      </c>
      <c r="C243" s="1" t="n">
        <v>46112</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7026-2023</t>
        </is>
      </c>
      <c r="B244" s="1" t="n">
        <v>44968.30340277778</v>
      </c>
      <c r="C244" s="1" t="n">
        <v>46112</v>
      </c>
      <c r="D244" t="inlineStr">
        <is>
          <t>GOTLANDS LÄN</t>
        </is>
      </c>
      <c r="E244" t="inlineStr">
        <is>
          <t>GOTLAND</t>
        </is>
      </c>
      <c r="G244" t="n">
        <v>2.9</v>
      </c>
      <c r="H244" t="n">
        <v>0</v>
      </c>
      <c r="I244" t="n">
        <v>0</v>
      </c>
      <c r="J244" t="n">
        <v>0</v>
      </c>
      <c r="K244" t="n">
        <v>0</v>
      </c>
      <c r="L244" t="n">
        <v>0</v>
      </c>
      <c r="M244" t="n">
        <v>0</v>
      </c>
      <c r="N244" t="n">
        <v>0</v>
      </c>
      <c r="O244" t="n">
        <v>0</v>
      </c>
      <c r="P244" t="n">
        <v>0</v>
      </c>
      <c r="Q244" t="n">
        <v>0</v>
      </c>
      <c r="R244" s="2" t="inlineStr"/>
    </row>
    <row r="245" ht="15" customHeight="1">
      <c r="A245" t="inlineStr">
        <is>
          <t>A 52892-2021</t>
        </is>
      </c>
      <c r="B245" s="1" t="n">
        <v>44467.49048611111</v>
      </c>
      <c r="C245" s="1" t="n">
        <v>46112</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1351-2025</t>
        </is>
      </c>
      <c r="B246" s="1" t="n">
        <v>45667.62246527777</v>
      </c>
      <c r="C246" s="1" t="n">
        <v>46112</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51782-2023</t>
        </is>
      </c>
      <c r="B247" s="1" t="n">
        <v>45222.80952546297</v>
      </c>
      <c r="C247" s="1" t="n">
        <v>46112</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60675-2021</t>
        </is>
      </c>
      <c r="B248" s="1" t="n">
        <v>44496.64855324074</v>
      </c>
      <c r="C248" s="1" t="n">
        <v>46112</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4421-2024</t>
        </is>
      </c>
      <c r="B249" s="1" t="n">
        <v>45327.45173611111</v>
      </c>
      <c r="C249" s="1" t="n">
        <v>46112</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5217-2023</t>
        </is>
      </c>
      <c r="B250" s="1" t="n">
        <v>44959.39582175926</v>
      </c>
      <c r="C250" s="1" t="n">
        <v>46112</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20165-2022</t>
        </is>
      </c>
      <c r="B251" s="1" t="n">
        <v>44698.49854166667</v>
      </c>
      <c r="C251" s="1" t="n">
        <v>46112</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33876-2024</t>
        </is>
      </c>
      <c r="B252" s="1" t="n">
        <v>45521.87988425926</v>
      </c>
      <c r="C252" s="1" t="n">
        <v>46112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14638-2025</t>
        </is>
      </c>
      <c r="B253" s="1" t="n">
        <v>45742</v>
      </c>
      <c r="C253" s="1" t="n">
        <v>46112</v>
      </c>
      <c r="D253" t="inlineStr">
        <is>
          <t>GOTLANDS LÄN</t>
        </is>
      </c>
      <c r="E253" t="inlineStr">
        <is>
          <t>GOTLAND</t>
        </is>
      </c>
      <c r="G253" t="n">
        <v>13.4</v>
      </c>
      <c r="H253" t="n">
        <v>0</v>
      </c>
      <c r="I253" t="n">
        <v>0</v>
      </c>
      <c r="J253" t="n">
        <v>0</v>
      </c>
      <c r="K253" t="n">
        <v>0</v>
      </c>
      <c r="L253" t="n">
        <v>0</v>
      </c>
      <c r="M253" t="n">
        <v>0</v>
      </c>
      <c r="N253" t="n">
        <v>0</v>
      </c>
      <c r="O253" t="n">
        <v>0</v>
      </c>
      <c r="P253" t="n">
        <v>0</v>
      </c>
      <c r="Q253" t="n">
        <v>0</v>
      </c>
      <c r="R253" s="2" t="inlineStr"/>
    </row>
    <row r="254" ht="15" customHeight="1">
      <c r="A254" t="inlineStr">
        <is>
          <t>A 61962-2024</t>
        </is>
      </c>
      <c r="B254" s="1" t="n">
        <v>45653.54340277778</v>
      </c>
      <c r="C254" s="1" t="n">
        <v>46112</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31264-2021</t>
        </is>
      </c>
      <c r="B255" s="1" t="n">
        <v>44368</v>
      </c>
      <c r="C255" s="1" t="n">
        <v>46112</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27930-2021</t>
        </is>
      </c>
      <c r="B256" s="1" t="n">
        <v>44354</v>
      </c>
      <c r="C256" s="1" t="n">
        <v>46112</v>
      </c>
      <c r="D256" t="inlineStr">
        <is>
          <t>GOTLANDS LÄN</t>
        </is>
      </c>
      <c r="E256" t="inlineStr">
        <is>
          <t>GOTLAND</t>
        </is>
      </c>
      <c r="G256" t="n">
        <v>2.5</v>
      </c>
      <c r="H256" t="n">
        <v>0</v>
      </c>
      <c r="I256" t="n">
        <v>0</v>
      </c>
      <c r="J256" t="n">
        <v>0</v>
      </c>
      <c r="K256" t="n">
        <v>0</v>
      </c>
      <c r="L256" t="n">
        <v>0</v>
      </c>
      <c r="M256" t="n">
        <v>0</v>
      </c>
      <c r="N256" t="n">
        <v>0</v>
      </c>
      <c r="O256" t="n">
        <v>0</v>
      </c>
      <c r="P256" t="n">
        <v>0</v>
      </c>
      <c r="Q256" t="n">
        <v>0</v>
      </c>
      <c r="R256" s="2" t="inlineStr"/>
    </row>
    <row r="257" ht="15" customHeight="1">
      <c r="A257" t="inlineStr">
        <is>
          <t>A 59469-2024</t>
        </is>
      </c>
      <c r="B257" s="1" t="n">
        <v>45638</v>
      </c>
      <c r="C257" s="1" t="n">
        <v>46112</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46112</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46112</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38165-2023</t>
        </is>
      </c>
      <c r="B260" s="1" t="n">
        <v>45161</v>
      </c>
      <c r="C260" s="1" t="n">
        <v>46112</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5751-2024</t>
        </is>
      </c>
      <c r="B261" s="1" t="n">
        <v>45335.32702546296</v>
      </c>
      <c r="C261" s="1" t="n">
        <v>46112</v>
      </c>
      <c r="D261" t="inlineStr">
        <is>
          <t>GOTLANDS LÄN</t>
        </is>
      </c>
      <c r="E261" t="inlineStr">
        <is>
          <t>GOTLAND</t>
        </is>
      </c>
      <c r="G261" t="n">
        <v>4.2</v>
      </c>
      <c r="H261" t="n">
        <v>0</v>
      </c>
      <c r="I261" t="n">
        <v>0</v>
      </c>
      <c r="J261" t="n">
        <v>0</v>
      </c>
      <c r="K261" t="n">
        <v>0</v>
      </c>
      <c r="L261" t="n">
        <v>0</v>
      </c>
      <c r="M261" t="n">
        <v>0</v>
      </c>
      <c r="N261" t="n">
        <v>0</v>
      </c>
      <c r="O261" t="n">
        <v>0</v>
      </c>
      <c r="P261" t="n">
        <v>0</v>
      </c>
      <c r="Q261" t="n">
        <v>0</v>
      </c>
      <c r="R261" s="2" t="inlineStr"/>
    </row>
    <row r="262" ht="15" customHeight="1">
      <c r="A262" t="inlineStr">
        <is>
          <t>A 6696-2023</t>
        </is>
      </c>
      <c r="B262" s="1" t="n">
        <v>44966.66425925926</v>
      </c>
      <c r="C262" s="1" t="n">
        <v>46112</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28480-2023</t>
        </is>
      </c>
      <c r="B263" s="1" t="n">
        <v>45103</v>
      </c>
      <c r="C263" s="1" t="n">
        <v>46112</v>
      </c>
      <c r="D263" t="inlineStr">
        <is>
          <t>GOTLANDS LÄN</t>
        </is>
      </c>
      <c r="E263" t="inlineStr">
        <is>
          <t>GOTLAND</t>
        </is>
      </c>
      <c r="G263" t="n">
        <v>5.7</v>
      </c>
      <c r="H263" t="n">
        <v>0</v>
      </c>
      <c r="I263" t="n">
        <v>0</v>
      </c>
      <c r="J263" t="n">
        <v>0</v>
      </c>
      <c r="K263" t="n">
        <v>0</v>
      </c>
      <c r="L263" t="n">
        <v>0</v>
      </c>
      <c r="M263" t="n">
        <v>0</v>
      </c>
      <c r="N263" t="n">
        <v>0</v>
      </c>
      <c r="O263" t="n">
        <v>0</v>
      </c>
      <c r="P263" t="n">
        <v>0</v>
      </c>
      <c r="Q263" t="n">
        <v>0</v>
      </c>
      <c r="R263" s="2" t="inlineStr"/>
    </row>
    <row r="264" ht="15" customHeight="1">
      <c r="A264" t="inlineStr">
        <is>
          <t>A 28485-2023</t>
        </is>
      </c>
      <c r="B264" s="1" t="n">
        <v>45103.43731481482</v>
      </c>
      <c r="C264" s="1" t="n">
        <v>46112</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49693-2023</t>
        </is>
      </c>
      <c r="B265" s="1" t="n">
        <v>45212.38138888889</v>
      </c>
      <c r="C265" s="1" t="n">
        <v>46112</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49697-2023</t>
        </is>
      </c>
      <c r="B266" s="1" t="n">
        <v>45212.38909722222</v>
      </c>
      <c r="C266" s="1" t="n">
        <v>46112</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34312-2024</t>
        </is>
      </c>
      <c r="B267" s="1" t="n">
        <v>45524.69703703704</v>
      </c>
      <c r="C267" s="1" t="n">
        <v>46112</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48503-2023</t>
        </is>
      </c>
      <c r="B268" s="1" t="n">
        <v>45207</v>
      </c>
      <c r="C268" s="1" t="n">
        <v>46112</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24825-2024</t>
        </is>
      </c>
      <c r="B269" s="1" t="n">
        <v>45461</v>
      </c>
      <c r="C269" s="1" t="n">
        <v>46112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46112</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46112</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46112</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27355-2025</t>
        </is>
      </c>
      <c r="B273" s="1" t="n">
        <v>45812</v>
      </c>
      <c r="C273" s="1" t="n">
        <v>46112</v>
      </c>
      <c r="D273" t="inlineStr">
        <is>
          <t>GOTLANDS LÄN</t>
        </is>
      </c>
      <c r="E273" t="inlineStr">
        <is>
          <t>GOTLAND</t>
        </is>
      </c>
      <c r="G273" t="n">
        <v>1.1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46112</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27371-2025</t>
        </is>
      </c>
      <c r="B275" s="1" t="n">
        <v>45812</v>
      </c>
      <c r="C275" s="1" t="n">
        <v>46112</v>
      </c>
      <c r="D275" t="inlineStr">
        <is>
          <t>GOTLANDS LÄN</t>
        </is>
      </c>
      <c r="E275" t="inlineStr">
        <is>
          <t>GOTLAND</t>
        </is>
      </c>
      <c r="G275" t="n">
        <v>8</v>
      </c>
      <c r="H275" t="n">
        <v>0</v>
      </c>
      <c r="I275" t="n">
        <v>0</v>
      </c>
      <c r="J275" t="n">
        <v>0</v>
      </c>
      <c r="K275" t="n">
        <v>0</v>
      </c>
      <c r="L275" t="n">
        <v>0</v>
      </c>
      <c r="M275" t="n">
        <v>0</v>
      </c>
      <c r="N275" t="n">
        <v>0</v>
      </c>
      <c r="O275" t="n">
        <v>0</v>
      </c>
      <c r="P275" t="n">
        <v>0</v>
      </c>
      <c r="Q275" t="n">
        <v>0</v>
      </c>
      <c r="R275" s="2" t="inlineStr"/>
    </row>
    <row r="276" ht="15" customHeight="1">
      <c r="A276" t="inlineStr">
        <is>
          <t>A 27694-2024</t>
        </is>
      </c>
      <c r="B276" s="1" t="n">
        <v>45475</v>
      </c>
      <c r="C276" s="1" t="n">
        <v>46112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39764-2022</t>
        </is>
      </c>
      <c r="B277" s="1" t="n">
        <v>44819</v>
      </c>
      <c r="C277" s="1" t="n">
        <v>46112</v>
      </c>
      <c r="D277" t="inlineStr">
        <is>
          <t>GOTLANDS LÄN</t>
        </is>
      </c>
      <c r="E277" t="inlineStr">
        <is>
          <t>GOTLAND</t>
        </is>
      </c>
      <c r="F277" t="inlineStr">
        <is>
          <t>Kyrkan</t>
        </is>
      </c>
      <c r="G277" t="n">
        <v>3.7</v>
      </c>
      <c r="H277" t="n">
        <v>0</v>
      </c>
      <c r="I277" t="n">
        <v>0</v>
      </c>
      <c r="J277" t="n">
        <v>0</v>
      </c>
      <c r="K277" t="n">
        <v>0</v>
      </c>
      <c r="L277" t="n">
        <v>0</v>
      </c>
      <c r="M277" t="n">
        <v>0</v>
      </c>
      <c r="N277" t="n">
        <v>0</v>
      </c>
      <c r="O277" t="n">
        <v>0</v>
      </c>
      <c r="P277" t="n">
        <v>0</v>
      </c>
      <c r="Q277" t="n">
        <v>0</v>
      </c>
      <c r="R277" s="2" t="inlineStr"/>
    </row>
    <row r="278" ht="15" customHeight="1">
      <c r="A278" t="inlineStr">
        <is>
          <t>A 6099-2024</t>
        </is>
      </c>
      <c r="B278" s="1" t="n">
        <v>45337</v>
      </c>
      <c r="C278" s="1" t="n">
        <v>46112</v>
      </c>
      <c r="D278" t="inlineStr">
        <is>
          <t>GOTLANDS LÄN</t>
        </is>
      </c>
      <c r="E278" t="inlineStr">
        <is>
          <t>GOTLAND</t>
        </is>
      </c>
      <c r="G278" t="n">
        <v>12.6</v>
      </c>
      <c r="H278" t="n">
        <v>0</v>
      </c>
      <c r="I278" t="n">
        <v>0</v>
      </c>
      <c r="J278" t="n">
        <v>0</v>
      </c>
      <c r="K278" t="n">
        <v>0</v>
      </c>
      <c r="L278" t="n">
        <v>0</v>
      </c>
      <c r="M278" t="n">
        <v>0</v>
      </c>
      <c r="N278" t="n">
        <v>0</v>
      </c>
      <c r="O278" t="n">
        <v>0</v>
      </c>
      <c r="P278" t="n">
        <v>0</v>
      </c>
      <c r="Q278" t="n">
        <v>0</v>
      </c>
      <c r="R278" s="2" t="inlineStr"/>
    </row>
    <row r="279" ht="15" customHeight="1">
      <c r="A279" t="inlineStr">
        <is>
          <t>A 8260-2023</t>
        </is>
      </c>
      <c r="B279" s="1" t="n">
        <v>44974.61608796296</v>
      </c>
      <c r="C279" s="1" t="n">
        <v>46112</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7850-2025</t>
        </is>
      </c>
      <c r="B280" s="1" t="n">
        <v>45706</v>
      </c>
      <c r="C280" s="1" t="n">
        <v>46112</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6739-2025</t>
        </is>
      </c>
      <c r="B281" s="1" t="n">
        <v>45700</v>
      </c>
      <c r="C281" s="1" t="n">
        <v>46112</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22287-2022</t>
        </is>
      </c>
      <c r="B282" s="1" t="n">
        <v>44712</v>
      </c>
      <c r="C282" s="1" t="n">
        <v>46112</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35142-2025</t>
        </is>
      </c>
      <c r="B283" s="1" t="n">
        <v>45852.65532407408</v>
      </c>
      <c r="C283" s="1" t="n">
        <v>46112</v>
      </c>
      <c r="D283" t="inlineStr">
        <is>
          <t>GOTLANDS LÄN</t>
        </is>
      </c>
      <c r="E283" t="inlineStr">
        <is>
          <t>GOTLAND</t>
        </is>
      </c>
      <c r="G283" t="n">
        <v>2.4</v>
      </c>
      <c r="H283" t="n">
        <v>0</v>
      </c>
      <c r="I283" t="n">
        <v>0</v>
      </c>
      <c r="J283" t="n">
        <v>0</v>
      </c>
      <c r="K283" t="n">
        <v>0</v>
      </c>
      <c r="L283" t="n">
        <v>0</v>
      </c>
      <c r="M283" t="n">
        <v>0</v>
      </c>
      <c r="N283" t="n">
        <v>0</v>
      </c>
      <c r="O283" t="n">
        <v>0</v>
      </c>
      <c r="P283" t="n">
        <v>0</v>
      </c>
      <c r="Q283" t="n">
        <v>0</v>
      </c>
      <c r="R283" s="2" t="inlineStr"/>
    </row>
    <row r="284" ht="15" customHeight="1">
      <c r="A284" t="inlineStr">
        <is>
          <t>A 57534-2022</t>
        </is>
      </c>
      <c r="B284" s="1" t="n">
        <v>44896</v>
      </c>
      <c r="C284" s="1" t="n">
        <v>46112</v>
      </c>
      <c r="D284" t="inlineStr">
        <is>
          <t>GOTLANDS LÄN</t>
        </is>
      </c>
      <c r="E284" t="inlineStr">
        <is>
          <t>GOTLAND</t>
        </is>
      </c>
      <c r="G284" t="n">
        <v>0.6</v>
      </c>
      <c r="H284" t="n">
        <v>0</v>
      </c>
      <c r="I284" t="n">
        <v>0</v>
      </c>
      <c r="J284" t="n">
        <v>0</v>
      </c>
      <c r="K284" t="n">
        <v>0</v>
      </c>
      <c r="L284" t="n">
        <v>0</v>
      </c>
      <c r="M284" t="n">
        <v>0</v>
      </c>
      <c r="N284" t="n">
        <v>0</v>
      </c>
      <c r="O284" t="n">
        <v>0</v>
      </c>
      <c r="P284" t="n">
        <v>0</v>
      </c>
      <c r="Q284" t="n">
        <v>0</v>
      </c>
      <c r="R284" s="2" t="inlineStr"/>
    </row>
    <row r="285" ht="15" customHeight="1">
      <c r="A285" t="inlineStr">
        <is>
          <t>A 8444-2025</t>
        </is>
      </c>
      <c r="B285" s="1" t="n">
        <v>45709</v>
      </c>
      <c r="C285" s="1" t="n">
        <v>46112</v>
      </c>
      <c r="D285" t="inlineStr">
        <is>
          <t>GOTLANDS LÄN</t>
        </is>
      </c>
      <c r="E285" t="inlineStr">
        <is>
          <t>GOTLAND</t>
        </is>
      </c>
      <c r="G285" t="n">
        <v>5.2</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46112</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35141-2025</t>
        </is>
      </c>
      <c r="B287" s="1" t="n">
        <v>45852.65206018519</v>
      </c>
      <c r="C287" s="1" t="n">
        <v>46112</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2415-2026</t>
        </is>
      </c>
      <c r="B288" s="1" t="n">
        <v>46036.76203703704</v>
      </c>
      <c r="C288" s="1" t="n">
        <v>46112</v>
      </c>
      <c r="D288" t="inlineStr">
        <is>
          <t>GOTLANDS LÄN</t>
        </is>
      </c>
      <c r="E288" t="inlineStr">
        <is>
          <t>GOTLAND</t>
        </is>
      </c>
      <c r="G288" t="n">
        <v>6.9</v>
      </c>
      <c r="H288" t="n">
        <v>0</v>
      </c>
      <c r="I288" t="n">
        <v>0</v>
      </c>
      <c r="J288" t="n">
        <v>0</v>
      </c>
      <c r="K288" t="n">
        <v>0</v>
      </c>
      <c r="L288" t="n">
        <v>0</v>
      </c>
      <c r="M288" t="n">
        <v>0</v>
      </c>
      <c r="N288" t="n">
        <v>0</v>
      </c>
      <c r="O288" t="n">
        <v>0</v>
      </c>
      <c r="P288" t="n">
        <v>0</v>
      </c>
      <c r="Q288" t="n">
        <v>0</v>
      </c>
      <c r="R288" s="2" t="inlineStr"/>
    </row>
    <row r="289" ht="15" customHeight="1">
      <c r="A289" t="inlineStr">
        <is>
          <t>A 64660-2023</t>
        </is>
      </c>
      <c r="B289" s="1" t="n">
        <v>45281.60122685185</v>
      </c>
      <c r="C289" s="1" t="n">
        <v>46112</v>
      </c>
      <c r="D289" t="inlineStr">
        <is>
          <t>GOTLANDS LÄN</t>
        </is>
      </c>
      <c r="E289" t="inlineStr">
        <is>
          <t>GOTLAND</t>
        </is>
      </c>
      <c r="G289" t="n">
        <v>6.3</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46112</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29196-2025</t>
        </is>
      </c>
      <c r="B291" s="1" t="n">
        <v>45822</v>
      </c>
      <c r="C291" s="1" t="n">
        <v>46112</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39849-2025</t>
        </is>
      </c>
      <c r="B292" s="1" t="n">
        <v>45891.58502314815</v>
      </c>
      <c r="C292" s="1" t="n">
        <v>46112</v>
      </c>
      <c r="D292" t="inlineStr">
        <is>
          <t>GOTLANDS LÄN</t>
        </is>
      </c>
      <c r="E292" t="inlineStr">
        <is>
          <t>GOTLAND</t>
        </is>
      </c>
      <c r="G292" t="n">
        <v>6.1</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46112</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46112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30061-2025</t>
        </is>
      </c>
      <c r="B295" s="1" t="n">
        <v>45826.61488425926</v>
      </c>
      <c r="C295" s="1" t="n">
        <v>46112</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39752-2025</t>
        </is>
      </c>
      <c r="B296" s="1" t="n">
        <v>45891</v>
      </c>
      <c r="C296" s="1" t="n">
        <v>46112</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46112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46112</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20855-2023</t>
        </is>
      </c>
      <c r="B299" s="1" t="n">
        <v>45058.82172453704</v>
      </c>
      <c r="C299" s="1" t="n">
        <v>46112</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46112</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46112</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60709-2023</t>
        </is>
      </c>
      <c r="B302" s="1" t="n">
        <v>45260</v>
      </c>
      <c r="C302" s="1" t="n">
        <v>46112</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46112</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1000-2024</t>
        </is>
      </c>
      <c r="B304" s="1" t="n">
        <v>45301.63371527778</v>
      </c>
      <c r="C304" s="1" t="n">
        <v>46112</v>
      </c>
      <c r="D304" t="inlineStr">
        <is>
          <t>GOTLANDS LÄN</t>
        </is>
      </c>
      <c r="E304" t="inlineStr">
        <is>
          <t>GOTLAND</t>
        </is>
      </c>
      <c r="G304" t="n">
        <v>1</v>
      </c>
      <c r="H304" t="n">
        <v>0</v>
      </c>
      <c r="I304" t="n">
        <v>0</v>
      </c>
      <c r="J304" t="n">
        <v>0</v>
      </c>
      <c r="K304" t="n">
        <v>0</v>
      </c>
      <c r="L304" t="n">
        <v>0</v>
      </c>
      <c r="M304" t="n">
        <v>0</v>
      </c>
      <c r="N304" t="n">
        <v>0</v>
      </c>
      <c r="O304" t="n">
        <v>0</v>
      </c>
      <c r="P304" t="n">
        <v>0</v>
      </c>
      <c r="Q304" t="n">
        <v>0</v>
      </c>
      <c r="R304" s="2" t="inlineStr"/>
    </row>
    <row r="305" ht="15" customHeight="1">
      <c r="A305" t="inlineStr">
        <is>
          <t>A 1010-2024</t>
        </is>
      </c>
      <c r="B305" s="1" t="n">
        <v>45301</v>
      </c>
      <c r="C305" s="1" t="n">
        <v>46112</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65249-2023</t>
        </is>
      </c>
      <c r="B306" s="1" t="n">
        <v>45290</v>
      </c>
      <c r="C306" s="1" t="n">
        <v>46112</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46112</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30956-2024</t>
        </is>
      </c>
      <c r="B308" s="1" t="n">
        <v>45499.42527777778</v>
      </c>
      <c r="C308" s="1" t="n">
        <v>46112</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12596-2023</t>
        </is>
      </c>
      <c r="B309" s="1" t="n">
        <v>45000.43310185185</v>
      </c>
      <c r="C309" s="1" t="n">
        <v>46112</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8045-2022</t>
        </is>
      </c>
      <c r="B310" s="1" t="n">
        <v>44609</v>
      </c>
      <c r="C310" s="1" t="n">
        <v>46112</v>
      </c>
      <c r="D310" t="inlineStr">
        <is>
          <t>GOTLANDS LÄN</t>
        </is>
      </c>
      <c r="E310" t="inlineStr">
        <is>
          <t>GOTLAND</t>
        </is>
      </c>
      <c r="G310" t="n">
        <v>7</v>
      </c>
      <c r="H310" t="n">
        <v>0</v>
      </c>
      <c r="I310" t="n">
        <v>0</v>
      </c>
      <c r="J310" t="n">
        <v>0</v>
      </c>
      <c r="K310" t="n">
        <v>0</v>
      </c>
      <c r="L310" t="n">
        <v>0</v>
      </c>
      <c r="M310" t="n">
        <v>0</v>
      </c>
      <c r="N310" t="n">
        <v>0</v>
      </c>
      <c r="O310" t="n">
        <v>0</v>
      </c>
      <c r="P310" t="n">
        <v>0</v>
      </c>
      <c r="Q310" t="n">
        <v>0</v>
      </c>
      <c r="R310" s="2" t="inlineStr"/>
    </row>
    <row r="311" ht="15" customHeight="1">
      <c r="A311" t="inlineStr">
        <is>
          <t>A 41551-2025</t>
        </is>
      </c>
      <c r="B311" s="1" t="n">
        <v>45901.58854166666</v>
      </c>
      <c r="C311" s="1" t="n">
        <v>46112</v>
      </c>
      <c r="D311" t="inlineStr">
        <is>
          <t>GOTLANDS LÄN</t>
        </is>
      </c>
      <c r="E311" t="inlineStr">
        <is>
          <t>GOTLAND</t>
        </is>
      </c>
      <c r="G311" t="n">
        <v>5.6</v>
      </c>
      <c r="H311" t="n">
        <v>0</v>
      </c>
      <c r="I311" t="n">
        <v>0</v>
      </c>
      <c r="J311" t="n">
        <v>0</v>
      </c>
      <c r="K311" t="n">
        <v>0</v>
      </c>
      <c r="L311" t="n">
        <v>0</v>
      </c>
      <c r="M311" t="n">
        <v>0</v>
      </c>
      <c r="N311" t="n">
        <v>0</v>
      </c>
      <c r="O311" t="n">
        <v>0</v>
      </c>
      <c r="P311" t="n">
        <v>0</v>
      </c>
      <c r="Q311" t="n">
        <v>0</v>
      </c>
      <c r="R311" s="2" t="inlineStr"/>
    </row>
    <row r="312" ht="15" customHeight="1">
      <c r="A312" t="inlineStr">
        <is>
          <t>A 3253-2026</t>
        </is>
      </c>
      <c r="B312" s="1" t="n">
        <v>46041.58902777778</v>
      </c>
      <c r="C312" s="1" t="n">
        <v>46112</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46112</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11414-2026</t>
        </is>
      </c>
      <c r="B314" s="1" t="n">
        <v>46083.46336805556</v>
      </c>
      <c r="C314" s="1" t="n">
        <v>46112</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41435-2025</t>
        </is>
      </c>
      <c r="B315" s="1" t="n">
        <v>45901.39974537037</v>
      </c>
      <c r="C315" s="1" t="n">
        <v>46112</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46112</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65901-2021</t>
        </is>
      </c>
      <c r="B317" s="1" t="n">
        <v>44516</v>
      </c>
      <c r="C317" s="1" t="n">
        <v>46112</v>
      </c>
      <c r="D317" t="inlineStr">
        <is>
          <t>GOTLANDS LÄN</t>
        </is>
      </c>
      <c r="E317" t="inlineStr">
        <is>
          <t>GOTLAND</t>
        </is>
      </c>
      <c r="G317" t="n">
        <v>4.9</v>
      </c>
      <c r="H317" t="n">
        <v>0</v>
      </c>
      <c r="I317" t="n">
        <v>0</v>
      </c>
      <c r="J317" t="n">
        <v>0</v>
      </c>
      <c r="K317" t="n">
        <v>0</v>
      </c>
      <c r="L317" t="n">
        <v>0</v>
      </c>
      <c r="M317" t="n">
        <v>0</v>
      </c>
      <c r="N317" t="n">
        <v>0</v>
      </c>
      <c r="O317" t="n">
        <v>0</v>
      </c>
      <c r="P317" t="n">
        <v>0</v>
      </c>
      <c r="Q317" t="n">
        <v>0</v>
      </c>
      <c r="R317" s="2" t="inlineStr"/>
    </row>
    <row r="318" ht="15" customHeight="1">
      <c r="A318" t="inlineStr">
        <is>
          <t>A 16109-2025</t>
        </is>
      </c>
      <c r="B318" s="1" t="n">
        <v>45750</v>
      </c>
      <c r="C318" s="1" t="n">
        <v>46112</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46112</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32467-2025</t>
        </is>
      </c>
      <c r="B320" s="1" t="n">
        <v>45838.42111111111</v>
      </c>
      <c r="C320" s="1" t="n">
        <v>46112</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46112</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46112</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46112</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46112</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32379-2025</t>
        </is>
      </c>
      <c r="B325" s="1" t="n">
        <v>45837</v>
      </c>
      <c r="C325" s="1" t="n">
        <v>46112</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42608-2025</t>
        </is>
      </c>
      <c r="B326" s="1" t="n">
        <v>45905</v>
      </c>
      <c r="C326" s="1" t="n">
        <v>46112</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46112</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46112</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46112</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46112</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46112</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10650-2022</t>
        </is>
      </c>
      <c r="B332" s="1" t="n">
        <v>44624.57945601852</v>
      </c>
      <c r="C332" s="1" t="n">
        <v>46112</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46112</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11424-2026</t>
        </is>
      </c>
      <c r="B334" s="1" t="n">
        <v>46083.48068287037</v>
      </c>
      <c r="C334" s="1" t="n">
        <v>46112</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46112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13037-2025</t>
        </is>
      </c>
      <c r="B336" s="1" t="n">
        <v>45734</v>
      </c>
      <c r="C336" s="1" t="n">
        <v>46112</v>
      </c>
      <c r="D336" t="inlineStr">
        <is>
          <t>GOTLANDS LÄN</t>
        </is>
      </c>
      <c r="E336" t="inlineStr">
        <is>
          <t>GOTLAND</t>
        </is>
      </c>
      <c r="G336" t="n">
        <v>9.5</v>
      </c>
      <c r="H336" t="n">
        <v>0</v>
      </c>
      <c r="I336" t="n">
        <v>0</v>
      </c>
      <c r="J336" t="n">
        <v>0</v>
      </c>
      <c r="K336" t="n">
        <v>0</v>
      </c>
      <c r="L336" t="n">
        <v>0</v>
      </c>
      <c r="M336" t="n">
        <v>0</v>
      </c>
      <c r="N336" t="n">
        <v>0</v>
      </c>
      <c r="O336" t="n">
        <v>0</v>
      </c>
      <c r="P336" t="n">
        <v>0</v>
      </c>
      <c r="Q336" t="n">
        <v>0</v>
      </c>
      <c r="R336" s="2" t="inlineStr"/>
    </row>
    <row r="337" ht="15" customHeight="1">
      <c r="A337" t="inlineStr">
        <is>
          <t>A 10158-2025</t>
        </is>
      </c>
      <c r="B337" s="1" t="n">
        <v>45719</v>
      </c>
      <c r="C337" s="1" t="n">
        <v>46112</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15413-2025</t>
        </is>
      </c>
      <c r="B338" s="1" t="n">
        <v>45747.451875</v>
      </c>
      <c r="C338" s="1" t="n">
        <v>46112</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46112</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35123-2025</t>
        </is>
      </c>
      <c r="B340" s="1" t="n">
        <v>45852.614375</v>
      </c>
      <c r="C340" s="1" t="n">
        <v>46112</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43911-2025</t>
        </is>
      </c>
      <c r="B341" s="1" t="n">
        <v>45914.3881712963</v>
      </c>
      <c r="C341" s="1" t="n">
        <v>46112</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35290-2025</t>
        </is>
      </c>
      <c r="B342" s="1" t="n">
        <v>45854.38502314815</v>
      </c>
      <c r="C342" s="1" t="n">
        <v>46112</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46112</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32669-2024</t>
        </is>
      </c>
      <c r="B344" s="1" t="n">
        <v>45514</v>
      </c>
      <c r="C344" s="1" t="n">
        <v>46112</v>
      </c>
      <c r="D344" t="inlineStr">
        <is>
          <t>GOTLANDS LÄN</t>
        </is>
      </c>
      <c r="E344" t="inlineStr">
        <is>
          <t>GOTLAND</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46112</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35537-2025</t>
        </is>
      </c>
      <c r="B346" s="1" t="n">
        <v>45856</v>
      </c>
      <c r="C346" s="1" t="n">
        <v>46112</v>
      </c>
      <c r="D346" t="inlineStr">
        <is>
          <t>GOTLANDS LÄN</t>
        </is>
      </c>
      <c r="E346" t="inlineStr">
        <is>
          <t>GOTLAND</t>
        </is>
      </c>
      <c r="G346" t="n">
        <v>16.8</v>
      </c>
      <c r="H346" t="n">
        <v>0</v>
      </c>
      <c r="I346" t="n">
        <v>0</v>
      </c>
      <c r="J346" t="n">
        <v>0</v>
      </c>
      <c r="K346" t="n">
        <v>0</v>
      </c>
      <c r="L346" t="n">
        <v>0</v>
      </c>
      <c r="M346" t="n">
        <v>0</v>
      </c>
      <c r="N346" t="n">
        <v>0</v>
      </c>
      <c r="O346" t="n">
        <v>0</v>
      </c>
      <c r="P346" t="n">
        <v>0</v>
      </c>
      <c r="Q346" t="n">
        <v>0</v>
      </c>
      <c r="R346" s="2" t="inlineStr"/>
    </row>
    <row r="347" ht="15" customHeight="1">
      <c r="A347" t="inlineStr">
        <is>
          <t>A 43951-2025</t>
        </is>
      </c>
      <c r="B347" s="1" t="n">
        <v>45915.38119212963</v>
      </c>
      <c r="C347" s="1" t="n">
        <v>46112</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44410-2025</t>
        </is>
      </c>
      <c r="B348" s="1" t="n">
        <v>45916.53699074074</v>
      </c>
      <c r="C348" s="1" t="n">
        <v>46112</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44405-2025</t>
        </is>
      </c>
      <c r="B349" s="1" t="n">
        <v>45916.52405092592</v>
      </c>
      <c r="C349" s="1" t="n">
        <v>46112</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11982-2026</t>
        </is>
      </c>
      <c r="B350" s="1" t="n">
        <v>46085.6434375</v>
      </c>
      <c r="C350" s="1" t="n">
        <v>46112</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30488-2025</t>
        </is>
      </c>
      <c r="B351" s="1" t="n">
        <v>45830</v>
      </c>
      <c r="C351" s="1" t="n">
        <v>46112</v>
      </c>
      <c r="D351" t="inlineStr">
        <is>
          <t>GOTLANDS LÄN</t>
        </is>
      </c>
      <c r="E351" t="inlineStr">
        <is>
          <t>GOTLAND</t>
        </is>
      </c>
      <c r="F351" t="inlineStr">
        <is>
          <t>Kyrkan</t>
        </is>
      </c>
      <c r="G351" t="n">
        <v>3.9</v>
      </c>
      <c r="H351" t="n">
        <v>0</v>
      </c>
      <c r="I351" t="n">
        <v>0</v>
      </c>
      <c r="J351" t="n">
        <v>0</v>
      </c>
      <c r="K351" t="n">
        <v>0</v>
      </c>
      <c r="L351" t="n">
        <v>0</v>
      </c>
      <c r="M351" t="n">
        <v>0</v>
      </c>
      <c r="N351" t="n">
        <v>0</v>
      </c>
      <c r="O351" t="n">
        <v>0</v>
      </c>
      <c r="P351" t="n">
        <v>0</v>
      </c>
      <c r="Q351" t="n">
        <v>0</v>
      </c>
      <c r="R351" s="2" t="inlineStr"/>
    </row>
    <row r="352" ht="15" customHeight="1">
      <c r="A352" t="inlineStr">
        <is>
          <t>A 15216-2025</t>
        </is>
      </c>
      <c r="B352" s="1" t="n">
        <v>45744</v>
      </c>
      <c r="C352" s="1" t="n">
        <v>46112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46112</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15001-2025</t>
        </is>
      </c>
      <c r="B354" s="1" t="n">
        <v>45743</v>
      </c>
      <c r="C354" s="1" t="n">
        <v>46112</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46112</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17847-2025</t>
        </is>
      </c>
      <c r="B356" s="1" t="n">
        <v>45758</v>
      </c>
      <c r="C356" s="1" t="n">
        <v>46112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18742-2025</t>
        </is>
      </c>
      <c r="B357" s="1" t="n">
        <v>45763</v>
      </c>
      <c r="C357" s="1" t="n">
        <v>46112</v>
      </c>
      <c r="D357" t="inlineStr">
        <is>
          <t>GOTLANDS LÄN</t>
        </is>
      </c>
      <c r="E357" t="inlineStr">
        <is>
          <t>GOTLAND</t>
        </is>
      </c>
      <c r="G357" t="n">
        <v>3.4</v>
      </c>
      <c r="H357" t="n">
        <v>0</v>
      </c>
      <c r="I357" t="n">
        <v>0</v>
      </c>
      <c r="J357" t="n">
        <v>0</v>
      </c>
      <c r="K357" t="n">
        <v>0</v>
      </c>
      <c r="L357" t="n">
        <v>0</v>
      </c>
      <c r="M357" t="n">
        <v>0</v>
      </c>
      <c r="N357" t="n">
        <v>0</v>
      </c>
      <c r="O357" t="n">
        <v>0</v>
      </c>
      <c r="P357" t="n">
        <v>0</v>
      </c>
      <c r="Q357" t="n">
        <v>0</v>
      </c>
      <c r="R357" s="2" t="inlineStr"/>
    </row>
    <row r="358" ht="15" customHeight="1">
      <c r="A358" t="inlineStr">
        <is>
          <t>A 41038-2023</t>
        </is>
      </c>
      <c r="B358" s="1" t="n">
        <v>45173.60959490741</v>
      </c>
      <c r="C358" s="1" t="n">
        <v>46112</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35129-2025</t>
        </is>
      </c>
      <c r="B359" s="1" t="n">
        <v>45852.63224537037</v>
      </c>
      <c r="C359" s="1" t="n">
        <v>46112</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12135-2026</t>
        </is>
      </c>
      <c r="B360" s="1" t="n">
        <v>46086</v>
      </c>
      <c r="C360" s="1" t="n">
        <v>46112</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26391-2025</t>
        </is>
      </c>
      <c r="B361" s="1" t="n">
        <v>45806</v>
      </c>
      <c r="C361" s="1" t="n">
        <v>46112</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24966-2023</t>
        </is>
      </c>
      <c r="B362" s="1" t="n">
        <v>45085</v>
      </c>
      <c r="C362" s="1" t="n">
        <v>46112</v>
      </c>
      <c r="D362" t="inlineStr">
        <is>
          <t>GOTLANDS LÄN</t>
        </is>
      </c>
      <c r="E362" t="inlineStr">
        <is>
          <t>GOTLAND</t>
        </is>
      </c>
      <c r="G362" t="n">
        <v>7</v>
      </c>
      <c r="H362" t="n">
        <v>0</v>
      </c>
      <c r="I362" t="n">
        <v>0</v>
      </c>
      <c r="J362" t="n">
        <v>0</v>
      </c>
      <c r="K362" t="n">
        <v>0</v>
      </c>
      <c r="L362" t="n">
        <v>0</v>
      </c>
      <c r="M362" t="n">
        <v>0</v>
      </c>
      <c r="N362" t="n">
        <v>0</v>
      </c>
      <c r="O362" t="n">
        <v>0</v>
      </c>
      <c r="P362" t="n">
        <v>0</v>
      </c>
      <c r="Q362" t="n">
        <v>0</v>
      </c>
      <c r="R362" s="2" t="inlineStr"/>
    </row>
    <row r="363" ht="15" customHeight="1">
      <c r="A363" t="inlineStr">
        <is>
          <t>A 57652-2023</t>
        </is>
      </c>
      <c r="B363" s="1" t="n">
        <v>45246</v>
      </c>
      <c r="C363" s="1" t="n">
        <v>46112</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46189-2022</t>
        </is>
      </c>
      <c r="B364" s="1" t="n">
        <v>44847</v>
      </c>
      <c r="C364" s="1" t="n">
        <v>46112</v>
      </c>
      <c r="D364" t="inlineStr">
        <is>
          <t>GOTLANDS LÄN</t>
        </is>
      </c>
      <c r="E364" t="inlineStr">
        <is>
          <t>GOTLAND</t>
        </is>
      </c>
      <c r="G364" t="n">
        <v>0.4</v>
      </c>
      <c r="H364" t="n">
        <v>0</v>
      </c>
      <c r="I364" t="n">
        <v>0</v>
      </c>
      <c r="J364" t="n">
        <v>0</v>
      </c>
      <c r="K364" t="n">
        <v>0</v>
      </c>
      <c r="L364" t="n">
        <v>0</v>
      </c>
      <c r="M364" t="n">
        <v>0</v>
      </c>
      <c r="N364" t="n">
        <v>0</v>
      </c>
      <c r="O364" t="n">
        <v>0</v>
      </c>
      <c r="P364" t="n">
        <v>0</v>
      </c>
      <c r="Q364" t="n">
        <v>0</v>
      </c>
      <c r="R364" s="2" t="inlineStr"/>
    </row>
    <row r="365" ht="15" customHeight="1">
      <c r="A365" t="inlineStr">
        <is>
          <t>A 46836-2025</t>
        </is>
      </c>
      <c r="B365" s="1" t="n">
        <v>45928.31511574074</v>
      </c>
      <c r="C365" s="1" t="n">
        <v>46112</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57522-2022</t>
        </is>
      </c>
      <c r="B366" s="1" t="n">
        <v>44896</v>
      </c>
      <c r="C366" s="1" t="n">
        <v>46112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30489-2025</t>
        </is>
      </c>
      <c r="B367" s="1" t="n">
        <v>45830</v>
      </c>
      <c r="C367" s="1" t="n">
        <v>46112</v>
      </c>
      <c r="D367" t="inlineStr">
        <is>
          <t>GOTLANDS LÄN</t>
        </is>
      </c>
      <c r="E367" t="inlineStr">
        <is>
          <t>GOTLAND</t>
        </is>
      </c>
      <c r="G367" t="n">
        <v>4.6</v>
      </c>
      <c r="H367" t="n">
        <v>0</v>
      </c>
      <c r="I367" t="n">
        <v>0</v>
      </c>
      <c r="J367" t="n">
        <v>0</v>
      </c>
      <c r="K367" t="n">
        <v>0</v>
      </c>
      <c r="L367" t="n">
        <v>0</v>
      </c>
      <c r="M367" t="n">
        <v>0</v>
      </c>
      <c r="N367" t="n">
        <v>0</v>
      </c>
      <c r="O367" t="n">
        <v>0</v>
      </c>
      <c r="P367" t="n">
        <v>0</v>
      </c>
      <c r="Q367" t="n">
        <v>0</v>
      </c>
      <c r="R367" s="2" t="inlineStr"/>
    </row>
    <row r="368" ht="15" customHeight="1">
      <c r="A368" t="inlineStr">
        <is>
          <t>A 14797-2024</t>
        </is>
      </c>
      <c r="B368" s="1" t="n">
        <v>45397.87030092593</v>
      </c>
      <c r="C368" s="1" t="n">
        <v>46112</v>
      </c>
      <c r="D368" t="inlineStr">
        <is>
          <t>GOTLANDS LÄN</t>
        </is>
      </c>
      <c r="E368" t="inlineStr">
        <is>
          <t>GOTLAND</t>
        </is>
      </c>
      <c r="G368" t="n">
        <v>8.1</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46112</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6108-2025</t>
        </is>
      </c>
      <c r="B370" s="1" t="n">
        <v>45698.29880787037</v>
      </c>
      <c r="C370" s="1" t="n">
        <v>46112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47637-2025</t>
        </is>
      </c>
      <c r="B371" s="1" t="n">
        <v>45931.49753472222</v>
      </c>
      <c r="C371" s="1" t="n">
        <v>46112</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17343-2025</t>
        </is>
      </c>
      <c r="B372" s="1" t="n">
        <v>45756.6687037037</v>
      </c>
      <c r="C372" s="1" t="n">
        <v>46112</v>
      </c>
      <c r="D372" t="inlineStr">
        <is>
          <t>GOTLANDS LÄN</t>
        </is>
      </c>
      <c r="E372" t="inlineStr">
        <is>
          <t>GOTLAND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18938-2025</t>
        </is>
      </c>
      <c r="B373" s="1" t="n">
        <v>45764.49172453704</v>
      </c>
      <c r="C373" s="1" t="n">
        <v>46112</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20307-2025</t>
        </is>
      </c>
      <c r="B374" s="1" t="n">
        <v>45774.95546296296</v>
      </c>
      <c r="C374" s="1" t="n">
        <v>46112</v>
      </c>
      <c r="D374" t="inlineStr">
        <is>
          <t>GOTLANDS LÄN</t>
        </is>
      </c>
      <c r="E374" t="inlineStr">
        <is>
          <t>GOTLAND</t>
        </is>
      </c>
      <c r="G374" t="n">
        <v>6.8</v>
      </c>
      <c r="H374" t="n">
        <v>0</v>
      </c>
      <c r="I374" t="n">
        <v>0</v>
      </c>
      <c r="J374" t="n">
        <v>0</v>
      </c>
      <c r="K374" t="n">
        <v>0</v>
      </c>
      <c r="L374" t="n">
        <v>0</v>
      </c>
      <c r="M374" t="n">
        <v>0</v>
      </c>
      <c r="N374" t="n">
        <v>0</v>
      </c>
      <c r="O374" t="n">
        <v>0</v>
      </c>
      <c r="P374" t="n">
        <v>0</v>
      </c>
      <c r="Q374" t="n">
        <v>0</v>
      </c>
      <c r="R374" s="2" t="inlineStr"/>
    </row>
    <row r="375" ht="15" customHeight="1">
      <c r="A375" t="inlineStr">
        <is>
          <t>A 7837-2024</t>
        </is>
      </c>
      <c r="B375" s="1" t="n">
        <v>45349.83787037037</v>
      </c>
      <c r="C375" s="1" t="n">
        <v>46112</v>
      </c>
      <c r="D375" t="inlineStr">
        <is>
          <t>GOTLANDS LÄN</t>
        </is>
      </c>
      <c r="E375" t="inlineStr">
        <is>
          <t>GOTLAND</t>
        </is>
      </c>
      <c r="G375" t="n">
        <v>5</v>
      </c>
      <c r="H375" t="n">
        <v>0</v>
      </c>
      <c r="I375" t="n">
        <v>0</v>
      </c>
      <c r="J375" t="n">
        <v>0</v>
      </c>
      <c r="K375" t="n">
        <v>0</v>
      </c>
      <c r="L375" t="n">
        <v>0</v>
      </c>
      <c r="M375" t="n">
        <v>0</v>
      </c>
      <c r="N375" t="n">
        <v>0</v>
      </c>
      <c r="O375" t="n">
        <v>0</v>
      </c>
      <c r="P375" t="n">
        <v>0</v>
      </c>
      <c r="Q375" t="n">
        <v>0</v>
      </c>
      <c r="R375" s="2" t="inlineStr"/>
    </row>
    <row r="376" ht="15" customHeight="1">
      <c r="A376" t="inlineStr">
        <is>
          <t>A 60384-2025</t>
        </is>
      </c>
      <c r="B376" s="1" t="n">
        <v>45995</v>
      </c>
      <c r="C376" s="1" t="n">
        <v>46112</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46112</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32378-2025</t>
        </is>
      </c>
      <c r="B378" s="1" t="n">
        <v>45837</v>
      </c>
      <c r="C378" s="1" t="n">
        <v>46112</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2676-2023</t>
        </is>
      </c>
      <c r="B379" s="1" t="n">
        <v>44944</v>
      </c>
      <c r="C379" s="1" t="n">
        <v>46112</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4387-2023</t>
        </is>
      </c>
      <c r="B380" s="1" t="n">
        <v>44955.73359953704</v>
      </c>
      <c r="C380" s="1" t="n">
        <v>46112</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49411-2023</t>
        </is>
      </c>
      <c r="B381" s="1" t="n">
        <v>45205</v>
      </c>
      <c r="C381" s="1" t="n">
        <v>46112</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37728-2024</t>
        </is>
      </c>
      <c r="B382" s="1" t="n">
        <v>45541</v>
      </c>
      <c r="C382" s="1" t="n">
        <v>46112</v>
      </c>
      <c r="D382" t="inlineStr">
        <is>
          <t>GOTLANDS LÄN</t>
        </is>
      </c>
      <c r="E382" t="inlineStr">
        <is>
          <t>GOTLAND</t>
        </is>
      </c>
      <c r="G382" t="n">
        <v>0.4</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46112</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30135-2025</t>
        </is>
      </c>
      <c r="B384" s="1" t="n">
        <v>45826</v>
      </c>
      <c r="C384" s="1" t="n">
        <v>46112</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2241-2025</t>
        </is>
      </c>
      <c r="B385" s="1" t="n">
        <v>45673.48710648148</v>
      </c>
      <c r="C385" s="1" t="n">
        <v>46112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35550-2025</t>
        </is>
      </c>
      <c r="B386" s="1" t="n">
        <v>45856.49324074074</v>
      </c>
      <c r="C386" s="1" t="n">
        <v>46112</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46112</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1839-2026</t>
        </is>
      </c>
      <c r="B388" s="1" t="n">
        <v>46035.3942824074</v>
      </c>
      <c r="C388" s="1" t="n">
        <v>46112</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47578-2025</t>
        </is>
      </c>
      <c r="B389" s="1" t="n">
        <v>45931</v>
      </c>
      <c r="C389" s="1" t="n">
        <v>46112</v>
      </c>
      <c r="D389" t="inlineStr">
        <is>
          <t>GOTLANDS LÄN</t>
        </is>
      </c>
      <c r="E389" t="inlineStr">
        <is>
          <t>GOTLAND</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22275-2023</t>
        </is>
      </c>
      <c r="B390" s="1" t="n">
        <v>45070.39875</v>
      </c>
      <c r="C390" s="1" t="n">
        <v>46112</v>
      </c>
      <c r="D390" t="inlineStr">
        <is>
          <t>GOTLANDS LÄN</t>
        </is>
      </c>
      <c r="E390" t="inlineStr">
        <is>
          <t>GOTLAND</t>
        </is>
      </c>
      <c r="G390" t="n">
        <v>7.2</v>
      </c>
      <c r="H390" t="n">
        <v>0</v>
      </c>
      <c r="I390" t="n">
        <v>0</v>
      </c>
      <c r="J390" t="n">
        <v>0</v>
      </c>
      <c r="K390" t="n">
        <v>0</v>
      </c>
      <c r="L390" t="n">
        <v>0</v>
      </c>
      <c r="M390" t="n">
        <v>0</v>
      </c>
      <c r="N390" t="n">
        <v>0</v>
      </c>
      <c r="O390" t="n">
        <v>0</v>
      </c>
      <c r="P390" t="n">
        <v>0</v>
      </c>
      <c r="Q390" t="n">
        <v>0</v>
      </c>
      <c r="R390" s="2" t="inlineStr"/>
    </row>
    <row r="391" ht="15" customHeight="1">
      <c r="A391" t="inlineStr">
        <is>
          <t>A 4639-2026</t>
        </is>
      </c>
      <c r="B391" s="1" t="n">
        <v>46048.39880787037</v>
      </c>
      <c r="C391" s="1" t="n">
        <v>46112</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4662-2026</t>
        </is>
      </c>
      <c r="B392" s="1" t="n">
        <v>46048.40949074074</v>
      </c>
      <c r="C392" s="1" t="n">
        <v>46112</v>
      </c>
      <c r="D392" t="inlineStr">
        <is>
          <t>GOTLANDS LÄN</t>
        </is>
      </c>
      <c r="E392" t="inlineStr">
        <is>
          <t>GOTLAND</t>
        </is>
      </c>
      <c r="G392" t="n">
        <v>7.6</v>
      </c>
      <c r="H392" t="n">
        <v>0</v>
      </c>
      <c r="I392" t="n">
        <v>0</v>
      </c>
      <c r="J392" t="n">
        <v>0</v>
      </c>
      <c r="K392" t="n">
        <v>0</v>
      </c>
      <c r="L392" t="n">
        <v>0</v>
      </c>
      <c r="M392" t="n">
        <v>0</v>
      </c>
      <c r="N392" t="n">
        <v>0</v>
      </c>
      <c r="O392" t="n">
        <v>0</v>
      </c>
      <c r="P392" t="n">
        <v>0</v>
      </c>
      <c r="Q392" t="n">
        <v>0</v>
      </c>
      <c r="R392" s="2" t="inlineStr"/>
    </row>
    <row r="393" ht="15" customHeight="1">
      <c r="A393" t="inlineStr">
        <is>
          <t>A 14635-2023</t>
        </is>
      </c>
      <c r="B393" s="1" t="n">
        <v>45013.69365740741</v>
      </c>
      <c r="C393" s="1" t="n">
        <v>46112</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63763-2023</t>
        </is>
      </c>
      <c r="B394" s="1" t="n">
        <v>45278.33944444444</v>
      </c>
      <c r="C394" s="1" t="n">
        <v>46112</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33011-2025</t>
        </is>
      </c>
      <c r="B395" s="1" t="n">
        <v>45840</v>
      </c>
      <c r="C395" s="1" t="n">
        <v>46112</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7635-2025</t>
        </is>
      </c>
      <c r="B396" s="1" t="n">
        <v>45705</v>
      </c>
      <c r="C396" s="1" t="n">
        <v>46112</v>
      </c>
      <c r="D396" t="inlineStr">
        <is>
          <t>GOTLANDS LÄN</t>
        </is>
      </c>
      <c r="E396" t="inlineStr">
        <is>
          <t>GOTLAND</t>
        </is>
      </c>
      <c r="G396" t="n">
        <v>0.9</v>
      </c>
      <c r="H396" t="n">
        <v>0</v>
      </c>
      <c r="I396" t="n">
        <v>0</v>
      </c>
      <c r="J396" t="n">
        <v>0</v>
      </c>
      <c r="K396" t="n">
        <v>0</v>
      </c>
      <c r="L396" t="n">
        <v>0</v>
      </c>
      <c r="M396" t="n">
        <v>0</v>
      </c>
      <c r="N396" t="n">
        <v>0</v>
      </c>
      <c r="O396" t="n">
        <v>0</v>
      </c>
      <c r="P396" t="n">
        <v>0</v>
      </c>
      <c r="Q396" t="n">
        <v>0</v>
      </c>
      <c r="R396" s="2" t="inlineStr"/>
    </row>
    <row r="397" ht="15" customHeight="1">
      <c r="A397" t="inlineStr">
        <is>
          <t>A 7636-2025</t>
        </is>
      </c>
      <c r="B397" s="1" t="n">
        <v>45705.7687962963</v>
      </c>
      <c r="C397" s="1" t="n">
        <v>46112</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7639-2025</t>
        </is>
      </c>
      <c r="B398" s="1" t="n">
        <v>45705.77465277778</v>
      </c>
      <c r="C398" s="1" t="n">
        <v>46112</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49690-2025</t>
        </is>
      </c>
      <c r="B399" s="1" t="n">
        <v>45939.66730324074</v>
      </c>
      <c r="C399" s="1" t="n">
        <v>46112</v>
      </c>
      <c r="D399" t="inlineStr">
        <is>
          <t>GOTLANDS LÄN</t>
        </is>
      </c>
      <c r="E399" t="inlineStr">
        <is>
          <t>GOTLAND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61682-2024</t>
        </is>
      </c>
      <c r="B400" s="1" t="n">
        <v>45647.48824074074</v>
      </c>
      <c r="C400" s="1" t="n">
        <v>46112</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15434-2024</t>
        </is>
      </c>
      <c r="B401" s="1" t="n">
        <v>45401.38836805556</v>
      </c>
      <c r="C401" s="1" t="n">
        <v>46112</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46112</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46112</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2180-2025</t>
        </is>
      </c>
      <c r="B404" s="1" t="n">
        <v>45673</v>
      </c>
      <c r="C404" s="1" t="n">
        <v>46112</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63000-2025</t>
        </is>
      </c>
      <c r="B405" s="1" t="n">
        <v>46009</v>
      </c>
      <c r="C405" s="1" t="n">
        <v>46112</v>
      </c>
      <c r="D405" t="inlineStr">
        <is>
          <t>GOTLANDS LÄN</t>
        </is>
      </c>
      <c r="E405" t="inlineStr">
        <is>
          <t>GOTLAND</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4646-2026</t>
        </is>
      </c>
      <c r="B406" s="1" t="n">
        <v>46048.40357638889</v>
      </c>
      <c r="C406" s="1" t="n">
        <v>46112</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49724-2025</t>
        </is>
      </c>
      <c r="B407" s="1" t="n">
        <v>45939.83730324074</v>
      </c>
      <c r="C407" s="1" t="n">
        <v>46112</v>
      </c>
      <c r="D407" t="inlineStr">
        <is>
          <t>GOTLANDS LÄN</t>
        </is>
      </c>
      <c r="E407" t="inlineStr">
        <is>
          <t>GOTLAND</t>
        </is>
      </c>
      <c r="F407" t="inlineStr">
        <is>
          <t>Kyrkan</t>
        </is>
      </c>
      <c r="G407" t="n">
        <v>3.1</v>
      </c>
      <c r="H407" t="n">
        <v>0</v>
      </c>
      <c r="I407" t="n">
        <v>0</v>
      </c>
      <c r="J407" t="n">
        <v>0</v>
      </c>
      <c r="K407" t="n">
        <v>0</v>
      </c>
      <c r="L407" t="n">
        <v>0</v>
      </c>
      <c r="M407" t="n">
        <v>0</v>
      </c>
      <c r="N407" t="n">
        <v>0</v>
      </c>
      <c r="O407" t="n">
        <v>0</v>
      </c>
      <c r="P407" t="n">
        <v>0</v>
      </c>
      <c r="Q407" t="n">
        <v>0</v>
      </c>
      <c r="R407" s="2" t="inlineStr"/>
    </row>
    <row r="408" ht="15" customHeight="1">
      <c r="A408" t="inlineStr">
        <is>
          <t>A 49730-2025</t>
        </is>
      </c>
      <c r="B408" s="1" t="n">
        <v>45939.87613425926</v>
      </c>
      <c r="C408" s="1" t="n">
        <v>46112</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4634-2026</t>
        </is>
      </c>
      <c r="B409" s="1" t="n">
        <v>46048.39304398148</v>
      </c>
      <c r="C409" s="1" t="n">
        <v>46112</v>
      </c>
      <c r="D409" t="inlineStr">
        <is>
          <t>GOTLANDS LÄN</t>
        </is>
      </c>
      <c r="E409" t="inlineStr">
        <is>
          <t>GOTLAND</t>
        </is>
      </c>
      <c r="G409" t="n">
        <v>7.8</v>
      </c>
      <c r="H409" t="n">
        <v>0</v>
      </c>
      <c r="I409" t="n">
        <v>0</v>
      </c>
      <c r="J409" t="n">
        <v>0</v>
      </c>
      <c r="K409" t="n">
        <v>0</v>
      </c>
      <c r="L409" t="n">
        <v>0</v>
      </c>
      <c r="M409" t="n">
        <v>0</v>
      </c>
      <c r="N409" t="n">
        <v>0</v>
      </c>
      <c r="O409" t="n">
        <v>0</v>
      </c>
      <c r="P409" t="n">
        <v>0</v>
      </c>
      <c r="Q409" t="n">
        <v>0</v>
      </c>
      <c r="R409" s="2" t="inlineStr"/>
    </row>
    <row r="410" ht="15" customHeight="1">
      <c r="A410" t="inlineStr">
        <is>
          <t>A 54074-2022</t>
        </is>
      </c>
      <c r="B410" s="1" t="n">
        <v>44881</v>
      </c>
      <c r="C410" s="1" t="n">
        <v>46112</v>
      </c>
      <c r="D410" t="inlineStr">
        <is>
          <t>GOTLANDS LÄN</t>
        </is>
      </c>
      <c r="E410" t="inlineStr">
        <is>
          <t>GOTLAND</t>
        </is>
      </c>
      <c r="G410" t="n">
        <v>0.9</v>
      </c>
      <c r="H410" t="n">
        <v>0</v>
      </c>
      <c r="I410" t="n">
        <v>0</v>
      </c>
      <c r="J410" t="n">
        <v>0</v>
      </c>
      <c r="K410" t="n">
        <v>0</v>
      </c>
      <c r="L410" t="n">
        <v>0</v>
      </c>
      <c r="M410" t="n">
        <v>0</v>
      </c>
      <c r="N410" t="n">
        <v>0</v>
      </c>
      <c r="O410" t="n">
        <v>0</v>
      </c>
      <c r="P410" t="n">
        <v>0</v>
      </c>
      <c r="Q410" t="n">
        <v>0</v>
      </c>
      <c r="R410" s="2" t="inlineStr"/>
    </row>
    <row r="411" ht="15" customHeight="1">
      <c r="A411" t="inlineStr">
        <is>
          <t>A 50421-2025</t>
        </is>
      </c>
      <c r="B411" s="1" t="n">
        <v>45944.66049768519</v>
      </c>
      <c r="C411" s="1" t="n">
        <v>46112</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61694-2023</t>
        </is>
      </c>
      <c r="B412" s="1" t="n">
        <v>45264</v>
      </c>
      <c r="C412" s="1" t="n">
        <v>46112</v>
      </c>
      <c r="D412" t="inlineStr">
        <is>
          <t>GOTLANDS LÄN</t>
        </is>
      </c>
      <c r="E412" t="inlineStr">
        <is>
          <t>GOTLAND</t>
        </is>
      </c>
      <c r="G412" t="n">
        <v>4.6</v>
      </c>
      <c r="H412" t="n">
        <v>0</v>
      </c>
      <c r="I412" t="n">
        <v>0</v>
      </c>
      <c r="J412" t="n">
        <v>0</v>
      </c>
      <c r="K412" t="n">
        <v>0</v>
      </c>
      <c r="L412" t="n">
        <v>0</v>
      </c>
      <c r="M412" t="n">
        <v>0</v>
      </c>
      <c r="N412" t="n">
        <v>0</v>
      </c>
      <c r="O412" t="n">
        <v>0</v>
      </c>
      <c r="P412" t="n">
        <v>0</v>
      </c>
      <c r="Q412" t="n">
        <v>0</v>
      </c>
      <c r="R412" s="2" t="inlineStr"/>
    </row>
    <row r="413" ht="15" customHeight="1">
      <c r="A413" t="inlineStr">
        <is>
          <t>A 64208-2021</t>
        </is>
      </c>
      <c r="B413" s="1" t="n">
        <v>44510</v>
      </c>
      <c r="C413" s="1" t="n">
        <v>46112</v>
      </c>
      <c r="D413" t="inlineStr">
        <is>
          <t>GOTLANDS LÄN</t>
        </is>
      </c>
      <c r="E413" t="inlineStr">
        <is>
          <t>GOTLAND</t>
        </is>
      </c>
      <c r="G413" t="n">
        <v>4.7</v>
      </c>
      <c r="H413" t="n">
        <v>0</v>
      </c>
      <c r="I413" t="n">
        <v>0</v>
      </c>
      <c r="J413" t="n">
        <v>0</v>
      </c>
      <c r="K413" t="n">
        <v>0</v>
      </c>
      <c r="L413" t="n">
        <v>0</v>
      </c>
      <c r="M413" t="n">
        <v>0</v>
      </c>
      <c r="N413" t="n">
        <v>0</v>
      </c>
      <c r="O413" t="n">
        <v>0</v>
      </c>
      <c r="P413" t="n">
        <v>0</v>
      </c>
      <c r="Q413" t="n">
        <v>0</v>
      </c>
      <c r="R413" s="2" t="inlineStr"/>
    </row>
    <row r="414" ht="15" customHeight="1">
      <c r="A414" t="inlineStr">
        <is>
          <t>A 4670-2026</t>
        </is>
      </c>
      <c r="B414" s="1" t="n">
        <v>46048.41733796296</v>
      </c>
      <c r="C414" s="1" t="n">
        <v>46112</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46112</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50431-2025</t>
        </is>
      </c>
      <c r="B416" s="1" t="n">
        <v>45944.68453703704</v>
      </c>
      <c r="C416" s="1" t="n">
        <v>46112</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46112</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46112</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46112</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46112</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46112</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62751-2025</t>
        </is>
      </c>
      <c r="B422" s="1" t="n">
        <v>46008</v>
      </c>
      <c r="C422" s="1" t="n">
        <v>46112</v>
      </c>
      <c r="D422" t="inlineStr">
        <is>
          <t>GOTLANDS LÄN</t>
        </is>
      </c>
      <c r="E422" t="inlineStr">
        <is>
          <t>GOTLAND</t>
        </is>
      </c>
      <c r="F422" t="inlineStr">
        <is>
          <t>Övriga Aktiebolag</t>
        </is>
      </c>
      <c r="G422" t="n">
        <v>7.8</v>
      </c>
      <c r="H422" t="n">
        <v>0</v>
      </c>
      <c r="I422" t="n">
        <v>0</v>
      </c>
      <c r="J422" t="n">
        <v>0</v>
      </c>
      <c r="K422" t="n">
        <v>0</v>
      </c>
      <c r="L422" t="n">
        <v>0</v>
      </c>
      <c r="M422" t="n">
        <v>0</v>
      </c>
      <c r="N422" t="n">
        <v>0</v>
      </c>
      <c r="O422" t="n">
        <v>0</v>
      </c>
      <c r="P422" t="n">
        <v>0</v>
      </c>
      <c r="Q422" t="n">
        <v>0</v>
      </c>
      <c r="R422" s="2" t="inlineStr"/>
    </row>
    <row r="423" ht="15" customHeight="1">
      <c r="A423" t="inlineStr">
        <is>
          <t>A 50928-2025</t>
        </is>
      </c>
      <c r="B423" s="1" t="n">
        <v>45946.67896990741</v>
      </c>
      <c r="C423" s="1" t="n">
        <v>46112</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51262-2025</t>
        </is>
      </c>
      <c r="B424" s="1" t="n">
        <v>45949.49872685185</v>
      </c>
      <c r="C424" s="1" t="n">
        <v>46112</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5905-2024</t>
        </is>
      </c>
      <c r="B425" s="1" t="n">
        <v>45335.88993055555</v>
      </c>
      <c r="C425" s="1" t="n">
        <v>46112</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3431-2025</t>
        </is>
      </c>
      <c r="B426" s="1" t="n">
        <v>45680.42935185185</v>
      </c>
      <c r="C426" s="1" t="n">
        <v>46112</v>
      </c>
      <c r="D426" t="inlineStr">
        <is>
          <t>GOTLANDS LÄN</t>
        </is>
      </c>
      <c r="E426" t="inlineStr">
        <is>
          <t>GOTLAND</t>
        </is>
      </c>
      <c r="G426" t="n">
        <v>4.8</v>
      </c>
      <c r="H426" t="n">
        <v>0</v>
      </c>
      <c r="I426" t="n">
        <v>0</v>
      </c>
      <c r="J426" t="n">
        <v>0</v>
      </c>
      <c r="K426" t="n">
        <v>0</v>
      </c>
      <c r="L426" t="n">
        <v>0</v>
      </c>
      <c r="M426" t="n">
        <v>0</v>
      </c>
      <c r="N426" t="n">
        <v>0</v>
      </c>
      <c r="O426" t="n">
        <v>0</v>
      </c>
      <c r="P426" t="n">
        <v>0</v>
      </c>
      <c r="Q426" t="n">
        <v>0</v>
      </c>
      <c r="R426" s="2" t="inlineStr"/>
    </row>
    <row r="427" ht="15" customHeight="1">
      <c r="A427" t="inlineStr">
        <is>
          <t>A 34407-2023</t>
        </is>
      </c>
      <c r="B427" s="1" t="n">
        <v>45132</v>
      </c>
      <c r="C427" s="1" t="n">
        <v>46112</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30892-2024</t>
        </is>
      </c>
      <c r="B428" s="1" t="n">
        <v>45491</v>
      </c>
      <c r="C428" s="1" t="n">
        <v>46112</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46112</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7858-2025</t>
        </is>
      </c>
      <c r="B430" s="1" t="n">
        <v>45706.68633101852</v>
      </c>
      <c r="C430" s="1" t="n">
        <v>46112</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46545-2024</t>
        </is>
      </c>
      <c r="B431" s="1" t="n">
        <v>45582.65831018519</v>
      </c>
      <c r="C431" s="1" t="n">
        <v>46112</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999-2023</t>
        </is>
      </c>
      <c r="B432" s="1" t="n">
        <v>44935</v>
      </c>
      <c r="C432" s="1" t="n">
        <v>46112</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1364-2025</t>
        </is>
      </c>
      <c r="B433" s="1" t="n">
        <v>45667.63929398148</v>
      </c>
      <c r="C433" s="1" t="n">
        <v>46112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2125-2025</t>
        </is>
      </c>
      <c r="B434" s="1" t="n">
        <v>45672.64940972222</v>
      </c>
      <c r="C434" s="1" t="n">
        <v>46112</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52249-2025</t>
        </is>
      </c>
      <c r="B435" s="1" t="n">
        <v>45953.48637731482</v>
      </c>
      <c r="C435" s="1" t="n">
        <v>46112</v>
      </c>
      <c r="D435" t="inlineStr">
        <is>
          <t>GOTLANDS LÄN</t>
        </is>
      </c>
      <c r="E435" t="inlineStr">
        <is>
          <t>GOTLAND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14141-2024</t>
        </is>
      </c>
      <c r="B436" s="1" t="n">
        <v>45392.85193287037</v>
      </c>
      <c r="C436" s="1" t="n">
        <v>46112</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52637-2025</t>
        </is>
      </c>
      <c r="B437" s="1" t="n">
        <v>45954.75099537037</v>
      </c>
      <c r="C437" s="1" t="n">
        <v>46112</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12155-2023</t>
        </is>
      </c>
      <c r="B438" s="1" t="n">
        <v>44998.49106481481</v>
      </c>
      <c r="C438" s="1" t="n">
        <v>46112</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1854-2026</t>
        </is>
      </c>
      <c r="B439" s="1" t="n">
        <v>46035.4171875</v>
      </c>
      <c r="C439" s="1" t="n">
        <v>46112</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2774-2024</t>
        </is>
      </c>
      <c r="B440" s="1" t="n">
        <v>45314.62375</v>
      </c>
      <c r="C440" s="1" t="n">
        <v>46112</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9947-2024</t>
        </is>
      </c>
      <c r="B441" s="1" t="n">
        <v>45363</v>
      </c>
      <c r="C441" s="1" t="n">
        <v>46112</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42007-2023</t>
        </is>
      </c>
      <c r="B442" s="1" t="n">
        <v>45177</v>
      </c>
      <c r="C442" s="1" t="n">
        <v>46112</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53577-2025</t>
        </is>
      </c>
      <c r="B443" s="1" t="n">
        <v>45960.42224537037</v>
      </c>
      <c r="C443" s="1" t="n">
        <v>46112</v>
      </c>
      <c r="D443" t="inlineStr">
        <is>
          <t>GOTLANDS LÄN</t>
        </is>
      </c>
      <c r="E443" t="inlineStr">
        <is>
          <t>GOTLAND</t>
        </is>
      </c>
      <c r="F443" t="inlineStr">
        <is>
          <t>Övriga Aktiebolag</t>
        </is>
      </c>
      <c r="G443" t="n">
        <v>3.3</v>
      </c>
      <c r="H443" t="n">
        <v>0</v>
      </c>
      <c r="I443" t="n">
        <v>0</v>
      </c>
      <c r="J443" t="n">
        <v>0</v>
      </c>
      <c r="K443" t="n">
        <v>0</v>
      </c>
      <c r="L443" t="n">
        <v>0</v>
      </c>
      <c r="M443" t="n">
        <v>0</v>
      </c>
      <c r="N443" t="n">
        <v>0</v>
      </c>
      <c r="O443" t="n">
        <v>0</v>
      </c>
      <c r="P443" t="n">
        <v>0</v>
      </c>
      <c r="Q443" t="n">
        <v>0</v>
      </c>
      <c r="R443" s="2" t="inlineStr"/>
    </row>
    <row r="444" ht="15" customHeight="1">
      <c r="A444" t="inlineStr">
        <is>
          <t>A 13482-2026</t>
        </is>
      </c>
      <c r="B444" s="1" t="n">
        <v>46094</v>
      </c>
      <c r="C444" s="1" t="n">
        <v>46112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53569-2025</t>
        </is>
      </c>
      <c r="B445" s="1" t="n">
        <v>45960.41155092593</v>
      </c>
      <c r="C445" s="1" t="n">
        <v>46112</v>
      </c>
      <c r="D445" t="inlineStr">
        <is>
          <t>GOTLANDS LÄN</t>
        </is>
      </c>
      <c r="E445" t="inlineStr">
        <is>
          <t>GOTLAND</t>
        </is>
      </c>
      <c r="F445" t="inlineStr">
        <is>
          <t>Övriga Aktiebolag</t>
        </is>
      </c>
      <c r="G445" t="n">
        <v>11.3</v>
      </c>
      <c r="H445" t="n">
        <v>0</v>
      </c>
      <c r="I445" t="n">
        <v>0</v>
      </c>
      <c r="J445" t="n">
        <v>0</v>
      </c>
      <c r="K445" t="n">
        <v>0</v>
      </c>
      <c r="L445" t="n">
        <v>0</v>
      </c>
      <c r="M445" t="n">
        <v>0</v>
      </c>
      <c r="N445" t="n">
        <v>0</v>
      </c>
      <c r="O445" t="n">
        <v>0</v>
      </c>
      <c r="P445" t="n">
        <v>0</v>
      </c>
      <c r="Q445" t="n">
        <v>0</v>
      </c>
      <c r="R445" s="2" t="inlineStr"/>
    </row>
    <row r="446" ht="15" customHeight="1">
      <c r="A446" t="inlineStr">
        <is>
          <t>A 13486-2026</t>
        </is>
      </c>
      <c r="B446" s="1" t="n">
        <v>46094</v>
      </c>
      <c r="C446" s="1" t="n">
        <v>46112</v>
      </c>
      <c r="D446" t="inlineStr">
        <is>
          <t>GOTLANDS LÄN</t>
        </is>
      </c>
      <c r="E446" t="inlineStr">
        <is>
          <t>GOTLAND</t>
        </is>
      </c>
      <c r="G446" t="n">
        <v>1.6</v>
      </c>
      <c r="H446" t="n">
        <v>0</v>
      </c>
      <c r="I446" t="n">
        <v>0</v>
      </c>
      <c r="J446" t="n">
        <v>0</v>
      </c>
      <c r="K446" t="n">
        <v>0</v>
      </c>
      <c r="L446" t="n">
        <v>0</v>
      </c>
      <c r="M446" t="n">
        <v>0</v>
      </c>
      <c r="N446" t="n">
        <v>0</v>
      </c>
      <c r="O446" t="n">
        <v>0</v>
      </c>
      <c r="P446" t="n">
        <v>0</v>
      </c>
      <c r="Q446" t="n">
        <v>0</v>
      </c>
      <c r="R446" s="2" t="inlineStr"/>
    </row>
    <row r="447" ht="15" customHeight="1">
      <c r="A447" t="inlineStr">
        <is>
          <t>A 15083-2025</t>
        </is>
      </c>
      <c r="B447" s="1" t="n">
        <v>45743</v>
      </c>
      <c r="C447" s="1" t="n">
        <v>46112</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1066-2024</t>
        </is>
      </c>
      <c r="B448" s="1" t="n">
        <v>45302.285</v>
      </c>
      <c r="C448" s="1" t="n">
        <v>46112</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6207-2026</t>
        </is>
      </c>
      <c r="B449" s="1" t="n">
        <v>46055.42083333333</v>
      </c>
      <c r="C449" s="1" t="n">
        <v>46112</v>
      </c>
      <c r="D449" t="inlineStr">
        <is>
          <t>GOTLANDS LÄN</t>
        </is>
      </c>
      <c r="E449" t="inlineStr">
        <is>
          <t>GOTLAND</t>
        </is>
      </c>
      <c r="G449" t="n">
        <v>7.6</v>
      </c>
      <c r="H449" t="n">
        <v>0</v>
      </c>
      <c r="I449" t="n">
        <v>0</v>
      </c>
      <c r="J449" t="n">
        <v>0</v>
      </c>
      <c r="K449" t="n">
        <v>0</v>
      </c>
      <c r="L449" t="n">
        <v>0</v>
      </c>
      <c r="M449" t="n">
        <v>0</v>
      </c>
      <c r="N449" t="n">
        <v>0</v>
      </c>
      <c r="O449" t="n">
        <v>0</v>
      </c>
      <c r="P449" t="n">
        <v>0</v>
      </c>
      <c r="Q449" t="n">
        <v>0</v>
      </c>
      <c r="R449" s="2" t="inlineStr"/>
    </row>
    <row r="450" ht="15" customHeight="1">
      <c r="A450" t="inlineStr">
        <is>
          <t>A 37202-2024</t>
        </is>
      </c>
      <c r="B450" s="1" t="n">
        <v>45539.67310185185</v>
      </c>
      <c r="C450" s="1" t="n">
        <v>46112</v>
      </c>
      <c r="D450" t="inlineStr">
        <is>
          <t>GOTLANDS LÄN</t>
        </is>
      </c>
      <c r="E450" t="inlineStr">
        <is>
          <t>GOTLAND</t>
        </is>
      </c>
      <c r="G450" t="n">
        <v>0.3</v>
      </c>
      <c r="H450" t="n">
        <v>0</v>
      </c>
      <c r="I450" t="n">
        <v>0</v>
      </c>
      <c r="J450" t="n">
        <v>0</v>
      </c>
      <c r="K450" t="n">
        <v>0</v>
      </c>
      <c r="L450" t="n">
        <v>0</v>
      </c>
      <c r="M450" t="n">
        <v>0</v>
      </c>
      <c r="N450" t="n">
        <v>0</v>
      </c>
      <c r="O450" t="n">
        <v>0</v>
      </c>
      <c r="P450" t="n">
        <v>0</v>
      </c>
      <c r="Q450" t="n">
        <v>0</v>
      </c>
      <c r="R450" s="2" t="inlineStr"/>
    </row>
    <row r="451" ht="15" customHeight="1">
      <c r="A451" t="inlineStr">
        <is>
          <t>A 6218-2026</t>
        </is>
      </c>
      <c r="B451" s="1" t="n">
        <v>46055.42859953704</v>
      </c>
      <c r="C451" s="1" t="n">
        <v>46112</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30815-2023</t>
        </is>
      </c>
      <c r="B452" s="1" t="n">
        <v>45112</v>
      </c>
      <c r="C452" s="1" t="n">
        <v>46112</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46400-2023</t>
        </is>
      </c>
      <c r="B453" s="1" t="n">
        <v>45197.49290509259</v>
      </c>
      <c r="C453" s="1" t="n">
        <v>46112</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10492-2023</t>
        </is>
      </c>
      <c r="B454" s="1" t="n">
        <v>44987</v>
      </c>
      <c r="C454" s="1" t="n">
        <v>46112</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6959-2026</t>
        </is>
      </c>
      <c r="B455" s="1" t="n">
        <v>46057.580625</v>
      </c>
      <c r="C455" s="1" t="n">
        <v>46112</v>
      </c>
      <c r="D455" t="inlineStr">
        <is>
          <t>GOTLANDS LÄN</t>
        </is>
      </c>
      <c r="E455" t="inlineStr">
        <is>
          <t>GOTLAND</t>
        </is>
      </c>
      <c r="F455" t="inlineStr">
        <is>
          <t>Kyrkan</t>
        </is>
      </c>
      <c r="G455" t="n">
        <v>1.2</v>
      </c>
      <c r="H455" t="n">
        <v>0</v>
      </c>
      <c r="I455" t="n">
        <v>0</v>
      </c>
      <c r="J455" t="n">
        <v>0</v>
      </c>
      <c r="K455" t="n">
        <v>0</v>
      </c>
      <c r="L455" t="n">
        <v>0</v>
      </c>
      <c r="M455" t="n">
        <v>0</v>
      </c>
      <c r="N455" t="n">
        <v>0</v>
      </c>
      <c r="O455" t="n">
        <v>0</v>
      </c>
      <c r="P455" t="n">
        <v>0</v>
      </c>
      <c r="Q455" t="n">
        <v>0</v>
      </c>
      <c r="R455" s="2" t="inlineStr"/>
    </row>
    <row r="456" ht="15" customHeight="1">
      <c r="A456" t="inlineStr">
        <is>
          <t>A 56688-2025</t>
        </is>
      </c>
      <c r="B456" s="1" t="n">
        <v>45975.84331018518</v>
      </c>
      <c r="C456" s="1" t="n">
        <v>46112</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56799-2025</t>
        </is>
      </c>
      <c r="B457" s="1" t="n">
        <v>45978.43392361111</v>
      </c>
      <c r="C457" s="1" t="n">
        <v>46112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3067-2026</t>
        </is>
      </c>
      <c r="B458" s="1" t="n">
        <v>46040.59025462963</v>
      </c>
      <c r="C458" s="1" t="n">
        <v>46112</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44919-2022</t>
        </is>
      </c>
      <c r="B459" s="1" t="n">
        <v>44841</v>
      </c>
      <c r="C459" s="1" t="n">
        <v>46112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16501-2023</t>
        </is>
      </c>
      <c r="B460" s="1" t="n">
        <v>45029</v>
      </c>
      <c r="C460" s="1" t="n">
        <v>46112</v>
      </c>
      <c r="D460" t="inlineStr">
        <is>
          <t>GOTLANDS LÄN</t>
        </is>
      </c>
      <c r="E460" t="inlineStr">
        <is>
          <t>GOTLAND</t>
        </is>
      </c>
      <c r="G460" t="n">
        <v>3.1</v>
      </c>
      <c r="H460" t="n">
        <v>0</v>
      </c>
      <c r="I460" t="n">
        <v>0</v>
      </c>
      <c r="J460" t="n">
        <v>0</v>
      </c>
      <c r="K460" t="n">
        <v>0</v>
      </c>
      <c r="L460" t="n">
        <v>0</v>
      </c>
      <c r="M460" t="n">
        <v>0</v>
      </c>
      <c r="N460" t="n">
        <v>0</v>
      </c>
      <c r="O460" t="n">
        <v>0</v>
      </c>
      <c r="P460" t="n">
        <v>0</v>
      </c>
      <c r="Q460" t="n">
        <v>0</v>
      </c>
      <c r="R460" s="2" t="inlineStr"/>
    </row>
    <row r="461" ht="15" customHeight="1">
      <c r="A461" t="inlineStr">
        <is>
          <t>A 6960-2026</t>
        </is>
      </c>
      <c r="B461" s="1" t="n">
        <v>46057.58105324074</v>
      </c>
      <c r="C461" s="1" t="n">
        <v>46112</v>
      </c>
      <c r="D461" t="inlineStr">
        <is>
          <t>GOTLANDS LÄN</t>
        </is>
      </c>
      <c r="E461" t="inlineStr">
        <is>
          <t>GOTLAND</t>
        </is>
      </c>
      <c r="F461" t="inlineStr">
        <is>
          <t>Kyrkan</t>
        </is>
      </c>
      <c r="G461" t="n">
        <v>2.4</v>
      </c>
      <c r="H461" t="n">
        <v>0</v>
      </c>
      <c r="I461" t="n">
        <v>0</v>
      </c>
      <c r="J461" t="n">
        <v>0</v>
      </c>
      <c r="K461" t="n">
        <v>0</v>
      </c>
      <c r="L461" t="n">
        <v>0</v>
      </c>
      <c r="M461" t="n">
        <v>0</v>
      </c>
      <c r="N461" t="n">
        <v>0</v>
      </c>
      <c r="O461" t="n">
        <v>0</v>
      </c>
      <c r="P461" t="n">
        <v>0</v>
      </c>
      <c r="Q461" t="n">
        <v>0</v>
      </c>
      <c r="R461" s="2" t="inlineStr"/>
    </row>
    <row r="462" ht="15" customHeight="1">
      <c r="A462" t="inlineStr">
        <is>
          <t>A 27095-2022</t>
        </is>
      </c>
      <c r="B462" s="1" t="n">
        <v>44741</v>
      </c>
      <c r="C462" s="1" t="n">
        <v>46112</v>
      </c>
      <c r="D462" t="inlineStr">
        <is>
          <t>GOTLANDS LÄN</t>
        </is>
      </c>
      <c r="E462" t="inlineStr">
        <is>
          <t>GOTLAND</t>
        </is>
      </c>
      <c r="F462" t="inlineStr">
        <is>
          <t>Övriga Aktiebolag</t>
        </is>
      </c>
      <c r="G462" t="n">
        <v>2.9</v>
      </c>
      <c r="H462" t="n">
        <v>0</v>
      </c>
      <c r="I462" t="n">
        <v>0</v>
      </c>
      <c r="J462" t="n">
        <v>0</v>
      </c>
      <c r="K462" t="n">
        <v>0</v>
      </c>
      <c r="L462" t="n">
        <v>0</v>
      </c>
      <c r="M462" t="n">
        <v>0</v>
      </c>
      <c r="N462" t="n">
        <v>0</v>
      </c>
      <c r="O462" t="n">
        <v>0</v>
      </c>
      <c r="P462" t="n">
        <v>0</v>
      </c>
      <c r="Q462" t="n">
        <v>0</v>
      </c>
      <c r="R462" s="2" t="inlineStr"/>
    </row>
    <row r="463" ht="15" customHeight="1">
      <c r="A463" t="inlineStr">
        <is>
          <t>A 458-2023</t>
        </is>
      </c>
      <c r="B463" s="1" t="n">
        <v>44929</v>
      </c>
      <c r="C463" s="1" t="n">
        <v>46112</v>
      </c>
      <c r="D463" t="inlineStr">
        <is>
          <t>GOTLANDS LÄN</t>
        </is>
      </c>
      <c r="E463" t="inlineStr">
        <is>
          <t>GOTLAND</t>
        </is>
      </c>
      <c r="G463" t="n">
        <v>3.6</v>
      </c>
      <c r="H463" t="n">
        <v>0</v>
      </c>
      <c r="I463" t="n">
        <v>0</v>
      </c>
      <c r="J463" t="n">
        <v>0</v>
      </c>
      <c r="K463" t="n">
        <v>0</v>
      </c>
      <c r="L463" t="n">
        <v>0</v>
      </c>
      <c r="M463" t="n">
        <v>0</v>
      </c>
      <c r="N463" t="n">
        <v>0</v>
      </c>
      <c r="O463" t="n">
        <v>0</v>
      </c>
      <c r="P463" t="n">
        <v>0</v>
      </c>
      <c r="Q463" t="n">
        <v>0</v>
      </c>
      <c r="R463" s="2" t="inlineStr"/>
    </row>
    <row r="464" ht="15" customHeight="1">
      <c r="A464" t="inlineStr">
        <is>
          <t>A 1291-2023</t>
        </is>
      </c>
      <c r="B464" s="1" t="n">
        <v>44936.47561342592</v>
      </c>
      <c r="C464" s="1" t="n">
        <v>46112</v>
      </c>
      <c r="D464" t="inlineStr">
        <is>
          <t>GOTLANDS LÄN</t>
        </is>
      </c>
      <c r="E464" t="inlineStr">
        <is>
          <t>GOTLAND</t>
        </is>
      </c>
      <c r="G464" t="n">
        <v>7.4</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46112</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46112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2719-2023</t>
        </is>
      </c>
      <c r="B467" s="1" t="n">
        <v>44944.55361111111</v>
      </c>
      <c r="C467" s="1" t="n">
        <v>46112</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17144-2025</t>
        </is>
      </c>
      <c r="B468" s="1" t="n">
        <v>45755.9499537037</v>
      </c>
      <c r="C468" s="1" t="n">
        <v>46112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49314-2024</t>
        </is>
      </c>
      <c r="B469" s="1" t="n">
        <v>45595.55893518519</v>
      </c>
      <c r="C469" s="1" t="n">
        <v>46112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9875-2025</t>
        </is>
      </c>
      <c r="B470" s="1" t="n">
        <v>45716</v>
      </c>
      <c r="C470" s="1" t="n">
        <v>46112</v>
      </c>
      <c r="D470" t="inlineStr">
        <is>
          <t>GOTLANDS LÄN</t>
        </is>
      </c>
      <c r="E470" t="inlineStr">
        <is>
          <t>GOTLAND</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29809-2022</t>
        </is>
      </c>
      <c r="B471" s="1" t="n">
        <v>44755.8713425926</v>
      </c>
      <c r="C471" s="1" t="n">
        <v>46112</v>
      </c>
      <c r="D471" t="inlineStr">
        <is>
          <t>GOTLANDS LÄN</t>
        </is>
      </c>
      <c r="E471" t="inlineStr">
        <is>
          <t>GOTLAND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16361-2024</t>
        </is>
      </c>
      <c r="B472" s="1" t="n">
        <v>45407</v>
      </c>
      <c r="C472" s="1" t="n">
        <v>46112</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59197-2025</t>
        </is>
      </c>
      <c r="B473" s="1" t="n">
        <v>45988.59846064815</v>
      </c>
      <c r="C473" s="1" t="n">
        <v>46112</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43081-2022</t>
        </is>
      </c>
      <c r="B474" s="1" t="n">
        <v>44833</v>
      </c>
      <c r="C474" s="1" t="n">
        <v>46112</v>
      </c>
      <c r="D474" t="inlineStr">
        <is>
          <t>GOTLANDS LÄN</t>
        </is>
      </c>
      <c r="E474" t="inlineStr">
        <is>
          <t>GOTLAND</t>
        </is>
      </c>
      <c r="G474" t="n">
        <v>6.8</v>
      </c>
      <c r="H474" t="n">
        <v>0</v>
      </c>
      <c r="I474" t="n">
        <v>0</v>
      </c>
      <c r="J474" t="n">
        <v>0</v>
      </c>
      <c r="K474" t="n">
        <v>0</v>
      </c>
      <c r="L474" t="n">
        <v>0</v>
      </c>
      <c r="M474" t="n">
        <v>0</v>
      </c>
      <c r="N474" t="n">
        <v>0</v>
      </c>
      <c r="O474" t="n">
        <v>0</v>
      </c>
      <c r="P474" t="n">
        <v>0</v>
      </c>
      <c r="Q474" t="n">
        <v>0</v>
      </c>
      <c r="R474" s="2" t="inlineStr"/>
    </row>
    <row r="475" ht="15" customHeight="1">
      <c r="A475" t="inlineStr">
        <is>
          <t>A 1175-2025</t>
        </is>
      </c>
      <c r="B475" s="1" t="n">
        <v>45667.34449074074</v>
      </c>
      <c r="C475" s="1" t="n">
        <v>46112</v>
      </c>
      <c r="D475" t="inlineStr">
        <is>
          <t>GOTLANDS LÄN</t>
        </is>
      </c>
      <c r="E475" t="inlineStr">
        <is>
          <t>GOTLAND</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36319-2025</t>
        </is>
      </c>
      <c r="B476" s="1" t="n">
        <v>45868</v>
      </c>
      <c r="C476" s="1" t="n">
        <v>46112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42201-2023</t>
        </is>
      </c>
      <c r="B477" s="1" t="n">
        <v>45179</v>
      </c>
      <c r="C477" s="1" t="n">
        <v>46112</v>
      </c>
      <c r="D477" t="inlineStr">
        <is>
          <t>GOTLANDS LÄN</t>
        </is>
      </c>
      <c r="E477" t="inlineStr">
        <is>
          <t>GOTLAND</t>
        </is>
      </c>
      <c r="G477" t="n">
        <v>11.9</v>
      </c>
      <c r="H477" t="n">
        <v>0</v>
      </c>
      <c r="I477" t="n">
        <v>0</v>
      </c>
      <c r="J477" t="n">
        <v>0</v>
      </c>
      <c r="K477" t="n">
        <v>0</v>
      </c>
      <c r="L477" t="n">
        <v>0</v>
      </c>
      <c r="M477" t="n">
        <v>0</v>
      </c>
      <c r="N477" t="n">
        <v>0</v>
      </c>
      <c r="O477" t="n">
        <v>0</v>
      </c>
      <c r="P477" t="n">
        <v>0</v>
      </c>
      <c r="Q477" t="n">
        <v>0</v>
      </c>
      <c r="R477" s="2" t="inlineStr"/>
    </row>
    <row r="478" ht="15" customHeight="1">
      <c r="A478" t="inlineStr">
        <is>
          <t>A 3150-2025</t>
        </is>
      </c>
      <c r="B478" s="1" t="n">
        <v>45679.28974537037</v>
      </c>
      <c r="C478" s="1" t="n">
        <v>46112</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42041-2024</t>
        </is>
      </c>
      <c r="B479" s="1" t="n">
        <v>45561</v>
      </c>
      <c r="C479" s="1" t="n">
        <v>46112</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5863-2026</t>
        </is>
      </c>
      <c r="B480" s="1" t="n">
        <v>46052.36697916667</v>
      </c>
      <c r="C480" s="1" t="n">
        <v>46112</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7627-2026</t>
        </is>
      </c>
      <c r="B481" s="1" t="n">
        <v>46062.35465277778</v>
      </c>
      <c r="C481" s="1" t="n">
        <v>46112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63105-2025</t>
        </is>
      </c>
      <c r="B482" s="1" t="n">
        <v>46009</v>
      </c>
      <c r="C482" s="1" t="n">
        <v>46112</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46112</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46112</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46112</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7625-2026</t>
        </is>
      </c>
      <c r="B486" s="1" t="n">
        <v>46062.35135416667</v>
      </c>
      <c r="C486" s="1" t="n">
        <v>46112</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2135-2026</t>
        </is>
      </c>
      <c r="B487" s="1" t="n">
        <v>46036</v>
      </c>
      <c r="C487" s="1" t="n">
        <v>46112</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17780-2022</t>
        </is>
      </c>
      <c r="B488" s="1" t="n">
        <v>44682.82622685185</v>
      </c>
      <c r="C488" s="1" t="n">
        <v>46112</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63516-2023</t>
        </is>
      </c>
      <c r="B489" s="1" t="n">
        <v>45274</v>
      </c>
      <c r="C489" s="1" t="n">
        <v>46112</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62066-2025</t>
        </is>
      </c>
      <c r="B490" s="1" t="n">
        <v>46006.34738425926</v>
      </c>
      <c r="C490" s="1" t="n">
        <v>46112</v>
      </c>
      <c r="D490" t="inlineStr">
        <is>
          <t>GOTLANDS LÄN</t>
        </is>
      </c>
      <c r="E490" t="inlineStr">
        <is>
          <t>GOTLAND</t>
        </is>
      </c>
      <c r="G490" t="n">
        <v>1.7</v>
      </c>
      <c r="H490" t="n">
        <v>0</v>
      </c>
      <c r="I490" t="n">
        <v>0</v>
      </c>
      <c r="J490" t="n">
        <v>0</v>
      </c>
      <c r="K490" t="n">
        <v>0</v>
      </c>
      <c r="L490" t="n">
        <v>0</v>
      </c>
      <c r="M490" t="n">
        <v>0</v>
      </c>
      <c r="N490" t="n">
        <v>0</v>
      </c>
      <c r="O490" t="n">
        <v>0</v>
      </c>
      <c r="P490" t="n">
        <v>0</v>
      </c>
      <c r="Q490" t="n">
        <v>0</v>
      </c>
      <c r="R490" s="2" t="inlineStr"/>
    </row>
    <row r="491" ht="15" customHeight="1">
      <c r="A491" t="inlineStr">
        <is>
          <t>A 62103-2025</t>
        </is>
      </c>
      <c r="B491" s="1" t="n">
        <v>46006</v>
      </c>
      <c r="C491" s="1" t="n">
        <v>46112</v>
      </c>
      <c r="D491" t="inlineStr">
        <is>
          <t>GOTLANDS LÄN</t>
        </is>
      </c>
      <c r="E491" t="inlineStr">
        <is>
          <t>GOTLAND</t>
        </is>
      </c>
      <c r="F491" t="inlineStr">
        <is>
          <t>Övriga Aktiebolag</t>
        </is>
      </c>
      <c r="G491" t="n">
        <v>1.7</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46112</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46112</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46112</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46112</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23516-2023</t>
        </is>
      </c>
      <c r="B496" s="1" t="n">
        <v>45076.93391203704</v>
      </c>
      <c r="C496" s="1" t="n">
        <v>46112</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43231-2023</t>
        </is>
      </c>
      <c r="B497" s="1" t="n">
        <v>45183.47025462963</v>
      </c>
      <c r="C497" s="1" t="n">
        <v>46112</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46112</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58230-2024</t>
        </is>
      </c>
      <c r="B499" s="1" t="n">
        <v>45632.51625</v>
      </c>
      <c r="C499" s="1" t="n">
        <v>46112</v>
      </c>
      <c r="D499" t="inlineStr">
        <is>
          <t>GOTLANDS LÄN</t>
        </is>
      </c>
      <c r="E499" t="inlineStr">
        <is>
          <t>GOTLAND</t>
        </is>
      </c>
      <c r="G499" t="n">
        <v>7.3</v>
      </c>
      <c r="H499" t="n">
        <v>0</v>
      </c>
      <c r="I499" t="n">
        <v>0</v>
      </c>
      <c r="J499" t="n">
        <v>0</v>
      </c>
      <c r="K499" t="n">
        <v>0</v>
      </c>
      <c r="L499" t="n">
        <v>0</v>
      </c>
      <c r="M499" t="n">
        <v>0</v>
      </c>
      <c r="N499" t="n">
        <v>0</v>
      </c>
      <c r="O499" t="n">
        <v>0</v>
      </c>
      <c r="P499" t="n">
        <v>0</v>
      </c>
      <c r="Q499" t="n">
        <v>0</v>
      </c>
      <c r="R499" s="2" t="inlineStr"/>
    </row>
    <row r="500" ht="15" customHeight="1">
      <c r="A500" t="inlineStr">
        <is>
          <t>A 62836-2025</t>
        </is>
      </c>
      <c r="B500" s="1" t="n">
        <v>46008</v>
      </c>
      <c r="C500" s="1" t="n">
        <v>46112</v>
      </c>
      <c r="D500" t="inlineStr">
        <is>
          <t>GOTLANDS LÄN</t>
        </is>
      </c>
      <c r="E500" t="inlineStr">
        <is>
          <t>GOTLAND</t>
        </is>
      </c>
      <c r="G500" t="n">
        <v>6.5</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46112</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457-2023</t>
        </is>
      </c>
      <c r="B502" s="1" t="n">
        <v>44929.87238425926</v>
      </c>
      <c r="C502" s="1" t="n">
        <v>46112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44929.87423611111</v>
      </c>
      <c r="C503" s="1" t="n">
        <v>46112</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54584-2025</t>
        </is>
      </c>
      <c r="B504" s="1" t="n">
        <v>45965.71788194445</v>
      </c>
      <c r="C504" s="1" t="n">
        <v>46112</v>
      </c>
      <c r="D504" t="inlineStr">
        <is>
          <t>GOTLANDS LÄN</t>
        </is>
      </c>
      <c r="E504" t="inlineStr">
        <is>
          <t>GOTLAND</t>
        </is>
      </c>
      <c r="G504" t="n">
        <v>3.5</v>
      </c>
      <c r="H504" t="n">
        <v>0</v>
      </c>
      <c r="I504" t="n">
        <v>0</v>
      </c>
      <c r="J504" t="n">
        <v>0</v>
      </c>
      <c r="K504" t="n">
        <v>0</v>
      </c>
      <c r="L504" t="n">
        <v>0</v>
      </c>
      <c r="M504" t="n">
        <v>0</v>
      </c>
      <c r="N504" t="n">
        <v>0</v>
      </c>
      <c r="O504" t="n">
        <v>0</v>
      </c>
      <c r="P504" t="n">
        <v>0</v>
      </c>
      <c r="Q504" t="n">
        <v>0</v>
      </c>
      <c r="R504" s="2" t="inlineStr"/>
    </row>
    <row r="505" ht="15" customHeight="1">
      <c r="A505" t="inlineStr">
        <is>
          <t>A 38649-2025</t>
        </is>
      </c>
      <c r="B505" s="1" t="n">
        <v>45884</v>
      </c>
      <c r="C505" s="1" t="n">
        <v>46112</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876-2024</t>
        </is>
      </c>
      <c r="B506" s="1" t="n">
        <v>45301</v>
      </c>
      <c r="C506" s="1" t="n">
        <v>46112</v>
      </c>
      <c r="D506" t="inlineStr">
        <is>
          <t>GOTLANDS LÄN</t>
        </is>
      </c>
      <c r="E506" t="inlineStr">
        <is>
          <t>GOTLAND</t>
        </is>
      </c>
      <c r="G506" t="n">
        <v>5.3</v>
      </c>
      <c r="H506" t="n">
        <v>0</v>
      </c>
      <c r="I506" t="n">
        <v>0</v>
      </c>
      <c r="J506" t="n">
        <v>0</v>
      </c>
      <c r="K506" t="n">
        <v>0</v>
      </c>
      <c r="L506" t="n">
        <v>0</v>
      </c>
      <c r="M506" t="n">
        <v>0</v>
      </c>
      <c r="N506" t="n">
        <v>0</v>
      </c>
      <c r="O506" t="n">
        <v>0</v>
      </c>
      <c r="P506" t="n">
        <v>0</v>
      </c>
      <c r="Q506" t="n">
        <v>0</v>
      </c>
      <c r="R506" s="2" t="inlineStr"/>
    </row>
    <row r="507" ht="15" customHeight="1">
      <c r="A507" t="inlineStr">
        <is>
          <t>A 26891-2024</t>
        </is>
      </c>
      <c r="B507" s="1" t="n">
        <v>45470.65540509259</v>
      </c>
      <c r="C507" s="1" t="n">
        <v>46112</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46112</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46112</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61078-2025</t>
        </is>
      </c>
      <c r="B510" s="1" t="n">
        <v>46000</v>
      </c>
      <c r="C510" s="1" t="n">
        <v>46112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46112</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38234-2023</t>
        </is>
      </c>
      <c r="B512" s="1" t="n">
        <v>45161.56663194444</v>
      </c>
      <c r="C512" s="1" t="n">
        <v>46112</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36-2026</t>
        </is>
      </c>
      <c r="B513" s="1" t="n">
        <v>46024.38886574074</v>
      </c>
      <c r="C513" s="1" t="n">
        <v>46112</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1273-2023</t>
        </is>
      </c>
      <c r="B514" s="1" t="n">
        <v>44936</v>
      </c>
      <c r="C514" s="1" t="n">
        <v>46112</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62674-2025</t>
        </is>
      </c>
      <c r="B515" s="1" t="n">
        <v>46008</v>
      </c>
      <c r="C515" s="1" t="n">
        <v>46112</v>
      </c>
      <c r="D515" t="inlineStr">
        <is>
          <t>GOTLANDS LÄN</t>
        </is>
      </c>
      <c r="E515" t="inlineStr">
        <is>
          <t>GOTLAND</t>
        </is>
      </c>
      <c r="G515" t="n">
        <v>5</v>
      </c>
      <c r="H515" t="n">
        <v>0</v>
      </c>
      <c r="I515" t="n">
        <v>0</v>
      </c>
      <c r="J515" t="n">
        <v>0</v>
      </c>
      <c r="K515" t="n">
        <v>0</v>
      </c>
      <c r="L515" t="n">
        <v>0</v>
      </c>
      <c r="M515" t="n">
        <v>0</v>
      </c>
      <c r="N515" t="n">
        <v>0</v>
      </c>
      <c r="O515" t="n">
        <v>0</v>
      </c>
      <c r="P515" t="n">
        <v>0</v>
      </c>
      <c r="Q515" t="n">
        <v>0</v>
      </c>
      <c r="R515" s="2" t="inlineStr"/>
    </row>
    <row r="516" ht="15" customHeight="1">
      <c r="A516" t="inlineStr">
        <is>
          <t>A 9543-2026</t>
        </is>
      </c>
      <c r="B516" s="1" t="n">
        <v>46071.62486111111</v>
      </c>
      <c r="C516" s="1" t="n">
        <v>46112</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9518-2026</t>
        </is>
      </c>
      <c r="B517" s="1" t="n">
        <v>46071.59653935185</v>
      </c>
      <c r="C517" s="1" t="n">
        <v>46112</v>
      </c>
      <c r="D517" t="inlineStr">
        <is>
          <t>GOTLANDS LÄN</t>
        </is>
      </c>
      <c r="E517" t="inlineStr">
        <is>
          <t>GOTLAND</t>
        </is>
      </c>
      <c r="G517" t="n">
        <v>6.2</v>
      </c>
      <c r="H517" t="n">
        <v>0</v>
      </c>
      <c r="I517" t="n">
        <v>0</v>
      </c>
      <c r="J517" t="n">
        <v>0</v>
      </c>
      <c r="K517" t="n">
        <v>0</v>
      </c>
      <c r="L517" t="n">
        <v>0</v>
      </c>
      <c r="M517" t="n">
        <v>0</v>
      </c>
      <c r="N517" t="n">
        <v>0</v>
      </c>
      <c r="O517" t="n">
        <v>0</v>
      </c>
      <c r="P517" t="n">
        <v>0</v>
      </c>
      <c r="Q517" t="n">
        <v>0</v>
      </c>
      <c r="R517" s="2" t="inlineStr"/>
    </row>
    <row r="518" ht="15" customHeight="1">
      <c r="A518" t="inlineStr">
        <is>
          <t>A 9524-2026</t>
        </is>
      </c>
      <c r="B518" s="1" t="n">
        <v>46071.60108796296</v>
      </c>
      <c r="C518" s="1" t="n">
        <v>46112</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63152-2025</t>
        </is>
      </c>
      <c r="B519" s="1" t="n">
        <v>46010</v>
      </c>
      <c r="C519" s="1" t="n">
        <v>46112</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17724-2024</t>
        </is>
      </c>
      <c r="B520" s="1" t="n">
        <v>45418.55096064815</v>
      </c>
      <c r="C520" s="1" t="n">
        <v>46112</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46112</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9521-2026</t>
        </is>
      </c>
      <c r="B522" s="1" t="n">
        <v>46071.59969907408</v>
      </c>
      <c r="C522" s="1" t="n">
        <v>46112</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23978-2023</t>
        </is>
      </c>
      <c r="B523" s="1" t="n">
        <v>45078</v>
      </c>
      <c r="C523" s="1" t="n">
        <v>46112</v>
      </c>
      <c r="D523" t="inlineStr">
        <is>
          <t>GOTLANDS LÄN</t>
        </is>
      </c>
      <c r="E523" t="inlineStr">
        <is>
          <t>GOTLAND</t>
        </is>
      </c>
      <c r="F523" t="inlineStr">
        <is>
          <t>Naturvårdsverket</t>
        </is>
      </c>
      <c r="G523" t="n">
        <v>1.7</v>
      </c>
      <c r="H523" t="n">
        <v>0</v>
      </c>
      <c r="I523" t="n">
        <v>0</v>
      </c>
      <c r="J523" t="n">
        <v>0</v>
      </c>
      <c r="K523" t="n">
        <v>0</v>
      </c>
      <c r="L523" t="n">
        <v>0</v>
      </c>
      <c r="M523" t="n">
        <v>0</v>
      </c>
      <c r="N523" t="n">
        <v>0</v>
      </c>
      <c r="O523" t="n">
        <v>0</v>
      </c>
      <c r="P523" t="n">
        <v>0</v>
      </c>
      <c r="Q523" t="n">
        <v>0</v>
      </c>
      <c r="R523" s="2" t="inlineStr"/>
    </row>
    <row r="524" ht="15" customHeight="1">
      <c r="A524" t="inlineStr">
        <is>
          <t>A 49884-2023</t>
        </is>
      </c>
      <c r="B524" s="1" t="n">
        <v>45213</v>
      </c>
      <c r="C524" s="1" t="n">
        <v>46112</v>
      </c>
      <c r="D524" t="inlineStr">
        <is>
          <t>GOTLANDS LÄN</t>
        </is>
      </c>
      <c r="E524" t="inlineStr">
        <is>
          <t>GOTLAND</t>
        </is>
      </c>
      <c r="G524" t="n">
        <v>8.9</v>
      </c>
      <c r="H524" t="n">
        <v>0</v>
      </c>
      <c r="I524" t="n">
        <v>0</v>
      </c>
      <c r="J524" t="n">
        <v>0</v>
      </c>
      <c r="K524" t="n">
        <v>0</v>
      </c>
      <c r="L524" t="n">
        <v>0</v>
      </c>
      <c r="M524" t="n">
        <v>0</v>
      </c>
      <c r="N524" t="n">
        <v>0</v>
      </c>
      <c r="O524" t="n">
        <v>0</v>
      </c>
      <c r="P524" t="n">
        <v>0</v>
      </c>
      <c r="Q524" t="n">
        <v>0</v>
      </c>
      <c r="R524" s="2" t="inlineStr"/>
    </row>
    <row r="525" ht="15" customHeight="1">
      <c r="A525" t="inlineStr">
        <is>
          <t>A 9504-2026</t>
        </is>
      </c>
      <c r="B525" s="1" t="n">
        <v>46071.57730324074</v>
      </c>
      <c r="C525" s="1" t="n">
        <v>46112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9540-2026</t>
        </is>
      </c>
      <c r="B526" s="1" t="n">
        <v>46071.61961805556</v>
      </c>
      <c r="C526" s="1" t="n">
        <v>46112</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1355-2026</t>
        </is>
      </c>
      <c r="B527" s="1" t="n">
        <v>46031.59909722222</v>
      </c>
      <c r="C527" s="1" t="n">
        <v>46112</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12846-2025</t>
        </is>
      </c>
      <c r="B528" s="1" t="n">
        <v>45733.65049768519</v>
      </c>
      <c r="C528" s="1" t="n">
        <v>46112</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43200-2023</t>
        </is>
      </c>
      <c r="B529" s="1" t="n">
        <v>45183</v>
      </c>
      <c r="C529" s="1" t="n">
        <v>46112</v>
      </c>
      <c r="D529" t="inlineStr">
        <is>
          <t>GOTLANDS LÄN</t>
        </is>
      </c>
      <c r="E529" t="inlineStr">
        <is>
          <t>GOTLAND</t>
        </is>
      </c>
      <c r="G529" t="n">
        <v>0.5</v>
      </c>
      <c r="H529" t="n">
        <v>0</v>
      </c>
      <c r="I529" t="n">
        <v>0</v>
      </c>
      <c r="J529" t="n">
        <v>0</v>
      </c>
      <c r="K529" t="n">
        <v>0</v>
      </c>
      <c r="L529" t="n">
        <v>0</v>
      </c>
      <c r="M529" t="n">
        <v>0</v>
      </c>
      <c r="N529" t="n">
        <v>0</v>
      </c>
      <c r="O529" t="n">
        <v>0</v>
      </c>
      <c r="P529" t="n">
        <v>0</v>
      </c>
      <c r="Q529" t="n">
        <v>0</v>
      </c>
      <c r="R529" s="2" t="inlineStr"/>
    </row>
    <row r="530" ht="15" customHeight="1">
      <c r="A530" t="inlineStr">
        <is>
          <t>A 9901-2026</t>
        </is>
      </c>
      <c r="B530" s="1" t="n">
        <v>46073.40391203704</v>
      </c>
      <c r="C530" s="1" t="n">
        <v>46112</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46112</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46112</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1898-2026</t>
        </is>
      </c>
      <c r="B533" s="1" t="n">
        <v>46035.52024305556</v>
      </c>
      <c r="C533" s="1" t="n">
        <v>46112</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21792-2024</t>
        </is>
      </c>
      <c r="B534" s="1" t="n">
        <v>45442.64326388889</v>
      </c>
      <c r="C534" s="1" t="n">
        <v>46112</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10284-2026</t>
        </is>
      </c>
      <c r="B535" s="1" t="n">
        <v>46076</v>
      </c>
      <c r="C535" s="1" t="n">
        <v>46112</v>
      </c>
      <c r="D535" t="inlineStr">
        <is>
          <t>GOTLANDS LÄN</t>
        </is>
      </c>
      <c r="E535" t="inlineStr">
        <is>
          <t>GOTLAND</t>
        </is>
      </c>
      <c r="G535" t="n">
        <v>5.2</v>
      </c>
      <c r="H535" t="n">
        <v>0</v>
      </c>
      <c r="I535" t="n">
        <v>0</v>
      </c>
      <c r="J535" t="n">
        <v>0</v>
      </c>
      <c r="K535" t="n">
        <v>0</v>
      </c>
      <c r="L535" t="n">
        <v>0</v>
      </c>
      <c r="M535" t="n">
        <v>0</v>
      </c>
      <c r="N535" t="n">
        <v>0</v>
      </c>
      <c r="O535" t="n">
        <v>0</v>
      </c>
      <c r="P535" t="n">
        <v>0</v>
      </c>
      <c r="Q535" t="n">
        <v>0</v>
      </c>
      <c r="R535" s="2" t="inlineStr"/>
    </row>
    <row r="536" ht="15" customHeight="1">
      <c r="A536" t="inlineStr">
        <is>
          <t>A 48843-2024</t>
        </is>
      </c>
      <c r="B536" s="1" t="n">
        <v>45593</v>
      </c>
      <c r="C536" s="1" t="n">
        <v>46112</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10653-2023</t>
        </is>
      </c>
      <c r="B537" s="1" t="n">
        <v>44988.48859953704</v>
      </c>
      <c r="C537" s="1" t="n">
        <v>46112</v>
      </c>
      <c r="D537" t="inlineStr">
        <is>
          <t>GOTLANDS LÄN</t>
        </is>
      </c>
      <c r="E537" t="inlineStr">
        <is>
          <t>GOTLAND</t>
        </is>
      </c>
      <c r="F537" t="inlineStr">
        <is>
          <t>Kyrkan</t>
        </is>
      </c>
      <c r="G537" t="n">
        <v>3</v>
      </c>
      <c r="H537" t="n">
        <v>0</v>
      </c>
      <c r="I537" t="n">
        <v>0</v>
      </c>
      <c r="J537" t="n">
        <v>0</v>
      </c>
      <c r="K537" t="n">
        <v>0</v>
      </c>
      <c r="L537" t="n">
        <v>0</v>
      </c>
      <c r="M537" t="n">
        <v>0</v>
      </c>
      <c r="N537" t="n">
        <v>0</v>
      </c>
      <c r="O537" t="n">
        <v>0</v>
      </c>
      <c r="P537" t="n">
        <v>0</v>
      </c>
      <c r="Q537" t="n">
        <v>0</v>
      </c>
      <c r="R537" s="2" t="inlineStr"/>
    </row>
    <row r="538" ht="15" customHeight="1">
      <c r="A538" t="inlineStr">
        <is>
          <t>A 53561-2025</t>
        </is>
      </c>
      <c r="B538" s="1" t="n">
        <v>45960.4059375</v>
      </c>
      <c r="C538" s="1" t="n">
        <v>46112</v>
      </c>
      <c r="D538" t="inlineStr">
        <is>
          <t>GOTLANDS LÄN</t>
        </is>
      </c>
      <c r="E538" t="inlineStr">
        <is>
          <t>GOTLAND</t>
        </is>
      </c>
      <c r="F538" t="inlineStr">
        <is>
          <t>Övriga Aktiebolag</t>
        </is>
      </c>
      <c r="G538" t="n">
        <v>2.4</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46112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53587-2025</t>
        </is>
      </c>
      <c r="B540" s="1" t="n">
        <v>45960.43681712963</v>
      </c>
      <c r="C540" s="1" t="n">
        <v>46112</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11874-2024</t>
        </is>
      </c>
      <c r="B541" s="1" t="n">
        <v>45376.46956018519</v>
      </c>
      <c r="C541" s="1" t="n">
        <v>46112</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20225-2025</t>
        </is>
      </c>
      <c r="B542" s="1" t="n">
        <v>45772.65802083333</v>
      </c>
      <c r="C542" s="1" t="n">
        <v>46112</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1677-2023</t>
        </is>
      </c>
      <c r="B543" s="1" t="n">
        <v>44938</v>
      </c>
      <c r="C543" s="1" t="n">
        <v>46112</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64831-2023</t>
        </is>
      </c>
      <c r="B544" s="1" t="n">
        <v>45282.44924768519</v>
      </c>
      <c r="C544" s="1" t="n">
        <v>46112</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8036-2022</t>
        </is>
      </c>
      <c r="B545" s="1" t="n">
        <v>44609.44362268518</v>
      </c>
      <c r="C545" s="1" t="n">
        <v>46112</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46375-2024</t>
        </is>
      </c>
      <c r="B546" s="1" t="n">
        <v>45582</v>
      </c>
      <c r="C546" s="1" t="n">
        <v>46112</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62915-2021</t>
        </is>
      </c>
      <c r="B547" s="1" t="n">
        <v>44504</v>
      </c>
      <c r="C547" s="1" t="n">
        <v>46112</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7638-2025</t>
        </is>
      </c>
      <c r="B548" s="1" t="n">
        <v>45705.77306712963</v>
      </c>
      <c r="C548" s="1" t="n">
        <v>46112</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4377-2023</t>
        </is>
      </c>
      <c r="B549" s="1" t="n">
        <v>44955.5502662037</v>
      </c>
      <c r="C549" s="1" t="n">
        <v>46112</v>
      </c>
      <c r="D549" t="inlineStr">
        <is>
          <t>GOTLANDS LÄN</t>
        </is>
      </c>
      <c r="E549" t="inlineStr">
        <is>
          <t>GOTLAND</t>
        </is>
      </c>
      <c r="F549" t="inlineStr">
        <is>
          <t>Kyrkan</t>
        </is>
      </c>
      <c r="G549" t="n">
        <v>0.6</v>
      </c>
      <c r="H549" t="n">
        <v>0</v>
      </c>
      <c r="I549" t="n">
        <v>0</v>
      </c>
      <c r="J549" t="n">
        <v>0</v>
      </c>
      <c r="K549" t="n">
        <v>0</v>
      </c>
      <c r="L549" t="n">
        <v>0</v>
      </c>
      <c r="M549" t="n">
        <v>0</v>
      </c>
      <c r="N549" t="n">
        <v>0</v>
      </c>
      <c r="O549" t="n">
        <v>0</v>
      </c>
      <c r="P549" t="n">
        <v>0</v>
      </c>
      <c r="Q549" t="n">
        <v>0</v>
      </c>
      <c r="R549" s="2" t="inlineStr"/>
    </row>
    <row r="550" ht="15" customHeight="1">
      <c r="A550" t="inlineStr">
        <is>
          <t>A 43901-2023</t>
        </is>
      </c>
      <c r="B550" s="1" t="n">
        <v>45187</v>
      </c>
      <c r="C550" s="1" t="n">
        <v>46112</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17532-2024</t>
        </is>
      </c>
      <c r="B551" s="1" t="n">
        <v>45415</v>
      </c>
      <c r="C551" s="1" t="n">
        <v>46112</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45692-2023</t>
        </is>
      </c>
      <c r="B552" s="1" t="n">
        <v>45195</v>
      </c>
      <c r="C552" s="1" t="n">
        <v>46112</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37222-2021</t>
        </is>
      </c>
      <c r="B553" s="1" t="n">
        <v>44396</v>
      </c>
      <c r="C553" s="1" t="n">
        <v>46112</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46396-2023</t>
        </is>
      </c>
      <c r="B554" s="1" t="n">
        <v>45197</v>
      </c>
      <c r="C554" s="1" t="n">
        <v>46112</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58388-2022</t>
        </is>
      </c>
      <c r="B555" s="1" t="n">
        <v>44894</v>
      </c>
      <c r="C555" s="1" t="n">
        <v>46112</v>
      </c>
      <c r="D555" t="inlineStr">
        <is>
          <t>GOTLANDS LÄN</t>
        </is>
      </c>
      <c r="E555" t="inlineStr">
        <is>
          <t>GOTLAND</t>
        </is>
      </c>
      <c r="F555" t="inlineStr">
        <is>
          <t>Övriga statliga verk och myndigheter</t>
        </is>
      </c>
      <c r="G555" t="n">
        <v>3.1</v>
      </c>
      <c r="H555" t="n">
        <v>0</v>
      </c>
      <c r="I555" t="n">
        <v>0</v>
      </c>
      <c r="J555" t="n">
        <v>0</v>
      </c>
      <c r="K555" t="n">
        <v>0</v>
      </c>
      <c r="L555" t="n">
        <v>0</v>
      </c>
      <c r="M555" t="n">
        <v>0</v>
      </c>
      <c r="N555" t="n">
        <v>0</v>
      </c>
      <c r="O555" t="n">
        <v>0</v>
      </c>
      <c r="P555" t="n">
        <v>0</v>
      </c>
      <c r="Q555" t="n">
        <v>0</v>
      </c>
      <c r="R555" s="2" t="inlineStr"/>
    </row>
    <row r="556" ht="15" customHeight="1">
      <c r="A556" t="inlineStr">
        <is>
          <t>A 53934-2024</t>
        </is>
      </c>
      <c r="B556" s="1" t="n">
        <v>45615</v>
      </c>
      <c r="C556" s="1" t="n">
        <v>46112</v>
      </c>
      <c r="D556" t="inlineStr">
        <is>
          <t>GOTLANDS LÄN</t>
        </is>
      </c>
      <c r="E556" t="inlineStr">
        <is>
          <t>GOTLAND</t>
        </is>
      </c>
      <c r="G556" t="n">
        <v>5</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46112</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22899-2023</t>
        </is>
      </c>
      <c r="B558" s="1" t="n">
        <v>45072</v>
      </c>
      <c r="C558" s="1" t="n">
        <v>46112</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28285-2024</t>
        </is>
      </c>
      <c r="B559" s="1" t="n">
        <v>45477</v>
      </c>
      <c r="C559" s="1" t="n">
        <v>46112</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51963-2024</t>
        </is>
      </c>
      <c r="B560" s="1" t="n">
        <v>45607.64833333333</v>
      </c>
      <c r="C560" s="1" t="n">
        <v>46112</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1734-2025</t>
        </is>
      </c>
      <c r="B561" s="1" t="n">
        <v>45671.3840625</v>
      </c>
      <c r="C561" s="1" t="n">
        <v>46112</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30365-2024</t>
        </is>
      </c>
      <c r="B562" s="1" t="n">
        <v>45491.3716087963</v>
      </c>
      <c r="C562" s="1" t="n">
        <v>46112</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46112</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46112</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46112</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46112</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44649-2021</t>
        </is>
      </c>
      <c r="B567" s="1" t="n">
        <v>44437</v>
      </c>
      <c r="C567" s="1" t="n">
        <v>46112</v>
      </c>
      <c r="D567" t="inlineStr">
        <is>
          <t>GOTLANDS LÄN</t>
        </is>
      </c>
      <c r="E567" t="inlineStr">
        <is>
          <t>GOTLAND</t>
        </is>
      </c>
      <c r="G567" t="n">
        <v>8.1</v>
      </c>
      <c r="H567" t="n">
        <v>0</v>
      </c>
      <c r="I567" t="n">
        <v>0</v>
      </c>
      <c r="J567" t="n">
        <v>0</v>
      </c>
      <c r="K567" t="n">
        <v>0</v>
      </c>
      <c r="L567" t="n">
        <v>0</v>
      </c>
      <c r="M567" t="n">
        <v>0</v>
      </c>
      <c r="N567" t="n">
        <v>0</v>
      </c>
      <c r="O567" t="n">
        <v>0</v>
      </c>
      <c r="P567" t="n">
        <v>0</v>
      </c>
      <c r="Q567" t="n">
        <v>0</v>
      </c>
      <c r="R567" s="2" t="inlineStr"/>
    </row>
    <row r="568" ht="15" customHeight="1">
      <c r="A568" t="inlineStr">
        <is>
          <t>A 8484-2025</t>
        </is>
      </c>
      <c r="B568" s="1" t="n">
        <v>45709</v>
      </c>
      <c r="C568" s="1" t="n">
        <v>46112</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49962-2023</t>
        </is>
      </c>
      <c r="B569" s="1" t="n">
        <v>45215.38775462963</v>
      </c>
      <c r="C569" s="1" t="n">
        <v>46112</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50744-2024</t>
        </is>
      </c>
      <c r="B570" s="1" t="n">
        <v>45602.4187037037</v>
      </c>
      <c r="C570" s="1" t="n">
        <v>46112</v>
      </c>
      <c r="D570" t="inlineStr">
        <is>
          <t>GOTLANDS LÄN</t>
        </is>
      </c>
      <c r="E570" t="inlineStr">
        <is>
          <t>GOTLAND</t>
        </is>
      </c>
      <c r="G570" t="n">
        <v>3.2</v>
      </c>
      <c r="H570" t="n">
        <v>0</v>
      </c>
      <c r="I570" t="n">
        <v>0</v>
      </c>
      <c r="J570" t="n">
        <v>0</v>
      </c>
      <c r="K570" t="n">
        <v>0</v>
      </c>
      <c r="L570" t="n">
        <v>0</v>
      </c>
      <c r="M570" t="n">
        <v>0</v>
      </c>
      <c r="N570" t="n">
        <v>0</v>
      </c>
      <c r="O570" t="n">
        <v>0</v>
      </c>
      <c r="P570" t="n">
        <v>0</v>
      </c>
      <c r="Q570" t="n">
        <v>0</v>
      </c>
      <c r="R570" s="2" t="inlineStr"/>
    </row>
    <row r="571" ht="15" customHeight="1">
      <c r="A571" t="inlineStr">
        <is>
          <t>A 45244-2024</t>
        </is>
      </c>
      <c r="B571" s="1" t="n">
        <v>45576</v>
      </c>
      <c r="C571" s="1" t="n">
        <v>46112</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38787-2023</t>
        </is>
      </c>
      <c r="B572" s="1" t="n">
        <v>45163</v>
      </c>
      <c r="C572" s="1" t="n">
        <v>46112</v>
      </c>
      <c r="D572" t="inlineStr">
        <is>
          <t>GOTLANDS LÄN</t>
        </is>
      </c>
      <c r="E572" t="inlineStr">
        <is>
          <t>GOTLAND</t>
        </is>
      </c>
      <c r="G572" t="n">
        <v>0.4</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44944.54896990741</v>
      </c>
      <c r="C573" s="1" t="n">
        <v>46112</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45072.55239583334</v>
      </c>
      <c r="C574" s="1" t="n">
        <v>46112</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4568-2025</t>
        </is>
      </c>
      <c r="B575" s="1" t="n">
        <v>45687</v>
      </c>
      <c r="C575" s="1" t="n">
        <v>46112</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1681-2023</t>
        </is>
      </c>
      <c r="B576" s="1" t="n">
        <v>44938.39715277778</v>
      </c>
      <c r="C576" s="1" t="n">
        <v>46112</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42338-2023</t>
        </is>
      </c>
      <c r="B577" s="1" t="n">
        <v>45180</v>
      </c>
      <c r="C577" s="1" t="n">
        <v>46112</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18918-2025</t>
        </is>
      </c>
      <c r="B578" s="1" t="n">
        <v>45764</v>
      </c>
      <c r="C578" s="1" t="n">
        <v>46112</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11013-2024</t>
        </is>
      </c>
      <c r="B579" s="1" t="n">
        <v>45370</v>
      </c>
      <c r="C579" s="1" t="n">
        <v>46112</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45084-2024</t>
        </is>
      </c>
      <c r="B580" s="1" t="n">
        <v>45575</v>
      </c>
      <c r="C580" s="1" t="n">
        <v>46112</v>
      </c>
      <c r="D580" t="inlineStr">
        <is>
          <t>GOTLANDS LÄN</t>
        </is>
      </c>
      <c r="E580" t="inlineStr">
        <is>
          <t>GOTLAND</t>
        </is>
      </c>
      <c r="G580" t="n">
        <v>6.8</v>
      </c>
      <c r="H580" t="n">
        <v>0</v>
      </c>
      <c r="I580" t="n">
        <v>0</v>
      </c>
      <c r="J580" t="n">
        <v>0</v>
      </c>
      <c r="K580" t="n">
        <v>0</v>
      </c>
      <c r="L580" t="n">
        <v>0</v>
      </c>
      <c r="M580" t="n">
        <v>0</v>
      </c>
      <c r="N580" t="n">
        <v>0</v>
      </c>
      <c r="O580" t="n">
        <v>0</v>
      </c>
      <c r="P580" t="n">
        <v>0</v>
      </c>
      <c r="Q580" t="n">
        <v>0</v>
      </c>
      <c r="R580" s="2" t="inlineStr"/>
    </row>
    <row r="581" ht="15" customHeight="1">
      <c r="A581" t="inlineStr">
        <is>
          <t>A 20356-2022</t>
        </is>
      </c>
      <c r="B581" s="1" t="n">
        <v>44699</v>
      </c>
      <c r="C581" s="1" t="n">
        <v>46112</v>
      </c>
      <c r="D581" t="inlineStr">
        <is>
          <t>GOTLANDS LÄN</t>
        </is>
      </c>
      <c r="E581" t="inlineStr">
        <is>
          <t>GOTLAND</t>
        </is>
      </c>
      <c r="F581" t="inlineStr">
        <is>
          <t>Övriga Aktiebolag</t>
        </is>
      </c>
      <c r="G581" t="n">
        <v>4.4</v>
      </c>
      <c r="H581" t="n">
        <v>0</v>
      </c>
      <c r="I581" t="n">
        <v>0</v>
      </c>
      <c r="J581" t="n">
        <v>0</v>
      </c>
      <c r="K581" t="n">
        <v>0</v>
      </c>
      <c r="L581" t="n">
        <v>0</v>
      </c>
      <c r="M581" t="n">
        <v>0</v>
      </c>
      <c r="N581" t="n">
        <v>0</v>
      </c>
      <c r="O581" t="n">
        <v>0</v>
      </c>
      <c r="P581" t="n">
        <v>0</v>
      </c>
      <c r="Q581" t="n">
        <v>0</v>
      </c>
      <c r="R581" s="2" t="inlineStr"/>
    </row>
    <row r="582" ht="15" customHeight="1">
      <c r="A582" t="inlineStr">
        <is>
          <t>A 4868-2024</t>
        </is>
      </c>
      <c r="B582" s="1" t="n">
        <v>45329</v>
      </c>
      <c r="C582" s="1" t="n">
        <v>46112</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9613-2025</t>
        </is>
      </c>
      <c r="B583" s="1" t="n">
        <v>45715</v>
      </c>
      <c r="C583" s="1" t="n">
        <v>46112</v>
      </c>
      <c r="D583" t="inlineStr">
        <is>
          <t>GOTLANDS LÄN</t>
        </is>
      </c>
      <c r="E583" t="inlineStr">
        <is>
          <t>GOTLAND</t>
        </is>
      </c>
      <c r="G583" t="n">
        <v>3.5</v>
      </c>
      <c r="H583" t="n">
        <v>0</v>
      </c>
      <c r="I583" t="n">
        <v>0</v>
      </c>
      <c r="J583" t="n">
        <v>0</v>
      </c>
      <c r="K583" t="n">
        <v>0</v>
      </c>
      <c r="L583" t="n">
        <v>0</v>
      </c>
      <c r="M583" t="n">
        <v>0</v>
      </c>
      <c r="N583" t="n">
        <v>0</v>
      </c>
      <c r="O583" t="n">
        <v>0</v>
      </c>
      <c r="P583" t="n">
        <v>0</v>
      </c>
      <c r="Q583" t="n">
        <v>0</v>
      </c>
      <c r="R583" s="2" t="inlineStr"/>
    </row>
    <row r="584" ht="15" customHeight="1">
      <c r="A584" t="inlineStr">
        <is>
          <t>A 5386-2023</t>
        </is>
      </c>
      <c r="B584" s="1" t="n">
        <v>44959</v>
      </c>
      <c r="C584" s="1" t="n">
        <v>46112</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58211-2024</t>
        </is>
      </c>
      <c r="B585" s="1" t="n">
        <v>45632.49292824074</v>
      </c>
      <c r="C585" s="1" t="n">
        <v>46112</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11634-2024</t>
        </is>
      </c>
      <c r="B586" s="1" t="n">
        <v>45373</v>
      </c>
      <c r="C586" s="1" t="n">
        <v>46112</v>
      </c>
      <c r="D586" t="inlineStr">
        <is>
          <t>GOTLANDS LÄN</t>
        </is>
      </c>
      <c r="E586" t="inlineStr">
        <is>
          <t>GOTLAND</t>
        </is>
      </c>
      <c r="G586" t="n">
        <v>3</v>
      </c>
      <c r="H586" t="n">
        <v>0</v>
      </c>
      <c r="I586" t="n">
        <v>0</v>
      </c>
      <c r="J586" t="n">
        <v>0</v>
      </c>
      <c r="K586" t="n">
        <v>0</v>
      </c>
      <c r="L586" t="n">
        <v>0</v>
      </c>
      <c r="M586" t="n">
        <v>0</v>
      </c>
      <c r="N586" t="n">
        <v>0</v>
      </c>
      <c r="O586" t="n">
        <v>0</v>
      </c>
      <c r="P586" t="n">
        <v>0</v>
      </c>
      <c r="Q586" t="n">
        <v>0</v>
      </c>
      <c r="R586" s="2" t="inlineStr"/>
    </row>
    <row r="587" ht="15" customHeight="1">
      <c r="A587" t="inlineStr">
        <is>
          <t>A 5884-2025</t>
        </is>
      </c>
      <c r="B587" s="1" t="n">
        <v>45695.37482638889</v>
      </c>
      <c r="C587" s="1" t="n">
        <v>46112</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5897-2025</t>
        </is>
      </c>
      <c r="B588" s="1" t="n">
        <v>45695.39273148148</v>
      </c>
      <c r="C588" s="1" t="n">
        <v>46112</v>
      </c>
      <c r="D588" t="inlineStr">
        <is>
          <t>GOTLANDS LÄN</t>
        </is>
      </c>
      <c r="E588" t="inlineStr">
        <is>
          <t>GOTLAND</t>
        </is>
      </c>
      <c r="G588" t="n">
        <v>3.7</v>
      </c>
      <c r="H588" t="n">
        <v>0</v>
      </c>
      <c r="I588" t="n">
        <v>0</v>
      </c>
      <c r="J588" t="n">
        <v>0</v>
      </c>
      <c r="K588" t="n">
        <v>0</v>
      </c>
      <c r="L588" t="n">
        <v>0</v>
      </c>
      <c r="M588" t="n">
        <v>0</v>
      </c>
      <c r="N588" t="n">
        <v>0</v>
      </c>
      <c r="O588" t="n">
        <v>0</v>
      </c>
      <c r="P588" t="n">
        <v>0</v>
      </c>
      <c r="Q588" t="n">
        <v>0</v>
      </c>
      <c r="R588" s="2" t="inlineStr"/>
    </row>
    <row r="589" ht="15" customHeight="1">
      <c r="A589" t="inlineStr">
        <is>
          <t>A 5909-2025</t>
        </is>
      </c>
      <c r="B589" s="1" t="n">
        <v>45695.40634259259</v>
      </c>
      <c r="C589" s="1" t="n">
        <v>46112</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60086-2022</t>
        </is>
      </c>
      <c r="B590" s="1" t="n">
        <v>44909</v>
      </c>
      <c r="C590" s="1" t="n">
        <v>46112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22704-2023</t>
        </is>
      </c>
      <c r="B591" s="1" t="n">
        <v>45071</v>
      </c>
      <c r="C591" s="1" t="n">
        <v>46112</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25866-2022</t>
        </is>
      </c>
      <c r="B592" s="1" t="n">
        <v>44733</v>
      </c>
      <c r="C592" s="1" t="n">
        <v>46112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9887-2025</t>
        </is>
      </c>
      <c r="B593" s="1" t="n">
        <v>45716</v>
      </c>
      <c r="C593" s="1" t="n">
        <v>46112</v>
      </c>
      <c r="D593" t="inlineStr">
        <is>
          <t>GOTLANDS LÄN</t>
        </is>
      </c>
      <c r="E593" t="inlineStr">
        <is>
          <t>GOTLAND</t>
        </is>
      </c>
      <c r="G593" t="n">
        <v>7.5</v>
      </c>
      <c r="H593" t="n">
        <v>0</v>
      </c>
      <c r="I593" t="n">
        <v>0</v>
      </c>
      <c r="J593" t="n">
        <v>0</v>
      </c>
      <c r="K593" t="n">
        <v>0</v>
      </c>
      <c r="L593" t="n">
        <v>0</v>
      </c>
      <c r="M593" t="n">
        <v>0</v>
      </c>
      <c r="N593" t="n">
        <v>0</v>
      </c>
      <c r="O593" t="n">
        <v>0</v>
      </c>
      <c r="P593" t="n">
        <v>0</v>
      </c>
      <c r="Q593" t="n">
        <v>0</v>
      </c>
      <c r="R593" s="2" t="inlineStr"/>
    </row>
    <row r="594" ht="15" customHeight="1">
      <c r="A594" t="inlineStr">
        <is>
          <t>A 12209-2024</t>
        </is>
      </c>
      <c r="B594" s="1" t="n">
        <v>45378</v>
      </c>
      <c r="C594" s="1" t="n">
        <v>46112</v>
      </c>
      <c r="D594" t="inlineStr">
        <is>
          <t>GOTLANDS LÄN</t>
        </is>
      </c>
      <c r="E594" t="inlineStr">
        <is>
          <t>GOTLAND</t>
        </is>
      </c>
      <c r="G594" t="n">
        <v>5.3</v>
      </c>
      <c r="H594" t="n">
        <v>0</v>
      </c>
      <c r="I594" t="n">
        <v>0</v>
      </c>
      <c r="J594" t="n">
        <v>0</v>
      </c>
      <c r="K594" t="n">
        <v>0</v>
      </c>
      <c r="L594" t="n">
        <v>0</v>
      </c>
      <c r="M594" t="n">
        <v>0</v>
      </c>
      <c r="N594" t="n">
        <v>0</v>
      </c>
      <c r="O594" t="n">
        <v>0</v>
      </c>
      <c r="P594" t="n">
        <v>0</v>
      </c>
      <c r="Q594" t="n">
        <v>0</v>
      </c>
      <c r="R594" s="2" t="inlineStr"/>
    </row>
    <row r="595" ht="15" customHeight="1">
      <c r="A595" t="inlineStr">
        <is>
          <t>A 12210-2024</t>
        </is>
      </c>
      <c r="B595" s="1" t="n">
        <v>45378</v>
      </c>
      <c r="C595" s="1" t="n">
        <v>46112</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59986-2022</t>
        </is>
      </c>
      <c r="B596" s="1" t="n">
        <v>44909</v>
      </c>
      <c r="C596" s="1" t="n">
        <v>46112</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31802-2024</t>
        </is>
      </c>
      <c r="B597" s="1" t="n">
        <v>45509</v>
      </c>
      <c r="C597" s="1" t="n">
        <v>46112</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20993-2023</t>
        </is>
      </c>
      <c r="B598" s="1" t="n">
        <v>45056</v>
      </c>
      <c r="C598" s="1" t="n">
        <v>46112</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15042-2025</t>
        </is>
      </c>
      <c r="B599" s="1" t="n">
        <v>45743</v>
      </c>
      <c r="C599" s="1" t="n">
        <v>46112</v>
      </c>
      <c r="D599" t="inlineStr">
        <is>
          <t>GOTLANDS LÄN</t>
        </is>
      </c>
      <c r="E599" t="inlineStr">
        <is>
          <t>GOTLAND</t>
        </is>
      </c>
      <c r="G599" t="n">
        <v>8.5</v>
      </c>
      <c r="H599" t="n">
        <v>0</v>
      </c>
      <c r="I599" t="n">
        <v>0</v>
      </c>
      <c r="J599" t="n">
        <v>0</v>
      </c>
      <c r="K599" t="n">
        <v>0</v>
      </c>
      <c r="L599" t="n">
        <v>0</v>
      </c>
      <c r="M599" t="n">
        <v>0</v>
      </c>
      <c r="N599" t="n">
        <v>0</v>
      </c>
      <c r="O599" t="n">
        <v>0</v>
      </c>
      <c r="P599" t="n">
        <v>0</v>
      </c>
      <c r="Q599" t="n">
        <v>0</v>
      </c>
      <c r="R599" s="2" t="inlineStr"/>
    </row>
    <row r="600" ht="15" customHeight="1">
      <c r="A600" t="inlineStr">
        <is>
          <t>A 12327-2025</t>
        </is>
      </c>
      <c r="B600" s="1" t="n">
        <v>45730</v>
      </c>
      <c r="C600" s="1" t="n">
        <v>46112</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4420-2025</t>
        </is>
      </c>
      <c r="B601" s="1" t="n">
        <v>45686.47157407407</v>
      </c>
      <c r="C601" s="1" t="n">
        <v>46112</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14427-2024</t>
        </is>
      </c>
      <c r="B602" s="1" t="n">
        <v>45394</v>
      </c>
      <c r="C602" s="1" t="n">
        <v>46112</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49257-2024</t>
        </is>
      </c>
      <c r="B603" s="1" t="n">
        <v>45595.47627314815</v>
      </c>
      <c r="C603" s="1" t="n">
        <v>46112</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49315-2024</t>
        </is>
      </c>
      <c r="B604" s="1" t="n">
        <v>45595</v>
      </c>
      <c r="C604" s="1" t="n">
        <v>46112</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27596-2023</t>
        </is>
      </c>
      <c r="B605" s="1" t="n">
        <v>45097</v>
      </c>
      <c r="C605" s="1" t="n">
        <v>46112</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56115-2023</t>
        </is>
      </c>
      <c r="B606" s="1" t="n">
        <v>45236</v>
      </c>
      <c r="C606" s="1" t="n">
        <v>46112</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64969-2023</t>
        </is>
      </c>
      <c r="B607" s="1" t="n">
        <v>45284.54009259259</v>
      </c>
      <c r="C607" s="1" t="n">
        <v>46112</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33853-2024</t>
        </is>
      </c>
      <c r="B608" s="1" t="n">
        <v>45520.64298611111</v>
      </c>
      <c r="C608" s="1" t="n">
        <v>46112</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18223-2025</t>
        </is>
      </c>
      <c r="B609" s="1" t="n">
        <v>45761</v>
      </c>
      <c r="C609" s="1" t="n">
        <v>46112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46949-2024</t>
        </is>
      </c>
      <c r="B610" s="1" t="n">
        <v>45585</v>
      </c>
      <c r="C610" s="1" t="n">
        <v>46112</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24001-2021</t>
        </is>
      </c>
      <c r="B611" s="1" t="n">
        <v>44335</v>
      </c>
      <c r="C611" s="1" t="n">
        <v>46112</v>
      </c>
      <c r="D611" t="inlineStr">
        <is>
          <t>GOTLANDS LÄN</t>
        </is>
      </c>
      <c r="E611" t="inlineStr">
        <is>
          <t>GOTLAND</t>
        </is>
      </c>
      <c r="G611" t="n">
        <v>3.4</v>
      </c>
      <c r="H611" t="n">
        <v>0</v>
      </c>
      <c r="I611" t="n">
        <v>0</v>
      </c>
      <c r="J611" t="n">
        <v>0</v>
      </c>
      <c r="K611" t="n">
        <v>0</v>
      </c>
      <c r="L611" t="n">
        <v>0</v>
      </c>
      <c r="M611" t="n">
        <v>0</v>
      </c>
      <c r="N611" t="n">
        <v>0</v>
      </c>
      <c r="O611" t="n">
        <v>0</v>
      </c>
      <c r="P611" t="n">
        <v>0</v>
      </c>
      <c r="Q611" t="n">
        <v>0</v>
      </c>
      <c r="R611" s="2" t="inlineStr"/>
    </row>
    <row r="612" ht="15" customHeight="1">
      <c r="A612" t="inlineStr">
        <is>
          <t>A 39479-2022</t>
        </is>
      </c>
      <c r="B612" s="1" t="n">
        <v>44818</v>
      </c>
      <c r="C612" s="1" t="n">
        <v>46112</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39496-2022</t>
        </is>
      </c>
      <c r="B613" s="1" t="n">
        <v>44818</v>
      </c>
      <c r="C613" s="1" t="n">
        <v>46112</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46389-2021</t>
        </is>
      </c>
      <c r="B614" s="1" t="n">
        <v>44443</v>
      </c>
      <c r="C614" s="1" t="n">
        <v>46112</v>
      </c>
      <c r="D614" t="inlineStr">
        <is>
          <t>GOTLANDS LÄN</t>
        </is>
      </c>
      <c r="E614" t="inlineStr">
        <is>
          <t>GOTLAND</t>
        </is>
      </c>
      <c r="F614" t="inlineStr">
        <is>
          <t>Kyrkan</t>
        </is>
      </c>
      <c r="G614" t="n">
        <v>2.1</v>
      </c>
      <c r="H614" t="n">
        <v>0</v>
      </c>
      <c r="I614" t="n">
        <v>0</v>
      </c>
      <c r="J614" t="n">
        <v>0</v>
      </c>
      <c r="K614" t="n">
        <v>0</v>
      </c>
      <c r="L614" t="n">
        <v>0</v>
      </c>
      <c r="M614" t="n">
        <v>0</v>
      </c>
      <c r="N614" t="n">
        <v>0</v>
      </c>
      <c r="O614" t="n">
        <v>0</v>
      </c>
      <c r="P614" t="n">
        <v>0</v>
      </c>
      <c r="Q614" t="n">
        <v>0</v>
      </c>
      <c r="R614" s="2" t="inlineStr"/>
    </row>
    <row r="615" ht="15" customHeight="1">
      <c r="A615" t="inlineStr">
        <is>
          <t>A 44949-2023</t>
        </is>
      </c>
      <c r="B615" s="1" t="n">
        <v>45190.69520833333</v>
      </c>
      <c r="C615" s="1" t="n">
        <v>46112</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17682-2024</t>
        </is>
      </c>
      <c r="B616" s="1" t="n">
        <v>45418.42966435185</v>
      </c>
      <c r="C616" s="1" t="n">
        <v>46112</v>
      </c>
      <c r="D616" t="inlineStr">
        <is>
          <t>GOTLANDS LÄN</t>
        </is>
      </c>
      <c r="E616" t="inlineStr">
        <is>
          <t>GOTLAND</t>
        </is>
      </c>
      <c r="G616" t="n">
        <v>2.9</v>
      </c>
      <c r="H616" t="n">
        <v>0</v>
      </c>
      <c r="I616" t="n">
        <v>0</v>
      </c>
      <c r="J616" t="n">
        <v>0</v>
      </c>
      <c r="K616" t="n">
        <v>0</v>
      </c>
      <c r="L616" t="n">
        <v>0</v>
      </c>
      <c r="M616" t="n">
        <v>0</v>
      </c>
      <c r="N616" t="n">
        <v>0</v>
      </c>
      <c r="O616" t="n">
        <v>0</v>
      </c>
      <c r="P616" t="n">
        <v>0</v>
      </c>
      <c r="Q616" t="n">
        <v>0</v>
      </c>
      <c r="R616" s="2" t="inlineStr"/>
    </row>
    <row r="617" ht="15" customHeight="1">
      <c r="A617" t="inlineStr">
        <is>
          <t>A 61897-2024</t>
        </is>
      </c>
      <c r="B617" s="1" t="n">
        <v>45652.75685185185</v>
      </c>
      <c r="C617" s="1" t="n">
        <v>46112</v>
      </c>
      <c r="D617" t="inlineStr">
        <is>
          <t>GOTLANDS LÄN</t>
        </is>
      </c>
      <c r="E617" t="inlineStr">
        <is>
          <t>GOTLAND</t>
        </is>
      </c>
      <c r="G617" t="n">
        <v>6.4</v>
      </c>
      <c r="H617" t="n">
        <v>0</v>
      </c>
      <c r="I617" t="n">
        <v>0</v>
      </c>
      <c r="J617" t="n">
        <v>0</v>
      </c>
      <c r="K617" t="n">
        <v>0</v>
      </c>
      <c r="L617" t="n">
        <v>0</v>
      </c>
      <c r="M617" t="n">
        <v>0</v>
      </c>
      <c r="N617" t="n">
        <v>0</v>
      </c>
      <c r="O617" t="n">
        <v>0</v>
      </c>
      <c r="P617" t="n">
        <v>0</v>
      </c>
      <c r="Q617" t="n">
        <v>0</v>
      </c>
      <c r="R617" s="2" t="inlineStr"/>
    </row>
    <row r="618" ht="15" customHeight="1">
      <c r="A618" t="inlineStr">
        <is>
          <t>A 12032-2025</t>
        </is>
      </c>
      <c r="B618" s="1" t="n">
        <v>45728.64472222222</v>
      </c>
      <c r="C618" s="1" t="n">
        <v>46112</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15595-2024</t>
        </is>
      </c>
      <c r="B619" s="1" t="n">
        <v>45401.81480324074</v>
      </c>
      <c r="C619" s="1" t="n">
        <v>46112</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ht="15" customHeight="1">
      <c r="A620" t="inlineStr">
        <is>
          <t>A 21164-2024</t>
        </is>
      </c>
      <c r="B620" s="1" t="n">
        <v>45440</v>
      </c>
      <c r="C620" s="1" t="n">
        <v>46112</v>
      </c>
      <c r="D620" t="inlineStr">
        <is>
          <t>GOTLANDS LÄN</t>
        </is>
      </c>
      <c r="E620" t="inlineStr">
        <is>
          <t>GOTLAND</t>
        </is>
      </c>
      <c r="G620" t="n">
        <v>6.3</v>
      </c>
      <c r="H620" t="n">
        <v>0</v>
      </c>
      <c r="I620" t="n">
        <v>0</v>
      </c>
      <c r="J620" t="n">
        <v>0</v>
      </c>
      <c r="K620" t="n">
        <v>0</v>
      </c>
      <c r="L620" t="n">
        <v>0</v>
      </c>
      <c r="M620" t="n">
        <v>0</v>
      </c>
      <c r="N620" t="n">
        <v>0</v>
      </c>
      <c r="O620" t="n">
        <v>0</v>
      </c>
      <c r="P620" t="n">
        <v>0</v>
      </c>
      <c r="Q620" t="n">
        <v>0</v>
      </c>
      <c r="R620" s="2" t="inlineStr"/>
    </row>
    <row r="621" ht="15" customHeight="1">
      <c r="A621" t="inlineStr">
        <is>
          <t>A 17541-2024</t>
        </is>
      </c>
      <c r="B621" s="1" t="n">
        <v>45415</v>
      </c>
      <c r="C621" s="1" t="n">
        <v>46112</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883-2025</t>
        </is>
      </c>
      <c r="B622" s="1" t="n">
        <v>45665</v>
      </c>
      <c r="C622" s="1" t="n">
        <v>46112</v>
      </c>
      <c r="D622" t="inlineStr">
        <is>
          <t>GOTLANDS LÄN</t>
        </is>
      </c>
      <c r="E622" t="inlineStr">
        <is>
          <t>GOTLAND</t>
        </is>
      </c>
      <c r="G622" t="n">
        <v>1.3</v>
      </c>
      <c r="H622" t="n">
        <v>0</v>
      </c>
      <c r="I622" t="n">
        <v>0</v>
      </c>
      <c r="J622" t="n">
        <v>0</v>
      </c>
      <c r="K622" t="n">
        <v>0</v>
      </c>
      <c r="L622" t="n">
        <v>0</v>
      </c>
      <c r="M622" t="n">
        <v>0</v>
      </c>
      <c r="N622" t="n">
        <v>0</v>
      </c>
      <c r="O622" t="n">
        <v>0</v>
      </c>
      <c r="P622" t="n">
        <v>0</v>
      </c>
      <c r="Q622" t="n">
        <v>0</v>
      </c>
      <c r="R622" s="2" t="inlineStr"/>
    </row>
    <row r="623" ht="15" customHeight="1">
      <c r="A623" t="inlineStr">
        <is>
          <t>A 13910-2025</t>
        </is>
      </c>
      <c r="B623" s="1" t="n">
        <v>45737</v>
      </c>
      <c r="C623" s="1" t="n">
        <v>46112</v>
      </c>
      <c r="D623" t="inlineStr">
        <is>
          <t>GOTLANDS LÄN</t>
        </is>
      </c>
      <c r="E623" t="inlineStr">
        <is>
          <t>GOTLAND</t>
        </is>
      </c>
      <c r="F623" t="inlineStr">
        <is>
          <t>Kommuner</t>
        </is>
      </c>
      <c r="G623" t="n">
        <v>3.2</v>
      </c>
      <c r="H623" t="n">
        <v>0</v>
      </c>
      <c r="I623" t="n">
        <v>0</v>
      </c>
      <c r="J623" t="n">
        <v>0</v>
      </c>
      <c r="K623" t="n">
        <v>0</v>
      </c>
      <c r="L623" t="n">
        <v>0</v>
      </c>
      <c r="M623" t="n">
        <v>0</v>
      </c>
      <c r="N623" t="n">
        <v>0</v>
      </c>
      <c r="O623" t="n">
        <v>0</v>
      </c>
      <c r="P623" t="n">
        <v>0</v>
      </c>
      <c r="Q623" t="n">
        <v>0</v>
      </c>
      <c r="R623" s="2" t="inlineStr"/>
    </row>
    <row r="624" ht="15" customHeight="1">
      <c r="A624" t="inlineStr">
        <is>
          <t>A 20794-2025</t>
        </is>
      </c>
      <c r="B624" s="1" t="n">
        <v>45776</v>
      </c>
      <c r="C624" s="1" t="n">
        <v>46112</v>
      </c>
      <c r="D624" t="inlineStr">
        <is>
          <t>GOTLANDS LÄN</t>
        </is>
      </c>
      <c r="E624" t="inlineStr">
        <is>
          <t>GOTLAND</t>
        </is>
      </c>
      <c r="G624" t="n">
        <v>6</v>
      </c>
      <c r="H624" t="n">
        <v>0</v>
      </c>
      <c r="I624" t="n">
        <v>0</v>
      </c>
      <c r="J624" t="n">
        <v>0</v>
      </c>
      <c r="K624" t="n">
        <v>0</v>
      </c>
      <c r="L624" t="n">
        <v>0</v>
      </c>
      <c r="M624" t="n">
        <v>0</v>
      </c>
      <c r="N624" t="n">
        <v>0</v>
      </c>
      <c r="O624" t="n">
        <v>0</v>
      </c>
      <c r="P624" t="n">
        <v>0</v>
      </c>
      <c r="Q624" t="n">
        <v>0</v>
      </c>
      <c r="R624" s="2" t="inlineStr"/>
    </row>
    <row r="625" ht="15" customHeight="1">
      <c r="A625" t="inlineStr">
        <is>
          <t>A 20805-2025</t>
        </is>
      </c>
      <c r="B625" s="1" t="n">
        <v>45776</v>
      </c>
      <c r="C625" s="1" t="n">
        <v>46112</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21389-2025</t>
        </is>
      </c>
      <c r="B626" s="1" t="n">
        <v>45782</v>
      </c>
      <c r="C626" s="1" t="n">
        <v>46112</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21651-2025</t>
        </is>
      </c>
      <c r="B627" s="1" t="n">
        <v>45783</v>
      </c>
      <c r="C627" s="1" t="n">
        <v>46112</v>
      </c>
      <c r="D627" t="inlineStr">
        <is>
          <t>GOTLANDS LÄN</t>
        </is>
      </c>
      <c r="E627" t="inlineStr">
        <is>
          <t>GOTLAND</t>
        </is>
      </c>
      <c r="G627" t="n">
        <v>4.2</v>
      </c>
      <c r="H627" t="n">
        <v>0</v>
      </c>
      <c r="I627" t="n">
        <v>0</v>
      </c>
      <c r="J627" t="n">
        <v>0</v>
      </c>
      <c r="K627" t="n">
        <v>0</v>
      </c>
      <c r="L627" t="n">
        <v>0</v>
      </c>
      <c r="M627" t="n">
        <v>0</v>
      </c>
      <c r="N627" t="n">
        <v>0</v>
      </c>
      <c r="O627" t="n">
        <v>0</v>
      </c>
      <c r="P627" t="n">
        <v>0</v>
      </c>
      <c r="Q627" t="n">
        <v>0</v>
      </c>
      <c r="R627" s="2" t="inlineStr"/>
    </row>
    <row r="628" ht="15" customHeight="1">
      <c r="A628" t="inlineStr">
        <is>
          <t>A 21420-2024</t>
        </is>
      </c>
      <c r="B628" s="1" t="n">
        <v>45441.38293981482</v>
      </c>
      <c r="C628" s="1" t="n">
        <v>46112</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10656-2024</t>
        </is>
      </c>
      <c r="B629" s="1" t="n">
        <v>45368</v>
      </c>
      <c r="C629" s="1" t="n">
        <v>46112</v>
      </c>
      <c r="D629" t="inlineStr">
        <is>
          <t>GOTLANDS LÄN</t>
        </is>
      </c>
      <c r="E629" t="inlineStr">
        <is>
          <t>GOTLAND</t>
        </is>
      </c>
      <c r="G629" t="n">
        <v>1.5</v>
      </c>
      <c r="H629" t="n">
        <v>0</v>
      </c>
      <c r="I629" t="n">
        <v>0</v>
      </c>
      <c r="J629" t="n">
        <v>0</v>
      </c>
      <c r="K629" t="n">
        <v>0</v>
      </c>
      <c r="L629" t="n">
        <v>0</v>
      </c>
      <c r="M629" t="n">
        <v>0</v>
      </c>
      <c r="N629" t="n">
        <v>0</v>
      </c>
      <c r="O629" t="n">
        <v>0</v>
      </c>
      <c r="P629" t="n">
        <v>0</v>
      </c>
      <c r="Q629" t="n">
        <v>0</v>
      </c>
      <c r="R629" s="2" t="inlineStr"/>
    </row>
    <row r="630" ht="15" customHeight="1">
      <c r="A630" t="inlineStr">
        <is>
          <t>A 57356-2023</t>
        </is>
      </c>
      <c r="B630" s="1" t="n">
        <v>45240</v>
      </c>
      <c r="C630" s="1" t="n">
        <v>46112</v>
      </c>
      <c r="D630" t="inlineStr">
        <is>
          <t>GOTLANDS LÄN</t>
        </is>
      </c>
      <c r="E630" t="inlineStr">
        <is>
          <t>GOTLAND</t>
        </is>
      </c>
      <c r="G630" t="n">
        <v>6.4</v>
      </c>
      <c r="H630" t="n">
        <v>0</v>
      </c>
      <c r="I630" t="n">
        <v>0</v>
      </c>
      <c r="J630" t="n">
        <v>0</v>
      </c>
      <c r="K630" t="n">
        <v>0</v>
      </c>
      <c r="L630" t="n">
        <v>0</v>
      </c>
      <c r="M630" t="n">
        <v>0</v>
      </c>
      <c r="N630" t="n">
        <v>0</v>
      </c>
      <c r="O630" t="n">
        <v>0</v>
      </c>
      <c r="P630" t="n">
        <v>0</v>
      </c>
      <c r="Q630" t="n">
        <v>0</v>
      </c>
      <c r="R630" s="2" t="inlineStr"/>
    </row>
    <row r="631" ht="15" customHeight="1">
      <c r="A631" t="inlineStr">
        <is>
          <t>A 28506-2023</t>
        </is>
      </c>
      <c r="B631" s="1" t="n">
        <v>45103</v>
      </c>
      <c r="C631" s="1" t="n">
        <v>46112</v>
      </c>
      <c r="D631" t="inlineStr">
        <is>
          <t>GOTLANDS LÄN</t>
        </is>
      </c>
      <c r="E631" t="inlineStr">
        <is>
          <t>GOTLAND</t>
        </is>
      </c>
      <c r="G631" t="n">
        <v>3.2</v>
      </c>
      <c r="H631" t="n">
        <v>0</v>
      </c>
      <c r="I631" t="n">
        <v>0</v>
      </c>
      <c r="J631" t="n">
        <v>0</v>
      </c>
      <c r="K631" t="n">
        <v>0</v>
      </c>
      <c r="L631" t="n">
        <v>0</v>
      </c>
      <c r="M631" t="n">
        <v>0</v>
      </c>
      <c r="N631" t="n">
        <v>0</v>
      </c>
      <c r="O631" t="n">
        <v>0</v>
      </c>
      <c r="P631" t="n">
        <v>0</v>
      </c>
      <c r="Q631" t="n">
        <v>0</v>
      </c>
      <c r="R631" s="2" t="inlineStr"/>
    </row>
    <row r="632" ht="15" customHeight="1">
      <c r="A632" t="inlineStr">
        <is>
          <t>A 23188-2025</t>
        </is>
      </c>
      <c r="B632" s="1" t="n">
        <v>45791</v>
      </c>
      <c r="C632" s="1" t="n">
        <v>46112</v>
      </c>
      <c r="D632" t="inlineStr">
        <is>
          <t>GOTLANDS LÄN</t>
        </is>
      </c>
      <c r="E632" t="inlineStr">
        <is>
          <t>GOTLAND</t>
        </is>
      </c>
      <c r="G632" t="n">
        <v>6.2</v>
      </c>
      <c r="H632" t="n">
        <v>0</v>
      </c>
      <c r="I632" t="n">
        <v>0</v>
      </c>
      <c r="J632" t="n">
        <v>0</v>
      </c>
      <c r="K632" t="n">
        <v>0</v>
      </c>
      <c r="L632" t="n">
        <v>0</v>
      </c>
      <c r="M632" t="n">
        <v>0</v>
      </c>
      <c r="N632" t="n">
        <v>0</v>
      </c>
      <c r="O632" t="n">
        <v>0</v>
      </c>
      <c r="P632" t="n">
        <v>0</v>
      </c>
      <c r="Q632" t="n">
        <v>0</v>
      </c>
      <c r="R632" s="2" t="inlineStr"/>
    </row>
    <row r="633" ht="15" customHeight="1">
      <c r="A633" t="inlineStr">
        <is>
          <t>A 23856-2025</t>
        </is>
      </c>
      <c r="B633" s="1" t="n">
        <v>45793</v>
      </c>
      <c r="C633" s="1" t="n">
        <v>46112</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23473-2025</t>
        </is>
      </c>
      <c r="B634" s="1" t="n">
        <v>45792</v>
      </c>
      <c r="C634" s="1" t="n">
        <v>46112</v>
      </c>
      <c r="D634" t="inlineStr">
        <is>
          <t>GOTLANDS LÄN</t>
        </is>
      </c>
      <c r="E634" t="inlineStr">
        <is>
          <t>GOTLAND</t>
        </is>
      </c>
      <c r="G634" t="n">
        <v>3.6</v>
      </c>
      <c r="H634" t="n">
        <v>0</v>
      </c>
      <c r="I634" t="n">
        <v>0</v>
      </c>
      <c r="J634" t="n">
        <v>0</v>
      </c>
      <c r="K634" t="n">
        <v>0</v>
      </c>
      <c r="L634" t="n">
        <v>0</v>
      </c>
      <c r="M634" t="n">
        <v>0</v>
      </c>
      <c r="N634" t="n">
        <v>0</v>
      </c>
      <c r="O634" t="n">
        <v>0</v>
      </c>
      <c r="P634" t="n">
        <v>0</v>
      </c>
      <c r="Q634" t="n">
        <v>0</v>
      </c>
      <c r="R634" s="2" t="inlineStr"/>
    </row>
    <row r="635" ht="15" customHeight="1">
      <c r="A635" t="inlineStr">
        <is>
          <t>A 23698-2025</t>
        </is>
      </c>
      <c r="B635" s="1" t="n">
        <v>45793</v>
      </c>
      <c r="C635" s="1" t="n">
        <v>46112</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15073-2025</t>
        </is>
      </c>
      <c r="B636" s="1" t="n">
        <v>45743</v>
      </c>
      <c r="C636" s="1" t="n">
        <v>46112</v>
      </c>
      <c r="D636" t="inlineStr">
        <is>
          <t>GOTLANDS LÄN</t>
        </is>
      </c>
      <c r="E636" t="inlineStr">
        <is>
          <t>GOTLAND</t>
        </is>
      </c>
      <c r="G636" t="n">
        <v>12.1</v>
      </c>
      <c r="H636" t="n">
        <v>0</v>
      </c>
      <c r="I636" t="n">
        <v>0</v>
      </c>
      <c r="J636" t="n">
        <v>0</v>
      </c>
      <c r="K636" t="n">
        <v>0</v>
      </c>
      <c r="L636" t="n">
        <v>0</v>
      </c>
      <c r="M636" t="n">
        <v>0</v>
      </c>
      <c r="N636" t="n">
        <v>0</v>
      </c>
      <c r="O636" t="n">
        <v>0</v>
      </c>
      <c r="P636" t="n">
        <v>0</v>
      </c>
      <c r="Q636" t="n">
        <v>0</v>
      </c>
      <c r="R636" s="2" t="inlineStr"/>
    </row>
    <row r="637" ht="15" customHeight="1">
      <c r="A637" t="inlineStr">
        <is>
          <t>A 6749-2025</t>
        </is>
      </c>
      <c r="B637" s="1" t="n">
        <v>45700</v>
      </c>
      <c r="C637" s="1" t="n">
        <v>46112</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5462-2025</t>
        </is>
      </c>
      <c r="B638" s="1" t="n">
        <v>45693.29331018519</v>
      </c>
      <c r="C638" s="1" t="n">
        <v>46112</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25796-2025</t>
        </is>
      </c>
      <c r="B639" s="1" t="n">
        <v>45804.39543981481</v>
      </c>
      <c r="C639" s="1" t="n">
        <v>46112</v>
      </c>
      <c r="D639" t="inlineStr">
        <is>
          <t>GOTLANDS LÄN</t>
        </is>
      </c>
      <c r="E639" t="inlineStr">
        <is>
          <t>GOTLAND</t>
        </is>
      </c>
      <c r="G639" t="n">
        <v>2</v>
      </c>
      <c r="H639" t="n">
        <v>0</v>
      </c>
      <c r="I639" t="n">
        <v>0</v>
      </c>
      <c r="J639" t="n">
        <v>0</v>
      </c>
      <c r="K639" t="n">
        <v>0</v>
      </c>
      <c r="L639" t="n">
        <v>0</v>
      </c>
      <c r="M639" t="n">
        <v>0</v>
      </c>
      <c r="N639" t="n">
        <v>0</v>
      </c>
      <c r="O639" t="n">
        <v>0</v>
      </c>
      <c r="P639" t="n">
        <v>0</v>
      </c>
      <c r="Q639" t="n">
        <v>0</v>
      </c>
      <c r="R639" s="2" t="inlineStr"/>
    </row>
    <row r="640" ht="15" customHeight="1">
      <c r="A640" t="inlineStr">
        <is>
          <t>A 26465-2025</t>
        </is>
      </c>
      <c r="B640" s="1" t="n">
        <v>45807.44377314814</v>
      </c>
      <c r="C640" s="1" t="n">
        <v>46112</v>
      </c>
      <c r="D640" t="inlineStr">
        <is>
          <t>GOTLANDS LÄN</t>
        </is>
      </c>
      <c r="E640" t="inlineStr">
        <is>
          <t>GOTLAND</t>
        </is>
      </c>
      <c r="G640" t="n">
        <v>4.5</v>
      </c>
      <c r="H640" t="n">
        <v>0</v>
      </c>
      <c r="I640" t="n">
        <v>0</v>
      </c>
      <c r="J640" t="n">
        <v>0</v>
      </c>
      <c r="K640" t="n">
        <v>0</v>
      </c>
      <c r="L640" t="n">
        <v>0</v>
      </c>
      <c r="M640" t="n">
        <v>0</v>
      </c>
      <c r="N640" t="n">
        <v>0</v>
      </c>
      <c r="O640" t="n">
        <v>0</v>
      </c>
      <c r="P640" t="n">
        <v>0</v>
      </c>
      <c r="Q640" t="n">
        <v>0</v>
      </c>
      <c r="R640" s="2" t="inlineStr"/>
    </row>
    <row r="641" ht="15" customHeight="1">
      <c r="A641" t="inlineStr">
        <is>
          <t>A 26457-2025</t>
        </is>
      </c>
      <c r="B641" s="1" t="n">
        <v>45807.42773148148</v>
      </c>
      <c r="C641" s="1" t="n">
        <v>46112</v>
      </c>
      <c r="D641" t="inlineStr">
        <is>
          <t>GOTLANDS LÄN</t>
        </is>
      </c>
      <c r="E641" t="inlineStr">
        <is>
          <t>GOTLAND</t>
        </is>
      </c>
      <c r="G641" t="n">
        <v>5.7</v>
      </c>
      <c r="H641" t="n">
        <v>0</v>
      </c>
      <c r="I641" t="n">
        <v>0</v>
      </c>
      <c r="J641" t="n">
        <v>0</v>
      </c>
      <c r="K641" t="n">
        <v>0</v>
      </c>
      <c r="L641" t="n">
        <v>0</v>
      </c>
      <c r="M641" t="n">
        <v>0</v>
      </c>
      <c r="N641" t="n">
        <v>0</v>
      </c>
      <c r="O641" t="n">
        <v>0</v>
      </c>
      <c r="P641" t="n">
        <v>0</v>
      </c>
      <c r="Q641" t="n">
        <v>0</v>
      </c>
      <c r="R641" s="2" t="inlineStr"/>
    </row>
    <row r="642">
      <c r="A642" t="inlineStr">
        <is>
          <t>A 26467-2025</t>
        </is>
      </c>
      <c r="B642" s="1" t="n">
        <v>45807.44640046296</v>
      </c>
      <c r="C642" s="1" t="n">
        <v>46112</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2026-03-31T10:47:48Z</dcterms:created>
  <dcterms:modified xmlns:dcterms="http://purl.org/dc/terms/" xmlns:xsi="http://www.w3.org/2001/XMLSchema-instance" xsi:type="dcterms:W3CDTF">2026-03-31T10:47:48Z</dcterms:modified>
</cp:coreProperties>
</file>