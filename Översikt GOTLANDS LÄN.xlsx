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45984</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45984</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45984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45984</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45984</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45984</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45984</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45984</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45984</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45984</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45984</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45984</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45984</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45984</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45984</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45984</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45984</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45984</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45984</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45984</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45984</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45984</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45984</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45984</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45984</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45984</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45984</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45984</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45984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45984</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45984</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45984</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584-2023</t>
        </is>
      </c>
      <c r="B52" s="1" t="n">
        <v>44930</v>
      </c>
      <c r="C52" s="1" t="n">
        <v>45984</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45984</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17766-2024</t>
        </is>
      </c>
      <c r="B54" s="1" t="n">
        <v>45418</v>
      </c>
      <c r="C54" s="1" t="n">
        <v>45984</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59132-2024</t>
        </is>
      </c>
      <c r="B55" s="1" t="n">
        <v>45637</v>
      </c>
      <c r="C55" s="1" t="n">
        <v>45984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45984</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45984</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45984</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45984</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45984</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27280-2023</t>
        </is>
      </c>
      <c r="B64" s="1" t="n">
        <v>45096</v>
      </c>
      <c r="C64" s="1" t="n">
        <v>45984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45984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45984</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45984</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45984</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53584-2025</t>
        </is>
      </c>
      <c r="B69" s="1" t="n">
        <v>45960.43130787037</v>
      </c>
      <c r="C69" s="1" t="n">
        <v>45984</v>
      </c>
      <c r="D69" t="inlineStr">
        <is>
          <t>GOTLANDS LÄN</t>
        </is>
      </c>
      <c r="E69" t="inlineStr">
        <is>
          <t>GOTLAND</t>
        </is>
      </c>
      <c r="F69" t="inlineStr">
        <is>
          <t>Övriga Aktiebolag</t>
        </is>
      </c>
      <c r="G69" t="n">
        <v>18.1</v>
      </c>
      <c r="H69" t="n">
        <v>3</v>
      </c>
      <c r="I69" t="n">
        <v>0</v>
      </c>
      <c r="J69" t="n">
        <v>4</v>
      </c>
      <c r="K69" t="n">
        <v>0</v>
      </c>
      <c r="L69" t="n">
        <v>0</v>
      </c>
      <c r="M69" t="n">
        <v>0</v>
      </c>
      <c r="N69" t="n">
        <v>0</v>
      </c>
      <c r="O69" t="n">
        <v>4</v>
      </c>
      <c r="P69" t="n">
        <v>0</v>
      </c>
      <c r="Q69" t="n">
        <v>6</v>
      </c>
      <c r="R69" s="2" t="inlineStr">
        <is>
          <t>Apollofjäril
Jordtistel
Klasefibbla
Majviva
Gråkråka
Nattviol</t>
        </is>
      </c>
      <c r="S69">
        <f>HYPERLINK("https://klasma.github.io/Logging_0980/artfynd/A 53584-2025 artfynd.xlsx", "A 53584-2025")</f>
        <v/>
      </c>
      <c r="T69">
        <f>HYPERLINK("https://klasma.github.io/Logging_0980/kartor/A 53584-2025 karta.png", "A 53584-2025")</f>
        <v/>
      </c>
      <c r="V69">
        <f>HYPERLINK("https://klasma.github.io/Logging_0980/klagomål/A 53584-2025 FSC-klagomål.docx", "A 53584-2025")</f>
        <v/>
      </c>
      <c r="W69">
        <f>HYPERLINK("https://klasma.github.io/Logging_0980/klagomålsmail/A 53584-2025 FSC-klagomål mail.docx", "A 53584-2025")</f>
        <v/>
      </c>
      <c r="X69">
        <f>HYPERLINK("https://klasma.github.io/Logging_0980/tillsyn/A 53584-2025 tillsynsbegäran.docx", "A 53584-2025")</f>
        <v/>
      </c>
      <c r="Y69">
        <f>HYPERLINK("https://klasma.github.io/Logging_0980/tillsynsmail/A 53584-2025 tillsynsbegäran mail.docx", "A 53584-2025")</f>
        <v/>
      </c>
    </row>
    <row r="70" ht="15" customHeight="1">
      <c r="A70" t="inlineStr">
        <is>
          <t>A 16823-2024</t>
        </is>
      </c>
      <c r="B70" s="1" t="n">
        <v>45411</v>
      </c>
      <c r="C70" s="1" t="n">
        <v>45984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45984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45984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57773-2025</t>
        </is>
      </c>
      <c r="B73" s="1" t="n">
        <v>45981.56349537037</v>
      </c>
      <c r="C73" s="1" t="n">
        <v>45984</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45984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65819-2020</t>
        </is>
      </c>
      <c r="B75" s="1" t="n">
        <v>44174</v>
      </c>
      <c r="C75" s="1" t="n">
        <v>45984</v>
      </c>
      <c r="D75" t="inlineStr">
        <is>
          <t>GOTLANDS LÄN</t>
        </is>
      </c>
      <c r="E75" t="inlineStr">
        <is>
          <t>GOTLAND</t>
        </is>
      </c>
      <c r="G75" t="n">
        <v>4.3</v>
      </c>
      <c r="H75" t="n">
        <v>1</v>
      </c>
      <c r="I75" t="n">
        <v>3</v>
      </c>
      <c r="J75" t="n">
        <v>1</v>
      </c>
      <c r="K75" t="n">
        <v>2</v>
      </c>
      <c r="L75" t="n">
        <v>0</v>
      </c>
      <c r="M75" t="n">
        <v>0</v>
      </c>
      <c r="N75" t="n">
        <v>0</v>
      </c>
      <c r="O75" t="n">
        <v>3</v>
      </c>
      <c r="P75" t="n">
        <v>2</v>
      </c>
      <c r="Q75" t="n">
        <v>6</v>
      </c>
      <c r="R75" s="2" t="inlineStr">
        <is>
          <t>Tallvaxskivling
Vit taggsvamp
Skugglosta
Blå slemspindling
Kattfotslav
Nästrot</t>
        </is>
      </c>
      <c r="S75">
        <f>HYPERLINK("https://klasma.github.io/Logging_0980/artfynd/A 65819-2020 artfynd.xlsx", "A 65819-2020")</f>
        <v/>
      </c>
      <c r="T75">
        <f>HYPERLINK("https://klasma.github.io/Logging_0980/kartor/A 65819-2020 karta.png", "A 65819-2020")</f>
        <v/>
      </c>
      <c r="V75">
        <f>HYPERLINK("https://klasma.github.io/Logging_0980/klagomål/A 65819-2020 FSC-klagomål.docx", "A 65819-2020")</f>
        <v/>
      </c>
      <c r="W75">
        <f>HYPERLINK("https://klasma.github.io/Logging_0980/klagomålsmail/A 65819-2020 FSC-klagomål mail.docx", "A 65819-2020")</f>
        <v/>
      </c>
      <c r="X75">
        <f>HYPERLINK("https://klasma.github.io/Logging_0980/tillsyn/A 65819-2020 tillsynsbegäran.docx", "A 65819-2020")</f>
        <v/>
      </c>
      <c r="Y75">
        <f>HYPERLINK("https://klasma.github.io/Logging_0980/tillsynsmail/A 65819-2020 tillsynsbegäran mail.docx", "A 65819-2020")</f>
        <v/>
      </c>
    </row>
    <row r="76" ht="15" customHeight="1">
      <c r="A76" t="inlineStr">
        <is>
          <t>A 7038-2023</t>
        </is>
      </c>
      <c r="B76" s="1" t="n">
        <v>44968</v>
      </c>
      <c r="C76" s="1" t="n">
        <v>45984</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45984</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45984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45984</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45984</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45984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44944-2022</t>
        </is>
      </c>
      <c r="B82" s="1" t="n">
        <v>44841</v>
      </c>
      <c r="C82" s="1" t="n">
        <v>45984</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39425-2023</t>
        </is>
      </c>
      <c r="B83" s="1" t="n">
        <v>45166</v>
      </c>
      <c r="C83" s="1" t="n">
        <v>45984</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45984</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45984</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29331-2021</t>
        </is>
      </c>
      <c r="B86" s="1" t="n">
        <v>44361</v>
      </c>
      <c r="C86" s="1" t="n">
        <v>45984</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5904-2024</t>
        </is>
      </c>
      <c r="B87" s="1" t="n">
        <v>45335</v>
      </c>
      <c r="C87" s="1" t="n">
        <v>45984</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54523-2023</t>
        </is>
      </c>
      <c r="B88" s="1" t="n">
        <v>45233</v>
      </c>
      <c r="C88" s="1" t="n">
        <v>45984</v>
      </c>
      <c r="D88" t="inlineStr">
        <is>
          <t>GOTLANDS LÄN</t>
        </is>
      </c>
      <c r="E88" t="inlineStr">
        <is>
          <t>GOTLAND</t>
        </is>
      </c>
      <c r="G88" t="n">
        <v>3.7</v>
      </c>
      <c r="H88" t="n">
        <v>2</v>
      </c>
      <c r="I88" t="n">
        <v>0</v>
      </c>
      <c r="J88" t="n">
        <v>1</v>
      </c>
      <c r="K88" t="n">
        <v>1</v>
      </c>
      <c r="L88" t="n">
        <v>0</v>
      </c>
      <c r="M88" t="n">
        <v>0</v>
      </c>
      <c r="N88" t="n">
        <v>0</v>
      </c>
      <c r="O88" t="n">
        <v>2</v>
      </c>
      <c r="P88" t="n">
        <v>1</v>
      </c>
      <c r="Q88" t="n">
        <v>4</v>
      </c>
      <c r="R88" s="2" t="inlineStr">
        <is>
          <t>Sommarklynne
Åkerkulla
Brudsporre
Kärrknipprot</t>
        </is>
      </c>
      <c r="S88">
        <f>HYPERLINK("https://klasma.github.io/Logging_0980/artfynd/A 54523-2023 artfynd.xlsx", "A 54523-2023")</f>
        <v/>
      </c>
      <c r="T88">
        <f>HYPERLINK("https://klasma.github.io/Logging_0980/kartor/A 54523-2023 karta.png", "A 54523-2023")</f>
        <v/>
      </c>
      <c r="V88">
        <f>HYPERLINK("https://klasma.github.io/Logging_0980/klagomål/A 54523-2023 FSC-klagomål.docx", "A 54523-2023")</f>
        <v/>
      </c>
      <c r="W88">
        <f>HYPERLINK("https://klasma.github.io/Logging_0980/klagomålsmail/A 54523-2023 FSC-klagomål mail.docx", "A 54523-2023")</f>
        <v/>
      </c>
      <c r="X88">
        <f>HYPERLINK("https://klasma.github.io/Logging_0980/tillsyn/A 54523-2023 tillsynsbegäran.docx", "A 54523-2023")</f>
        <v/>
      </c>
      <c r="Y88">
        <f>HYPERLINK("https://klasma.github.io/Logging_0980/tillsynsmail/A 54523-2023 tillsynsbegäran mail.docx", "A 54523-2023")</f>
        <v/>
      </c>
    </row>
    <row r="89" ht="15" customHeight="1">
      <c r="A89" t="inlineStr">
        <is>
          <t>A 40099-2025</t>
        </is>
      </c>
      <c r="B89" s="1" t="n">
        <v>45894.48462962963</v>
      </c>
      <c r="C89" s="1" t="n">
        <v>45984</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6159-2023</t>
        </is>
      </c>
      <c r="B90" s="1" t="n">
        <v>44964</v>
      </c>
      <c r="C90" s="1" t="n">
        <v>45984</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45984</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45984</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64378-2020</t>
        </is>
      </c>
      <c r="B93" s="1" t="n">
        <v>44168</v>
      </c>
      <c r="C93" s="1" t="n">
        <v>45984</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52309-2025</t>
        </is>
      </c>
      <c r="B94" s="1" t="n">
        <v>45953.64381944444</v>
      </c>
      <c r="C94" s="1" t="n">
        <v>45984</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52250-2025</t>
        </is>
      </c>
      <c r="B95" s="1" t="n">
        <v>45953.48998842593</v>
      </c>
      <c r="C95" s="1" t="n">
        <v>45984</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20833-2024</t>
        </is>
      </c>
      <c r="B96" s="1" t="n">
        <v>45439</v>
      </c>
      <c r="C96" s="1" t="n">
        <v>45984</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57463-2025</t>
        </is>
      </c>
      <c r="B97" s="1" t="n">
        <v>45980.54174768519</v>
      </c>
      <c r="C97" s="1" t="n">
        <v>45984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44933-2022</t>
        </is>
      </c>
      <c r="B98" s="1" t="n">
        <v>44841</v>
      </c>
      <c r="C98" s="1" t="n">
        <v>45984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45984</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45984</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45984</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45984</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65537-2020</t>
        </is>
      </c>
      <c r="B103" s="1" t="n">
        <v>44173</v>
      </c>
      <c r="C103" s="1" t="n">
        <v>45984</v>
      </c>
      <c r="D103" t="inlineStr">
        <is>
          <t>GOTLANDS LÄN</t>
        </is>
      </c>
      <c r="E103" t="inlineStr">
        <is>
          <t>GOTLAND</t>
        </is>
      </c>
      <c r="G103" t="n">
        <v>1.6</v>
      </c>
      <c r="H103" t="n">
        <v>0</v>
      </c>
      <c r="I103" t="n">
        <v>0</v>
      </c>
      <c r="J103" t="n">
        <v>3</v>
      </c>
      <c r="K103" t="n">
        <v>0</v>
      </c>
      <c r="L103" t="n">
        <v>0</v>
      </c>
      <c r="M103" t="n">
        <v>0</v>
      </c>
      <c r="N103" t="n">
        <v>0</v>
      </c>
      <c r="O103" t="n">
        <v>3</v>
      </c>
      <c r="P103" t="n">
        <v>0</v>
      </c>
      <c r="Q103" t="n">
        <v>3</v>
      </c>
      <c r="R103" s="2" t="inlineStr">
        <is>
          <t>Axveronika
Backtimjan
Solvända</t>
        </is>
      </c>
      <c r="S103">
        <f>HYPERLINK("https://klasma.github.io/Logging_0980/artfynd/A 65537-2020 artfynd.xlsx", "A 65537-2020")</f>
        <v/>
      </c>
      <c r="T103">
        <f>HYPERLINK("https://klasma.github.io/Logging_0980/kartor/A 65537-2020 karta.png", "A 65537-2020")</f>
        <v/>
      </c>
      <c r="V103">
        <f>HYPERLINK("https://klasma.github.io/Logging_0980/klagomål/A 65537-2020 FSC-klagomål.docx", "A 65537-2020")</f>
        <v/>
      </c>
      <c r="W103">
        <f>HYPERLINK("https://klasma.github.io/Logging_0980/klagomålsmail/A 65537-2020 FSC-klagomål mail.docx", "A 65537-2020")</f>
        <v/>
      </c>
      <c r="X103">
        <f>HYPERLINK("https://klasma.github.io/Logging_0980/tillsyn/A 65537-2020 tillsynsbegäran.docx", "A 65537-2020")</f>
        <v/>
      </c>
      <c r="Y103">
        <f>HYPERLINK("https://klasma.github.io/Logging_0980/tillsynsmail/A 65537-2020 tillsynsbegäran mail.docx", "A 65537-2020")</f>
        <v/>
      </c>
    </row>
    <row r="104" ht="15" customHeight="1">
      <c r="A104" t="inlineStr">
        <is>
          <t>A 44323-2021</t>
        </is>
      </c>
      <c r="B104" s="1" t="n">
        <v>44434</v>
      </c>
      <c r="C104" s="1" t="n">
        <v>45984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45984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45984</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45984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45984</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45984</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45984</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45984</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45984</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45984</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45984</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49709-2025</t>
        </is>
      </c>
      <c r="B115" s="1" t="n">
        <v>45939.68228009259</v>
      </c>
      <c r="C115" s="1" t="n">
        <v>45984</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53552-2021</t>
        </is>
      </c>
      <c r="B116" s="1" t="n">
        <v>44468</v>
      </c>
      <c r="C116" s="1" t="n">
        <v>45984</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45984</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45984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45984</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45984</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62326-2020</t>
        </is>
      </c>
      <c r="B121" s="1" t="n">
        <v>44160</v>
      </c>
      <c r="C121" s="1" t="n">
        <v>45984</v>
      </c>
      <c r="D121" t="inlineStr">
        <is>
          <t>GOTLANDS LÄN</t>
        </is>
      </c>
      <c r="E121" t="inlineStr">
        <is>
          <t>GOTLAND</t>
        </is>
      </c>
      <c r="G121" t="n">
        <v>7.4</v>
      </c>
      <c r="H121" t="n">
        <v>1</v>
      </c>
      <c r="I121" t="n">
        <v>3</v>
      </c>
      <c r="J121" t="n">
        <v>0</v>
      </c>
      <c r="K121" t="n">
        <v>0</v>
      </c>
      <c r="L121" t="n">
        <v>0</v>
      </c>
      <c r="M121" t="n">
        <v>0</v>
      </c>
      <c r="N121" t="n">
        <v>0</v>
      </c>
      <c r="O121" t="n">
        <v>0</v>
      </c>
      <c r="P121" t="n">
        <v>0</v>
      </c>
      <c r="Q121" t="n">
        <v>3</v>
      </c>
      <c r="R121" s="2" t="inlineStr">
        <is>
          <t>Anisspindling
Blåmossa
Skogsknipprot</t>
        </is>
      </c>
      <c r="S121">
        <f>HYPERLINK("https://klasma.github.io/Logging_0980/artfynd/A 62326-2020 artfynd.xlsx", "A 62326-2020")</f>
        <v/>
      </c>
      <c r="T121">
        <f>HYPERLINK("https://klasma.github.io/Logging_0980/kartor/A 62326-2020 karta.png", "A 62326-2020")</f>
        <v/>
      </c>
      <c r="V121">
        <f>HYPERLINK("https://klasma.github.io/Logging_0980/klagomål/A 62326-2020 FSC-klagomål.docx", "A 62326-2020")</f>
        <v/>
      </c>
      <c r="W121">
        <f>HYPERLINK("https://klasma.github.io/Logging_0980/klagomålsmail/A 62326-2020 FSC-klagomål mail.docx", "A 62326-2020")</f>
        <v/>
      </c>
      <c r="X121">
        <f>HYPERLINK("https://klasma.github.io/Logging_0980/tillsyn/A 62326-2020 tillsynsbegäran.docx", "A 62326-2020")</f>
        <v/>
      </c>
      <c r="Y121">
        <f>HYPERLINK("https://klasma.github.io/Logging_0980/tillsynsmail/A 62326-2020 tillsynsbegäran mail.docx", "A 62326-2020")</f>
        <v/>
      </c>
    </row>
    <row r="122" ht="15" customHeight="1">
      <c r="A122" t="inlineStr">
        <is>
          <t>A 73144-2021</t>
        </is>
      </c>
      <c r="B122" s="1" t="n">
        <v>44550</v>
      </c>
      <c r="C122" s="1" t="n">
        <v>45984</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45984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45984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45984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45984</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45984</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45984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45984</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52245-2025</t>
        </is>
      </c>
      <c r="B130" s="1" t="n">
        <v>45953.47115740741</v>
      </c>
      <c r="C130" s="1" t="n">
        <v>45984</v>
      </c>
      <c r="D130" t="inlineStr">
        <is>
          <t>GOTLANDS LÄN</t>
        </is>
      </c>
      <c r="E130" t="inlineStr">
        <is>
          <t>GOTLAND</t>
        </is>
      </c>
      <c r="F130" t="inlineStr">
        <is>
          <t>Övriga Aktiebolag</t>
        </is>
      </c>
      <c r="G130" t="n">
        <v>10.1</v>
      </c>
      <c r="H130" t="n">
        <v>0</v>
      </c>
      <c r="I130" t="n">
        <v>1</v>
      </c>
      <c r="J130" t="n">
        <v>0</v>
      </c>
      <c r="K130" t="n">
        <v>1</v>
      </c>
      <c r="L130" t="n">
        <v>0</v>
      </c>
      <c r="M130" t="n">
        <v>0</v>
      </c>
      <c r="N130" t="n">
        <v>0</v>
      </c>
      <c r="O130" t="n">
        <v>1</v>
      </c>
      <c r="P130" t="n">
        <v>1</v>
      </c>
      <c r="Q130" t="n">
        <v>2</v>
      </c>
      <c r="R130" s="2" t="inlineStr">
        <is>
          <t>Källnate
Underviol</t>
        </is>
      </c>
      <c r="S130">
        <f>HYPERLINK("https://klasma.github.io/Logging_0980/artfynd/A 52245-2025 artfynd.xlsx", "A 52245-2025")</f>
        <v/>
      </c>
      <c r="T130">
        <f>HYPERLINK("https://klasma.github.io/Logging_0980/kartor/A 52245-2025 karta.png", "A 52245-2025")</f>
        <v/>
      </c>
      <c r="V130">
        <f>HYPERLINK("https://klasma.github.io/Logging_0980/klagomål/A 52245-2025 FSC-klagomål.docx", "A 52245-2025")</f>
        <v/>
      </c>
      <c r="W130">
        <f>HYPERLINK("https://klasma.github.io/Logging_0980/klagomålsmail/A 52245-2025 FSC-klagomål mail.docx", "A 52245-2025")</f>
        <v/>
      </c>
      <c r="X130">
        <f>HYPERLINK("https://klasma.github.io/Logging_0980/tillsyn/A 52245-2025 tillsynsbegäran.docx", "A 52245-2025")</f>
        <v/>
      </c>
      <c r="Y130">
        <f>HYPERLINK("https://klasma.github.io/Logging_0980/tillsynsmail/A 52245-2025 tillsynsbegäran mail.docx", "A 52245-2025")</f>
        <v/>
      </c>
    </row>
    <row r="131" ht="15" customHeight="1">
      <c r="A131" t="inlineStr">
        <is>
          <t>A 20838-2024</t>
        </is>
      </c>
      <c r="B131" s="1" t="n">
        <v>45439</v>
      </c>
      <c r="C131" s="1" t="n">
        <v>45984</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64263-2020</t>
        </is>
      </c>
      <c r="B132" s="1" t="n">
        <v>44168</v>
      </c>
      <c r="C132" s="1" t="n">
        <v>45984</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54357-2024</t>
        </is>
      </c>
      <c r="B133" s="1" t="n">
        <v>45617.40662037037</v>
      </c>
      <c r="C133" s="1" t="n">
        <v>45984</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45984</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45984</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45984</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45984</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45984</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45984</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45984</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45984</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45984</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45984</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45984</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10218-2025</t>
        </is>
      </c>
      <c r="B145" s="1" t="n">
        <v>45720</v>
      </c>
      <c r="C145" s="1" t="n">
        <v>45984</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12379-2024</t>
        </is>
      </c>
      <c r="B146" s="1" t="n">
        <v>45379.28155092592</v>
      </c>
      <c r="C146" s="1" t="n">
        <v>45984</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45984</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10440-2024</t>
        </is>
      </c>
      <c r="B148" s="1" t="n">
        <v>45366.32818287037</v>
      </c>
      <c r="C148" s="1" t="n">
        <v>45984</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45984</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25977-2024</t>
        </is>
      </c>
      <c r="B150" s="1" t="n">
        <v>45467.69356481481</v>
      </c>
      <c r="C150" s="1" t="n">
        <v>45984</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26461-2025</t>
        </is>
      </c>
      <c r="B151" s="1" t="n">
        <v>45807.43337962963</v>
      </c>
      <c r="C151" s="1" t="n">
        <v>45984</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65927-2021</t>
        </is>
      </c>
      <c r="B152" s="1" t="n">
        <v>44516</v>
      </c>
      <c r="C152" s="1" t="n">
        <v>45984</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61796-2022</t>
        </is>
      </c>
      <c r="B153" s="1" t="n">
        <v>44917</v>
      </c>
      <c r="C153" s="1" t="n">
        <v>45984</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35467-2021</t>
        </is>
      </c>
      <c r="B154" s="1" t="n">
        <v>44385</v>
      </c>
      <c r="C154" s="1" t="n">
        <v>45984</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45984</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15637-2024</t>
        </is>
      </c>
      <c r="B156" s="1" t="n">
        <v>45403.6684837963</v>
      </c>
      <c r="C156" s="1" t="n">
        <v>45984</v>
      </c>
      <c r="D156" t="inlineStr">
        <is>
          <t>GOTLANDS LÄN</t>
        </is>
      </c>
      <c r="E156" t="inlineStr">
        <is>
          <t>GOTLAND</t>
        </is>
      </c>
      <c r="G156" t="n">
        <v>4.1</v>
      </c>
      <c r="H156" t="n">
        <v>1</v>
      </c>
      <c r="I156" t="n">
        <v>0</v>
      </c>
      <c r="J156" t="n">
        <v>0</v>
      </c>
      <c r="K156" t="n">
        <v>0</v>
      </c>
      <c r="L156" t="n">
        <v>0</v>
      </c>
      <c r="M156" t="n">
        <v>0</v>
      </c>
      <c r="N156" t="n">
        <v>0</v>
      </c>
      <c r="O156" t="n">
        <v>0</v>
      </c>
      <c r="P156" t="n">
        <v>0</v>
      </c>
      <c r="Q156" t="n">
        <v>1</v>
      </c>
      <c r="R156" s="2" t="inlineStr">
        <is>
          <t>Blåsippa</t>
        </is>
      </c>
      <c r="S156">
        <f>HYPERLINK("https://klasma.github.io/Logging_0980/artfynd/A 15637-2024 artfynd.xlsx", "A 15637-2024")</f>
        <v/>
      </c>
      <c r="T156">
        <f>HYPERLINK("https://klasma.github.io/Logging_0980/kartor/A 15637-2024 karta.png", "A 15637-2024")</f>
        <v/>
      </c>
      <c r="V156">
        <f>HYPERLINK("https://klasma.github.io/Logging_0980/klagomål/A 15637-2024 FSC-klagomål.docx", "A 15637-2024")</f>
        <v/>
      </c>
      <c r="W156">
        <f>HYPERLINK("https://klasma.github.io/Logging_0980/klagomålsmail/A 15637-2024 FSC-klagomål mail.docx", "A 15637-2024")</f>
        <v/>
      </c>
      <c r="X156">
        <f>HYPERLINK("https://klasma.github.io/Logging_0980/tillsyn/A 15637-2024 tillsynsbegäran.docx", "A 15637-2024")</f>
        <v/>
      </c>
      <c r="Y156">
        <f>HYPERLINK("https://klasma.github.io/Logging_0980/tillsynsmail/A 15637-2024 tillsynsbegäran mail.docx", "A 15637-2024")</f>
        <v/>
      </c>
    </row>
    <row r="157" ht="15" customHeight="1">
      <c r="A157" t="inlineStr">
        <is>
          <t>A 34141-2024</t>
        </is>
      </c>
      <c r="B157" s="1" t="n">
        <v>45524.36229166666</v>
      </c>
      <c r="C157" s="1" t="n">
        <v>45984</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9862-2024</t>
        </is>
      </c>
      <c r="B158" s="1" t="n">
        <v>45363</v>
      </c>
      <c r="C158" s="1" t="n">
        <v>45984</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2476-2025</t>
        </is>
      </c>
      <c r="B159" s="1" t="n">
        <v>45673</v>
      </c>
      <c r="C159" s="1" t="n">
        <v>45984</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10995-2023</t>
        </is>
      </c>
      <c r="B160" s="1" t="n">
        <v>44986</v>
      </c>
      <c r="C160" s="1" t="n">
        <v>45984</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56687-2025</t>
        </is>
      </c>
      <c r="B161" s="1" t="n">
        <v>45975.84065972222</v>
      </c>
      <c r="C161" s="1" t="n">
        <v>45984</v>
      </c>
      <c r="D161" t="inlineStr">
        <is>
          <t>GOTLANDS LÄN</t>
        </is>
      </c>
      <c r="E161" t="inlineStr">
        <is>
          <t>GOTLAND</t>
        </is>
      </c>
      <c r="G161" t="n">
        <v>2.4</v>
      </c>
      <c r="H161" t="n">
        <v>1</v>
      </c>
      <c r="I161" t="n">
        <v>0</v>
      </c>
      <c r="J161" t="n">
        <v>1</v>
      </c>
      <c r="K161" t="n">
        <v>0</v>
      </c>
      <c r="L161" t="n">
        <v>0</v>
      </c>
      <c r="M161" t="n">
        <v>0</v>
      </c>
      <c r="N161" t="n">
        <v>0</v>
      </c>
      <c r="O161" t="n">
        <v>1</v>
      </c>
      <c r="P161" t="n">
        <v>0</v>
      </c>
      <c r="Q161" t="n">
        <v>1</v>
      </c>
      <c r="R161" s="2" t="inlineStr">
        <is>
          <t>Dårgräsfjäril</t>
        </is>
      </c>
      <c r="S161">
        <f>HYPERLINK("https://klasma.github.io/Logging_0980/artfynd/A 56687-2025 artfynd.xlsx", "A 56687-2025")</f>
        <v/>
      </c>
      <c r="T161">
        <f>HYPERLINK("https://klasma.github.io/Logging_0980/kartor/A 56687-2025 karta.png", "A 56687-2025")</f>
        <v/>
      </c>
      <c r="V161">
        <f>HYPERLINK("https://klasma.github.io/Logging_0980/klagomål/A 56687-2025 FSC-klagomål.docx", "A 56687-2025")</f>
        <v/>
      </c>
      <c r="W161">
        <f>HYPERLINK("https://klasma.github.io/Logging_0980/klagomålsmail/A 56687-2025 FSC-klagomål mail.docx", "A 56687-2025")</f>
        <v/>
      </c>
      <c r="X161">
        <f>HYPERLINK("https://klasma.github.io/Logging_0980/tillsyn/A 56687-2025 tillsynsbegäran.docx", "A 56687-2025")</f>
        <v/>
      </c>
      <c r="Y161">
        <f>HYPERLINK("https://klasma.github.io/Logging_0980/tillsynsmail/A 56687-2025 tillsynsbegäran mail.docx", "A 56687-2025")</f>
        <v/>
      </c>
    </row>
    <row r="162" ht="15" customHeight="1">
      <c r="A162" t="inlineStr">
        <is>
          <t>A 12924-2025</t>
        </is>
      </c>
      <c r="B162" s="1" t="n">
        <v>45734</v>
      </c>
      <c r="C162" s="1" t="n">
        <v>45984</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13939-2021</t>
        </is>
      </c>
      <c r="B163" s="1" t="n">
        <v>44277</v>
      </c>
      <c r="C163" s="1" t="n">
        <v>45984</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45984</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45984</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49726-2025</t>
        </is>
      </c>
      <c r="B166" s="1" t="n">
        <v>45939.84466435185</v>
      </c>
      <c r="C166" s="1" t="n">
        <v>45984</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20429-2025</t>
        </is>
      </c>
      <c r="B167" s="1" t="n">
        <v>45775.47728009259</v>
      </c>
      <c r="C167" s="1" t="n">
        <v>45984</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44308-2021</t>
        </is>
      </c>
      <c r="B168" s="1" t="n">
        <v>44434</v>
      </c>
      <c r="C168" s="1" t="n">
        <v>45984</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447-2023</t>
        </is>
      </c>
      <c r="B169" s="1" t="n">
        <v>44929</v>
      </c>
      <c r="C169" s="1" t="n">
        <v>45984</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45984</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45984</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45984</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45984</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45984</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45984</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45984</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45984</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6303-2024</t>
        </is>
      </c>
      <c r="B178" s="1" t="n">
        <v>45338.35376157407</v>
      </c>
      <c r="C178" s="1" t="n">
        <v>45984</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34809-2024</t>
        </is>
      </c>
      <c r="B179" s="1" t="n">
        <v>45526</v>
      </c>
      <c r="C179" s="1" t="n">
        <v>45984</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61561-2023</t>
        </is>
      </c>
      <c r="B180" s="1" t="n">
        <v>45265</v>
      </c>
      <c r="C180" s="1" t="n">
        <v>45984</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63299-2020</t>
        </is>
      </c>
      <c r="B181" s="1" t="n">
        <v>44165</v>
      </c>
      <c r="C181" s="1" t="n">
        <v>45984</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27168-2022</t>
        </is>
      </c>
      <c r="B182" s="1" t="n">
        <v>44741</v>
      </c>
      <c r="C182" s="1" t="n">
        <v>45984</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22782-2023</t>
        </is>
      </c>
      <c r="B183" s="1" t="n">
        <v>45072</v>
      </c>
      <c r="C183" s="1" t="n">
        <v>45984</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45984</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45984</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45984</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45984</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45984</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37591-2023</t>
        </is>
      </c>
      <c r="B189" s="1" t="n">
        <v>45159</v>
      </c>
      <c r="C189" s="1" t="n">
        <v>45984</v>
      </c>
      <c r="D189" t="inlineStr">
        <is>
          <t>GOTLANDS LÄN</t>
        </is>
      </c>
      <c r="E189" t="inlineStr">
        <is>
          <t>GOTLAND</t>
        </is>
      </c>
      <c r="G189" t="n">
        <v>8.300000000000001</v>
      </c>
      <c r="H189" t="n">
        <v>0</v>
      </c>
      <c r="I189" t="n">
        <v>0</v>
      </c>
      <c r="J189" t="n">
        <v>1</v>
      </c>
      <c r="K189" t="n">
        <v>0</v>
      </c>
      <c r="L189" t="n">
        <v>0</v>
      </c>
      <c r="M189" t="n">
        <v>0</v>
      </c>
      <c r="N189" t="n">
        <v>0</v>
      </c>
      <c r="O189" t="n">
        <v>1</v>
      </c>
      <c r="P189" t="n">
        <v>0</v>
      </c>
      <c r="Q189" t="n">
        <v>1</v>
      </c>
      <c r="R189" s="2" t="inlineStr">
        <is>
          <t>Ängsstarr</t>
        </is>
      </c>
      <c r="S189">
        <f>HYPERLINK("https://klasma.github.io/Logging_0980/artfynd/A 37591-2023 artfynd.xlsx", "A 37591-2023")</f>
        <v/>
      </c>
      <c r="T189">
        <f>HYPERLINK("https://klasma.github.io/Logging_0980/kartor/A 37591-2023 karta.png", "A 37591-2023")</f>
        <v/>
      </c>
      <c r="V189">
        <f>HYPERLINK("https://klasma.github.io/Logging_0980/klagomål/A 37591-2023 FSC-klagomål.docx", "A 37591-2023")</f>
        <v/>
      </c>
      <c r="W189">
        <f>HYPERLINK("https://klasma.github.io/Logging_0980/klagomålsmail/A 37591-2023 FSC-klagomål mail.docx", "A 37591-2023")</f>
        <v/>
      </c>
      <c r="X189">
        <f>HYPERLINK("https://klasma.github.io/Logging_0980/tillsyn/A 37591-2023 tillsynsbegäran.docx", "A 37591-2023")</f>
        <v/>
      </c>
      <c r="Y189">
        <f>HYPERLINK("https://klasma.github.io/Logging_0980/tillsynsmail/A 37591-2023 tillsynsbegäran mail.docx", "A 37591-2023")</f>
        <v/>
      </c>
    </row>
    <row r="190" ht="15" customHeight="1">
      <c r="A190" t="inlineStr">
        <is>
          <t>A 21466-2025</t>
        </is>
      </c>
      <c r="B190" s="1" t="n">
        <v>45782</v>
      </c>
      <c r="C190" s="1" t="n">
        <v>45984</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45984</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45984</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18038-2021</t>
        </is>
      </c>
      <c r="B193" s="1" t="n">
        <v>44302</v>
      </c>
      <c r="C193" s="1" t="n">
        <v>45984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45984</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45984</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45984</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45984</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11400-2021</t>
        </is>
      </c>
      <c r="B198" s="1" t="n">
        <v>44263</v>
      </c>
      <c r="C198" s="1" t="n">
        <v>45984</v>
      </c>
      <c r="D198" t="inlineStr">
        <is>
          <t>GOTLANDS LÄN</t>
        </is>
      </c>
      <c r="E198" t="inlineStr">
        <is>
          <t>GOTLAND</t>
        </is>
      </c>
      <c r="G198" t="n">
        <v>5.6</v>
      </c>
      <c r="H198" t="n">
        <v>0</v>
      </c>
      <c r="I198" t="n">
        <v>0</v>
      </c>
      <c r="J198" t="n">
        <v>0</v>
      </c>
      <c r="K198" t="n">
        <v>0</v>
      </c>
      <c r="L198" t="n">
        <v>0</v>
      </c>
      <c r="M198" t="n">
        <v>0</v>
      </c>
      <c r="N198" t="n">
        <v>0</v>
      </c>
      <c r="O198" t="n">
        <v>0</v>
      </c>
      <c r="P198" t="n">
        <v>0</v>
      </c>
      <c r="Q198" t="n">
        <v>0</v>
      </c>
      <c r="R198" s="2" t="inlineStr"/>
    </row>
    <row r="199" ht="15" customHeight="1">
      <c r="A199" t="inlineStr">
        <is>
          <t>A 8329-2021</t>
        </is>
      </c>
      <c r="B199" s="1" t="n">
        <v>44244</v>
      </c>
      <c r="C199" s="1" t="n">
        <v>45984</v>
      </c>
      <c r="D199" t="inlineStr">
        <is>
          <t>GOTLANDS LÄN</t>
        </is>
      </c>
      <c r="E199" t="inlineStr">
        <is>
          <t>GOTLAND</t>
        </is>
      </c>
      <c r="F199" t="inlineStr">
        <is>
          <t>Kyrkan</t>
        </is>
      </c>
      <c r="G199" t="n">
        <v>4.5</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45984</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45984</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45984</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45984</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45984</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45984</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45984</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45984</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45984</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45984</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45984</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45984</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45984</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45984</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45984</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45984</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45984</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45984</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45984</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45984</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45984</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45984</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45984</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45984</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45984</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45984</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45984</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45984</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45984</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45984</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45984</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45984</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45984</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62120-2020</t>
        </is>
      </c>
      <c r="B235" s="1" t="n">
        <v>44158</v>
      </c>
      <c r="C235" s="1" t="n">
        <v>45984</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45984</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45984</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45984</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45984</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45984</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45984</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45984</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45984</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4868-2024</t>
        </is>
      </c>
      <c r="B245" s="1" t="n">
        <v>45329</v>
      </c>
      <c r="C245" s="1" t="n">
        <v>45984</v>
      </c>
      <c r="D245" t="inlineStr">
        <is>
          <t>GOTLANDS LÄN</t>
        </is>
      </c>
      <c r="E245" t="inlineStr">
        <is>
          <t>GOTLAND</t>
        </is>
      </c>
      <c r="G245" t="n">
        <v>7.1</v>
      </c>
      <c r="H245" t="n">
        <v>0</v>
      </c>
      <c r="I245" t="n">
        <v>0</v>
      </c>
      <c r="J245" t="n">
        <v>0</v>
      </c>
      <c r="K245" t="n">
        <v>0</v>
      </c>
      <c r="L245" t="n">
        <v>0</v>
      </c>
      <c r="M245" t="n">
        <v>0</v>
      </c>
      <c r="N245" t="n">
        <v>0</v>
      </c>
      <c r="O245" t="n">
        <v>0</v>
      </c>
      <c r="P245" t="n">
        <v>0</v>
      </c>
      <c r="Q245" t="n">
        <v>0</v>
      </c>
      <c r="R245" s="2" t="inlineStr"/>
    </row>
    <row r="246" ht="15" customHeight="1">
      <c r="A246" t="inlineStr">
        <is>
          <t>A 5751-2024</t>
        </is>
      </c>
      <c r="B246" s="1" t="n">
        <v>45335.32702546296</v>
      </c>
      <c r="C246" s="1" t="n">
        <v>45984</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45984</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32330-2024</t>
        </is>
      </c>
      <c r="B248" s="1" t="n">
        <v>45512</v>
      </c>
      <c r="C248" s="1" t="n">
        <v>45984</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45984</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45984</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45984</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45984</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45984</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45984</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57356-2023</t>
        </is>
      </c>
      <c r="B255" s="1" t="n">
        <v>45240</v>
      </c>
      <c r="C255" s="1" t="n">
        <v>45984</v>
      </c>
      <c r="D255" t="inlineStr">
        <is>
          <t>GOTLANDS LÄN</t>
        </is>
      </c>
      <c r="E255" t="inlineStr">
        <is>
          <t>GOTLAND</t>
        </is>
      </c>
      <c r="G255" t="n">
        <v>6.4</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45984</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10656-2024</t>
        </is>
      </c>
      <c r="B257" s="1" t="n">
        <v>45368</v>
      </c>
      <c r="C257" s="1" t="n">
        <v>45984</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28506-2023</t>
        </is>
      </c>
      <c r="B258" s="1" t="n">
        <v>45103</v>
      </c>
      <c r="C258" s="1" t="n">
        <v>45984</v>
      </c>
      <c r="D258" t="inlineStr">
        <is>
          <t>GOTLANDS LÄN</t>
        </is>
      </c>
      <c r="E258" t="inlineStr">
        <is>
          <t>GOTLAND</t>
        </is>
      </c>
      <c r="G258" t="n">
        <v>3.2</v>
      </c>
      <c r="H258" t="n">
        <v>0</v>
      </c>
      <c r="I258" t="n">
        <v>0</v>
      </c>
      <c r="J258" t="n">
        <v>0</v>
      </c>
      <c r="K258" t="n">
        <v>0</v>
      </c>
      <c r="L258" t="n">
        <v>0</v>
      </c>
      <c r="M258" t="n">
        <v>0</v>
      </c>
      <c r="N258" t="n">
        <v>0</v>
      </c>
      <c r="O258" t="n">
        <v>0</v>
      </c>
      <c r="P258" t="n">
        <v>0</v>
      </c>
      <c r="Q258" t="n">
        <v>0</v>
      </c>
      <c r="R258" s="2" t="inlineStr"/>
    </row>
    <row r="259" ht="15" customHeight="1">
      <c r="A259" t="inlineStr">
        <is>
          <t>A 21420-2024</t>
        </is>
      </c>
      <c r="B259" s="1" t="n">
        <v>45441.38293981482</v>
      </c>
      <c r="C259" s="1" t="n">
        <v>45984</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48503-2023</t>
        </is>
      </c>
      <c r="B260" s="1" t="n">
        <v>45207</v>
      </c>
      <c r="C260" s="1" t="n">
        <v>45984</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45984</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65901-2021</t>
        </is>
      </c>
      <c r="B262" s="1" t="n">
        <v>44516</v>
      </c>
      <c r="C262" s="1" t="n">
        <v>45984</v>
      </c>
      <c r="D262" t="inlineStr">
        <is>
          <t>GOTLANDS LÄN</t>
        </is>
      </c>
      <c r="E262" t="inlineStr">
        <is>
          <t>GOTLAND</t>
        </is>
      </c>
      <c r="G262" t="n">
        <v>4.9</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45984</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23473-2025</t>
        </is>
      </c>
      <c r="B264" s="1" t="n">
        <v>45792</v>
      </c>
      <c r="C264" s="1" t="n">
        <v>45984</v>
      </c>
      <c r="D264" t="inlineStr">
        <is>
          <t>GOTLANDS LÄN</t>
        </is>
      </c>
      <c r="E264" t="inlineStr">
        <is>
          <t>GOTLAND</t>
        </is>
      </c>
      <c r="G264" t="n">
        <v>3.6</v>
      </c>
      <c r="H264" t="n">
        <v>0</v>
      </c>
      <c r="I264" t="n">
        <v>0</v>
      </c>
      <c r="J264" t="n">
        <v>0</v>
      </c>
      <c r="K264" t="n">
        <v>0</v>
      </c>
      <c r="L264" t="n">
        <v>0</v>
      </c>
      <c r="M264" t="n">
        <v>0</v>
      </c>
      <c r="N264" t="n">
        <v>0</v>
      </c>
      <c r="O264" t="n">
        <v>0</v>
      </c>
      <c r="P264" t="n">
        <v>0</v>
      </c>
      <c r="Q264" t="n">
        <v>0</v>
      </c>
      <c r="R264" s="2" t="inlineStr"/>
    </row>
    <row r="265" ht="15" customHeight="1">
      <c r="A265" t="inlineStr">
        <is>
          <t>A 44649-2021</t>
        </is>
      </c>
      <c r="B265" s="1" t="n">
        <v>44437</v>
      </c>
      <c r="C265" s="1" t="n">
        <v>45984</v>
      </c>
      <c r="D265" t="inlineStr">
        <is>
          <t>GOTLANDS LÄN</t>
        </is>
      </c>
      <c r="E265" t="inlineStr">
        <is>
          <t>GOTLAND</t>
        </is>
      </c>
      <c r="G265" t="n">
        <v>8.1</v>
      </c>
      <c r="H265" t="n">
        <v>0</v>
      </c>
      <c r="I265" t="n">
        <v>0</v>
      </c>
      <c r="J265" t="n">
        <v>0</v>
      </c>
      <c r="K265" t="n">
        <v>0</v>
      </c>
      <c r="L265" t="n">
        <v>0</v>
      </c>
      <c r="M265" t="n">
        <v>0</v>
      </c>
      <c r="N265" t="n">
        <v>0</v>
      </c>
      <c r="O265" t="n">
        <v>0</v>
      </c>
      <c r="P265" t="n">
        <v>0</v>
      </c>
      <c r="Q265" t="n">
        <v>0</v>
      </c>
      <c r="R265" s="2" t="inlineStr"/>
    </row>
    <row r="266" ht="15" customHeight="1">
      <c r="A266" t="inlineStr">
        <is>
          <t>A 9947-2024</t>
        </is>
      </c>
      <c r="B266" s="1" t="n">
        <v>45363</v>
      </c>
      <c r="C266" s="1" t="n">
        <v>45984</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23856-2025</t>
        </is>
      </c>
      <c r="B267" s="1" t="n">
        <v>45793</v>
      </c>
      <c r="C267" s="1" t="n">
        <v>45984</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45984</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44304-2021</t>
        </is>
      </c>
      <c r="B269" s="1" t="n">
        <v>44434</v>
      </c>
      <c r="C269" s="1" t="n">
        <v>45984</v>
      </c>
      <c r="D269" t="inlineStr">
        <is>
          <t>GOTLANDS LÄN</t>
        </is>
      </c>
      <c r="E269" t="inlineStr">
        <is>
          <t>GOTLAND</t>
        </is>
      </c>
      <c r="G269" t="n">
        <v>5.8</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45984</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45984</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15073-2025</t>
        </is>
      </c>
      <c r="B272" s="1" t="n">
        <v>45743</v>
      </c>
      <c r="C272" s="1" t="n">
        <v>45984</v>
      </c>
      <c r="D272" t="inlineStr">
        <is>
          <t>GOTLANDS LÄN</t>
        </is>
      </c>
      <c r="E272" t="inlineStr">
        <is>
          <t>GOTLAND</t>
        </is>
      </c>
      <c r="G272" t="n">
        <v>12.1</v>
      </c>
      <c r="H272" t="n">
        <v>0</v>
      </c>
      <c r="I272" t="n">
        <v>0</v>
      </c>
      <c r="J272" t="n">
        <v>0</v>
      </c>
      <c r="K272" t="n">
        <v>0</v>
      </c>
      <c r="L272" t="n">
        <v>0</v>
      </c>
      <c r="M272" t="n">
        <v>0</v>
      </c>
      <c r="N272" t="n">
        <v>0</v>
      </c>
      <c r="O272" t="n">
        <v>0</v>
      </c>
      <c r="P272" t="n">
        <v>0</v>
      </c>
      <c r="Q272" t="n">
        <v>0</v>
      </c>
      <c r="R272" s="2" t="inlineStr"/>
    </row>
    <row r="273" ht="15" customHeight="1">
      <c r="A273" t="inlineStr">
        <is>
          <t>A 35142-2025</t>
        </is>
      </c>
      <c r="B273" s="1" t="n">
        <v>45852.65532407408</v>
      </c>
      <c r="C273" s="1" t="n">
        <v>45984</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45418.42966435185</v>
      </c>
      <c r="C274" s="1" t="n">
        <v>45984</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45984</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6749-2025</t>
        </is>
      </c>
      <c r="B276" s="1" t="n">
        <v>45700</v>
      </c>
      <c r="C276" s="1" t="n">
        <v>45984</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23698-2025</t>
        </is>
      </c>
      <c r="B277" s="1" t="n">
        <v>45793</v>
      </c>
      <c r="C277" s="1" t="n">
        <v>45984</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27593-2023</t>
        </is>
      </c>
      <c r="B278" s="1" t="n">
        <v>45097</v>
      </c>
      <c r="C278" s="1" t="n">
        <v>45984</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39819-2025</t>
        </is>
      </c>
      <c r="B279" s="1" t="n">
        <v>45891.53418981482</v>
      </c>
      <c r="C279" s="1" t="n">
        <v>45984</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39814-2025</t>
        </is>
      </c>
      <c r="B280" s="1" t="n">
        <v>45891.52694444444</v>
      </c>
      <c r="C280" s="1" t="n">
        <v>45984</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45984</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45984</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63516-2023</t>
        </is>
      </c>
      <c r="B283" s="1" t="n">
        <v>45274</v>
      </c>
      <c r="C283" s="1" t="n">
        <v>45984</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38649-2025</t>
        </is>
      </c>
      <c r="B284" s="1" t="n">
        <v>45884</v>
      </c>
      <c r="C284" s="1" t="n">
        <v>45984</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39816-2025</t>
        </is>
      </c>
      <c r="B285" s="1" t="n">
        <v>45891</v>
      </c>
      <c r="C285" s="1" t="n">
        <v>45984</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45984</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45984</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45984</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45984</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24001-2021</t>
        </is>
      </c>
      <c r="B290" s="1" t="n">
        <v>44335</v>
      </c>
      <c r="C290" s="1" t="n">
        <v>45984</v>
      </c>
      <c r="D290" t="inlineStr">
        <is>
          <t>GOTLANDS LÄN</t>
        </is>
      </c>
      <c r="E290" t="inlineStr">
        <is>
          <t>GOTLAND</t>
        </is>
      </c>
      <c r="G290" t="n">
        <v>3.4</v>
      </c>
      <c r="H290" t="n">
        <v>0</v>
      </c>
      <c r="I290" t="n">
        <v>0</v>
      </c>
      <c r="J290" t="n">
        <v>0</v>
      </c>
      <c r="K290" t="n">
        <v>0</v>
      </c>
      <c r="L290" t="n">
        <v>0</v>
      </c>
      <c r="M290" t="n">
        <v>0</v>
      </c>
      <c r="N290" t="n">
        <v>0</v>
      </c>
      <c r="O290" t="n">
        <v>0</v>
      </c>
      <c r="P290" t="n">
        <v>0</v>
      </c>
      <c r="Q290" t="n">
        <v>0</v>
      </c>
      <c r="R290" s="2" t="inlineStr"/>
    </row>
    <row r="291" ht="15" customHeight="1">
      <c r="A291" t="inlineStr">
        <is>
          <t>A 5462-2025</t>
        </is>
      </c>
      <c r="B291" s="1" t="n">
        <v>45693.29331018519</v>
      </c>
      <c r="C291" s="1" t="n">
        <v>45984</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39278-2025</t>
        </is>
      </c>
      <c r="B292" s="1" t="n">
        <v>45889</v>
      </c>
      <c r="C292" s="1" t="n">
        <v>45984</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45984</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1681-2023</t>
        </is>
      </c>
      <c r="B294" s="1" t="n">
        <v>44938.39715277778</v>
      </c>
      <c r="C294" s="1" t="n">
        <v>45984</v>
      </c>
      <c r="D294" t="inlineStr">
        <is>
          <t>GOTLANDS LÄN</t>
        </is>
      </c>
      <c r="E294" t="inlineStr">
        <is>
          <t>GOTLAND</t>
        </is>
      </c>
      <c r="G294" t="n">
        <v>2.4</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45804.39543981481</v>
      </c>
      <c r="C295" s="1" t="n">
        <v>45984</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6099-2024</t>
        </is>
      </c>
      <c r="B296" s="1" t="n">
        <v>45337</v>
      </c>
      <c r="C296" s="1" t="n">
        <v>45984</v>
      </c>
      <c r="D296" t="inlineStr">
        <is>
          <t>GOTLANDS LÄN</t>
        </is>
      </c>
      <c r="E296" t="inlineStr">
        <is>
          <t>GOTLAND</t>
        </is>
      </c>
      <c r="G296" t="n">
        <v>12.6</v>
      </c>
      <c r="H296" t="n">
        <v>0</v>
      </c>
      <c r="I296" t="n">
        <v>0</v>
      </c>
      <c r="J296" t="n">
        <v>0</v>
      </c>
      <c r="K296" t="n">
        <v>0</v>
      </c>
      <c r="L296" t="n">
        <v>0</v>
      </c>
      <c r="M296" t="n">
        <v>0</v>
      </c>
      <c r="N296" t="n">
        <v>0</v>
      </c>
      <c r="O296" t="n">
        <v>0</v>
      </c>
      <c r="P296" t="n">
        <v>0</v>
      </c>
      <c r="Q296" t="n">
        <v>0</v>
      </c>
      <c r="R296" s="2" t="inlineStr"/>
    </row>
    <row r="297" ht="15" customHeight="1">
      <c r="A297" t="inlineStr">
        <is>
          <t>A 50421-2025</t>
        </is>
      </c>
      <c r="B297" s="1" t="n">
        <v>45944.66049768519</v>
      </c>
      <c r="C297" s="1" t="n">
        <v>45984</v>
      </c>
      <c r="D297" t="inlineStr">
        <is>
          <t>GOTLANDS LÄN</t>
        </is>
      </c>
      <c r="E297" t="inlineStr">
        <is>
          <t>GOTLAND</t>
        </is>
      </c>
      <c r="G297" t="n">
        <v>3.9</v>
      </c>
      <c r="H297" t="n">
        <v>0</v>
      </c>
      <c r="I297" t="n">
        <v>0</v>
      </c>
      <c r="J297" t="n">
        <v>0</v>
      </c>
      <c r="K297" t="n">
        <v>0</v>
      </c>
      <c r="L297" t="n">
        <v>0</v>
      </c>
      <c r="M297" t="n">
        <v>0</v>
      </c>
      <c r="N297" t="n">
        <v>0</v>
      </c>
      <c r="O297" t="n">
        <v>0</v>
      </c>
      <c r="P297" t="n">
        <v>0</v>
      </c>
      <c r="Q297" t="n">
        <v>0</v>
      </c>
      <c r="R297" s="2" t="inlineStr"/>
    </row>
    <row r="298" ht="15" customHeight="1">
      <c r="A298" t="inlineStr">
        <is>
          <t>A 41435-2025</t>
        </is>
      </c>
      <c r="B298" s="1" t="n">
        <v>45901.39974537037</v>
      </c>
      <c r="C298" s="1" t="n">
        <v>45984</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1273-2023</t>
        </is>
      </c>
      <c r="B299" s="1" t="n">
        <v>44936</v>
      </c>
      <c r="C299" s="1" t="n">
        <v>45984</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58780-2024</t>
        </is>
      </c>
      <c r="B300" s="1" t="n">
        <v>45635.84113425926</v>
      </c>
      <c r="C300" s="1" t="n">
        <v>45984</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50431-2025</t>
        </is>
      </c>
      <c r="B301" s="1" t="n">
        <v>45944.68453703704</v>
      </c>
      <c r="C301" s="1" t="n">
        <v>45984</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45692-2023</t>
        </is>
      </c>
      <c r="B302" s="1" t="n">
        <v>45195</v>
      </c>
      <c r="C302" s="1" t="n">
        <v>45984</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45984</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33876-2024</t>
        </is>
      </c>
      <c r="B304" s="1" t="n">
        <v>45521.87988425926</v>
      </c>
      <c r="C304" s="1" t="n">
        <v>45984</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26457-2025</t>
        </is>
      </c>
      <c r="B305" s="1" t="n">
        <v>45807.42773148148</v>
      </c>
      <c r="C305" s="1" t="n">
        <v>45984</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26467-2025</t>
        </is>
      </c>
      <c r="B306" s="1" t="n">
        <v>45807.44640046296</v>
      </c>
      <c r="C306" s="1" t="n">
        <v>45984</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28285-2024</t>
        </is>
      </c>
      <c r="B307" s="1" t="n">
        <v>45477</v>
      </c>
      <c r="C307" s="1" t="n">
        <v>45984</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61100-2022</t>
        </is>
      </c>
      <c r="B308" s="1" t="n">
        <v>44915</v>
      </c>
      <c r="C308" s="1" t="n">
        <v>45984</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26465-2025</t>
        </is>
      </c>
      <c r="B309" s="1" t="n">
        <v>45807.44377314814</v>
      </c>
      <c r="C309" s="1" t="n">
        <v>45984</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50928-2025</t>
        </is>
      </c>
      <c r="B310" s="1" t="n">
        <v>45946.67896990741</v>
      </c>
      <c r="C310" s="1" t="n">
        <v>45984</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61682-2024</t>
        </is>
      </c>
      <c r="B311" s="1" t="n">
        <v>45647.48824074074</v>
      </c>
      <c r="C311" s="1" t="n">
        <v>45984</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26660-2025</t>
        </is>
      </c>
      <c r="B312" s="1" t="n">
        <v>45810.39737268518</v>
      </c>
      <c r="C312" s="1" t="n">
        <v>45984</v>
      </c>
      <c r="D312" t="inlineStr">
        <is>
          <t>GOTLANDS LÄN</t>
        </is>
      </c>
      <c r="E312" t="inlineStr">
        <is>
          <t>GOTLAND</t>
        </is>
      </c>
      <c r="G312" t="n">
        <v>1.8</v>
      </c>
      <c r="H312" t="n">
        <v>0</v>
      </c>
      <c r="I312" t="n">
        <v>0</v>
      </c>
      <c r="J312" t="n">
        <v>0</v>
      </c>
      <c r="K312" t="n">
        <v>0</v>
      </c>
      <c r="L312" t="n">
        <v>0</v>
      </c>
      <c r="M312" t="n">
        <v>0</v>
      </c>
      <c r="N312" t="n">
        <v>0</v>
      </c>
      <c r="O312" t="n">
        <v>0</v>
      </c>
      <c r="P312" t="n">
        <v>0</v>
      </c>
      <c r="Q312" t="n">
        <v>0</v>
      </c>
      <c r="R312" s="2" t="inlineStr"/>
    </row>
    <row r="313" ht="15" customHeight="1">
      <c r="A313" t="inlineStr">
        <is>
          <t>A 27371-2025</t>
        </is>
      </c>
      <c r="B313" s="1" t="n">
        <v>45812</v>
      </c>
      <c r="C313" s="1" t="n">
        <v>45984</v>
      </c>
      <c r="D313" t="inlineStr">
        <is>
          <t>GOTLANDS LÄN</t>
        </is>
      </c>
      <c r="E313" t="inlineStr">
        <is>
          <t>GOTLAND</t>
        </is>
      </c>
      <c r="G313" t="n">
        <v>8</v>
      </c>
      <c r="H313" t="n">
        <v>0</v>
      </c>
      <c r="I313" t="n">
        <v>0</v>
      </c>
      <c r="J313" t="n">
        <v>0</v>
      </c>
      <c r="K313" t="n">
        <v>0</v>
      </c>
      <c r="L313" t="n">
        <v>0</v>
      </c>
      <c r="M313" t="n">
        <v>0</v>
      </c>
      <c r="N313" t="n">
        <v>0</v>
      </c>
      <c r="O313" t="n">
        <v>0</v>
      </c>
      <c r="P313" t="n">
        <v>0</v>
      </c>
      <c r="Q313" t="n">
        <v>0</v>
      </c>
      <c r="R313" s="2" t="inlineStr"/>
    </row>
    <row r="314" ht="15" customHeight="1">
      <c r="A314" t="inlineStr">
        <is>
          <t>A 27355-2025</t>
        </is>
      </c>
      <c r="B314" s="1" t="n">
        <v>45812</v>
      </c>
      <c r="C314" s="1" t="n">
        <v>45984</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51262-2025</t>
        </is>
      </c>
      <c r="B315" s="1" t="n">
        <v>45949.49872685185</v>
      </c>
      <c r="C315" s="1" t="n">
        <v>45984</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6739-2025</t>
        </is>
      </c>
      <c r="B316" s="1" t="n">
        <v>45700</v>
      </c>
      <c r="C316" s="1" t="n">
        <v>45984</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7850-2025</t>
        </is>
      </c>
      <c r="B317" s="1" t="n">
        <v>45706</v>
      </c>
      <c r="C317" s="1" t="n">
        <v>45984</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45984</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21792-2024</t>
        </is>
      </c>
      <c r="B319" s="1" t="n">
        <v>45442.64326388889</v>
      </c>
      <c r="C319" s="1" t="n">
        <v>45984</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8444-2025</t>
        </is>
      </c>
      <c r="B320" s="1" t="n">
        <v>45709</v>
      </c>
      <c r="C320" s="1" t="n">
        <v>45984</v>
      </c>
      <c r="D320" t="inlineStr">
        <is>
          <t>GOTLANDS LÄN</t>
        </is>
      </c>
      <c r="E320" t="inlineStr">
        <is>
          <t>GOTLAND</t>
        </is>
      </c>
      <c r="G320" t="n">
        <v>5.2</v>
      </c>
      <c r="H320" t="n">
        <v>0</v>
      </c>
      <c r="I320" t="n">
        <v>0</v>
      </c>
      <c r="J320" t="n">
        <v>0</v>
      </c>
      <c r="K320" t="n">
        <v>0</v>
      </c>
      <c r="L320" t="n">
        <v>0</v>
      </c>
      <c r="M320" t="n">
        <v>0</v>
      </c>
      <c r="N320" t="n">
        <v>0</v>
      </c>
      <c r="O320" t="n">
        <v>0</v>
      </c>
      <c r="P320" t="n">
        <v>0</v>
      </c>
      <c r="Q320" t="n">
        <v>0</v>
      </c>
      <c r="R320" s="2" t="inlineStr"/>
    </row>
    <row r="321" ht="15" customHeight="1">
      <c r="A321" t="inlineStr">
        <is>
          <t>A 42608-2025</t>
        </is>
      </c>
      <c r="B321" s="1" t="n">
        <v>45905</v>
      </c>
      <c r="C321" s="1" t="n">
        <v>45984</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17688-2024</t>
        </is>
      </c>
      <c r="B322" s="1" t="n">
        <v>45418.43575231481</v>
      </c>
      <c r="C322" s="1" t="n">
        <v>45984</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7837-2024</t>
        </is>
      </c>
      <c r="B323" s="1" t="n">
        <v>45349.83787037037</v>
      </c>
      <c r="C323" s="1" t="n">
        <v>45984</v>
      </c>
      <c r="D323" t="inlineStr">
        <is>
          <t>GOTLANDS LÄN</t>
        </is>
      </c>
      <c r="E323" t="inlineStr">
        <is>
          <t>GOTLAND</t>
        </is>
      </c>
      <c r="G323" t="n">
        <v>5</v>
      </c>
      <c r="H323" t="n">
        <v>0</v>
      </c>
      <c r="I323" t="n">
        <v>0</v>
      </c>
      <c r="J323" t="n">
        <v>0</v>
      </c>
      <c r="K323" t="n">
        <v>0</v>
      </c>
      <c r="L323" t="n">
        <v>0</v>
      </c>
      <c r="M323" t="n">
        <v>0</v>
      </c>
      <c r="N323" t="n">
        <v>0</v>
      </c>
      <c r="O323" t="n">
        <v>0</v>
      </c>
      <c r="P323" t="n">
        <v>0</v>
      </c>
      <c r="Q323" t="n">
        <v>0</v>
      </c>
      <c r="R323" s="2" t="inlineStr"/>
    </row>
    <row r="324" ht="15" customHeight="1">
      <c r="A324" t="inlineStr">
        <is>
          <t>A 19905-2025</t>
        </is>
      </c>
      <c r="B324" s="1" t="n">
        <v>45771</v>
      </c>
      <c r="C324" s="1" t="n">
        <v>45984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29196-2025</t>
        </is>
      </c>
      <c r="B325" s="1" t="n">
        <v>45822</v>
      </c>
      <c r="C325" s="1" t="n">
        <v>45984</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45984</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45984</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29207-2025</t>
        </is>
      </c>
      <c r="B328" s="1" t="n">
        <v>45823</v>
      </c>
      <c r="C328" s="1" t="n">
        <v>45984</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52637-2025</t>
        </is>
      </c>
      <c r="B329" s="1" t="n">
        <v>45954.75099537037</v>
      </c>
      <c r="C329" s="1" t="n">
        <v>45984</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35512-2023</t>
        </is>
      </c>
      <c r="B330" s="1" t="n">
        <v>45147.25623842593</v>
      </c>
      <c r="C330" s="1" t="n">
        <v>45984</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5905-2024</t>
        </is>
      </c>
      <c r="B331" s="1" t="n">
        <v>45335.88993055555</v>
      </c>
      <c r="C331" s="1" t="n">
        <v>45984</v>
      </c>
      <c r="D331" t="inlineStr">
        <is>
          <t>GOTLANDS LÄN</t>
        </is>
      </c>
      <c r="E331" t="inlineStr">
        <is>
          <t>GOTLAND</t>
        </is>
      </c>
      <c r="G331" t="n">
        <v>3</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45984</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52249-2025</t>
        </is>
      </c>
      <c r="B333" s="1" t="n">
        <v>45953.48637731482</v>
      </c>
      <c r="C333" s="1" t="n">
        <v>45984</v>
      </c>
      <c r="D333" t="inlineStr">
        <is>
          <t>GOTLANDS LÄN</t>
        </is>
      </c>
      <c r="E333" t="inlineStr">
        <is>
          <t>GOTLAND</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58160-2024</t>
        </is>
      </c>
      <c r="B334" s="1" t="n">
        <v>45632.44927083333</v>
      </c>
      <c r="C334" s="1" t="n">
        <v>45984</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1291-2023</t>
        </is>
      </c>
      <c r="B335" s="1" t="n">
        <v>44936.47561342592</v>
      </c>
      <c r="C335" s="1" t="n">
        <v>45984</v>
      </c>
      <c r="D335" t="inlineStr">
        <is>
          <t>GOTLANDS LÄN</t>
        </is>
      </c>
      <c r="E335" t="inlineStr">
        <is>
          <t>GOTLAND</t>
        </is>
      </c>
      <c r="G335" t="n">
        <v>7.4</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45984</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57652-2023</t>
        </is>
      </c>
      <c r="B337" s="1" t="n">
        <v>45246</v>
      </c>
      <c r="C337" s="1" t="n">
        <v>45984</v>
      </c>
      <c r="D337" t="inlineStr">
        <is>
          <t>GOTLANDS LÄN</t>
        </is>
      </c>
      <c r="E337" t="inlineStr">
        <is>
          <t>GOTLAND</t>
        </is>
      </c>
      <c r="G337" t="n">
        <v>7.2</v>
      </c>
      <c r="H337" t="n">
        <v>0</v>
      </c>
      <c r="I337" t="n">
        <v>0</v>
      </c>
      <c r="J337" t="n">
        <v>0</v>
      </c>
      <c r="K337" t="n">
        <v>0</v>
      </c>
      <c r="L337" t="n">
        <v>0</v>
      </c>
      <c r="M337" t="n">
        <v>0</v>
      </c>
      <c r="N337" t="n">
        <v>0</v>
      </c>
      <c r="O337" t="n">
        <v>0</v>
      </c>
      <c r="P337" t="n">
        <v>0</v>
      </c>
      <c r="Q337" t="n">
        <v>0</v>
      </c>
      <c r="R337" s="2" t="inlineStr"/>
    </row>
    <row r="338" ht="15" customHeight="1">
      <c r="A338" t="inlineStr">
        <is>
          <t>A 49315-2024</t>
        </is>
      </c>
      <c r="B338" s="1" t="n">
        <v>45595</v>
      </c>
      <c r="C338" s="1" t="n">
        <v>45984</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45984</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45984</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45106-2024</t>
        </is>
      </c>
      <c r="B341" s="1" t="n">
        <v>45575</v>
      </c>
      <c r="C341" s="1" t="n">
        <v>45984</v>
      </c>
      <c r="D341" t="inlineStr">
        <is>
          <t>GOTLANDS LÄN</t>
        </is>
      </c>
      <c r="E341" t="inlineStr">
        <is>
          <t>GOTLAND</t>
        </is>
      </c>
      <c r="G341" t="n">
        <v>10</v>
      </c>
      <c r="H341" t="n">
        <v>0</v>
      </c>
      <c r="I341" t="n">
        <v>0</v>
      </c>
      <c r="J341" t="n">
        <v>0</v>
      </c>
      <c r="K341" t="n">
        <v>0</v>
      </c>
      <c r="L341" t="n">
        <v>0</v>
      </c>
      <c r="M341" t="n">
        <v>0</v>
      </c>
      <c r="N341" t="n">
        <v>0</v>
      </c>
      <c r="O341" t="n">
        <v>0</v>
      </c>
      <c r="P341" t="n">
        <v>0</v>
      </c>
      <c r="Q341" t="n">
        <v>0</v>
      </c>
      <c r="R341" s="2" t="inlineStr"/>
    </row>
    <row r="342" ht="15" customHeight="1">
      <c r="A342" t="inlineStr">
        <is>
          <t>A 45112-2024</t>
        </is>
      </c>
      <c r="B342" s="1" t="n">
        <v>45575</v>
      </c>
      <c r="C342" s="1" t="n">
        <v>45984</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43951-2025</t>
        </is>
      </c>
      <c r="B343" s="1" t="n">
        <v>45915.38119212963</v>
      </c>
      <c r="C343" s="1" t="n">
        <v>45984</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2676-2023</t>
        </is>
      </c>
      <c r="B344" s="1" t="n">
        <v>44944</v>
      </c>
      <c r="C344" s="1" t="n">
        <v>45984</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45984</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3150-2025</t>
        </is>
      </c>
      <c r="B346" s="1" t="n">
        <v>45679.28974537037</v>
      </c>
      <c r="C346" s="1" t="n">
        <v>45984</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8484-2025</t>
        </is>
      </c>
      <c r="B347" s="1" t="n">
        <v>45709</v>
      </c>
      <c r="C347" s="1" t="n">
        <v>45984</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7635-2025</t>
        </is>
      </c>
      <c r="B348" s="1" t="n">
        <v>45705</v>
      </c>
      <c r="C348" s="1" t="n">
        <v>45984</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45984</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45984</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53561-2025</t>
        </is>
      </c>
      <c r="B351" s="1" t="n">
        <v>45960.4059375</v>
      </c>
      <c r="C351" s="1" t="n">
        <v>45984</v>
      </c>
      <c r="D351" t="inlineStr">
        <is>
          <t>GOTLANDS LÄN</t>
        </is>
      </c>
      <c r="E351" t="inlineStr">
        <is>
          <t>GOTLAND</t>
        </is>
      </c>
      <c r="F351" t="inlineStr">
        <is>
          <t>Övriga Aktiebolag</t>
        </is>
      </c>
      <c r="G351" t="n">
        <v>2.4</v>
      </c>
      <c r="H351" t="n">
        <v>0</v>
      </c>
      <c r="I351" t="n">
        <v>0</v>
      </c>
      <c r="J351" t="n">
        <v>0</v>
      </c>
      <c r="K351" t="n">
        <v>0</v>
      </c>
      <c r="L351" t="n">
        <v>0</v>
      </c>
      <c r="M351" t="n">
        <v>0</v>
      </c>
      <c r="N351" t="n">
        <v>0</v>
      </c>
      <c r="O351" t="n">
        <v>0</v>
      </c>
      <c r="P351" t="n">
        <v>0</v>
      </c>
      <c r="Q351" t="n">
        <v>0</v>
      </c>
      <c r="R351" s="2" t="inlineStr"/>
    </row>
    <row r="352" ht="15" customHeight="1">
      <c r="A352" t="inlineStr">
        <is>
          <t>A 53569-2025</t>
        </is>
      </c>
      <c r="B352" s="1" t="n">
        <v>45960.41155092593</v>
      </c>
      <c r="C352" s="1" t="n">
        <v>45984</v>
      </c>
      <c r="D352" t="inlineStr">
        <is>
          <t>GOTLANDS LÄN</t>
        </is>
      </c>
      <c r="E352" t="inlineStr">
        <is>
          <t>GOTLAND</t>
        </is>
      </c>
      <c r="F352" t="inlineStr">
        <is>
          <t>Övriga Aktiebolag</t>
        </is>
      </c>
      <c r="G352" t="n">
        <v>11.3</v>
      </c>
      <c r="H352" t="n">
        <v>0</v>
      </c>
      <c r="I352" t="n">
        <v>0</v>
      </c>
      <c r="J352" t="n">
        <v>0</v>
      </c>
      <c r="K352" t="n">
        <v>0</v>
      </c>
      <c r="L352" t="n">
        <v>0</v>
      </c>
      <c r="M352" t="n">
        <v>0</v>
      </c>
      <c r="N352" t="n">
        <v>0</v>
      </c>
      <c r="O352" t="n">
        <v>0</v>
      </c>
      <c r="P352" t="n">
        <v>0</v>
      </c>
      <c r="Q352" t="n">
        <v>0</v>
      </c>
      <c r="R352" s="2" t="inlineStr"/>
    </row>
    <row r="353" ht="15" customHeight="1">
      <c r="A353" t="inlineStr">
        <is>
          <t>A 53577-2025</t>
        </is>
      </c>
      <c r="B353" s="1" t="n">
        <v>45960.42224537037</v>
      </c>
      <c r="C353" s="1" t="n">
        <v>45984</v>
      </c>
      <c r="D353" t="inlineStr">
        <is>
          <t>GOTLANDS LÄN</t>
        </is>
      </c>
      <c r="E353" t="inlineStr">
        <is>
          <t>GOTLAND</t>
        </is>
      </c>
      <c r="F353" t="inlineStr">
        <is>
          <t>Övriga Aktiebolag</t>
        </is>
      </c>
      <c r="G353" t="n">
        <v>3.3</v>
      </c>
      <c r="H353" t="n">
        <v>0</v>
      </c>
      <c r="I353" t="n">
        <v>0</v>
      </c>
      <c r="J353" t="n">
        <v>0</v>
      </c>
      <c r="K353" t="n">
        <v>0</v>
      </c>
      <c r="L353" t="n">
        <v>0</v>
      </c>
      <c r="M353" t="n">
        <v>0</v>
      </c>
      <c r="N353" t="n">
        <v>0</v>
      </c>
      <c r="O353" t="n">
        <v>0</v>
      </c>
      <c r="P353" t="n">
        <v>0</v>
      </c>
      <c r="Q353" t="n">
        <v>0</v>
      </c>
      <c r="R353" s="2" t="inlineStr"/>
    </row>
    <row r="354" ht="15" customHeight="1">
      <c r="A354" t="inlineStr">
        <is>
          <t>A 53587-2025</t>
        </is>
      </c>
      <c r="B354" s="1" t="n">
        <v>45960.43681712963</v>
      </c>
      <c r="C354" s="1" t="n">
        <v>45984</v>
      </c>
      <c r="D354" t="inlineStr">
        <is>
          <t>GOTLANDS LÄN</t>
        </is>
      </c>
      <c r="E354" t="inlineStr">
        <is>
          <t>GOTLAND</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32379-2025</t>
        </is>
      </c>
      <c r="B355" s="1" t="n">
        <v>45837</v>
      </c>
      <c r="C355" s="1" t="n">
        <v>45984</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20356-2022</t>
        </is>
      </c>
      <c r="B356" s="1" t="n">
        <v>44699</v>
      </c>
      <c r="C356" s="1" t="n">
        <v>45984</v>
      </c>
      <c r="D356" t="inlineStr">
        <is>
          <t>GOTLANDS LÄN</t>
        </is>
      </c>
      <c r="E356" t="inlineStr">
        <is>
          <t>GOTLAND</t>
        </is>
      </c>
      <c r="F356" t="inlineStr">
        <is>
          <t>Övriga Aktiebolag</t>
        </is>
      </c>
      <c r="G356" t="n">
        <v>4.4</v>
      </c>
      <c r="H356" t="n">
        <v>0</v>
      </c>
      <c r="I356" t="n">
        <v>0</v>
      </c>
      <c r="J356" t="n">
        <v>0</v>
      </c>
      <c r="K356" t="n">
        <v>0</v>
      </c>
      <c r="L356" t="n">
        <v>0</v>
      </c>
      <c r="M356" t="n">
        <v>0</v>
      </c>
      <c r="N356" t="n">
        <v>0</v>
      </c>
      <c r="O356" t="n">
        <v>0</v>
      </c>
      <c r="P356" t="n">
        <v>0</v>
      </c>
      <c r="Q356" t="n">
        <v>0</v>
      </c>
      <c r="R356" s="2" t="inlineStr"/>
    </row>
    <row r="357" ht="15" customHeight="1">
      <c r="A357" t="inlineStr">
        <is>
          <t>A 48734-2022</t>
        </is>
      </c>
      <c r="B357" s="1" t="n">
        <v>44855</v>
      </c>
      <c r="C357" s="1" t="n">
        <v>45984</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14141-2024</t>
        </is>
      </c>
      <c r="B358" s="1" t="n">
        <v>45392.85193287037</v>
      </c>
      <c r="C358" s="1" t="n">
        <v>45984</v>
      </c>
      <c r="D358" t="inlineStr">
        <is>
          <t>GOTLANDS LÄN</t>
        </is>
      </c>
      <c r="E358" t="inlineStr">
        <is>
          <t>GOTLAND</t>
        </is>
      </c>
      <c r="G358" t="n">
        <v>5.3</v>
      </c>
      <c r="H358" t="n">
        <v>0</v>
      </c>
      <c r="I358" t="n">
        <v>0</v>
      </c>
      <c r="J358" t="n">
        <v>0</v>
      </c>
      <c r="K358" t="n">
        <v>0</v>
      </c>
      <c r="L358" t="n">
        <v>0</v>
      </c>
      <c r="M358" t="n">
        <v>0</v>
      </c>
      <c r="N358" t="n">
        <v>0</v>
      </c>
      <c r="O358" t="n">
        <v>0</v>
      </c>
      <c r="P358" t="n">
        <v>0</v>
      </c>
      <c r="Q358" t="n">
        <v>0</v>
      </c>
      <c r="R358" s="2" t="inlineStr"/>
    </row>
    <row r="359" ht="15" customHeight="1">
      <c r="A359" t="inlineStr">
        <is>
          <t>A 29809-2022</t>
        </is>
      </c>
      <c r="B359" s="1" t="n">
        <v>44755.8713425926</v>
      </c>
      <c r="C359" s="1" t="n">
        <v>45984</v>
      </c>
      <c r="D359" t="inlineStr">
        <is>
          <t>GOTLANDS LÄN</t>
        </is>
      </c>
      <c r="E359" t="inlineStr">
        <is>
          <t>GOTLAND</t>
        </is>
      </c>
      <c r="G359" t="n">
        <v>11.5</v>
      </c>
      <c r="H359" t="n">
        <v>0</v>
      </c>
      <c r="I359" t="n">
        <v>0</v>
      </c>
      <c r="J359" t="n">
        <v>0</v>
      </c>
      <c r="K359" t="n">
        <v>0</v>
      </c>
      <c r="L359" t="n">
        <v>0</v>
      </c>
      <c r="M359" t="n">
        <v>0</v>
      </c>
      <c r="N359" t="n">
        <v>0</v>
      </c>
      <c r="O359" t="n">
        <v>0</v>
      </c>
      <c r="P359" t="n">
        <v>0</v>
      </c>
      <c r="Q359" t="n">
        <v>0</v>
      </c>
      <c r="R359" s="2" t="inlineStr"/>
    </row>
    <row r="360" ht="15" customHeight="1">
      <c r="A360" t="inlineStr">
        <is>
          <t>A 32467-2025</t>
        </is>
      </c>
      <c r="B360" s="1" t="n">
        <v>45838.42111111111</v>
      </c>
      <c r="C360" s="1" t="n">
        <v>45984</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16109-2025</t>
        </is>
      </c>
      <c r="B361" s="1" t="n">
        <v>45750</v>
      </c>
      <c r="C361" s="1" t="n">
        <v>45984</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33007-2025</t>
        </is>
      </c>
      <c r="B362" s="1" t="n">
        <v>45840</v>
      </c>
      <c r="C362" s="1" t="n">
        <v>45984</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45984</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30815-2023</t>
        </is>
      </c>
      <c r="B364" s="1" t="n">
        <v>45112</v>
      </c>
      <c r="C364" s="1" t="n">
        <v>45984</v>
      </c>
      <c r="D364" t="inlineStr">
        <is>
          <t>GOTLANDS LÄN</t>
        </is>
      </c>
      <c r="E364" t="inlineStr">
        <is>
          <t>GOTLAND</t>
        </is>
      </c>
      <c r="G364" t="n">
        <v>6</v>
      </c>
      <c r="H364" t="n">
        <v>0</v>
      </c>
      <c r="I364" t="n">
        <v>0</v>
      </c>
      <c r="J364" t="n">
        <v>0</v>
      </c>
      <c r="K364" t="n">
        <v>0</v>
      </c>
      <c r="L364" t="n">
        <v>0</v>
      </c>
      <c r="M364" t="n">
        <v>0</v>
      </c>
      <c r="N364" t="n">
        <v>0</v>
      </c>
      <c r="O364" t="n">
        <v>0</v>
      </c>
      <c r="P364" t="n">
        <v>0</v>
      </c>
      <c r="Q364" t="n">
        <v>0</v>
      </c>
      <c r="R364" s="2" t="inlineStr"/>
    </row>
    <row r="365" ht="15" customHeight="1">
      <c r="A365" t="inlineStr">
        <is>
          <t>A 7034-2023</t>
        </is>
      </c>
      <c r="B365" s="1" t="n">
        <v>44968.32108796296</v>
      </c>
      <c r="C365" s="1" t="n">
        <v>45984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7042-2023</t>
        </is>
      </c>
      <c r="B366" s="1" t="n">
        <v>44968</v>
      </c>
      <c r="C366" s="1" t="n">
        <v>45984</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23516-2023</t>
        </is>
      </c>
      <c r="B367" s="1" t="n">
        <v>45076.93391203704</v>
      </c>
      <c r="C367" s="1" t="n">
        <v>45984</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54584-2025</t>
        </is>
      </c>
      <c r="B368" s="1" t="n">
        <v>45965.71788194445</v>
      </c>
      <c r="C368" s="1" t="n">
        <v>45984</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64660-2023</t>
        </is>
      </c>
      <c r="B369" s="1" t="n">
        <v>45281.60122685185</v>
      </c>
      <c r="C369" s="1" t="n">
        <v>45984</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63763-2023</t>
        </is>
      </c>
      <c r="B370" s="1" t="n">
        <v>45278.33944444444</v>
      </c>
      <c r="C370" s="1" t="n">
        <v>45984</v>
      </c>
      <c r="D370" t="inlineStr">
        <is>
          <t>GOTLANDS LÄN</t>
        </is>
      </c>
      <c r="E370" t="inlineStr">
        <is>
          <t>GOTLAND</t>
        </is>
      </c>
      <c r="G370" t="n">
        <v>0.5</v>
      </c>
      <c r="H370" t="n">
        <v>0</v>
      </c>
      <c r="I370" t="n">
        <v>0</v>
      </c>
      <c r="J370" t="n">
        <v>0</v>
      </c>
      <c r="K370" t="n">
        <v>0</v>
      </c>
      <c r="L370" t="n">
        <v>0</v>
      </c>
      <c r="M370" t="n">
        <v>0</v>
      </c>
      <c r="N370" t="n">
        <v>0</v>
      </c>
      <c r="O370" t="n">
        <v>0</v>
      </c>
      <c r="P370" t="n">
        <v>0</v>
      </c>
      <c r="Q370" t="n">
        <v>0</v>
      </c>
      <c r="R370" s="2" t="inlineStr"/>
    </row>
    <row r="371" ht="15" customHeight="1">
      <c r="A371" t="inlineStr">
        <is>
          <t>A 15413-2025</t>
        </is>
      </c>
      <c r="B371" s="1" t="n">
        <v>45747.451875</v>
      </c>
      <c r="C371" s="1" t="n">
        <v>45984</v>
      </c>
      <c r="D371" t="inlineStr">
        <is>
          <t>GOTLANDS LÄN</t>
        </is>
      </c>
      <c r="E371" t="inlineStr">
        <is>
          <t>GOTLAND</t>
        </is>
      </c>
      <c r="G371" t="n">
        <v>0.6</v>
      </c>
      <c r="H371" t="n">
        <v>0</v>
      </c>
      <c r="I371" t="n">
        <v>0</v>
      </c>
      <c r="J371" t="n">
        <v>0</v>
      </c>
      <c r="K371" t="n">
        <v>0</v>
      </c>
      <c r="L371" t="n">
        <v>0</v>
      </c>
      <c r="M371" t="n">
        <v>0</v>
      </c>
      <c r="N371" t="n">
        <v>0</v>
      </c>
      <c r="O371" t="n">
        <v>0</v>
      </c>
      <c r="P371" t="n">
        <v>0</v>
      </c>
      <c r="Q371" t="n">
        <v>0</v>
      </c>
      <c r="R371" s="2" t="inlineStr"/>
    </row>
    <row r="372" ht="15" customHeight="1">
      <c r="A372" t="inlineStr">
        <is>
          <t>A 63229-2021</t>
        </is>
      </c>
      <c r="B372" s="1" t="n">
        <v>44508.34518518519</v>
      </c>
      <c r="C372" s="1" t="n">
        <v>45984</v>
      </c>
      <c r="D372" t="inlineStr">
        <is>
          <t>GOTLANDS LÄN</t>
        </is>
      </c>
      <c r="E372" t="inlineStr">
        <is>
          <t>GOTLAND</t>
        </is>
      </c>
      <c r="F372" t="inlineStr">
        <is>
          <t>Kyrkan</t>
        </is>
      </c>
      <c r="G372" t="n">
        <v>3.8</v>
      </c>
      <c r="H372" t="n">
        <v>0</v>
      </c>
      <c r="I372" t="n">
        <v>0</v>
      </c>
      <c r="J372" t="n">
        <v>0</v>
      </c>
      <c r="K372" t="n">
        <v>0</v>
      </c>
      <c r="L372" t="n">
        <v>0</v>
      </c>
      <c r="M372" t="n">
        <v>0</v>
      </c>
      <c r="N372" t="n">
        <v>0</v>
      </c>
      <c r="O372" t="n">
        <v>0</v>
      </c>
      <c r="P372" t="n">
        <v>0</v>
      </c>
      <c r="Q372" t="n">
        <v>0</v>
      </c>
      <c r="R372" s="2" t="inlineStr"/>
    </row>
    <row r="373" ht="15" customHeight="1">
      <c r="A373" t="inlineStr">
        <is>
          <t>A 46375-2024</t>
        </is>
      </c>
      <c r="B373" s="1" t="n">
        <v>45582</v>
      </c>
      <c r="C373" s="1" t="n">
        <v>45984</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45984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35096-2025</t>
        </is>
      </c>
      <c r="B375" s="1" t="n">
        <v>45852.54356481481</v>
      </c>
      <c r="C375" s="1" t="n">
        <v>45984</v>
      </c>
      <c r="D375" t="inlineStr">
        <is>
          <t>GOTLANDS LÄN</t>
        </is>
      </c>
      <c r="E375" t="inlineStr">
        <is>
          <t>GOTLAND</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30104-2025</t>
        </is>
      </c>
      <c r="B376" s="1" t="n">
        <v>45826.68806712963</v>
      </c>
      <c r="C376" s="1" t="n">
        <v>45984</v>
      </c>
      <c r="D376" t="inlineStr">
        <is>
          <t>GOTLANDS LÄN</t>
        </is>
      </c>
      <c r="E376" t="inlineStr">
        <is>
          <t>GOTLAND</t>
        </is>
      </c>
      <c r="G376" t="n">
        <v>15.4</v>
      </c>
      <c r="H376" t="n">
        <v>0</v>
      </c>
      <c r="I376" t="n">
        <v>0</v>
      </c>
      <c r="J376" t="n">
        <v>0</v>
      </c>
      <c r="K376" t="n">
        <v>0</v>
      </c>
      <c r="L376" t="n">
        <v>0</v>
      </c>
      <c r="M376" t="n">
        <v>0</v>
      </c>
      <c r="N376" t="n">
        <v>0</v>
      </c>
      <c r="O376" t="n">
        <v>0</v>
      </c>
      <c r="P376" t="n">
        <v>0</v>
      </c>
      <c r="Q376" t="n">
        <v>0</v>
      </c>
      <c r="R376" s="2" t="inlineStr"/>
    </row>
    <row r="377" ht="15" customHeight="1">
      <c r="A377" t="inlineStr">
        <is>
          <t>A 35290-2025</t>
        </is>
      </c>
      <c r="B377" s="1" t="n">
        <v>45854.38502314815</v>
      </c>
      <c r="C377" s="1" t="n">
        <v>45984</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45984</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45984</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26391-2025</t>
        </is>
      </c>
      <c r="B380" s="1" t="n">
        <v>45806</v>
      </c>
      <c r="C380" s="1" t="n">
        <v>45984</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45984</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15216-2025</t>
        </is>
      </c>
      <c r="B382" s="1" t="n">
        <v>45744</v>
      </c>
      <c r="C382" s="1" t="n">
        <v>45984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45984</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45984</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15001-2025</t>
        </is>
      </c>
      <c r="B385" s="1" t="n">
        <v>45743</v>
      </c>
      <c r="C385" s="1" t="n">
        <v>45984</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45984</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46836-2025</t>
        </is>
      </c>
      <c r="B387" s="1" t="n">
        <v>45928.31511574074</v>
      </c>
      <c r="C387" s="1" t="n">
        <v>45984</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45984</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18742-2025</t>
        </is>
      </c>
      <c r="B389" s="1" t="n">
        <v>45763</v>
      </c>
      <c r="C389" s="1" t="n">
        <v>45984</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36319-2025</t>
        </is>
      </c>
      <c r="B390" s="1" t="n">
        <v>45868</v>
      </c>
      <c r="C390" s="1" t="n">
        <v>45984</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12596-2023</t>
        </is>
      </c>
      <c r="B391" s="1" t="n">
        <v>45000.43310185185</v>
      </c>
      <c r="C391" s="1" t="n">
        <v>45984</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2125-2025</t>
        </is>
      </c>
      <c r="B392" s="1" t="n">
        <v>45672.64940972222</v>
      </c>
      <c r="C392" s="1" t="n">
        <v>45984</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35129-2025</t>
        </is>
      </c>
      <c r="B393" s="1" t="n">
        <v>45852.63224537037</v>
      </c>
      <c r="C393" s="1" t="n">
        <v>45984</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12155-2023</t>
        </is>
      </c>
      <c r="B394" s="1" t="n">
        <v>44998.49106481481</v>
      </c>
      <c r="C394" s="1" t="n">
        <v>45984</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457-2023</t>
        </is>
      </c>
      <c r="B395" s="1" t="n">
        <v>44929.87238425926</v>
      </c>
      <c r="C395" s="1" t="n">
        <v>45984</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459-2023</t>
        </is>
      </c>
      <c r="B396" s="1" t="n">
        <v>44929.87423611111</v>
      </c>
      <c r="C396" s="1" t="n">
        <v>45984</v>
      </c>
      <c r="D396" t="inlineStr">
        <is>
          <t>GOTLANDS LÄN</t>
        </is>
      </c>
      <c r="E396" t="inlineStr">
        <is>
          <t>GOTLAND</t>
        </is>
      </c>
      <c r="G396" t="n">
        <v>4.2</v>
      </c>
      <c r="H396" t="n">
        <v>0</v>
      </c>
      <c r="I396" t="n">
        <v>0</v>
      </c>
      <c r="J396" t="n">
        <v>0</v>
      </c>
      <c r="K396" t="n">
        <v>0</v>
      </c>
      <c r="L396" t="n">
        <v>0</v>
      </c>
      <c r="M396" t="n">
        <v>0</v>
      </c>
      <c r="N396" t="n">
        <v>0</v>
      </c>
      <c r="O396" t="n">
        <v>0</v>
      </c>
      <c r="P396" t="n">
        <v>0</v>
      </c>
      <c r="Q396" t="n">
        <v>0</v>
      </c>
      <c r="R396" s="2" t="inlineStr"/>
    </row>
    <row r="397" ht="15" customHeight="1">
      <c r="A397" t="inlineStr">
        <is>
          <t>A 38234-2023</t>
        </is>
      </c>
      <c r="B397" s="1" t="n">
        <v>45161.56663194444</v>
      </c>
      <c r="C397" s="1" t="n">
        <v>45984</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50744-2024</t>
        </is>
      </c>
      <c r="B398" s="1" t="n">
        <v>45602.4187037037</v>
      </c>
      <c r="C398" s="1" t="n">
        <v>45984</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45984</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47637-2025</t>
        </is>
      </c>
      <c r="B400" s="1" t="n">
        <v>45931.49753472222</v>
      </c>
      <c r="C400" s="1" t="n">
        <v>45984</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1446-2025</t>
        </is>
      </c>
      <c r="B401" s="1" t="n">
        <v>45669.86035879629</v>
      </c>
      <c r="C401" s="1" t="n">
        <v>45984</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6108-2025</t>
        </is>
      </c>
      <c r="B402" s="1" t="n">
        <v>45698.29880787037</v>
      </c>
      <c r="C402" s="1" t="n">
        <v>45984</v>
      </c>
      <c r="D402" t="inlineStr">
        <is>
          <t>GOTLANDS LÄN</t>
        </is>
      </c>
      <c r="E402" t="inlineStr">
        <is>
          <t>GOTLAND</t>
        </is>
      </c>
      <c r="G402" t="n">
        <v>2.8</v>
      </c>
      <c r="H402" t="n">
        <v>0</v>
      </c>
      <c r="I402" t="n">
        <v>0</v>
      </c>
      <c r="J402" t="n">
        <v>0</v>
      </c>
      <c r="K402" t="n">
        <v>0</v>
      </c>
      <c r="L402" t="n">
        <v>0</v>
      </c>
      <c r="M402" t="n">
        <v>0</v>
      </c>
      <c r="N402" t="n">
        <v>0</v>
      </c>
      <c r="O402" t="n">
        <v>0</v>
      </c>
      <c r="P402" t="n">
        <v>0</v>
      </c>
      <c r="Q402" t="n">
        <v>0</v>
      </c>
      <c r="R402" s="2" t="inlineStr"/>
    </row>
    <row r="403" ht="15" customHeight="1">
      <c r="A403" t="inlineStr">
        <is>
          <t>A 21142-2025</t>
        </is>
      </c>
      <c r="B403" s="1" t="n">
        <v>45779</v>
      </c>
      <c r="C403" s="1" t="n">
        <v>45984</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31264-2021</t>
        </is>
      </c>
      <c r="B404" s="1" t="n">
        <v>44368</v>
      </c>
      <c r="C404" s="1" t="n">
        <v>45984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56799-2025</t>
        </is>
      </c>
      <c r="B405" s="1" t="n">
        <v>45978.43392361111</v>
      </c>
      <c r="C405" s="1" t="n">
        <v>45984</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45984</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43901-2023</t>
        </is>
      </c>
      <c r="B407" s="1" t="n">
        <v>45187</v>
      </c>
      <c r="C407" s="1" t="n">
        <v>45984</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45984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45984</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16501-2023</t>
        </is>
      </c>
      <c r="B410" s="1" t="n">
        <v>45029</v>
      </c>
      <c r="C410" s="1" t="n">
        <v>45984</v>
      </c>
      <c r="D410" t="inlineStr">
        <is>
          <t>GOTLANDS LÄN</t>
        </is>
      </c>
      <c r="E410" t="inlineStr">
        <is>
          <t>GOTLAND</t>
        </is>
      </c>
      <c r="G410" t="n">
        <v>3.1</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45984</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47147-2025</t>
        </is>
      </c>
      <c r="B412" s="1" t="n">
        <v>45929</v>
      </c>
      <c r="C412" s="1" t="n">
        <v>45984</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32378-2025</t>
        </is>
      </c>
      <c r="B413" s="1" t="n">
        <v>45837</v>
      </c>
      <c r="C413" s="1" t="n">
        <v>45984</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20307-2025</t>
        </is>
      </c>
      <c r="B414" s="1" t="n">
        <v>45774.95546296296</v>
      </c>
      <c r="C414" s="1" t="n">
        <v>45984</v>
      </c>
      <c r="D414" t="inlineStr">
        <is>
          <t>GOTLANDS LÄN</t>
        </is>
      </c>
      <c r="E414" t="inlineStr">
        <is>
          <t>GOTLAND</t>
        </is>
      </c>
      <c r="G414" t="n">
        <v>6.8</v>
      </c>
      <c r="H414" t="n">
        <v>0</v>
      </c>
      <c r="I414" t="n">
        <v>0</v>
      </c>
      <c r="J414" t="n">
        <v>0</v>
      </c>
      <c r="K414" t="n">
        <v>0</v>
      </c>
      <c r="L414" t="n">
        <v>0</v>
      </c>
      <c r="M414" t="n">
        <v>0</v>
      </c>
      <c r="N414" t="n">
        <v>0</v>
      </c>
      <c r="O414" t="n">
        <v>0</v>
      </c>
      <c r="P414" t="n">
        <v>0</v>
      </c>
      <c r="Q414" t="n">
        <v>0</v>
      </c>
      <c r="R414" s="2" t="inlineStr"/>
    </row>
    <row r="415" ht="15" customHeight="1">
      <c r="A415" t="inlineStr">
        <is>
          <t>A 27930-2021</t>
        </is>
      </c>
      <c r="B415" s="1" t="n">
        <v>44354</v>
      </c>
      <c r="C415" s="1" t="n">
        <v>45984</v>
      </c>
      <c r="D415" t="inlineStr">
        <is>
          <t>GOTLANDS LÄN</t>
        </is>
      </c>
      <c r="E415" t="inlineStr">
        <is>
          <t>GOTLAND</t>
        </is>
      </c>
      <c r="G415" t="n">
        <v>2.5</v>
      </c>
      <c r="H415" t="n">
        <v>0</v>
      </c>
      <c r="I415" t="n">
        <v>0</v>
      </c>
      <c r="J415" t="n">
        <v>0</v>
      </c>
      <c r="K415" t="n">
        <v>0</v>
      </c>
      <c r="L415" t="n">
        <v>0</v>
      </c>
      <c r="M415" t="n">
        <v>0</v>
      </c>
      <c r="N415" t="n">
        <v>0</v>
      </c>
      <c r="O415" t="n">
        <v>0</v>
      </c>
      <c r="P415" t="n">
        <v>0</v>
      </c>
      <c r="Q415" t="n">
        <v>0</v>
      </c>
      <c r="R415" s="2" t="inlineStr"/>
    </row>
    <row r="416" ht="15" customHeight="1">
      <c r="A416" t="inlineStr">
        <is>
          <t>A 61962-2024</t>
        </is>
      </c>
      <c r="B416" s="1" t="n">
        <v>45653.54340277778</v>
      </c>
      <c r="C416" s="1" t="n">
        <v>45984</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45984</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10492-2023</t>
        </is>
      </c>
      <c r="B418" s="1" t="n">
        <v>44987</v>
      </c>
      <c r="C418" s="1" t="n">
        <v>45984</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35550-2025</t>
        </is>
      </c>
      <c r="B419" s="1" t="n">
        <v>45856.49324074074</v>
      </c>
      <c r="C419" s="1" t="n">
        <v>45984</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56688-2025</t>
        </is>
      </c>
      <c r="B420" s="1" t="n">
        <v>45975.84331018518</v>
      </c>
      <c r="C420" s="1" t="n">
        <v>45984</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5909-2025</t>
        </is>
      </c>
      <c r="B421" s="1" t="n">
        <v>45695.40634259259</v>
      </c>
      <c r="C421" s="1" t="n">
        <v>45984</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10653-2023</t>
        </is>
      </c>
      <c r="B422" s="1" t="n">
        <v>44988.48859953704</v>
      </c>
      <c r="C422" s="1" t="n">
        <v>45984</v>
      </c>
      <c r="D422" t="inlineStr">
        <is>
          <t>GOTLANDS LÄN</t>
        </is>
      </c>
      <c r="E422" t="inlineStr">
        <is>
          <t>GOTLAND</t>
        </is>
      </c>
      <c r="F422" t="inlineStr">
        <is>
          <t>Kyrkan</t>
        </is>
      </c>
      <c r="G422" t="n">
        <v>3</v>
      </c>
      <c r="H422" t="n">
        <v>0</v>
      </c>
      <c r="I422" t="n">
        <v>0</v>
      </c>
      <c r="J422" t="n">
        <v>0</v>
      </c>
      <c r="K422" t="n">
        <v>0</v>
      </c>
      <c r="L422" t="n">
        <v>0</v>
      </c>
      <c r="M422" t="n">
        <v>0</v>
      </c>
      <c r="N422" t="n">
        <v>0</v>
      </c>
      <c r="O422" t="n">
        <v>0</v>
      </c>
      <c r="P422" t="n">
        <v>0</v>
      </c>
      <c r="Q422" t="n">
        <v>0</v>
      </c>
      <c r="R422" s="2" t="inlineStr"/>
    </row>
    <row r="423" ht="15" customHeight="1">
      <c r="A423" t="inlineStr">
        <is>
          <t>A 4990-2025</t>
        </is>
      </c>
      <c r="B423" s="1" t="n">
        <v>45691</v>
      </c>
      <c r="C423" s="1" t="n">
        <v>45984</v>
      </c>
      <c r="D423" t="inlineStr">
        <is>
          <t>GOTLANDS LÄN</t>
        </is>
      </c>
      <c r="E423" t="inlineStr">
        <is>
          <t>GOTLAND</t>
        </is>
      </c>
      <c r="G423" t="n">
        <v>7.7</v>
      </c>
      <c r="H423" t="n">
        <v>0</v>
      </c>
      <c r="I423" t="n">
        <v>0</v>
      </c>
      <c r="J423" t="n">
        <v>0</v>
      </c>
      <c r="K423" t="n">
        <v>0</v>
      </c>
      <c r="L423" t="n">
        <v>0</v>
      </c>
      <c r="M423" t="n">
        <v>0</v>
      </c>
      <c r="N423" t="n">
        <v>0</v>
      </c>
      <c r="O423" t="n">
        <v>0</v>
      </c>
      <c r="P423" t="n">
        <v>0</v>
      </c>
      <c r="Q423" t="n">
        <v>0</v>
      </c>
      <c r="R423" s="2" t="inlineStr"/>
    </row>
    <row r="424" ht="15" customHeight="1">
      <c r="A424" t="inlineStr">
        <is>
          <t>A 47578-2025</t>
        </is>
      </c>
      <c r="B424" s="1" t="n">
        <v>45931</v>
      </c>
      <c r="C424" s="1" t="n">
        <v>45984</v>
      </c>
      <c r="D424" t="inlineStr">
        <is>
          <t>GOTLANDS LÄN</t>
        </is>
      </c>
      <c r="E424" t="inlineStr">
        <is>
          <t>GOTLAND</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43081-2022</t>
        </is>
      </c>
      <c r="B425" s="1" t="n">
        <v>44833</v>
      </c>
      <c r="C425" s="1" t="n">
        <v>45984</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45984</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5884-2025</t>
        </is>
      </c>
      <c r="B427" s="1" t="n">
        <v>45695.37482638889</v>
      </c>
      <c r="C427" s="1" t="n">
        <v>45984</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5897-2025</t>
        </is>
      </c>
      <c r="B428" s="1" t="n">
        <v>45695.39273148148</v>
      </c>
      <c r="C428" s="1" t="n">
        <v>45984</v>
      </c>
      <c r="D428" t="inlineStr">
        <is>
          <t>GOTLANDS LÄN</t>
        </is>
      </c>
      <c r="E428" t="inlineStr">
        <is>
          <t>GOTLAND</t>
        </is>
      </c>
      <c r="G428" t="n">
        <v>3.7</v>
      </c>
      <c r="H428" t="n">
        <v>0</v>
      </c>
      <c r="I428" t="n">
        <v>0</v>
      </c>
      <c r="J428" t="n">
        <v>0</v>
      </c>
      <c r="K428" t="n">
        <v>0</v>
      </c>
      <c r="L428" t="n">
        <v>0</v>
      </c>
      <c r="M428" t="n">
        <v>0</v>
      </c>
      <c r="N428" t="n">
        <v>0</v>
      </c>
      <c r="O428" t="n">
        <v>0</v>
      </c>
      <c r="P428" t="n">
        <v>0</v>
      </c>
      <c r="Q428" t="n">
        <v>0</v>
      </c>
      <c r="R428" s="2" t="inlineStr"/>
    </row>
    <row r="429" ht="15" customHeight="1">
      <c r="A429" t="inlineStr">
        <is>
          <t>A 49724-2025</t>
        </is>
      </c>
      <c r="B429" s="1" t="n">
        <v>45939.83730324074</v>
      </c>
      <c r="C429" s="1" t="n">
        <v>45984</v>
      </c>
      <c r="D429" t="inlineStr">
        <is>
          <t>GOTLANDS LÄN</t>
        </is>
      </c>
      <c r="E429" t="inlineStr">
        <is>
          <t>GOTLAND</t>
        </is>
      </c>
      <c r="F429" t="inlineStr">
        <is>
          <t>Kyrkan</t>
        </is>
      </c>
      <c r="G429" t="n">
        <v>3.1</v>
      </c>
      <c r="H429" t="n">
        <v>0</v>
      </c>
      <c r="I429" t="n">
        <v>0</v>
      </c>
      <c r="J429" t="n">
        <v>0</v>
      </c>
      <c r="K429" t="n">
        <v>0</v>
      </c>
      <c r="L429" t="n">
        <v>0</v>
      </c>
      <c r="M429" t="n">
        <v>0</v>
      </c>
      <c r="N429" t="n">
        <v>0</v>
      </c>
      <c r="O429" t="n">
        <v>0</v>
      </c>
      <c r="P429" t="n">
        <v>0</v>
      </c>
      <c r="Q429" t="n">
        <v>0</v>
      </c>
      <c r="R429" s="2" t="inlineStr"/>
    </row>
    <row r="430" ht="15" customHeight="1">
      <c r="A430" t="inlineStr">
        <is>
          <t>A 49730-2025</t>
        </is>
      </c>
      <c r="B430" s="1" t="n">
        <v>45939.87613425926</v>
      </c>
      <c r="C430" s="1" t="n">
        <v>45984</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45984</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45984</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17901-2023</t>
        </is>
      </c>
      <c r="B433" s="1" t="n">
        <v>45039</v>
      </c>
      <c r="C433" s="1" t="n">
        <v>45984</v>
      </c>
      <c r="D433" t="inlineStr">
        <is>
          <t>GOTLANDS LÄN</t>
        </is>
      </c>
      <c r="E433" t="inlineStr">
        <is>
          <t>GOTLAND</t>
        </is>
      </c>
      <c r="F433" t="inlineStr">
        <is>
          <t>Kyrkan</t>
        </is>
      </c>
      <c r="G433" t="n">
        <v>0.6</v>
      </c>
      <c r="H433" t="n">
        <v>0</v>
      </c>
      <c r="I433" t="n">
        <v>0</v>
      </c>
      <c r="J433" t="n">
        <v>0</v>
      </c>
      <c r="K433" t="n">
        <v>0</v>
      </c>
      <c r="L433" t="n">
        <v>0</v>
      </c>
      <c r="M433" t="n">
        <v>0</v>
      </c>
      <c r="N433" t="n">
        <v>0</v>
      </c>
      <c r="O433" t="n">
        <v>0</v>
      </c>
      <c r="P433" t="n">
        <v>0</v>
      </c>
      <c r="Q433" t="n">
        <v>0</v>
      </c>
      <c r="R433" s="2" t="inlineStr"/>
    </row>
    <row r="434" ht="15" customHeight="1">
      <c r="A434" t="inlineStr">
        <is>
          <t>A 49690-2025</t>
        </is>
      </c>
      <c r="B434" s="1" t="n">
        <v>45939.66730324074</v>
      </c>
      <c r="C434" s="1" t="n">
        <v>45984</v>
      </c>
      <c r="D434" t="inlineStr">
        <is>
          <t>GOTLANDS LÄN</t>
        </is>
      </c>
      <c r="E434" t="inlineStr">
        <is>
          <t>GOTLAND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33011-2025</t>
        </is>
      </c>
      <c r="B435" s="1" t="n">
        <v>45840</v>
      </c>
      <c r="C435" s="1" t="n">
        <v>45984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52892-2021</t>
        </is>
      </c>
      <c r="B436" s="1" t="n">
        <v>44467.49048611111</v>
      </c>
      <c r="C436" s="1" t="n">
        <v>45984</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46396-2023</t>
        </is>
      </c>
      <c r="B437" s="1" t="n">
        <v>45197</v>
      </c>
      <c r="C437" s="1" t="n">
        <v>45984</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17724-2024</t>
        </is>
      </c>
      <c r="B438" s="1" t="n">
        <v>45418.55096064815</v>
      </c>
      <c r="C438" s="1" t="n">
        <v>45984</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34312-2024</t>
        </is>
      </c>
      <c r="B439" s="1" t="n">
        <v>45524.69703703704</v>
      </c>
      <c r="C439" s="1" t="n">
        <v>45984</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45984</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7638-2025</t>
        </is>
      </c>
      <c r="B441" s="1" t="n">
        <v>45705.77306712963</v>
      </c>
      <c r="C441" s="1" t="n">
        <v>45984</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50482-2024</t>
        </is>
      </c>
      <c r="B442" s="1" t="n">
        <v>45601.48114583334</v>
      </c>
      <c r="C442" s="1" t="n">
        <v>45984</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1394-2023</t>
        </is>
      </c>
      <c r="B443" s="1" t="n">
        <v>44936.72997685185</v>
      </c>
      <c r="C443" s="1" t="n">
        <v>45984</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58230-2024</t>
        </is>
      </c>
      <c r="B444" s="1" t="n">
        <v>45632.51625</v>
      </c>
      <c r="C444" s="1" t="n">
        <v>45984</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1462-2025</t>
        </is>
      </c>
      <c r="B445" s="1" t="n">
        <v>45670.36319444444</v>
      </c>
      <c r="C445" s="1" t="n">
        <v>45984</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25129-2023</t>
        </is>
      </c>
      <c r="B446" s="1" t="n">
        <v>45086.44261574074</v>
      </c>
      <c r="C446" s="1" t="n">
        <v>45984</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24192-2023</t>
        </is>
      </c>
      <c r="B447" s="1" t="n">
        <v>45079</v>
      </c>
      <c r="C447" s="1" t="n">
        <v>45984</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45984</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45984</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45984</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1000-2024</t>
        </is>
      </c>
      <c r="B451" s="1" t="n">
        <v>45301.63371527778</v>
      </c>
      <c r="C451" s="1" t="n">
        <v>45984</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1010-2024</t>
        </is>
      </c>
      <c r="B452" s="1" t="n">
        <v>45301</v>
      </c>
      <c r="C452" s="1" t="n">
        <v>45984</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47762-2023</t>
        </is>
      </c>
      <c r="B453" s="1" t="n">
        <v>45203.86256944444</v>
      </c>
      <c r="C453" s="1" t="n">
        <v>45984</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46545-2024</t>
        </is>
      </c>
      <c r="B454" s="1" t="n">
        <v>45582.65831018519</v>
      </c>
      <c r="C454" s="1" t="n">
        <v>45984</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60086-2022</t>
        </is>
      </c>
      <c r="B455" s="1" t="n">
        <v>44909</v>
      </c>
      <c r="C455" s="1" t="n">
        <v>45984</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28480-2023</t>
        </is>
      </c>
      <c r="B456" s="1" t="n">
        <v>45103</v>
      </c>
      <c r="C456" s="1" t="n">
        <v>45984</v>
      </c>
      <c r="D456" t="inlineStr">
        <is>
          <t>GOTLANDS LÄN</t>
        </is>
      </c>
      <c r="E456" t="inlineStr">
        <is>
          <t>GOTLAND</t>
        </is>
      </c>
      <c r="G456" t="n">
        <v>5.7</v>
      </c>
      <c r="H456" t="n">
        <v>0</v>
      </c>
      <c r="I456" t="n">
        <v>0</v>
      </c>
      <c r="J456" t="n">
        <v>0</v>
      </c>
      <c r="K456" t="n">
        <v>0</v>
      </c>
      <c r="L456" t="n">
        <v>0</v>
      </c>
      <c r="M456" t="n">
        <v>0</v>
      </c>
      <c r="N456" t="n">
        <v>0</v>
      </c>
      <c r="O456" t="n">
        <v>0</v>
      </c>
      <c r="P456" t="n">
        <v>0</v>
      </c>
      <c r="Q456" t="n">
        <v>0</v>
      </c>
      <c r="R456" s="2" t="inlineStr"/>
    </row>
    <row r="457" ht="15" customHeight="1">
      <c r="A457" t="inlineStr">
        <is>
          <t>A 28485-2023</t>
        </is>
      </c>
      <c r="B457" s="1" t="n">
        <v>45103.43731481482</v>
      </c>
      <c r="C457" s="1" t="n">
        <v>45984</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45984</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44949-2023</t>
        </is>
      </c>
      <c r="B459" s="1" t="n">
        <v>45190.69520833333</v>
      </c>
      <c r="C459" s="1" t="n">
        <v>45984</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45984</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3964-2024</t>
        </is>
      </c>
      <c r="B461" s="1" t="n">
        <v>45322</v>
      </c>
      <c r="C461" s="1" t="n">
        <v>45984</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45084-2024</t>
        </is>
      </c>
      <c r="B462" s="1" t="n">
        <v>45575</v>
      </c>
      <c r="C462" s="1" t="n">
        <v>45984</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5217-2023</t>
        </is>
      </c>
      <c r="B463" s="1" t="n">
        <v>44959.39582175926</v>
      </c>
      <c r="C463" s="1" t="n">
        <v>45984</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1677-2023</t>
        </is>
      </c>
      <c r="B464" s="1" t="n">
        <v>44938</v>
      </c>
      <c r="C464" s="1" t="n">
        <v>45984</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45244-2024</t>
        </is>
      </c>
      <c r="B465" s="1" t="n">
        <v>45576</v>
      </c>
      <c r="C465" s="1" t="n">
        <v>45984</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45984</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64969-2023</t>
        </is>
      </c>
      <c r="B467" s="1" t="n">
        <v>45284.54009259259</v>
      </c>
      <c r="C467" s="1" t="n">
        <v>45984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48843-2024</t>
        </is>
      </c>
      <c r="B468" s="1" t="n">
        <v>45593</v>
      </c>
      <c r="C468" s="1" t="n">
        <v>45984</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17541-2024</t>
        </is>
      </c>
      <c r="B469" s="1" t="n">
        <v>45415</v>
      </c>
      <c r="C469" s="1" t="n">
        <v>45984</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2241-2025</t>
        </is>
      </c>
      <c r="B470" s="1" t="n">
        <v>45673.48710648148</v>
      </c>
      <c r="C470" s="1" t="n">
        <v>45984</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15434-2024</t>
        </is>
      </c>
      <c r="B471" s="1" t="n">
        <v>45401.38836805556</v>
      </c>
      <c r="C471" s="1" t="n">
        <v>45984</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5943-2024</t>
        </is>
      </c>
      <c r="B472" s="1" t="n">
        <v>45336</v>
      </c>
      <c r="C472" s="1" t="n">
        <v>45984</v>
      </c>
      <c r="D472" t="inlineStr">
        <is>
          <t>GOTLANDS LÄN</t>
        </is>
      </c>
      <c r="E472" t="inlineStr">
        <is>
          <t>GOTLAND</t>
        </is>
      </c>
      <c r="G472" t="n">
        <v>4.3</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44881.50380787037</v>
      </c>
      <c r="C473" s="1" t="n">
        <v>45984</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45984</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45984</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14427-2024</t>
        </is>
      </c>
      <c r="B476" s="1" t="n">
        <v>45394</v>
      </c>
      <c r="C476" s="1" t="n">
        <v>45984</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31802-2024</t>
        </is>
      </c>
      <c r="B477" s="1" t="n">
        <v>45509</v>
      </c>
      <c r="C477" s="1" t="n">
        <v>45984</v>
      </c>
      <c r="D477" t="inlineStr">
        <is>
          <t>GOTLANDS LÄN</t>
        </is>
      </c>
      <c r="E477" t="inlineStr">
        <is>
          <t>GOTLAND</t>
        </is>
      </c>
      <c r="G477" t="n">
        <v>2.8</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45984</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45984</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46949-2024</t>
        </is>
      </c>
      <c r="B480" s="1" t="n">
        <v>45585</v>
      </c>
      <c r="C480" s="1" t="n">
        <v>45984</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44624.57945601852</v>
      </c>
      <c r="C481" s="1" t="n">
        <v>45984</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11634-2024</t>
        </is>
      </c>
      <c r="B482" s="1" t="n">
        <v>45373</v>
      </c>
      <c r="C482" s="1" t="n">
        <v>45984</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1351-2025</t>
        </is>
      </c>
      <c r="B483" s="1" t="n">
        <v>45667.62246527777</v>
      </c>
      <c r="C483" s="1" t="n">
        <v>45984</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45984</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49874-2024</t>
        </is>
      </c>
      <c r="B485" s="1" t="n">
        <v>45597.49274305555</v>
      </c>
      <c r="C485" s="1" t="n">
        <v>45984</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45984</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45984</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45984</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45984</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45984</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22897-2023</t>
        </is>
      </c>
      <c r="B491" s="1" t="n">
        <v>45072.55239583334</v>
      </c>
      <c r="C491" s="1" t="n">
        <v>45984</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61897-2024</t>
        </is>
      </c>
      <c r="B492" s="1" t="n">
        <v>45652.75685185185</v>
      </c>
      <c r="C492" s="1" t="n">
        <v>45984</v>
      </c>
      <c r="D492" t="inlineStr">
        <is>
          <t>GOTLANDS LÄN</t>
        </is>
      </c>
      <c r="E492" t="inlineStr">
        <is>
          <t>GOTLAND</t>
        </is>
      </c>
      <c r="G492" t="n">
        <v>6.4</v>
      </c>
      <c r="H492" t="n">
        <v>0</v>
      </c>
      <c r="I492" t="n">
        <v>0</v>
      </c>
      <c r="J492" t="n">
        <v>0</v>
      </c>
      <c r="K492" t="n">
        <v>0</v>
      </c>
      <c r="L492" t="n">
        <v>0</v>
      </c>
      <c r="M492" t="n">
        <v>0</v>
      </c>
      <c r="N492" t="n">
        <v>0</v>
      </c>
      <c r="O492" t="n">
        <v>0</v>
      </c>
      <c r="P492" t="n">
        <v>0</v>
      </c>
      <c r="Q492" t="n">
        <v>0</v>
      </c>
      <c r="R492" s="2" t="inlineStr"/>
    </row>
    <row r="493" ht="15" customHeight="1">
      <c r="A493" t="inlineStr">
        <is>
          <t>A 49962-2023</t>
        </is>
      </c>
      <c r="B493" s="1" t="n">
        <v>45215.38775462963</v>
      </c>
      <c r="C493" s="1" t="n">
        <v>45984</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44698.49854166667</v>
      </c>
      <c r="C494" s="1" t="n">
        <v>45984</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45984</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12032-2025</t>
        </is>
      </c>
      <c r="B496" s="1" t="n">
        <v>45728.64472222222</v>
      </c>
      <c r="C496" s="1" t="n">
        <v>45984</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45984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43231-2023</t>
        </is>
      </c>
      <c r="B498" s="1" t="n">
        <v>45183.47025462963</v>
      </c>
      <c r="C498" s="1" t="n">
        <v>45984</v>
      </c>
      <c r="D498" t="inlineStr">
        <is>
          <t>GOTLANDS LÄN</t>
        </is>
      </c>
      <c r="E498" t="inlineStr">
        <is>
          <t>GOTLAND</t>
        </is>
      </c>
      <c r="G498" t="n">
        <v>3.6</v>
      </c>
      <c r="H498" t="n">
        <v>0</v>
      </c>
      <c r="I498" t="n">
        <v>0</v>
      </c>
      <c r="J498" t="n">
        <v>0</v>
      </c>
      <c r="K498" t="n">
        <v>0</v>
      </c>
      <c r="L498" t="n">
        <v>0</v>
      </c>
      <c r="M498" t="n">
        <v>0</v>
      </c>
      <c r="N498" t="n">
        <v>0</v>
      </c>
      <c r="O498" t="n">
        <v>0</v>
      </c>
      <c r="P498" t="n">
        <v>0</v>
      </c>
      <c r="Q498" t="n">
        <v>0</v>
      </c>
      <c r="R498" s="2" t="inlineStr"/>
    </row>
    <row r="499" ht="15" customHeight="1">
      <c r="A499" t="inlineStr">
        <is>
          <t>A 17532-2024</t>
        </is>
      </c>
      <c r="B499" s="1" t="n">
        <v>45415</v>
      </c>
      <c r="C499" s="1" t="n">
        <v>45984</v>
      </c>
      <c r="D499" t="inlineStr">
        <is>
          <t>GOTLANDS LÄN</t>
        </is>
      </c>
      <c r="E499" t="inlineStr">
        <is>
          <t>GOTLAND</t>
        </is>
      </c>
      <c r="G499" t="n">
        <v>4.3</v>
      </c>
      <c r="H499" t="n">
        <v>0</v>
      </c>
      <c r="I499" t="n">
        <v>0</v>
      </c>
      <c r="J499" t="n">
        <v>0</v>
      </c>
      <c r="K499" t="n">
        <v>0</v>
      </c>
      <c r="L499" t="n">
        <v>0</v>
      </c>
      <c r="M499" t="n">
        <v>0</v>
      </c>
      <c r="N499" t="n">
        <v>0</v>
      </c>
      <c r="O499" t="n">
        <v>0</v>
      </c>
      <c r="P499" t="n">
        <v>0</v>
      </c>
      <c r="Q499" t="n">
        <v>0</v>
      </c>
      <c r="R499" s="2" t="inlineStr"/>
    </row>
    <row r="500" ht="15" customHeight="1">
      <c r="A500" t="inlineStr">
        <is>
          <t>A 3935-2025</t>
        </is>
      </c>
      <c r="B500" s="1" t="n">
        <v>45684.46070601852</v>
      </c>
      <c r="C500" s="1" t="n">
        <v>45984</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20225-2025</t>
        </is>
      </c>
      <c r="B501" s="1" t="n">
        <v>45772.65802083333</v>
      </c>
      <c r="C501" s="1" t="n">
        <v>45984</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883-2025</t>
        </is>
      </c>
      <c r="B502" s="1" t="n">
        <v>45665</v>
      </c>
      <c r="C502" s="1" t="n">
        <v>45984</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45984</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17144-2025</t>
        </is>
      </c>
      <c r="B504" s="1" t="n">
        <v>45755.9499537037</v>
      </c>
      <c r="C504" s="1" t="n">
        <v>45984</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56009-2024</t>
        </is>
      </c>
      <c r="B505" s="1" t="n">
        <v>45623.80864583333</v>
      </c>
      <c r="C505" s="1" t="n">
        <v>45984</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42338-2023</t>
        </is>
      </c>
      <c r="B506" s="1" t="n">
        <v>45180</v>
      </c>
      <c r="C506" s="1" t="n">
        <v>45984</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581-2023</t>
        </is>
      </c>
      <c r="B507" s="1" t="n">
        <v>44930</v>
      </c>
      <c r="C507" s="1" t="n">
        <v>45984</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61386-2023</t>
        </is>
      </c>
      <c r="B508" s="1" t="n">
        <v>45264</v>
      </c>
      <c r="C508" s="1" t="n">
        <v>45984</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873-2024</t>
        </is>
      </c>
      <c r="B509" s="1" t="n">
        <v>45301</v>
      </c>
      <c r="C509" s="1" t="n">
        <v>45984</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49411-2023</t>
        </is>
      </c>
      <c r="B510" s="1" t="n">
        <v>45205</v>
      </c>
      <c r="C510" s="1" t="n">
        <v>45984</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22275-2023</t>
        </is>
      </c>
      <c r="B511" s="1" t="n">
        <v>45070.39875</v>
      </c>
      <c r="C511" s="1" t="n">
        <v>45984</v>
      </c>
      <c r="D511" t="inlineStr">
        <is>
          <t>GOTLANDS LÄN</t>
        </is>
      </c>
      <c r="E511" t="inlineStr">
        <is>
          <t>GOTLAND</t>
        </is>
      </c>
      <c r="G511" t="n">
        <v>7.2</v>
      </c>
      <c r="H511" t="n">
        <v>0</v>
      </c>
      <c r="I511" t="n">
        <v>0</v>
      </c>
      <c r="J511" t="n">
        <v>0</v>
      </c>
      <c r="K511" t="n">
        <v>0</v>
      </c>
      <c r="L511" t="n">
        <v>0</v>
      </c>
      <c r="M511" t="n">
        <v>0</v>
      </c>
      <c r="N511" t="n">
        <v>0</v>
      </c>
      <c r="O511" t="n">
        <v>0</v>
      </c>
      <c r="P511" t="n">
        <v>0</v>
      </c>
      <c r="Q511" t="n">
        <v>0</v>
      </c>
      <c r="R511" s="2" t="inlineStr"/>
    </row>
    <row r="512" ht="15" customHeight="1">
      <c r="A512" t="inlineStr">
        <is>
          <t>A 12322-2025</t>
        </is>
      </c>
      <c r="B512" s="1" t="n">
        <v>45730</v>
      </c>
      <c r="C512" s="1" t="n">
        <v>45984</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14797-2024</t>
        </is>
      </c>
      <c r="B513" s="1" t="n">
        <v>45397.87030092593</v>
      </c>
      <c r="C513" s="1" t="n">
        <v>45984</v>
      </c>
      <c r="D513" t="inlineStr">
        <is>
          <t>GOTLANDS LÄN</t>
        </is>
      </c>
      <c r="E513" t="inlineStr">
        <is>
          <t>GOTLAND</t>
        </is>
      </c>
      <c r="G513" t="n">
        <v>8.1</v>
      </c>
      <c r="H513" t="n">
        <v>0</v>
      </c>
      <c r="I513" t="n">
        <v>0</v>
      </c>
      <c r="J513" t="n">
        <v>0</v>
      </c>
      <c r="K513" t="n">
        <v>0</v>
      </c>
      <c r="L513" t="n">
        <v>0</v>
      </c>
      <c r="M513" t="n">
        <v>0</v>
      </c>
      <c r="N513" t="n">
        <v>0</v>
      </c>
      <c r="O513" t="n">
        <v>0</v>
      </c>
      <c r="P513" t="n">
        <v>0</v>
      </c>
      <c r="Q513" t="n">
        <v>0</v>
      </c>
      <c r="R513" s="2" t="inlineStr"/>
    </row>
    <row r="514" ht="15" customHeight="1">
      <c r="A514" t="inlineStr">
        <is>
          <t>A 999-2024</t>
        </is>
      </c>
      <c r="B514" s="1" t="n">
        <v>45301</v>
      </c>
      <c r="C514" s="1" t="n">
        <v>45984</v>
      </c>
      <c r="D514" t="inlineStr">
        <is>
          <t>GOTLANDS LÄN</t>
        </is>
      </c>
      <c r="E514" t="inlineStr">
        <is>
          <t>GOTLAND</t>
        </is>
      </c>
      <c r="G514" t="n">
        <v>1</v>
      </c>
      <c r="H514" t="n">
        <v>0</v>
      </c>
      <c r="I514" t="n">
        <v>0</v>
      </c>
      <c r="J514" t="n">
        <v>0</v>
      </c>
      <c r="K514" t="n">
        <v>0</v>
      </c>
      <c r="L514" t="n">
        <v>0</v>
      </c>
      <c r="M514" t="n">
        <v>0</v>
      </c>
      <c r="N514" t="n">
        <v>0</v>
      </c>
      <c r="O514" t="n">
        <v>0</v>
      </c>
      <c r="P514" t="n">
        <v>0</v>
      </c>
      <c r="Q514" t="n">
        <v>0</v>
      </c>
      <c r="R514" s="2" t="inlineStr"/>
    </row>
    <row r="515" ht="15" customHeight="1">
      <c r="A515" t="inlineStr">
        <is>
          <t>A 61596-2023</t>
        </is>
      </c>
      <c r="B515" s="1" t="n">
        <v>45265</v>
      </c>
      <c r="C515" s="1" t="n">
        <v>45984</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14638-2025</t>
        </is>
      </c>
      <c r="B516" s="1" t="n">
        <v>45742</v>
      </c>
      <c r="C516" s="1" t="n">
        <v>45984</v>
      </c>
      <c r="D516" t="inlineStr">
        <is>
          <t>GOTLANDS LÄN</t>
        </is>
      </c>
      <c r="E516" t="inlineStr">
        <is>
          <t>GOTLAND</t>
        </is>
      </c>
      <c r="G516" t="n">
        <v>13.4</v>
      </c>
      <c r="H516" t="n">
        <v>0</v>
      </c>
      <c r="I516" t="n">
        <v>0</v>
      </c>
      <c r="J516" t="n">
        <v>0</v>
      </c>
      <c r="K516" t="n">
        <v>0</v>
      </c>
      <c r="L516" t="n">
        <v>0</v>
      </c>
      <c r="M516" t="n">
        <v>0</v>
      </c>
      <c r="N516" t="n">
        <v>0</v>
      </c>
      <c r="O516" t="n">
        <v>0</v>
      </c>
      <c r="P516" t="n">
        <v>0</v>
      </c>
      <c r="Q516" t="n">
        <v>0</v>
      </c>
      <c r="R516" s="2" t="inlineStr"/>
    </row>
    <row r="517" ht="15" customHeight="1">
      <c r="A517" t="inlineStr">
        <is>
          <t>A 60675-2021</t>
        </is>
      </c>
      <c r="B517" s="1" t="n">
        <v>44496.64855324074</v>
      </c>
      <c r="C517" s="1" t="n">
        <v>45984</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37728-2024</t>
        </is>
      </c>
      <c r="B518" s="1" t="n">
        <v>45541</v>
      </c>
      <c r="C518" s="1" t="n">
        <v>45984</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45984</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54074-2022</t>
        </is>
      </c>
      <c r="B520" s="1" t="n">
        <v>44881</v>
      </c>
      <c r="C520" s="1" t="n">
        <v>45984</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65249-2023</t>
        </is>
      </c>
      <c r="B521" s="1" t="n">
        <v>45290</v>
      </c>
      <c r="C521" s="1" t="n">
        <v>45984</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13910-2025</t>
        </is>
      </c>
      <c r="B522" s="1" t="n">
        <v>45737</v>
      </c>
      <c r="C522" s="1" t="n">
        <v>45984</v>
      </c>
      <c r="D522" t="inlineStr">
        <is>
          <t>GOTLANDS LÄN</t>
        </is>
      </c>
      <c r="E522" t="inlineStr">
        <is>
          <t>GOTLAND</t>
        </is>
      </c>
      <c r="F522" t="inlineStr">
        <is>
          <t>Kommuner</t>
        </is>
      </c>
      <c r="G522" t="n">
        <v>3.2</v>
      </c>
      <c r="H522" t="n">
        <v>0</v>
      </c>
      <c r="I522" t="n">
        <v>0</v>
      </c>
      <c r="J522" t="n">
        <v>0</v>
      </c>
      <c r="K522" t="n">
        <v>0</v>
      </c>
      <c r="L522" t="n">
        <v>0</v>
      </c>
      <c r="M522" t="n">
        <v>0</v>
      </c>
      <c r="N522" t="n">
        <v>0</v>
      </c>
      <c r="O522" t="n">
        <v>0</v>
      </c>
      <c r="P522" t="n">
        <v>0</v>
      </c>
      <c r="Q522" t="n">
        <v>0</v>
      </c>
      <c r="R522" s="2" t="inlineStr"/>
    </row>
    <row r="523" ht="15" customHeight="1">
      <c r="A523" t="inlineStr">
        <is>
          <t>A 17780-2022</t>
        </is>
      </c>
      <c r="B523" s="1" t="n">
        <v>44682.82622685185</v>
      </c>
      <c r="C523" s="1" t="n">
        <v>45984</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59986-2022</t>
        </is>
      </c>
      <c r="B524" s="1" t="n">
        <v>44909</v>
      </c>
      <c r="C524" s="1" t="n">
        <v>45984</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14536-2021</t>
        </is>
      </c>
      <c r="B525" s="1" t="n">
        <v>44279.66168981481</v>
      </c>
      <c r="C525" s="1" t="n">
        <v>45984</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11874-2024</t>
        </is>
      </c>
      <c r="B526" s="1" t="n">
        <v>45376.46956018519</v>
      </c>
      <c r="C526" s="1" t="n">
        <v>45984</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42041-2024</t>
        </is>
      </c>
      <c r="B527" s="1" t="n">
        <v>45561</v>
      </c>
      <c r="C527" s="1" t="n">
        <v>45984</v>
      </c>
      <c r="D527" t="inlineStr">
        <is>
          <t>GOTLANDS LÄN</t>
        </is>
      </c>
      <c r="E527" t="inlineStr">
        <is>
          <t>GOTLAND</t>
        </is>
      </c>
      <c r="G527" t="n">
        <v>3.2</v>
      </c>
      <c r="H527" t="n">
        <v>0</v>
      </c>
      <c r="I527" t="n">
        <v>0</v>
      </c>
      <c r="J527" t="n">
        <v>0</v>
      </c>
      <c r="K527" t="n">
        <v>0</v>
      </c>
      <c r="L527" t="n">
        <v>0</v>
      </c>
      <c r="M527" t="n">
        <v>0</v>
      </c>
      <c r="N527" t="n">
        <v>0</v>
      </c>
      <c r="O527" t="n">
        <v>0</v>
      </c>
      <c r="P527" t="n">
        <v>0</v>
      </c>
      <c r="Q527" t="n">
        <v>0</v>
      </c>
      <c r="R527" s="2" t="inlineStr"/>
    </row>
    <row r="528" ht="15" customHeight="1">
      <c r="A528" t="inlineStr">
        <is>
          <t>A 61694-2023</t>
        </is>
      </c>
      <c r="B528" s="1" t="n">
        <v>45264</v>
      </c>
      <c r="C528" s="1" t="n">
        <v>45984</v>
      </c>
      <c r="D528" t="inlineStr">
        <is>
          <t>GOTLANDS LÄN</t>
        </is>
      </c>
      <c r="E528" t="inlineStr">
        <is>
          <t>GOTLAND</t>
        </is>
      </c>
      <c r="G528" t="n">
        <v>4.6</v>
      </c>
      <c r="H528" t="n">
        <v>0</v>
      </c>
      <c r="I528" t="n">
        <v>0</v>
      </c>
      <c r="J528" t="n">
        <v>0</v>
      </c>
      <c r="K528" t="n">
        <v>0</v>
      </c>
      <c r="L528" t="n">
        <v>0</v>
      </c>
      <c r="M528" t="n">
        <v>0</v>
      </c>
      <c r="N528" t="n">
        <v>0</v>
      </c>
      <c r="O528" t="n">
        <v>0</v>
      </c>
      <c r="P528" t="n">
        <v>0</v>
      </c>
      <c r="Q528" t="n">
        <v>0</v>
      </c>
      <c r="R528" s="2" t="inlineStr"/>
    </row>
    <row r="529" ht="15" customHeight="1">
      <c r="A529" t="inlineStr">
        <is>
          <t>A 64555-2023</t>
        </is>
      </c>
      <c r="B529" s="1" t="n">
        <v>45281</v>
      </c>
      <c r="C529" s="1" t="n">
        <v>45984</v>
      </c>
      <c r="D529" t="inlineStr">
        <is>
          <t>GOTLANDS LÄN</t>
        </is>
      </c>
      <c r="E529" t="inlineStr">
        <is>
          <t>GOTLAND</t>
        </is>
      </c>
      <c r="G529" t="n">
        <v>3.5</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45984</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14804-2021</t>
        </is>
      </c>
      <c r="B531" s="1" t="n">
        <v>44280</v>
      </c>
      <c r="C531" s="1" t="n">
        <v>45984</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999-2023</t>
        </is>
      </c>
      <c r="B532" s="1" t="n">
        <v>44935</v>
      </c>
      <c r="C532" s="1" t="n">
        <v>45984</v>
      </c>
      <c r="D532" t="inlineStr">
        <is>
          <t>GOTLANDS LÄN</t>
        </is>
      </c>
      <c r="E532" t="inlineStr">
        <is>
          <t>GOTLAND</t>
        </is>
      </c>
      <c r="G532" t="n">
        <v>4.7</v>
      </c>
      <c r="H532" t="n">
        <v>0</v>
      </c>
      <c r="I532" t="n">
        <v>0</v>
      </c>
      <c r="J532" t="n">
        <v>0</v>
      </c>
      <c r="K532" t="n">
        <v>0</v>
      </c>
      <c r="L532" t="n">
        <v>0</v>
      </c>
      <c r="M532" t="n">
        <v>0</v>
      </c>
      <c r="N532" t="n">
        <v>0</v>
      </c>
      <c r="O532" t="n">
        <v>0</v>
      </c>
      <c r="P532" t="n">
        <v>0</v>
      </c>
      <c r="Q532" t="n">
        <v>0</v>
      </c>
      <c r="R532" s="2" t="inlineStr"/>
    </row>
    <row r="533" ht="15" customHeight="1">
      <c r="A533" t="inlineStr">
        <is>
          <t>A 27602-2023</t>
        </is>
      </c>
      <c r="B533" s="1" t="n">
        <v>45097</v>
      </c>
      <c r="C533" s="1" t="n">
        <v>45984</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4377-2023</t>
        </is>
      </c>
      <c r="B534" s="1" t="n">
        <v>44955.5502662037</v>
      </c>
      <c r="C534" s="1" t="n">
        <v>45984</v>
      </c>
      <c r="D534" t="inlineStr">
        <is>
          <t>GOTLANDS LÄN</t>
        </is>
      </c>
      <c r="E534" t="inlineStr">
        <is>
          <t>GOTLAND</t>
        </is>
      </c>
      <c r="F534" t="inlineStr">
        <is>
          <t>Kyrkan</t>
        </is>
      </c>
      <c r="G534" t="n">
        <v>0.6</v>
      </c>
      <c r="H534" t="n">
        <v>0</v>
      </c>
      <c r="I534" t="n">
        <v>0</v>
      </c>
      <c r="J534" t="n">
        <v>0</v>
      </c>
      <c r="K534" t="n">
        <v>0</v>
      </c>
      <c r="L534" t="n">
        <v>0</v>
      </c>
      <c r="M534" t="n">
        <v>0</v>
      </c>
      <c r="N534" t="n">
        <v>0</v>
      </c>
      <c r="O534" t="n">
        <v>0</v>
      </c>
      <c r="P534" t="n">
        <v>0</v>
      </c>
      <c r="Q534" t="n">
        <v>0</v>
      </c>
      <c r="R534" s="2" t="inlineStr"/>
    </row>
    <row r="535" ht="15" customHeight="1">
      <c r="A535" t="inlineStr">
        <is>
          <t>A 4387-2023</t>
        </is>
      </c>
      <c r="B535" s="1" t="n">
        <v>44955.73359953704</v>
      </c>
      <c r="C535" s="1" t="n">
        <v>45984</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39479-2022</t>
        </is>
      </c>
      <c r="B536" s="1" t="n">
        <v>44818</v>
      </c>
      <c r="C536" s="1" t="n">
        <v>45984</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51963-2024</t>
        </is>
      </c>
      <c r="B537" s="1" t="n">
        <v>45607.64833333333</v>
      </c>
      <c r="C537" s="1" t="n">
        <v>45984</v>
      </c>
      <c r="D537" t="inlineStr">
        <is>
          <t>GOTLANDS LÄN</t>
        </is>
      </c>
      <c r="E537" t="inlineStr">
        <is>
          <t>GOTLAND</t>
        </is>
      </c>
      <c r="G537" t="n">
        <v>2.4</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45984</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46389-2021</t>
        </is>
      </c>
      <c r="B539" s="1" t="n">
        <v>44443</v>
      </c>
      <c r="C539" s="1" t="n">
        <v>45984</v>
      </c>
      <c r="D539" t="inlineStr">
        <is>
          <t>GOTLANDS LÄN</t>
        </is>
      </c>
      <c r="E539" t="inlineStr">
        <is>
          <t>GOTLAND</t>
        </is>
      </c>
      <c r="F539" t="inlineStr">
        <is>
          <t>Kyrkan</t>
        </is>
      </c>
      <c r="G539" t="n">
        <v>2.1</v>
      </c>
      <c r="H539" t="n">
        <v>0</v>
      </c>
      <c r="I539" t="n">
        <v>0</v>
      </c>
      <c r="J539" t="n">
        <v>0</v>
      </c>
      <c r="K539" t="n">
        <v>0</v>
      </c>
      <c r="L539" t="n">
        <v>0</v>
      </c>
      <c r="M539" t="n">
        <v>0</v>
      </c>
      <c r="N539" t="n">
        <v>0</v>
      </c>
      <c r="O539" t="n">
        <v>0</v>
      </c>
      <c r="P539" t="n">
        <v>0</v>
      </c>
      <c r="Q539" t="n">
        <v>0</v>
      </c>
      <c r="R539" s="2" t="inlineStr"/>
    </row>
    <row r="540" ht="15" customHeight="1">
      <c r="A540" t="inlineStr">
        <is>
          <t>A 26810-2021</t>
        </is>
      </c>
      <c r="B540" s="1" t="n">
        <v>44349.55087962963</v>
      </c>
      <c r="C540" s="1" t="n">
        <v>45984</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44963.69503472222</v>
      </c>
      <c r="C541" s="1" t="n">
        <v>45984</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33853-2024</t>
        </is>
      </c>
      <c r="B542" s="1" t="n">
        <v>45520.64298611111</v>
      </c>
      <c r="C542" s="1" t="n">
        <v>45984</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18918-2025</t>
        </is>
      </c>
      <c r="B543" s="1" t="n">
        <v>45764</v>
      </c>
      <c r="C543" s="1" t="n">
        <v>45984</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45984</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10655-2023</t>
        </is>
      </c>
      <c r="B545" s="1" t="n">
        <v>44988.49543981482</v>
      </c>
      <c r="C545" s="1" t="n">
        <v>45984</v>
      </c>
      <c r="D545" t="inlineStr">
        <is>
          <t>GOTLANDS LÄN</t>
        </is>
      </c>
      <c r="E545" t="inlineStr">
        <is>
          <t>GOTLAND</t>
        </is>
      </c>
      <c r="F545" t="inlineStr">
        <is>
          <t>Kyrkan</t>
        </is>
      </c>
      <c r="G545" t="n">
        <v>2</v>
      </c>
      <c r="H545" t="n">
        <v>0</v>
      </c>
      <c r="I545" t="n">
        <v>0</v>
      </c>
      <c r="J545" t="n">
        <v>0</v>
      </c>
      <c r="K545" t="n">
        <v>0</v>
      </c>
      <c r="L545" t="n">
        <v>0</v>
      </c>
      <c r="M545" t="n">
        <v>0</v>
      </c>
      <c r="N545" t="n">
        <v>0</v>
      </c>
      <c r="O545" t="n">
        <v>0</v>
      </c>
      <c r="P545" t="n">
        <v>0</v>
      </c>
      <c r="Q545" t="n">
        <v>0</v>
      </c>
      <c r="R545" s="2" t="inlineStr"/>
    </row>
    <row r="546" ht="15" customHeight="1">
      <c r="A546" t="inlineStr">
        <is>
          <t>A 2719-2023</t>
        </is>
      </c>
      <c r="B546" s="1" t="n">
        <v>44944.55361111111</v>
      </c>
      <c r="C546" s="1" t="n">
        <v>45984</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26891-2024</t>
        </is>
      </c>
      <c r="B547" s="1" t="n">
        <v>45470.65540509259</v>
      </c>
      <c r="C547" s="1" t="n">
        <v>45984</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42007-2023</t>
        </is>
      </c>
      <c r="B548" s="1" t="n">
        <v>45177</v>
      </c>
      <c r="C548" s="1" t="n">
        <v>45984</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9887-2025</t>
        </is>
      </c>
      <c r="B549" s="1" t="n">
        <v>45716</v>
      </c>
      <c r="C549" s="1" t="n">
        <v>45984</v>
      </c>
      <c r="D549" t="inlineStr">
        <is>
          <t>GOTLANDS LÄN</t>
        </is>
      </c>
      <c r="E549" t="inlineStr">
        <is>
          <t>GOTLAND</t>
        </is>
      </c>
      <c r="G549" t="n">
        <v>7.5</v>
      </c>
      <c r="H549" t="n">
        <v>0</v>
      </c>
      <c r="I549" t="n">
        <v>0</v>
      </c>
      <c r="J549" t="n">
        <v>0</v>
      </c>
      <c r="K549" t="n">
        <v>0</v>
      </c>
      <c r="L549" t="n">
        <v>0</v>
      </c>
      <c r="M549" t="n">
        <v>0</v>
      </c>
      <c r="N549" t="n">
        <v>0</v>
      </c>
      <c r="O549" t="n">
        <v>0</v>
      </c>
      <c r="P549" t="n">
        <v>0</v>
      </c>
      <c r="Q549" t="n">
        <v>0</v>
      </c>
      <c r="R549" s="2" t="inlineStr"/>
    </row>
    <row r="550" ht="15" customHeight="1">
      <c r="A550" t="inlineStr">
        <is>
          <t>A 38165-2023</t>
        </is>
      </c>
      <c r="B550" s="1" t="n">
        <v>45161</v>
      </c>
      <c r="C550" s="1" t="n">
        <v>45984</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27596-2023</t>
        </is>
      </c>
      <c r="B551" s="1" t="n">
        <v>45097</v>
      </c>
      <c r="C551" s="1" t="n">
        <v>45984</v>
      </c>
      <c r="D551" t="inlineStr">
        <is>
          <t>GOTLANDS LÄN</t>
        </is>
      </c>
      <c r="E551" t="inlineStr">
        <is>
          <t>GOTLAND</t>
        </is>
      </c>
      <c r="G551" t="n">
        <v>3.6</v>
      </c>
      <c r="H551" t="n">
        <v>0</v>
      </c>
      <c r="I551" t="n">
        <v>0</v>
      </c>
      <c r="J551" t="n">
        <v>0</v>
      </c>
      <c r="K551" t="n">
        <v>0</v>
      </c>
      <c r="L551" t="n">
        <v>0</v>
      </c>
      <c r="M551" t="n">
        <v>0</v>
      </c>
      <c r="N551" t="n">
        <v>0</v>
      </c>
      <c r="O551" t="n">
        <v>0</v>
      </c>
      <c r="P551" t="n">
        <v>0</v>
      </c>
      <c r="Q551" t="n">
        <v>0</v>
      </c>
      <c r="R551" s="2" t="inlineStr"/>
    </row>
    <row r="552" ht="15" customHeight="1">
      <c r="A552" t="inlineStr">
        <is>
          <t>A 24825-2024</t>
        </is>
      </c>
      <c r="B552" s="1" t="n">
        <v>45461</v>
      </c>
      <c r="C552" s="1" t="n">
        <v>45984</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6696-2023</t>
        </is>
      </c>
      <c r="B553" s="1" t="n">
        <v>44966.66425925926</v>
      </c>
      <c r="C553" s="1" t="n">
        <v>45984</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21247-2022</t>
        </is>
      </c>
      <c r="B554" s="1" t="n">
        <v>44705.38832175926</v>
      </c>
      <c r="C554" s="1" t="n">
        <v>45984</v>
      </c>
      <c r="D554" t="inlineStr">
        <is>
          <t>GOTLANDS LÄN</t>
        </is>
      </c>
      <c r="E554" t="inlineStr">
        <is>
          <t>GOTLAND</t>
        </is>
      </c>
      <c r="G554" t="n">
        <v>16.2</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44929.87122685185</v>
      </c>
      <c r="C555" s="1" t="n">
        <v>45984</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45984</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4421-2024</t>
        </is>
      </c>
      <c r="B557" s="1" t="n">
        <v>45327.45173611111</v>
      </c>
      <c r="C557" s="1" t="n">
        <v>45984</v>
      </c>
      <c r="D557" t="inlineStr">
        <is>
          <t>GOTLANDS LÄN</t>
        </is>
      </c>
      <c r="E557" t="inlineStr">
        <is>
          <t>GOTLAND</t>
        </is>
      </c>
      <c r="G557" t="n">
        <v>5.1</v>
      </c>
      <c r="H557" t="n">
        <v>0</v>
      </c>
      <c r="I557" t="n">
        <v>0</v>
      </c>
      <c r="J557" t="n">
        <v>0</v>
      </c>
      <c r="K557" t="n">
        <v>0</v>
      </c>
      <c r="L557" t="n">
        <v>0</v>
      </c>
      <c r="M557" t="n">
        <v>0</v>
      </c>
      <c r="N557" t="n">
        <v>0</v>
      </c>
      <c r="O557" t="n">
        <v>0</v>
      </c>
      <c r="P557" t="n">
        <v>0</v>
      </c>
      <c r="Q557" t="n">
        <v>0</v>
      </c>
      <c r="R557" s="2" t="inlineStr"/>
    </row>
    <row r="558" ht="15" customHeight="1">
      <c r="A558" t="inlineStr">
        <is>
          <t>A 51782-2023</t>
        </is>
      </c>
      <c r="B558" s="1" t="n">
        <v>45222.80952546297</v>
      </c>
      <c r="C558" s="1" t="n">
        <v>45984</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54268-2022</t>
        </is>
      </c>
      <c r="B559" s="1" t="n">
        <v>44882</v>
      </c>
      <c r="C559" s="1" t="n">
        <v>45984</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45984</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25866-2022</t>
        </is>
      </c>
      <c r="B561" s="1" t="n">
        <v>44733</v>
      </c>
      <c r="C561" s="1" t="n">
        <v>45984</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43229-2023</t>
        </is>
      </c>
      <c r="B562" s="1" t="n">
        <v>45183.46704861111</v>
      </c>
      <c r="C562" s="1" t="n">
        <v>45984</v>
      </c>
      <c r="D562" t="inlineStr">
        <is>
          <t>GOTLANDS LÄN</t>
        </is>
      </c>
      <c r="E562" t="inlineStr">
        <is>
          <t>GOTLAND</t>
        </is>
      </c>
      <c r="G562" t="n">
        <v>7.1</v>
      </c>
      <c r="H562" t="n">
        <v>0</v>
      </c>
      <c r="I562" t="n">
        <v>0</v>
      </c>
      <c r="J562" t="n">
        <v>0</v>
      </c>
      <c r="K562" t="n">
        <v>0</v>
      </c>
      <c r="L562" t="n">
        <v>0</v>
      </c>
      <c r="M562" t="n">
        <v>0</v>
      </c>
      <c r="N562" t="n">
        <v>0</v>
      </c>
      <c r="O562" t="n">
        <v>0</v>
      </c>
      <c r="P562" t="n">
        <v>0</v>
      </c>
      <c r="Q562" t="n">
        <v>0</v>
      </c>
      <c r="R562" s="2" t="inlineStr"/>
    </row>
    <row r="563" ht="15" customHeight="1">
      <c r="A563" t="inlineStr">
        <is>
          <t>A 1175-2025</t>
        </is>
      </c>
      <c r="B563" s="1" t="n">
        <v>45667.34449074074</v>
      </c>
      <c r="C563" s="1" t="n">
        <v>45984</v>
      </c>
      <c r="D563" t="inlineStr">
        <is>
          <t>GOTLANDS LÄN</t>
        </is>
      </c>
      <c r="E563" t="inlineStr">
        <is>
          <t>GOTLAND</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27095-2022</t>
        </is>
      </c>
      <c r="B564" s="1" t="n">
        <v>44741</v>
      </c>
      <c r="C564" s="1" t="n">
        <v>45984</v>
      </c>
      <c r="D564" t="inlineStr">
        <is>
          <t>GOTLANDS LÄN</t>
        </is>
      </c>
      <c r="E564" t="inlineStr">
        <is>
          <t>GOTLAND</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22899-2023</t>
        </is>
      </c>
      <c r="B565" s="1" t="n">
        <v>45072</v>
      </c>
      <c r="C565" s="1" t="n">
        <v>45984</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23978-2023</t>
        </is>
      </c>
      <c r="B566" s="1" t="n">
        <v>45078</v>
      </c>
      <c r="C566" s="1" t="n">
        <v>45984</v>
      </c>
      <c r="D566" t="inlineStr">
        <is>
          <t>GOTLANDS LÄN</t>
        </is>
      </c>
      <c r="E566" t="inlineStr">
        <is>
          <t>GOTLAND</t>
        </is>
      </c>
      <c r="F566" t="inlineStr">
        <is>
          <t>Naturvårdsverket</t>
        </is>
      </c>
      <c r="G566" t="n">
        <v>1.7</v>
      </c>
      <c r="H566" t="n">
        <v>0</v>
      </c>
      <c r="I566" t="n">
        <v>0</v>
      </c>
      <c r="J566" t="n">
        <v>0</v>
      </c>
      <c r="K566" t="n">
        <v>0</v>
      </c>
      <c r="L566" t="n">
        <v>0</v>
      </c>
      <c r="M566" t="n">
        <v>0</v>
      </c>
      <c r="N566" t="n">
        <v>0</v>
      </c>
      <c r="O566" t="n">
        <v>0</v>
      </c>
      <c r="P566" t="n">
        <v>0</v>
      </c>
      <c r="Q566" t="n">
        <v>0</v>
      </c>
      <c r="R566" s="2" t="inlineStr"/>
    </row>
    <row r="567" ht="15" customHeight="1">
      <c r="A567" t="inlineStr">
        <is>
          <t>A 34407-2023</t>
        </is>
      </c>
      <c r="B567" s="1" t="n">
        <v>45132</v>
      </c>
      <c r="C567" s="1" t="n">
        <v>45984</v>
      </c>
      <c r="D567" t="inlineStr">
        <is>
          <t>GOTLANDS LÄN</t>
        </is>
      </c>
      <c r="E567" t="inlineStr">
        <is>
          <t>GOTLAND</t>
        </is>
      </c>
      <c r="G567" t="n">
        <v>4.4</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45984</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27694-2024</t>
        </is>
      </c>
      <c r="B569" s="1" t="n">
        <v>45475</v>
      </c>
      <c r="C569" s="1" t="n">
        <v>45984</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45984</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13037-2025</t>
        </is>
      </c>
      <c r="B571" s="1" t="n">
        <v>45734</v>
      </c>
      <c r="C571" s="1" t="n">
        <v>45984</v>
      </c>
      <c r="D571" t="inlineStr">
        <is>
          <t>GOTLANDS LÄN</t>
        </is>
      </c>
      <c r="E571" t="inlineStr">
        <is>
          <t>GOTLAND</t>
        </is>
      </c>
      <c r="G571" t="n">
        <v>9.5</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45984</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44228-2022</t>
        </is>
      </c>
      <c r="B573" s="1" t="n">
        <v>44839.51599537037</v>
      </c>
      <c r="C573" s="1" t="n">
        <v>45984</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58132-2023</t>
        </is>
      </c>
      <c r="B574" s="1" t="n">
        <v>45250</v>
      </c>
      <c r="C574" s="1" t="n">
        <v>45984</v>
      </c>
      <c r="D574" t="inlineStr">
        <is>
          <t>GOTLANDS LÄN</t>
        </is>
      </c>
      <c r="E574" t="inlineStr">
        <is>
          <t>GOTLAND</t>
        </is>
      </c>
      <c r="G574" t="n">
        <v>3.1</v>
      </c>
      <c r="H574" t="n">
        <v>0</v>
      </c>
      <c r="I574" t="n">
        <v>0</v>
      </c>
      <c r="J574" t="n">
        <v>0</v>
      </c>
      <c r="K574" t="n">
        <v>0</v>
      </c>
      <c r="L574" t="n">
        <v>0</v>
      </c>
      <c r="M574" t="n">
        <v>0</v>
      </c>
      <c r="N574" t="n">
        <v>0</v>
      </c>
      <c r="O574" t="n">
        <v>0</v>
      </c>
      <c r="P574" t="n">
        <v>0</v>
      </c>
      <c r="Q574" t="n">
        <v>0</v>
      </c>
      <c r="R574" s="2" t="inlineStr"/>
    </row>
    <row r="575" ht="15" customHeight="1">
      <c r="A575" t="inlineStr">
        <is>
          <t>A 49884-2023</t>
        </is>
      </c>
      <c r="B575" s="1" t="n">
        <v>45213</v>
      </c>
      <c r="C575" s="1" t="n">
        <v>45984</v>
      </c>
      <c r="D575" t="inlineStr">
        <is>
          <t>GOTLANDS LÄN</t>
        </is>
      </c>
      <c r="E575" t="inlineStr">
        <is>
          <t>GOTLAND</t>
        </is>
      </c>
      <c r="G575" t="n">
        <v>8.9</v>
      </c>
      <c r="H575" t="n">
        <v>0</v>
      </c>
      <c r="I575" t="n">
        <v>0</v>
      </c>
      <c r="J575" t="n">
        <v>0</v>
      </c>
      <c r="K575" t="n">
        <v>0</v>
      </c>
      <c r="L575" t="n">
        <v>0</v>
      </c>
      <c r="M575" t="n">
        <v>0</v>
      </c>
      <c r="N575" t="n">
        <v>0</v>
      </c>
      <c r="O575" t="n">
        <v>0</v>
      </c>
      <c r="P575" t="n">
        <v>0</v>
      </c>
      <c r="Q575" t="n">
        <v>0</v>
      </c>
      <c r="R575" s="2" t="inlineStr"/>
    </row>
    <row r="576" ht="15" customHeight="1">
      <c r="A576" t="inlineStr">
        <is>
          <t>A 876-2024</t>
        </is>
      </c>
      <c r="B576" s="1" t="n">
        <v>45301</v>
      </c>
      <c r="C576" s="1" t="n">
        <v>45984</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45984</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45984</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45984</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45984</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45984</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45984</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45984</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45984</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45984</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45984</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45984</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45984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45984</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49257-2024</t>
        </is>
      </c>
      <c r="B590" s="1" t="n">
        <v>45595.47627314815</v>
      </c>
      <c r="C590" s="1" t="n">
        <v>45984</v>
      </c>
      <c r="D590" t="inlineStr">
        <is>
          <t>GOTLANDS LÄN</t>
        </is>
      </c>
      <c r="E590" t="inlineStr">
        <is>
          <t>GOTLAND</t>
        </is>
      </c>
      <c r="G590" t="n">
        <v>6.3</v>
      </c>
      <c r="H590" t="n">
        <v>0</v>
      </c>
      <c r="I590" t="n">
        <v>0</v>
      </c>
      <c r="J590" t="n">
        <v>0</v>
      </c>
      <c r="K590" t="n">
        <v>0</v>
      </c>
      <c r="L590" t="n">
        <v>0</v>
      </c>
      <c r="M590" t="n">
        <v>0</v>
      </c>
      <c r="N590" t="n">
        <v>0</v>
      </c>
      <c r="O590" t="n">
        <v>0</v>
      </c>
      <c r="P590" t="n">
        <v>0</v>
      </c>
      <c r="Q590" t="n">
        <v>0</v>
      </c>
      <c r="R590" s="2" t="inlineStr"/>
    </row>
    <row r="591" ht="15" customHeight="1">
      <c r="A591" t="inlineStr">
        <is>
          <t>A 37202-2024</t>
        </is>
      </c>
      <c r="B591" s="1" t="n">
        <v>45539.67310185185</v>
      </c>
      <c r="C591" s="1" t="n">
        <v>45984</v>
      </c>
      <c r="D591" t="inlineStr">
        <is>
          <t>GOTLANDS LÄN</t>
        </is>
      </c>
      <c r="E591" t="inlineStr">
        <is>
          <t>GOTLAND</t>
        </is>
      </c>
      <c r="G591" t="n">
        <v>0.3</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45984</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2774-2024</t>
        </is>
      </c>
      <c r="B593" s="1" t="n">
        <v>45314.62375</v>
      </c>
      <c r="C593" s="1" t="n">
        <v>45984</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60709-2023</t>
        </is>
      </c>
      <c r="B594" s="1" t="n">
        <v>45260</v>
      </c>
      <c r="C594" s="1" t="n">
        <v>45984</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64208-2021</t>
        </is>
      </c>
      <c r="B595" s="1" t="n">
        <v>44510</v>
      </c>
      <c r="C595" s="1" t="n">
        <v>45984</v>
      </c>
      <c r="D595" t="inlineStr">
        <is>
          <t>GOTLANDS LÄN</t>
        </is>
      </c>
      <c r="E595" t="inlineStr">
        <is>
          <t>GOTLAND</t>
        </is>
      </c>
      <c r="G595" t="n">
        <v>4.7</v>
      </c>
      <c r="H595" t="n">
        <v>0</v>
      </c>
      <c r="I595" t="n">
        <v>0</v>
      </c>
      <c r="J595" t="n">
        <v>0</v>
      </c>
      <c r="K595" t="n">
        <v>0</v>
      </c>
      <c r="L595" t="n">
        <v>0</v>
      </c>
      <c r="M595" t="n">
        <v>0</v>
      </c>
      <c r="N595" t="n">
        <v>0</v>
      </c>
      <c r="O595" t="n">
        <v>0</v>
      </c>
      <c r="P595" t="n">
        <v>0</v>
      </c>
      <c r="Q595" t="n">
        <v>0</v>
      </c>
      <c r="R595" s="2" t="inlineStr"/>
    </row>
    <row r="596" ht="15" customHeight="1">
      <c r="A596" t="inlineStr">
        <is>
          <t>A 39764-2022</t>
        </is>
      </c>
      <c r="B596" s="1" t="n">
        <v>44819</v>
      </c>
      <c r="C596" s="1" t="n">
        <v>45984</v>
      </c>
      <c r="D596" t="inlineStr">
        <is>
          <t>GOTLANDS LÄN</t>
        </is>
      </c>
      <c r="E596" t="inlineStr">
        <is>
          <t>GOTLAND</t>
        </is>
      </c>
      <c r="F596" t="inlineStr">
        <is>
          <t>Kyrkan</t>
        </is>
      </c>
      <c r="G596" t="n">
        <v>3.7</v>
      </c>
      <c r="H596" t="n">
        <v>0</v>
      </c>
      <c r="I596" t="n">
        <v>0</v>
      </c>
      <c r="J596" t="n">
        <v>0</v>
      </c>
      <c r="K596" t="n">
        <v>0</v>
      </c>
      <c r="L596" t="n">
        <v>0</v>
      </c>
      <c r="M596" t="n">
        <v>0</v>
      </c>
      <c r="N596" t="n">
        <v>0</v>
      </c>
      <c r="O596" t="n">
        <v>0</v>
      </c>
      <c r="P596" t="n">
        <v>0</v>
      </c>
      <c r="Q596" t="n">
        <v>0</v>
      </c>
      <c r="R596" s="2" t="inlineStr"/>
    </row>
    <row r="597" ht="15" customHeight="1">
      <c r="A597" t="inlineStr">
        <is>
          <t>A 58211-2024</t>
        </is>
      </c>
      <c r="B597" s="1" t="n">
        <v>45632.49292824074</v>
      </c>
      <c r="C597" s="1" t="n">
        <v>45984</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30956-2024</t>
        </is>
      </c>
      <c r="B598" s="1" t="n">
        <v>45499.42527777778</v>
      </c>
      <c r="C598" s="1" t="n">
        <v>45984</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30892-2024</t>
        </is>
      </c>
      <c r="B599" s="1" t="n">
        <v>45491</v>
      </c>
      <c r="C599" s="1" t="n">
        <v>45984</v>
      </c>
      <c r="D599" t="inlineStr">
        <is>
          <t>GOTLANDS LÄN</t>
        </is>
      </c>
      <c r="E599" t="inlineStr">
        <is>
          <t>GOTLAND</t>
        </is>
      </c>
      <c r="G599" t="n">
        <v>6.1</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45013.69365740741</v>
      </c>
      <c r="C600" s="1" t="n">
        <v>45984</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59469-2024</t>
        </is>
      </c>
      <c r="B601" s="1" t="n">
        <v>45638</v>
      </c>
      <c r="C601" s="1" t="n">
        <v>45984</v>
      </c>
      <c r="D601" t="inlineStr">
        <is>
          <t>GOTLANDS LÄN</t>
        </is>
      </c>
      <c r="E601" t="inlineStr">
        <is>
          <t>GOTLAND</t>
        </is>
      </c>
      <c r="G601" t="n">
        <v>0.4</v>
      </c>
      <c r="H601" t="n">
        <v>0</v>
      </c>
      <c r="I601" t="n">
        <v>0</v>
      </c>
      <c r="J601" t="n">
        <v>0</v>
      </c>
      <c r="K601" t="n">
        <v>0</v>
      </c>
      <c r="L601" t="n">
        <v>0</v>
      </c>
      <c r="M601" t="n">
        <v>0</v>
      </c>
      <c r="N601" t="n">
        <v>0</v>
      </c>
      <c r="O601" t="n">
        <v>0</v>
      </c>
      <c r="P601" t="n">
        <v>0</v>
      </c>
      <c r="Q601" t="n">
        <v>0</v>
      </c>
      <c r="R601" s="2" t="inlineStr"/>
    </row>
    <row r="602" ht="15" customHeight="1">
      <c r="A602" t="inlineStr">
        <is>
          <t>A 7858-2025</t>
        </is>
      </c>
      <c r="B602" s="1" t="n">
        <v>45706.68633101852</v>
      </c>
      <c r="C602" s="1" t="n">
        <v>45984</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53935-2024</t>
        </is>
      </c>
      <c r="B603" s="1" t="n">
        <v>45615</v>
      </c>
      <c r="C603" s="1" t="n">
        <v>45984</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45984</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4420-2025</t>
        </is>
      </c>
      <c r="B605" s="1" t="n">
        <v>45686.47157407407</v>
      </c>
      <c r="C605" s="1" t="n">
        <v>45984</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5891-2025</t>
        </is>
      </c>
      <c r="B606" s="1" t="n">
        <v>45695.38327546296</v>
      </c>
      <c r="C606" s="1" t="n">
        <v>45984</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7835-2024</t>
        </is>
      </c>
      <c r="B607" s="1" t="n">
        <v>45349.83138888889</v>
      </c>
      <c r="C607" s="1" t="n">
        <v>45984</v>
      </c>
      <c r="D607" t="inlineStr">
        <is>
          <t>GOTLANDS LÄN</t>
        </is>
      </c>
      <c r="E607" t="inlineStr">
        <is>
          <t>GOTLAND</t>
        </is>
      </c>
      <c r="G607" t="n">
        <v>3.8</v>
      </c>
      <c r="H607" t="n">
        <v>0</v>
      </c>
      <c r="I607" t="n">
        <v>0</v>
      </c>
      <c r="J607" t="n">
        <v>0</v>
      </c>
      <c r="K607" t="n">
        <v>0</v>
      </c>
      <c r="L607" t="n">
        <v>0</v>
      </c>
      <c r="M607" t="n">
        <v>0</v>
      </c>
      <c r="N607" t="n">
        <v>0</v>
      </c>
      <c r="O607" t="n">
        <v>0</v>
      </c>
      <c r="P607" t="n">
        <v>0</v>
      </c>
      <c r="Q607" t="n">
        <v>0</v>
      </c>
      <c r="R607" s="2" t="inlineStr"/>
    </row>
    <row r="608" ht="15" customHeight="1">
      <c r="A608" t="inlineStr">
        <is>
          <t>A 20794-2025</t>
        </is>
      </c>
      <c r="B608" s="1" t="n">
        <v>45776</v>
      </c>
      <c r="C608" s="1" t="n">
        <v>45984</v>
      </c>
      <c r="D608" t="inlineStr">
        <is>
          <t>GOTLANDS LÄN</t>
        </is>
      </c>
      <c r="E608" t="inlineStr">
        <is>
          <t>GOTLAND</t>
        </is>
      </c>
      <c r="G608" t="n">
        <v>6</v>
      </c>
      <c r="H608" t="n">
        <v>0</v>
      </c>
      <c r="I608" t="n">
        <v>0</v>
      </c>
      <c r="J608" t="n">
        <v>0</v>
      </c>
      <c r="K608" t="n">
        <v>0</v>
      </c>
      <c r="L608" t="n">
        <v>0</v>
      </c>
      <c r="M608" t="n">
        <v>0</v>
      </c>
      <c r="N608" t="n">
        <v>0</v>
      </c>
      <c r="O608" t="n">
        <v>0</v>
      </c>
      <c r="P608" t="n">
        <v>0</v>
      </c>
      <c r="Q608" t="n">
        <v>0</v>
      </c>
      <c r="R608" s="2" t="inlineStr"/>
    </row>
    <row r="609" ht="15" customHeight="1">
      <c r="A609" t="inlineStr">
        <is>
          <t>A 20805-2025</t>
        </is>
      </c>
      <c r="B609" s="1" t="n">
        <v>45776</v>
      </c>
      <c r="C609" s="1" t="n">
        <v>45984</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21389-2025</t>
        </is>
      </c>
      <c r="B610" s="1" t="n">
        <v>45782</v>
      </c>
      <c r="C610" s="1" t="n">
        <v>45984</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c r="A611" t="inlineStr">
        <is>
          <t>A 21651-2025</t>
        </is>
      </c>
      <c r="B611" s="1" t="n">
        <v>45783</v>
      </c>
      <c r="C611" s="1" t="n">
        <v>45984</v>
      </c>
      <c r="D611" t="inlineStr">
        <is>
          <t>GOTLANDS LÄN</t>
        </is>
      </c>
      <c r="E611" t="inlineStr">
        <is>
          <t>GOTLAND</t>
        </is>
      </c>
      <c r="G611" t="n">
        <v>4.2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2025-11-23T10:17:19Z</dcterms:created>
  <dcterms:modified xmlns:dcterms="http://purl.org/dc/terms/" xmlns:xsi="http://www.w3.org/2001/XMLSchema-instance" xsi:type="dcterms:W3CDTF">2025-11-23T10:17:20Z</dcterms:modified>
</cp:coreProperties>
</file>