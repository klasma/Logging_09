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46162</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46162</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46162</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46162</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46162</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46162</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46162</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46162</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46162</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46162</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46162</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46162</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46162</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46162</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46162</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46162</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46162</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46162</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63872-2021</t>
        </is>
      </c>
      <c r="B37" s="1" t="n">
        <v>44509</v>
      </c>
      <c r="C37" s="1" t="n">
        <v>46162</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15850-2025</t>
        </is>
      </c>
      <c r="B38" s="1" t="n">
        <v>45748</v>
      </c>
      <c r="C38" s="1" t="n">
        <v>46162</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28287-2024</t>
        </is>
      </c>
      <c r="B39" s="1" t="n">
        <v>45477</v>
      </c>
      <c r="C39" s="1" t="n">
        <v>46162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46162</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46162</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46162</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14354-2024</t>
        </is>
      </c>
      <c r="B46" s="1" t="n">
        <v>45393</v>
      </c>
      <c r="C46" s="1" t="n">
        <v>46162</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17766-2024</t>
        </is>
      </c>
      <c r="B47" s="1" t="n">
        <v>45418</v>
      </c>
      <c r="C47" s="1" t="n">
        <v>46162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46162</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46162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46162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46162</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46162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46162</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46162</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46162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46162</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46162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46162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46162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46162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46162</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46162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46162</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46162</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46162</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46162</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46162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46162</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46162</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46162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16823-2024</t>
        </is>
      </c>
      <c r="B76" s="1" t="n">
        <v>45411</v>
      </c>
      <c r="C76" s="1" t="n">
        <v>46162</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46162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46162</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46162</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52245-2025</t>
        </is>
      </c>
      <c r="B81" s="1" t="n">
        <v>45953.47115740741</v>
      </c>
      <c r="C81" s="1" t="n">
        <v>46162</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46162</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46162</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46162</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46162</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46162</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46162</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46162</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46162</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46162</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20833-2024</t>
        </is>
      </c>
      <c r="B91" s="1" t="n">
        <v>45439</v>
      </c>
      <c r="C91" s="1" t="n">
        <v>46162</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46162</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46162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6836-2026</t>
        </is>
      </c>
      <c r="B94" s="1" t="n">
        <v>46057</v>
      </c>
      <c r="C94" s="1" t="n">
        <v>46162</v>
      </c>
      <c r="D94" t="inlineStr">
        <is>
          <t>GOTLANDS LÄN</t>
        </is>
      </c>
      <c r="E94" t="inlineStr">
        <is>
          <t>GOTLAND</t>
        </is>
      </c>
      <c r="G94" t="n">
        <v>3.8</v>
      </c>
      <c r="H94" t="n">
        <v>1</v>
      </c>
      <c r="I94" t="n">
        <v>3</v>
      </c>
      <c r="J94" t="n">
        <v>0</v>
      </c>
      <c r="K94" t="n">
        <v>1</v>
      </c>
      <c r="L94" t="n">
        <v>0</v>
      </c>
      <c r="M94" t="n">
        <v>0</v>
      </c>
      <c r="N94" t="n">
        <v>0</v>
      </c>
      <c r="O94" t="n">
        <v>1</v>
      </c>
      <c r="P94" t="n">
        <v>1</v>
      </c>
      <c r="Q94" t="n">
        <v>4</v>
      </c>
      <c r="R94" s="2" t="inlineStr">
        <is>
          <t>Knärot
Fransig jordstjärna
Rödgul trumpetsvamp
Svavelriska</t>
        </is>
      </c>
      <c r="S94">
        <f>HYPERLINK("https://klasma.github.io/Logging_0980/artfynd/A 6836-2026 artfynd.xlsx", "A 6836-2026")</f>
        <v/>
      </c>
      <c r="T94">
        <f>HYPERLINK("https://klasma.github.io/Logging_0980/kartor/A 6836-2026 karta.png", "A 6836-2026")</f>
        <v/>
      </c>
      <c r="U94">
        <f>HYPERLINK("https://klasma.github.io/Logging_0980/knärot/A 6836-2026 karta knärot.png", "A 6836-2026")</f>
        <v/>
      </c>
      <c r="V94">
        <f>HYPERLINK("https://klasma.github.io/Logging_0980/klagomål/A 6836-2026 FSC-klagomål.docx", "A 6836-2026")</f>
        <v/>
      </c>
      <c r="W94">
        <f>HYPERLINK("https://klasma.github.io/Logging_0980/klagomålsmail/A 6836-2026 FSC-klagomål mail.docx", "A 6836-2026")</f>
        <v/>
      </c>
      <c r="X94">
        <f>HYPERLINK("https://klasma.github.io/Logging_0980/tillsyn/A 6836-2026 tillsynsbegäran.docx", "A 6836-2026")</f>
        <v/>
      </c>
      <c r="Y94">
        <f>HYPERLINK("https://klasma.github.io/Logging_0980/tillsynsmail/A 6836-2026 tillsynsbegäran mail.docx", "A 6836-2026")</f>
        <v/>
      </c>
    </row>
    <row r="95" ht="15" customHeight="1">
      <c r="A95" t="inlineStr">
        <is>
          <t>A 44933-2022</t>
        </is>
      </c>
      <c r="B95" s="1" t="n">
        <v>44841</v>
      </c>
      <c r="C95" s="1" t="n">
        <v>46162</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54523-2023</t>
        </is>
      </c>
      <c r="B96" s="1" t="n">
        <v>45233</v>
      </c>
      <c r="C96" s="1" t="n">
        <v>46162</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46162</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52250-2025</t>
        </is>
      </c>
      <c r="B98" s="1" t="n">
        <v>45953.48998842593</v>
      </c>
      <c r="C98" s="1" t="n">
        <v>46162</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46162</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57463-2025</t>
        </is>
      </c>
      <c r="B100" s="1" t="n">
        <v>45980</v>
      </c>
      <c r="C100" s="1" t="n">
        <v>46162</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46162</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46162</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46162</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46162</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20831-2024</t>
        </is>
      </c>
      <c r="B108" s="1" t="n">
        <v>45439</v>
      </c>
      <c r="C108" s="1" t="n">
        <v>46162</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1520-2026</t>
        </is>
      </c>
      <c r="B109" s="1" t="n">
        <v>46034.35891203704</v>
      </c>
      <c r="C109" s="1" t="n">
        <v>46162</v>
      </c>
      <c r="D109" t="inlineStr">
        <is>
          <t>GOTLANDS LÄN</t>
        </is>
      </c>
      <c r="E109" t="inlineStr">
        <is>
          <t>GOTLAND</t>
        </is>
      </c>
      <c r="G109" t="n">
        <v>7.4</v>
      </c>
      <c r="H109" t="n">
        <v>0</v>
      </c>
      <c r="I109" t="n">
        <v>1</v>
      </c>
      <c r="J109" t="n">
        <v>0</v>
      </c>
      <c r="K109" t="n">
        <v>2</v>
      </c>
      <c r="L109" t="n">
        <v>0</v>
      </c>
      <c r="M109" t="n">
        <v>0</v>
      </c>
      <c r="N109" t="n">
        <v>0</v>
      </c>
      <c r="O109" t="n">
        <v>2</v>
      </c>
      <c r="P109" t="n">
        <v>2</v>
      </c>
      <c r="Q109" t="n">
        <v>3</v>
      </c>
      <c r="R109" s="2" t="inlineStr">
        <is>
          <t>Granrotspindling
Gulsträngad fagerspindling
Brandmusseron</t>
        </is>
      </c>
      <c r="S109">
        <f>HYPERLINK("https://klasma.github.io/Logging_0980/artfynd/A 1520-2026 artfynd.xlsx", "A 1520-2026")</f>
        <v/>
      </c>
      <c r="T109">
        <f>HYPERLINK("https://klasma.github.io/Logging_0980/kartor/A 1520-2026 karta.png", "A 1520-2026")</f>
        <v/>
      </c>
      <c r="V109">
        <f>HYPERLINK("https://klasma.github.io/Logging_0980/klagomål/A 1520-2026 FSC-klagomål.docx", "A 1520-2026")</f>
        <v/>
      </c>
      <c r="W109">
        <f>HYPERLINK("https://klasma.github.io/Logging_0980/klagomålsmail/A 1520-2026 FSC-klagomål mail.docx", "A 1520-2026")</f>
        <v/>
      </c>
      <c r="X109">
        <f>HYPERLINK("https://klasma.github.io/Logging_0980/tillsyn/A 1520-2026 tillsynsbegäran.docx", "A 1520-2026")</f>
        <v/>
      </c>
      <c r="Y109">
        <f>HYPERLINK("https://klasma.github.io/Logging_0980/tillsynsmail/A 1520-2026 tillsynsbegäran mail.docx", "A 1520-2026")</f>
        <v/>
      </c>
    </row>
    <row r="110" ht="15" customHeight="1">
      <c r="A110" t="inlineStr">
        <is>
          <t>A 43013-2022</t>
        </is>
      </c>
      <c r="B110" s="1" t="n">
        <v>44833</v>
      </c>
      <c r="C110" s="1" t="n">
        <v>46162</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55334-2024</t>
        </is>
      </c>
      <c r="B111" s="1" t="n">
        <v>45621</v>
      </c>
      <c r="C111" s="1" t="n">
        <v>46162</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5235-2025</t>
        </is>
      </c>
      <c r="B112" s="1" t="n">
        <v>45692.26797453704</v>
      </c>
      <c r="C112" s="1" t="n">
        <v>46162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46162</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53552-2021</t>
        </is>
      </c>
      <c r="B114" s="1" t="n">
        <v>44468</v>
      </c>
      <c r="C114" s="1" t="n">
        <v>46162</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46162</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46162</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46162</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46162</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46162</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30490-2025</t>
        </is>
      </c>
      <c r="B120" s="1" t="n">
        <v>45830</v>
      </c>
      <c r="C120" s="1" t="n">
        <v>46162</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46162</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46162</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46162</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46162</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46162</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16997-2026</t>
        </is>
      </c>
      <c r="B126" s="1" t="n">
        <v>46114.42539351852</v>
      </c>
      <c r="C126" s="1" t="n">
        <v>46162</v>
      </c>
      <c r="D126" t="inlineStr">
        <is>
          <t>GOTLANDS LÄN</t>
        </is>
      </c>
      <c r="E126" t="inlineStr">
        <is>
          <t>GOTLAND</t>
        </is>
      </c>
      <c r="G126" t="n">
        <v>0.7</v>
      </c>
      <c r="H126" t="n">
        <v>0</v>
      </c>
      <c r="I126" t="n">
        <v>1</v>
      </c>
      <c r="J126" t="n">
        <v>0</v>
      </c>
      <c r="K126" t="n">
        <v>0</v>
      </c>
      <c r="L126" t="n">
        <v>1</v>
      </c>
      <c r="M126" t="n">
        <v>0</v>
      </c>
      <c r="N126" t="n">
        <v>0</v>
      </c>
      <c r="O126" t="n">
        <v>1</v>
      </c>
      <c r="P126" t="n">
        <v>1</v>
      </c>
      <c r="Q126" t="n">
        <v>2</v>
      </c>
      <c r="R126" s="2" t="inlineStr">
        <is>
          <t>Ask
Hasselticka</t>
        </is>
      </c>
      <c r="S126">
        <f>HYPERLINK("https://klasma.github.io/Logging_0980/artfynd/A 16997-2026 artfynd.xlsx", "A 16997-2026")</f>
        <v/>
      </c>
      <c r="T126">
        <f>HYPERLINK("https://klasma.github.io/Logging_0980/kartor/A 16997-2026 karta.png", "A 16997-2026")</f>
        <v/>
      </c>
      <c r="V126">
        <f>HYPERLINK("https://klasma.github.io/Logging_0980/klagomål/A 16997-2026 FSC-klagomål.docx", "A 16997-2026")</f>
        <v/>
      </c>
      <c r="W126">
        <f>HYPERLINK("https://klasma.github.io/Logging_0980/klagomålsmail/A 16997-2026 FSC-klagomål mail.docx", "A 16997-2026")</f>
        <v/>
      </c>
      <c r="X126">
        <f>HYPERLINK("https://klasma.github.io/Logging_0980/tillsyn/A 16997-2026 tillsynsbegäran.docx", "A 16997-2026")</f>
        <v/>
      </c>
      <c r="Y126">
        <f>HYPERLINK("https://klasma.github.io/Logging_0980/tillsynsmail/A 16997-2026 tillsynsbegäran mail.docx", "A 16997-2026")</f>
        <v/>
      </c>
    </row>
    <row r="127" ht="15" customHeight="1">
      <c r="A127" t="inlineStr">
        <is>
          <t>A 17328-2026</t>
        </is>
      </c>
      <c r="B127" s="1" t="n">
        <v>46119.61216435185</v>
      </c>
      <c r="C127" s="1" t="n">
        <v>46162</v>
      </c>
      <c r="D127" t="inlineStr">
        <is>
          <t>GOTLANDS LÄN</t>
        </is>
      </c>
      <c r="E127" t="inlineStr">
        <is>
          <t>GOTLAND</t>
        </is>
      </c>
      <c r="F127" t="inlineStr">
        <is>
          <t>Kyrkan</t>
        </is>
      </c>
      <c r="G127" t="n">
        <v>4</v>
      </c>
      <c r="H127" t="n">
        <v>1</v>
      </c>
      <c r="I127" t="n">
        <v>0</v>
      </c>
      <c r="J127" t="n">
        <v>2</v>
      </c>
      <c r="K127" t="n">
        <v>0</v>
      </c>
      <c r="L127" t="n">
        <v>0</v>
      </c>
      <c r="M127" t="n">
        <v>0</v>
      </c>
      <c r="N127" t="n">
        <v>0</v>
      </c>
      <c r="O127" t="n">
        <v>2</v>
      </c>
      <c r="P127" t="n">
        <v>0</v>
      </c>
      <c r="Q127" t="n">
        <v>2</v>
      </c>
      <c r="R127" s="2" t="inlineStr">
        <is>
          <t>Backtimjan
Spillkråka</t>
        </is>
      </c>
      <c r="S127">
        <f>HYPERLINK("https://klasma.github.io/Logging_0980/artfynd/A 17328-2026 artfynd.xlsx", "A 17328-2026")</f>
        <v/>
      </c>
      <c r="T127">
        <f>HYPERLINK("https://klasma.github.io/Logging_0980/kartor/A 17328-2026 karta.png", "A 17328-2026")</f>
        <v/>
      </c>
      <c r="V127">
        <f>HYPERLINK("https://klasma.github.io/Logging_0980/klagomål/A 17328-2026 FSC-klagomål.docx", "A 17328-2026")</f>
        <v/>
      </c>
      <c r="W127">
        <f>HYPERLINK("https://klasma.github.io/Logging_0980/klagomålsmail/A 17328-2026 FSC-klagomål mail.docx", "A 17328-2026")</f>
        <v/>
      </c>
      <c r="X127">
        <f>HYPERLINK("https://klasma.github.io/Logging_0980/tillsyn/A 17328-2026 tillsynsbegäran.docx", "A 17328-2026")</f>
        <v/>
      </c>
      <c r="Y127">
        <f>HYPERLINK("https://klasma.github.io/Logging_0980/tillsynsmail/A 17328-2026 tillsynsbegäran mail.docx", "A 17328-2026")</f>
        <v/>
      </c>
      <c r="Z127">
        <f>HYPERLINK("https://klasma.github.io/Logging_0980/fåglar/A 17328-2026 prioriterade fågelarter.docx", "A 17328-2026")</f>
        <v/>
      </c>
    </row>
    <row r="128" ht="15" customHeight="1">
      <c r="A128" t="inlineStr">
        <is>
          <t>A 20429-2025</t>
        </is>
      </c>
      <c r="B128" s="1" t="n">
        <v>45775.47728009259</v>
      </c>
      <c r="C128" s="1" t="n">
        <v>46162</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46162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46162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46162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46162</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46162</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46162</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62760-2025</t>
        </is>
      </c>
      <c r="B135" s="1" t="n">
        <v>46008</v>
      </c>
      <c r="C135" s="1" t="n">
        <v>46162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46162</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55649-2024</t>
        </is>
      </c>
      <c r="B137" s="1" t="n">
        <v>45622.63053240741</v>
      </c>
      <c r="C137" s="1" t="n">
        <v>46162</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46162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46162</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46162</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46162</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46162</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65927-2021</t>
        </is>
      </c>
      <c r="B145" s="1" t="n">
        <v>44516</v>
      </c>
      <c r="C145" s="1" t="n">
        <v>46162</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46162</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15637-2024</t>
        </is>
      </c>
      <c r="B147" s="1" t="n">
        <v>45403.6684837963</v>
      </c>
      <c r="C147" s="1" t="n">
        <v>46162</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12924-2025</t>
        </is>
      </c>
      <c r="B148" s="1" t="n">
        <v>45734</v>
      </c>
      <c r="C148" s="1" t="n">
        <v>46162</v>
      </c>
      <c r="D148" t="inlineStr">
        <is>
          <t>GOTLANDS LÄN</t>
        </is>
      </c>
      <c r="E148" t="inlineStr">
        <is>
          <t>GOTLAND</t>
        </is>
      </c>
      <c r="G148" t="n">
        <v>11.7</v>
      </c>
      <c r="H148" t="n">
        <v>0</v>
      </c>
      <c r="I148" t="n">
        <v>0</v>
      </c>
      <c r="J148" t="n">
        <v>0</v>
      </c>
      <c r="K148" t="n">
        <v>1</v>
      </c>
      <c r="L148" t="n">
        <v>0</v>
      </c>
      <c r="M148" t="n">
        <v>0</v>
      </c>
      <c r="N148" t="n">
        <v>0</v>
      </c>
      <c r="O148" t="n">
        <v>1</v>
      </c>
      <c r="P148" t="n">
        <v>1</v>
      </c>
      <c r="Q148" t="n">
        <v>1</v>
      </c>
      <c r="R148" s="2" t="inlineStr">
        <is>
          <t>Gotlandsmåra</t>
        </is>
      </c>
      <c r="S148">
        <f>HYPERLINK("https://klasma.github.io/Logging_0980/artfynd/A 12924-2025 artfynd.xlsx", "A 12924-2025")</f>
        <v/>
      </c>
      <c r="T148">
        <f>HYPERLINK("https://klasma.github.io/Logging_0980/kartor/A 12924-2025 karta.png", "A 12924-2025")</f>
        <v/>
      </c>
      <c r="V148">
        <f>HYPERLINK("https://klasma.github.io/Logging_0980/klagomål/A 12924-2025 FSC-klagomål.docx", "A 12924-2025")</f>
        <v/>
      </c>
      <c r="W148">
        <f>HYPERLINK("https://klasma.github.io/Logging_0980/klagomålsmail/A 12924-2025 FSC-klagomål mail.docx", "A 12924-2025")</f>
        <v/>
      </c>
      <c r="X148">
        <f>HYPERLINK("https://klasma.github.io/Logging_0980/tillsyn/A 12924-2025 tillsynsbegäran.docx", "A 12924-2025")</f>
        <v/>
      </c>
      <c r="Y148">
        <f>HYPERLINK("https://klasma.github.io/Logging_0980/tillsynsmail/A 12924-2025 tillsynsbegäran mail.docx", "A 12924-2025")</f>
        <v/>
      </c>
    </row>
    <row r="149" ht="15" customHeight="1">
      <c r="A149" t="inlineStr">
        <is>
          <t>A 39812-2025</t>
        </is>
      </c>
      <c r="B149" s="1" t="n">
        <v>45891</v>
      </c>
      <c r="C149" s="1" t="n">
        <v>46162</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46162</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46162</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2476-2025</t>
        </is>
      </c>
      <c r="B152" s="1" t="n">
        <v>45673</v>
      </c>
      <c r="C152" s="1" t="n">
        <v>46162</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35467-2021</t>
        </is>
      </c>
      <c r="B153" s="1" t="n">
        <v>44385</v>
      </c>
      <c r="C153" s="1" t="n">
        <v>46162</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46162</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10995-2023</t>
        </is>
      </c>
      <c r="B155" s="1" t="n">
        <v>44986</v>
      </c>
      <c r="C155" s="1" t="n">
        <v>46162</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62552-2022</t>
        </is>
      </c>
      <c r="B156" s="1" t="n">
        <v>44924</v>
      </c>
      <c r="C156" s="1" t="n">
        <v>46162</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44088-2022</t>
        </is>
      </c>
      <c r="B157" s="1" t="n">
        <v>44839</v>
      </c>
      <c r="C157" s="1" t="n">
        <v>46162</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49726-2025</t>
        </is>
      </c>
      <c r="B158" s="1" t="n">
        <v>45939.84466435185</v>
      </c>
      <c r="C158" s="1" t="n">
        <v>46162</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44308-2021</t>
        </is>
      </c>
      <c r="B159" s="1" t="n">
        <v>44434</v>
      </c>
      <c r="C159" s="1" t="n">
        <v>46162</v>
      </c>
      <c r="D159" t="inlineStr">
        <is>
          <t>GOTLANDS LÄN</t>
        </is>
      </c>
      <c r="E159" t="inlineStr">
        <is>
          <t>GOTLAND</t>
        </is>
      </c>
      <c r="G159" t="n">
        <v>5.9</v>
      </c>
      <c r="H159" t="n">
        <v>0</v>
      </c>
      <c r="I159" t="n">
        <v>1</v>
      </c>
      <c r="J159" t="n">
        <v>0</v>
      </c>
      <c r="K159" t="n">
        <v>0</v>
      </c>
      <c r="L159" t="n">
        <v>0</v>
      </c>
      <c r="M159" t="n">
        <v>0</v>
      </c>
      <c r="N159" t="n">
        <v>0</v>
      </c>
      <c r="O159" t="n">
        <v>0</v>
      </c>
      <c r="P159" t="n">
        <v>0</v>
      </c>
      <c r="Q159" t="n">
        <v>1</v>
      </c>
      <c r="R159" s="2" t="inlineStr">
        <is>
          <t>Svavelriska</t>
        </is>
      </c>
      <c r="S159">
        <f>HYPERLINK("https://klasma.github.io/Logging_0980/artfynd/A 44308-2021 artfynd.xlsx", "A 44308-2021")</f>
        <v/>
      </c>
      <c r="T159">
        <f>HYPERLINK("https://klasma.github.io/Logging_0980/kartor/A 44308-2021 karta.png", "A 44308-2021")</f>
        <v/>
      </c>
      <c r="V159">
        <f>HYPERLINK("https://klasma.github.io/Logging_0980/klagomål/A 44308-2021 FSC-klagomål.docx", "A 44308-2021")</f>
        <v/>
      </c>
      <c r="W159">
        <f>HYPERLINK("https://klasma.github.io/Logging_0980/klagomålsmail/A 44308-2021 FSC-klagomål mail.docx", "A 44308-2021")</f>
        <v/>
      </c>
      <c r="X159">
        <f>HYPERLINK("https://klasma.github.io/Logging_0980/tillsyn/A 44308-2021 tillsynsbegäran.docx", "A 44308-2021")</f>
        <v/>
      </c>
      <c r="Y159">
        <f>HYPERLINK("https://klasma.github.io/Logging_0980/tillsynsmail/A 44308-2021 tillsynsbegäran mail.docx", "A 44308-2021")</f>
        <v/>
      </c>
    </row>
    <row r="160" ht="15" customHeight="1">
      <c r="A160" t="inlineStr">
        <is>
          <t>A 447-2023</t>
        </is>
      </c>
      <c r="B160" s="1" t="n">
        <v>44929</v>
      </c>
      <c r="C160" s="1" t="n">
        <v>46162</v>
      </c>
      <c r="D160" t="inlineStr">
        <is>
          <t>GOTLANDS LÄN</t>
        </is>
      </c>
      <c r="E160" t="inlineStr">
        <is>
          <t>GOTLAND</t>
        </is>
      </c>
      <c r="G160" t="n">
        <v>5.1</v>
      </c>
      <c r="H160" t="n">
        <v>0</v>
      </c>
      <c r="I160" t="n">
        <v>0</v>
      </c>
      <c r="J160" t="n">
        <v>1</v>
      </c>
      <c r="K160" t="n">
        <v>0</v>
      </c>
      <c r="L160" t="n">
        <v>0</v>
      </c>
      <c r="M160" t="n">
        <v>0</v>
      </c>
      <c r="N160" t="n">
        <v>0</v>
      </c>
      <c r="O160" t="n">
        <v>1</v>
      </c>
      <c r="P160" t="n">
        <v>0</v>
      </c>
      <c r="Q160" t="n">
        <v>1</v>
      </c>
      <c r="R160" s="2" t="inlineStr">
        <is>
          <t>Äggspindling</t>
        </is>
      </c>
      <c r="S160">
        <f>HYPERLINK("https://klasma.github.io/Logging_0980/artfynd/A 447-2023 artfynd.xlsx", "A 447-2023")</f>
        <v/>
      </c>
      <c r="T160">
        <f>HYPERLINK("https://klasma.github.io/Logging_0980/kartor/A 447-2023 karta.png", "A 447-2023")</f>
        <v/>
      </c>
      <c r="V160">
        <f>HYPERLINK("https://klasma.github.io/Logging_0980/klagomål/A 447-2023 FSC-klagomål.docx", "A 447-2023")</f>
        <v/>
      </c>
      <c r="W160">
        <f>HYPERLINK("https://klasma.github.io/Logging_0980/klagomålsmail/A 447-2023 FSC-klagomål mail.docx", "A 447-2023")</f>
        <v/>
      </c>
      <c r="X160">
        <f>HYPERLINK("https://klasma.github.io/Logging_0980/tillsyn/A 447-2023 tillsynsbegäran.docx", "A 447-2023")</f>
        <v/>
      </c>
      <c r="Y160">
        <f>HYPERLINK("https://klasma.github.io/Logging_0980/tillsynsmail/A 447-2023 tillsynsbegäran mail.docx", "A 447-2023")</f>
        <v/>
      </c>
    </row>
    <row r="161" ht="15" customHeight="1">
      <c r="A161" t="inlineStr">
        <is>
          <t>A 947-2023</t>
        </is>
      </c>
      <c r="B161" s="1" t="n">
        <v>44934</v>
      </c>
      <c r="C161" s="1" t="n">
        <v>46162</v>
      </c>
      <c r="D161" t="inlineStr">
        <is>
          <t>GOTLANDS LÄN</t>
        </is>
      </c>
      <c r="E161" t="inlineStr">
        <is>
          <t>GOTLAND</t>
        </is>
      </c>
      <c r="G161" t="n">
        <v>0.7</v>
      </c>
      <c r="H161" t="n">
        <v>1</v>
      </c>
      <c r="I161" t="n">
        <v>0</v>
      </c>
      <c r="J161" t="n">
        <v>0</v>
      </c>
      <c r="K161" t="n">
        <v>1</v>
      </c>
      <c r="L161" t="n">
        <v>0</v>
      </c>
      <c r="M161" t="n">
        <v>0</v>
      </c>
      <c r="N161" t="n">
        <v>0</v>
      </c>
      <c r="O161" t="n">
        <v>1</v>
      </c>
      <c r="P161" t="n">
        <v>1</v>
      </c>
      <c r="Q161" t="n">
        <v>1</v>
      </c>
      <c r="R161" s="2" t="inlineStr">
        <is>
          <t>Garderönn</t>
        </is>
      </c>
      <c r="S161">
        <f>HYPERLINK("https://klasma.github.io/Logging_0980/artfynd/A 947-2023 artfynd.xlsx", "A 947-2023")</f>
        <v/>
      </c>
      <c r="T161">
        <f>HYPERLINK("https://klasma.github.io/Logging_0980/kartor/A 947-2023 karta.png", "A 947-2023")</f>
        <v/>
      </c>
      <c r="V161">
        <f>HYPERLINK("https://klasma.github.io/Logging_0980/klagomål/A 947-2023 FSC-klagomål.docx", "A 947-2023")</f>
        <v/>
      </c>
      <c r="W161">
        <f>HYPERLINK("https://klasma.github.io/Logging_0980/klagomålsmail/A 947-2023 FSC-klagomål mail.docx", "A 947-2023")</f>
        <v/>
      </c>
      <c r="X161">
        <f>HYPERLINK("https://klasma.github.io/Logging_0980/tillsyn/A 947-2023 tillsynsbegäran.docx", "A 947-2023")</f>
        <v/>
      </c>
      <c r="Y161">
        <f>HYPERLINK("https://klasma.github.io/Logging_0980/tillsynsmail/A 947-2023 tillsynsbegäran mail.docx", "A 947-2023")</f>
        <v/>
      </c>
    </row>
    <row r="162" ht="15" customHeight="1">
      <c r="A162" t="inlineStr">
        <is>
          <t>A 49304-2024</t>
        </is>
      </c>
      <c r="B162" s="1" t="n">
        <v>45595.54996527778</v>
      </c>
      <c r="C162" s="1" t="n">
        <v>46162</v>
      </c>
      <c r="D162" t="inlineStr">
        <is>
          <t>GOTLANDS LÄN</t>
        </is>
      </c>
      <c r="E162" t="inlineStr">
        <is>
          <t>GOTLAND</t>
        </is>
      </c>
      <c r="G162" t="n">
        <v>10.8</v>
      </c>
      <c r="H162" t="n">
        <v>0</v>
      </c>
      <c r="I162" t="n">
        <v>0</v>
      </c>
      <c r="J162" t="n">
        <v>1</v>
      </c>
      <c r="K162" t="n">
        <v>0</v>
      </c>
      <c r="L162" t="n">
        <v>0</v>
      </c>
      <c r="M162" t="n">
        <v>0</v>
      </c>
      <c r="N162" t="n">
        <v>0</v>
      </c>
      <c r="O162" t="n">
        <v>1</v>
      </c>
      <c r="P162" t="n">
        <v>0</v>
      </c>
      <c r="Q162" t="n">
        <v>1</v>
      </c>
      <c r="R162" s="2" t="inlineStr">
        <is>
          <t>Åkerranunkel</t>
        </is>
      </c>
      <c r="S162">
        <f>HYPERLINK("https://klasma.github.io/Logging_0980/artfynd/A 49304-2024 artfynd.xlsx", "A 49304-2024")</f>
        <v/>
      </c>
      <c r="T162">
        <f>HYPERLINK("https://klasma.github.io/Logging_0980/kartor/A 49304-2024 karta.png", "A 49304-2024")</f>
        <v/>
      </c>
      <c r="V162">
        <f>HYPERLINK("https://klasma.github.io/Logging_0980/klagomål/A 49304-2024 FSC-klagomål.docx", "A 49304-2024")</f>
        <v/>
      </c>
      <c r="W162">
        <f>HYPERLINK("https://klasma.github.io/Logging_0980/klagomålsmail/A 49304-2024 FSC-klagomål mail.docx", "A 49304-2024")</f>
        <v/>
      </c>
      <c r="X162">
        <f>HYPERLINK("https://klasma.github.io/Logging_0980/tillsyn/A 49304-2024 tillsynsbegäran.docx", "A 49304-2024")</f>
        <v/>
      </c>
      <c r="Y162">
        <f>HYPERLINK("https://klasma.github.io/Logging_0980/tillsynsmail/A 49304-2024 tillsynsbegäran mail.docx", "A 49304-2024")</f>
        <v/>
      </c>
    </row>
    <row r="163" ht="15" customHeight="1">
      <c r="A163" t="inlineStr">
        <is>
          <t>A 63576-2021</t>
        </is>
      </c>
      <c r="B163" s="1" t="n">
        <v>44508</v>
      </c>
      <c r="C163" s="1" t="n">
        <v>46162</v>
      </c>
      <c r="D163" t="inlineStr">
        <is>
          <t>GOTLANDS LÄN</t>
        </is>
      </c>
      <c r="E163" t="inlineStr">
        <is>
          <t>GOTLAND</t>
        </is>
      </c>
      <c r="F163" t="inlineStr">
        <is>
          <t>Kyrkan</t>
        </is>
      </c>
      <c r="G163" t="n">
        <v>4.1</v>
      </c>
      <c r="H163" t="n">
        <v>1</v>
      </c>
      <c r="I163" t="n">
        <v>0</v>
      </c>
      <c r="J163" t="n">
        <v>1</v>
      </c>
      <c r="K163" t="n">
        <v>0</v>
      </c>
      <c r="L163" t="n">
        <v>0</v>
      </c>
      <c r="M163" t="n">
        <v>0</v>
      </c>
      <c r="N163" t="n">
        <v>0</v>
      </c>
      <c r="O163" t="n">
        <v>1</v>
      </c>
      <c r="P163" t="n">
        <v>0</v>
      </c>
      <c r="Q163" t="n">
        <v>1</v>
      </c>
      <c r="R163" s="2" t="inlineStr">
        <is>
          <t>Dårgräsfjäril</t>
        </is>
      </c>
      <c r="S163">
        <f>HYPERLINK("https://klasma.github.io/Logging_0980/artfynd/A 63576-2021 artfynd.xlsx", "A 63576-2021")</f>
        <v/>
      </c>
      <c r="T163">
        <f>HYPERLINK("https://klasma.github.io/Logging_0980/kartor/A 63576-2021 karta.png", "A 63576-2021")</f>
        <v/>
      </c>
      <c r="V163">
        <f>HYPERLINK("https://klasma.github.io/Logging_0980/klagomål/A 63576-2021 FSC-klagomål.docx", "A 63576-2021")</f>
        <v/>
      </c>
      <c r="W163">
        <f>HYPERLINK("https://klasma.github.io/Logging_0980/klagomålsmail/A 63576-2021 FSC-klagomål mail.docx", "A 63576-2021")</f>
        <v/>
      </c>
      <c r="X163">
        <f>HYPERLINK("https://klasma.github.io/Logging_0980/tillsyn/A 63576-2021 tillsynsbegäran.docx", "A 63576-2021")</f>
        <v/>
      </c>
      <c r="Y163">
        <f>HYPERLINK("https://klasma.github.io/Logging_0980/tillsynsmail/A 63576-2021 tillsynsbegäran mail.docx", "A 63576-2021")</f>
        <v/>
      </c>
    </row>
    <row r="164" ht="15" customHeight="1">
      <c r="A164" t="inlineStr">
        <is>
          <t>A 64700-2021</t>
        </is>
      </c>
      <c r="B164" s="1" t="n">
        <v>44511</v>
      </c>
      <c r="C164" s="1" t="n">
        <v>46162</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27589-2023</t>
        </is>
      </c>
      <c r="B165" s="1" t="n">
        <v>45097</v>
      </c>
      <c r="C165" s="1" t="n">
        <v>46162</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1477-2024</t>
        </is>
      </c>
      <c r="B166" s="1" t="n">
        <v>45305.37987268518</v>
      </c>
      <c r="C166" s="1" t="n">
        <v>46162</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35574-2024</t>
        </is>
      </c>
      <c r="B167" s="1" t="n">
        <v>45531</v>
      </c>
      <c r="C167" s="1" t="n">
        <v>46162</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7637-2025</t>
        </is>
      </c>
      <c r="B168" s="1" t="n">
        <v>45705.77181712963</v>
      </c>
      <c r="C168" s="1" t="n">
        <v>46162</v>
      </c>
      <c r="D168" t="inlineStr">
        <is>
          <t>GOTLANDS LÄN</t>
        </is>
      </c>
      <c r="E168" t="inlineStr">
        <is>
          <t>GOTLAND</t>
        </is>
      </c>
      <c r="G168" t="n">
        <v>3.7</v>
      </c>
      <c r="H168" t="n">
        <v>0</v>
      </c>
      <c r="I168" t="n">
        <v>0</v>
      </c>
      <c r="J168" t="n">
        <v>0</v>
      </c>
      <c r="K168" t="n">
        <v>0</v>
      </c>
      <c r="L168" t="n">
        <v>0</v>
      </c>
      <c r="M168" t="n">
        <v>1</v>
      </c>
      <c r="N168" t="n">
        <v>0</v>
      </c>
      <c r="O168" t="n">
        <v>1</v>
      </c>
      <c r="P168" t="n">
        <v>1</v>
      </c>
      <c r="Q168" t="n">
        <v>1</v>
      </c>
      <c r="R168" s="2" t="inlineStr">
        <is>
          <t>Skogsalm</t>
        </is>
      </c>
      <c r="S168">
        <f>HYPERLINK("https://klasma.github.io/Logging_0980/artfynd/A 7637-2025 artfynd.xlsx", "A 7637-2025")</f>
        <v/>
      </c>
      <c r="T168">
        <f>HYPERLINK("https://klasma.github.io/Logging_0980/kartor/A 7637-2025 karta.png", "A 7637-2025")</f>
        <v/>
      </c>
      <c r="V168">
        <f>HYPERLINK("https://klasma.github.io/Logging_0980/klagomål/A 7637-2025 FSC-klagomål.docx", "A 7637-2025")</f>
        <v/>
      </c>
      <c r="W168">
        <f>HYPERLINK("https://klasma.github.io/Logging_0980/klagomålsmail/A 7637-2025 FSC-klagomål mail.docx", "A 7637-2025")</f>
        <v/>
      </c>
      <c r="X168">
        <f>HYPERLINK("https://klasma.github.io/Logging_0980/tillsyn/A 7637-2025 tillsynsbegäran.docx", "A 7637-2025")</f>
        <v/>
      </c>
      <c r="Y168">
        <f>HYPERLINK("https://klasma.github.io/Logging_0980/tillsynsmail/A 7637-2025 tillsynsbegäran mail.docx", "A 7637-2025")</f>
        <v/>
      </c>
    </row>
    <row r="169" ht="15" customHeight="1">
      <c r="A169" t="inlineStr">
        <is>
          <t>A 6303-2024</t>
        </is>
      </c>
      <c r="B169" s="1" t="n">
        <v>45338.35376157407</v>
      </c>
      <c r="C169" s="1" t="n">
        <v>46162</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Strävlosta</t>
        </is>
      </c>
      <c r="S169">
        <f>HYPERLINK("https://klasma.github.io/Logging_0980/artfynd/A 6303-2024 artfynd.xlsx", "A 6303-2024")</f>
        <v/>
      </c>
      <c r="T169">
        <f>HYPERLINK("https://klasma.github.io/Logging_0980/kartor/A 6303-2024 karta.png", "A 6303-2024")</f>
        <v/>
      </c>
      <c r="V169">
        <f>HYPERLINK("https://klasma.github.io/Logging_0980/klagomål/A 6303-2024 FSC-klagomål.docx", "A 6303-2024")</f>
        <v/>
      </c>
      <c r="W169">
        <f>HYPERLINK("https://klasma.github.io/Logging_0980/klagomålsmail/A 6303-2024 FSC-klagomål mail.docx", "A 6303-2024")</f>
        <v/>
      </c>
      <c r="X169">
        <f>HYPERLINK("https://klasma.github.io/Logging_0980/tillsyn/A 6303-2024 tillsynsbegäran.docx", "A 6303-2024")</f>
        <v/>
      </c>
      <c r="Y169">
        <f>HYPERLINK("https://klasma.github.io/Logging_0980/tillsynsmail/A 6303-2024 tillsynsbegäran mail.docx", "A 6303-2024")</f>
        <v/>
      </c>
    </row>
    <row r="170" ht="15" customHeight="1">
      <c r="A170" t="inlineStr">
        <is>
          <t>A 34809-2024</t>
        </is>
      </c>
      <c r="B170" s="1" t="n">
        <v>45526</v>
      </c>
      <c r="C170" s="1" t="n">
        <v>46162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10013-2026</t>
        </is>
      </c>
      <c r="B171" s="1" t="n">
        <v>46073</v>
      </c>
      <c r="C171" s="1" t="n">
        <v>46162</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61561-2023</t>
        </is>
      </c>
      <c r="B172" s="1" t="n">
        <v>45265</v>
      </c>
      <c r="C172" s="1" t="n">
        <v>46162</v>
      </c>
      <c r="D172" t="inlineStr">
        <is>
          <t>GOTLANDS LÄN</t>
        </is>
      </c>
      <c r="E172" t="inlineStr">
        <is>
          <t>GOTLAND</t>
        </is>
      </c>
      <c r="G172" t="n">
        <v>7.4</v>
      </c>
      <c r="H172" t="n">
        <v>0</v>
      </c>
      <c r="I172" t="n">
        <v>0</v>
      </c>
      <c r="J172" t="n">
        <v>1</v>
      </c>
      <c r="K172" t="n">
        <v>0</v>
      </c>
      <c r="L172" t="n">
        <v>0</v>
      </c>
      <c r="M172" t="n">
        <v>0</v>
      </c>
      <c r="N172" t="n">
        <v>0</v>
      </c>
      <c r="O172" t="n">
        <v>1</v>
      </c>
      <c r="P172" t="n">
        <v>0</v>
      </c>
      <c r="Q172" t="n">
        <v>1</v>
      </c>
      <c r="R172" s="2" t="inlineStr">
        <is>
          <t>Loppstarr</t>
        </is>
      </c>
      <c r="S172">
        <f>HYPERLINK("https://klasma.github.io/Logging_0980/artfynd/A 61561-2023 artfynd.xlsx", "A 61561-2023")</f>
        <v/>
      </c>
      <c r="T172">
        <f>HYPERLINK("https://klasma.github.io/Logging_0980/kartor/A 61561-2023 karta.png", "A 61561-2023")</f>
        <v/>
      </c>
      <c r="V172">
        <f>HYPERLINK("https://klasma.github.io/Logging_0980/klagomål/A 61561-2023 FSC-klagomål.docx", "A 61561-2023")</f>
        <v/>
      </c>
      <c r="W172">
        <f>HYPERLINK("https://klasma.github.io/Logging_0980/klagomålsmail/A 61561-2023 FSC-klagomål mail.docx", "A 61561-2023")</f>
        <v/>
      </c>
      <c r="X172">
        <f>HYPERLINK("https://klasma.github.io/Logging_0980/tillsyn/A 61561-2023 tillsynsbegäran.docx", "A 61561-2023")</f>
        <v/>
      </c>
      <c r="Y172">
        <f>HYPERLINK("https://klasma.github.io/Logging_0980/tillsynsmail/A 61561-2023 tillsynsbegäran mail.docx", "A 61561-2023")</f>
        <v/>
      </c>
    </row>
    <row r="173" ht="15" customHeight="1">
      <c r="A173" t="inlineStr">
        <is>
          <t>A 17854-2026</t>
        </is>
      </c>
      <c r="B173" s="1" t="n">
        <v>46121</v>
      </c>
      <c r="C173" s="1" t="n">
        <v>46162</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46162</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46162</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22782-2023</t>
        </is>
      </c>
      <c r="B176" s="1" t="n">
        <v>45072</v>
      </c>
      <c r="C176" s="1" t="n">
        <v>46162</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22883-2024</t>
        </is>
      </c>
      <c r="B177" s="1" t="n">
        <v>45448.66368055555</v>
      </c>
      <c r="C177" s="1" t="n">
        <v>46162</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13482-2026</t>
        </is>
      </c>
      <c r="B178" s="1" t="n">
        <v>46094</v>
      </c>
      <c r="C178" s="1" t="n">
        <v>46162</v>
      </c>
      <c r="D178" t="inlineStr">
        <is>
          <t>GOTLANDS LÄN</t>
        </is>
      </c>
      <c r="E178" t="inlineStr">
        <is>
          <t>GOTLAND</t>
        </is>
      </c>
      <c r="G178" t="n">
        <v>1.7</v>
      </c>
      <c r="H178" t="n">
        <v>1</v>
      </c>
      <c r="I178" t="n">
        <v>0</v>
      </c>
      <c r="J178" t="n">
        <v>1</v>
      </c>
      <c r="K178" t="n">
        <v>0</v>
      </c>
      <c r="L178" t="n">
        <v>0</v>
      </c>
      <c r="M178" t="n">
        <v>0</v>
      </c>
      <c r="N178" t="n">
        <v>0</v>
      </c>
      <c r="O178" t="n">
        <v>1</v>
      </c>
      <c r="P178" t="n">
        <v>0</v>
      </c>
      <c r="Q178" t="n">
        <v>1</v>
      </c>
      <c r="R178" s="2" t="inlineStr">
        <is>
          <t>Spillkråka</t>
        </is>
      </c>
      <c r="S178">
        <f>HYPERLINK("https://klasma.github.io/Logging_0980/artfynd/A 13482-2026 artfynd.xlsx", "A 13482-2026")</f>
        <v/>
      </c>
      <c r="T178">
        <f>HYPERLINK("https://klasma.github.io/Logging_0980/kartor/A 13482-2026 karta.png", "A 13482-2026")</f>
        <v/>
      </c>
      <c r="V178">
        <f>HYPERLINK("https://klasma.github.io/Logging_0980/klagomål/A 13482-2026 FSC-klagomål.docx", "A 13482-2026")</f>
        <v/>
      </c>
      <c r="W178">
        <f>HYPERLINK("https://klasma.github.io/Logging_0980/klagomålsmail/A 13482-2026 FSC-klagomål mail.docx", "A 13482-2026")</f>
        <v/>
      </c>
      <c r="X178">
        <f>HYPERLINK("https://klasma.github.io/Logging_0980/tillsyn/A 13482-2026 tillsynsbegäran.docx", "A 13482-2026")</f>
        <v/>
      </c>
      <c r="Y178">
        <f>HYPERLINK("https://klasma.github.io/Logging_0980/tillsynsmail/A 13482-2026 tillsynsbegäran mail.docx", "A 13482-2026")</f>
        <v/>
      </c>
      <c r="Z178">
        <f>HYPERLINK("https://klasma.github.io/Logging_0980/fåglar/A 13482-2026 prioriterade fågelarter.docx", "A 13482-2026")</f>
        <v/>
      </c>
    </row>
    <row r="179" ht="15" customHeight="1">
      <c r="A179" t="inlineStr">
        <is>
          <t>A 24245-2022</t>
        </is>
      </c>
      <c r="B179" s="1" t="n">
        <v>44725</v>
      </c>
      <c r="C179" s="1" t="n">
        <v>46162</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46162</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46162</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46162</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46162</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46162</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46162</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46162</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46162</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46162</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36313-2021</t>
        </is>
      </c>
      <c r="B189" s="1" t="n">
        <v>44390</v>
      </c>
      <c r="C189" s="1" t="n">
        <v>46162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46162</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46162</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46162</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46162</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46162</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46162</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46162</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46162</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46162</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46162</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46162</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46162</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46162</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46162</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46162</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46162</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46162</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46162</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46162</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46162</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46162</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46162</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46162</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46162</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46162</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46162</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46162</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46162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46162</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57219-2021</t>
        </is>
      </c>
      <c r="B220" s="1" t="n">
        <v>44483</v>
      </c>
      <c r="C220" s="1" t="n">
        <v>46162</v>
      </c>
      <c r="D220" t="inlineStr">
        <is>
          <t>GOTLANDS LÄN</t>
        </is>
      </c>
      <c r="E220" t="inlineStr">
        <is>
          <t>GOTLAND</t>
        </is>
      </c>
      <c r="F220" t="inlineStr">
        <is>
          <t>Kyrkan</t>
        </is>
      </c>
      <c r="G220" t="n">
        <v>4</v>
      </c>
      <c r="H220" t="n">
        <v>0</v>
      </c>
      <c r="I220" t="n">
        <v>0</v>
      </c>
      <c r="J220" t="n">
        <v>0</v>
      </c>
      <c r="K220" t="n">
        <v>0</v>
      </c>
      <c r="L220" t="n">
        <v>0</v>
      </c>
      <c r="M220" t="n">
        <v>0</v>
      </c>
      <c r="N220" t="n">
        <v>0</v>
      </c>
      <c r="O220" t="n">
        <v>0</v>
      </c>
      <c r="P220" t="n">
        <v>0</v>
      </c>
      <c r="Q220" t="n">
        <v>0</v>
      </c>
      <c r="R220" s="2" t="inlineStr"/>
    </row>
    <row r="221" ht="15" customHeight="1">
      <c r="A221" t="inlineStr">
        <is>
          <t>A 30282-2022</t>
        </is>
      </c>
      <c r="B221" s="1" t="n">
        <v>44760</v>
      </c>
      <c r="C221" s="1" t="n">
        <v>46162</v>
      </c>
      <c r="D221" t="inlineStr">
        <is>
          <t>GOTLANDS LÄN</t>
        </is>
      </c>
      <c r="E221" t="inlineStr">
        <is>
          <t>GOTLAND</t>
        </is>
      </c>
      <c r="G221" t="n">
        <v>2.6</v>
      </c>
      <c r="H221" t="n">
        <v>0</v>
      </c>
      <c r="I221" t="n">
        <v>0</v>
      </c>
      <c r="J221" t="n">
        <v>0</v>
      </c>
      <c r="K221" t="n">
        <v>0</v>
      </c>
      <c r="L221" t="n">
        <v>0</v>
      </c>
      <c r="M221" t="n">
        <v>0</v>
      </c>
      <c r="N221" t="n">
        <v>0</v>
      </c>
      <c r="O221" t="n">
        <v>0</v>
      </c>
      <c r="P221" t="n">
        <v>0</v>
      </c>
      <c r="Q221" t="n">
        <v>0</v>
      </c>
      <c r="R221" s="2" t="inlineStr"/>
    </row>
    <row r="222" ht="15" customHeight="1">
      <c r="A222" t="inlineStr">
        <is>
          <t>A 32330-2024</t>
        </is>
      </c>
      <c r="B222" s="1" t="n">
        <v>45512</v>
      </c>
      <c r="C222" s="1" t="n">
        <v>46162</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5751-2024</t>
        </is>
      </c>
      <c r="B223" s="1" t="n">
        <v>45335.32702546296</v>
      </c>
      <c r="C223" s="1" t="n">
        <v>46162</v>
      </c>
      <c r="D223" t="inlineStr">
        <is>
          <t>GOTLANDS LÄN</t>
        </is>
      </c>
      <c r="E223" t="inlineStr">
        <is>
          <t>GOTLAND</t>
        </is>
      </c>
      <c r="G223" t="n">
        <v>4.2</v>
      </c>
      <c r="H223" t="n">
        <v>0</v>
      </c>
      <c r="I223" t="n">
        <v>0</v>
      </c>
      <c r="J223" t="n">
        <v>0</v>
      </c>
      <c r="K223" t="n">
        <v>0</v>
      </c>
      <c r="L223" t="n">
        <v>0</v>
      </c>
      <c r="M223" t="n">
        <v>0</v>
      </c>
      <c r="N223" t="n">
        <v>0</v>
      </c>
      <c r="O223" t="n">
        <v>0</v>
      </c>
      <c r="P223" t="n">
        <v>0</v>
      </c>
      <c r="Q223" t="n">
        <v>0</v>
      </c>
      <c r="R223" s="2" t="inlineStr"/>
    </row>
    <row r="224" ht="15" customHeight="1">
      <c r="A224" t="inlineStr">
        <is>
          <t>A 9613-2025</t>
        </is>
      </c>
      <c r="B224" s="1" t="n">
        <v>45715</v>
      </c>
      <c r="C224" s="1" t="n">
        <v>46162</v>
      </c>
      <c r="D224" t="inlineStr">
        <is>
          <t>GOTLANDS LÄN</t>
        </is>
      </c>
      <c r="E224" t="inlineStr">
        <is>
          <t>GOTLAND</t>
        </is>
      </c>
      <c r="G224" t="n">
        <v>3.5</v>
      </c>
      <c r="H224" t="n">
        <v>0</v>
      </c>
      <c r="I224" t="n">
        <v>0</v>
      </c>
      <c r="J224" t="n">
        <v>0</v>
      </c>
      <c r="K224" t="n">
        <v>0</v>
      </c>
      <c r="L224" t="n">
        <v>0</v>
      </c>
      <c r="M224" t="n">
        <v>0</v>
      </c>
      <c r="N224" t="n">
        <v>0</v>
      </c>
      <c r="O224" t="n">
        <v>0</v>
      </c>
      <c r="P224" t="n">
        <v>0</v>
      </c>
      <c r="Q224" t="n">
        <v>0</v>
      </c>
      <c r="R224" s="2" t="inlineStr"/>
    </row>
    <row r="225" ht="15" customHeight="1">
      <c r="A225" t="inlineStr">
        <is>
          <t>A 15595-2024</t>
        </is>
      </c>
      <c r="B225" s="1" t="n">
        <v>45401.81480324074</v>
      </c>
      <c r="C225" s="1" t="n">
        <v>46162</v>
      </c>
      <c r="D225" t="inlineStr">
        <is>
          <t>GOTLANDS LÄN</t>
        </is>
      </c>
      <c r="E225" t="inlineStr">
        <is>
          <t>GOTLAND</t>
        </is>
      </c>
      <c r="G225" t="n">
        <v>6.4</v>
      </c>
      <c r="H225" t="n">
        <v>0</v>
      </c>
      <c r="I225" t="n">
        <v>0</v>
      </c>
      <c r="J225" t="n">
        <v>0</v>
      </c>
      <c r="K225" t="n">
        <v>0</v>
      </c>
      <c r="L225" t="n">
        <v>0</v>
      </c>
      <c r="M225" t="n">
        <v>0</v>
      </c>
      <c r="N225" t="n">
        <v>0</v>
      </c>
      <c r="O225" t="n">
        <v>0</v>
      </c>
      <c r="P225" t="n">
        <v>0</v>
      </c>
      <c r="Q225" t="n">
        <v>0</v>
      </c>
      <c r="R225" s="2" t="inlineStr"/>
    </row>
    <row r="226" ht="15" customHeight="1">
      <c r="A226" t="inlineStr">
        <is>
          <t>A 24966-2023</t>
        </is>
      </c>
      <c r="B226" s="1" t="n">
        <v>45085</v>
      </c>
      <c r="C226" s="1" t="n">
        <v>46162</v>
      </c>
      <c r="D226" t="inlineStr">
        <is>
          <t>GOTLANDS LÄN</t>
        </is>
      </c>
      <c r="E226" t="inlineStr">
        <is>
          <t>GOTLAND</t>
        </is>
      </c>
      <c r="G226" t="n">
        <v>7</v>
      </c>
      <c r="H226" t="n">
        <v>0</v>
      </c>
      <c r="I226" t="n">
        <v>0</v>
      </c>
      <c r="J226" t="n">
        <v>0</v>
      </c>
      <c r="K226" t="n">
        <v>0</v>
      </c>
      <c r="L226" t="n">
        <v>0</v>
      </c>
      <c r="M226" t="n">
        <v>0</v>
      </c>
      <c r="N226" t="n">
        <v>0</v>
      </c>
      <c r="O226" t="n">
        <v>0</v>
      </c>
      <c r="P226" t="n">
        <v>0</v>
      </c>
      <c r="Q226" t="n">
        <v>0</v>
      </c>
      <c r="R226" s="2" t="inlineStr"/>
    </row>
    <row r="227" ht="15" customHeight="1">
      <c r="A227" t="inlineStr">
        <is>
          <t>A 46189-2022</t>
        </is>
      </c>
      <c r="B227" s="1" t="n">
        <v>44847</v>
      </c>
      <c r="C227" s="1" t="n">
        <v>46162</v>
      </c>
      <c r="D227" t="inlineStr">
        <is>
          <t>GOTLANDS LÄN</t>
        </is>
      </c>
      <c r="E227" t="inlineStr">
        <is>
          <t>GOTLAND</t>
        </is>
      </c>
      <c r="G227" t="n">
        <v>0.4</v>
      </c>
      <c r="H227" t="n">
        <v>0</v>
      </c>
      <c r="I227" t="n">
        <v>0</v>
      </c>
      <c r="J227" t="n">
        <v>0</v>
      </c>
      <c r="K227" t="n">
        <v>0</v>
      </c>
      <c r="L227" t="n">
        <v>0</v>
      </c>
      <c r="M227" t="n">
        <v>0</v>
      </c>
      <c r="N227" t="n">
        <v>0</v>
      </c>
      <c r="O227" t="n">
        <v>0</v>
      </c>
      <c r="P227" t="n">
        <v>0</v>
      </c>
      <c r="Q227" t="n">
        <v>0</v>
      </c>
      <c r="R227" s="2" t="inlineStr"/>
    </row>
    <row r="228" ht="15" customHeight="1">
      <c r="A228" t="inlineStr">
        <is>
          <t>A 22031-2024</t>
        </is>
      </c>
      <c r="B228" s="1" t="n">
        <v>45443.60075231481</v>
      </c>
      <c r="C228" s="1" t="n">
        <v>46162</v>
      </c>
      <c r="D228" t="inlineStr">
        <is>
          <t>GOTLANDS LÄN</t>
        </is>
      </c>
      <c r="E228" t="inlineStr">
        <is>
          <t>GOTLAND</t>
        </is>
      </c>
      <c r="G228" t="n">
        <v>2.3</v>
      </c>
      <c r="H228" t="n">
        <v>0</v>
      </c>
      <c r="I228" t="n">
        <v>0</v>
      </c>
      <c r="J228" t="n">
        <v>0</v>
      </c>
      <c r="K228" t="n">
        <v>0</v>
      </c>
      <c r="L228" t="n">
        <v>0</v>
      </c>
      <c r="M228" t="n">
        <v>0</v>
      </c>
      <c r="N228" t="n">
        <v>0</v>
      </c>
      <c r="O228" t="n">
        <v>0</v>
      </c>
      <c r="P228" t="n">
        <v>0</v>
      </c>
      <c r="Q228" t="n">
        <v>0</v>
      </c>
      <c r="R228" s="2" t="inlineStr"/>
    </row>
    <row r="229" ht="15" customHeight="1">
      <c r="A229" t="inlineStr">
        <is>
          <t>A 49314-2024</t>
        </is>
      </c>
      <c r="B229" s="1" t="n">
        <v>45595.55893518519</v>
      </c>
      <c r="C229" s="1" t="n">
        <v>46162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44919-2022</t>
        </is>
      </c>
      <c r="B230" s="1" t="n">
        <v>44841</v>
      </c>
      <c r="C230" s="1" t="n">
        <v>46162</v>
      </c>
      <c r="D230" t="inlineStr">
        <is>
          <t>GOTLANDS LÄN</t>
        </is>
      </c>
      <c r="E230" t="inlineStr">
        <is>
          <t>GOTLAND</t>
        </is>
      </c>
      <c r="G230" t="n">
        <v>2.2</v>
      </c>
      <c r="H230" t="n">
        <v>0</v>
      </c>
      <c r="I230" t="n">
        <v>0</v>
      </c>
      <c r="J230" t="n">
        <v>0</v>
      </c>
      <c r="K230" t="n">
        <v>0</v>
      </c>
      <c r="L230" t="n">
        <v>0</v>
      </c>
      <c r="M230" t="n">
        <v>0</v>
      </c>
      <c r="N230" t="n">
        <v>0</v>
      </c>
      <c r="O230" t="n">
        <v>0</v>
      </c>
      <c r="P230" t="n">
        <v>0</v>
      </c>
      <c r="Q230" t="n">
        <v>0</v>
      </c>
      <c r="R230" s="2" t="inlineStr"/>
    </row>
    <row r="231" ht="15" customHeight="1">
      <c r="A231" t="inlineStr">
        <is>
          <t>A 48503-2023</t>
        </is>
      </c>
      <c r="B231" s="1" t="n">
        <v>45207</v>
      </c>
      <c r="C231" s="1" t="n">
        <v>46162</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65901-2021</t>
        </is>
      </c>
      <c r="B232" s="1" t="n">
        <v>44516</v>
      </c>
      <c r="C232" s="1" t="n">
        <v>46162</v>
      </c>
      <c r="D232" t="inlineStr">
        <is>
          <t>GOTLANDS LÄN</t>
        </is>
      </c>
      <c r="E232" t="inlineStr">
        <is>
          <t>GOTLAND</t>
        </is>
      </c>
      <c r="G232" t="n">
        <v>4.9</v>
      </c>
      <c r="H232" t="n">
        <v>0</v>
      </c>
      <c r="I232" t="n">
        <v>0</v>
      </c>
      <c r="J232" t="n">
        <v>0</v>
      </c>
      <c r="K232" t="n">
        <v>0</v>
      </c>
      <c r="L232" t="n">
        <v>0</v>
      </c>
      <c r="M232" t="n">
        <v>0</v>
      </c>
      <c r="N232" t="n">
        <v>0</v>
      </c>
      <c r="O232" t="n">
        <v>0</v>
      </c>
      <c r="P232" t="n">
        <v>0</v>
      </c>
      <c r="Q232" t="n">
        <v>0</v>
      </c>
      <c r="R232" s="2" t="inlineStr"/>
    </row>
    <row r="233" ht="15" customHeight="1">
      <c r="A233" t="inlineStr">
        <is>
          <t>A 4868-2024</t>
        </is>
      </c>
      <c r="B233" s="1" t="n">
        <v>45329</v>
      </c>
      <c r="C233" s="1" t="n">
        <v>46162</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44649-2021</t>
        </is>
      </c>
      <c r="B234" s="1" t="n">
        <v>44437</v>
      </c>
      <c r="C234" s="1" t="n">
        <v>46162</v>
      </c>
      <c r="D234" t="inlineStr">
        <is>
          <t>GOTLANDS LÄN</t>
        </is>
      </c>
      <c r="E234" t="inlineStr">
        <is>
          <t>GOTLAND</t>
        </is>
      </c>
      <c r="G234" t="n">
        <v>8.1</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46162</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46162</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17682-2024</t>
        </is>
      </c>
      <c r="B237" s="1" t="n">
        <v>45418.42966435185</v>
      </c>
      <c r="C237" s="1" t="n">
        <v>46162</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57522-2022</t>
        </is>
      </c>
      <c r="B238" s="1" t="n">
        <v>44896</v>
      </c>
      <c r="C238" s="1" t="n">
        <v>46162</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46162</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30365-2024</t>
        </is>
      </c>
      <c r="B240" s="1" t="n">
        <v>45491.3716087963</v>
      </c>
      <c r="C240" s="1" t="n">
        <v>46162</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1681-2023</t>
        </is>
      </c>
      <c r="B241" s="1" t="n">
        <v>44938.39715277778</v>
      </c>
      <c r="C241" s="1" t="n">
        <v>46162</v>
      </c>
      <c r="D241" t="inlineStr">
        <is>
          <t>GOTLANDS LÄN</t>
        </is>
      </c>
      <c r="E241" t="inlineStr">
        <is>
          <t>GOTLAND</t>
        </is>
      </c>
      <c r="G241" t="n">
        <v>2.4</v>
      </c>
      <c r="H241" t="n">
        <v>0</v>
      </c>
      <c r="I241" t="n">
        <v>0</v>
      </c>
      <c r="J241" t="n">
        <v>0</v>
      </c>
      <c r="K241" t="n">
        <v>0</v>
      </c>
      <c r="L241" t="n">
        <v>0</v>
      </c>
      <c r="M241" t="n">
        <v>0</v>
      </c>
      <c r="N241" t="n">
        <v>0</v>
      </c>
      <c r="O241" t="n">
        <v>0</v>
      </c>
      <c r="P241" t="n">
        <v>0</v>
      </c>
      <c r="Q241" t="n">
        <v>0</v>
      </c>
      <c r="R241" s="2" t="inlineStr"/>
    </row>
    <row r="242" ht="15" customHeight="1">
      <c r="A242" t="inlineStr">
        <is>
          <t>A 1273-2023</t>
        </is>
      </c>
      <c r="B242" s="1" t="n">
        <v>44936</v>
      </c>
      <c r="C242" s="1" t="n">
        <v>46162</v>
      </c>
      <c r="D242" t="inlineStr">
        <is>
          <t>GOTLANDS LÄN</t>
        </is>
      </c>
      <c r="E242" t="inlineStr">
        <is>
          <t>GOTLAND</t>
        </is>
      </c>
      <c r="G242" t="n">
        <v>4.5</v>
      </c>
      <c r="H242" t="n">
        <v>0</v>
      </c>
      <c r="I242" t="n">
        <v>0</v>
      </c>
      <c r="J242" t="n">
        <v>0</v>
      </c>
      <c r="K242" t="n">
        <v>0</v>
      </c>
      <c r="L242" t="n">
        <v>0</v>
      </c>
      <c r="M242" t="n">
        <v>0</v>
      </c>
      <c r="N242" t="n">
        <v>0</v>
      </c>
      <c r="O242" t="n">
        <v>0</v>
      </c>
      <c r="P242" t="n">
        <v>0</v>
      </c>
      <c r="Q242" t="n">
        <v>0</v>
      </c>
      <c r="R242" s="2" t="inlineStr"/>
    </row>
    <row r="243" ht="15" customHeight="1">
      <c r="A243" t="inlineStr">
        <is>
          <t>A 6099-2024</t>
        </is>
      </c>
      <c r="B243" s="1" t="n">
        <v>45337</v>
      </c>
      <c r="C243" s="1" t="n">
        <v>46162</v>
      </c>
      <c r="D243" t="inlineStr">
        <is>
          <t>GOTLANDS LÄN</t>
        </is>
      </c>
      <c r="E243" t="inlineStr">
        <is>
          <t>GOTLAND</t>
        </is>
      </c>
      <c r="G243" t="n">
        <v>12.6</v>
      </c>
      <c r="H243" t="n">
        <v>0</v>
      </c>
      <c r="I243" t="n">
        <v>0</v>
      </c>
      <c r="J243" t="n">
        <v>0</v>
      </c>
      <c r="K243" t="n">
        <v>0</v>
      </c>
      <c r="L243" t="n">
        <v>0</v>
      </c>
      <c r="M243" t="n">
        <v>0</v>
      </c>
      <c r="N243" t="n">
        <v>0</v>
      </c>
      <c r="O243" t="n">
        <v>0</v>
      </c>
      <c r="P243" t="n">
        <v>0</v>
      </c>
      <c r="Q243" t="n">
        <v>0</v>
      </c>
      <c r="R243" s="2" t="inlineStr"/>
    </row>
    <row r="244" ht="15" customHeight="1">
      <c r="A244" t="inlineStr">
        <is>
          <t>A 58780-2024</t>
        </is>
      </c>
      <c r="B244" s="1" t="n">
        <v>45635.84113425926</v>
      </c>
      <c r="C244" s="1" t="n">
        <v>46162</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45692-2023</t>
        </is>
      </c>
      <c r="B245" s="1" t="n">
        <v>45195</v>
      </c>
      <c r="C245" s="1" t="n">
        <v>46162</v>
      </c>
      <c r="D245" t="inlineStr">
        <is>
          <t>GOTLANDS LÄN</t>
        </is>
      </c>
      <c r="E245" t="inlineStr">
        <is>
          <t>GOTLAND</t>
        </is>
      </c>
      <c r="G245" t="n">
        <v>5.3</v>
      </c>
      <c r="H245" t="n">
        <v>0</v>
      </c>
      <c r="I245" t="n">
        <v>0</v>
      </c>
      <c r="J245" t="n">
        <v>0</v>
      </c>
      <c r="K245" t="n">
        <v>0</v>
      </c>
      <c r="L245" t="n">
        <v>0</v>
      </c>
      <c r="M245" t="n">
        <v>0</v>
      </c>
      <c r="N245" t="n">
        <v>0</v>
      </c>
      <c r="O245" t="n">
        <v>0</v>
      </c>
      <c r="P245" t="n">
        <v>0</v>
      </c>
      <c r="Q245" t="n">
        <v>0</v>
      </c>
      <c r="R245" s="2" t="inlineStr"/>
    </row>
    <row r="246" ht="15" customHeight="1">
      <c r="A246" t="inlineStr">
        <is>
          <t>A 28285-2024</t>
        </is>
      </c>
      <c r="B246" s="1" t="n">
        <v>45477</v>
      </c>
      <c r="C246" s="1" t="n">
        <v>46162</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61100-2022</t>
        </is>
      </c>
      <c r="B247" s="1" t="n">
        <v>44915</v>
      </c>
      <c r="C247" s="1" t="n">
        <v>46162</v>
      </c>
      <c r="D247" t="inlineStr">
        <is>
          <t>GOTLANDS LÄN</t>
        </is>
      </c>
      <c r="E247" t="inlineStr">
        <is>
          <t>GOTLAND</t>
        </is>
      </c>
      <c r="G247" t="n">
        <v>1.4</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46162</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61682-2024</t>
        </is>
      </c>
      <c r="B249" s="1" t="n">
        <v>45647.48824074074</v>
      </c>
      <c r="C249" s="1" t="n">
        <v>46162</v>
      </c>
      <c r="D249" t="inlineStr">
        <is>
          <t>GOTLANDS LÄN</t>
        </is>
      </c>
      <c r="E249" t="inlineStr">
        <is>
          <t>GOTLAND</t>
        </is>
      </c>
      <c r="G249" t="n">
        <v>1.9</v>
      </c>
      <c r="H249" t="n">
        <v>0</v>
      </c>
      <c r="I249" t="n">
        <v>0</v>
      </c>
      <c r="J249" t="n">
        <v>0</v>
      </c>
      <c r="K249" t="n">
        <v>0</v>
      </c>
      <c r="L249" t="n">
        <v>0</v>
      </c>
      <c r="M249" t="n">
        <v>0</v>
      </c>
      <c r="N249" t="n">
        <v>0</v>
      </c>
      <c r="O249" t="n">
        <v>0</v>
      </c>
      <c r="P249" t="n">
        <v>0</v>
      </c>
      <c r="Q249" t="n">
        <v>0</v>
      </c>
      <c r="R249" s="2" t="inlineStr"/>
    </row>
    <row r="250" ht="15" customHeight="1">
      <c r="A250" t="inlineStr">
        <is>
          <t>A 17688-2024</t>
        </is>
      </c>
      <c r="B250" s="1" t="n">
        <v>45418.43575231481</v>
      </c>
      <c r="C250" s="1" t="n">
        <v>46162</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58388-2022</t>
        </is>
      </c>
      <c r="B251" s="1" t="n">
        <v>44894</v>
      </c>
      <c r="C251" s="1" t="n">
        <v>46162</v>
      </c>
      <c r="D251" t="inlineStr">
        <is>
          <t>GOTLANDS LÄN</t>
        </is>
      </c>
      <c r="E251" t="inlineStr">
        <is>
          <t>GOTLAND</t>
        </is>
      </c>
      <c r="F251" t="inlineStr">
        <is>
          <t>Övriga statliga verk och myndigheter</t>
        </is>
      </c>
      <c r="G251" t="n">
        <v>3.1</v>
      </c>
      <c r="H251" t="n">
        <v>0</v>
      </c>
      <c r="I251" t="n">
        <v>0</v>
      </c>
      <c r="J251" t="n">
        <v>0</v>
      </c>
      <c r="K251" t="n">
        <v>0</v>
      </c>
      <c r="L251" t="n">
        <v>0</v>
      </c>
      <c r="M251" t="n">
        <v>0</v>
      </c>
      <c r="N251" t="n">
        <v>0</v>
      </c>
      <c r="O251" t="n">
        <v>0</v>
      </c>
      <c r="P251" t="n">
        <v>0</v>
      </c>
      <c r="Q251" t="n">
        <v>0</v>
      </c>
      <c r="R251" s="2" t="inlineStr"/>
    </row>
    <row r="252" ht="15" customHeight="1">
      <c r="A252" t="inlineStr">
        <is>
          <t>A 7837-2024</t>
        </is>
      </c>
      <c r="B252" s="1" t="n">
        <v>45349.83787037037</v>
      </c>
      <c r="C252" s="1" t="n">
        <v>46162</v>
      </c>
      <c r="D252" t="inlineStr">
        <is>
          <t>GOTLANDS LÄN</t>
        </is>
      </c>
      <c r="E252" t="inlineStr">
        <is>
          <t>GOTLAND</t>
        </is>
      </c>
      <c r="G252" t="n">
        <v>5</v>
      </c>
      <c r="H252" t="n">
        <v>0</v>
      </c>
      <c r="I252" t="n">
        <v>0</v>
      </c>
      <c r="J252" t="n">
        <v>0</v>
      </c>
      <c r="K252" t="n">
        <v>0</v>
      </c>
      <c r="L252" t="n">
        <v>0</v>
      </c>
      <c r="M252" t="n">
        <v>0</v>
      </c>
      <c r="N252" t="n">
        <v>0</v>
      </c>
      <c r="O252" t="n">
        <v>0</v>
      </c>
      <c r="P252" t="n">
        <v>0</v>
      </c>
      <c r="Q252" t="n">
        <v>0</v>
      </c>
      <c r="R252" s="2" t="inlineStr"/>
    </row>
    <row r="253" ht="15" customHeight="1">
      <c r="A253" t="inlineStr">
        <is>
          <t>A 21792-2024</t>
        </is>
      </c>
      <c r="B253" s="1" t="n">
        <v>45442.64326388889</v>
      </c>
      <c r="C253" s="1" t="n">
        <v>46162</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4568-2025</t>
        </is>
      </c>
      <c r="B254" s="1" t="n">
        <v>45687</v>
      </c>
      <c r="C254" s="1" t="n">
        <v>46162</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35512-2023</t>
        </is>
      </c>
      <c r="B255" s="1" t="n">
        <v>45147.25623842593</v>
      </c>
      <c r="C255" s="1" t="n">
        <v>46162</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5905-2024</t>
        </is>
      </c>
      <c r="B256" s="1" t="n">
        <v>45335.88993055555</v>
      </c>
      <c r="C256" s="1" t="n">
        <v>46162</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46162</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45106-2024</t>
        </is>
      </c>
      <c r="B258" s="1" t="n">
        <v>45575</v>
      </c>
      <c r="C258" s="1" t="n">
        <v>46162</v>
      </c>
      <c r="D258" t="inlineStr">
        <is>
          <t>GOTLANDS LÄN</t>
        </is>
      </c>
      <c r="E258" t="inlineStr">
        <is>
          <t>GOTLAND</t>
        </is>
      </c>
      <c r="G258" t="n">
        <v>10</v>
      </c>
      <c r="H258" t="n">
        <v>0</v>
      </c>
      <c r="I258" t="n">
        <v>0</v>
      </c>
      <c r="J258" t="n">
        <v>0</v>
      </c>
      <c r="K258" t="n">
        <v>0</v>
      </c>
      <c r="L258" t="n">
        <v>0</v>
      </c>
      <c r="M258" t="n">
        <v>0</v>
      </c>
      <c r="N258" t="n">
        <v>0</v>
      </c>
      <c r="O258" t="n">
        <v>0</v>
      </c>
      <c r="P258" t="n">
        <v>0</v>
      </c>
      <c r="Q258" t="n">
        <v>0</v>
      </c>
      <c r="R258" s="2" t="inlineStr"/>
    </row>
    <row r="259" ht="15" customHeight="1">
      <c r="A259" t="inlineStr">
        <is>
          <t>A 45112-2024</t>
        </is>
      </c>
      <c r="B259" s="1" t="n">
        <v>45575</v>
      </c>
      <c r="C259" s="1" t="n">
        <v>46162</v>
      </c>
      <c r="D259" t="inlineStr">
        <is>
          <t>GOTLANDS LÄN</t>
        </is>
      </c>
      <c r="E259" t="inlineStr">
        <is>
          <t>GOTLAND</t>
        </is>
      </c>
      <c r="G259" t="n">
        <v>5.1</v>
      </c>
      <c r="H259" t="n">
        <v>0</v>
      </c>
      <c r="I259" t="n">
        <v>0</v>
      </c>
      <c r="J259" t="n">
        <v>0</v>
      </c>
      <c r="K259" t="n">
        <v>0</v>
      </c>
      <c r="L259" t="n">
        <v>0</v>
      </c>
      <c r="M259" t="n">
        <v>0</v>
      </c>
      <c r="N259" t="n">
        <v>0</v>
      </c>
      <c r="O259" t="n">
        <v>0</v>
      </c>
      <c r="P259" t="n">
        <v>0</v>
      </c>
      <c r="Q259" t="n">
        <v>0</v>
      </c>
      <c r="R259" s="2" t="inlineStr"/>
    </row>
    <row r="260" ht="15" customHeight="1">
      <c r="A260" t="inlineStr">
        <is>
          <t>A 2676-2023</t>
        </is>
      </c>
      <c r="B260" s="1" t="n">
        <v>44944</v>
      </c>
      <c r="C260" s="1" t="n">
        <v>46162</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49315-2024</t>
        </is>
      </c>
      <c r="B261" s="1" t="n">
        <v>45595</v>
      </c>
      <c r="C261" s="1" t="n">
        <v>46162</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3150-2025</t>
        </is>
      </c>
      <c r="B262" s="1" t="n">
        <v>45679.28974537037</v>
      </c>
      <c r="C262" s="1" t="n">
        <v>46162</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8484-2025</t>
        </is>
      </c>
      <c r="B263" s="1" t="n">
        <v>45709</v>
      </c>
      <c r="C263" s="1" t="n">
        <v>46162</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7635-2025</t>
        </is>
      </c>
      <c r="B264" s="1" t="n">
        <v>45705</v>
      </c>
      <c r="C264" s="1" t="n">
        <v>46162</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7636-2025</t>
        </is>
      </c>
      <c r="B265" s="1" t="n">
        <v>45705.7687962963</v>
      </c>
      <c r="C265" s="1" t="n">
        <v>46162</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7639-2025</t>
        </is>
      </c>
      <c r="B266" s="1" t="n">
        <v>45705.77465277778</v>
      </c>
      <c r="C266" s="1" t="n">
        <v>46162</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1291-2023</t>
        </is>
      </c>
      <c r="B267" s="1" t="n">
        <v>44936.47561342592</v>
      </c>
      <c r="C267" s="1" t="n">
        <v>46162</v>
      </c>
      <c r="D267" t="inlineStr">
        <is>
          <t>GOTLANDS LÄN</t>
        </is>
      </c>
      <c r="E267" t="inlineStr">
        <is>
          <t>GOTLAND</t>
        </is>
      </c>
      <c r="G267" t="n">
        <v>7.4</v>
      </c>
      <c r="H267" t="n">
        <v>0</v>
      </c>
      <c r="I267" t="n">
        <v>0</v>
      </c>
      <c r="J267" t="n">
        <v>0</v>
      </c>
      <c r="K267" t="n">
        <v>0</v>
      </c>
      <c r="L267" t="n">
        <v>0</v>
      </c>
      <c r="M267" t="n">
        <v>0</v>
      </c>
      <c r="N267" t="n">
        <v>0</v>
      </c>
      <c r="O267" t="n">
        <v>0</v>
      </c>
      <c r="P267" t="n">
        <v>0</v>
      </c>
      <c r="Q267" t="n">
        <v>0</v>
      </c>
      <c r="R267" s="2" t="inlineStr"/>
    </row>
    <row r="268" ht="15" customHeight="1">
      <c r="A268" t="inlineStr">
        <is>
          <t>A 4639-2026</t>
        </is>
      </c>
      <c r="B268" s="1" t="n">
        <v>46048.39880787037</v>
      </c>
      <c r="C268" s="1" t="n">
        <v>46162</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15216-2025</t>
        </is>
      </c>
      <c r="B269" s="1" t="n">
        <v>45744</v>
      </c>
      <c r="C269" s="1" t="n">
        <v>46162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43790-2024</t>
        </is>
      </c>
      <c r="B270" s="1" t="n">
        <v>45571</v>
      </c>
      <c r="C270" s="1" t="n">
        <v>46162</v>
      </c>
      <c r="D270" t="inlineStr">
        <is>
          <t>GOTLANDS LÄN</t>
        </is>
      </c>
      <c r="E270" t="inlineStr">
        <is>
          <t>GOTLAND</t>
        </is>
      </c>
      <c r="G270" t="n">
        <v>3.5</v>
      </c>
      <c r="H270" t="n">
        <v>0</v>
      </c>
      <c r="I270" t="n">
        <v>0</v>
      </c>
      <c r="J270" t="n">
        <v>0</v>
      </c>
      <c r="K270" t="n">
        <v>0</v>
      </c>
      <c r="L270" t="n">
        <v>0</v>
      </c>
      <c r="M270" t="n">
        <v>0</v>
      </c>
      <c r="N270" t="n">
        <v>0</v>
      </c>
      <c r="O270" t="n">
        <v>0</v>
      </c>
      <c r="P270" t="n">
        <v>0</v>
      </c>
      <c r="Q270" t="n">
        <v>0</v>
      </c>
      <c r="R270" s="2" t="inlineStr"/>
    </row>
    <row r="271" ht="15" customHeight="1">
      <c r="A271" t="inlineStr">
        <is>
          <t>A 15001-2025</t>
        </is>
      </c>
      <c r="B271" s="1" t="n">
        <v>45743</v>
      </c>
      <c r="C271" s="1" t="n">
        <v>46162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30488-2025</t>
        </is>
      </c>
      <c r="B272" s="1" t="n">
        <v>45830</v>
      </c>
      <c r="C272" s="1" t="n">
        <v>46162</v>
      </c>
      <c r="D272" t="inlineStr">
        <is>
          <t>GOTLANDS LÄN</t>
        </is>
      </c>
      <c r="E272" t="inlineStr">
        <is>
          <t>GOTLAND</t>
        </is>
      </c>
      <c r="F272" t="inlineStr">
        <is>
          <t>Kyrkan</t>
        </is>
      </c>
      <c r="G272" t="n">
        <v>3.9</v>
      </c>
      <c r="H272" t="n">
        <v>0</v>
      </c>
      <c r="I272" t="n">
        <v>0</v>
      </c>
      <c r="J272" t="n">
        <v>0</v>
      </c>
      <c r="K272" t="n">
        <v>0</v>
      </c>
      <c r="L272" t="n">
        <v>0</v>
      </c>
      <c r="M272" t="n">
        <v>0</v>
      </c>
      <c r="N272" t="n">
        <v>0</v>
      </c>
      <c r="O272" t="n">
        <v>0</v>
      </c>
      <c r="P272" t="n">
        <v>0</v>
      </c>
      <c r="Q272" t="n">
        <v>0</v>
      </c>
      <c r="R272" s="2" t="inlineStr"/>
    </row>
    <row r="273" ht="15" customHeight="1">
      <c r="A273" t="inlineStr">
        <is>
          <t>A 17847-2025</t>
        </is>
      </c>
      <c r="B273" s="1" t="n">
        <v>45758</v>
      </c>
      <c r="C273" s="1" t="n">
        <v>46162</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1854-2026</t>
        </is>
      </c>
      <c r="B274" s="1" t="n">
        <v>46035.4171875</v>
      </c>
      <c r="C274" s="1" t="n">
        <v>46162</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18742-2025</t>
        </is>
      </c>
      <c r="B275" s="1" t="n">
        <v>45763</v>
      </c>
      <c r="C275" s="1" t="n">
        <v>46162</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35129-2025</t>
        </is>
      </c>
      <c r="B276" s="1" t="n">
        <v>45852.63224537037</v>
      </c>
      <c r="C276" s="1" t="n">
        <v>46162</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20356-2022</t>
        </is>
      </c>
      <c r="B277" s="1" t="n">
        <v>44699</v>
      </c>
      <c r="C277" s="1" t="n">
        <v>46162</v>
      </c>
      <c r="D277" t="inlineStr">
        <is>
          <t>GOTLANDS LÄN</t>
        </is>
      </c>
      <c r="E277" t="inlineStr">
        <is>
          <t>GOTLAND</t>
        </is>
      </c>
      <c r="F277" t="inlineStr">
        <is>
          <t>Övriga Aktiebolag</t>
        </is>
      </c>
      <c r="G277" t="n">
        <v>4.4</v>
      </c>
      <c r="H277" t="n">
        <v>0</v>
      </c>
      <c r="I277" t="n">
        <v>0</v>
      </c>
      <c r="J277" t="n">
        <v>0</v>
      </c>
      <c r="K277" t="n">
        <v>0</v>
      </c>
      <c r="L277" t="n">
        <v>0</v>
      </c>
      <c r="M277" t="n">
        <v>0</v>
      </c>
      <c r="N277" t="n">
        <v>0</v>
      </c>
      <c r="O277" t="n">
        <v>0</v>
      </c>
      <c r="P277" t="n">
        <v>0</v>
      </c>
      <c r="Q277" t="n">
        <v>0</v>
      </c>
      <c r="R277" s="2" t="inlineStr"/>
    </row>
    <row r="278" ht="15" customHeight="1">
      <c r="A278" t="inlineStr">
        <is>
          <t>A 48734-2022</t>
        </is>
      </c>
      <c r="B278" s="1" t="n">
        <v>44855</v>
      </c>
      <c r="C278" s="1" t="n">
        <v>46162</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14141-2024</t>
        </is>
      </c>
      <c r="B279" s="1" t="n">
        <v>45392.85193287037</v>
      </c>
      <c r="C279" s="1" t="n">
        <v>46162</v>
      </c>
      <c r="D279" t="inlineStr">
        <is>
          <t>GOTLANDS LÄN</t>
        </is>
      </c>
      <c r="E279" t="inlineStr">
        <is>
          <t>GOTLAND</t>
        </is>
      </c>
      <c r="G279" t="n">
        <v>5.3</v>
      </c>
      <c r="H279" t="n">
        <v>0</v>
      </c>
      <c r="I279" t="n">
        <v>0</v>
      </c>
      <c r="J279" t="n">
        <v>0</v>
      </c>
      <c r="K279" t="n">
        <v>0</v>
      </c>
      <c r="L279" t="n">
        <v>0</v>
      </c>
      <c r="M279" t="n">
        <v>0</v>
      </c>
      <c r="N279" t="n">
        <v>0</v>
      </c>
      <c r="O279" t="n">
        <v>0</v>
      </c>
      <c r="P279" t="n">
        <v>0</v>
      </c>
      <c r="Q279" t="n">
        <v>0</v>
      </c>
      <c r="R279" s="2" t="inlineStr"/>
    </row>
    <row r="280" ht="15" customHeight="1">
      <c r="A280" t="inlineStr">
        <is>
          <t>A 29809-2022</t>
        </is>
      </c>
      <c r="B280" s="1" t="n">
        <v>44755.8713425926</v>
      </c>
      <c r="C280" s="1" t="n">
        <v>46162</v>
      </c>
      <c r="D280" t="inlineStr">
        <is>
          <t>GOTLANDS LÄN</t>
        </is>
      </c>
      <c r="E280" t="inlineStr">
        <is>
          <t>GOTLAND</t>
        </is>
      </c>
      <c r="G280" t="n">
        <v>11.5</v>
      </c>
      <c r="H280" t="n">
        <v>0</v>
      </c>
      <c r="I280" t="n">
        <v>0</v>
      </c>
      <c r="J280" t="n">
        <v>0</v>
      </c>
      <c r="K280" t="n">
        <v>0</v>
      </c>
      <c r="L280" t="n">
        <v>0</v>
      </c>
      <c r="M280" t="n">
        <v>0</v>
      </c>
      <c r="N280" t="n">
        <v>0</v>
      </c>
      <c r="O280" t="n">
        <v>0</v>
      </c>
      <c r="P280" t="n">
        <v>0</v>
      </c>
      <c r="Q280" t="n">
        <v>0</v>
      </c>
      <c r="R280" s="2" t="inlineStr"/>
    </row>
    <row r="281" ht="15" customHeight="1">
      <c r="A281" t="inlineStr">
        <is>
          <t>A 18993-2025</t>
        </is>
      </c>
      <c r="B281" s="1" t="n">
        <v>45764</v>
      </c>
      <c r="C281" s="1" t="n">
        <v>46162</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22351-2026</t>
        </is>
      </c>
      <c r="B282" s="1" t="n">
        <v>46154.58350694444</v>
      </c>
      <c r="C282" s="1" t="n">
        <v>46162</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57685-2022</t>
        </is>
      </c>
      <c r="B283" s="1" t="n">
        <v>44897.4777662037</v>
      </c>
      <c r="C283" s="1" t="n">
        <v>46162</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30135-2025</t>
        </is>
      </c>
      <c r="B284" s="1" t="n">
        <v>45826</v>
      </c>
      <c r="C284" s="1" t="n">
        <v>46162</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12599-2025</t>
        </is>
      </c>
      <c r="B285" s="1" t="n">
        <v>45733.29546296296</v>
      </c>
      <c r="C285" s="1" t="n">
        <v>46162</v>
      </c>
      <c r="D285" t="inlineStr">
        <is>
          <t>GOTLANDS LÄN</t>
        </is>
      </c>
      <c r="E285" t="inlineStr">
        <is>
          <t>GOTLAND</t>
        </is>
      </c>
      <c r="G285" t="n">
        <v>4.7</v>
      </c>
      <c r="H285" t="n">
        <v>0</v>
      </c>
      <c r="I285" t="n">
        <v>0</v>
      </c>
      <c r="J285" t="n">
        <v>0</v>
      </c>
      <c r="K285" t="n">
        <v>0</v>
      </c>
      <c r="L285" t="n">
        <v>0</v>
      </c>
      <c r="M285" t="n">
        <v>0</v>
      </c>
      <c r="N285" t="n">
        <v>0</v>
      </c>
      <c r="O285" t="n">
        <v>0</v>
      </c>
      <c r="P285" t="n">
        <v>0</v>
      </c>
      <c r="Q285" t="n">
        <v>0</v>
      </c>
      <c r="R285" s="2" t="inlineStr"/>
    </row>
    <row r="286" ht="15" customHeight="1">
      <c r="A286" t="inlineStr">
        <is>
          <t>A 22275-2026</t>
        </is>
      </c>
      <c r="B286" s="1" t="n">
        <v>46154.41924768518</v>
      </c>
      <c r="C286" s="1" t="n">
        <v>46162</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22348-2026</t>
        </is>
      </c>
      <c r="B287" s="1" t="n">
        <v>46154.58071759259</v>
      </c>
      <c r="C287" s="1" t="n">
        <v>46162</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35141-2025</t>
        </is>
      </c>
      <c r="B288" s="1" t="n">
        <v>45852.65206018519</v>
      </c>
      <c r="C288" s="1" t="n">
        <v>46162</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35142-2025</t>
        </is>
      </c>
      <c r="B289" s="1" t="n">
        <v>45852.65532407408</v>
      </c>
      <c r="C289" s="1" t="n">
        <v>46162</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30815-2023</t>
        </is>
      </c>
      <c r="B290" s="1" t="n">
        <v>45112</v>
      </c>
      <c r="C290" s="1" t="n">
        <v>46162</v>
      </c>
      <c r="D290" t="inlineStr">
        <is>
          <t>GOTLANDS LÄN</t>
        </is>
      </c>
      <c r="E290" t="inlineStr">
        <is>
          <t>GOTLAND</t>
        </is>
      </c>
      <c r="G290" t="n">
        <v>6</v>
      </c>
      <c r="H290" t="n">
        <v>0</v>
      </c>
      <c r="I290" t="n">
        <v>0</v>
      </c>
      <c r="J290" t="n">
        <v>0</v>
      </c>
      <c r="K290" t="n">
        <v>0</v>
      </c>
      <c r="L290" t="n">
        <v>0</v>
      </c>
      <c r="M290" t="n">
        <v>0</v>
      </c>
      <c r="N290" t="n">
        <v>0</v>
      </c>
      <c r="O290" t="n">
        <v>0</v>
      </c>
      <c r="P290" t="n">
        <v>0</v>
      </c>
      <c r="Q290" t="n">
        <v>0</v>
      </c>
      <c r="R290" s="2" t="inlineStr"/>
    </row>
    <row r="291" ht="15" customHeight="1">
      <c r="A291" t="inlineStr">
        <is>
          <t>A 6108-2025</t>
        </is>
      </c>
      <c r="B291" s="1" t="n">
        <v>45698.29880787037</v>
      </c>
      <c r="C291" s="1" t="n">
        <v>46162</v>
      </c>
      <c r="D291" t="inlineStr">
        <is>
          <t>GOTLANDS LÄN</t>
        </is>
      </c>
      <c r="E291" t="inlineStr">
        <is>
          <t>GOTLAND</t>
        </is>
      </c>
      <c r="G291" t="n">
        <v>2.8</v>
      </c>
      <c r="H291" t="n">
        <v>0</v>
      </c>
      <c r="I291" t="n">
        <v>0</v>
      </c>
      <c r="J291" t="n">
        <v>0</v>
      </c>
      <c r="K291" t="n">
        <v>0</v>
      </c>
      <c r="L291" t="n">
        <v>0</v>
      </c>
      <c r="M291" t="n">
        <v>0</v>
      </c>
      <c r="N291" t="n">
        <v>0</v>
      </c>
      <c r="O291" t="n">
        <v>0</v>
      </c>
      <c r="P291" t="n">
        <v>0</v>
      </c>
      <c r="Q291" t="n">
        <v>0</v>
      </c>
      <c r="R291" s="2" t="inlineStr"/>
    </row>
    <row r="292" ht="15" customHeight="1">
      <c r="A292" t="inlineStr">
        <is>
          <t>A 21142-2025</t>
        </is>
      </c>
      <c r="B292" s="1" t="n">
        <v>45779</v>
      </c>
      <c r="C292" s="1" t="n">
        <v>46162</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17343-2025</t>
        </is>
      </c>
      <c r="B293" s="1" t="n">
        <v>45756.6687037037</v>
      </c>
      <c r="C293" s="1" t="n">
        <v>46162</v>
      </c>
      <c r="D293" t="inlineStr">
        <is>
          <t>GOTLANDS LÄN</t>
        </is>
      </c>
      <c r="E293" t="inlineStr">
        <is>
          <t>GOTLAND</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7034-2023</t>
        </is>
      </c>
      <c r="B294" s="1" t="n">
        <v>44968.32108796296</v>
      </c>
      <c r="C294" s="1" t="n">
        <v>46162</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7042-2023</t>
        </is>
      </c>
      <c r="B295" s="1" t="n">
        <v>44968</v>
      </c>
      <c r="C295" s="1" t="n">
        <v>46162</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39819-2025</t>
        </is>
      </c>
      <c r="B296" s="1" t="n">
        <v>45891.53418981482</v>
      </c>
      <c r="C296" s="1" t="n">
        <v>46162</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23516-2023</t>
        </is>
      </c>
      <c r="B297" s="1" t="n">
        <v>45076.93391203704</v>
      </c>
      <c r="C297" s="1" t="n">
        <v>46162</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18938-2025</t>
        </is>
      </c>
      <c r="B298" s="1" t="n">
        <v>45764.49172453704</v>
      </c>
      <c r="C298" s="1" t="n">
        <v>46162</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39814-2025</t>
        </is>
      </c>
      <c r="B299" s="1" t="n">
        <v>45891.52694444444</v>
      </c>
      <c r="C299" s="1" t="n">
        <v>46162</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64660-2023</t>
        </is>
      </c>
      <c r="B300" s="1" t="n">
        <v>45281.60122685185</v>
      </c>
      <c r="C300" s="1" t="n">
        <v>46162</v>
      </c>
      <c r="D300" t="inlineStr">
        <is>
          <t>GOTLANDS LÄN</t>
        </is>
      </c>
      <c r="E300" t="inlineStr">
        <is>
          <t>GOTLAND</t>
        </is>
      </c>
      <c r="G300" t="n">
        <v>6.3</v>
      </c>
      <c r="H300" t="n">
        <v>0</v>
      </c>
      <c r="I300" t="n">
        <v>0</v>
      </c>
      <c r="J300" t="n">
        <v>0</v>
      </c>
      <c r="K300" t="n">
        <v>0</v>
      </c>
      <c r="L300" t="n">
        <v>0</v>
      </c>
      <c r="M300" t="n">
        <v>0</v>
      </c>
      <c r="N300" t="n">
        <v>0</v>
      </c>
      <c r="O300" t="n">
        <v>0</v>
      </c>
      <c r="P300" t="n">
        <v>0</v>
      </c>
      <c r="Q300" t="n">
        <v>0</v>
      </c>
      <c r="R300" s="2" t="inlineStr"/>
    </row>
    <row r="301" ht="15" customHeight="1">
      <c r="A301" t="inlineStr">
        <is>
          <t>A 39849-2025</t>
        </is>
      </c>
      <c r="B301" s="1" t="n">
        <v>45891.58502314815</v>
      </c>
      <c r="C301" s="1" t="n">
        <v>46162</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30489-2025</t>
        </is>
      </c>
      <c r="B302" s="1" t="n">
        <v>45830</v>
      </c>
      <c r="C302" s="1" t="n">
        <v>46162</v>
      </c>
      <c r="D302" t="inlineStr">
        <is>
          <t>GOTLANDS LÄN</t>
        </is>
      </c>
      <c r="E302" t="inlineStr">
        <is>
          <t>GOTLAND</t>
        </is>
      </c>
      <c r="G302" t="n">
        <v>4.6</v>
      </c>
      <c r="H302" t="n">
        <v>0</v>
      </c>
      <c r="I302" t="n">
        <v>0</v>
      </c>
      <c r="J302" t="n">
        <v>0</v>
      </c>
      <c r="K302" t="n">
        <v>0</v>
      </c>
      <c r="L302" t="n">
        <v>0</v>
      </c>
      <c r="M302" t="n">
        <v>0</v>
      </c>
      <c r="N302" t="n">
        <v>0</v>
      </c>
      <c r="O302" t="n">
        <v>0</v>
      </c>
      <c r="P302" t="n">
        <v>0</v>
      </c>
      <c r="Q302" t="n">
        <v>0</v>
      </c>
      <c r="R302" s="2" t="inlineStr"/>
    </row>
    <row r="303" ht="15" customHeight="1">
      <c r="A303" t="inlineStr">
        <is>
          <t>A 63763-2023</t>
        </is>
      </c>
      <c r="B303" s="1" t="n">
        <v>45278.33944444444</v>
      </c>
      <c r="C303" s="1" t="n">
        <v>46162</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39752-2025</t>
        </is>
      </c>
      <c r="B304" s="1" t="n">
        <v>45891</v>
      </c>
      <c r="C304" s="1" t="n">
        <v>46162</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20307-2025</t>
        </is>
      </c>
      <c r="B305" s="1" t="n">
        <v>45774.95546296296</v>
      </c>
      <c r="C305" s="1" t="n">
        <v>46162</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39816-2025</t>
        </is>
      </c>
      <c r="B306" s="1" t="n">
        <v>45891</v>
      </c>
      <c r="C306" s="1" t="n">
        <v>46162</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40103-2025</t>
        </is>
      </c>
      <c r="B307" s="1" t="n">
        <v>45894.4880324074</v>
      </c>
      <c r="C307" s="1" t="n">
        <v>46162</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40373-2025</t>
        </is>
      </c>
      <c r="B308" s="1" t="n">
        <v>45895.51821759259</v>
      </c>
      <c r="C308" s="1" t="n">
        <v>46162</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40499-2025</t>
        </is>
      </c>
      <c r="B309" s="1" t="n">
        <v>45896.32517361111</v>
      </c>
      <c r="C309" s="1" t="n">
        <v>46162</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40372-2025</t>
        </is>
      </c>
      <c r="B310" s="1" t="n">
        <v>45895.5162037037</v>
      </c>
      <c r="C310" s="1" t="n">
        <v>46162</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63229-2021</t>
        </is>
      </c>
      <c r="B311" s="1" t="n">
        <v>44508.34518518519</v>
      </c>
      <c r="C311" s="1" t="n">
        <v>46162</v>
      </c>
      <c r="D311" t="inlineStr">
        <is>
          <t>GOTLANDS LÄN</t>
        </is>
      </c>
      <c r="E311" t="inlineStr">
        <is>
          <t>GOTLAND</t>
        </is>
      </c>
      <c r="F311" t="inlineStr">
        <is>
          <t>Kyrkan</t>
        </is>
      </c>
      <c r="G311" t="n">
        <v>3.8</v>
      </c>
      <c r="H311" t="n">
        <v>0</v>
      </c>
      <c r="I311" t="n">
        <v>0</v>
      </c>
      <c r="J311" t="n">
        <v>0</v>
      </c>
      <c r="K311" t="n">
        <v>0</v>
      </c>
      <c r="L311" t="n">
        <v>0</v>
      </c>
      <c r="M311" t="n">
        <v>0</v>
      </c>
      <c r="N311" t="n">
        <v>0</v>
      </c>
      <c r="O311" t="n">
        <v>0</v>
      </c>
      <c r="P311" t="n">
        <v>0</v>
      </c>
      <c r="Q311" t="n">
        <v>0</v>
      </c>
      <c r="R311" s="2" t="inlineStr"/>
    </row>
    <row r="312" ht="15" customHeight="1">
      <c r="A312" t="inlineStr">
        <is>
          <t>A 46375-2024</t>
        </is>
      </c>
      <c r="B312" s="1" t="n">
        <v>45582</v>
      </c>
      <c r="C312" s="1" t="n">
        <v>46162</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46162</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16993-2026</t>
        </is>
      </c>
      <c r="B314" s="1" t="n">
        <v>46114.41918981481</v>
      </c>
      <c r="C314" s="1" t="n">
        <v>46162</v>
      </c>
      <c r="D314" t="inlineStr">
        <is>
          <t>GOTLANDS LÄN</t>
        </is>
      </c>
      <c r="E314" t="inlineStr">
        <is>
          <t>GOTLAND</t>
        </is>
      </c>
      <c r="G314" t="n">
        <v>3</v>
      </c>
      <c r="H314" t="n">
        <v>0</v>
      </c>
      <c r="I314" t="n">
        <v>0</v>
      </c>
      <c r="J314" t="n">
        <v>0</v>
      </c>
      <c r="K314" t="n">
        <v>0</v>
      </c>
      <c r="L314" t="n">
        <v>0</v>
      </c>
      <c r="M314" t="n">
        <v>0</v>
      </c>
      <c r="N314" t="n">
        <v>0</v>
      </c>
      <c r="O314" t="n">
        <v>0</v>
      </c>
      <c r="P314" t="n">
        <v>0</v>
      </c>
      <c r="Q314" t="n">
        <v>0</v>
      </c>
      <c r="R314" s="2" t="inlineStr"/>
    </row>
    <row r="315" ht="15" customHeight="1">
      <c r="A315" t="inlineStr">
        <is>
          <t>A 17000-2026</t>
        </is>
      </c>
      <c r="B315" s="1" t="n">
        <v>46114.42690972222</v>
      </c>
      <c r="C315" s="1" t="n">
        <v>46162</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22887-2026</t>
        </is>
      </c>
      <c r="B316" s="1" t="n">
        <v>46160.47591435185</v>
      </c>
      <c r="C316" s="1" t="n">
        <v>46162</v>
      </c>
      <c r="D316" t="inlineStr">
        <is>
          <t>GOTLANDS LÄN</t>
        </is>
      </c>
      <c r="E316" t="inlineStr">
        <is>
          <t>GOTLAND</t>
        </is>
      </c>
      <c r="G316" t="n">
        <v>3.6</v>
      </c>
      <c r="H316" t="n">
        <v>0</v>
      </c>
      <c r="I316" t="n">
        <v>0</v>
      </c>
      <c r="J316" t="n">
        <v>0</v>
      </c>
      <c r="K316" t="n">
        <v>0</v>
      </c>
      <c r="L316" t="n">
        <v>0</v>
      </c>
      <c r="M316" t="n">
        <v>0</v>
      </c>
      <c r="N316" t="n">
        <v>0</v>
      </c>
      <c r="O316" t="n">
        <v>0</v>
      </c>
      <c r="P316" t="n">
        <v>0</v>
      </c>
      <c r="Q316" t="n">
        <v>0</v>
      </c>
      <c r="R316" s="2" t="inlineStr"/>
    </row>
    <row r="317" ht="15" customHeight="1">
      <c r="A317" t="inlineStr">
        <is>
          <t>A 23103-2026</t>
        </is>
      </c>
      <c r="B317" s="1" t="n">
        <v>46161.57108796296</v>
      </c>
      <c r="C317" s="1" t="n">
        <v>46162</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46162</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63152-2025</t>
        </is>
      </c>
      <c r="B319" s="1" t="n">
        <v>46010</v>
      </c>
      <c r="C319" s="1" t="n">
        <v>46162</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62836-2025</t>
        </is>
      </c>
      <c r="B320" s="1" t="n">
        <v>46008</v>
      </c>
      <c r="C320" s="1" t="n">
        <v>46162</v>
      </c>
      <c r="D320" t="inlineStr">
        <is>
          <t>GOTLANDS LÄN</t>
        </is>
      </c>
      <c r="E320" t="inlineStr">
        <is>
          <t>GOTLAND</t>
        </is>
      </c>
      <c r="G320" t="n">
        <v>6.5</v>
      </c>
      <c r="H320" t="n">
        <v>0</v>
      </c>
      <c r="I320" t="n">
        <v>0</v>
      </c>
      <c r="J320" t="n">
        <v>0</v>
      </c>
      <c r="K320" t="n">
        <v>0</v>
      </c>
      <c r="L320" t="n">
        <v>0</v>
      </c>
      <c r="M320" t="n">
        <v>0</v>
      </c>
      <c r="N320" t="n">
        <v>0</v>
      </c>
      <c r="O320" t="n">
        <v>0</v>
      </c>
      <c r="P320" t="n">
        <v>0</v>
      </c>
      <c r="Q320" t="n">
        <v>0</v>
      </c>
      <c r="R320" s="2" t="inlineStr"/>
    </row>
    <row r="321" ht="15" customHeight="1">
      <c r="A321" t="inlineStr">
        <is>
          <t>A 41435-2025</t>
        </is>
      </c>
      <c r="B321" s="1" t="n">
        <v>45901.39974537037</v>
      </c>
      <c r="C321" s="1" t="n">
        <v>46162</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20356-2022</t>
        </is>
      </c>
      <c r="B322" s="1" t="n">
        <v>44699</v>
      </c>
      <c r="C322" s="1" t="n">
        <v>46162</v>
      </c>
      <c r="D322" t="inlineStr">
        <is>
          <t>GOTLANDS LÄN</t>
        </is>
      </c>
      <c r="E322" t="inlineStr">
        <is>
          <t>GOTLAND</t>
        </is>
      </c>
      <c r="F322" t="inlineStr">
        <is>
          <t>Övriga Aktiebolag</t>
        </is>
      </c>
      <c r="G322" t="n">
        <v>4.4</v>
      </c>
      <c r="H322" t="n">
        <v>0</v>
      </c>
      <c r="I322" t="n">
        <v>0</v>
      </c>
      <c r="J322" t="n">
        <v>0</v>
      </c>
      <c r="K322" t="n">
        <v>0</v>
      </c>
      <c r="L322" t="n">
        <v>0</v>
      </c>
      <c r="M322" t="n">
        <v>0</v>
      </c>
      <c r="N322" t="n">
        <v>0</v>
      </c>
      <c r="O322" t="n">
        <v>0</v>
      </c>
      <c r="P322" t="n">
        <v>0</v>
      </c>
      <c r="Q322" t="n">
        <v>0</v>
      </c>
      <c r="R322" s="2" t="inlineStr"/>
    </row>
    <row r="323" ht="15" customHeight="1">
      <c r="A323" t="inlineStr">
        <is>
          <t>A 41551-2025</t>
        </is>
      </c>
      <c r="B323" s="1" t="n">
        <v>45901.58854166666</v>
      </c>
      <c r="C323" s="1" t="n">
        <v>46162</v>
      </c>
      <c r="D323" t="inlineStr">
        <is>
          <t>GOTLANDS LÄN</t>
        </is>
      </c>
      <c r="E323" t="inlineStr">
        <is>
          <t>GOTLAND</t>
        </is>
      </c>
      <c r="G323" t="n">
        <v>5.6</v>
      </c>
      <c r="H323" t="n">
        <v>0</v>
      </c>
      <c r="I323" t="n">
        <v>0</v>
      </c>
      <c r="J323" t="n">
        <v>0</v>
      </c>
      <c r="K323" t="n">
        <v>0</v>
      </c>
      <c r="L323" t="n">
        <v>0</v>
      </c>
      <c r="M323" t="n">
        <v>0</v>
      </c>
      <c r="N323" t="n">
        <v>0</v>
      </c>
      <c r="O323" t="n">
        <v>0</v>
      </c>
      <c r="P323" t="n">
        <v>0</v>
      </c>
      <c r="Q323" t="n">
        <v>0</v>
      </c>
      <c r="R323" s="2" t="inlineStr"/>
    </row>
    <row r="324" ht="15" customHeight="1">
      <c r="A324" t="inlineStr">
        <is>
          <t>A 1734-2025</t>
        </is>
      </c>
      <c r="B324" s="1" t="n">
        <v>45671.3840625</v>
      </c>
      <c r="C324" s="1" t="n">
        <v>46162</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20993-2023</t>
        </is>
      </c>
      <c r="B325" s="1" t="n">
        <v>45056</v>
      </c>
      <c r="C325" s="1" t="n">
        <v>46162</v>
      </c>
      <c r="D325" t="inlineStr">
        <is>
          <t>GOTLANDS LÄN</t>
        </is>
      </c>
      <c r="E325" t="inlineStr">
        <is>
          <t>GOTLAND</t>
        </is>
      </c>
      <c r="G325" t="n">
        <v>7.1</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45000.43310185185</v>
      </c>
      <c r="C326" s="1" t="n">
        <v>46162</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2125-2025</t>
        </is>
      </c>
      <c r="B327" s="1" t="n">
        <v>45672.64940972222</v>
      </c>
      <c r="C327" s="1" t="n">
        <v>46162</v>
      </c>
      <c r="D327" t="inlineStr">
        <is>
          <t>GOTLANDS LÄN</t>
        </is>
      </c>
      <c r="E327" t="inlineStr">
        <is>
          <t>GOTLAND</t>
        </is>
      </c>
      <c r="G327" t="n">
        <v>2.3</v>
      </c>
      <c r="H327" t="n">
        <v>0</v>
      </c>
      <c r="I327" t="n">
        <v>0</v>
      </c>
      <c r="J327" t="n">
        <v>0</v>
      </c>
      <c r="K327" t="n">
        <v>0</v>
      </c>
      <c r="L327" t="n">
        <v>0</v>
      </c>
      <c r="M327" t="n">
        <v>0</v>
      </c>
      <c r="N327" t="n">
        <v>0</v>
      </c>
      <c r="O327" t="n">
        <v>0</v>
      </c>
      <c r="P327" t="n">
        <v>0</v>
      </c>
      <c r="Q327" t="n">
        <v>0</v>
      </c>
      <c r="R327" s="2" t="inlineStr"/>
    </row>
    <row r="328" ht="15" customHeight="1">
      <c r="A328" t="inlineStr">
        <is>
          <t>A 42608-2025</t>
        </is>
      </c>
      <c r="B328" s="1" t="n">
        <v>45905</v>
      </c>
      <c r="C328" s="1" t="n">
        <v>46162</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44998.49106481481</v>
      </c>
      <c r="C329" s="1" t="n">
        <v>46162</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44929.87238425926</v>
      </c>
      <c r="C330" s="1" t="n">
        <v>46162</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44929.87423611111</v>
      </c>
      <c r="C331" s="1" t="n">
        <v>46162</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45161.56663194444</v>
      </c>
      <c r="C332" s="1" t="n">
        <v>46162</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16373-2025</t>
        </is>
      </c>
      <c r="B333" s="1" t="n">
        <v>45751</v>
      </c>
      <c r="C333" s="1" t="n">
        <v>46162</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50744-2024</t>
        </is>
      </c>
      <c r="B334" s="1" t="n">
        <v>45602.4187037037</v>
      </c>
      <c r="C334" s="1" t="n">
        <v>46162</v>
      </c>
      <c r="D334" t="inlineStr">
        <is>
          <t>GOTLANDS LÄN</t>
        </is>
      </c>
      <c r="E334" t="inlineStr">
        <is>
          <t>GOTLAND</t>
        </is>
      </c>
      <c r="G334" t="n">
        <v>3.2</v>
      </c>
      <c r="H334" t="n">
        <v>0</v>
      </c>
      <c r="I334" t="n">
        <v>0</v>
      </c>
      <c r="J334" t="n">
        <v>0</v>
      </c>
      <c r="K334" t="n">
        <v>0</v>
      </c>
      <c r="L334" t="n">
        <v>0</v>
      </c>
      <c r="M334" t="n">
        <v>0</v>
      </c>
      <c r="N334" t="n">
        <v>0</v>
      </c>
      <c r="O334" t="n">
        <v>0</v>
      </c>
      <c r="P334" t="n">
        <v>0</v>
      </c>
      <c r="Q334" t="n">
        <v>0</v>
      </c>
      <c r="R334" s="2" t="inlineStr"/>
    </row>
    <row r="335" ht="15" customHeight="1">
      <c r="A335" t="inlineStr">
        <is>
          <t>A 53934-2024</t>
        </is>
      </c>
      <c r="B335" s="1" t="n">
        <v>45615</v>
      </c>
      <c r="C335" s="1" t="n">
        <v>46162</v>
      </c>
      <c r="D335" t="inlineStr">
        <is>
          <t>GOTLANDS LÄN</t>
        </is>
      </c>
      <c r="E335" t="inlineStr">
        <is>
          <t>GOTLAND</t>
        </is>
      </c>
      <c r="G335" t="n">
        <v>5</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46162</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43911-2025</t>
        </is>
      </c>
      <c r="B337" s="1" t="n">
        <v>45914.3881712963</v>
      </c>
      <c r="C337" s="1" t="n">
        <v>46162</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46162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46162</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46162</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1446-2025</t>
        </is>
      </c>
      <c r="B341" s="1" t="n">
        <v>45669.86035879629</v>
      </c>
      <c r="C341" s="1" t="n">
        <v>46162</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31264-2021</t>
        </is>
      </c>
      <c r="B342" s="1" t="n">
        <v>44368</v>
      </c>
      <c r="C342" s="1" t="n">
        <v>46162</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43901-2023</t>
        </is>
      </c>
      <c r="B343" s="1" t="n">
        <v>45187</v>
      </c>
      <c r="C343" s="1" t="n">
        <v>46162</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10746-2025</t>
        </is>
      </c>
      <c r="B344" s="1" t="n">
        <v>45722.42766203704</v>
      </c>
      <c r="C344" s="1" t="n">
        <v>46162</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16501-2023</t>
        </is>
      </c>
      <c r="B345" s="1" t="n">
        <v>45029</v>
      </c>
      <c r="C345" s="1" t="n">
        <v>46162</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46162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46162</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46162</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46162</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10492-2023</t>
        </is>
      </c>
      <c r="B350" s="1" t="n">
        <v>44987</v>
      </c>
      <c r="C350" s="1" t="n">
        <v>46162</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5909-2025</t>
        </is>
      </c>
      <c r="B351" s="1" t="n">
        <v>45695.40634259259</v>
      </c>
      <c r="C351" s="1" t="n">
        <v>46162</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10653-2023</t>
        </is>
      </c>
      <c r="B352" s="1" t="n">
        <v>44988.48859953704</v>
      </c>
      <c r="C352" s="1" t="n">
        <v>46162</v>
      </c>
      <c r="D352" t="inlineStr">
        <is>
          <t>GOTLANDS LÄN</t>
        </is>
      </c>
      <c r="E352" t="inlineStr">
        <is>
          <t>GOTLAND</t>
        </is>
      </c>
      <c r="F352" t="inlineStr">
        <is>
          <t>Kyrkan</t>
        </is>
      </c>
      <c r="G352" t="n">
        <v>3</v>
      </c>
      <c r="H352" t="n">
        <v>0</v>
      </c>
      <c r="I352" t="n">
        <v>0</v>
      </c>
      <c r="J352" t="n">
        <v>0</v>
      </c>
      <c r="K352" t="n">
        <v>0</v>
      </c>
      <c r="L352" t="n">
        <v>0</v>
      </c>
      <c r="M352" t="n">
        <v>0</v>
      </c>
      <c r="N352" t="n">
        <v>0</v>
      </c>
      <c r="O352" t="n">
        <v>0</v>
      </c>
      <c r="P352" t="n">
        <v>0</v>
      </c>
      <c r="Q352" t="n">
        <v>0</v>
      </c>
      <c r="R352" s="2" t="inlineStr"/>
    </row>
    <row r="353" ht="15" customHeight="1">
      <c r="A353" t="inlineStr">
        <is>
          <t>A 47637-2025</t>
        </is>
      </c>
      <c r="B353" s="1" t="n">
        <v>45931.49753472222</v>
      </c>
      <c r="C353" s="1" t="n">
        <v>46162</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46162</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32378-2025</t>
        </is>
      </c>
      <c r="B355" s="1" t="n">
        <v>45837</v>
      </c>
      <c r="C355" s="1" t="n">
        <v>46162</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43081-2022</t>
        </is>
      </c>
      <c r="B356" s="1" t="n">
        <v>44833</v>
      </c>
      <c r="C356" s="1" t="n">
        <v>46162</v>
      </c>
      <c r="D356" t="inlineStr">
        <is>
          <t>GOTLANDS LÄN</t>
        </is>
      </c>
      <c r="E356" t="inlineStr">
        <is>
          <t>GOTLAND</t>
        </is>
      </c>
      <c r="G356" t="n">
        <v>6.8</v>
      </c>
      <c r="H356" t="n">
        <v>0</v>
      </c>
      <c r="I356" t="n">
        <v>0</v>
      </c>
      <c r="J356" t="n">
        <v>0</v>
      </c>
      <c r="K356" t="n">
        <v>0</v>
      </c>
      <c r="L356" t="n">
        <v>0</v>
      </c>
      <c r="M356" t="n">
        <v>0</v>
      </c>
      <c r="N356" t="n">
        <v>0</v>
      </c>
      <c r="O356" t="n">
        <v>0</v>
      </c>
      <c r="P356" t="n">
        <v>0</v>
      </c>
      <c r="Q356" t="n">
        <v>0</v>
      </c>
      <c r="R356" s="2" t="inlineStr"/>
    </row>
    <row r="357" ht="15" customHeight="1">
      <c r="A357" t="inlineStr">
        <is>
          <t>A 32958-2021</t>
        </is>
      </c>
      <c r="B357" s="1" t="n">
        <v>44376</v>
      </c>
      <c r="C357" s="1" t="n">
        <v>46162</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5884-2025</t>
        </is>
      </c>
      <c r="B358" s="1" t="n">
        <v>45695.37482638889</v>
      </c>
      <c r="C358" s="1" t="n">
        <v>46162</v>
      </c>
      <c r="D358" t="inlineStr">
        <is>
          <t>GOTLANDS LÄN</t>
        </is>
      </c>
      <c r="E358" t="inlineStr">
        <is>
          <t>GOTLAND</t>
        </is>
      </c>
      <c r="G358" t="n">
        <v>2.1</v>
      </c>
      <c r="H358" t="n">
        <v>0</v>
      </c>
      <c r="I358" t="n">
        <v>0</v>
      </c>
      <c r="J358" t="n">
        <v>0</v>
      </c>
      <c r="K358" t="n">
        <v>0</v>
      </c>
      <c r="L358" t="n">
        <v>0</v>
      </c>
      <c r="M358" t="n">
        <v>0</v>
      </c>
      <c r="N358" t="n">
        <v>0</v>
      </c>
      <c r="O358" t="n">
        <v>0</v>
      </c>
      <c r="P358" t="n">
        <v>0</v>
      </c>
      <c r="Q358" t="n">
        <v>0</v>
      </c>
      <c r="R358" s="2" t="inlineStr"/>
    </row>
    <row r="359" ht="15" customHeight="1">
      <c r="A359" t="inlineStr">
        <is>
          <t>A 5897-2025</t>
        </is>
      </c>
      <c r="B359" s="1" t="n">
        <v>45695.39273148148</v>
      </c>
      <c r="C359" s="1" t="n">
        <v>46162</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35550-2025</t>
        </is>
      </c>
      <c r="B360" s="1" t="n">
        <v>45856.49324074074</v>
      </c>
      <c r="C360" s="1" t="n">
        <v>46162</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46162</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46162</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47578-2025</t>
        </is>
      </c>
      <c r="B363" s="1" t="n">
        <v>45931</v>
      </c>
      <c r="C363" s="1" t="n">
        <v>46162</v>
      </c>
      <c r="D363" t="inlineStr">
        <is>
          <t>GOTLANDS LÄN</t>
        </is>
      </c>
      <c r="E363" t="inlineStr">
        <is>
          <t>GOTLAND</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46162</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49724-2025</t>
        </is>
      </c>
      <c r="B365" s="1" t="n">
        <v>45939.83730324074</v>
      </c>
      <c r="C365" s="1" t="n">
        <v>46162</v>
      </c>
      <c r="D365" t="inlineStr">
        <is>
          <t>GOTLANDS LÄN</t>
        </is>
      </c>
      <c r="E365" t="inlineStr">
        <is>
          <t>GOTLAND</t>
        </is>
      </c>
      <c r="F365" t="inlineStr">
        <is>
          <t>Kyrkan</t>
        </is>
      </c>
      <c r="G365" t="n">
        <v>3.1</v>
      </c>
      <c r="H365" t="n">
        <v>0</v>
      </c>
      <c r="I365" t="n">
        <v>0</v>
      </c>
      <c r="J365" t="n">
        <v>0</v>
      </c>
      <c r="K365" t="n">
        <v>0</v>
      </c>
      <c r="L365" t="n">
        <v>0</v>
      </c>
      <c r="M365" t="n">
        <v>0</v>
      </c>
      <c r="N365" t="n">
        <v>0</v>
      </c>
      <c r="O365" t="n">
        <v>0</v>
      </c>
      <c r="P365" t="n">
        <v>0</v>
      </c>
      <c r="Q365" t="n">
        <v>0</v>
      </c>
      <c r="R365" s="2" t="inlineStr"/>
    </row>
    <row r="366" ht="15" customHeight="1">
      <c r="A366" t="inlineStr">
        <is>
          <t>A 49730-2025</t>
        </is>
      </c>
      <c r="B366" s="1" t="n">
        <v>45939.87613425926</v>
      </c>
      <c r="C366" s="1" t="n">
        <v>46162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46162</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46162</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33011-2025</t>
        </is>
      </c>
      <c r="B369" s="1" t="n">
        <v>45840</v>
      </c>
      <c r="C369" s="1" t="n">
        <v>46162</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50421-2025</t>
        </is>
      </c>
      <c r="B370" s="1" t="n">
        <v>45944.66049768519</v>
      </c>
      <c r="C370" s="1" t="n">
        <v>46162</v>
      </c>
      <c r="D370" t="inlineStr">
        <is>
          <t>GOTLANDS LÄN</t>
        </is>
      </c>
      <c r="E370" t="inlineStr">
        <is>
          <t>GOTLAND</t>
        </is>
      </c>
      <c r="G370" t="n">
        <v>3.9</v>
      </c>
      <c r="H370" t="n">
        <v>0</v>
      </c>
      <c r="I370" t="n">
        <v>0</v>
      </c>
      <c r="J370" t="n">
        <v>0</v>
      </c>
      <c r="K370" t="n">
        <v>0</v>
      </c>
      <c r="L370" t="n">
        <v>0</v>
      </c>
      <c r="M370" t="n">
        <v>0</v>
      </c>
      <c r="N370" t="n">
        <v>0</v>
      </c>
      <c r="O370" t="n">
        <v>0</v>
      </c>
      <c r="P370" t="n">
        <v>0</v>
      </c>
      <c r="Q370" t="n">
        <v>0</v>
      </c>
      <c r="R370" s="2" t="inlineStr"/>
    </row>
    <row r="371" ht="15" customHeight="1">
      <c r="A371" t="inlineStr">
        <is>
          <t>A 46396-2023</t>
        </is>
      </c>
      <c r="B371" s="1" t="n">
        <v>45197</v>
      </c>
      <c r="C371" s="1" t="n">
        <v>46162</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50431-2025</t>
        </is>
      </c>
      <c r="B372" s="1" t="n">
        <v>45944.68453703704</v>
      </c>
      <c r="C372" s="1" t="n">
        <v>46162</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46162</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17724-2024</t>
        </is>
      </c>
      <c r="B374" s="1" t="n">
        <v>45418.55096064815</v>
      </c>
      <c r="C374" s="1" t="n">
        <v>46162</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34312-2024</t>
        </is>
      </c>
      <c r="B375" s="1" t="n">
        <v>45524.69703703704</v>
      </c>
      <c r="C375" s="1" t="n">
        <v>46162</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69112-2021</t>
        </is>
      </c>
      <c r="B376" s="1" t="n">
        <v>44530</v>
      </c>
      <c r="C376" s="1" t="n">
        <v>46162</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46162</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45705.77306712963</v>
      </c>
      <c r="C378" s="1" t="n">
        <v>46162</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50482-2024</t>
        </is>
      </c>
      <c r="B379" s="1" t="n">
        <v>45601.48114583334</v>
      </c>
      <c r="C379" s="1" t="n">
        <v>46162</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46162</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52249-2025</t>
        </is>
      </c>
      <c r="B381" s="1" t="n">
        <v>45953.48637731482</v>
      </c>
      <c r="C381" s="1" t="n">
        <v>46162</v>
      </c>
      <c r="D381" t="inlineStr">
        <is>
          <t>GOTLANDS LÄN</t>
        </is>
      </c>
      <c r="E381" t="inlineStr">
        <is>
          <t>GOTLAND</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58230-2024</t>
        </is>
      </c>
      <c r="B382" s="1" t="n">
        <v>45632.51625</v>
      </c>
      <c r="C382" s="1" t="n">
        <v>46162</v>
      </c>
      <c r="D382" t="inlineStr">
        <is>
          <t>GOTLANDS LÄN</t>
        </is>
      </c>
      <c r="E382" t="inlineStr">
        <is>
          <t>GOTLAND</t>
        </is>
      </c>
      <c r="G382" t="n">
        <v>7.3</v>
      </c>
      <c r="H382" t="n">
        <v>0</v>
      </c>
      <c r="I382" t="n">
        <v>0</v>
      </c>
      <c r="J382" t="n">
        <v>0</v>
      </c>
      <c r="K382" t="n">
        <v>0</v>
      </c>
      <c r="L382" t="n">
        <v>0</v>
      </c>
      <c r="M382" t="n">
        <v>0</v>
      </c>
      <c r="N382" t="n">
        <v>0</v>
      </c>
      <c r="O382" t="n">
        <v>0</v>
      </c>
      <c r="P382" t="n">
        <v>0</v>
      </c>
      <c r="Q382" t="n">
        <v>0</v>
      </c>
      <c r="R382" s="2" t="inlineStr"/>
    </row>
    <row r="383" ht="15" customHeight="1">
      <c r="A383" t="inlineStr">
        <is>
          <t>A 1462-2025</t>
        </is>
      </c>
      <c r="B383" s="1" t="n">
        <v>45670.36319444444</v>
      </c>
      <c r="C383" s="1" t="n">
        <v>46162</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25129-2023</t>
        </is>
      </c>
      <c r="B384" s="1" t="n">
        <v>45086.44261574074</v>
      </c>
      <c r="C384" s="1" t="n">
        <v>46162</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24192-2023</t>
        </is>
      </c>
      <c r="B385" s="1" t="n">
        <v>45079</v>
      </c>
      <c r="C385" s="1" t="n">
        <v>46162</v>
      </c>
      <c r="D385" t="inlineStr">
        <is>
          <t>GOTLANDS LÄN</t>
        </is>
      </c>
      <c r="E385" t="inlineStr">
        <is>
          <t>GOTLAND</t>
        </is>
      </c>
      <c r="G385" t="n">
        <v>2.1</v>
      </c>
      <c r="H385" t="n">
        <v>0</v>
      </c>
      <c r="I385" t="n">
        <v>0</v>
      </c>
      <c r="J385" t="n">
        <v>0</v>
      </c>
      <c r="K385" t="n">
        <v>0</v>
      </c>
      <c r="L385" t="n">
        <v>0</v>
      </c>
      <c r="M385" t="n">
        <v>0</v>
      </c>
      <c r="N385" t="n">
        <v>0</v>
      </c>
      <c r="O385" t="n">
        <v>0</v>
      </c>
      <c r="P385" t="n">
        <v>0</v>
      </c>
      <c r="Q385" t="n">
        <v>0</v>
      </c>
      <c r="R385" s="2" t="inlineStr"/>
    </row>
    <row r="386" ht="15" customHeight="1">
      <c r="A386" t="inlineStr">
        <is>
          <t>A 52637-2025</t>
        </is>
      </c>
      <c r="B386" s="1" t="n">
        <v>45954.75099537037</v>
      </c>
      <c r="C386" s="1" t="n">
        <v>46162</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46162</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53569-2025</t>
        </is>
      </c>
      <c r="B388" s="1" t="n">
        <v>45960.41155092593</v>
      </c>
      <c r="C388" s="1" t="n">
        <v>46162</v>
      </c>
      <c r="D388" t="inlineStr">
        <is>
          <t>GOTLANDS LÄN</t>
        </is>
      </c>
      <c r="E388" t="inlineStr">
        <is>
          <t>GOTLAND</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46162</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46162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53577-2025</t>
        </is>
      </c>
      <c r="B391" s="1" t="n">
        <v>45960.42224537037</v>
      </c>
      <c r="C391" s="1" t="n">
        <v>46162</v>
      </c>
      <c r="D391" t="inlineStr">
        <is>
          <t>GOTLANDS LÄN</t>
        </is>
      </c>
      <c r="E391" t="inlineStr">
        <is>
          <t>GOTLAND</t>
        </is>
      </c>
      <c r="F391" t="inlineStr">
        <is>
          <t>Övriga Aktiebolag</t>
        </is>
      </c>
      <c r="G391" t="n">
        <v>3.3</v>
      </c>
      <c r="H391" t="n">
        <v>0</v>
      </c>
      <c r="I391" t="n">
        <v>0</v>
      </c>
      <c r="J391" t="n">
        <v>0</v>
      </c>
      <c r="K391" t="n">
        <v>0</v>
      </c>
      <c r="L391" t="n">
        <v>0</v>
      </c>
      <c r="M391" t="n">
        <v>0</v>
      </c>
      <c r="N391" t="n">
        <v>0</v>
      </c>
      <c r="O391" t="n">
        <v>0</v>
      </c>
      <c r="P391" t="n">
        <v>0</v>
      </c>
      <c r="Q391" t="n">
        <v>0</v>
      </c>
      <c r="R391" s="2" t="inlineStr"/>
    </row>
    <row r="392" ht="15" customHeight="1">
      <c r="A392" t="inlineStr">
        <is>
          <t>A 1000-2024</t>
        </is>
      </c>
      <c r="B392" s="1" t="n">
        <v>45301.63371527778</v>
      </c>
      <c r="C392" s="1" t="n">
        <v>46162</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1010-2024</t>
        </is>
      </c>
      <c r="B393" s="1" t="n">
        <v>45301</v>
      </c>
      <c r="C393" s="1" t="n">
        <v>46162</v>
      </c>
      <c r="D393" t="inlineStr">
        <is>
          <t>GOTLANDS LÄN</t>
        </is>
      </c>
      <c r="E393" t="inlineStr">
        <is>
          <t>GOTLAND</t>
        </is>
      </c>
      <c r="G393" t="n">
        <v>2.4</v>
      </c>
      <c r="H393" t="n">
        <v>0</v>
      </c>
      <c r="I393" t="n">
        <v>0</v>
      </c>
      <c r="J393" t="n">
        <v>0</v>
      </c>
      <c r="K393" t="n">
        <v>0</v>
      </c>
      <c r="L393" t="n">
        <v>0</v>
      </c>
      <c r="M393" t="n">
        <v>0</v>
      </c>
      <c r="N393" t="n">
        <v>0</v>
      </c>
      <c r="O393" t="n">
        <v>0</v>
      </c>
      <c r="P393" t="n">
        <v>0</v>
      </c>
      <c r="Q393" t="n">
        <v>0</v>
      </c>
      <c r="R393" s="2" t="inlineStr"/>
    </row>
    <row r="394" ht="15" customHeight="1">
      <c r="A394" t="inlineStr">
        <is>
          <t>A 47762-2023</t>
        </is>
      </c>
      <c r="B394" s="1" t="n">
        <v>45203.86256944444</v>
      </c>
      <c r="C394" s="1" t="n">
        <v>46162</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46545-2024</t>
        </is>
      </c>
      <c r="B395" s="1" t="n">
        <v>45582.65831018519</v>
      </c>
      <c r="C395" s="1" t="n">
        <v>46162</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60086-2022</t>
        </is>
      </c>
      <c r="B396" s="1" t="n">
        <v>44909</v>
      </c>
      <c r="C396" s="1" t="n">
        <v>46162</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28480-2023</t>
        </is>
      </c>
      <c r="B397" s="1" t="n">
        <v>45103</v>
      </c>
      <c r="C397" s="1" t="n">
        <v>46162</v>
      </c>
      <c r="D397" t="inlineStr">
        <is>
          <t>GOTLANDS LÄN</t>
        </is>
      </c>
      <c r="E397" t="inlineStr">
        <is>
          <t>GOTLAND</t>
        </is>
      </c>
      <c r="G397" t="n">
        <v>5.7</v>
      </c>
      <c r="H397" t="n">
        <v>0</v>
      </c>
      <c r="I397" t="n">
        <v>0</v>
      </c>
      <c r="J397" t="n">
        <v>0</v>
      </c>
      <c r="K397" t="n">
        <v>0</v>
      </c>
      <c r="L397" t="n">
        <v>0</v>
      </c>
      <c r="M397" t="n">
        <v>0</v>
      </c>
      <c r="N397" t="n">
        <v>0</v>
      </c>
      <c r="O397" t="n">
        <v>0</v>
      </c>
      <c r="P397" t="n">
        <v>0</v>
      </c>
      <c r="Q397" t="n">
        <v>0</v>
      </c>
      <c r="R397" s="2" t="inlineStr"/>
    </row>
    <row r="398" ht="15" customHeight="1">
      <c r="A398" t="inlineStr">
        <is>
          <t>A 28485-2023</t>
        </is>
      </c>
      <c r="B398" s="1" t="n">
        <v>45103.43731481482</v>
      </c>
      <c r="C398" s="1" t="n">
        <v>46162</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62915-2021</t>
        </is>
      </c>
      <c r="B399" s="1" t="n">
        <v>44504</v>
      </c>
      <c r="C399" s="1" t="n">
        <v>46162</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44949-2023</t>
        </is>
      </c>
      <c r="B400" s="1" t="n">
        <v>45190.69520833333</v>
      </c>
      <c r="C400" s="1" t="n">
        <v>46162</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37222-2021</t>
        </is>
      </c>
      <c r="B401" s="1" t="n">
        <v>44396</v>
      </c>
      <c r="C401" s="1" t="n">
        <v>46162</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3964-2024</t>
        </is>
      </c>
      <c r="B402" s="1" t="n">
        <v>45322</v>
      </c>
      <c r="C402" s="1" t="n">
        <v>46162</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45084-2024</t>
        </is>
      </c>
      <c r="B403" s="1" t="n">
        <v>45575</v>
      </c>
      <c r="C403" s="1" t="n">
        <v>46162</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56799-2025</t>
        </is>
      </c>
      <c r="B404" s="1" t="n">
        <v>45978.43392361111</v>
      </c>
      <c r="C404" s="1" t="n">
        <v>46162</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56688-2025</t>
        </is>
      </c>
      <c r="B405" s="1" t="n">
        <v>45975.84331018518</v>
      </c>
      <c r="C405" s="1" t="n">
        <v>46162</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5217-2023</t>
        </is>
      </c>
      <c r="B406" s="1" t="n">
        <v>44959.39582175926</v>
      </c>
      <c r="C406" s="1" t="n">
        <v>46162</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1677-2023</t>
        </is>
      </c>
      <c r="B407" s="1" t="n">
        <v>44938</v>
      </c>
      <c r="C407" s="1" t="n">
        <v>46162</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45244-2024</t>
        </is>
      </c>
      <c r="B408" s="1" t="n">
        <v>45576</v>
      </c>
      <c r="C408" s="1" t="n">
        <v>46162</v>
      </c>
      <c r="D408" t="inlineStr">
        <is>
          <t>GOTLANDS LÄN</t>
        </is>
      </c>
      <c r="E408" t="inlineStr">
        <is>
          <t>GOTLAND</t>
        </is>
      </c>
      <c r="G408" t="n">
        <v>2.4</v>
      </c>
      <c r="H408" t="n">
        <v>0</v>
      </c>
      <c r="I408" t="n">
        <v>0</v>
      </c>
      <c r="J408" t="n">
        <v>0</v>
      </c>
      <c r="K408" t="n">
        <v>0</v>
      </c>
      <c r="L408" t="n">
        <v>0</v>
      </c>
      <c r="M408" t="n">
        <v>0</v>
      </c>
      <c r="N408" t="n">
        <v>0</v>
      </c>
      <c r="O408" t="n">
        <v>0</v>
      </c>
      <c r="P408" t="n">
        <v>0</v>
      </c>
      <c r="Q408" t="n">
        <v>0</v>
      </c>
      <c r="R408" s="2" t="inlineStr"/>
    </row>
    <row r="409" ht="15" customHeight="1">
      <c r="A409" t="inlineStr">
        <is>
          <t>A 8260-2023</t>
        </is>
      </c>
      <c r="B409" s="1" t="n">
        <v>44974.61608796296</v>
      </c>
      <c r="C409" s="1" t="n">
        <v>46162</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64969-2023</t>
        </is>
      </c>
      <c r="B410" s="1" t="n">
        <v>45284.54009259259</v>
      </c>
      <c r="C410" s="1" t="n">
        <v>46162</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48843-2024</t>
        </is>
      </c>
      <c r="B411" s="1" t="n">
        <v>45593</v>
      </c>
      <c r="C411" s="1" t="n">
        <v>46162</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17541-2024</t>
        </is>
      </c>
      <c r="B412" s="1" t="n">
        <v>45415</v>
      </c>
      <c r="C412" s="1" t="n">
        <v>46162</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2241-2025</t>
        </is>
      </c>
      <c r="B413" s="1" t="n">
        <v>45673.48710648148</v>
      </c>
      <c r="C413" s="1" t="n">
        <v>46162</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15434-2024</t>
        </is>
      </c>
      <c r="B414" s="1" t="n">
        <v>45401.38836805556</v>
      </c>
      <c r="C414" s="1" t="n">
        <v>46162</v>
      </c>
      <c r="D414" t="inlineStr">
        <is>
          <t>GOTLANDS LÄN</t>
        </is>
      </c>
      <c r="E414" t="inlineStr">
        <is>
          <t>GOTLAND</t>
        </is>
      </c>
      <c r="G414" t="n">
        <v>2.5</v>
      </c>
      <c r="H414" t="n">
        <v>0</v>
      </c>
      <c r="I414" t="n">
        <v>0</v>
      </c>
      <c r="J414" t="n">
        <v>0</v>
      </c>
      <c r="K414" t="n">
        <v>0</v>
      </c>
      <c r="L414" t="n">
        <v>0</v>
      </c>
      <c r="M414" t="n">
        <v>0</v>
      </c>
      <c r="N414" t="n">
        <v>0</v>
      </c>
      <c r="O414" t="n">
        <v>0</v>
      </c>
      <c r="P414" t="n">
        <v>0</v>
      </c>
      <c r="Q414" t="n">
        <v>0</v>
      </c>
      <c r="R414" s="2" t="inlineStr"/>
    </row>
    <row r="415" ht="15" customHeight="1">
      <c r="A415" t="inlineStr">
        <is>
          <t>A 59197-2025</t>
        </is>
      </c>
      <c r="B415" s="1" t="n">
        <v>45988.59846064815</v>
      </c>
      <c r="C415" s="1" t="n">
        <v>46162</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36319-2025</t>
        </is>
      </c>
      <c r="B416" s="1" t="n">
        <v>45868</v>
      </c>
      <c r="C416" s="1" t="n">
        <v>46162</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5943-2024</t>
        </is>
      </c>
      <c r="B417" s="1" t="n">
        <v>45336</v>
      </c>
      <c r="C417" s="1" t="n">
        <v>46162</v>
      </c>
      <c r="D417" t="inlineStr">
        <is>
          <t>GOTLANDS LÄN</t>
        </is>
      </c>
      <c r="E417" t="inlineStr">
        <is>
          <t>GOTLAND</t>
        </is>
      </c>
      <c r="G417" t="n">
        <v>4.3</v>
      </c>
      <c r="H417" t="n">
        <v>0</v>
      </c>
      <c r="I417" t="n">
        <v>0</v>
      </c>
      <c r="J417" t="n">
        <v>0</v>
      </c>
      <c r="K417" t="n">
        <v>0</v>
      </c>
      <c r="L417" t="n">
        <v>0</v>
      </c>
      <c r="M417" t="n">
        <v>0</v>
      </c>
      <c r="N417" t="n">
        <v>0</v>
      </c>
      <c r="O417" t="n">
        <v>0</v>
      </c>
      <c r="P417" t="n">
        <v>0</v>
      </c>
      <c r="Q417" t="n">
        <v>0</v>
      </c>
      <c r="R417" s="2" t="inlineStr"/>
    </row>
    <row r="418" ht="15" customHeight="1">
      <c r="A418" t="inlineStr">
        <is>
          <t>A 54073-2022</t>
        </is>
      </c>
      <c r="B418" s="1" t="n">
        <v>44881.50380787037</v>
      </c>
      <c r="C418" s="1" t="n">
        <v>46162</v>
      </c>
      <c r="D418" t="inlineStr">
        <is>
          <t>GOTLANDS LÄN</t>
        </is>
      </c>
      <c r="E418" t="inlineStr">
        <is>
          <t>GOTLAND</t>
        </is>
      </c>
      <c r="G418" t="n">
        <v>3.8</v>
      </c>
      <c r="H418" t="n">
        <v>0</v>
      </c>
      <c r="I418" t="n">
        <v>0</v>
      </c>
      <c r="J418" t="n">
        <v>0</v>
      </c>
      <c r="K418" t="n">
        <v>0</v>
      </c>
      <c r="L418" t="n">
        <v>0</v>
      </c>
      <c r="M418" t="n">
        <v>0</v>
      </c>
      <c r="N418" t="n">
        <v>0</v>
      </c>
      <c r="O418" t="n">
        <v>0</v>
      </c>
      <c r="P418" t="n">
        <v>0</v>
      </c>
      <c r="Q418" t="n">
        <v>0</v>
      </c>
      <c r="R418" s="2" t="inlineStr"/>
    </row>
    <row r="419" ht="15" customHeight="1">
      <c r="A419" t="inlineStr">
        <is>
          <t>A 16361-2024</t>
        </is>
      </c>
      <c r="B419" s="1" t="n">
        <v>45407</v>
      </c>
      <c r="C419" s="1" t="n">
        <v>46162</v>
      </c>
      <c r="D419" t="inlineStr">
        <is>
          <t>GOTLANDS LÄN</t>
        </is>
      </c>
      <c r="E419" t="inlineStr">
        <is>
          <t>GOTLAND</t>
        </is>
      </c>
      <c r="G419" t="n">
        <v>6</v>
      </c>
      <c r="H419" t="n">
        <v>0</v>
      </c>
      <c r="I419" t="n">
        <v>0</v>
      </c>
      <c r="J419" t="n">
        <v>0</v>
      </c>
      <c r="K419" t="n">
        <v>0</v>
      </c>
      <c r="L419" t="n">
        <v>0</v>
      </c>
      <c r="M419" t="n">
        <v>0</v>
      </c>
      <c r="N419" t="n">
        <v>0</v>
      </c>
      <c r="O419" t="n">
        <v>0</v>
      </c>
      <c r="P419" t="n">
        <v>0</v>
      </c>
      <c r="Q419" t="n">
        <v>0</v>
      </c>
      <c r="R419" s="2" t="inlineStr"/>
    </row>
    <row r="420" ht="15" customHeight="1">
      <c r="A420" t="inlineStr">
        <is>
          <t>A 41038-2023</t>
        </is>
      </c>
      <c r="B420" s="1" t="n">
        <v>45173.60959490741</v>
      </c>
      <c r="C420" s="1" t="n">
        <v>46162</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14427-2024</t>
        </is>
      </c>
      <c r="B421" s="1" t="n">
        <v>45394</v>
      </c>
      <c r="C421" s="1" t="n">
        <v>46162</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62066-2025</t>
        </is>
      </c>
      <c r="B422" s="1" t="n">
        <v>46006.34738425926</v>
      </c>
      <c r="C422" s="1" t="n">
        <v>46162</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31802-2024</t>
        </is>
      </c>
      <c r="B423" s="1" t="n">
        <v>45509</v>
      </c>
      <c r="C423" s="1" t="n">
        <v>46162</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62103-2025</t>
        </is>
      </c>
      <c r="B424" s="1" t="n">
        <v>46006</v>
      </c>
      <c r="C424" s="1" t="n">
        <v>46162</v>
      </c>
      <c r="D424" t="inlineStr">
        <is>
          <t>GOTLANDS LÄN</t>
        </is>
      </c>
      <c r="E424" t="inlineStr">
        <is>
          <t>GOTLAND</t>
        </is>
      </c>
      <c r="F424" t="inlineStr">
        <is>
          <t>Övriga Aktiebolag</t>
        </is>
      </c>
      <c r="G424" t="n">
        <v>1.7</v>
      </c>
      <c r="H424" t="n">
        <v>0</v>
      </c>
      <c r="I424" t="n">
        <v>0</v>
      </c>
      <c r="J424" t="n">
        <v>0</v>
      </c>
      <c r="K424" t="n">
        <v>0</v>
      </c>
      <c r="L424" t="n">
        <v>0</v>
      </c>
      <c r="M424" t="n">
        <v>0</v>
      </c>
      <c r="N424" t="n">
        <v>0</v>
      </c>
      <c r="O424" t="n">
        <v>0</v>
      </c>
      <c r="P424" t="n">
        <v>0</v>
      </c>
      <c r="Q424" t="n">
        <v>0</v>
      </c>
      <c r="R424" s="2" t="inlineStr"/>
    </row>
    <row r="425" ht="15" customHeight="1">
      <c r="A425" t="inlineStr">
        <is>
          <t>A 8036-2022</t>
        </is>
      </c>
      <c r="B425" s="1" t="n">
        <v>44609.44362268518</v>
      </c>
      <c r="C425" s="1" t="n">
        <v>46162</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12846-2025</t>
        </is>
      </c>
      <c r="B426" s="1" t="n">
        <v>45733.65049768519</v>
      </c>
      <c r="C426" s="1" t="n">
        <v>46162</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46949-2024</t>
        </is>
      </c>
      <c r="B427" s="1" t="n">
        <v>45585</v>
      </c>
      <c r="C427" s="1" t="n">
        <v>46162</v>
      </c>
      <c r="D427" t="inlineStr">
        <is>
          <t>GOTLANDS LÄN</t>
        </is>
      </c>
      <c r="E427" t="inlineStr">
        <is>
          <t>GOTLAND</t>
        </is>
      </c>
      <c r="G427" t="n">
        <v>0.6</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46162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46162</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46162</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61078-2025</t>
        </is>
      </c>
      <c r="B431" s="1" t="n">
        <v>46000</v>
      </c>
      <c r="C431" s="1" t="n">
        <v>46162</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36-2026</t>
        </is>
      </c>
      <c r="B432" s="1" t="n">
        <v>46024.38886574074</v>
      </c>
      <c r="C432" s="1" t="n">
        <v>46162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46162</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62674-2025</t>
        </is>
      </c>
      <c r="B434" s="1" t="n">
        <v>46008</v>
      </c>
      <c r="C434" s="1" t="n">
        <v>46162</v>
      </c>
      <c r="D434" t="inlineStr">
        <is>
          <t>GOTLANDS LÄN</t>
        </is>
      </c>
      <c r="E434" t="inlineStr">
        <is>
          <t>GOTLAND</t>
        </is>
      </c>
      <c r="G434" t="n">
        <v>5</v>
      </c>
      <c r="H434" t="n">
        <v>0</v>
      </c>
      <c r="I434" t="n">
        <v>0</v>
      </c>
      <c r="J434" t="n">
        <v>0</v>
      </c>
      <c r="K434" t="n">
        <v>0</v>
      </c>
      <c r="L434" t="n">
        <v>0</v>
      </c>
      <c r="M434" t="n">
        <v>0</v>
      </c>
      <c r="N434" t="n">
        <v>0</v>
      </c>
      <c r="O434" t="n">
        <v>0</v>
      </c>
      <c r="P434" t="n">
        <v>0</v>
      </c>
      <c r="Q434" t="n">
        <v>0</v>
      </c>
      <c r="R434" s="2" t="inlineStr"/>
    </row>
    <row r="435" ht="15" customHeight="1">
      <c r="A435" t="inlineStr">
        <is>
          <t>A 1351-2025</t>
        </is>
      </c>
      <c r="B435" s="1" t="n">
        <v>45667.62246527777</v>
      </c>
      <c r="C435" s="1" t="n">
        <v>46162</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39496-2022</t>
        </is>
      </c>
      <c r="B436" s="1" t="n">
        <v>44818</v>
      </c>
      <c r="C436" s="1" t="n">
        <v>46162</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49874-2024</t>
        </is>
      </c>
      <c r="B437" s="1" t="n">
        <v>45597.49274305555</v>
      </c>
      <c r="C437" s="1" t="n">
        <v>46162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46400-2023</t>
        </is>
      </c>
      <c r="B438" s="1" t="n">
        <v>45197.49290509259</v>
      </c>
      <c r="C438" s="1" t="n">
        <v>46162</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9875-2025</t>
        </is>
      </c>
      <c r="B439" s="1" t="n">
        <v>45716</v>
      </c>
      <c r="C439" s="1" t="n">
        <v>46162</v>
      </c>
      <c r="D439" t="inlineStr">
        <is>
          <t>GOTLANDS LÄN</t>
        </is>
      </c>
      <c r="E439" t="inlineStr">
        <is>
          <t>GOTLAND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21164-2024</t>
        </is>
      </c>
      <c r="B440" s="1" t="n">
        <v>45440</v>
      </c>
      <c r="C440" s="1" t="n">
        <v>46162</v>
      </c>
      <c r="D440" t="inlineStr">
        <is>
          <t>GOTLANDS LÄN</t>
        </is>
      </c>
      <c r="E440" t="inlineStr">
        <is>
          <t>GOTLAND</t>
        </is>
      </c>
      <c r="G440" t="n">
        <v>6.3</v>
      </c>
      <c r="H440" t="n">
        <v>0</v>
      </c>
      <c r="I440" t="n">
        <v>0</v>
      </c>
      <c r="J440" t="n">
        <v>0</v>
      </c>
      <c r="K440" t="n">
        <v>0</v>
      </c>
      <c r="L440" t="n">
        <v>0</v>
      </c>
      <c r="M440" t="n">
        <v>0</v>
      </c>
      <c r="N440" t="n">
        <v>0</v>
      </c>
      <c r="O440" t="n">
        <v>0</v>
      </c>
      <c r="P440" t="n">
        <v>0</v>
      </c>
      <c r="Q440" t="n">
        <v>0</v>
      </c>
      <c r="R440" s="2" t="inlineStr"/>
    </row>
    <row r="441" ht="15" customHeight="1">
      <c r="A441" t="inlineStr">
        <is>
          <t>A 1355-2026</t>
        </is>
      </c>
      <c r="B441" s="1" t="n">
        <v>46031.59909722222</v>
      </c>
      <c r="C441" s="1" t="n">
        <v>46162</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8045-2022</t>
        </is>
      </c>
      <c r="B442" s="1" t="n">
        <v>44609</v>
      </c>
      <c r="C442" s="1" t="n">
        <v>46162</v>
      </c>
      <c r="D442" t="inlineStr">
        <is>
          <t>GOTLANDS LÄN</t>
        </is>
      </c>
      <c r="E442" t="inlineStr">
        <is>
          <t>GOTLAND</t>
        </is>
      </c>
      <c r="G442" t="n">
        <v>7</v>
      </c>
      <c r="H442" t="n">
        <v>0</v>
      </c>
      <c r="I442" t="n">
        <v>0</v>
      </c>
      <c r="J442" t="n">
        <v>0</v>
      </c>
      <c r="K442" t="n">
        <v>0</v>
      </c>
      <c r="L442" t="n">
        <v>0</v>
      </c>
      <c r="M442" t="n">
        <v>0</v>
      </c>
      <c r="N442" t="n">
        <v>0</v>
      </c>
      <c r="O442" t="n">
        <v>0</v>
      </c>
      <c r="P442" t="n">
        <v>0</v>
      </c>
      <c r="Q442" t="n">
        <v>0</v>
      </c>
      <c r="R442" s="2" t="inlineStr"/>
    </row>
    <row r="443" ht="15" customHeight="1">
      <c r="A443" t="inlineStr">
        <is>
          <t>A 22897-2023</t>
        </is>
      </c>
      <c r="B443" s="1" t="n">
        <v>45072.55239583334</v>
      </c>
      <c r="C443" s="1" t="n">
        <v>46162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1898-2026</t>
        </is>
      </c>
      <c r="B444" s="1" t="n">
        <v>46035.52024305556</v>
      </c>
      <c r="C444" s="1" t="n">
        <v>46162</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61897-2024</t>
        </is>
      </c>
      <c r="B445" s="1" t="n">
        <v>45652.75685185185</v>
      </c>
      <c r="C445" s="1" t="n">
        <v>46162</v>
      </c>
      <c r="D445" t="inlineStr">
        <is>
          <t>GOTLANDS LÄN</t>
        </is>
      </c>
      <c r="E445" t="inlineStr">
        <is>
          <t>GOTLAND</t>
        </is>
      </c>
      <c r="G445" t="n">
        <v>6.4</v>
      </c>
      <c r="H445" t="n">
        <v>0</v>
      </c>
      <c r="I445" t="n">
        <v>0</v>
      </c>
      <c r="J445" t="n">
        <v>0</v>
      </c>
      <c r="K445" t="n">
        <v>0</v>
      </c>
      <c r="L445" t="n">
        <v>0</v>
      </c>
      <c r="M445" t="n">
        <v>0</v>
      </c>
      <c r="N445" t="n">
        <v>0</v>
      </c>
      <c r="O445" t="n">
        <v>0</v>
      </c>
      <c r="P445" t="n">
        <v>0</v>
      </c>
      <c r="Q445" t="n">
        <v>0</v>
      </c>
      <c r="R445" s="2" t="inlineStr"/>
    </row>
    <row r="446" ht="15" customHeight="1">
      <c r="A446" t="inlineStr">
        <is>
          <t>A 2415-2026</t>
        </is>
      </c>
      <c r="B446" s="1" t="n">
        <v>46036.76203703704</v>
      </c>
      <c r="C446" s="1" t="n">
        <v>46162</v>
      </c>
      <c r="D446" t="inlineStr">
        <is>
          <t>GOTLANDS LÄN</t>
        </is>
      </c>
      <c r="E446" t="inlineStr">
        <is>
          <t>GOTLAND</t>
        </is>
      </c>
      <c r="G446" t="n">
        <v>6.9</v>
      </c>
      <c r="H446" t="n">
        <v>0</v>
      </c>
      <c r="I446" t="n">
        <v>0</v>
      </c>
      <c r="J446" t="n">
        <v>0</v>
      </c>
      <c r="K446" t="n">
        <v>0</v>
      </c>
      <c r="L446" t="n">
        <v>0</v>
      </c>
      <c r="M446" t="n">
        <v>0</v>
      </c>
      <c r="N446" t="n">
        <v>0</v>
      </c>
      <c r="O446" t="n">
        <v>0</v>
      </c>
      <c r="P446" t="n">
        <v>0</v>
      </c>
      <c r="Q446" t="n">
        <v>0</v>
      </c>
      <c r="R446" s="2" t="inlineStr"/>
    </row>
    <row r="447" ht="15" customHeight="1">
      <c r="A447" t="inlineStr">
        <is>
          <t>A 49962-2023</t>
        </is>
      </c>
      <c r="B447" s="1" t="n">
        <v>45215.38775462963</v>
      </c>
      <c r="C447" s="1" t="n">
        <v>46162</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20165-2022</t>
        </is>
      </c>
      <c r="B448" s="1" t="n">
        <v>44698.49854166667</v>
      </c>
      <c r="C448" s="1" t="n">
        <v>46162</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40294-2022</t>
        </is>
      </c>
      <c r="B449" s="1" t="n">
        <v>44821</v>
      </c>
      <c r="C449" s="1" t="n">
        <v>46162</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3253-2026</t>
        </is>
      </c>
      <c r="B450" s="1" t="n">
        <v>46041.58902777778</v>
      </c>
      <c r="C450" s="1" t="n">
        <v>46162</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12032-2025</t>
        </is>
      </c>
      <c r="B451" s="1" t="n">
        <v>45728.64472222222</v>
      </c>
      <c r="C451" s="1" t="n">
        <v>46162</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38787-2023</t>
        </is>
      </c>
      <c r="B452" s="1" t="n">
        <v>45163</v>
      </c>
      <c r="C452" s="1" t="n">
        <v>46162</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43231-2023</t>
        </is>
      </c>
      <c r="B453" s="1" t="n">
        <v>45183.47025462963</v>
      </c>
      <c r="C453" s="1" t="n">
        <v>46162</v>
      </c>
      <c r="D453" t="inlineStr">
        <is>
          <t>GOTLANDS LÄN</t>
        </is>
      </c>
      <c r="E453" t="inlineStr">
        <is>
          <t>GOTLAND</t>
        </is>
      </c>
      <c r="G453" t="n">
        <v>3.6</v>
      </c>
      <c r="H453" t="n">
        <v>0</v>
      </c>
      <c r="I453" t="n">
        <v>0</v>
      </c>
      <c r="J453" t="n">
        <v>0</v>
      </c>
      <c r="K453" t="n">
        <v>0</v>
      </c>
      <c r="L453" t="n">
        <v>0</v>
      </c>
      <c r="M453" t="n">
        <v>0</v>
      </c>
      <c r="N453" t="n">
        <v>0</v>
      </c>
      <c r="O453" t="n">
        <v>0</v>
      </c>
      <c r="P453" t="n">
        <v>0</v>
      </c>
      <c r="Q453" t="n">
        <v>0</v>
      </c>
      <c r="R453" s="2" t="inlineStr"/>
    </row>
    <row r="454" ht="15" customHeight="1">
      <c r="A454" t="inlineStr">
        <is>
          <t>A 4646-2026</t>
        </is>
      </c>
      <c r="B454" s="1" t="n">
        <v>46048.40357638889</v>
      </c>
      <c r="C454" s="1" t="n">
        <v>46162</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17532-2024</t>
        </is>
      </c>
      <c r="B455" s="1" t="n">
        <v>45415</v>
      </c>
      <c r="C455" s="1" t="n">
        <v>46162</v>
      </c>
      <c r="D455" t="inlineStr">
        <is>
          <t>GOTLANDS LÄN</t>
        </is>
      </c>
      <c r="E455" t="inlineStr">
        <is>
          <t>GOTLAND</t>
        </is>
      </c>
      <c r="G455" t="n">
        <v>4.3</v>
      </c>
      <c r="H455" t="n">
        <v>0</v>
      </c>
      <c r="I455" t="n">
        <v>0</v>
      </c>
      <c r="J455" t="n">
        <v>0</v>
      </c>
      <c r="K455" t="n">
        <v>0</v>
      </c>
      <c r="L455" t="n">
        <v>0</v>
      </c>
      <c r="M455" t="n">
        <v>0</v>
      </c>
      <c r="N455" t="n">
        <v>0</v>
      </c>
      <c r="O455" t="n">
        <v>0</v>
      </c>
      <c r="P455" t="n">
        <v>0</v>
      </c>
      <c r="Q455" t="n">
        <v>0</v>
      </c>
      <c r="R455" s="2" t="inlineStr"/>
    </row>
    <row r="456" ht="15" customHeight="1">
      <c r="A456" t="inlineStr">
        <is>
          <t>A 1839-2026</t>
        </is>
      </c>
      <c r="B456" s="1" t="n">
        <v>46035.3942824074</v>
      </c>
      <c r="C456" s="1" t="n">
        <v>46162</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3935-2025</t>
        </is>
      </c>
      <c r="B457" s="1" t="n">
        <v>45684.46070601852</v>
      </c>
      <c r="C457" s="1" t="n">
        <v>46162</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4634-2026</t>
        </is>
      </c>
      <c r="B458" s="1" t="n">
        <v>46048.39304398148</v>
      </c>
      <c r="C458" s="1" t="n">
        <v>46162</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4670-2026</t>
        </is>
      </c>
      <c r="B459" s="1" t="n">
        <v>46048.41733796296</v>
      </c>
      <c r="C459" s="1" t="n">
        <v>46162</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20225-2025</t>
        </is>
      </c>
      <c r="B460" s="1" t="n">
        <v>45772.65802083333</v>
      </c>
      <c r="C460" s="1" t="n">
        <v>46162</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883-2025</t>
        </is>
      </c>
      <c r="B461" s="1" t="n">
        <v>45665</v>
      </c>
      <c r="C461" s="1" t="n">
        <v>46162</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1066-2024</t>
        </is>
      </c>
      <c r="B462" s="1" t="n">
        <v>45302.285</v>
      </c>
      <c r="C462" s="1" t="n">
        <v>46162</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6218-2026</t>
        </is>
      </c>
      <c r="B463" s="1" t="n">
        <v>46055.42859953704</v>
      </c>
      <c r="C463" s="1" t="n">
        <v>46162</v>
      </c>
      <c r="D463" t="inlineStr">
        <is>
          <t>GOTLANDS LÄN</t>
        </is>
      </c>
      <c r="E463" t="inlineStr">
        <is>
          <t>GOTLAND</t>
        </is>
      </c>
      <c r="G463" t="n">
        <v>4.3</v>
      </c>
      <c r="H463" t="n">
        <v>0</v>
      </c>
      <c r="I463" t="n">
        <v>0</v>
      </c>
      <c r="J463" t="n">
        <v>0</v>
      </c>
      <c r="K463" t="n">
        <v>0</v>
      </c>
      <c r="L463" t="n">
        <v>0</v>
      </c>
      <c r="M463" t="n">
        <v>0</v>
      </c>
      <c r="N463" t="n">
        <v>0</v>
      </c>
      <c r="O463" t="n">
        <v>0</v>
      </c>
      <c r="P463" t="n">
        <v>0</v>
      </c>
      <c r="Q463" t="n">
        <v>0</v>
      </c>
      <c r="R463" s="2" t="inlineStr"/>
    </row>
    <row r="464" ht="15" customHeight="1">
      <c r="A464" t="inlineStr">
        <is>
          <t>A 17144-2025</t>
        </is>
      </c>
      <c r="B464" s="1" t="n">
        <v>45755.9499537037</v>
      </c>
      <c r="C464" s="1" t="n">
        <v>46162</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6207-2026</t>
        </is>
      </c>
      <c r="B465" s="1" t="n">
        <v>46055.42083333333</v>
      </c>
      <c r="C465" s="1" t="n">
        <v>46162</v>
      </c>
      <c r="D465" t="inlineStr">
        <is>
          <t>GOTLANDS LÄN</t>
        </is>
      </c>
      <c r="E465" t="inlineStr">
        <is>
          <t>GOTLAND</t>
        </is>
      </c>
      <c r="G465" t="n">
        <v>7.6</v>
      </c>
      <c r="H465" t="n">
        <v>0</v>
      </c>
      <c r="I465" t="n">
        <v>0</v>
      </c>
      <c r="J465" t="n">
        <v>0</v>
      </c>
      <c r="K465" t="n">
        <v>0</v>
      </c>
      <c r="L465" t="n">
        <v>0</v>
      </c>
      <c r="M465" t="n">
        <v>0</v>
      </c>
      <c r="N465" t="n">
        <v>0</v>
      </c>
      <c r="O465" t="n">
        <v>0</v>
      </c>
      <c r="P465" t="n">
        <v>0</v>
      </c>
      <c r="Q465" t="n">
        <v>0</v>
      </c>
      <c r="R465" s="2" t="inlineStr"/>
    </row>
    <row r="466" ht="15" customHeight="1">
      <c r="A466" t="inlineStr">
        <is>
          <t>A 6959-2026</t>
        </is>
      </c>
      <c r="B466" s="1" t="n">
        <v>46057.580625</v>
      </c>
      <c r="C466" s="1" t="n">
        <v>46162</v>
      </c>
      <c r="D466" t="inlineStr">
        <is>
          <t>GOTLANDS LÄN</t>
        </is>
      </c>
      <c r="E466" t="inlineStr">
        <is>
          <t>GOTLAND</t>
        </is>
      </c>
      <c r="F466" t="inlineStr">
        <is>
          <t>Kyrkan</t>
        </is>
      </c>
      <c r="G466" t="n">
        <v>1.2</v>
      </c>
      <c r="H466" t="n">
        <v>0</v>
      </c>
      <c r="I466" t="n">
        <v>0</v>
      </c>
      <c r="J466" t="n">
        <v>0</v>
      </c>
      <c r="K466" t="n">
        <v>0</v>
      </c>
      <c r="L466" t="n">
        <v>0</v>
      </c>
      <c r="M466" t="n">
        <v>0</v>
      </c>
      <c r="N466" t="n">
        <v>0</v>
      </c>
      <c r="O466" t="n">
        <v>0</v>
      </c>
      <c r="P466" t="n">
        <v>0</v>
      </c>
      <c r="Q466" t="n">
        <v>0</v>
      </c>
      <c r="R466" s="2" t="inlineStr"/>
    </row>
    <row r="467" ht="15" customHeight="1">
      <c r="A467" t="inlineStr">
        <is>
          <t>A 6960-2026</t>
        </is>
      </c>
      <c r="B467" s="1" t="n">
        <v>46057.58105324074</v>
      </c>
      <c r="C467" s="1" t="n">
        <v>46162</v>
      </c>
      <c r="D467" t="inlineStr">
        <is>
          <t>GOTLANDS LÄN</t>
        </is>
      </c>
      <c r="E467" t="inlineStr">
        <is>
          <t>GOTLAND</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56009-2024</t>
        </is>
      </c>
      <c r="B468" s="1" t="n">
        <v>45623.80864583333</v>
      </c>
      <c r="C468" s="1" t="n">
        <v>46162</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42338-2023</t>
        </is>
      </c>
      <c r="B469" s="1" t="n">
        <v>45180</v>
      </c>
      <c r="C469" s="1" t="n">
        <v>46162</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7625-2026</t>
        </is>
      </c>
      <c r="B470" s="1" t="n">
        <v>46062.35135416667</v>
      </c>
      <c r="C470" s="1" t="n">
        <v>46162</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7627-2026</t>
        </is>
      </c>
      <c r="B471" s="1" t="n">
        <v>46062.35465277778</v>
      </c>
      <c r="C471" s="1" t="n">
        <v>46162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63105-2025</t>
        </is>
      </c>
      <c r="B472" s="1" t="n">
        <v>46009</v>
      </c>
      <c r="C472" s="1" t="n">
        <v>46162</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2135-2026</t>
        </is>
      </c>
      <c r="B473" s="1" t="n">
        <v>46036</v>
      </c>
      <c r="C473" s="1" t="n">
        <v>46162</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2134-2026</t>
        </is>
      </c>
      <c r="B474" s="1" t="n">
        <v>46036</v>
      </c>
      <c r="C474" s="1" t="n">
        <v>46162</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53561-2025</t>
        </is>
      </c>
      <c r="B475" s="1" t="n">
        <v>45960.4059375</v>
      </c>
      <c r="C475" s="1" t="n">
        <v>46162</v>
      </c>
      <c r="D475" t="inlineStr">
        <is>
          <t>GOTLANDS LÄN</t>
        </is>
      </c>
      <c r="E475" t="inlineStr">
        <is>
          <t>GOTLAND</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53587-2025</t>
        </is>
      </c>
      <c r="B476" s="1" t="n">
        <v>45960.43681712963</v>
      </c>
      <c r="C476" s="1" t="n">
        <v>46162</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581-2023</t>
        </is>
      </c>
      <c r="B477" s="1" t="n">
        <v>44930</v>
      </c>
      <c r="C477" s="1" t="n">
        <v>46162</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61386-2023</t>
        </is>
      </c>
      <c r="B478" s="1" t="n">
        <v>45264</v>
      </c>
      <c r="C478" s="1" t="n">
        <v>46162</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9504-2026</t>
        </is>
      </c>
      <c r="B479" s="1" t="n">
        <v>46071.57730324074</v>
      </c>
      <c r="C479" s="1" t="n">
        <v>46162</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9518-2026</t>
        </is>
      </c>
      <c r="B480" s="1" t="n">
        <v>46071.59653935185</v>
      </c>
      <c r="C480" s="1" t="n">
        <v>46162</v>
      </c>
      <c r="D480" t="inlineStr">
        <is>
          <t>GOTLANDS LÄN</t>
        </is>
      </c>
      <c r="E480" t="inlineStr">
        <is>
          <t>GOTLAND</t>
        </is>
      </c>
      <c r="G480" t="n">
        <v>6.2</v>
      </c>
      <c r="H480" t="n">
        <v>0</v>
      </c>
      <c r="I480" t="n">
        <v>0</v>
      </c>
      <c r="J480" t="n">
        <v>0</v>
      </c>
      <c r="K480" t="n">
        <v>0</v>
      </c>
      <c r="L480" t="n">
        <v>0</v>
      </c>
      <c r="M480" t="n">
        <v>0</v>
      </c>
      <c r="N480" t="n">
        <v>0</v>
      </c>
      <c r="O480" t="n">
        <v>0</v>
      </c>
      <c r="P480" t="n">
        <v>0</v>
      </c>
      <c r="Q480" t="n">
        <v>0</v>
      </c>
      <c r="R480" s="2" t="inlineStr"/>
    </row>
    <row r="481" ht="15" customHeight="1">
      <c r="A481" t="inlineStr">
        <is>
          <t>A 9519-2026</t>
        </is>
      </c>
      <c r="B481" s="1" t="n">
        <v>46071.59820601852</v>
      </c>
      <c r="C481" s="1" t="n">
        <v>46162</v>
      </c>
      <c r="D481" t="inlineStr">
        <is>
          <t>GOTLANDS LÄN</t>
        </is>
      </c>
      <c r="E481" t="inlineStr">
        <is>
          <t>GOTLAND</t>
        </is>
      </c>
      <c r="G481" t="n">
        <v>4</v>
      </c>
      <c r="H481" t="n">
        <v>0</v>
      </c>
      <c r="I481" t="n">
        <v>0</v>
      </c>
      <c r="J481" t="n">
        <v>0</v>
      </c>
      <c r="K481" t="n">
        <v>0</v>
      </c>
      <c r="L481" t="n">
        <v>0</v>
      </c>
      <c r="M481" t="n">
        <v>0</v>
      </c>
      <c r="N481" t="n">
        <v>0</v>
      </c>
      <c r="O481" t="n">
        <v>0</v>
      </c>
      <c r="P481" t="n">
        <v>0</v>
      </c>
      <c r="Q481" t="n">
        <v>0</v>
      </c>
      <c r="R481" s="2" t="inlineStr"/>
    </row>
    <row r="482" ht="15" customHeight="1">
      <c r="A482" t="inlineStr">
        <is>
          <t>A 9540-2026</t>
        </is>
      </c>
      <c r="B482" s="1" t="n">
        <v>46071.61961805556</v>
      </c>
      <c r="C482" s="1" t="n">
        <v>46162</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9521-2026</t>
        </is>
      </c>
      <c r="B483" s="1" t="n">
        <v>46071.59969907408</v>
      </c>
      <c r="C483" s="1" t="n">
        <v>46162</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9524-2026</t>
        </is>
      </c>
      <c r="B484" s="1" t="n">
        <v>46071.60108796296</v>
      </c>
      <c r="C484" s="1" t="n">
        <v>46162</v>
      </c>
      <c r="D484" t="inlineStr">
        <is>
          <t>GOTLANDS LÄN</t>
        </is>
      </c>
      <c r="E484" t="inlineStr">
        <is>
          <t>GOTLAND</t>
        </is>
      </c>
      <c r="G484" t="n">
        <v>2.5</v>
      </c>
      <c r="H484" t="n">
        <v>0</v>
      </c>
      <c r="I484" t="n">
        <v>0</v>
      </c>
      <c r="J484" t="n">
        <v>0</v>
      </c>
      <c r="K484" t="n">
        <v>0</v>
      </c>
      <c r="L484" t="n">
        <v>0</v>
      </c>
      <c r="M484" t="n">
        <v>0</v>
      </c>
      <c r="N484" t="n">
        <v>0</v>
      </c>
      <c r="O484" t="n">
        <v>0</v>
      </c>
      <c r="P484" t="n">
        <v>0</v>
      </c>
      <c r="Q484" t="n">
        <v>0</v>
      </c>
      <c r="R484" s="2" t="inlineStr"/>
    </row>
    <row r="485" ht="15" customHeight="1">
      <c r="A485" t="inlineStr">
        <is>
          <t>A 9543-2026</t>
        </is>
      </c>
      <c r="B485" s="1" t="n">
        <v>46071.62486111111</v>
      </c>
      <c r="C485" s="1" t="n">
        <v>46162</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873-2024</t>
        </is>
      </c>
      <c r="B486" s="1" t="n">
        <v>45301</v>
      </c>
      <c r="C486" s="1" t="n">
        <v>46162</v>
      </c>
      <c r="D486" t="inlineStr">
        <is>
          <t>GOTLANDS LÄN</t>
        </is>
      </c>
      <c r="E486" t="inlineStr">
        <is>
          <t>GOTLAND</t>
        </is>
      </c>
      <c r="G486" t="n">
        <v>2.7</v>
      </c>
      <c r="H486" t="n">
        <v>0</v>
      </c>
      <c r="I486" t="n">
        <v>0</v>
      </c>
      <c r="J486" t="n">
        <v>0</v>
      </c>
      <c r="K486" t="n">
        <v>0</v>
      </c>
      <c r="L486" t="n">
        <v>0</v>
      </c>
      <c r="M486" t="n">
        <v>0</v>
      </c>
      <c r="N486" t="n">
        <v>0</v>
      </c>
      <c r="O486" t="n">
        <v>0</v>
      </c>
      <c r="P486" t="n">
        <v>0</v>
      </c>
      <c r="Q486" t="n">
        <v>0</v>
      </c>
      <c r="R486" s="2" t="inlineStr"/>
    </row>
    <row r="487" ht="15" customHeight="1">
      <c r="A487" t="inlineStr">
        <is>
          <t>A 49411-2023</t>
        </is>
      </c>
      <c r="B487" s="1" t="n">
        <v>45205</v>
      </c>
      <c r="C487" s="1" t="n">
        <v>46162</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22275-2023</t>
        </is>
      </c>
      <c r="B488" s="1" t="n">
        <v>45070.39875</v>
      </c>
      <c r="C488" s="1" t="n">
        <v>46162</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12322-2025</t>
        </is>
      </c>
      <c r="B489" s="1" t="n">
        <v>45730</v>
      </c>
      <c r="C489" s="1" t="n">
        <v>46162</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14797-2024</t>
        </is>
      </c>
      <c r="B490" s="1" t="n">
        <v>45397.87030092593</v>
      </c>
      <c r="C490" s="1" t="n">
        <v>46162</v>
      </c>
      <c r="D490" t="inlineStr">
        <is>
          <t>GOTLANDS LÄN</t>
        </is>
      </c>
      <c r="E490" t="inlineStr">
        <is>
          <t>GOTLAND</t>
        </is>
      </c>
      <c r="G490" t="n">
        <v>8.1</v>
      </c>
      <c r="H490" t="n">
        <v>0</v>
      </c>
      <c r="I490" t="n">
        <v>0</v>
      </c>
      <c r="J490" t="n">
        <v>0</v>
      </c>
      <c r="K490" t="n">
        <v>0</v>
      </c>
      <c r="L490" t="n">
        <v>0</v>
      </c>
      <c r="M490" t="n">
        <v>0</v>
      </c>
      <c r="N490" t="n">
        <v>0</v>
      </c>
      <c r="O490" t="n">
        <v>0</v>
      </c>
      <c r="P490" t="n">
        <v>0</v>
      </c>
      <c r="Q490" t="n">
        <v>0</v>
      </c>
      <c r="R490" s="2" t="inlineStr"/>
    </row>
    <row r="491" ht="15" customHeight="1">
      <c r="A491" t="inlineStr">
        <is>
          <t>A 999-2024</t>
        </is>
      </c>
      <c r="B491" s="1" t="n">
        <v>45301</v>
      </c>
      <c r="C491" s="1" t="n">
        <v>46162</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10486-2026</t>
        </is>
      </c>
      <c r="B492" s="1" t="n">
        <v>46077.51425925926</v>
      </c>
      <c r="C492" s="1" t="n">
        <v>46162</v>
      </c>
      <c r="D492" t="inlineStr">
        <is>
          <t>GOTLANDS LÄN</t>
        </is>
      </c>
      <c r="E492" t="inlineStr">
        <is>
          <t>GOTLAND</t>
        </is>
      </c>
      <c r="G492" t="n">
        <v>3.5</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46162</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9901-2026</t>
        </is>
      </c>
      <c r="B494" s="1" t="n">
        <v>46073.40391203704</v>
      </c>
      <c r="C494" s="1" t="n">
        <v>46162</v>
      </c>
      <c r="D494" t="inlineStr">
        <is>
          <t>GOTLANDS LÄN</t>
        </is>
      </c>
      <c r="E494" t="inlineStr">
        <is>
          <t>GOTLAND</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14638-2025</t>
        </is>
      </c>
      <c r="B495" s="1" t="n">
        <v>45742</v>
      </c>
      <c r="C495" s="1" t="n">
        <v>46162</v>
      </c>
      <c r="D495" t="inlineStr">
        <is>
          <t>GOTLANDS LÄN</t>
        </is>
      </c>
      <c r="E495" t="inlineStr">
        <is>
          <t>GOTLAND</t>
        </is>
      </c>
      <c r="G495" t="n">
        <v>13.4</v>
      </c>
      <c r="H495" t="n">
        <v>0</v>
      </c>
      <c r="I495" t="n">
        <v>0</v>
      </c>
      <c r="J495" t="n">
        <v>0</v>
      </c>
      <c r="K495" t="n">
        <v>0</v>
      </c>
      <c r="L495" t="n">
        <v>0</v>
      </c>
      <c r="M495" t="n">
        <v>0</v>
      </c>
      <c r="N495" t="n">
        <v>0</v>
      </c>
      <c r="O495" t="n">
        <v>0</v>
      </c>
      <c r="P495" t="n">
        <v>0</v>
      </c>
      <c r="Q495" t="n">
        <v>0</v>
      </c>
      <c r="R495" s="2" t="inlineStr"/>
    </row>
    <row r="496" ht="15" customHeight="1">
      <c r="A496" t="inlineStr">
        <is>
          <t>A 10284-2026</t>
        </is>
      </c>
      <c r="B496" s="1" t="n">
        <v>46076</v>
      </c>
      <c r="C496" s="1" t="n">
        <v>46162</v>
      </c>
      <c r="D496" t="inlineStr">
        <is>
          <t>GOTLANDS LÄN</t>
        </is>
      </c>
      <c r="E496" t="inlineStr">
        <is>
          <t>GOTLAND</t>
        </is>
      </c>
      <c r="G496" t="n">
        <v>5.2</v>
      </c>
      <c r="H496" t="n">
        <v>0</v>
      </c>
      <c r="I496" t="n">
        <v>0</v>
      </c>
      <c r="J496" t="n">
        <v>0</v>
      </c>
      <c r="K496" t="n">
        <v>0</v>
      </c>
      <c r="L496" t="n">
        <v>0</v>
      </c>
      <c r="M496" t="n">
        <v>0</v>
      </c>
      <c r="N496" t="n">
        <v>0</v>
      </c>
      <c r="O496" t="n">
        <v>0</v>
      </c>
      <c r="P496" t="n">
        <v>0</v>
      </c>
      <c r="Q496" t="n">
        <v>0</v>
      </c>
      <c r="R496" s="2" t="inlineStr"/>
    </row>
    <row r="497" ht="15" customHeight="1">
      <c r="A497" t="inlineStr">
        <is>
          <t>A 60675-2021</t>
        </is>
      </c>
      <c r="B497" s="1" t="n">
        <v>44496.64855324074</v>
      </c>
      <c r="C497" s="1" t="n">
        <v>46162</v>
      </c>
      <c r="D497" t="inlineStr">
        <is>
          <t>GOTLANDS LÄN</t>
        </is>
      </c>
      <c r="E497" t="inlineStr">
        <is>
          <t>GOTLAND</t>
        </is>
      </c>
      <c r="G497" t="n">
        <v>4.6</v>
      </c>
      <c r="H497" t="n">
        <v>0</v>
      </c>
      <c r="I497" t="n">
        <v>0</v>
      </c>
      <c r="J497" t="n">
        <v>0</v>
      </c>
      <c r="K497" t="n">
        <v>0</v>
      </c>
      <c r="L497" t="n">
        <v>0</v>
      </c>
      <c r="M497" t="n">
        <v>0</v>
      </c>
      <c r="N497" t="n">
        <v>0</v>
      </c>
      <c r="O497" t="n">
        <v>0</v>
      </c>
      <c r="P497" t="n">
        <v>0</v>
      </c>
      <c r="Q497" t="n">
        <v>0</v>
      </c>
      <c r="R497" s="2" t="inlineStr"/>
    </row>
    <row r="498" ht="15" customHeight="1">
      <c r="A498" t="inlineStr">
        <is>
          <t>A 37728-2024</t>
        </is>
      </c>
      <c r="B498" s="1" t="n">
        <v>45541</v>
      </c>
      <c r="C498" s="1" t="n">
        <v>46162</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60384-2025</t>
        </is>
      </c>
      <c r="B499" s="1" t="n">
        <v>45995</v>
      </c>
      <c r="C499" s="1" t="n">
        <v>46162</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22287-2022</t>
        </is>
      </c>
      <c r="B500" s="1" t="n">
        <v>44712</v>
      </c>
      <c r="C500" s="1" t="n">
        <v>46162</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46162</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65249-2023</t>
        </is>
      </c>
      <c r="B502" s="1" t="n">
        <v>45290</v>
      </c>
      <c r="C502" s="1" t="n">
        <v>46162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17935-2026</t>
        </is>
      </c>
      <c r="B503" s="1" t="n">
        <v>46122</v>
      </c>
      <c r="C503" s="1" t="n">
        <v>46162</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11424-2026</t>
        </is>
      </c>
      <c r="B504" s="1" t="n">
        <v>46083.48068287037</v>
      </c>
      <c r="C504" s="1" t="n">
        <v>46162</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13910-2025</t>
        </is>
      </c>
      <c r="B505" s="1" t="n">
        <v>45737</v>
      </c>
      <c r="C505" s="1" t="n">
        <v>46162</v>
      </c>
      <c r="D505" t="inlineStr">
        <is>
          <t>GOTLANDS LÄN</t>
        </is>
      </c>
      <c r="E505" t="inlineStr">
        <is>
          <t>GOTLAND</t>
        </is>
      </c>
      <c r="F505" t="inlineStr">
        <is>
          <t>Kommuner</t>
        </is>
      </c>
      <c r="G505" t="n">
        <v>3.2</v>
      </c>
      <c r="H505" t="n">
        <v>0</v>
      </c>
      <c r="I505" t="n">
        <v>0</v>
      </c>
      <c r="J505" t="n">
        <v>0</v>
      </c>
      <c r="K505" t="n">
        <v>0</v>
      </c>
      <c r="L505" t="n">
        <v>0</v>
      </c>
      <c r="M505" t="n">
        <v>0</v>
      </c>
      <c r="N505" t="n">
        <v>0</v>
      </c>
      <c r="O505" t="n">
        <v>0</v>
      </c>
      <c r="P505" t="n">
        <v>0</v>
      </c>
      <c r="Q505" t="n">
        <v>0</v>
      </c>
      <c r="R505" s="2" t="inlineStr"/>
    </row>
    <row r="506" ht="15" customHeight="1">
      <c r="A506" t="inlineStr">
        <is>
          <t>A 11414-2026</t>
        </is>
      </c>
      <c r="B506" s="1" t="n">
        <v>46083.46336805556</v>
      </c>
      <c r="C506" s="1" t="n">
        <v>46162</v>
      </c>
      <c r="D506" t="inlineStr">
        <is>
          <t>GOTLANDS LÄN</t>
        </is>
      </c>
      <c r="E506" t="inlineStr">
        <is>
          <t>GOTLAND</t>
        </is>
      </c>
      <c r="G506" t="n">
        <v>4.9</v>
      </c>
      <c r="H506" t="n">
        <v>0</v>
      </c>
      <c r="I506" t="n">
        <v>0</v>
      </c>
      <c r="J506" t="n">
        <v>0</v>
      </c>
      <c r="K506" t="n">
        <v>0</v>
      </c>
      <c r="L506" t="n">
        <v>0</v>
      </c>
      <c r="M506" t="n">
        <v>0</v>
      </c>
      <c r="N506" t="n">
        <v>0</v>
      </c>
      <c r="O506" t="n">
        <v>0</v>
      </c>
      <c r="P506" t="n">
        <v>0</v>
      </c>
      <c r="Q506" t="n">
        <v>0</v>
      </c>
      <c r="R506" s="2" t="inlineStr"/>
    </row>
    <row r="507" ht="15" customHeight="1">
      <c r="A507" t="inlineStr">
        <is>
          <t>A 17943-2026</t>
        </is>
      </c>
      <c r="B507" s="1" t="n">
        <v>46122</v>
      </c>
      <c r="C507" s="1" t="n">
        <v>46162</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54584-2025</t>
        </is>
      </c>
      <c r="B508" s="1" t="n">
        <v>45965.71788194445</v>
      </c>
      <c r="C508" s="1" t="n">
        <v>46162</v>
      </c>
      <c r="D508" t="inlineStr">
        <is>
          <t>GOTLANDS LÄN</t>
        </is>
      </c>
      <c r="E508" t="inlineStr">
        <is>
          <t>GOTLAND</t>
        </is>
      </c>
      <c r="G508" t="n">
        <v>3.5</v>
      </c>
      <c r="H508" t="n">
        <v>0</v>
      </c>
      <c r="I508" t="n">
        <v>0</v>
      </c>
      <c r="J508" t="n">
        <v>0</v>
      </c>
      <c r="K508" t="n">
        <v>0</v>
      </c>
      <c r="L508" t="n">
        <v>0</v>
      </c>
      <c r="M508" t="n">
        <v>0</v>
      </c>
      <c r="N508" t="n">
        <v>0</v>
      </c>
      <c r="O508" t="n">
        <v>0</v>
      </c>
      <c r="P508" t="n">
        <v>0</v>
      </c>
      <c r="Q508" t="n">
        <v>0</v>
      </c>
      <c r="R508" s="2" t="inlineStr"/>
    </row>
    <row r="509" ht="15" customHeight="1">
      <c r="A509" t="inlineStr">
        <is>
          <t>A 3067-2026</t>
        </is>
      </c>
      <c r="B509" s="1" t="n">
        <v>46040.59025462963</v>
      </c>
      <c r="C509" s="1" t="n">
        <v>46162</v>
      </c>
      <c r="D509" t="inlineStr">
        <is>
          <t>GOTLANDS LÄN</t>
        </is>
      </c>
      <c r="E509" t="inlineStr">
        <is>
          <t>GOTLAND</t>
        </is>
      </c>
      <c r="G509" t="n">
        <v>7.8</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44682.82622685185</v>
      </c>
      <c r="C510" s="1" t="n">
        <v>46162</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59986-2022</t>
        </is>
      </c>
      <c r="B511" s="1" t="n">
        <v>44909</v>
      </c>
      <c r="C511" s="1" t="n">
        <v>46162</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11982-2026</t>
        </is>
      </c>
      <c r="B512" s="1" t="n">
        <v>46085.6434375</v>
      </c>
      <c r="C512" s="1" t="n">
        <v>46162</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18804-2026</t>
        </is>
      </c>
      <c r="B514" s="1" t="n">
        <v>46128.62366898148</v>
      </c>
      <c r="C514" s="1" t="n">
        <v>46162</v>
      </c>
      <c r="D514" t="inlineStr">
        <is>
          <t>GOTLANDS LÄN</t>
        </is>
      </c>
      <c r="E514" t="inlineStr">
        <is>
          <t>GOTLAND</t>
        </is>
      </c>
      <c r="F514" t="inlineStr">
        <is>
          <t>Kyrkan</t>
        </is>
      </c>
      <c r="G514" t="n">
        <v>2.6</v>
      </c>
      <c r="H514" t="n">
        <v>0</v>
      </c>
      <c r="I514" t="n">
        <v>0</v>
      </c>
      <c r="J514" t="n">
        <v>0</v>
      </c>
      <c r="K514" t="n">
        <v>0</v>
      </c>
      <c r="L514" t="n">
        <v>0</v>
      </c>
      <c r="M514" t="n">
        <v>0</v>
      </c>
      <c r="N514" t="n">
        <v>0</v>
      </c>
      <c r="O514" t="n">
        <v>0</v>
      </c>
      <c r="P514" t="n">
        <v>0</v>
      </c>
      <c r="Q514" t="n">
        <v>0</v>
      </c>
      <c r="R514" s="2" t="inlineStr"/>
    </row>
    <row r="515" ht="15" customHeight="1">
      <c r="A515" t="inlineStr">
        <is>
          <t>A 12135-2026</t>
        </is>
      </c>
      <c r="B515" s="1" t="n">
        <v>46086</v>
      </c>
      <c r="C515" s="1" t="n">
        <v>46162</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42041-2024</t>
        </is>
      </c>
      <c r="B516" s="1" t="n">
        <v>45561</v>
      </c>
      <c r="C516" s="1" t="n">
        <v>46162</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61694-2023</t>
        </is>
      </c>
      <c r="B517" s="1" t="n">
        <v>45264</v>
      </c>
      <c r="C517" s="1" t="n">
        <v>46162</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42201-2023</t>
        </is>
      </c>
      <c r="B518" s="1" t="n">
        <v>45179</v>
      </c>
      <c r="C518" s="1" t="n">
        <v>46162</v>
      </c>
      <c r="D518" t="inlineStr">
        <is>
          <t>GOTLANDS LÄN</t>
        </is>
      </c>
      <c r="E518" t="inlineStr">
        <is>
          <t>GOTLAND</t>
        </is>
      </c>
      <c r="G518" t="n">
        <v>11.9</v>
      </c>
      <c r="H518" t="n">
        <v>0</v>
      </c>
      <c r="I518" t="n">
        <v>0</v>
      </c>
      <c r="J518" t="n">
        <v>0</v>
      </c>
      <c r="K518" t="n">
        <v>0</v>
      </c>
      <c r="L518" t="n">
        <v>0</v>
      </c>
      <c r="M518" t="n">
        <v>0</v>
      </c>
      <c r="N518" t="n">
        <v>0</v>
      </c>
      <c r="O518" t="n">
        <v>0</v>
      </c>
      <c r="P518" t="n">
        <v>0</v>
      </c>
      <c r="Q518" t="n">
        <v>0</v>
      </c>
      <c r="R518" s="2" t="inlineStr"/>
    </row>
    <row r="519" ht="15" customHeight="1">
      <c r="A519" t="inlineStr">
        <is>
          <t>A 19322-2026</t>
        </is>
      </c>
      <c r="B519" s="1" t="n">
        <v>46129</v>
      </c>
      <c r="C519" s="1" t="n">
        <v>46162</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64555-2023</t>
        </is>
      </c>
      <c r="B520" s="1" t="n">
        <v>45281</v>
      </c>
      <c r="C520" s="1" t="n">
        <v>46162</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64831-2023</t>
        </is>
      </c>
      <c r="B521" s="1" t="n">
        <v>45282.44924768519</v>
      </c>
      <c r="C521" s="1" t="n">
        <v>46162</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999-2023</t>
        </is>
      </c>
      <c r="B522" s="1" t="n">
        <v>44935</v>
      </c>
      <c r="C522" s="1" t="n">
        <v>46162</v>
      </c>
      <c r="D522" t="inlineStr">
        <is>
          <t>GOTLANDS LÄN</t>
        </is>
      </c>
      <c r="E522" t="inlineStr">
        <is>
          <t>GOTLAND</t>
        </is>
      </c>
      <c r="G522" t="n">
        <v>4.7</v>
      </c>
      <c r="H522" t="n">
        <v>0</v>
      </c>
      <c r="I522" t="n">
        <v>0</v>
      </c>
      <c r="J522" t="n">
        <v>0</v>
      </c>
      <c r="K522" t="n">
        <v>0</v>
      </c>
      <c r="L522" t="n">
        <v>0</v>
      </c>
      <c r="M522" t="n">
        <v>0</v>
      </c>
      <c r="N522" t="n">
        <v>0</v>
      </c>
      <c r="O522" t="n">
        <v>0</v>
      </c>
      <c r="P522" t="n">
        <v>0</v>
      </c>
      <c r="Q522" t="n">
        <v>0</v>
      </c>
      <c r="R522" s="2" t="inlineStr"/>
    </row>
    <row r="523" ht="15" customHeight="1">
      <c r="A523" t="inlineStr">
        <is>
          <t>A 27602-2023</t>
        </is>
      </c>
      <c r="B523" s="1" t="n">
        <v>45097</v>
      </c>
      <c r="C523" s="1" t="n">
        <v>46162</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4377-2023</t>
        </is>
      </c>
      <c r="B524" s="1" t="n">
        <v>44955.5502662037</v>
      </c>
      <c r="C524" s="1" t="n">
        <v>46162</v>
      </c>
      <c r="D524" t="inlineStr">
        <is>
          <t>GOTLANDS LÄN</t>
        </is>
      </c>
      <c r="E524" t="inlineStr">
        <is>
          <t>GOTLAND</t>
        </is>
      </c>
      <c r="F524" t="inlineStr">
        <is>
          <t>Kyrkan</t>
        </is>
      </c>
      <c r="G524" t="n">
        <v>0.6</v>
      </c>
      <c r="H524" t="n">
        <v>0</v>
      </c>
      <c r="I524" t="n">
        <v>0</v>
      </c>
      <c r="J524" t="n">
        <v>0</v>
      </c>
      <c r="K524" t="n">
        <v>0</v>
      </c>
      <c r="L524" t="n">
        <v>0</v>
      </c>
      <c r="M524" t="n">
        <v>0</v>
      </c>
      <c r="N524" t="n">
        <v>0</v>
      </c>
      <c r="O524" t="n">
        <v>0</v>
      </c>
      <c r="P524" t="n">
        <v>0</v>
      </c>
      <c r="Q524" t="n">
        <v>0</v>
      </c>
      <c r="R524" s="2" t="inlineStr"/>
    </row>
    <row r="525" ht="15" customHeight="1">
      <c r="A525" t="inlineStr">
        <is>
          <t>A 4387-2023</t>
        </is>
      </c>
      <c r="B525" s="1" t="n">
        <v>44955.73359953704</v>
      </c>
      <c r="C525" s="1" t="n">
        <v>46162</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62754-2025</t>
        </is>
      </c>
      <c r="B526" s="1" t="n">
        <v>46008</v>
      </c>
      <c r="C526" s="1" t="n">
        <v>46162</v>
      </c>
      <c r="D526" t="inlineStr">
        <is>
          <t>GOTLANDS LÄN</t>
        </is>
      </c>
      <c r="E526" t="inlineStr">
        <is>
          <t>GOTLAND</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39479-2022</t>
        </is>
      </c>
      <c r="B527" s="1" t="n">
        <v>44818</v>
      </c>
      <c r="C527" s="1" t="n">
        <v>46162</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46162</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811-2023</t>
        </is>
      </c>
      <c r="B529" s="1" t="n">
        <v>44931</v>
      </c>
      <c r="C529" s="1" t="n">
        <v>46162</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46389-2021</t>
        </is>
      </c>
      <c r="B530" s="1" t="n">
        <v>44443</v>
      </c>
      <c r="C530" s="1" t="n">
        <v>46162</v>
      </c>
      <c r="D530" t="inlineStr">
        <is>
          <t>GOTLANDS LÄN</t>
        </is>
      </c>
      <c r="E530" t="inlineStr">
        <is>
          <t>GOTLAND</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26810-2021</t>
        </is>
      </c>
      <c r="B531" s="1" t="n">
        <v>44349.55087962963</v>
      </c>
      <c r="C531" s="1" t="n">
        <v>46162</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63000-2025</t>
        </is>
      </c>
      <c r="B532" s="1" t="n">
        <v>46009</v>
      </c>
      <c r="C532" s="1" t="n">
        <v>46162</v>
      </c>
      <c r="D532" t="inlineStr">
        <is>
          <t>GOTLANDS LÄN</t>
        </is>
      </c>
      <c r="E532" t="inlineStr">
        <is>
          <t>GOTLAND</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5923-2023</t>
        </is>
      </c>
      <c r="B533" s="1" t="n">
        <v>44963.69503472222</v>
      </c>
      <c r="C533" s="1" t="n">
        <v>46162</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33853-2024</t>
        </is>
      </c>
      <c r="B534" s="1" t="n">
        <v>45520.64298611111</v>
      </c>
      <c r="C534" s="1" t="n">
        <v>46162</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46162</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2674-2023</t>
        </is>
      </c>
      <c r="B536" s="1" t="n">
        <v>44944</v>
      </c>
      <c r="C536" s="1" t="n">
        <v>46162</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13486-2026</t>
        </is>
      </c>
      <c r="B537" s="1" t="n">
        <v>46094</v>
      </c>
      <c r="C537" s="1" t="n">
        <v>46162</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62751-2025</t>
        </is>
      </c>
      <c r="B538" s="1" t="n">
        <v>46008</v>
      </c>
      <c r="C538" s="1" t="n">
        <v>46162</v>
      </c>
      <c r="D538" t="inlineStr">
        <is>
          <t>GOTLANDS LÄN</t>
        </is>
      </c>
      <c r="E538" t="inlineStr">
        <is>
          <t>GOTLAND</t>
        </is>
      </c>
      <c r="F538" t="inlineStr">
        <is>
          <t>Övriga Aktiebolag</t>
        </is>
      </c>
      <c r="G538" t="n">
        <v>7.8</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46162</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46162</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46162</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42007-2023</t>
        </is>
      </c>
      <c r="B542" s="1" t="n">
        <v>45177</v>
      </c>
      <c r="C542" s="1" t="n">
        <v>46162</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9887-2025</t>
        </is>
      </c>
      <c r="B543" s="1" t="n">
        <v>45716</v>
      </c>
      <c r="C543" s="1" t="n">
        <v>46162</v>
      </c>
      <c r="D543" t="inlineStr">
        <is>
          <t>GOTLANDS LÄN</t>
        </is>
      </c>
      <c r="E543" t="inlineStr">
        <is>
          <t>GOTLAND</t>
        </is>
      </c>
      <c r="G543" t="n">
        <v>7.5</v>
      </c>
      <c r="H543" t="n">
        <v>0</v>
      </c>
      <c r="I543" t="n">
        <v>0</v>
      </c>
      <c r="J543" t="n">
        <v>0</v>
      </c>
      <c r="K543" t="n">
        <v>0</v>
      </c>
      <c r="L543" t="n">
        <v>0</v>
      </c>
      <c r="M543" t="n">
        <v>0</v>
      </c>
      <c r="N543" t="n">
        <v>0</v>
      </c>
      <c r="O543" t="n">
        <v>0</v>
      </c>
      <c r="P543" t="n">
        <v>0</v>
      </c>
      <c r="Q543" t="n">
        <v>0</v>
      </c>
      <c r="R543" s="2" t="inlineStr"/>
    </row>
    <row r="544" ht="15" customHeight="1">
      <c r="A544" t="inlineStr">
        <is>
          <t>A 38165-2023</t>
        </is>
      </c>
      <c r="B544" s="1" t="n">
        <v>45161</v>
      </c>
      <c r="C544" s="1" t="n">
        <v>46162</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27596-2023</t>
        </is>
      </c>
      <c r="B545" s="1" t="n">
        <v>45097</v>
      </c>
      <c r="C545" s="1" t="n">
        <v>46162</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24825-2024</t>
        </is>
      </c>
      <c r="B546" s="1" t="n">
        <v>45461</v>
      </c>
      <c r="C546" s="1" t="n">
        <v>46162</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6696-2023</t>
        </is>
      </c>
      <c r="B547" s="1" t="n">
        <v>44966.66425925926</v>
      </c>
      <c r="C547" s="1" t="n">
        <v>46162</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21247-2022</t>
        </is>
      </c>
      <c r="B548" s="1" t="n">
        <v>44705.38832175926</v>
      </c>
      <c r="C548" s="1" t="n">
        <v>46162</v>
      </c>
      <c r="D548" t="inlineStr">
        <is>
          <t>GOTLANDS LÄN</t>
        </is>
      </c>
      <c r="E548" t="inlineStr">
        <is>
          <t>GOTLAND</t>
        </is>
      </c>
      <c r="G548" t="n">
        <v>16.2</v>
      </c>
      <c r="H548" t="n">
        <v>0</v>
      </c>
      <c r="I548" t="n">
        <v>0</v>
      </c>
      <c r="J548" t="n">
        <v>0</v>
      </c>
      <c r="K548" t="n">
        <v>0</v>
      </c>
      <c r="L548" t="n">
        <v>0</v>
      </c>
      <c r="M548" t="n">
        <v>0</v>
      </c>
      <c r="N548" t="n">
        <v>0</v>
      </c>
      <c r="O548" t="n">
        <v>0</v>
      </c>
      <c r="P548" t="n">
        <v>0</v>
      </c>
      <c r="Q548" t="n">
        <v>0</v>
      </c>
      <c r="R548" s="2" t="inlineStr"/>
    </row>
    <row r="549" ht="15" customHeight="1">
      <c r="A549" t="inlineStr">
        <is>
          <t>A 456-2023</t>
        </is>
      </c>
      <c r="B549" s="1" t="n">
        <v>44929.87122685185</v>
      </c>
      <c r="C549" s="1" t="n">
        <v>46162</v>
      </c>
      <c r="D549" t="inlineStr">
        <is>
          <t>GOTLANDS LÄN</t>
        </is>
      </c>
      <c r="E549" t="inlineStr">
        <is>
          <t>GOTLAND</t>
        </is>
      </c>
      <c r="G549" t="n">
        <v>3.2</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44944.54896990741</v>
      </c>
      <c r="C550" s="1" t="n">
        <v>46162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4421-2024</t>
        </is>
      </c>
      <c r="B551" s="1" t="n">
        <v>45327.45173611111</v>
      </c>
      <c r="C551" s="1" t="n">
        <v>46162</v>
      </c>
      <c r="D551" t="inlineStr">
        <is>
          <t>GOTLANDS LÄN</t>
        </is>
      </c>
      <c r="E551" t="inlineStr">
        <is>
          <t>GOTLAND</t>
        </is>
      </c>
      <c r="G551" t="n">
        <v>5.1</v>
      </c>
      <c r="H551" t="n">
        <v>0</v>
      </c>
      <c r="I551" t="n">
        <v>0</v>
      </c>
      <c r="J551" t="n">
        <v>0</v>
      </c>
      <c r="K551" t="n">
        <v>0</v>
      </c>
      <c r="L551" t="n">
        <v>0</v>
      </c>
      <c r="M551" t="n">
        <v>0</v>
      </c>
      <c r="N551" t="n">
        <v>0</v>
      </c>
      <c r="O551" t="n">
        <v>0</v>
      </c>
      <c r="P551" t="n">
        <v>0</v>
      </c>
      <c r="Q551" t="n">
        <v>0</v>
      </c>
      <c r="R551" s="2" t="inlineStr"/>
    </row>
    <row r="552" ht="15" customHeight="1">
      <c r="A552" t="inlineStr">
        <is>
          <t>A 51782-2023</t>
        </is>
      </c>
      <c r="B552" s="1" t="n">
        <v>45222.80952546297</v>
      </c>
      <c r="C552" s="1" t="n">
        <v>46162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46162</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14840-2026</t>
        </is>
      </c>
      <c r="B554" s="1" t="n">
        <v>46104.39498842593</v>
      </c>
      <c r="C554" s="1" t="n">
        <v>46162</v>
      </c>
      <c r="D554" t="inlineStr">
        <is>
          <t>GOTLANDS LÄN</t>
        </is>
      </c>
      <c r="E554" t="inlineStr">
        <is>
          <t>GOTLAND</t>
        </is>
      </c>
      <c r="G554" t="n">
        <v>2.5</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46162</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25866-2022</t>
        </is>
      </c>
      <c r="B556" s="1" t="n">
        <v>44733</v>
      </c>
      <c r="C556" s="1" t="n">
        <v>46162</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43229-2023</t>
        </is>
      </c>
      <c r="B557" s="1" t="n">
        <v>45183.46704861111</v>
      </c>
      <c r="C557" s="1" t="n">
        <v>46162</v>
      </c>
      <c r="D557" t="inlineStr">
        <is>
          <t>GOTLANDS LÄN</t>
        </is>
      </c>
      <c r="E557" t="inlineStr">
        <is>
          <t>GOTLAND</t>
        </is>
      </c>
      <c r="G557" t="n">
        <v>7.1</v>
      </c>
      <c r="H557" t="n">
        <v>0</v>
      </c>
      <c r="I557" t="n">
        <v>0</v>
      </c>
      <c r="J557" t="n">
        <v>0</v>
      </c>
      <c r="K557" t="n">
        <v>0</v>
      </c>
      <c r="L557" t="n">
        <v>0</v>
      </c>
      <c r="M557" t="n">
        <v>0</v>
      </c>
      <c r="N557" t="n">
        <v>0</v>
      </c>
      <c r="O557" t="n">
        <v>0</v>
      </c>
      <c r="P557" t="n">
        <v>0</v>
      </c>
      <c r="Q557" t="n">
        <v>0</v>
      </c>
      <c r="R557" s="2" t="inlineStr"/>
    </row>
    <row r="558" ht="15" customHeight="1">
      <c r="A558" t="inlineStr">
        <is>
          <t>A 1175-2025</t>
        </is>
      </c>
      <c r="B558" s="1" t="n">
        <v>45667.34449074074</v>
      </c>
      <c r="C558" s="1" t="n">
        <v>46162</v>
      </c>
      <c r="D558" t="inlineStr">
        <is>
          <t>GOTLANDS LÄN</t>
        </is>
      </c>
      <c r="E558" t="inlineStr">
        <is>
          <t>GOTLAND</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27095-2022</t>
        </is>
      </c>
      <c r="B559" s="1" t="n">
        <v>44741</v>
      </c>
      <c r="C559" s="1" t="n">
        <v>46162</v>
      </c>
      <c r="D559" t="inlineStr">
        <is>
          <t>GOTLANDS LÄN</t>
        </is>
      </c>
      <c r="E559" t="inlineStr">
        <is>
          <t>GOTLAND</t>
        </is>
      </c>
      <c r="F559" t="inlineStr">
        <is>
          <t>Övriga Aktiebolag</t>
        </is>
      </c>
      <c r="G559" t="n">
        <v>2.9</v>
      </c>
      <c r="H559" t="n">
        <v>0</v>
      </c>
      <c r="I559" t="n">
        <v>0</v>
      </c>
      <c r="J559" t="n">
        <v>0</v>
      </c>
      <c r="K559" t="n">
        <v>0</v>
      </c>
      <c r="L559" t="n">
        <v>0</v>
      </c>
      <c r="M559" t="n">
        <v>0</v>
      </c>
      <c r="N559" t="n">
        <v>0</v>
      </c>
      <c r="O559" t="n">
        <v>0</v>
      </c>
      <c r="P559" t="n">
        <v>0</v>
      </c>
      <c r="Q559" t="n">
        <v>0</v>
      </c>
      <c r="R559" s="2" t="inlineStr"/>
    </row>
    <row r="560" ht="15" customHeight="1">
      <c r="A560" t="inlineStr">
        <is>
          <t>A 22899-2023</t>
        </is>
      </c>
      <c r="B560" s="1" t="n">
        <v>45072</v>
      </c>
      <c r="C560" s="1" t="n">
        <v>46162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23978-2023</t>
        </is>
      </c>
      <c r="B561" s="1" t="n">
        <v>45078</v>
      </c>
      <c r="C561" s="1" t="n">
        <v>46162</v>
      </c>
      <c r="D561" t="inlineStr">
        <is>
          <t>GOTLANDS LÄN</t>
        </is>
      </c>
      <c r="E561" t="inlineStr">
        <is>
          <t>GOTLAND</t>
        </is>
      </c>
      <c r="F561" t="inlineStr">
        <is>
          <t>Naturvårdsverket</t>
        </is>
      </c>
      <c r="G561" t="n">
        <v>1.7</v>
      </c>
      <c r="H561" t="n">
        <v>0</v>
      </c>
      <c r="I561" t="n">
        <v>0</v>
      </c>
      <c r="J561" t="n">
        <v>0</v>
      </c>
      <c r="K561" t="n">
        <v>0</v>
      </c>
      <c r="L561" t="n">
        <v>0</v>
      </c>
      <c r="M561" t="n">
        <v>0</v>
      </c>
      <c r="N561" t="n">
        <v>0</v>
      </c>
      <c r="O561" t="n">
        <v>0</v>
      </c>
      <c r="P561" t="n">
        <v>0</v>
      </c>
      <c r="Q561" t="n">
        <v>0</v>
      </c>
      <c r="R561" s="2" t="inlineStr"/>
    </row>
    <row r="562" ht="15" customHeight="1">
      <c r="A562" t="inlineStr">
        <is>
          <t>A 34407-2023</t>
        </is>
      </c>
      <c r="B562" s="1" t="n">
        <v>45132</v>
      </c>
      <c r="C562" s="1" t="n">
        <v>46162</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11013-2024</t>
        </is>
      </c>
      <c r="B563" s="1" t="n">
        <v>45370</v>
      </c>
      <c r="C563" s="1" t="n">
        <v>46162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27694-2024</t>
        </is>
      </c>
      <c r="B564" s="1" t="n">
        <v>45475</v>
      </c>
      <c r="C564" s="1" t="n">
        <v>46162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15083-2025</t>
        </is>
      </c>
      <c r="B565" s="1" t="n">
        <v>45743</v>
      </c>
      <c r="C565" s="1" t="n">
        <v>46162</v>
      </c>
      <c r="D565" t="inlineStr">
        <is>
          <t>GOTLANDS LÄN</t>
        </is>
      </c>
      <c r="E565" t="inlineStr">
        <is>
          <t>GOTLAND</t>
        </is>
      </c>
      <c r="G565" t="n">
        <v>2.3</v>
      </c>
      <c r="H565" t="n">
        <v>0</v>
      </c>
      <c r="I565" t="n">
        <v>0</v>
      </c>
      <c r="J565" t="n">
        <v>0</v>
      </c>
      <c r="K565" t="n">
        <v>0</v>
      </c>
      <c r="L565" t="n">
        <v>0</v>
      </c>
      <c r="M565" t="n">
        <v>0</v>
      </c>
      <c r="N565" t="n">
        <v>0</v>
      </c>
      <c r="O565" t="n">
        <v>0</v>
      </c>
      <c r="P565" t="n">
        <v>0</v>
      </c>
      <c r="Q565" t="n">
        <v>0</v>
      </c>
      <c r="R565" s="2" t="inlineStr"/>
    </row>
    <row r="566" ht="15" customHeight="1">
      <c r="A566" t="inlineStr">
        <is>
          <t>A 13037-2025</t>
        </is>
      </c>
      <c r="B566" s="1" t="n">
        <v>45734</v>
      </c>
      <c r="C566" s="1" t="n">
        <v>46162</v>
      </c>
      <c r="D566" t="inlineStr">
        <is>
          <t>GOTLANDS LÄN</t>
        </is>
      </c>
      <c r="E566" t="inlineStr">
        <is>
          <t>GOTLAND</t>
        </is>
      </c>
      <c r="G566" t="n">
        <v>9.5</v>
      </c>
      <c r="H566" t="n">
        <v>0</v>
      </c>
      <c r="I566" t="n">
        <v>0</v>
      </c>
      <c r="J566" t="n">
        <v>0</v>
      </c>
      <c r="K566" t="n">
        <v>0</v>
      </c>
      <c r="L566" t="n">
        <v>0</v>
      </c>
      <c r="M566" t="n">
        <v>0</v>
      </c>
      <c r="N566" t="n">
        <v>0</v>
      </c>
      <c r="O566" t="n">
        <v>0</v>
      </c>
      <c r="P566" t="n">
        <v>0</v>
      </c>
      <c r="Q566" t="n">
        <v>0</v>
      </c>
      <c r="R566" s="2" t="inlineStr"/>
    </row>
    <row r="567" ht="15" customHeight="1">
      <c r="A567" t="inlineStr">
        <is>
          <t>A 21396-2026</t>
        </is>
      </c>
      <c r="B567" s="1" t="n">
        <v>46148.30710648148</v>
      </c>
      <c r="C567" s="1" t="n">
        <v>46162</v>
      </c>
      <c r="D567" t="inlineStr">
        <is>
          <t>GOTLANDS LÄN</t>
        </is>
      </c>
      <c r="E567" t="inlineStr">
        <is>
          <t>GOTLAND</t>
        </is>
      </c>
      <c r="G567" t="n">
        <v>6.1</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46162</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44228-2022</t>
        </is>
      </c>
      <c r="B569" s="1" t="n">
        <v>44839.51599537037</v>
      </c>
      <c r="C569" s="1" t="n">
        <v>46162</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4662-2026</t>
        </is>
      </c>
      <c r="B570" s="1" t="n">
        <v>46048.40949074074</v>
      </c>
      <c r="C570" s="1" t="n">
        <v>46162</v>
      </c>
      <c r="D570" t="inlineStr">
        <is>
          <t>GOTLANDS LÄN</t>
        </is>
      </c>
      <c r="E570" t="inlineStr">
        <is>
          <t>GOTLAND</t>
        </is>
      </c>
      <c r="G570" t="n">
        <v>7.6</v>
      </c>
      <c r="H570" t="n">
        <v>0</v>
      </c>
      <c r="I570" t="n">
        <v>0</v>
      </c>
      <c r="J570" t="n">
        <v>0</v>
      </c>
      <c r="K570" t="n">
        <v>0</v>
      </c>
      <c r="L570" t="n">
        <v>0</v>
      </c>
      <c r="M570" t="n">
        <v>0</v>
      </c>
      <c r="N570" t="n">
        <v>0</v>
      </c>
      <c r="O570" t="n">
        <v>0</v>
      </c>
      <c r="P570" t="n">
        <v>0</v>
      </c>
      <c r="Q570" t="n">
        <v>0</v>
      </c>
      <c r="R570" s="2" t="inlineStr"/>
    </row>
    <row r="571" ht="15" customHeight="1">
      <c r="A571" t="inlineStr">
        <is>
          <t>A 58132-2023</t>
        </is>
      </c>
      <c r="B571" s="1" t="n">
        <v>45250</v>
      </c>
      <c r="C571" s="1" t="n">
        <v>46162</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49884-2023</t>
        </is>
      </c>
      <c r="B572" s="1" t="n">
        <v>45213</v>
      </c>
      <c r="C572" s="1" t="n">
        <v>46162</v>
      </c>
      <c r="D572" t="inlineStr">
        <is>
          <t>GOTLANDS LÄN</t>
        </is>
      </c>
      <c r="E572" t="inlineStr">
        <is>
          <t>GOTLAND</t>
        </is>
      </c>
      <c r="G572" t="n">
        <v>8.9</v>
      </c>
      <c r="H572" t="n">
        <v>0</v>
      </c>
      <c r="I572" t="n">
        <v>0</v>
      </c>
      <c r="J572" t="n">
        <v>0</v>
      </c>
      <c r="K572" t="n">
        <v>0</v>
      </c>
      <c r="L572" t="n">
        <v>0</v>
      </c>
      <c r="M572" t="n">
        <v>0</v>
      </c>
      <c r="N572" t="n">
        <v>0</v>
      </c>
      <c r="O572" t="n">
        <v>0</v>
      </c>
      <c r="P572" t="n">
        <v>0</v>
      </c>
      <c r="Q572" t="n">
        <v>0</v>
      </c>
      <c r="R572" s="2" t="inlineStr"/>
    </row>
    <row r="573" ht="15" customHeight="1">
      <c r="A573" t="inlineStr">
        <is>
          <t>A 876-2024</t>
        </is>
      </c>
      <c r="B573" s="1" t="n">
        <v>45301</v>
      </c>
      <c r="C573" s="1" t="n">
        <v>46162</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22704-2023</t>
        </is>
      </c>
      <c r="B574" s="1" t="n">
        <v>45071</v>
      </c>
      <c r="C574" s="1" t="n">
        <v>46162</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28425-2023</t>
        </is>
      </c>
      <c r="B575" s="1" t="n">
        <v>45102</v>
      </c>
      <c r="C575" s="1" t="n">
        <v>46162</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58476-2022</t>
        </is>
      </c>
      <c r="B576" s="1" t="n">
        <v>44902</v>
      </c>
      <c r="C576" s="1" t="n">
        <v>46162</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43200-2023</t>
        </is>
      </c>
      <c r="B577" s="1" t="n">
        <v>45183</v>
      </c>
      <c r="C577" s="1" t="n">
        <v>46162</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43223-2023</t>
        </is>
      </c>
      <c r="B578" s="1" t="n">
        <v>45183.45642361111</v>
      </c>
      <c r="C578" s="1" t="n">
        <v>46162</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12327-2025</t>
        </is>
      </c>
      <c r="B579" s="1" t="n">
        <v>45730</v>
      </c>
      <c r="C579" s="1" t="n">
        <v>46162</v>
      </c>
      <c r="D579" t="inlineStr">
        <is>
          <t>GOTLANDS LÄN</t>
        </is>
      </c>
      <c r="E579" t="inlineStr">
        <is>
          <t>GOTLAND</t>
        </is>
      </c>
      <c r="G579" t="n">
        <v>1.8</v>
      </c>
      <c r="H579" t="n">
        <v>0</v>
      </c>
      <c r="I579" t="n">
        <v>0</v>
      </c>
      <c r="J579" t="n">
        <v>0</v>
      </c>
      <c r="K579" t="n">
        <v>0</v>
      </c>
      <c r="L579" t="n">
        <v>0</v>
      </c>
      <c r="M579" t="n">
        <v>0</v>
      </c>
      <c r="N579" t="n">
        <v>0</v>
      </c>
      <c r="O579" t="n">
        <v>0</v>
      </c>
      <c r="P579" t="n">
        <v>0</v>
      </c>
      <c r="Q579" t="n">
        <v>0</v>
      </c>
      <c r="R579" s="2" t="inlineStr"/>
    </row>
    <row r="580" ht="15" customHeight="1">
      <c r="A580" t="inlineStr">
        <is>
          <t>A 3431-2025</t>
        </is>
      </c>
      <c r="B580" s="1" t="n">
        <v>45680.42935185185</v>
      </c>
      <c r="C580" s="1" t="n">
        <v>46162</v>
      </c>
      <c r="D580" t="inlineStr">
        <is>
          <t>GOTLANDS LÄN</t>
        </is>
      </c>
      <c r="E580" t="inlineStr">
        <is>
          <t>GOTLAND</t>
        </is>
      </c>
      <c r="G580" t="n">
        <v>4.8</v>
      </c>
      <c r="H580" t="n">
        <v>0</v>
      </c>
      <c r="I580" t="n">
        <v>0</v>
      </c>
      <c r="J580" t="n">
        <v>0</v>
      </c>
      <c r="K580" t="n">
        <v>0</v>
      </c>
      <c r="L580" t="n">
        <v>0</v>
      </c>
      <c r="M580" t="n">
        <v>0</v>
      </c>
      <c r="N580" t="n">
        <v>0</v>
      </c>
      <c r="O580" t="n">
        <v>0</v>
      </c>
      <c r="P580" t="n">
        <v>0</v>
      </c>
      <c r="Q580" t="n">
        <v>0</v>
      </c>
      <c r="R580" s="2" t="inlineStr"/>
    </row>
    <row r="581" ht="15" customHeight="1">
      <c r="A581" t="inlineStr">
        <is>
          <t>A 12209-2024</t>
        </is>
      </c>
      <c r="B581" s="1" t="n">
        <v>45378</v>
      </c>
      <c r="C581" s="1" t="n">
        <v>46162</v>
      </c>
      <c r="D581" t="inlineStr">
        <is>
          <t>GOTLANDS LÄN</t>
        </is>
      </c>
      <c r="E581" t="inlineStr">
        <is>
          <t>GOTLAND</t>
        </is>
      </c>
      <c r="G581" t="n">
        <v>5.3</v>
      </c>
      <c r="H581" t="n">
        <v>0</v>
      </c>
      <c r="I581" t="n">
        <v>0</v>
      </c>
      <c r="J581" t="n">
        <v>0</v>
      </c>
      <c r="K581" t="n">
        <v>0</v>
      </c>
      <c r="L581" t="n">
        <v>0</v>
      </c>
      <c r="M581" t="n">
        <v>0</v>
      </c>
      <c r="N581" t="n">
        <v>0</v>
      </c>
      <c r="O581" t="n">
        <v>0</v>
      </c>
      <c r="P581" t="n">
        <v>0</v>
      </c>
      <c r="Q581" t="n">
        <v>0</v>
      </c>
      <c r="R581" s="2" t="inlineStr"/>
    </row>
    <row r="582" ht="15" customHeight="1">
      <c r="A582" t="inlineStr">
        <is>
          <t>A 12210-2024</t>
        </is>
      </c>
      <c r="B582" s="1" t="n">
        <v>45378</v>
      </c>
      <c r="C582" s="1" t="n">
        <v>46162</v>
      </c>
      <c r="D582" t="inlineStr">
        <is>
          <t>GOTLANDS LÄN</t>
        </is>
      </c>
      <c r="E582" t="inlineStr">
        <is>
          <t>GOTLAND</t>
        </is>
      </c>
      <c r="G582" t="n">
        <v>4.1</v>
      </c>
      <c r="H582" t="n">
        <v>0</v>
      </c>
      <c r="I582" t="n">
        <v>0</v>
      </c>
      <c r="J582" t="n">
        <v>0</v>
      </c>
      <c r="K582" t="n">
        <v>0</v>
      </c>
      <c r="L582" t="n">
        <v>0</v>
      </c>
      <c r="M582" t="n">
        <v>0</v>
      </c>
      <c r="N582" t="n">
        <v>0</v>
      </c>
      <c r="O582" t="n">
        <v>0</v>
      </c>
      <c r="P582" t="n">
        <v>0</v>
      </c>
      <c r="Q582" t="n">
        <v>0</v>
      </c>
      <c r="R582" s="2" t="inlineStr"/>
    </row>
    <row r="583" ht="15" customHeight="1">
      <c r="A583" t="inlineStr">
        <is>
          <t>A 1364-2025</t>
        </is>
      </c>
      <c r="B583" s="1" t="n">
        <v>45667.63929398148</v>
      </c>
      <c r="C583" s="1" t="n">
        <v>46162</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15042-2025</t>
        </is>
      </c>
      <c r="B584" s="1" t="n">
        <v>45743</v>
      </c>
      <c r="C584" s="1" t="n">
        <v>46162</v>
      </c>
      <c r="D584" t="inlineStr">
        <is>
          <t>GOTLANDS LÄN</t>
        </is>
      </c>
      <c r="E584" t="inlineStr">
        <is>
          <t>GOTLAND</t>
        </is>
      </c>
      <c r="G584" t="n">
        <v>8.5</v>
      </c>
      <c r="H584" t="n">
        <v>0</v>
      </c>
      <c r="I584" t="n">
        <v>0</v>
      </c>
      <c r="J584" t="n">
        <v>0</v>
      </c>
      <c r="K584" t="n">
        <v>0</v>
      </c>
      <c r="L584" t="n">
        <v>0</v>
      </c>
      <c r="M584" t="n">
        <v>0</v>
      </c>
      <c r="N584" t="n">
        <v>0</v>
      </c>
      <c r="O584" t="n">
        <v>0</v>
      </c>
      <c r="P584" t="n">
        <v>0</v>
      </c>
      <c r="Q584" t="n">
        <v>0</v>
      </c>
      <c r="R584" s="2" t="inlineStr"/>
    </row>
    <row r="585" ht="15" customHeight="1">
      <c r="A585" t="inlineStr">
        <is>
          <t>A 2180-2025</t>
        </is>
      </c>
      <c r="B585" s="1" t="n">
        <v>45673</v>
      </c>
      <c r="C585" s="1" t="n">
        <v>46162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15436-2025</t>
        </is>
      </c>
      <c r="B586" s="1" t="n">
        <v>45747.47462962963</v>
      </c>
      <c r="C586" s="1" t="n">
        <v>46162</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49257-2024</t>
        </is>
      </c>
      <c r="B587" s="1" t="n">
        <v>45595.47627314815</v>
      </c>
      <c r="C587" s="1" t="n">
        <v>46162</v>
      </c>
      <c r="D587" t="inlineStr">
        <is>
          <t>GOTLANDS LÄN</t>
        </is>
      </c>
      <c r="E587" t="inlineStr">
        <is>
          <t>GOTLAND</t>
        </is>
      </c>
      <c r="G587" t="n">
        <v>6.3</v>
      </c>
      <c r="H587" t="n">
        <v>0</v>
      </c>
      <c r="I587" t="n">
        <v>0</v>
      </c>
      <c r="J587" t="n">
        <v>0</v>
      </c>
      <c r="K587" t="n">
        <v>0</v>
      </c>
      <c r="L587" t="n">
        <v>0</v>
      </c>
      <c r="M587" t="n">
        <v>0</v>
      </c>
      <c r="N587" t="n">
        <v>0</v>
      </c>
      <c r="O587" t="n">
        <v>0</v>
      </c>
      <c r="P587" t="n">
        <v>0</v>
      </c>
      <c r="Q587" t="n">
        <v>0</v>
      </c>
      <c r="R587" s="2" t="inlineStr"/>
    </row>
    <row r="588" ht="15" customHeight="1">
      <c r="A588" t="inlineStr">
        <is>
          <t>A 37202-2024</t>
        </is>
      </c>
      <c r="B588" s="1" t="n">
        <v>45539.67310185185</v>
      </c>
      <c r="C588" s="1" t="n">
        <v>46162</v>
      </c>
      <c r="D588" t="inlineStr">
        <is>
          <t>GOTLANDS LÄN</t>
        </is>
      </c>
      <c r="E588" t="inlineStr">
        <is>
          <t>GOTLAND</t>
        </is>
      </c>
      <c r="G588" t="n">
        <v>0.3</v>
      </c>
      <c r="H588" t="n">
        <v>0</v>
      </c>
      <c r="I588" t="n">
        <v>0</v>
      </c>
      <c r="J588" t="n">
        <v>0</v>
      </c>
      <c r="K588" t="n">
        <v>0</v>
      </c>
      <c r="L588" t="n">
        <v>0</v>
      </c>
      <c r="M588" t="n">
        <v>0</v>
      </c>
      <c r="N588" t="n">
        <v>0</v>
      </c>
      <c r="O588" t="n">
        <v>0</v>
      </c>
      <c r="P588" t="n">
        <v>0</v>
      </c>
      <c r="Q588" t="n">
        <v>0</v>
      </c>
      <c r="R588" s="2" t="inlineStr"/>
    </row>
    <row r="589" ht="15" customHeight="1">
      <c r="A589" t="inlineStr">
        <is>
          <t>A 56115-2023</t>
        </is>
      </c>
      <c r="B589" s="1" t="n">
        <v>45236</v>
      </c>
      <c r="C589" s="1" t="n">
        <v>46162</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2774-2024</t>
        </is>
      </c>
      <c r="B590" s="1" t="n">
        <v>45314.62375</v>
      </c>
      <c r="C590" s="1" t="n">
        <v>46162</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60709-2023</t>
        </is>
      </c>
      <c r="B591" s="1" t="n">
        <v>45260</v>
      </c>
      <c r="C591" s="1" t="n">
        <v>46162</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64208-2021</t>
        </is>
      </c>
      <c r="B592" s="1" t="n">
        <v>44510</v>
      </c>
      <c r="C592" s="1" t="n">
        <v>46162</v>
      </c>
      <c r="D592" t="inlineStr">
        <is>
          <t>GOTLANDS LÄN</t>
        </is>
      </c>
      <c r="E592" t="inlineStr">
        <is>
          <t>GOTLAND</t>
        </is>
      </c>
      <c r="G592" t="n">
        <v>4.7</v>
      </c>
      <c r="H592" t="n">
        <v>0</v>
      </c>
      <c r="I592" t="n">
        <v>0</v>
      </c>
      <c r="J592" t="n">
        <v>0</v>
      </c>
      <c r="K592" t="n">
        <v>0</v>
      </c>
      <c r="L592" t="n">
        <v>0</v>
      </c>
      <c r="M592" t="n">
        <v>0</v>
      </c>
      <c r="N592" t="n">
        <v>0</v>
      </c>
      <c r="O592" t="n">
        <v>0</v>
      </c>
      <c r="P592" t="n">
        <v>0</v>
      </c>
      <c r="Q592" t="n">
        <v>0</v>
      </c>
      <c r="R592" s="2" t="inlineStr"/>
    </row>
    <row r="593" ht="15" customHeight="1">
      <c r="A593" t="inlineStr">
        <is>
          <t>A 39764-2022</t>
        </is>
      </c>
      <c r="B593" s="1" t="n">
        <v>44819</v>
      </c>
      <c r="C593" s="1" t="n">
        <v>46162</v>
      </c>
      <c r="D593" t="inlineStr">
        <is>
          <t>GOTLANDS LÄN</t>
        </is>
      </c>
      <c r="E593" t="inlineStr">
        <is>
          <t>GOTLAND</t>
        </is>
      </c>
      <c r="F593" t="inlineStr">
        <is>
          <t>Kyrkan</t>
        </is>
      </c>
      <c r="G593" t="n">
        <v>3.7</v>
      </c>
      <c r="H593" t="n">
        <v>0</v>
      </c>
      <c r="I593" t="n">
        <v>0</v>
      </c>
      <c r="J593" t="n">
        <v>0</v>
      </c>
      <c r="K593" t="n">
        <v>0</v>
      </c>
      <c r="L593" t="n">
        <v>0</v>
      </c>
      <c r="M593" t="n">
        <v>0</v>
      </c>
      <c r="N593" t="n">
        <v>0</v>
      </c>
      <c r="O593" t="n">
        <v>0</v>
      </c>
      <c r="P593" t="n">
        <v>0</v>
      </c>
      <c r="Q593" t="n">
        <v>0</v>
      </c>
      <c r="R593" s="2" t="inlineStr"/>
    </row>
    <row r="594" ht="15" customHeight="1">
      <c r="A594" t="inlineStr">
        <is>
          <t>A 58211-2024</t>
        </is>
      </c>
      <c r="B594" s="1" t="n">
        <v>45632.49292824074</v>
      </c>
      <c r="C594" s="1" t="n">
        <v>46162</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30956-2024</t>
        </is>
      </c>
      <c r="B595" s="1" t="n">
        <v>45499.42527777778</v>
      </c>
      <c r="C595" s="1" t="n">
        <v>46162</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30892-2024</t>
        </is>
      </c>
      <c r="B596" s="1" t="n">
        <v>45491</v>
      </c>
      <c r="C596" s="1" t="n">
        <v>46162</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14635-2023</t>
        </is>
      </c>
      <c r="B597" s="1" t="n">
        <v>45013.69365740741</v>
      </c>
      <c r="C597" s="1" t="n">
        <v>46162</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59469-2024</t>
        </is>
      </c>
      <c r="B598" s="1" t="n">
        <v>45638</v>
      </c>
      <c r="C598" s="1" t="n">
        <v>46162</v>
      </c>
      <c r="D598" t="inlineStr">
        <is>
          <t>GOTLANDS LÄN</t>
        </is>
      </c>
      <c r="E598" t="inlineStr">
        <is>
          <t>GOTLAND</t>
        </is>
      </c>
      <c r="G598" t="n">
        <v>0.4</v>
      </c>
      <c r="H598" t="n">
        <v>0</v>
      </c>
      <c r="I598" t="n">
        <v>0</v>
      </c>
      <c r="J598" t="n">
        <v>0</v>
      </c>
      <c r="K598" t="n">
        <v>0</v>
      </c>
      <c r="L598" t="n">
        <v>0</v>
      </c>
      <c r="M598" t="n">
        <v>0</v>
      </c>
      <c r="N598" t="n">
        <v>0</v>
      </c>
      <c r="O598" t="n">
        <v>0</v>
      </c>
      <c r="P598" t="n">
        <v>0</v>
      </c>
      <c r="Q598" t="n">
        <v>0</v>
      </c>
      <c r="R598" s="2" t="inlineStr"/>
    </row>
    <row r="599" ht="15" customHeight="1">
      <c r="A599" t="inlineStr">
        <is>
          <t>A 7858-2025</t>
        </is>
      </c>
      <c r="B599" s="1" t="n">
        <v>45706.68633101852</v>
      </c>
      <c r="C599" s="1" t="n">
        <v>46162</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53935-2024</t>
        </is>
      </c>
      <c r="B600" s="1" t="n">
        <v>45615</v>
      </c>
      <c r="C600" s="1" t="n">
        <v>46162</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18223-2025</t>
        </is>
      </c>
      <c r="B601" s="1" t="n">
        <v>45761</v>
      </c>
      <c r="C601" s="1" t="n">
        <v>46162</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4420-2025</t>
        </is>
      </c>
      <c r="B602" s="1" t="n">
        <v>45686.47157407407</v>
      </c>
      <c r="C602" s="1" t="n">
        <v>46162</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5891-2025</t>
        </is>
      </c>
      <c r="B603" s="1" t="n">
        <v>45695.38327546296</v>
      </c>
      <c r="C603" s="1" t="n">
        <v>46162</v>
      </c>
      <c r="D603" t="inlineStr">
        <is>
          <t>GOTLANDS LÄN</t>
        </is>
      </c>
      <c r="E603" t="inlineStr">
        <is>
          <t>GOTLAND</t>
        </is>
      </c>
      <c r="G603" t="n">
        <v>0.8</v>
      </c>
      <c r="H603" t="n">
        <v>0</v>
      </c>
      <c r="I603" t="n">
        <v>0</v>
      </c>
      <c r="J603" t="n">
        <v>0</v>
      </c>
      <c r="K603" t="n">
        <v>0</v>
      </c>
      <c r="L603" t="n">
        <v>0</v>
      </c>
      <c r="M603" t="n">
        <v>0</v>
      </c>
      <c r="N603" t="n">
        <v>0</v>
      </c>
      <c r="O603" t="n">
        <v>0</v>
      </c>
      <c r="P603" t="n">
        <v>0</v>
      </c>
      <c r="Q603" t="n">
        <v>0</v>
      </c>
      <c r="R603" s="2" t="inlineStr"/>
    </row>
    <row r="604" ht="15" customHeight="1">
      <c r="A604" t="inlineStr">
        <is>
          <t>A 7835-2024</t>
        </is>
      </c>
      <c r="B604" s="1" t="n">
        <v>45349.83138888889</v>
      </c>
      <c r="C604" s="1" t="n">
        <v>46162</v>
      </c>
      <c r="D604" t="inlineStr">
        <is>
          <t>GOTLANDS LÄN</t>
        </is>
      </c>
      <c r="E604" t="inlineStr">
        <is>
          <t>GOTLAND</t>
        </is>
      </c>
      <c r="G604" t="n">
        <v>3.8</v>
      </c>
      <c r="H604" t="n">
        <v>0</v>
      </c>
      <c r="I604" t="n">
        <v>0</v>
      </c>
      <c r="J604" t="n">
        <v>0</v>
      </c>
      <c r="K604" t="n">
        <v>0</v>
      </c>
      <c r="L604" t="n">
        <v>0</v>
      </c>
      <c r="M604" t="n">
        <v>0</v>
      </c>
      <c r="N604" t="n">
        <v>0</v>
      </c>
      <c r="O604" t="n">
        <v>0</v>
      </c>
      <c r="P604" t="n">
        <v>0</v>
      </c>
      <c r="Q604" t="n">
        <v>0</v>
      </c>
      <c r="R604" s="2" t="inlineStr"/>
    </row>
    <row r="605" ht="15" customHeight="1">
      <c r="A605" t="inlineStr">
        <is>
          <t>A 20794-2025</t>
        </is>
      </c>
      <c r="B605" s="1" t="n">
        <v>45776</v>
      </c>
      <c r="C605" s="1" t="n">
        <v>46162</v>
      </c>
      <c r="D605" t="inlineStr">
        <is>
          <t>GOTLANDS LÄN</t>
        </is>
      </c>
      <c r="E605" t="inlineStr">
        <is>
          <t>GOTLAND</t>
        </is>
      </c>
      <c r="G605" t="n">
        <v>6</v>
      </c>
      <c r="H605" t="n">
        <v>0</v>
      </c>
      <c r="I605" t="n">
        <v>0</v>
      </c>
      <c r="J605" t="n">
        <v>0</v>
      </c>
      <c r="K605" t="n">
        <v>0</v>
      </c>
      <c r="L605" t="n">
        <v>0</v>
      </c>
      <c r="M605" t="n">
        <v>0</v>
      </c>
      <c r="N605" t="n">
        <v>0</v>
      </c>
      <c r="O605" t="n">
        <v>0</v>
      </c>
      <c r="P605" t="n">
        <v>0</v>
      </c>
      <c r="Q605" t="n">
        <v>0</v>
      </c>
      <c r="R605" s="2" t="inlineStr"/>
    </row>
    <row r="606" ht="15" customHeight="1">
      <c r="A606" t="inlineStr">
        <is>
          <t>A 20805-2025</t>
        </is>
      </c>
      <c r="B606" s="1" t="n">
        <v>45776</v>
      </c>
      <c r="C606" s="1" t="n">
        <v>46162</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21389-2025</t>
        </is>
      </c>
      <c r="B607" s="1" t="n">
        <v>45782</v>
      </c>
      <c r="C607" s="1" t="n">
        <v>46162</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21651-2025</t>
        </is>
      </c>
      <c r="B608" s="1" t="n">
        <v>45783</v>
      </c>
      <c r="C608" s="1" t="n">
        <v>46162</v>
      </c>
      <c r="D608" t="inlineStr">
        <is>
          <t>GOTLANDS LÄN</t>
        </is>
      </c>
      <c r="E608" t="inlineStr">
        <is>
          <t>GOTLAND</t>
        </is>
      </c>
      <c r="G608" t="n">
        <v>4.2</v>
      </c>
      <c r="H608" t="n">
        <v>0</v>
      </c>
      <c r="I608" t="n">
        <v>0</v>
      </c>
      <c r="J608" t="n">
        <v>0</v>
      </c>
      <c r="K608" t="n">
        <v>0</v>
      </c>
      <c r="L608" t="n">
        <v>0</v>
      </c>
      <c r="M608" t="n">
        <v>0</v>
      </c>
      <c r="N608" t="n">
        <v>0</v>
      </c>
      <c r="O608" t="n">
        <v>0</v>
      </c>
      <c r="P608" t="n">
        <v>0</v>
      </c>
      <c r="Q608" t="n">
        <v>0</v>
      </c>
      <c r="R608" s="2" t="inlineStr"/>
    </row>
    <row r="609" ht="15" customHeight="1">
      <c r="A609" t="inlineStr">
        <is>
          <t>A 57356-2023</t>
        </is>
      </c>
      <c r="B609" s="1" t="n">
        <v>45240</v>
      </c>
      <c r="C609" s="1" t="n">
        <v>46162</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10656-2024</t>
        </is>
      </c>
      <c r="B610" s="1" t="n">
        <v>45368</v>
      </c>
      <c r="C610" s="1" t="n">
        <v>46162</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28506-2023</t>
        </is>
      </c>
      <c r="B611" s="1" t="n">
        <v>45103</v>
      </c>
      <c r="C611" s="1" t="n">
        <v>46162</v>
      </c>
      <c r="D611" t="inlineStr">
        <is>
          <t>GOTLANDS LÄN</t>
        </is>
      </c>
      <c r="E611" t="inlineStr">
        <is>
          <t>GOTLAND</t>
        </is>
      </c>
      <c r="G611" t="n">
        <v>3.2</v>
      </c>
      <c r="H611" t="n">
        <v>0</v>
      </c>
      <c r="I611" t="n">
        <v>0</v>
      </c>
      <c r="J611" t="n">
        <v>0</v>
      </c>
      <c r="K611" t="n">
        <v>0</v>
      </c>
      <c r="L611" t="n">
        <v>0</v>
      </c>
      <c r="M611" t="n">
        <v>0</v>
      </c>
      <c r="N611" t="n">
        <v>0</v>
      </c>
      <c r="O611" t="n">
        <v>0</v>
      </c>
      <c r="P611" t="n">
        <v>0</v>
      </c>
      <c r="Q611" t="n">
        <v>0</v>
      </c>
      <c r="R611" s="2" t="inlineStr"/>
    </row>
    <row r="612" ht="15" customHeight="1">
      <c r="A612" t="inlineStr">
        <is>
          <t>A 21420-2024</t>
        </is>
      </c>
      <c r="B612" s="1" t="n">
        <v>45441.38293981482</v>
      </c>
      <c r="C612" s="1" t="n">
        <v>46162</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23188-2025</t>
        </is>
      </c>
      <c r="B613" s="1" t="n">
        <v>45791</v>
      </c>
      <c r="C613" s="1" t="n">
        <v>46162</v>
      </c>
      <c r="D613" t="inlineStr">
        <is>
          <t>GOTLANDS LÄN</t>
        </is>
      </c>
      <c r="E613" t="inlineStr">
        <is>
          <t>GOTLAND</t>
        </is>
      </c>
      <c r="G613" t="n">
        <v>6.2</v>
      </c>
      <c r="H613" t="n">
        <v>0</v>
      </c>
      <c r="I613" t="n">
        <v>0</v>
      </c>
      <c r="J613" t="n">
        <v>0</v>
      </c>
      <c r="K613" t="n">
        <v>0</v>
      </c>
      <c r="L613" t="n">
        <v>0</v>
      </c>
      <c r="M613" t="n">
        <v>0</v>
      </c>
      <c r="N613" t="n">
        <v>0</v>
      </c>
      <c r="O613" t="n">
        <v>0</v>
      </c>
      <c r="P613" t="n">
        <v>0</v>
      </c>
      <c r="Q613" t="n">
        <v>0</v>
      </c>
      <c r="R613" s="2" t="inlineStr"/>
    </row>
    <row r="614" ht="15" customHeight="1">
      <c r="A614" t="inlineStr">
        <is>
          <t>A 23473-2025</t>
        </is>
      </c>
      <c r="B614" s="1" t="n">
        <v>45792</v>
      </c>
      <c r="C614" s="1" t="n">
        <v>46162</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23856-2025</t>
        </is>
      </c>
      <c r="B615" s="1" t="n">
        <v>45793</v>
      </c>
      <c r="C615" s="1" t="n">
        <v>46162</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15073-2025</t>
        </is>
      </c>
      <c r="B616" s="1" t="n">
        <v>45743</v>
      </c>
      <c r="C616" s="1" t="n">
        <v>46162</v>
      </c>
      <c r="D616" t="inlineStr">
        <is>
          <t>GOTLANDS LÄN</t>
        </is>
      </c>
      <c r="E616" t="inlineStr">
        <is>
          <t>GOTLAND</t>
        </is>
      </c>
      <c r="G616" t="n">
        <v>12.1</v>
      </c>
      <c r="H616" t="n">
        <v>0</v>
      </c>
      <c r="I616" t="n">
        <v>0</v>
      </c>
      <c r="J616" t="n">
        <v>0</v>
      </c>
      <c r="K616" t="n">
        <v>0</v>
      </c>
      <c r="L616" t="n">
        <v>0</v>
      </c>
      <c r="M616" t="n">
        <v>0</v>
      </c>
      <c r="N616" t="n">
        <v>0</v>
      </c>
      <c r="O616" t="n">
        <v>0</v>
      </c>
      <c r="P616" t="n">
        <v>0</v>
      </c>
      <c r="Q616" t="n">
        <v>0</v>
      </c>
      <c r="R616" s="2" t="inlineStr"/>
    </row>
    <row r="617" ht="15" customHeight="1">
      <c r="A617" t="inlineStr">
        <is>
          <t>A 6749-2025</t>
        </is>
      </c>
      <c r="B617" s="1" t="n">
        <v>45700</v>
      </c>
      <c r="C617" s="1" t="n">
        <v>46162</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23698-2025</t>
        </is>
      </c>
      <c r="B618" s="1" t="n">
        <v>45793</v>
      </c>
      <c r="C618" s="1" t="n">
        <v>46162</v>
      </c>
      <c r="D618" t="inlineStr">
        <is>
          <t>GOTLANDS LÄN</t>
        </is>
      </c>
      <c r="E618" t="inlineStr">
        <is>
          <t>GOTLAND</t>
        </is>
      </c>
      <c r="G618" t="n">
        <v>0.8</v>
      </c>
      <c r="H618" t="n">
        <v>0</v>
      </c>
      <c r="I618" t="n">
        <v>0</v>
      </c>
      <c r="J618" t="n">
        <v>0</v>
      </c>
      <c r="K618" t="n">
        <v>0</v>
      </c>
      <c r="L618" t="n">
        <v>0</v>
      </c>
      <c r="M618" t="n">
        <v>0</v>
      </c>
      <c r="N618" t="n">
        <v>0</v>
      </c>
      <c r="O618" t="n">
        <v>0</v>
      </c>
      <c r="P618" t="n">
        <v>0</v>
      </c>
      <c r="Q618" t="n">
        <v>0</v>
      </c>
      <c r="R618" s="2" t="inlineStr"/>
    </row>
    <row r="619" ht="15" customHeight="1">
      <c r="A619" t="inlineStr">
        <is>
          <t>A 5462-2025</t>
        </is>
      </c>
      <c r="B619" s="1" t="n">
        <v>45693.29331018519</v>
      </c>
      <c r="C619" s="1" t="n">
        <v>46162</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25796-2025</t>
        </is>
      </c>
      <c r="B620" s="1" t="n">
        <v>45804.39543981481</v>
      </c>
      <c r="C620" s="1" t="n">
        <v>46162</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26457-2025</t>
        </is>
      </c>
      <c r="B621" s="1" t="n">
        <v>45807.42773148148</v>
      </c>
      <c r="C621" s="1" t="n">
        <v>46162</v>
      </c>
      <c r="D621" t="inlineStr">
        <is>
          <t>GOTLANDS LÄN</t>
        </is>
      </c>
      <c r="E621" t="inlineStr">
        <is>
          <t>GOTLAND</t>
        </is>
      </c>
      <c r="G621" t="n">
        <v>5.7</v>
      </c>
      <c r="H621" t="n">
        <v>0</v>
      </c>
      <c r="I621" t="n">
        <v>0</v>
      </c>
      <c r="J621" t="n">
        <v>0</v>
      </c>
      <c r="K621" t="n">
        <v>0</v>
      </c>
      <c r="L621" t="n">
        <v>0</v>
      </c>
      <c r="M621" t="n">
        <v>0</v>
      </c>
      <c r="N621" t="n">
        <v>0</v>
      </c>
      <c r="O621" t="n">
        <v>0</v>
      </c>
      <c r="P621" t="n">
        <v>0</v>
      </c>
      <c r="Q621" t="n">
        <v>0</v>
      </c>
      <c r="R621" s="2" t="inlineStr"/>
    </row>
    <row r="622" ht="15" customHeight="1">
      <c r="A622" t="inlineStr">
        <is>
          <t>A 26467-2025</t>
        </is>
      </c>
      <c r="B622" s="1" t="n">
        <v>45807.44640046296</v>
      </c>
      <c r="C622" s="1" t="n">
        <v>46162</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26465-2025</t>
        </is>
      </c>
      <c r="B623" s="1" t="n">
        <v>45807.44377314814</v>
      </c>
      <c r="C623" s="1" t="n">
        <v>46162</v>
      </c>
      <c r="D623" t="inlineStr">
        <is>
          <t>GOTLANDS LÄN</t>
        </is>
      </c>
      <c r="E623" t="inlineStr">
        <is>
          <t>GOTLAND</t>
        </is>
      </c>
      <c r="G623" t="n">
        <v>4.5</v>
      </c>
      <c r="H623" t="n">
        <v>0</v>
      </c>
      <c r="I623" t="n">
        <v>0</v>
      </c>
      <c r="J623" t="n">
        <v>0</v>
      </c>
      <c r="K623" t="n">
        <v>0</v>
      </c>
      <c r="L623" t="n">
        <v>0</v>
      </c>
      <c r="M623" t="n">
        <v>0</v>
      </c>
      <c r="N623" t="n">
        <v>0</v>
      </c>
      <c r="O623" t="n">
        <v>0</v>
      </c>
      <c r="P623" t="n">
        <v>0</v>
      </c>
      <c r="Q623" t="n">
        <v>0</v>
      </c>
      <c r="R623" s="2" t="inlineStr"/>
    </row>
    <row r="624" ht="15" customHeight="1">
      <c r="A624" t="inlineStr">
        <is>
          <t>A 26660-2025</t>
        </is>
      </c>
      <c r="B624" s="1" t="n">
        <v>45810.39737268518</v>
      </c>
      <c r="C624" s="1" t="n">
        <v>46162</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27371-2025</t>
        </is>
      </c>
      <c r="B625" s="1" t="n">
        <v>45812</v>
      </c>
      <c r="C625" s="1" t="n">
        <v>46162</v>
      </c>
      <c r="D625" t="inlineStr">
        <is>
          <t>GOTLANDS LÄN</t>
        </is>
      </c>
      <c r="E625" t="inlineStr">
        <is>
          <t>GOTLAND</t>
        </is>
      </c>
      <c r="G625" t="n">
        <v>8</v>
      </c>
      <c r="H625" t="n">
        <v>0</v>
      </c>
      <c r="I625" t="n">
        <v>0</v>
      </c>
      <c r="J625" t="n">
        <v>0</v>
      </c>
      <c r="K625" t="n">
        <v>0</v>
      </c>
      <c r="L625" t="n">
        <v>0</v>
      </c>
      <c r="M625" t="n">
        <v>0</v>
      </c>
      <c r="N625" t="n">
        <v>0</v>
      </c>
      <c r="O625" t="n">
        <v>0</v>
      </c>
      <c r="P625" t="n">
        <v>0</v>
      </c>
      <c r="Q625" t="n">
        <v>0</v>
      </c>
      <c r="R625" s="2" t="inlineStr"/>
    </row>
    <row r="626" ht="15" customHeight="1">
      <c r="A626" t="inlineStr">
        <is>
          <t>A 27355-2025</t>
        </is>
      </c>
      <c r="B626" s="1" t="n">
        <v>45812</v>
      </c>
      <c r="C626" s="1" t="n">
        <v>46162</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6739-2025</t>
        </is>
      </c>
      <c r="B627" s="1" t="n">
        <v>45700</v>
      </c>
      <c r="C627" s="1" t="n">
        <v>46162</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7850-2025</t>
        </is>
      </c>
      <c r="B628" s="1" t="n">
        <v>45706</v>
      </c>
      <c r="C628" s="1" t="n">
        <v>46162</v>
      </c>
      <c r="D628" t="inlineStr">
        <is>
          <t>GOTLANDS LÄN</t>
        </is>
      </c>
      <c r="E628" t="inlineStr">
        <is>
          <t>GOTLAND</t>
        </is>
      </c>
      <c r="G628" t="n">
        <v>0.5</v>
      </c>
      <c r="H628" t="n">
        <v>0</v>
      </c>
      <c r="I628" t="n">
        <v>0</v>
      </c>
      <c r="J628" t="n">
        <v>0</v>
      </c>
      <c r="K628" t="n">
        <v>0</v>
      </c>
      <c r="L628" t="n">
        <v>0</v>
      </c>
      <c r="M628" t="n">
        <v>0</v>
      </c>
      <c r="N628" t="n">
        <v>0</v>
      </c>
      <c r="O628" t="n">
        <v>0</v>
      </c>
      <c r="P628" t="n">
        <v>0</v>
      </c>
      <c r="Q628" t="n">
        <v>0</v>
      </c>
      <c r="R628" s="2" t="inlineStr"/>
    </row>
    <row r="629" ht="15" customHeight="1">
      <c r="A629" t="inlineStr">
        <is>
          <t>A 8444-2025</t>
        </is>
      </c>
      <c r="B629" s="1" t="n">
        <v>45709</v>
      </c>
      <c r="C629" s="1" t="n">
        <v>46162</v>
      </c>
      <c r="D629" t="inlineStr">
        <is>
          <t>GOTLANDS LÄN</t>
        </is>
      </c>
      <c r="E629" t="inlineStr">
        <is>
          <t>GOTLAND</t>
        </is>
      </c>
      <c r="G629" t="n">
        <v>5.2</v>
      </c>
      <c r="H629" t="n">
        <v>0</v>
      </c>
      <c r="I629" t="n">
        <v>0</v>
      </c>
      <c r="J629" t="n">
        <v>0</v>
      </c>
      <c r="K629" t="n">
        <v>0</v>
      </c>
      <c r="L629" t="n">
        <v>0</v>
      </c>
      <c r="M629" t="n">
        <v>0</v>
      </c>
      <c r="N629" t="n">
        <v>0</v>
      </c>
      <c r="O629" t="n">
        <v>0</v>
      </c>
      <c r="P629" t="n">
        <v>0</v>
      </c>
      <c r="Q629" t="n">
        <v>0</v>
      </c>
      <c r="R629" s="2" t="inlineStr"/>
    </row>
    <row r="630" ht="15" customHeight="1">
      <c r="A630" t="inlineStr">
        <is>
          <t>A 19905-2025</t>
        </is>
      </c>
      <c r="B630" s="1" t="n">
        <v>45771</v>
      </c>
      <c r="C630" s="1" t="n">
        <v>46162</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29196-2025</t>
        </is>
      </c>
      <c r="B631" s="1" t="n">
        <v>45822</v>
      </c>
      <c r="C631" s="1" t="n">
        <v>46162</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29207-2025</t>
        </is>
      </c>
      <c r="B632" s="1" t="n">
        <v>45823</v>
      </c>
      <c r="C632" s="1" t="n">
        <v>46162</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30061-2025</t>
        </is>
      </c>
      <c r="B633" s="1" t="n">
        <v>45826.61488425926</v>
      </c>
      <c r="C633" s="1" t="n">
        <v>46162</v>
      </c>
      <c r="D633" t="inlineStr">
        <is>
          <t>GOTLANDS LÄN</t>
        </is>
      </c>
      <c r="E633" t="inlineStr">
        <is>
          <t>GOTLAND</t>
        </is>
      </c>
      <c r="G633" t="n">
        <v>4.1</v>
      </c>
      <c r="H633" t="n">
        <v>0</v>
      </c>
      <c r="I633" t="n">
        <v>0</v>
      </c>
      <c r="J633" t="n">
        <v>0</v>
      </c>
      <c r="K633" t="n">
        <v>0</v>
      </c>
      <c r="L633" t="n">
        <v>0</v>
      </c>
      <c r="M633" t="n">
        <v>0</v>
      </c>
      <c r="N633" t="n">
        <v>0</v>
      </c>
      <c r="O633" t="n">
        <v>0</v>
      </c>
      <c r="P633" t="n">
        <v>0</v>
      </c>
      <c r="Q633" t="n">
        <v>0</v>
      </c>
      <c r="R633" s="2" t="inlineStr"/>
    </row>
    <row r="634" ht="15" customHeight="1">
      <c r="A634" t="inlineStr">
        <is>
          <t>A 58160-2024</t>
        </is>
      </c>
      <c r="B634" s="1" t="n">
        <v>45632.44927083333</v>
      </c>
      <c r="C634" s="1" t="n">
        <v>46162</v>
      </c>
      <c r="D634" t="inlineStr">
        <is>
          <t>GOTLANDS LÄN</t>
        </is>
      </c>
      <c r="E634" t="inlineStr">
        <is>
          <t>GOTLAND</t>
        </is>
      </c>
      <c r="G634" t="n">
        <v>5.6</v>
      </c>
      <c r="H634" t="n">
        <v>0</v>
      </c>
      <c r="I634" t="n">
        <v>0</v>
      </c>
      <c r="J634" t="n">
        <v>0</v>
      </c>
      <c r="K634" t="n">
        <v>0</v>
      </c>
      <c r="L634" t="n">
        <v>0</v>
      </c>
      <c r="M634" t="n">
        <v>0</v>
      </c>
      <c r="N634" t="n">
        <v>0</v>
      </c>
      <c r="O634" t="n">
        <v>0</v>
      </c>
      <c r="P634" t="n">
        <v>0</v>
      </c>
      <c r="Q634" t="n">
        <v>0</v>
      </c>
      <c r="R634" s="2" t="inlineStr"/>
    </row>
    <row r="635" ht="15" customHeight="1">
      <c r="A635" t="inlineStr">
        <is>
          <t>A 32379-2025</t>
        </is>
      </c>
      <c r="B635" s="1" t="n">
        <v>45837</v>
      </c>
      <c r="C635" s="1" t="n">
        <v>46162</v>
      </c>
      <c r="D635" t="inlineStr">
        <is>
          <t>GOTLANDS LÄN</t>
        </is>
      </c>
      <c r="E635" t="inlineStr">
        <is>
          <t>GOTLAND</t>
        </is>
      </c>
      <c r="G635" t="n">
        <v>1</v>
      </c>
      <c r="H635" t="n">
        <v>0</v>
      </c>
      <c r="I635" t="n">
        <v>0</v>
      </c>
      <c r="J635" t="n">
        <v>0</v>
      </c>
      <c r="K635" t="n">
        <v>0</v>
      </c>
      <c r="L635" t="n">
        <v>0</v>
      </c>
      <c r="M635" t="n">
        <v>0</v>
      </c>
      <c r="N635" t="n">
        <v>0</v>
      </c>
      <c r="O635" t="n">
        <v>0</v>
      </c>
      <c r="P635" t="n">
        <v>0</v>
      </c>
      <c r="Q635" t="n">
        <v>0</v>
      </c>
      <c r="R635" s="2" t="inlineStr"/>
    </row>
    <row r="636" ht="15" customHeight="1">
      <c r="A636" t="inlineStr">
        <is>
          <t>A 32467-2025</t>
        </is>
      </c>
      <c r="B636" s="1" t="n">
        <v>45838.42111111111</v>
      </c>
      <c r="C636" s="1" t="n">
        <v>46162</v>
      </c>
      <c r="D636" t="inlineStr">
        <is>
          <t>GOTLANDS LÄN</t>
        </is>
      </c>
      <c r="E636" t="inlineStr">
        <is>
          <t>GOTLAND</t>
        </is>
      </c>
      <c r="G636" t="n">
        <v>4.3</v>
      </c>
      <c r="H636" t="n">
        <v>0</v>
      </c>
      <c r="I636" t="n">
        <v>0</v>
      </c>
      <c r="J636" t="n">
        <v>0</v>
      </c>
      <c r="K636" t="n">
        <v>0</v>
      </c>
      <c r="L636" t="n">
        <v>0</v>
      </c>
      <c r="M636" t="n">
        <v>0</v>
      </c>
      <c r="N636" t="n">
        <v>0</v>
      </c>
      <c r="O636" t="n">
        <v>0</v>
      </c>
      <c r="P636" t="n">
        <v>0</v>
      </c>
      <c r="Q636" t="n">
        <v>0</v>
      </c>
      <c r="R636" s="2" t="inlineStr"/>
    </row>
    <row r="637" ht="15" customHeight="1">
      <c r="A637" t="inlineStr">
        <is>
          <t>A 16109-2025</t>
        </is>
      </c>
      <c r="B637" s="1" t="n">
        <v>45750</v>
      </c>
      <c r="C637" s="1" t="n">
        <v>46162</v>
      </c>
      <c r="D637" t="inlineStr">
        <is>
          <t>GOTLANDS LÄN</t>
        </is>
      </c>
      <c r="E637" t="inlineStr">
        <is>
          <t>GOTLAND</t>
        </is>
      </c>
      <c r="G637" t="n">
        <v>4.9</v>
      </c>
      <c r="H637" t="n">
        <v>0</v>
      </c>
      <c r="I637" t="n">
        <v>0</v>
      </c>
      <c r="J637" t="n">
        <v>0</v>
      </c>
      <c r="K637" t="n">
        <v>0</v>
      </c>
      <c r="L637" t="n">
        <v>0</v>
      </c>
      <c r="M637" t="n">
        <v>0</v>
      </c>
      <c r="N637" t="n">
        <v>0</v>
      </c>
      <c r="O637" t="n">
        <v>0</v>
      </c>
      <c r="P637" t="n">
        <v>0</v>
      </c>
      <c r="Q637" t="n">
        <v>0</v>
      </c>
      <c r="R637" s="2" t="inlineStr"/>
    </row>
    <row r="638" ht="15" customHeight="1">
      <c r="A638" t="inlineStr">
        <is>
          <t>A 33007-2025</t>
        </is>
      </c>
      <c r="B638" s="1" t="n">
        <v>45840</v>
      </c>
      <c r="C638" s="1" t="n">
        <v>46162</v>
      </c>
      <c r="D638" t="inlineStr">
        <is>
          <t>GOTLANDS LÄN</t>
        </is>
      </c>
      <c r="E638" t="inlineStr">
        <is>
          <t>GOTLAND</t>
        </is>
      </c>
      <c r="G638" t="n">
        <v>4.9</v>
      </c>
      <c r="H638" t="n">
        <v>0</v>
      </c>
      <c r="I638" t="n">
        <v>0</v>
      </c>
      <c r="J638" t="n">
        <v>0</v>
      </c>
      <c r="K638" t="n">
        <v>0</v>
      </c>
      <c r="L638" t="n">
        <v>0</v>
      </c>
      <c r="M638" t="n">
        <v>0</v>
      </c>
      <c r="N638" t="n">
        <v>0</v>
      </c>
      <c r="O638" t="n">
        <v>0</v>
      </c>
      <c r="P638" t="n">
        <v>0</v>
      </c>
      <c r="Q638" t="n">
        <v>0</v>
      </c>
      <c r="R638" s="2" t="inlineStr"/>
    </row>
    <row r="639" ht="15" customHeight="1">
      <c r="A639" t="inlineStr">
        <is>
          <t>A 15413-2025</t>
        </is>
      </c>
      <c r="B639" s="1" t="n">
        <v>45747.451875</v>
      </c>
      <c r="C639" s="1" t="n">
        <v>46162</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35123-2025</t>
        </is>
      </c>
      <c r="B640" s="1" t="n">
        <v>45852.614375</v>
      </c>
      <c r="C640" s="1" t="n">
        <v>46162</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35096-2025</t>
        </is>
      </c>
      <c r="B641" s="1" t="n">
        <v>45852.54356481481</v>
      </c>
      <c r="C641" s="1" t="n">
        <v>46162</v>
      </c>
      <c r="D641" t="inlineStr">
        <is>
          <t>GOTLANDS LÄN</t>
        </is>
      </c>
      <c r="E641" t="inlineStr">
        <is>
          <t>GOTLAND</t>
        </is>
      </c>
      <c r="F641" t="inlineStr">
        <is>
          <t>Kyrkan</t>
        </is>
      </c>
      <c r="G641" t="n">
        <v>1</v>
      </c>
      <c r="H641" t="n">
        <v>0</v>
      </c>
      <c r="I641" t="n">
        <v>0</v>
      </c>
      <c r="J641" t="n">
        <v>0</v>
      </c>
      <c r="K641" t="n">
        <v>0</v>
      </c>
      <c r="L641" t="n">
        <v>0</v>
      </c>
      <c r="M641" t="n">
        <v>0</v>
      </c>
      <c r="N641" t="n">
        <v>0</v>
      </c>
      <c r="O641" t="n">
        <v>0</v>
      </c>
      <c r="P641" t="n">
        <v>0</v>
      </c>
      <c r="Q641" t="n">
        <v>0</v>
      </c>
      <c r="R641" s="2" t="inlineStr"/>
    </row>
    <row r="642" ht="15" customHeight="1">
      <c r="A642" t="inlineStr">
        <is>
          <t>A 30104-2025</t>
        </is>
      </c>
      <c r="B642" s="1" t="n">
        <v>45826.68806712963</v>
      </c>
      <c r="C642" s="1" t="n">
        <v>46162</v>
      </c>
      <c r="D642" t="inlineStr">
        <is>
          <t>GOTLANDS LÄN</t>
        </is>
      </c>
      <c r="E642" t="inlineStr">
        <is>
          <t>GOTLAND</t>
        </is>
      </c>
      <c r="G642" t="n">
        <v>15.4</v>
      </c>
      <c r="H642" t="n">
        <v>0</v>
      </c>
      <c r="I642" t="n">
        <v>0</v>
      </c>
      <c r="J642" t="n">
        <v>0</v>
      </c>
      <c r="K642" t="n">
        <v>0</v>
      </c>
      <c r="L642" t="n">
        <v>0</v>
      </c>
      <c r="M642" t="n">
        <v>0</v>
      </c>
      <c r="N642" t="n">
        <v>0</v>
      </c>
      <c r="O642" t="n">
        <v>0</v>
      </c>
      <c r="P642" t="n">
        <v>0</v>
      </c>
      <c r="Q642" t="n">
        <v>0</v>
      </c>
      <c r="R642" s="2" t="inlineStr"/>
    </row>
    <row r="643" ht="15" customHeight="1">
      <c r="A643" t="inlineStr">
        <is>
          <t>A 35290-2025</t>
        </is>
      </c>
      <c r="B643" s="1" t="n">
        <v>45854.38502314815</v>
      </c>
      <c r="C643" s="1" t="n">
        <v>46162</v>
      </c>
      <c r="D643" t="inlineStr">
        <is>
          <t>GOTLANDS LÄN</t>
        </is>
      </c>
      <c r="E643" t="inlineStr">
        <is>
          <t>GOTLAND</t>
        </is>
      </c>
      <c r="G643" t="n">
        <v>5.4</v>
      </c>
      <c r="H643" t="n">
        <v>0</v>
      </c>
      <c r="I643" t="n">
        <v>0</v>
      </c>
      <c r="J643" t="n">
        <v>0</v>
      </c>
      <c r="K643" t="n">
        <v>0</v>
      </c>
      <c r="L643" t="n">
        <v>0</v>
      </c>
      <c r="M643" t="n">
        <v>0</v>
      </c>
      <c r="N643" t="n">
        <v>0</v>
      </c>
      <c r="O643" t="n">
        <v>0</v>
      </c>
      <c r="P643" t="n">
        <v>0</v>
      </c>
      <c r="Q643" t="n">
        <v>0</v>
      </c>
      <c r="R643" s="2" t="inlineStr"/>
    </row>
    <row r="644" ht="15" customHeight="1">
      <c r="A644" t="inlineStr">
        <is>
          <t>A 32669-2024</t>
        </is>
      </c>
      <c r="B644" s="1" t="n">
        <v>45514</v>
      </c>
      <c r="C644" s="1" t="n">
        <v>46162</v>
      </c>
      <c r="D644" t="inlineStr">
        <is>
          <t>GOTLANDS LÄN</t>
        </is>
      </c>
      <c r="E644" t="inlineStr">
        <is>
          <t>GOTLAND</t>
        </is>
      </c>
      <c r="G644" t="n">
        <v>9.699999999999999</v>
      </c>
      <c r="H644" t="n">
        <v>0</v>
      </c>
      <c r="I644" t="n">
        <v>0</v>
      </c>
      <c r="J644" t="n">
        <v>0</v>
      </c>
      <c r="K644" t="n">
        <v>0</v>
      </c>
      <c r="L644" t="n">
        <v>0</v>
      </c>
      <c r="M644" t="n">
        <v>0</v>
      </c>
      <c r="N644" t="n">
        <v>0</v>
      </c>
      <c r="O644" t="n">
        <v>0</v>
      </c>
      <c r="P644" t="n">
        <v>0</v>
      </c>
      <c r="Q644" t="n">
        <v>0</v>
      </c>
      <c r="R644" s="2" t="inlineStr"/>
    </row>
    <row r="645">
      <c r="A645" t="inlineStr">
        <is>
          <t>A 35537-2025</t>
        </is>
      </c>
      <c r="B645" s="1" t="n">
        <v>45856</v>
      </c>
      <c r="C645" s="1" t="n">
        <v>46162</v>
      </c>
      <c r="D645" t="inlineStr">
        <is>
          <t>GOTLANDS LÄN</t>
        </is>
      </c>
      <c r="E645" t="inlineStr">
        <is>
          <t>GOTLAND</t>
        </is>
      </c>
      <c r="G645" t="n">
        <v>16.8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2026-05-20T10:56:52Z</dcterms:created>
  <dcterms:modified xmlns:dcterms="http://purl.org/dc/terms/" xmlns:xsi="http://www.w3.org/2001/XMLSchema-instance" xsi:type="dcterms:W3CDTF">2026-05-20T10:56:53Z</dcterms:modified>
</cp:coreProperties>
</file>