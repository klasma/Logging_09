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46004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46004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46004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46004</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46004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46004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46004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46004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46004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46004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46004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46004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46004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17762-2024</t>
        </is>
      </c>
      <c r="B30" s="1" t="n">
        <v>45418</v>
      </c>
      <c r="C30" s="1" t="n">
        <v>46004</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46004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46004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35141-2022</t>
        </is>
      </c>
      <c r="B34" s="1" t="n">
        <v>44797.53318287037</v>
      </c>
      <c r="C34" s="1" t="n">
        <v>46004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2804-2023</t>
        </is>
      </c>
      <c r="B35" s="1" t="n">
        <v>44944</v>
      </c>
      <c r="C35" s="1" t="n">
        <v>46004</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46004</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46004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46004</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28287-2024</t>
        </is>
      </c>
      <c r="B39" s="1" t="n">
        <v>45477</v>
      </c>
      <c r="C39" s="1" t="n">
        <v>46004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46004</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46004</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46004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46004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11176-2024</t>
        </is>
      </c>
      <c r="B45" s="1" t="n">
        <v>45371</v>
      </c>
      <c r="C45" s="1" t="n">
        <v>46004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46004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6052-2024</t>
        </is>
      </c>
      <c r="B47" s="1" t="n">
        <v>45336</v>
      </c>
      <c r="C47" s="1" t="n">
        <v>46004</v>
      </c>
      <c r="D47" t="inlineStr">
        <is>
          <t>GOTLANDS LÄN</t>
        </is>
      </c>
      <c r="E47" t="inlineStr">
        <is>
          <t>GOTLAND</t>
        </is>
      </c>
      <c r="G47" t="n">
        <v>10.3</v>
      </c>
      <c r="H47" t="n">
        <v>1</v>
      </c>
      <c r="I47" t="n">
        <v>3</v>
      </c>
      <c r="J47" t="n">
        <v>6</v>
      </c>
      <c r="K47" t="n">
        <v>2</v>
      </c>
      <c r="L47" t="n">
        <v>0</v>
      </c>
      <c r="M47" t="n">
        <v>0</v>
      </c>
      <c r="N47" t="n">
        <v>0</v>
      </c>
      <c r="O47" t="n">
        <v>8</v>
      </c>
      <c r="P47" t="n">
        <v>2</v>
      </c>
      <c r="Q47" t="n">
        <v>11</v>
      </c>
      <c r="R47" s="2" t="inlineStr">
        <is>
          <t>Lansettfibbla
Narrspindling
Ladlav
Odörspindling
Smedbock
Svinrot
Tallticka
Vippärt
Anisspindling
Nästrot
Vårärt</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584-2023</t>
        </is>
      </c>
      <c r="B48" s="1" t="n">
        <v>44930</v>
      </c>
      <c r="C48" s="1" t="n">
        <v>46004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46004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46004</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46004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46004</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46004</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46004</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46004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46004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46004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46004</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46004</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46004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46004</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46004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46004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46004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46004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46004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46004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56687-2025</t>
        </is>
      </c>
      <c r="B69" s="1" t="n">
        <v>45975.84065972222</v>
      </c>
      <c r="C69" s="1" t="n">
        <v>46004</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46004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46004</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46004</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46004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46004</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53584-2025</t>
        </is>
      </c>
      <c r="B76" s="1" t="n">
        <v>45960.43130787037</v>
      </c>
      <c r="C76" s="1" t="n">
        <v>46004</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46004</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46004</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46004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46004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32326-2024</t>
        </is>
      </c>
      <c r="B81" s="1" t="n">
        <v>45512</v>
      </c>
      <c r="C81" s="1" t="n">
        <v>46004</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2213-2023</t>
        </is>
      </c>
      <c r="B82" s="1" t="n">
        <v>44942</v>
      </c>
      <c r="C82" s="1" t="n">
        <v>46004</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42936-2024</t>
        </is>
      </c>
      <c r="B83" s="1" t="n">
        <v>45567</v>
      </c>
      <c r="C83" s="1" t="n">
        <v>46004</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46004</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16375-2025</t>
        </is>
      </c>
      <c r="B85" s="1" t="n">
        <v>45751.41064814815</v>
      </c>
      <c r="C85" s="1" t="n">
        <v>46004</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46004</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46004</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46004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1971-2023</t>
        </is>
      </c>
      <c r="B89" s="1" t="n">
        <v>44939</v>
      </c>
      <c r="C89" s="1" t="n">
        <v>46004</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6159-2023</t>
        </is>
      </c>
      <c r="B90" s="1" t="n">
        <v>44964</v>
      </c>
      <c r="C90" s="1" t="n">
        <v>46004</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46004</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186-2023</t>
        </is>
      </c>
      <c r="B92" s="1" t="n">
        <v>44928</v>
      </c>
      <c r="C92" s="1" t="n">
        <v>46004</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54523-2023</t>
        </is>
      </c>
      <c r="B93" s="1" t="n">
        <v>45233</v>
      </c>
      <c r="C93" s="1" t="n">
        <v>46004</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56717-2024</t>
        </is>
      </c>
      <c r="B94" s="1" t="n">
        <v>45628.3166550926</v>
      </c>
      <c r="C94" s="1" t="n">
        <v>46004</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2485-2025</t>
        </is>
      </c>
      <c r="B95" s="1" t="n">
        <v>45673</v>
      </c>
      <c r="C95" s="1" t="n">
        <v>46004</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8265-2023</t>
        </is>
      </c>
      <c r="B96" s="1" t="n">
        <v>44974</v>
      </c>
      <c r="C96" s="1" t="n">
        <v>46004</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5904-2024</t>
        </is>
      </c>
      <c r="B97" s="1" t="n">
        <v>45335</v>
      </c>
      <c r="C97" s="1" t="n">
        <v>46004</v>
      </c>
      <c r="D97" t="inlineStr">
        <is>
          <t>GOTLANDS LÄN</t>
        </is>
      </c>
      <c r="E97" t="inlineStr">
        <is>
          <t>GOTLAND</t>
        </is>
      </c>
      <c r="G97" t="n">
        <v>6.4</v>
      </c>
      <c r="H97" t="n">
        <v>1</v>
      </c>
      <c r="I97" t="n">
        <v>2</v>
      </c>
      <c r="J97" t="n">
        <v>1</v>
      </c>
      <c r="K97" t="n">
        <v>0</v>
      </c>
      <c r="L97" t="n">
        <v>0</v>
      </c>
      <c r="M97" t="n">
        <v>0</v>
      </c>
      <c r="N97" t="n">
        <v>0</v>
      </c>
      <c r="O97" t="n">
        <v>1</v>
      </c>
      <c r="P97" t="n">
        <v>0</v>
      </c>
      <c r="Q97" t="n">
        <v>4</v>
      </c>
      <c r="R97" s="2" t="inlineStr">
        <is>
          <t>Backstarr
Blåmossa
Kattfotslav
Sankt pers nycklar</t>
        </is>
      </c>
      <c r="S97">
        <f>HYPERLINK("https://klasma.github.io/Logging_0980/artfynd/A 5904-2024 artfynd.xlsx", "A 5904-2024")</f>
        <v/>
      </c>
      <c r="T97">
        <f>HYPERLINK("https://klasma.github.io/Logging_0980/kartor/A 5904-2024 karta.png", "A 5904-2024")</f>
        <v/>
      </c>
      <c r="V97">
        <f>HYPERLINK("https://klasma.github.io/Logging_0980/klagomål/A 5904-2024 FSC-klagomål.docx", "A 5904-2024")</f>
        <v/>
      </c>
      <c r="W97">
        <f>HYPERLINK("https://klasma.github.io/Logging_0980/klagomålsmail/A 5904-2024 FSC-klagomål mail.docx", "A 5904-2024")</f>
        <v/>
      </c>
      <c r="X97">
        <f>HYPERLINK("https://klasma.github.io/Logging_0980/tillsyn/A 5904-2024 tillsynsbegäran.docx", "A 5904-2024")</f>
        <v/>
      </c>
      <c r="Y97">
        <f>HYPERLINK("https://klasma.github.io/Logging_0980/tillsynsmail/A 5904-2024 tillsynsbegäran mail.docx", "A 5904-2024")</f>
        <v/>
      </c>
    </row>
    <row r="98" ht="15" customHeight="1">
      <c r="A98" t="inlineStr">
        <is>
          <t>A 44933-2022</t>
        </is>
      </c>
      <c r="B98" s="1" t="n">
        <v>44841</v>
      </c>
      <c r="C98" s="1" t="n">
        <v>46004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40099-2025</t>
        </is>
      </c>
      <c r="B99" s="1" t="n">
        <v>45894.48462962963</v>
      </c>
      <c r="C99" s="1" t="n">
        <v>46004</v>
      </c>
      <c r="D99" t="inlineStr">
        <is>
          <t>GOTLANDS LÄN</t>
        </is>
      </c>
      <c r="E99" t="inlineStr">
        <is>
          <t>GOTLAND</t>
        </is>
      </c>
      <c r="G99" t="n">
        <v>6.5</v>
      </c>
      <c r="H99" t="n">
        <v>0</v>
      </c>
      <c r="I99" t="n">
        <v>3</v>
      </c>
      <c r="J99" t="n">
        <v>0</v>
      </c>
      <c r="K99" t="n">
        <v>1</v>
      </c>
      <c r="L99" t="n">
        <v>0</v>
      </c>
      <c r="M99" t="n">
        <v>0</v>
      </c>
      <c r="N99" t="n">
        <v>0</v>
      </c>
      <c r="O99" t="n">
        <v>1</v>
      </c>
      <c r="P99" t="n">
        <v>1</v>
      </c>
      <c r="Q99" t="n">
        <v>4</v>
      </c>
      <c r="R99" s="2" t="inlineStr">
        <is>
          <t>Mörkfjällig olivspindling
Fjällig taggsvamp s.str.
Olivspindling
Svavelriska</t>
        </is>
      </c>
      <c r="S99">
        <f>HYPERLINK("https://klasma.github.io/Logging_0980/artfynd/A 40099-2025 artfynd.xlsx", "A 40099-2025")</f>
        <v/>
      </c>
      <c r="T99">
        <f>HYPERLINK("https://klasma.github.io/Logging_0980/kartor/A 40099-2025 karta.png", "A 40099-2025")</f>
        <v/>
      </c>
      <c r="V99">
        <f>HYPERLINK("https://klasma.github.io/Logging_0980/klagomål/A 40099-2025 FSC-klagomål.docx", "A 40099-2025")</f>
        <v/>
      </c>
      <c r="W99">
        <f>HYPERLINK("https://klasma.github.io/Logging_0980/klagomålsmail/A 40099-2025 FSC-klagomål mail.docx", "A 40099-2025")</f>
        <v/>
      </c>
      <c r="X99">
        <f>HYPERLINK("https://klasma.github.io/Logging_0980/tillsyn/A 40099-2025 tillsynsbegäran.docx", "A 40099-2025")</f>
        <v/>
      </c>
      <c r="Y99">
        <f>HYPERLINK("https://klasma.github.io/Logging_0980/tillsynsmail/A 40099-2025 tillsynsbegäran mail.docx", "A 40099-2025")</f>
        <v/>
      </c>
    </row>
    <row r="100" ht="15" customHeight="1">
      <c r="A100" t="inlineStr">
        <is>
          <t>A 57463-2025</t>
        </is>
      </c>
      <c r="B100" s="1" t="n">
        <v>45980.54174768519</v>
      </c>
      <c r="C100" s="1" t="n">
        <v>46004</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46004</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52309-2025</t>
        </is>
      </c>
      <c r="B102" s="1" t="n">
        <v>45953.64381944444</v>
      </c>
      <c r="C102" s="1" t="n">
        <v>46004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52309-2025 artfynd.xlsx", "A 52309-2025")</f>
        <v/>
      </c>
      <c r="T102">
        <f>HYPERLINK("https://klasma.github.io/Logging_0980/kartor/A 52309-2025 karta.png", "A 52309-2025")</f>
        <v/>
      </c>
      <c r="V102">
        <f>HYPERLINK("https://klasma.github.io/Logging_0980/klagomål/A 52309-2025 FSC-klagomål.docx", "A 52309-2025")</f>
        <v/>
      </c>
      <c r="W102">
        <f>HYPERLINK("https://klasma.github.io/Logging_0980/klagomålsmail/A 52309-2025 FSC-klagomål mail.docx", "A 52309-2025")</f>
        <v/>
      </c>
      <c r="X102">
        <f>HYPERLINK("https://klasma.github.io/Logging_0980/tillsyn/A 52309-2025 tillsynsbegäran.docx", "A 52309-2025")</f>
        <v/>
      </c>
      <c r="Y102">
        <f>HYPERLINK("https://klasma.github.io/Logging_0980/tillsynsmail/A 52309-2025 tillsynsbegäran mail.docx", "A 52309-2025")</f>
        <v/>
      </c>
    </row>
    <row r="103" ht="15" customHeight="1">
      <c r="A103" t="inlineStr">
        <is>
          <t>A 20833-2024</t>
        </is>
      </c>
      <c r="B103" s="1" t="n">
        <v>45439</v>
      </c>
      <c r="C103" s="1" t="n">
        <v>46004</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46004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46004</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46004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46004</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46004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48126-2022</t>
        </is>
      </c>
      <c r="B110" s="1" t="n">
        <v>44857</v>
      </c>
      <c r="C110" s="1" t="n">
        <v>46004</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73144-2021</t>
        </is>
      </c>
      <c r="B111" s="1" t="n">
        <v>44550</v>
      </c>
      <c r="C111" s="1" t="n">
        <v>46004</v>
      </c>
      <c r="D111" t="inlineStr">
        <is>
          <t>GOTLANDS LÄN</t>
        </is>
      </c>
      <c r="E111" t="inlineStr">
        <is>
          <t>GOTLAND</t>
        </is>
      </c>
      <c r="G111" t="n">
        <v>1.9</v>
      </c>
      <c r="H111" t="n">
        <v>0</v>
      </c>
      <c r="I111" t="n">
        <v>1</v>
      </c>
      <c r="J111" t="n">
        <v>1</v>
      </c>
      <c r="K111" t="n">
        <v>1</v>
      </c>
      <c r="L111" t="n">
        <v>0</v>
      </c>
      <c r="M111" t="n">
        <v>0</v>
      </c>
      <c r="N111" t="n">
        <v>0</v>
      </c>
      <c r="O111" t="n">
        <v>2</v>
      </c>
      <c r="P111" t="n">
        <v>1</v>
      </c>
      <c r="Q111" t="n">
        <v>3</v>
      </c>
      <c r="R111" s="2" t="inlineStr">
        <is>
          <t>Skogskorn
Igelkott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17982-2023</t>
        </is>
      </c>
      <c r="B112" s="1" t="n">
        <v>45040</v>
      </c>
      <c r="C112" s="1" t="n">
        <v>46004</v>
      </c>
      <c r="D112" t="inlineStr">
        <is>
          <t>GOTLANDS LÄN</t>
        </is>
      </c>
      <c r="E112" t="inlineStr">
        <is>
          <t>GOTLAND</t>
        </is>
      </c>
      <c r="G112" t="n">
        <v>2.2</v>
      </c>
      <c r="H112" t="n">
        <v>0</v>
      </c>
      <c r="I112" t="n">
        <v>0</v>
      </c>
      <c r="J112" t="n">
        <v>2</v>
      </c>
      <c r="K112" t="n">
        <v>0</v>
      </c>
      <c r="L112" t="n">
        <v>0</v>
      </c>
      <c r="M112" t="n">
        <v>1</v>
      </c>
      <c r="N112" t="n">
        <v>0</v>
      </c>
      <c r="O112" t="n">
        <v>3</v>
      </c>
      <c r="P112" t="n">
        <v>1</v>
      </c>
      <c r="Q112" t="n">
        <v>3</v>
      </c>
      <c r="R112" s="2" t="inlineStr">
        <is>
          <t>Lundalm
Krusfrö
Ängsskära</t>
        </is>
      </c>
      <c r="S112">
        <f>HYPERLINK("https://klasma.github.io/Logging_0980/artfynd/A 17982-2023 artfynd.xlsx", "A 17982-2023")</f>
        <v/>
      </c>
      <c r="T112">
        <f>HYPERLINK("https://klasma.github.io/Logging_0980/kartor/A 17982-2023 karta.png", "A 17982-2023")</f>
        <v/>
      </c>
      <c r="V112">
        <f>HYPERLINK("https://klasma.github.io/Logging_0980/klagomål/A 17982-2023 FSC-klagomål.docx", "A 17982-2023")</f>
        <v/>
      </c>
      <c r="W112">
        <f>HYPERLINK("https://klasma.github.io/Logging_0980/klagomålsmail/A 17982-2023 FSC-klagomål mail.docx", "A 17982-2023")</f>
        <v/>
      </c>
      <c r="X112">
        <f>HYPERLINK("https://klasma.github.io/Logging_0980/tillsyn/A 17982-2023 tillsynsbegäran.docx", "A 17982-2023")</f>
        <v/>
      </c>
      <c r="Y112">
        <f>HYPERLINK("https://klasma.github.io/Logging_0980/tillsynsmail/A 17982-2023 tillsynsbegäran mail.docx", "A 17982-2023")</f>
        <v/>
      </c>
    </row>
    <row r="113" ht="15" customHeight="1">
      <c r="A113" t="inlineStr">
        <is>
          <t>A 13499-2022</t>
        </is>
      </c>
      <c r="B113" s="1" t="n">
        <v>44647.79203703703</v>
      </c>
      <c r="C113" s="1" t="n">
        <v>46004</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46004</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17975-2024</t>
        </is>
      </c>
      <c r="B115" s="1" t="n">
        <v>45419.85546296297</v>
      </c>
      <c r="C115" s="1" t="n">
        <v>46004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53552-2021</t>
        </is>
      </c>
      <c r="B116" s="1" t="n">
        <v>44468</v>
      </c>
      <c r="C116" s="1" t="n">
        <v>46004</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12315-2024</t>
        </is>
      </c>
      <c r="B117" s="1" t="n">
        <v>45378.6434837963</v>
      </c>
      <c r="C117" s="1" t="n">
        <v>46004</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55334-2024</t>
        </is>
      </c>
      <c r="B118" s="1" t="n">
        <v>45621</v>
      </c>
      <c r="C118" s="1" t="n">
        <v>46004</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46004</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30490-2025</t>
        </is>
      </c>
      <c r="B120" s="1" t="n">
        <v>45830</v>
      </c>
      <c r="C120" s="1" t="n">
        <v>46004</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20831-2024</t>
        </is>
      </c>
      <c r="B121" s="1" t="n">
        <v>45439</v>
      </c>
      <c r="C121" s="1" t="n">
        <v>46004</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29870-2021</t>
        </is>
      </c>
      <c r="B122" s="1" t="n">
        <v>44362</v>
      </c>
      <c r="C122" s="1" t="n">
        <v>46004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46004</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20218-2022</t>
        </is>
      </c>
      <c r="B126" s="1" t="n">
        <v>44698</v>
      </c>
      <c r="C126" s="1" t="n">
        <v>46004</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55649-2024</t>
        </is>
      </c>
      <c r="B127" s="1" t="n">
        <v>45622.63053240741</v>
      </c>
      <c r="C127" s="1" t="n">
        <v>46004</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60665-2021</t>
        </is>
      </c>
      <c r="B128" s="1" t="n">
        <v>44496</v>
      </c>
      <c r="C128" s="1" t="n">
        <v>46004</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28261-2024</t>
        </is>
      </c>
      <c r="B129" s="1" t="n">
        <v>45477</v>
      </c>
      <c r="C129" s="1" t="n">
        <v>46004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7070-2022</t>
        </is>
      </c>
      <c r="B130" s="1" t="n">
        <v>44603</v>
      </c>
      <c r="C130" s="1" t="n">
        <v>46004</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54357-2024</t>
        </is>
      </c>
      <c r="B131" s="1" t="n">
        <v>45617.40662037037</v>
      </c>
      <c r="C131" s="1" t="n">
        <v>46004</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12914-2025</t>
        </is>
      </c>
      <c r="B132" s="1" t="n">
        <v>45733</v>
      </c>
      <c r="C132" s="1" t="n">
        <v>46004</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43219-2023</t>
        </is>
      </c>
      <c r="B133" s="1" t="n">
        <v>45183</v>
      </c>
      <c r="C133" s="1" t="n">
        <v>46004</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26077-2024</t>
        </is>
      </c>
      <c r="B134" s="1" t="n">
        <v>45467</v>
      </c>
      <c r="C134" s="1" t="n">
        <v>46004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20838-2024</t>
        </is>
      </c>
      <c r="B135" s="1" t="n">
        <v>45439</v>
      </c>
      <c r="C135" s="1" t="n">
        <v>46004</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28276-2024</t>
        </is>
      </c>
      <c r="B136" s="1" t="n">
        <v>45477</v>
      </c>
      <c r="C136" s="1" t="n">
        <v>46004</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46004</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46004</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46004</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46004</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46004</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46004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6303-2024</t>
        </is>
      </c>
      <c r="B144" s="1" t="n">
        <v>45338.35376157407</v>
      </c>
      <c r="C144" s="1" t="n">
        <v>46004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46004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25977-2024</t>
        </is>
      </c>
      <c r="B146" s="1" t="n">
        <v>45467.69356481481</v>
      </c>
      <c r="C146" s="1" t="n">
        <v>46004</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27589-2023</t>
        </is>
      </c>
      <c r="B147" s="1" t="n">
        <v>45097</v>
      </c>
      <c r="C147" s="1" t="n">
        <v>46004</v>
      </c>
      <c r="D147" t="inlineStr">
        <is>
          <t>GOTLANDS LÄN</t>
        </is>
      </c>
      <c r="E147" t="inlineStr">
        <is>
          <t>GOTLAND</t>
        </is>
      </c>
      <c r="G147" t="n">
        <v>5.4</v>
      </c>
      <c r="H147" t="n">
        <v>0</v>
      </c>
      <c r="I147" t="n">
        <v>0</v>
      </c>
      <c r="J147" t="n">
        <v>0</v>
      </c>
      <c r="K147" t="n">
        <v>0</v>
      </c>
      <c r="L147" t="n">
        <v>0</v>
      </c>
      <c r="M147" t="n">
        <v>1</v>
      </c>
      <c r="N147" t="n">
        <v>0</v>
      </c>
      <c r="O147" t="n">
        <v>1</v>
      </c>
      <c r="P147" t="n">
        <v>1</v>
      </c>
      <c r="Q147" t="n">
        <v>1</v>
      </c>
      <c r="R147" s="2" t="inlineStr">
        <is>
          <t>Skogsalm</t>
        </is>
      </c>
      <c r="S147">
        <f>HYPERLINK("https://klasma.github.io/Logging_0980/artfynd/A 27589-2023 artfynd.xlsx", "A 27589-2023")</f>
        <v/>
      </c>
      <c r="T147">
        <f>HYPERLINK("https://klasma.github.io/Logging_0980/kartor/A 27589-2023 karta.png", "A 27589-2023")</f>
        <v/>
      </c>
      <c r="V147">
        <f>HYPERLINK("https://klasma.github.io/Logging_0980/klagomål/A 27589-2023 FSC-klagomål.docx", "A 27589-2023")</f>
        <v/>
      </c>
      <c r="W147">
        <f>HYPERLINK("https://klasma.github.io/Logging_0980/klagomålsmail/A 27589-2023 FSC-klagomål mail.docx", "A 27589-2023")</f>
        <v/>
      </c>
      <c r="X147">
        <f>HYPERLINK("https://klasma.github.io/Logging_0980/tillsyn/A 27589-2023 tillsynsbegäran.docx", "A 27589-2023")</f>
        <v/>
      </c>
      <c r="Y147">
        <f>HYPERLINK("https://klasma.github.io/Logging_0980/tillsynsmail/A 27589-2023 tillsynsbegäran mail.docx", "A 27589-2023")</f>
        <v/>
      </c>
    </row>
    <row r="148" ht="15" customHeight="1">
      <c r="A148" t="inlineStr">
        <is>
          <t>A 49304-2024</t>
        </is>
      </c>
      <c r="B148" s="1" t="n">
        <v>45595.54996527778</v>
      </c>
      <c r="C148" s="1" t="n">
        <v>46004</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12324-2025</t>
        </is>
      </c>
      <c r="B149" s="1" t="n">
        <v>45730</v>
      </c>
      <c r="C149" s="1" t="n">
        <v>46004</v>
      </c>
      <c r="D149" t="inlineStr">
        <is>
          <t>GOTLANDS LÄN</t>
        </is>
      </c>
      <c r="E149" t="inlineStr">
        <is>
          <t>GOTLAND</t>
        </is>
      </c>
      <c r="G149" t="n">
        <v>5</v>
      </c>
      <c r="H149" t="n">
        <v>0</v>
      </c>
      <c r="I149" t="n">
        <v>0</v>
      </c>
      <c r="J149" t="n">
        <v>0</v>
      </c>
      <c r="K149" t="n">
        <v>1</v>
      </c>
      <c r="L149" t="n">
        <v>0</v>
      </c>
      <c r="M149" t="n">
        <v>0</v>
      </c>
      <c r="N149" t="n">
        <v>0</v>
      </c>
      <c r="O149" t="n">
        <v>1</v>
      </c>
      <c r="P149" t="n">
        <v>1</v>
      </c>
      <c r="Q149" t="n">
        <v>1</v>
      </c>
      <c r="R149" s="2" t="inlineStr">
        <is>
          <t>Sommarklynne</t>
        </is>
      </c>
      <c r="S149">
        <f>HYPERLINK("https://klasma.github.io/Logging_0980/artfynd/A 12324-2025 artfynd.xlsx", "A 12324-2025")</f>
        <v/>
      </c>
      <c r="T149">
        <f>HYPERLINK("https://klasma.github.io/Logging_0980/kartor/A 12324-2025 karta.png", "A 12324-2025")</f>
        <v/>
      </c>
      <c r="V149">
        <f>HYPERLINK("https://klasma.github.io/Logging_0980/klagomål/A 12324-2025 FSC-klagomål.docx", "A 12324-2025")</f>
        <v/>
      </c>
      <c r="W149">
        <f>HYPERLINK("https://klasma.github.io/Logging_0980/klagomålsmail/A 12324-2025 FSC-klagomål mail.docx", "A 12324-2025")</f>
        <v/>
      </c>
      <c r="X149">
        <f>HYPERLINK("https://klasma.github.io/Logging_0980/tillsyn/A 12324-2025 tillsynsbegäran.docx", "A 12324-2025")</f>
        <v/>
      </c>
      <c r="Y149">
        <f>HYPERLINK("https://klasma.github.io/Logging_0980/tillsynsmail/A 12324-2025 tillsynsbegäran mail.docx", "A 12324-2025")</f>
        <v/>
      </c>
    </row>
    <row r="150" ht="15" customHeight="1">
      <c r="A150" t="inlineStr">
        <is>
          <t>A 22782-2023</t>
        </is>
      </c>
      <c r="B150" s="1" t="n">
        <v>45072</v>
      </c>
      <c r="C150" s="1" t="n">
        <v>46004</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44308-2021</t>
        </is>
      </c>
      <c r="B151" s="1" t="n">
        <v>44434</v>
      </c>
      <c r="C151" s="1" t="n">
        <v>46004</v>
      </c>
      <c r="D151" t="inlineStr">
        <is>
          <t>GOTLANDS LÄN</t>
        </is>
      </c>
      <c r="E151" t="inlineStr">
        <is>
          <t>GOTLAND</t>
        </is>
      </c>
      <c r="G151" t="n">
        <v>5.9</v>
      </c>
      <c r="H151" t="n">
        <v>0</v>
      </c>
      <c r="I151" t="n">
        <v>1</v>
      </c>
      <c r="J151" t="n">
        <v>0</v>
      </c>
      <c r="K151" t="n">
        <v>0</v>
      </c>
      <c r="L151" t="n">
        <v>0</v>
      </c>
      <c r="M151" t="n">
        <v>0</v>
      </c>
      <c r="N151" t="n">
        <v>0</v>
      </c>
      <c r="O151" t="n">
        <v>0</v>
      </c>
      <c r="P151" t="n">
        <v>0</v>
      </c>
      <c r="Q151" t="n">
        <v>1</v>
      </c>
      <c r="R151" s="2" t="inlineStr">
        <is>
          <t>Svavelriska</t>
        </is>
      </c>
      <c r="S151">
        <f>HYPERLINK("https://klasma.github.io/Logging_0980/artfynd/A 44308-2021 artfynd.xlsx", "A 44308-2021")</f>
        <v/>
      </c>
      <c r="T151">
        <f>HYPERLINK("https://klasma.github.io/Logging_0980/kartor/A 44308-2021 karta.png", "A 44308-2021")</f>
        <v/>
      </c>
      <c r="V151">
        <f>HYPERLINK("https://klasma.github.io/Logging_0980/klagomål/A 44308-2021 FSC-klagomål.docx", "A 44308-2021")</f>
        <v/>
      </c>
      <c r="W151">
        <f>HYPERLINK("https://klasma.github.io/Logging_0980/klagomålsmail/A 44308-2021 FSC-klagomål mail.docx", "A 44308-2021")</f>
        <v/>
      </c>
      <c r="X151">
        <f>HYPERLINK("https://klasma.github.io/Logging_0980/tillsyn/A 44308-2021 tillsynsbegäran.docx", "A 44308-2021")</f>
        <v/>
      </c>
      <c r="Y151">
        <f>HYPERLINK("https://klasma.github.io/Logging_0980/tillsynsmail/A 44308-2021 tillsynsbegäran mail.docx", "A 44308-2021")</f>
        <v/>
      </c>
    </row>
    <row r="152" ht="15" customHeight="1">
      <c r="A152" t="inlineStr">
        <is>
          <t>A 65927-2021</t>
        </is>
      </c>
      <c r="B152" s="1" t="n">
        <v>44516</v>
      </c>
      <c r="C152" s="1" t="n">
        <v>46004</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947-2023</t>
        </is>
      </c>
      <c r="B153" s="1" t="n">
        <v>44934</v>
      </c>
      <c r="C153" s="1" t="n">
        <v>46004</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44088-2022</t>
        </is>
      </c>
      <c r="B154" s="1" t="n">
        <v>44839</v>
      </c>
      <c r="C154" s="1" t="n">
        <v>46004</v>
      </c>
      <c r="D154" t="inlineStr">
        <is>
          <t>GOTLANDS LÄN</t>
        </is>
      </c>
      <c r="E154" t="inlineStr">
        <is>
          <t>GOTLAND</t>
        </is>
      </c>
      <c r="G154" t="n">
        <v>1.5</v>
      </c>
      <c r="H154" t="n">
        <v>0</v>
      </c>
      <c r="I154" t="n">
        <v>1</v>
      </c>
      <c r="J154" t="n">
        <v>0</v>
      </c>
      <c r="K154" t="n">
        <v>0</v>
      </c>
      <c r="L154" t="n">
        <v>0</v>
      </c>
      <c r="M154" t="n">
        <v>0</v>
      </c>
      <c r="N154" t="n">
        <v>0</v>
      </c>
      <c r="O154" t="n">
        <v>0</v>
      </c>
      <c r="P154" t="n">
        <v>0</v>
      </c>
      <c r="Q154" t="n">
        <v>1</v>
      </c>
      <c r="R154" s="2" t="inlineStr">
        <is>
          <t>Strävlosta</t>
        </is>
      </c>
      <c r="S154">
        <f>HYPERLINK("https://klasma.github.io/Logging_0980/artfynd/A 44088-2022 artfynd.xlsx", "A 44088-2022")</f>
        <v/>
      </c>
      <c r="T154">
        <f>HYPERLINK("https://klasma.github.io/Logging_0980/kartor/A 44088-2022 karta.png", "A 44088-2022")</f>
        <v/>
      </c>
      <c r="V154">
        <f>HYPERLINK("https://klasma.github.io/Logging_0980/klagomål/A 44088-2022 FSC-klagomål.docx", "A 44088-2022")</f>
        <v/>
      </c>
      <c r="W154">
        <f>HYPERLINK("https://klasma.github.io/Logging_0980/klagomålsmail/A 44088-2022 FSC-klagomål mail.docx", "A 44088-2022")</f>
        <v/>
      </c>
      <c r="X154">
        <f>HYPERLINK("https://klasma.github.io/Logging_0980/tillsyn/A 44088-2022 tillsynsbegäran.docx", "A 44088-2022")</f>
        <v/>
      </c>
      <c r="Y154">
        <f>HYPERLINK("https://klasma.github.io/Logging_0980/tillsynsmail/A 44088-2022 tillsynsbegäran mail.docx", "A 44088-2022")</f>
        <v/>
      </c>
    </row>
    <row r="155" ht="15" customHeight="1">
      <c r="A155" t="inlineStr">
        <is>
          <t>A 46527-2023</t>
        </is>
      </c>
      <c r="B155" s="1" t="n">
        <v>45197</v>
      </c>
      <c r="C155" s="1" t="n">
        <v>46004</v>
      </c>
      <c r="D155" t="inlineStr">
        <is>
          <t>GOTLANDS LÄN</t>
        </is>
      </c>
      <c r="E155" t="inlineStr">
        <is>
          <t>GOTLAND</t>
        </is>
      </c>
      <c r="G155" t="n">
        <v>0.9</v>
      </c>
      <c r="H155" t="n">
        <v>0</v>
      </c>
      <c r="I155" t="n">
        <v>0</v>
      </c>
      <c r="J155" t="n">
        <v>1</v>
      </c>
      <c r="K155" t="n">
        <v>0</v>
      </c>
      <c r="L155" t="n">
        <v>0</v>
      </c>
      <c r="M155" t="n">
        <v>0</v>
      </c>
      <c r="N155" t="n">
        <v>0</v>
      </c>
      <c r="O155" t="n">
        <v>1</v>
      </c>
      <c r="P155" t="n">
        <v>0</v>
      </c>
      <c r="Q155" t="n">
        <v>1</v>
      </c>
      <c r="R155" s="2" t="inlineStr">
        <is>
          <t>Guldgräshoppa</t>
        </is>
      </c>
      <c r="S155">
        <f>HYPERLINK("https://klasma.github.io/Logging_0980/artfynd/A 46527-2023 artfynd.xlsx", "A 46527-2023")</f>
        <v/>
      </c>
      <c r="T155">
        <f>HYPERLINK("https://klasma.github.io/Logging_0980/kartor/A 46527-2023 karta.png", "A 46527-2023")</f>
        <v/>
      </c>
      <c r="V155">
        <f>HYPERLINK("https://klasma.github.io/Logging_0980/klagomål/A 46527-2023 FSC-klagomål.docx", "A 46527-2023")</f>
        <v/>
      </c>
      <c r="W155">
        <f>HYPERLINK("https://klasma.github.io/Logging_0980/klagomålsmail/A 46527-2023 FSC-klagomål mail.docx", "A 46527-2023")</f>
        <v/>
      </c>
      <c r="X155">
        <f>HYPERLINK("https://klasma.github.io/Logging_0980/tillsyn/A 46527-2023 tillsynsbegäran.docx", "A 46527-2023")</f>
        <v/>
      </c>
      <c r="Y155">
        <f>HYPERLINK("https://klasma.github.io/Logging_0980/tillsynsmail/A 46527-2023 tillsynsbegäran mail.docx", "A 46527-2023")</f>
        <v/>
      </c>
    </row>
    <row r="156" ht="15" customHeight="1">
      <c r="A156" t="inlineStr">
        <is>
          <t>A 61561-2023</t>
        </is>
      </c>
      <c r="B156" s="1" t="n">
        <v>45265</v>
      </c>
      <c r="C156" s="1" t="n">
        <v>46004</v>
      </c>
      <c r="D156" t="inlineStr">
        <is>
          <t>GOTLANDS LÄN</t>
        </is>
      </c>
      <c r="E156" t="inlineStr">
        <is>
          <t>GOTLAND</t>
        </is>
      </c>
      <c r="G156" t="n">
        <v>7.4</v>
      </c>
      <c r="H156" t="n">
        <v>0</v>
      </c>
      <c r="I156" t="n">
        <v>0</v>
      </c>
      <c r="J156" t="n">
        <v>1</v>
      </c>
      <c r="K156" t="n">
        <v>0</v>
      </c>
      <c r="L156" t="n">
        <v>0</v>
      </c>
      <c r="M156" t="n">
        <v>0</v>
      </c>
      <c r="N156" t="n">
        <v>0</v>
      </c>
      <c r="O156" t="n">
        <v>1</v>
      </c>
      <c r="P156" t="n">
        <v>0</v>
      </c>
      <c r="Q156" t="n">
        <v>1</v>
      </c>
      <c r="R156" s="2" t="inlineStr">
        <is>
          <t>Loppstarr</t>
        </is>
      </c>
      <c r="S156">
        <f>HYPERLINK("https://klasma.github.io/Logging_0980/artfynd/A 61561-2023 artfynd.xlsx", "A 61561-2023")</f>
        <v/>
      </c>
      <c r="T156">
        <f>HYPERLINK("https://klasma.github.io/Logging_0980/kartor/A 61561-2023 karta.png", "A 61561-2023")</f>
        <v/>
      </c>
      <c r="V156">
        <f>HYPERLINK("https://klasma.github.io/Logging_0980/klagomål/A 61561-2023 FSC-klagomål.docx", "A 61561-2023")</f>
        <v/>
      </c>
      <c r="W156">
        <f>HYPERLINK("https://klasma.github.io/Logging_0980/klagomålsmail/A 61561-2023 FSC-klagomål mail.docx", "A 61561-2023")</f>
        <v/>
      </c>
      <c r="X156">
        <f>HYPERLINK("https://klasma.github.io/Logging_0980/tillsyn/A 61561-2023 tillsynsbegäran.docx", "A 61561-2023")</f>
        <v/>
      </c>
      <c r="Y156">
        <f>HYPERLINK("https://klasma.github.io/Logging_0980/tillsynsmail/A 61561-2023 tillsynsbegäran mail.docx", "A 61561-2023")</f>
        <v/>
      </c>
    </row>
    <row r="157" ht="15" customHeight="1">
      <c r="A157" t="inlineStr">
        <is>
          <t>A 17723-2021</t>
        </is>
      </c>
      <c r="B157" s="1" t="n">
        <v>44300</v>
      </c>
      <c r="C157" s="1" t="n">
        <v>46004</v>
      </c>
      <c r="D157" t="inlineStr">
        <is>
          <t>GOTLANDS LÄN</t>
        </is>
      </c>
      <c r="E157" t="inlineStr">
        <is>
          <t>GOTLAND</t>
        </is>
      </c>
      <c r="G157" t="n">
        <v>1.5</v>
      </c>
      <c r="H157" t="n">
        <v>1</v>
      </c>
      <c r="I157" t="n">
        <v>1</v>
      </c>
      <c r="J157" t="n">
        <v>0</v>
      </c>
      <c r="K157" t="n">
        <v>0</v>
      </c>
      <c r="L157" t="n">
        <v>0</v>
      </c>
      <c r="M157" t="n">
        <v>0</v>
      </c>
      <c r="N157" t="n">
        <v>0</v>
      </c>
      <c r="O157" t="n">
        <v>0</v>
      </c>
      <c r="P157" t="n">
        <v>0</v>
      </c>
      <c r="Q157" t="n">
        <v>1</v>
      </c>
      <c r="R157" s="2" t="inlineStr">
        <is>
          <t>Vit skogslilja</t>
        </is>
      </c>
      <c r="S157">
        <f>HYPERLINK("https://klasma.github.io/Logging_0980/artfynd/A 17723-2021 artfynd.xlsx", "A 17723-2021")</f>
        <v/>
      </c>
      <c r="T157">
        <f>HYPERLINK("https://klasma.github.io/Logging_0980/kartor/A 17723-2021 karta.png", "A 17723-2021")</f>
        <v/>
      </c>
      <c r="V157">
        <f>HYPERLINK("https://klasma.github.io/Logging_0980/klagomål/A 17723-2021 FSC-klagomål.docx", "A 17723-2021")</f>
        <v/>
      </c>
      <c r="W157">
        <f>HYPERLINK("https://klasma.github.io/Logging_0980/klagomålsmail/A 17723-2021 FSC-klagomål mail.docx", "A 17723-2021")</f>
        <v/>
      </c>
      <c r="X157">
        <f>HYPERLINK("https://klasma.github.io/Logging_0980/tillsyn/A 17723-2021 tillsynsbegäran.docx", "A 17723-2021")</f>
        <v/>
      </c>
      <c r="Y157">
        <f>HYPERLINK("https://klasma.github.io/Logging_0980/tillsynsmail/A 17723-2021 tillsynsbegäran mail.docx", "A 17723-2021")</f>
        <v/>
      </c>
    </row>
    <row r="158" ht="15" customHeight="1">
      <c r="A158" t="inlineStr">
        <is>
          <t>A 2476-2025</t>
        </is>
      </c>
      <c r="B158" s="1" t="n">
        <v>45673</v>
      </c>
      <c r="C158" s="1" t="n">
        <v>46004</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1477-2024</t>
        </is>
      </c>
      <c r="B159" s="1" t="n">
        <v>45305.37987268518</v>
      </c>
      <c r="C159" s="1" t="n">
        <v>46004</v>
      </c>
      <c r="D159" t="inlineStr">
        <is>
          <t>GOTLANDS LÄN</t>
        </is>
      </c>
      <c r="E159" t="inlineStr">
        <is>
          <t>GOTLAND</t>
        </is>
      </c>
      <c r="G159" t="n">
        <v>6.9</v>
      </c>
      <c r="H159" t="n">
        <v>0</v>
      </c>
      <c r="I159" t="n">
        <v>0</v>
      </c>
      <c r="J159" t="n">
        <v>1</v>
      </c>
      <c r="K159" t="n">
        <v>0</v>
      </c>
      <c r="L159" t="n">
        <v>0</v>
      </c>
      <c r="M159" t="n">
        <v>0</v>
      </c>
      <c r="N159" t="n">
        <v>0</v>
      </c>
      <c r="O159" t="n">
        <v>1</v>
      </c>
      <c r="P159" t="n">
        <v>0</v>
      </c>
      <c r="Q159" t="n">
        <v>1</v>
      </c>
      <c r="R159" s="2" t="inlineStr">
        <is>
          <t>Igelkott</t>
        </is>
      </c>
      <c r="S159">
        <f>HYPERLINK("https://klasma.github.io/Logging_0980/artfynd/A 1477-2024 artfynd.xlsx", "A 1477-2024")</f>
        <v/>
      </c>
      <c r="T159">
        <f>HYPERLINK("https://klasma.github.io/Logging_0980/kartor/A 1477-2024 karta.png", "A 1477-2024")</f>
        <v/>
      </c>
      <c r="V159">
        <f>HYPERLINK("https://klasma.github.io/Logging_0980/klagomål/A 1477-2024 FSC-klagomål.docx", "A 1477-2024")</f>
        <v/>
      </c>
      <c r="W159">
        <f>HYPERLINK("https://klasma.github.io/Logging_0980/klagomålsmail/A 1477-2024 FSC-klagomål mail.docx", "A 1477-2024")</f>
        <v/>
      </c>
      <c r="X159">
        <f>HYPERLINK("https://klasma.github.io/Logging_0980/tillsyn/A 1477-2024 tillsynsbegäran.docx", "A 1477-2024")</f>
        <v/>
      </c>
      <c r="Y159">
        <f>HYPERLINK("https://klasma.github.io/Logging_0980/tillsynsmail/A 1477-2024 tillsynsbegäran mail.docx", "A 1477-2024")</f>
        <v/>
      </c>
    </row>
    <row r="160" ht="15" customHeight="1">
      <c r="A160" t="inlineStr">
        <is>
          <t>A 7637-2025</t>
        </is>
      </c>
      <c r="B160" s="1" t="n">
        <v>45705.77181712963</v>
      </c>
      <c r="C160" s="1" t="n">
        <v>46004</v>
      </c>
      <c r="D160" t="inlineStr">
        <is>
          <t>GOTLANDS LÄN</t>
        </is>
      </c>
      <c r="E160" t="inlineStr">
        <is>
          <t>GOTLAND</t>
        </is>
      </c>
      <c r="G160" t="n">
        <v>3.7</v>
      </c>
      <c r="H160" t="n">
        <v>0</v>
      </c>
      <c r="I160" t="n">
        <v>0</v>
      </c>
      <c r="J160" t="n">
        <v>0</v>
      </c>
      <c r="K160" t="n">
        <v>0</v>
      </c>
      <c r="L160" t="n">
        <v>0</v>
      </c>
      <c r="M160" t="n">
        <v>1</v>
      </c>
      <c r="N160" t="n">
        <v>0</v>
      </c>
      <c r="O160" t="n">
        <v>1</v>
      </c>
      <c r="P160" t="n">
        <v>1</v>
      </c>
      <c r="Q160" t="n">
        <v>1</v>
      </c>
      <c r="R160" s="2" t="inlineStr">
        <is>
          <t>Skogsalm</t>
        </is>
      </c>
      <c r="S160">
        <f>HYPERLINK("https://klasma.github.io/Logging_0980/artfynd/A 7637-2025 artfynd.xlsx", "A 7637-2025")</f>
        <v/>
      </c>
      <c r="T160">
        <f>HYPERLINK("https://klasma.github.io/Logging_0980/kartor/A 7637-2025 karta.png", "A 7637-2025")</f>
        <v/>
      </c>
      <c r="V160">
        <f>HYPERLINK("https://klasma.github.io/Logging_0980/klagomål/A 7637-2025 FSC-klagomål.docx", "A 7637-2025")</f>
        <v/>
      </c>
      <c r="W160">
        <f>HYPERLINK("https://klasma.github.io/Logging_0980/klagomålsmail/A 7637-2025 FSC-klagomål mail.docx", "A 7637-2025")</f>
        <v/>
      </c>
      <c r="X160">
        <f>HYPERLINK("https://klasma.github.io/Logging_0980/tillsyn/A 7637-2025 tillsynsbegäran.docx", "A 7637-2025")</f>
        <v/>
      </c>
      <c r="Y160">
        <f>HYPERLINK("https://klasma.github.io/Logging_0980/tillsynsmail/A 7637-2025 tillsynsbegäran mail.docx", "A 7637-2025")</f>
        <v/>
      </c>
    </row>
    <row r="161" ht="15" customHeight="1">
      <c r="A161" t="inlineStr">
        <is>
          <t>A 44304-2021</t>
        </is>
      </c>
      <c r="B161" s="1" t="n">
        <v>44434</v>
      </c>
      <c r="C161" s="1" t="n">
        <v>46004</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46004</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49847-2023</t>
        </is>
      </c>
      <c r="B163" s="1" t="n">
        <v>45212</v>
      </c>
      <c r="C163" s="1" t="n">
        <v>46004</v>
      </c>
      <c r="D163" t="inlineStr">
        <is>
          <t>GOTLANDS LÄN</t>
        </is>
      </c>
      <c r="E163" t="inlineStr">
        <is>
          <t>GOTLAND</t>
        </is>
      </c>
      <c r="G163" t="n">
        <v>35.2</v>
      </c>
      <c r="H163" t="n">
        <v>0</v>
      </c>
      <c r="I163" t="n">
        <v>0</v>
      </c>
      <c r="J163" t="n">
        <v>0</v>
      </c>
      <c r="K163" t="n">
        <v>1</v>
      </c>
      <c r="L163" t="n">
        <v>0</v>
      </c>
      <c r="M163" t="n">
        <v>0</v>
      </c>
      <c r="N163" t="n">
        <v>0</v>
      </c>
      <c r="O163" t="n">
        <v>1</v>
      </c>
      <c r="P163" t="n">
        <v>1</v>
      </c>
      <c r="Q163" t="n">
        <v>1</v>
      </c>
      <c r="R163" s="2" t="inlineStr">
        <is>
          <t>Strandviol</t>
        </is>
      </c>
      <c r="S163">
        <f>HYPERLINK("https://klasma.github.io/Logging_0980/artfynd/A 49847-2023 artfynd.xlsx", "A 49847-2023")</f>
        <v/>
      </c>
      <c r="T163">
        <f>HYPERLINK("https://klasma.github.io/Logging_0980/kartor/A 49847-2023 karta.png", "A 49847-2023")</f>
        <v/>
      </c>
      <c r="V163">
        <f>HYPERLINK("https://klasma.github.io/Logging_0980/klagomål/A 49847-2023 FSC-klagomål.docx", "A 49847-2023")</f>
        <v/>
      </c>
      <c r="W163">
        <f>HYPERLINK("https://klasma.github.io/Logging_0980/klagomålsmail/A 49847-2023 FSC-klagomål mail.docx", "A 49847-2023")</f>
        <v/>
      </c>
      <c r="X163">
        <f>HYPERLINK("https://klasma.github.io/Logging_0980/tillsyn/A 49847-2023 tillsynsbegäran.docx", "A 49847-2023")</f>
        <v/>
      </c>
      <c r="Y163">
        <f>HYPERLINK("https://klasma.github.io/Logging_0980/tillsynsmail/A 49847-2023 tillsynsbegäran mail.docx", "A 49847-2023")</f>
        <v/>
      </c>
    </row>
    <row r="164" ht="15" customHeight="1">
      <c r="A164" t="inlineStr">
        <is>
          <t>A 61796-2022</t>
        </is>
      </c>
      <c r="B164" s="1" t="n">
        <v>44917</v>
      </c>
      <c r="C164" s="1" t="n">
        <v>46004</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39812-2025</t>
        </is>
      </c>
      <c r="B165" s="1" t="n">
        <v>45891</v>
      </c>
      <c r="C165" s="1" t="n">
        <v>46004</v>
      </c>
      <c r="D165" t="inlineStr">
        <is>
          <t>GOTLANDS LÄN</t>
        </is>
      </c>
      <c r="E165" t="inlineStr">
        <is>
          <t>GOTLAND</t>
        </is>
      </c>
      <c r="G165" t="n">
        <v>6</v>
      </c>
      <c r="H165" t="n">
        <v>1</v>
      </c>
      <c r="I165" t="n">
        <v>0</v>
      </c>
      <c r="J165" t="n">
        <v>0</v>
      </c>
      <c r="K165" t="n">
        <v>0</v>
      </c>
      <c r="L165" t="n">
        <v>1</v>
      </c>
      <c r="M165" t="n">
        <v>0</v>
      </c>
      <c r="N165" t="n">
        <v>0</v>
      </c>
      <c r="O165" t="n">
        <v>1</v>
      </c>
      <c r="P165" t="n">
        <v>1</v>
      </c>
      <c r="Q165" t="n">
        <v>1</v>
      </c>
      <c r="R165" s="2" t="inlineStr">
        <is>
          <t>Nålkörvel</t>
        </is>
      </c>
      <c r="S165">
        <f>HYPERLINK("https://klasma.github.io/Logging_0980/artfynd/A 39812-2025 artfynd.xlsx", "A 39812-2025")</f>
        <v/>
      </c>
      <c r="T165">
        <f>HYPERLINK("https://klasma.github.io/Logging_0980/kartor/A 39812-2025 karta.png", "A 39812-2025")</f>
        <v/>
      </c>
      <c r="V165">
        <f>HYPERLINK("https://klasma.github.io/Logging_0980/klagomål/A 39812-2025 FSC-klagomål.docx", "A 39812-2025")</f>
        <v/>
      </c>
      <c r="W165">
        <f>HYPERLINK("https://klasma.github.io/Logging_0980/klagomålsmail/A 39812-2025 FSC-klagomål mail.docx", "A 39812-2025")</f>
        <v/>
      </c>
      <c r="X165">
        <f>HYPERLINK("https://klasma.github.io/Logging_0980/tillsyn/A 39812-2025 tillsynsbegäran.docx", "A 39812-2025")</f>
        <v/>
      </c>
      <c r="Y165">
        <f>HYPERLINK("https://klasma.github.io/Logging_0980/tillsynsmail/A 39812-2025 tillsynsbegäran mail.docx", "A 39812-2025")</f>
        <v/>
      </c>
    </row>
    <row r="166" ht="15" customHeight="1">
      <c r="A166" t="inlineStr">
        <is>
          <t>A 10218-2025</t>
        </is>
      </c>
      <c r="B166" s="1" t="n">
        <v>45720</v>
      </c>
      <c r="C166" s="1" t="n">
        <v>46004</v>
      </c>
      <c r="D166" t="inlineStr">
        <is>
          <t>GOTLANDS LÄN</t>
        </is>
      </c>
      <c r="E166" t="inlineStr">
        <is>
          <t>GOTLAND</t>
        </is>
      </c>
      <c r="G166" t="n">
        <v>8.1</v>
      </c>
      <c r="H166" t="n">
        <v>0</v>
      </c>
      <c r="I166" t="n">
        <v>1</v>
      </c>
      <c r="J166" t="n">
        <v>0</v>
      </c>
      <c r="K166" t="n">
        <v>0</v>
      </c>
      <c r="L166" t="n">
        <v>0</v>
      </c>
      <c r="M166" t="n">
        <v>0</v>
      </c>
      <c r="N166" t="n">
        <v>0</v>
      </c>
      <c r="O166" t="n">
        <v>0</v>
      </c>
      <c r="P166" t="n">
        <v>0</v>
      </c>
      <c r="Q166" t="n">
        <v>1</v>
      </c>
      <c r="R166" s="2" t="inlineStr">
        <is>
          <t>Kalktallört</t>
        </is>
      </c>
      <c r="S166">
        <f>HYPERLINK("https://klasma.github.io/Logging_0980/artfynd/A 10218-2025 artfynd.xlsx", "A 10218-2025")</f>
        <v/>
      </c>
      <c r="T166">
        <f>HYPERLINK("https://klasma.github.io/Logging_0980/kartor/A 10218-2025 karta.png", "A 10218-2025")</f>
        <v/>
      </c>
      <c r="V166">
        <f>HYPERLINK("https://klasma.github.io/Logging_0980/klagomål/A 10218-2025 FSC-klagomål.docx", "A 10218-2025")</f>
        <v/>
      </c>
      <c r="W166">
        <f>HYPERLINK("https://klasma.github.io/Logging_0980/klagomålsmail/A 10218-2025 FSC-klagomål mail.docx", "A 10218-2025")</f>
        <v/>
      </c>
      <c r="X166">
        <f>HYPERLINK("https://klasma.github.io/Logging_0980/tillsyn/A 10218-2025 tillsynsbegäran.docx", "A 10218-2025")</f>
        <v/>
      </c>
      <c r="Y166">
        <f>HYPERLINK("https://klasma.github.io/Logging_0980/tillsynsmail/A 10218-2025 tillsynsbegäran mail.docx", "A 10218-2025")</f>
        <v/>
      </c>
    </row>
    <row r="167" ht="15" customHeight="1">
      <c r="A167" t="inlineStr">
        <is>
          <t>A 12379-2024</t>
        </is>
      </c>
      <c r="B167" s="1" t="n">
        <v>45379.28155092592</v>
      </c>
      <c r="C167" s="1" t="n">
        <v>46004</v>
      </c>
      <c r="D167" t="inlineStr">
        <is>
          <t>GOTLANDS LÄN</t>
        </is>
      </c>
      <c r="E167" t="inlineStr">
        <is>
          <t>GOTLAND</t>
        </is>
      </c>
      <c r="G167" t="n">
        <v>4.4</v>
      </c>
      <c r="H167" t="n">
        <v>0</v>
      </c>
      <c r="I167" t="n">
        <v>0</v>
      </c>
      <c r="J167" t="n">
        <v>1</v>
      </c>
      <c r="K167" t="n">
        <v>0</v>
      </c>
      <c r="L167" t="n">
        <v>0</v>
      </c>
      <c r="M167" t="n">
        <v>0</v>
      </c>
      <c r="N167" t="n">
        <v>0</v>
      </c>
      <c r="O167" t="n">
        <v>1</v>
      </c>
      <c r="P167" t="n">
        <v>0</v>
      </c>
      <c r="Q167" t="n">
        <v>1</v>
      </c>
      <c r="R167" s="2" t="inlineStr">
        <is>
          <t>Svinrot</t>
        </is>
      </c>
      <c r="S167">
        <f>HYPERLINK("https://klasma.github.io/Logging_0980/artfynd/A 12379-2024 artfynd.xlsx", "A 12379-2024")</f>
        <v/>
      </c>
      <c r="T167">
        <f>HYPERLINK("https://klasma.github.io/Logging_0980/kartor/A 12379-2024 karta.png", "A 12379-2024")</f>
        <v/>
      </c>
      <c r="V167">
        <f>HYPERLINK("https://klasma.github.io/Logging_0980/klagomål/A 12379-2024 FSC-klagomål.docx", "A 12379-2024")</f>
        <v/>
      </c>
      <c r="W167">
        <f>HYPERLINK("https://klasma.github.io/Logging_0980/klagomålsmail/A 12379-2024 FSC-klagomål mail.docx", "A 12379-2024")</f>
        <v/>
      </c>
      <c r="X167">
        <f>HYPERLINK("https://klasma.github.io/Logging_0980/tillsyn/A 12379-2024 tillsynsbegäran.docx", "A 12379-2024")</f>
        <v/>
      </c>
      <c r="Y167">
        <f>HYPERLINK("https://klasma.github.io/Logging_0980/tillsynsmail/A 12379-2024 tillsynsbegäran mail.docx", "A 12379-2024")</f>
        <v/>
      </c>
    </row>
    <row r="168" ht="15" customHeight="1">
      <c r="A168" t="inlineStr">
        <is>
          <t>A 64700-2021</t>
        </is>
      </c>
      <c r="B168" s="1" t="n">
        <v>44511</v>
      </c>
      <c r="C168" s="1" t="n">
        <v>46004</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35574-2024</t>
        </is>
      </c>
      <c r="B169" s="1" t="n">
        <v>45531</v>
      </c>
      <c r="C169" s="1" t="n">
        <v>46004</v>
      </c>
      <c r="D169" t="inlineStr">
        <is>
          <t>GOTLANDS LÄN</t>
        </is>
      </c>
      <c r="E169" t="inlineStr">
        <is>
          <t>GOTLAND</t>
        </is>
      </c>
      <c r="G169" t="n">
        <v>5.7</v>
      </c>
      <c r="H169" t="n">
        <v>0</v>
      </c>
      <c r="I169" t="n">
        <v>1</v>
      </c>
      <c r="J169" t="n">
        <v>0</v>
      </c>
      <c r="K169" t="n">
        <v>0</v>
      </c>
      <c r="L169" t="n">
        <v>0</v>
      </c>
      <c r="M169" t="n">
        <v>0</v>
      </c>
      <c r="N169" t="n">
        <v>0</v>
      </c>
      <c r="O169" t="n">
        <v>0</v>
      </c>
      <c r="P169" t="n">
        <v>0</v>
      </c>
      <c r="Q169" t="n">
        <v>1</v>
      </c>
      <c r="R169" s="2" t="inlineStr">
        <is>
          <t>Murgröna</t>
        </is>
      </c>
      <c r="S169">
        <f>HYPERLINK("https://klasma.github.io/Logging_0980/artfynd/A 35574-2024 artfynd.xlsx", "A 35574-2024")</f>
        <v/>
      </c>
      <c r="T169">
        <f>HYPERLINK("https://klasma.github.io/Logging_0980/kartor/A 35574-2024 karta.png", "A 35574-2024")</f>
        <v/>
      </c>
      <c r="V169">
        <f>HYPERLINK("https://klasma.github.io/Logging_0980/klagomål/A 35574-2024 FSC-klagomål.docx", "A 35574-2024")</f>
        <v/>
      </c>
      <c r="W169">
        <f>HYPERLINK("https://klasma.github.io/Logging_0980/klagomålsmail/A 35574-2024 FSC-klagomål mail.docx", "A 35574-2024")</f>
        <v/>
      </c>
      <c r="X169">
        <f>HYPERLINK("https://klasma.github.io/Logging_0980/tillsyn/A 35574-2024 tillsynsbegäran.docx", "A 35574-2024")</f>
        <v/>
      </c>
      <c r="Y169">
        <f>HYPERLINK("https://klasma.github.io/Logging_0980/tillsynsmail/A 35574-2024 tillsynsbegäran mail.docx", "A 35574-2024")</f>
        <v/>
      </c>
    </row>
    <row r="170" ht="15" customHeight="1">
      <c r="A170" t="inlineStr">
        <is>
          <t>A 37591-2023</t>
        </is>
      </c>
      <c r="B170" s="1" t="n">
        <v>45159</v>
      </c>
      <c r="C170" s="1" t="n">
        <v>46004</v>
      </c>
      <c r="D170" t="inlineStr">
        <is>
          <t>GOTLANDS LÄN</t>
        </is>
      </c>
      <c r="E170" t="inlineStr">
        <is>
          <t>GOTLAND</t>
        </is>
      </c>
      <c r="G170" t="n">
        <v>8.300000000000001</v>
      </c>
      <c r="H170" t="n">
        <v>0</v>
      </c>
      <c r="I170" t="n">
        <v>0</v>
      </c>
      <c r="J170" t="n">
        <v>1</v>
      </c>
      <c r="K170" t="n">
        <v>0</v>
      </c>
      <c r="L170" t="n">
        <v>0</v>
      </c>
      <c r="M170" t="n">
        <v>0</v>
      </c>
      <c r="N170" t="n">
        <v>0</v>
      </c>
      <c r="O170" t="n">
        <v>1</v>
      </c>
      <c r="P170" t="n">
        <v>0</v>
      </c>
      <c r="Q170" t="n">
        <v>1</v>
      </c>
      <c r="R170" s="2" t="inlineStr">
        <is>
          <t>Ängsstarr</t>
        </is>
      </c>
      <c r="S170">
        <f>HYPERLINK("https://klasma.github.io/Logging_0980/artfynd/A 37591-2023 artfynd.xlsx", "A 37591-2023")</f>
        <v/>
      </c>
      <c r="T170">
        <f>HYPERLINK("https://klasma.github.io/Logging_0980/kartor/A 37591-2023 karta.png", "A 37591-2023")</f>
        <v/>
      </c>
      <c r="V170">
        <f>HYPERLINK("https://klasma.github.io/Logging_0980/klagomål/A 37591-2023 FSC-klagomål.docx", "A 37591-2023")</f>
        <v/>
      </c>
      <c r="W170">
        <f>HYPERLINK("https://klasma.github.io/Logging_0980/klagomålsmail/A 37591-2023 FSC-klagomål mail.docx", "A 37591-2023")</f>
        <v/>
      </c>
      <c r="X170">
        <f>HYPERLINK("https://klasma.github.io/Logging_0980/tillsyn/A 37591-2023 tillsynsbegäran.docx", "A 37591-2023")</f>
        <v/>
      </c>
      <c r="Y170">
        <f>HYPERLINK("https://klasma.github.io/Logging_0980/tillsynsmail/A 37591-2023 tillsynsbegäran mail.docx", "A 37591-2023")</f>
        <v/>
      </c>
    </row>
    <row r="171" ht="15" customHeight="1">
      <c r="A171" t="inlineStr">
        <is>
          <t>A 15637-2024</t>
        </is>
      </c>
      <c r="B171" s="1" t="n">
        <v>45403.6684837963</v>
      </c>
      <c r="C171" s="1" t="n">
        <v>46004</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34809-2024</t>
        </is>
      </c>
      <c r="B172" s="1" t="n">
        <v>45526</v>
      </c>
      <c r="C172" s="1" t="n">
        <v>46004</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35467-2021</t>
        </is>
      </c>
      <c r="B173" s="1" t="n">
        <v>44385</v>
      </c>
      <c r="C173" s="1" t="n">
        <v>46004</v>
      </c>
      <c r="D173" t="inlineStr">
        <is>
          <t>GOTLANDS LÄN</t>
        </is>
      </c>
      <c r="E173" t="inlineStr">
        <is>
          <t>GOTLAND</t>
        </is>
      </c>
      <c r="G173" t="n">
        <v>12.7</v>
      </c>
      <c r="H173" t="n">
        <v>0</v>
      </c>
      <c r="I173" t="n">
        <v>0</v>
      </c>
      <c r="J173" t="n">
        <v>1</v>
      </c>
      <c r="K173" t="n">
        <v>0</v>
      </c>
      <c r="L173" t="n">
        <v>0</v>
      </c>
      <c r="M173" t="n">
        <v>0</v>
      </c>
      <c r="N173" t="n">
        <v>0</v>
      </c>
      <c r="O173" t="n">
        <v>1</v>
      </c>
      <c r="P173" t="n">
        <v>0</v>
      </c>
      <c r="Q173" t="n">
        <v>1</v>
      </c>
      <c r="R173" s="2" t="inlineStr">
        <is>
          <t>Loppstarr</t>
        </is>
      </c>
      <c r="S173">
        <f>HYPERLINK("https://klasma.github.io/Logging_0980/artfynd/A 35467-2021 artfynd.xlsx", "A 35467-2021")</f>
        <v/>
      </c>
      <c r="T173">
        <f>HYPERLINK("https://klasma.github.io/Logging_0980/kartor/A 35467-2021 karta.png", "A 35467-2021")</f>
        <v/>
      </c>
      <c r="V173">
        <f>HYPERLINK("https://klasma.github.io/Logging_0980/klagomål/A 35467-2021 FSC-klagomål.docx", "A 35467-2021")</f>
        <v/>
      </c>
      <c r="W173">
        <f>HYPERLINK("https://klasma.github.io/Logging_0980/klagomålsmail/A 35467-2021 FSC-klagomål mail.docx", "A 35467-2021")</f>
        <v/>
      </c>
      <c r="X173">
        <f>HYPERLINK("https://klasma.github.io/Logging_0980/tillsyn/A 35467-2021 tillsynsbegäran.docx", "A 35467-2021")</f>
        <v/>
      </c>
      <c r="Y173">
        <f>HYPERLINK("https://klasma.github.io/Logging_0980/tillsynsmail/A 35467-2021 tillsynsbegäran mail.docx", "A 35467-2021")</f>
        <v/>
      </c>
    </row>
    <row r="174" ht="15" customHeight="1">
      <c r="A174" t="inlineStr">
        <is>
          <t>A 10995-2023</t>
        </is>
      </c>
      <c r="B174" s="1" t="n">
        <v>44986</v>
      </c>
      <c r="C174" s="1" t="n">
        <v>46004</v>
      </c>
      <c r="D174" t="inlineStr">
        <is>
          <t>GOTLANDS LÄN</t>
        </is>
      </c>
      <c r="E174" t="inlineStr">
        <is>
          <t>GOTLAND</t>
        </is>
      </c>
      <c r="G174" t="n">
        <v>2.8</v>
      </c>
      <c r="H174" t="n">
        <v>0</v>
      </c>
      <c r="I174" t="n">
        <v>0</v>
      </c>
      <c r="J174" t="n">
        <v>0</v>
      </c>
      <c r="K174" t="n">
        <v>1</v>
      </c>
      <c r="L174" t="n">
        <v>0</v>
      </c>
      <c r="M174" t="n">
        <v>0</v>
      </c>
      <c r="N174" t="n">
        <v>0</v>
      </c>
      <c r="O174" t="n">
        <v>1</v>
      </c>
      <c r="P174" t="n">
        <v>1</v>
      </c>
      <c r="Q174" t="n">
        <v>1</v>
      </c>
      <c r="R174" s="2" t="inlineStr">
        <is>
          <t>Violettfläckig spindling</t>
        </is>
      </c>
      <c r="S174">
        <f>HYPERLINK("https://klasma.github.io/Logging_0980/artfynd/A 10995-2023 artfynd.xlsx", "A 10995-2023")</f>
        <v/>
      </c>
      <c r="T174">
        <f>HYPERLINK("https://klasma.github.io/Logging_0980/kartor/A 10995-2023 karta.png", "A 10995-2023")</f>
        <v/>
      </c>
      <c r="V174">
        <f>HYPERLINK("https://klasma.github.io/Logging_0980/klagomål/A 10995-2023 FSC-klagomål.docx", "A 10995-2023")</f>
        <v/>
      </c>
      <c r="W174">
        <f>HYPERLINK("https://klasma.github.io/Logging_0980/klagomålsmail/A 10995-2023 FSC-klagomål mail.docx", "A 10995-2023")</f>
        <v/>
      </c>
      <c r="X174">
        <f>HYPERLINK("https://klasma.github.io/Logging_0980/tillsyn/A 10995-2023 tillsynsbegäran.docx", "A 10995-2023")</f>
        <v/>
      </c>
      <c r="Y174">
        <f>HYPERLINK("https://klasma.github.io/Logging_0980/tillsynsmail/A 10995-2023 tillsynsbegäran mail.docx", "A 10995-2023")</f>
        <v/>
      </c>
    </row>
    <row r="175" ht="15" customHeight="1">
      <c r="A175" t="inlineStr">
        <is>
          <t>A 63576-2021</t>
        </is>
      </c>
      <c r="B175" s="1" t="n">
        <v>44508</v>
      </c>
      <c r="C175" s="1" t="n">
        <v>46004</v>
      </c>
      <c r="D175" t="inlineStr">
        <is>
          <t>GOTLANDS LÄN</t>
        </is>
      </c>
      <c r="E175" t="inlineStr">
        <is>
          <t>GOTLAND</t>
        </is>
      </c>
      <c r="F175" t="inlineStr">
        <is>
          <t>Kyrkan</t>
        </is>
      </c>
      <c r="G175" t="n">
        <v>4.1</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63576-2021 artfynd.xlsx", "A 63576-2021")</f>
        <v/>
      </c>
      <c r="T175">
        <f>HYPERLINK("https://klasma.github.io/Logging_0980/kartor/A 63576-2021 karta.png", "A 63576-2021")</f>
        <v/>
      </c>
      <c r="V175">
        <f>HYPERLINK("https://klasma.github.io/Logging_0980/klagomål/A 63576-2021 FSC-klagomål.docx", "A 63576-2021")</f>
        <v/>
      </c>
      <c r="W175">
        <f>HYPERLINK("https://klasma.github.io/Logging_0980/klagomålsmail/A 63576-2021 FSC-klagomål mail.docx", "A 63576-2021")</f>
        <v/>
      </c>
      <c r="X175">
        <f>HYPERLINK("https://klasma.github.io/Logging_0980/tillsyn/A 63576-2021 tillsynsbegäran.docx", "A 63576-2021")</f>
        <v/>
      </c>
      <c r="Y175">
        <f>HYPERLINK("https://klasma.github.io/Logging_0980/tillsynsmail/A 63576-2021 tillsynsbegäran mail.docx", "A 63576-2021")</f>
        <v/>
      </c>
    </row>
    <row r="176" ht="15" customHeight="1">
      <c r="A176" t="inlineStr">
        <is>
          <t>A 44619-2025</t>
        </is>
      </c>
      <c r="B176" s="1" t="n">
        <v>45917</v>
      </c>
      <c r="C176" s="1" t="n">
        <v>46004</v>
      </c>
      <c r="D176" t="inlineStr">
        <is>
          <t>GOTLANDS LÄN</t>
        </is>
      </c>
      <c r="E176" t="inlineStr">
        <is>
          <t>GOTLAND</t>
        </is>
      </c>
      <c r="G176" t="n">
        <v>4.3</v>
      </c>
      <c r="H176" t="n">
        <v>0</v>
      </c>
      <c r="I176" t="n">
        <v>1</v>
      </c>
      <c r="J176" t="n">
        <v>0</v>
      </c>
      <c r="K176" t="n">
        <v>0</v>
      </c>
      <c r="L176" t="n">
        <v>0</v>
      </c>
      <c r="M176" t="n">
        <v>0</v>
      </c>
      <c r="N176" t="n">
        <v>0</v>
      </c>
      <c r="O176" t="n">
        <v>0</v>
      </c>
      <c r="P176" t="n">
        <v>0</v>
      </c>
      <c r="Q176" t="n">
        <v>1</v>
      </c>
      <c r="R176" s="2" t="inlineStr">
        <is>
          <t>Ögonpyrola</t>
        </is>
      </c>
      <c r="S176">
        <f>HYPERLINK("https://klasma.github.io/Logging_0980/artfynd/A 44619-2025 artfynd.xlsx", "A 44619-2025")</f>
        <v/>
      </c>
      <c r="T176">
        <f>HYPERLINK("https://klasma.github.io/Logging_0980/kartor/A 44619-2025 karta.png", "A 44619-2025")</f>
        <v/>
      </c>
      <c r="V176">
        <f>HYPERLINK("https://klasma.github.io/Logging_0980/klagomål/A 44619-2025 FSC-klagomål.docx", "A 44619-2025")</f>
        <v/>
      </c>
      <c r="W176">
        <f>HYPERLINK("https://klasma.github.io/Logging_0980/klagomålsmail/A 44619-2025 FSC-klagomål mail.docx", "A 44619-2025")</f>
        <v/>
      </c>
      <c r="X176">
        <f>HYPERLINK("https://klasma.github.io/Logging_0980/tillsyn/A 44619-2025 tillsynsbegäran.docx", "A 44619-2025")</f>
        <v/>
      </c>
      <c r="Y176">
        <f>HYPERLINK("https://klasma.github.io/Logging_0980/tillsynsmail/A 44619-2025 tillsynsbegäran mail.docx", "A 44619-2025")</f>
        <v/>
      </c>
    </row>
    <row r="177" ht="15" customHeight="1">
      <c r="A177" t="inlineStr">
        <is>
          <t>A 21466-2025</t>
        </is>
      </c>
      <c r="B177" s="1" t="n">
        <v>45782</v>
      </c>
      <c r="C177" s="1" t="n">
        <v>46004</v>
      </c>
      <c r="D177" t="inlineStr">
        <is>
          <t>GOTLANDS LÄN</t>
        </is>
      </c>
      <c r="E177" t="inlineStr">
        <is>
          <t>GOTLAND</t>
        </is>
      </c>
      <c r="F177" t="inlineStr">
        <is>
          <t>Övriga statliga verk och myndigheter</t>
        </is>
      </c>
      <c r="G177" t="n">
        <v>1.7</v>
      </c>
      <c r="H177" t="n">
        <v>1</v>
      </c>
      <c r="I177" t="n">
        <v>0</v>
      </c>
      <c r="J177" t="n">
        <v>0</v>
      </c>
      <c r="K177" t="n">
        <v>0</v>
      </c>
      <c r="L177" t="n">
        <v>0</v>
      </c>
      <c r="M177" t="n">
        <v>0</v>
      </c>
      <c r="N177" t="n">
        <v>0</v>
      </c>
      <c r="O177" t="n">
        <v>0</v>
      </c>
      <c r="P177" t="n">
        <v>0</v>
      </c>
      <c r="Q177" t="n">
        <v>1</v>
      </c>
      <c r="R177" s="2" t="inlineStr">
        <is>
          <t>Blåsippa</t>
        </is>
      </c>
      <c r="S177">
        <f>HYPERLINK("https://klasma.github.io/Logging_0980/artfynd/A 21466-2025 artfynd.xlsx", "A 21466-2025")</f>
        <v/>
      </c>
      <c r="T177">
        <f>HYPERLINK("https://klasma.github.io/Logging_0980/kartor/A 21466-2025 karta.png", "A 21466-2025")</f>
        <v/>
      </c>
      <c r="V177">
        <f>HYPERLINK("https://klasma.github.io/Logging_0980/klagomål/A 21466-2025 FSC-klagomål.docx", "A 21466-2025")</f>
        <v/>
      </c>
      <c r="W177">
        <f>HYPERLINK("https://klasma.github.io/Logging_0980/klagomålsmail/A 21466-2025 FSC-klagomål mail.docx", "A 21466-2025")</f>
        <v/>
      </c>
      <c r="X177">
        <f>HYPERLINK("https://klasma.github.io/Logging_0980/tillsyn/A 21466-2025 tillsynsbegäran.docx", "A 21466-2025")</f>
        <v/>
      </c>
      <c r="Y177">
        <f>HYPERLINK("https://klasma.github.io/Logging_0980/tillsynsmail/A 21466-2025 tillsynsbegäran mail.docx", "A 21466-2025")</f>
        <v/>
      </c>
    </row>
    <row r="178" ht="15" customHeight="1">
      <c r="A178" t="inlineStr">
        <is>
          <t>A 10440-2024</t>
        </is>
      </c>
      <c r="B178" s="1" t="n">
        <v>45366.32818287037</v>
      </c>
      <c r="C178" s="1" t="n">
        <v>46004</v>
      </c>
      <c r="D178" t="inlineStr">
        <is>
          <t>GOTLANDS LÄN</t>
        </is>
      </c>
      <c r="E178" t="inlineStr">
        <is>
          <t>GOTLAND</t>
        </is>
      </c>
      <c r="G178" t="n">
        <v>2.5</v>
      </c>
      <c r="H178" t="n">
        <v>1</v>
      </c>
      <c r="I178" t="n">
        <v>0</v>
      </c>
      <c r="J178" t="n">
        <v>1</v>
      </c>
      <c r="K178" t="n">
        <v>0</v>
      </c>
      <c r="L178" t="n">
        <v>0</v>
      </c>
      <c r="M178" t="n">
        <v>0</v>
      </c>
      <c r="N178" t="n">
        <v>0</v>
      </c>
      <c r="O178" t="n">
        <v>1</v>
      </c>
      <c r="P178" t="n">
        <v>0</v>
      </c>
      <c r="Q178" t="n">
        <v>1</v>
      </c>
      <c r="R178" s="2" t="inlineStr">
        <is>
          <t>Mindre hackspett</t>
        </is>
      </c>
      <c r="S178">
        <f>HYPERLINK("https://klasma.github.io/Logging_0980/artfynd/A 10440-2024 artfynd.xlsx", "A 10440-2024")</f>
        <v/>
      </c>
      <c r="T178">
        <f>HYPERLINK("https://klasma.github.io/Logging_0980/kartor/A 10440-2024 karta.png", "A 10440-2024")</f>
        <v/>
      </c>
      <c r="V178">
        <f>HYPERLINK("https://klasma.github.io/Logging_0980/klagomål/A 10440-2024 FSC-klagomål.docx", "A 10440-2024")</f>
        <v/>
      </c>
      <c r="W178">
        <f>HYPERLINK("https://klasma.github.io/Logging_0980/klagomålsmail/A 10440-2024 FSC-klagomål mail.docx", "A 10440-2024")</f>
        <v/>
      </c>
      <c r="X178">
        <f>HYPERLINK("https://klasma.github.io/Logging_0980/tillsyn/A 10440-2024 tillsynsbegäran.docx", "A 10440-2024")</f>
        <v/>
      </c>
      <c r="Y178">
        <f>HYPERLINK("https://klasma.github.io/Logging_0980/tillsynsmail/A 10440-2024 tillsynsbegäran mail.docx", "A 10440-2024")</f>
        <v/>
      </c>
      <c r="Z178">
        <f>HYPERLINK("https://klasma.github.io/Logging_0980/fåglar/A 10440-2024 prioriterade fågelarter.docx", "A 10440-2024")</f>
        <v/>
      </c>
    </row>
    <row r="179" ht="15" customHeight="1">
      <c r="A179" t="inlineStr">
        <is>
          <t>A 20429-2025</t>
        </is>
      </c>
      <c r="B179" s="1" t="n">
        <v>45775.47728009259</v>
      </c>
      <c r="C179" s="1" t="n">
        <v>46004</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46004</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49726-2025</t>
        </is>
      </c>
      <c r="B181" s="1" t="n">
        <v>45939.84466435185</v>
      </c>
      <c r="C181" s="1" t="n">
        <v>46004</v>
      </c>
      <c r="D181" t="inlineStr">
        <is>
          <t>GOTLANDS LÄN</t>
        </is>
      </c>
      <c r="E181" t="inlineStr">
        <is>
          <t>GOTLAND</t>
        </is>
      </c>
      <c r="F181" t="inlineStr">
        <is>
          <t>Kyrkan</t>
        </is>
      </c>
      <c r="G181" t="n">
        <v>5.4</v>
      </c>
      <c r="H181" t="n">
        <v>0</v>
      </c>
      <c r="I181" t="n">
        <v>0</v>
      </c>
      <c r="J181" t="n">
        <v>1</v>
      </c>
      <c r="K181" t="n">
        <v>0</v>
      </c>
      <c r="L181" t="n">
        <v>0</v>
      </c>
      <c r="M181" t="n">
        <v>0</v>
      </c>
      <c r="N181" t="n">
        <v>0</v>
      </c>
      <c r="O181" t="n">
        <v>1</v>
      </c>
      <c r="P181" t="n">
        <v>0</v>
      </c>
      <c r="Q181" t="n">
        <v>1</v>
      </c>
      <c r="R181" s="2" t="inlineStr">
        <is>
          <t>Odörspindling</t>
        </is>
      </c>
      <c r="S181">
        <f>HYPERLINK("https://klasma.github.io/Logging_0980/artfynd/A 49726-2025 artfynd.xlsx", "A 49726-2025")</f>
        <v/>
      </c>
      <c r="T181">
        <f>HYPERLINK("https://klasma.github.io/Logging_0980/kartor/A 49726-2025 karta.png", "A 49726-2025")</f>
        <v/>
      </c>
      <c r="V181">
        <f>HYPERLINK("https://klasma.github.io/Logging_0980/klagomål/A 49726-2025 FSC-klagomål.docx", "A 49726-2025")</f>
        <v/>
      </c>
      <c r="W181">
        <f>HYPERLINK("https://klasma.github.io/Logging_0980/klagomålsmail/A 49726-2025 FSC-klagomål mail.docx", "A 49726-2025")</f>
        <v/>
      </c>
      <c r="X181">
        <f>HYPERLINK("https://klasma.github.io/Logging_0980/tillsyn/A 49726-2025 tillsynsbegäran.docx", "A 49726-2025")</f>
        <v/>
      </c>
      <c r="Y181">
        <f>HYPERLINK("https://klasma.github.io/Logging_0980/tillsynsmail/A 49726-2025 tillsynsbegäran mail.docx", "A 49726-2025")</f>
        <v/>
      </c>
    </row>
    <row r="182" ht="15" customHeight="1">
      <c r="A182" t="inlineStr">
        <is>
          <t>A 9862-2024</t>
        </is>
      </c>
      <c r="B182" s="1" t="n">
        <v>45363</v>
      </c>
      <c r="C182" s="1" t="n">
        <v>46004</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46004</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12924-2025</t>
        </is>
      </c>
      <c r="B184" s="1" t="n">
        <v>45734</v>
      </c>
      <c r="C184" s="1" t="n">
        <v>46004</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13939-2021</t>
        </is>
      </c>
      <c r="B185" s="1" t="n">
        <v>44277</v>
      </c>
      <c r="C185" s="1" t="n">
        <v>46004</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19901-2021</t>
        </is>
      </c>
      <c r="B186" s="1" t="n">
        <v>44312</v>
      </c>
      <c r="C186" s="1" t="n">
        <v>46004</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46004</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46004</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46004</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46004</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46004</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46004</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46004</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46004</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46004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11402-2021</t>
        </is>
      </c>
      <c r="B198" s="1" t="n">
        <v>44263</v>
      </c>
      <c r="C198" s="1" t="n">
        <v>46004</v>
      </c>
      <c r="D198" t="inlineStr">
        <is>
          <t>GOTLANDS LÄN</t>
        </is>
      </c>
      <c r="E198" t="inlineStr">
        <is>
          <t>GOTLAND</t>
        </is>
      </c>
      <c r="G198" t="n">
        <v>2.9</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46004</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46004</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46004</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46004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8700-2021</t>
        </is>
      </c>
      <c r="B203" s="1" t="n">
        <v>44246</v>
      </c>
      <c r="C203" s="1" t="n">
        <v>46004</v>
      </c>
      <c r="D203" t="inlineStr">
        <is>
          <t>GOTLANDS LÄN</t>
        </is>
      </c>
      <c r="E203" t="inlineStr">
        <is>
          <t>GOTLAND</t>
        </is>
      </c>
      <c r="G203" t="n">
        <v>0.1</v>
      </c>
      <c r="H203" t="n">
        <v>0</v>
      </c>
      <c r="I203" t="n">
        <v>0</v>
      </c>
      <c r="J203" t="n">
        <v>0</v>
      </c>
      <c r="K203" t="n">
        <v>0</v>
      </c>
      <c r="L203" t="n">
        <v>0</v>
      </c>
      <c r="M203" t="n">
        <v>0</v>
      </c>
      <c r="N203" t="n">
        <v>0</v>
      </c>
      <c r="O203" t="n">
        <v>0</v>
      </c>
      <c r="P203" t="n">
        <v>0</v>
      </c>
      <c r="Q203" t="n">
        <v>0</v>
      </c>
      <c r="R203" s="2" t="inlineStr"/>
    </row>
    <row r="204" ht="15" customHeight="1">
      <c r="A204" t="inlineStr">
        <is>
          <t>A 25199-2021</t>
        </is>
      </c>
      <c r="B204" s="1" t="n">
        <v>44342</v>
      </c>
      <c r="C204" s="1" t="n">
        <v>46004</v>
      </c>
      <c r="D204" t="inlineStr">
        <is>
          <t>GOTLANDS LÄN</t>
        </is>
      </c>
      <c r="E204" t="inlineStr">
        <is>
          <t>GOTLAND</t>
        </is>
      </c>
      <c r="G204" t="n">
        <v>1.6</v>
      </c>
      <c r="H204" t="n">
        <v>0</v>
      </c>
      <c r="I204" t="n">
        <v>0</v>
      </c>
      <c r="J204" t="n">
        <v>0</v>
      </c>
      <c r="K204" t="n">
        <v>0</v>
      </c>
      <c r="L204" t="n">
        <v>0</v>
      </c>
      <c r="M204" t="n">
        <v>0</v>
      </c>
      <c r="N204" t="n">
        <v>0</v>
      </c>
      <c r="O204" t="n">
        <v>0</v>
      </c>
      <c r="P204" t="n">
        <v>0</v>
      </c>
      <c r="Q204" t="n">
        <v>0</v>
      </c>
      <c r="R204" s="2" t="inlineStr"/>
    </row>
    <row r="205" ht="15" customHeight="1">
      <c r="A205" t="inlineStr">
        <is>
          <t>A 12318-2021</t>
        </is>
      </c>
      <c r="B205" s="1" t="n">
        <v>44266</v>
      </c>
      <c r="C205" s="1" t="n">
        <v>46004</v>
      </c>
      <c r="D205" t="inlineStr">
        <is>
          <t>GOTLANDS LÄN</t>
        </is>
      </c>
      <c r="E205" t="inlineStr">
        <is>
          <t>GOTLAND</t>
        </is>
      </c>
      <c r="G205" t="n">
        <v>1</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46004</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46004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46004</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60607-2021</t>
        </is>
      </c>
      <c r="B210" s="1" t="n">
        <v>44496.58627314815</v>
      </c>
      <c r="C210" s="1" t="n">
        <v>46004</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46004</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46004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46004</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46004</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46004</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46004</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32647-2021</t>
        </is>
      </c>
      <c r="B217" s="1" t="n">
        <v>44375</v>
      </c>
      <c r="C217" s="1" t="n">
        <v>46004</v>
      </c>
      <c r="D217" t="inlineStr">
        <is>
          <t>GOTLANDS LÄN</t>
        </is>
      </c>
      <c r="E217" t="inlineStr">
        <is>
          <t>GOTLAND</t>
        </is>
      </c>
      <c r="G217" t="n">
        <v>1.7</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46004</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46004</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46004</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46004</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46004</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46004</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46004</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46004</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46004</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46004</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46004</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46004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46004</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46004</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46004</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46004</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46004</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46004</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46004</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46004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46004</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46004</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27694-2024</t>
        </is>
      </c>
      <c r="B240" s="1" t="n">
        <v>45475</v>
      </c>
      <c r="C240" s="1" t="n">
        <v>46004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46004</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39764-2022</t>
        </is>
      </c>
      <c r="B242" s="1" t="n">
        <v>44819</v>
      </c>
      <c r="C242" s="1" t="n">
        <v>46004</v>
      </c>
      <c r="D242" t="inlineStr">
        <is>
          <t>GOTLANDS LÄN</t>
        </is>
      </c>
      <c r="E242" t="inlineStr">
        <is>
          <t>GOTLAND</t>
        </is>
      </c>
      <c r="F242" t="inlineStr">
        <is>
          <t>Kyrkan</t>
        </is>
      </c>
      <c r="G242" t="n">
        <v>3.7</v>
      </c>
      <c r="H242" t="n">
        <v>0</v>
      </c>
      <c r="I242" t="n">
        <v>0</v>
      </c>
      <c r="J242" t="n">
        <v>0</v>
      </c>
      <c r="K242" t="n">
        <v>0</v>
      </c>
      <c r="L242" t="n">
        <v>0</v>
      </c>
      <c r="M242" t="n">
        <v>0</v>
      </c>
      <c r="N242" t="n">
        <v>0</v>
      </c>
      <c r="O242" t="n">
        <v>0</v>
      </c>
      <c r="P242" t="n">
        <v>0</v>
      </c>
      <c r="Q242" t="n">
        <v>0</v>
      </c>
      <c r="R242" s="2" t="inlineStr"/>
    </row>
    <row r="243" ht="15" customHeight="1">
      <c r="A243" t="inlineStr">
        <is>
          <t>A 6099-2024</t>
        </is>
      </c>
      <c r="B243" s="1" t="n">
        <v>45337</v>
      </c>
      <c r="C243" s="1" t="n">
        <v>46004</v>
      </c>
      <c r="D243" t="inlineStr">
        <is>
          <t>GOTLANDS LÄN</t>
        </is>
      </c>
      <c r="E243" t="inlineStr">
        <is>
          <t>GOTLAND</t>
        </is>
      </c>
      <c r="G243" t="n">
        <v>12.6</v>
      </c>
      <c r="H243" t="n">
        <v>0</v>
      </c>
      <c r="I243" t="n">
        <v>0</v>
      </c>
      <c r="J243" t="n">
        <v>0</v>
      </c>
      <c r="K243" t="n">
        <v>0</v>
      </c>
      <c r="L243" t="n">
        <v>0</v>
      </c>
      <c r="M243" t="n">
        <v>0</v>
      </c>
      <c r="N243" t="n">
        <v>0</v>
      </c>
      <c r="O243" t="n">
        <v>0</v>
      </c>
      <c r="P243" t="n">
        <v>0</v>
      </c>
      <c r="Q243" t="n">
        <v>0</v>
      </c>
      <c r="R243" s="2" t="inlineStr"/>
    </row>
    <row r="244" ht="15" customHeight="1">
      <c r="A244" t="inlineStr">
        <is>
          <t>A 8260-2023</t>
        </is>
      </c>
      <c r="B244" s="1" t="n">
        <v>44974.61608796296</v>
      </c>
      <c r="C244" s="1" t="n">
        <v>46004</v>
      </c>
      <c r="D244" t="inlineStr">
        <is>
          <t>GOTLANDS LÄN</t>
        </is>
      </c>
      <c r="E244" t="inlineStr">
        <is>
          <t>GOTLAND</t>
        </is>
      </c>
      <c r="G244" t="n">
        <v>2.9</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46004</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25129-2023</t>
        </is>
      </c>
      <c r="B246" s="1" t="n">
        <v>45086.44261574074</v>
      </c>
      <c r="C246" s="1" t="n">
        <v>46004</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22287-2022</t>
        </is>
      </c>
      <c r="B247" s="1" t="n">
        <v>44712</v>
      </c>
      <c r="C247" s="1" t="n">
        <v>46004</v>
      </c>
      <c r="D247" t="inlineStr">
        <is>
          <t>GOTLANDS LÄN</t>
        </is>
      </c>
      <c r="E247" t="inlineStr">
        <is>
          <t>GOTLAND</t>
        </is>
      </c>
      <c r="G247" t="n">
        <v>6.1</v>
      </c>
      <c r="H247" t="n">
        <v>0</v>
      </c>
      <c r="I247" t="n">
        <v>0</v>
      </c>
      <c r="J247" t="n">
        <v>0</v>
      </c>
      <c r="K247" t="n">
        <v>0</v>
      </c>
      <c r="L247" t="n">
        <v>0</v>
      </c>
      <c r="M247" t="n">
        <v>0</v>
      </c>
      <c r="N247" t="n">
        <v>0</v>
      </c>
      <c r="O247" t="n">
        <v>0</v>
      </c>
      <c r="P247" t="n">
        <v>0</v>
      </c>
      <c r="Q247" t="n">
        <v>0</v>
      </c>
      <c r="R247" s="2" t="inlineStr"/>
    </row>
    <row r="248" ht="15" customHeight="1">
      <c r="A248" t="inlineStr">
        <is>
          <t>A 57534-2022</t>
        </is>
      </c>
      <c r="B248" s="1" t="n">
        <v>44896</v>
      </c>
      <c r="C248" s="1" t="n">
        <v>46004</v>
      </c>
      <c r="D248" t="inlineStr">
        <is>
          <t>GOTLANDS LÄN</t>
        </is>
      </c>
      <c r="E248" t="inlineStr">
        <is>
          <t>GOTLAND</t>
        </is>
      </c>
      <c r="G248" t="n">
        <v>0.6</v>
      </c>
      <c r="H248" t="n">
        <v>0</v>
      </c>
      <c r="I248" t="n">
        <v>0</v>
      </c>
      <c r="J248" t="n">
        <v>0</v>
      </c>
      <c r="K248" t="n">
        <v>0</v>
      </c>
      <c r="L248" t="n">
        <v>0</v>
      </c>
      <c r="M248" t="n">
        <v>0</v>
      </c>
      <c r="N248" t="n">
        <v>0</v>
      </c>
      <c r="O248" t="n">
        <v>0</v>
      </c>
      <c r="P248" t="n">
        <v>0</v>
      </c>
      <c r="Q248" t="n">
        <v>0</v>
      </c>
      <c r="R248" s="2" t="inlineStr"/>
    </row>
    <row r="249" ht="15" customHeight="1">
      <c r="A249" t="inlineStr">
        <is>
          <t>A 17901-2023</t>
        </is>
      </c>
      <c r="B249" s="1" t="n">
        <v>45039</v>
      </c>
      <c r="C249" s="1" t="n">
        <v>46004</v>
      </c>
      <c r="D249" t="inlineStr">
        <is>
          <t>GOTLANDS LÄN</t>
        </is>
      </c>
      <c r="E249" t="inlineStr">
        <is>
          <t>GOTLAND</t>
        </is>
      </c>
      <c r="F249" t="inlineStr">
        <is>
          <t>Kyrkan</t>
        </is>
      </c>
      <c r="G249" t="n">
        <v>0.6</v>
      </c>
      <c r="H249" t="n">
        <v>0</v>
      </c>
      <c r="I249" t="n">
        <v>0</v>
      </c>
      <c r="J249" t="n">
        <v>0</v>
      </c>
      <c r="K249" t="n">
        <v>0</v>
      </c>
      <c r="L249" t="n">
        <v>0</v>
      </c>
      <c r="M249" t="n">
        <v>0</v>
      </c>
      <c r="N249" t="n">
        <v>0</v>
      </c>
      <c r="O249" t="n">
        <v>0</v>
      </c>
      <c r="P249" t="n">
        <v>0</v>
      </c>
      <c r="Q249" t="n">
        <v>0</v>
      </c>
      <c r="R249" s="2" t="inlineStr"/>
    </row>
    <row r="250" ht="15" customHeight="1">
      <c r="A250" t="inlineStr">
        <is>
          <t>A 456-2023</t>
        </is>
      </c>
      <c r="B250" s="1" t="n">
        <v>44929.87122685185</v>
      </c>
      <c r="C250" s="1" t="n">
        <v>46004</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46004</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64660-2023</t>
        </is>
      </c>
      <c r="B252" s="1" t="n">
        <v>45281.60122685185</v>
      </c>
      <c r="C252" s="1" t="n">
        <v>46004</v>
      </c>
      <c r="D252" t="inlineStr">
        <is>
          <t>GOTLANDS LÄN</t>
        </is>
      </c>
      <c r="E252" t="inlineStr">
        <is>
          <t>GOTLAND</t>
        </is>
      </c>
      <c r="G252" t="n">
        <v>6.3</v>
      </c>
      <c r="H252" t="n">
        <v>0</v>
      </c>
      <c r="I252" t="n">
        <v>0</v>
      </c>
      <c r="J252" t="n">
        <v>0</v>
      </c>
      <c r="K252" t="n">
        <v>0</v>
      </c>
      <c r="L252" t="n">
        <v>0</v>
      </c>
      <c r="M252" t="n">
        <v>0</v>
      </c>
      <c r="N252" t="n">
        <v>0</v>
      </c>
      <c r="O252" t="n">
        <v>0</v>
      </c>
      <c r="P252" t="n">
        <v>0</v>
      </c>
      <c r="Q252" t="n">
        <v>0</v>
      </c>
      <c r="R252" s="2" t="inlineStr"/>
    </row>
    <row r="253" ht="15" customHeight="1">
      <c r="A253" t="inlineStr">
        <is>
          <t>A 56009-2024</t>
        </is>
      </c>
      <c r="B253" s="1" t="n">
        <v>45623.80864583333</v>
      </c>
      <c r="C253" s="1" t="n">
        <v>46004</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54073-2022</t>
        </is>
      </c>
      <c r="B254" s="1" t="n">
        <v>44881.50380787037</v>
      </c>
      <c r="C254" s="1" t="n">
        <v>46004</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58476-2022</t>
        </is>
      </c>
      <c r="B255" s="1" t="n">
        <v>44902</v>
      </c>
      <c r="C255" s="1" t="n">
        <v>46004</v>
      </c>
      <c r="D255" t="inlineStr">
        <is>
          <t>GOTLANDS LÄN</t>
        </is>
      </c>
      <c r="E255" t="inlineStr">
        <is>
          <t>GOTLAND</t>
        </is>
      </c>
      <c r="G255" t="n">
        <v>0.9</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46004</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46004</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45106-2024</t>
        </is>
      </c>
      <c r="B258" s="1" t="n">
        <v>45575</v>
      </c>
      <c r="C258" s="1" t="n">
        <v>46004</v>
      </c>
      <c r="D258" t="inlineStr">
        <is>
          <t>GOTLANDS LÄN</t>
        </is>
      </c>
      <c r="E258" t="inlineStr">
        <is>
          <t>GOTLAND</t>
        </is>
      </c>
      <c r="G258" t="n">
        <v>10</v>
      </c>
      <c r="H258" t="n">
        <v>0</v>
      </c>
      <c r="I258" t="n">
        <v>0</v>
      </c>
      <c r="J258" t="n">
        <v>0</v>
      </c>
      <c r="K258" t="n">
        <v>0</v>
      </c>
      <c r="L258" t="n">
        <v>0</v>
      </c>
      <c r="M258" t="n">
        <v>0</v>
      </c>
      <c r="N258" t="n">
        <v>0</v>
      </c>
      <c r="O258" t="n">
        <v>0</v>
      </c>
      <c r="P258" t="n">
        <v>0</v>
      </c>
      <c r="Q258" t="n">
        <v>0</v>
      </c>
      <c r="R258" s="2" t="inlineStr"/>
    </row>
    <row r="259" ht="15" customHeight="1">
      <c r="A259" t="inlineStr">
        <is>
          <t>A 45112-2024</t>
        </is>
      </c>
      <c r="B259" s="1" t="n">
        <v>45575</v>
      </c>
      <c r="C259" s="1" t="n">
        <v>46004</v>
      </c>
      <c r="D259" t="inlineStr">
        <is>
          <t>GOTLANDS LÄN</t>
        </is>
      </c>
      <c r="E259" t="inlineStr">
        <is>
          <t>GOTLAND</t>
        </is>
      </c>
      <c r="G259" t="n">
        <v>5.1</v>
      </c>
      <c r="H259" t="n">
        <v>0</v>
      </c>
      <c r="I259" t="n">
        <v>0</v>
      </c>
      <c r="J259" t="n">
        <v>0</v>
      </c>
      <c r="K259" t="n">
        <v>0</v>
      </c>
      <c r="L259" t="n">
        <v>0</v>
      </c>
      <c r="M259" t="n">
        <v>0</v>
      </c>
      <c r="N259" t="n">
        <v>0</v>
      </c>
      <c r="O259" t="n">
        <v>0</v>
      </c>
      <c r="P259" t="n">
        <v>0</v>
      </c>
      <c r="Q259" t="n">
        <v>0</v>
      </c>
      <c r="R259" s="2" t="inlineStr"/>
    </row>
    <row r="260" ht="15" customHeight="1">
      <c r="A260" t="inlineStr">
        <is>
          <t>A 14797-2024</t>
        </is>
      </c>
      <c r="B260" s="1" t="n">
        <v>45397.87030092593</v>
      </c>
      <c r="C260" s="1" t="n">
        <v>46004</v>
      </c>
      <c r="D260" t="inlineStr">
        <is>
          <t>GOTLANDS LÄN</t>
        </is>
      </c>
      <c r="E260" t="inlineStr">
        <is>
          <t>GOTLAND</t>
        </is>
      </c>
      <c r="G260" t="n">
        <v>8.1</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46004</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20855-2023</t>
        </is>
      </c>
      <c r="B262" s="1" t="n">
        <v>45058.82172453704</v>
      </c>
      <c r="C262" s="1" t="n">
        <v>46004</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44968.30340277778</v>
      </c>
      <c r="C263" s="1" t="n">
        <v>46004</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27095-2022</t>
        </is>
      </c>
      <c r="B264" s="1" t="n">
        <v>44741</v>
      </c>
      <c r="C264" s="1" t="n">
        <v>46004</v>
      </c>
      <c r="D264" t="inlineStr">
        <is>
          <t>GOTLANDS LÄN</t>
        </is>
      </c>
      <c r="E264" t="inlineStr">
        <is>
          <t>GOTLAND</t>
        </is>
      </c>
      <c r="F264" t="inlineStr">
        <is>
          <t>Övriga Aktiebolag</t>
        </is>
      </c>
      <c r="G264" t="n">
        <v>2.9</v>
      </c>
      <c r="H264" t="n">
        <v>0</v>
      </c>
      <c r="I264" t="n">
        <v>0</v>
      </c>
      <c r="J264" t="n">
        <v>0</v>
      </c>
      <c r="K264" t="n">
        <v>0</v>
      </c>
      <c r="L264" t="n">
        <v>0</v>
      </c>
      <c r="M264" t="n">
        <v>0</v>
      </c>
      <c r="N264" t="n">
        <v>0</v>
      </c>
      <c r="O264" t="n">
        <v>0</v>
      </c>
      <c r="P264" t="n">
        <v>0</v>
      </c>
      <c r="Q264" t="n">
        <v>0</v>
      </c>
      <c r="R264" s="2" t="inlineStr"/>
    </row>
    <row r="265" ht="15" customHeight="1">
      <c r="A265" t="inlineStr">
        <is>
          <t>A 458-2023</t>
        </is>
      </c>
      <c r="B265" s="1" t="n">
        <v>44929</v>
      </c>
      <c r="C265" s="1" t="n">
        <v>46004</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44936.47561342592</v>
      </c>
      <c r="C266" s="1" t="n">
        <v>46004</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52892-2021</t>
        </is>
      </c>
      <c r="B267" s="1" t="n">
        <v>44467.49048611111</v>
      </c>
      <c r="C267" s="1" t="n">
        <v>46004</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60709-2023</t>
        </is>
      </c>
      <c r="B268" s="1" t="n">
        <v>45260</v>
      </c>
      <c r="C268" s="1" t="n">
        <v>46004</v>
      </c>
      <c r="D268" t="inlineStr">
        <is>
          <t>GOTLANDS LÄN</t>
        </is>
      </c>
      <c r="E268" t="inlineStr">
        <is>
          <t>GOTLAND</t>
        </is>
      </c>
      <c r="G268" t="n">
        <v>1.7</v>
      </c>
      <c r="H268" t="n">
        <v>0</v>
      </c>
      <c r="I268" t="n">
        <v>0</v>
      </c>
      <c r="J268" t="n">
        <v>0</v>
      </c>
      <c r="K268" t="n">
        <v>0</v>
      </c>
      <c r="L268" t="n">
        <v>0</v>
      </c>
      <c r="M268" t="n">
        <v>0</v>
      </c>
      <c r="N268" t="n">
        <v>0</v>
      </c>
      <c r="O268" t="n">
        <v>0</v>
      </c>
      <c r="P268" t="n">
        <v>0</v>
      </c>
      <c r="Q268" t="n">
        <v>0</v>
      </c>
      <c r="R268" s="2" t="inlineStr"/>
    </row>
    <row r="269" ht="15" customHeight="1">
      <c r="A269" t="inlineStr">
        <is>
          <t>A 1351-2025</t>
        </is>
      </c>
      <c r="B269" s="1" t="n">
        <v>45667.62246527777</v>
      </c>
      <c r="C269" s="1" t="n">
        <v>46004</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1000-2024</t>
        </is>
      </c>
      <c r="B270" s="1" t="n">
        <v>45301.63371527778</v>
      </c>
      <c r="C270" s="1" t="n">
        <v>46004</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1010-2024</t>
        </is>
      </c>
      <c r="B271" s="1" t="n">
        <v>45301</v>
      </c>
      <c r="C271" s="1" t="n">
        <v>46004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65249-2023</t>
        </is>
      </c>
      <c r="B272" s="1" t="n">
        <v>45290</v>
      </c>
      <c r="C272" s="1" t="n">
        <v>46004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32330-2024</t>
        </is>
      </c>
      <c r="B273" s="1" t="n">
        <v>45512</v>
      </c>
      <c r="C273" s="1" t="n">
        <v>46004</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49874-2024</t>
        </is>
      </c>
      <c r="B274" s="1" t="n">
        <v>45597.49274305555</v>
      </c>
      <c r="C274" s="1" t="n">
        <v>46004</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7837-2024</t>
        </is>
      </c>
      <c r="B275" s="1" t="n">
        <v>45349.83787037037</v>
      </c>
      <c r="C275" s="1" t="n">
        <v>46004</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30956-2024</t>
        </is>
      </c>
      <c r="B276" s="1" t="n">
        <v>45499.42527777778</v>
      </c>
      <c r="C276" s="1" t="n">
        <v>46004</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5891-2025</t>
        </is>
      </c>
      <c r="B277" s="1" t="n">
        <v>45695.38327546296</v>
      </c>
      <c r="C277" s="1" t="n">
        <v>46004</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12596-2023</t>
        </is>
      </c>
      <c r="B278" s="1" t="n">
        <v>45000.43310185185</v>
      </c>
      <c r="C278" s="1" t="n">
        <v>46004</v>
      </c>
      <c r="D278" t="inlineStr">
        <is>
          <t>GOTLANDS LÄN</t>
        </is>
      </c>
      <c r="E278" t="inlineStr">
        <is>
          <t>GOTLAND</t>
        </is>
      </c>
      <c r="G278" t="n">
        <v>4.1</v>
      </c>
      <c r="H278" t="n">
        <v>0</v>
      </c>
      <c r="I278" t="n">
        <v>0</v>
      </c>
      <c r="J278" t="n">
        <v>0</v>
      </c>
      <c r="K278" t="n">
        <v>0</v>
      </c>
      <c r="L278" t="n">
        <v>0</v>
      </c>
      <c r="M278" t="n">
        <v>0</v>
      </c>
      <c r="N278" t="n">
        <v>0</v>
      </c>
      <c r="O278" t="n">
        <v>0</v>
      </c>
      <c r="P278" t="n">
        <v>0</v>
      </c>
      <c r="Q278" t="n">
        <v>0</v>
      </c>
      <c r="R278" s="2" t="inlineStr"/>
    </row>
    <row r="279" ht="15" customHeight="1">
      <c r="A279" t="inlineStr">
        <is>
          <t>A 1394-2023</t>
        </is>
      </c>
      <c r="B279" s="1" t="n">
        <v>44936.72997685185</v>
      </c>
      <c r="C279" s="1" t="n">
        <v>46004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2676-2023</t>
        </is>
      </c>
      <c r="B280" s="1" t="n">
        <v>44944</v>
      </c>
      <c r="C280" s="1" t="n">
        <v>46004</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4387-2023</t>
        </is>
      </c>
      <c r="B281" s="1" t="n">
        <v>44955.73359953704</v>
      </c>
      <c r="C281" s="1" t="n">
        <v>46004</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14804-2021</t>
        </is>
      </c>
      <c r="B282" s="1" t="n">
        <v>44280</v>
      </c>
      <c r="C282" s="1" t="n">
        <v>46004</v>
      </c>
      <c r="D282" t="inlineStr">
        <is>
          <t>GOTLANDS LÄN</t>
        </is>
      </c>
      <c r="E282" t="inlineStr">
        <is>
          <t>GOTLAND</t>
        </is>
      </c>
      <c r="G282" t="n">
        <v>2.2</v>
      </c>
      <c r="H282" t="n">
        <v>0</v>
      </c>
      <c r="I282" t="n">
        <v>0</v>
      </c>
      <c r="J282" t="n">
        <v>0</v>
      </c>
      <c r="K282" t="n">
        <v>0</v>
      </c>
      <c r="L282" t="n">
        <v>0</v>
      </c>
      <c r="M282" t="n">
        <v>0</v>
      </c>
      <c r="N282" t="n">
        <v>0</v>
      </c>
      <c r="O282" t="n">
        <v>0</v>
      </c>
      <c r="P282" t="n">
        <v>0</v>
      </c>
      <c r="Q282" t="n">
        <v>0</v>
      </c>
      <c r="R282" s="2" t="inlineStr"/>
    </row>
    <row r="283" ht="15" customHeight="1">
      <c r="A283" t="inlineStr">
        <is>
          <t>A 49411-2023</t>
        </is>
      </c>
      <c r="B283" s="1" t="n">
        <v>45205</v>
      </c>
      <c r="C283" s="1" t="n">
        <v>46004</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37728-2024</t>
        </is>
      </c>
      <c r="B284" s="1" t="n">
        <v>45541</v>
      </c>
      <c r="C284" s="1" t="n">
        <v>46004</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8045-2022</t>
        </is>
      </c>
      <c r="B285" s="1" t="n">
        <v>44609</v>
      </c>
      <c r="C285" s="1" t="n">
        <v>46004</v>
      </c>
      <c r="D285" t="inlineStr">
        <is>
          <t>GOTLANDS LÄN</t>
        </is>
      </c>
      <c r="E285" t="inlineStr">
        <is>
          <t>GOTLAND</t>
        </is>
      </c>
      <c r="G285" t="n">
        <v>7</v>
      </c>
      <c r="H285" t="n">
        <v>0</v>
      </c>
      <c r="I285" t="n">
        <v>0</v>
      </c>
      <c r="J285" t="n">
        <v>0</v>
      </c>
      <c r="K285" t="n">
        <v>0</v>
      </c>
      <c r="L285" t="n">
        <v>0</v>
      </c>
      <c r="M285" t="n">
        <v>0</v>
      </c>
      <c r="N285" t="n">
        <v>0</v>
      </c>
      <c r="O285" t="n">
        <v>0</v>
      </c>
      <c r="P285" t="n">
        <v>0</v>
      </c>
      <c r="Q285" t="n">
        <v>0</v>
      </c>
      <c r="R285" s="2" t="inlineStr"/>
    </row>
    <row r="286" ht="15" customHeight="1">
      <c r="A286" t="inlineStr">
        <is>
          <t>A 2241-2025</t>
        </is>
      </c>
      <c r="B286" s="1" t="n">
        <v>45673.48710648148</v>
      </c>
      <c r="C286" s="1" t="n">
        <v>46004</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2719-2023</t>
        </is>
      </c>
      <c r="B287" s="1" t="n">
        <v>44944.55361111111</v>
      </c>
      <c r="C287" s="1" t="n">
        <v>46004</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17144-2025</t>
        </is>
      </c>
      <c r="B288" s="1" t="n">
        <v>45755.9499537037</v>
      </c>
      <c r="C288" s="1" t="n">
        <v>46004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49314-2024</t>
        </is>
      </c>
      <c r="B289" s="1" t="n">
        <v>45595.55893518519</v>
      </c>
      <c r="C289" s="1" t="n">
        <v>46004</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46004</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9875-2025</t>
        </is>
      </c>
      <c r="B291" s="1" t="n">
        <v>45716</v>
      </c>
      <c r="C291" s="1" t="n">
        <v>46004</v>
      </c>
      <c r="D291" t="inlineStr">
        <is>
          <t>GOTLANDS LÄN</t>
        </is>
      </c>
      <c r="E291" t="inlineStr">
        <is>
          <t>GOTLAND</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14635-2023</t>
        </is>
      </c>
      <c r="B292" s="1" t="n">
        <v>45013.69365740741</v>
      </c>
      <c r="C292" s="1" t="n">
        <v>46004</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63763-2023</t>
        </is>
      </c>
      <c r="B293" s="1" t="n">
        <v>45278.33944444444</v>
      </c>
      <c r="C293" s="1" t="n">
        <v>46004</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7635-2025</t>
        </is>
      </c>
      <c r="B294" s="1" t="n">
        <v>45705</v>
      </c>
      <c r="C294" s="1" t="n">
        <v>46004</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7636-2025</t>
        </is>
      </c>
      <c r="B295" s="1" t="n">
        <v>45705.7687962963</v>
      </c>
      <c r="C295" s="1" t="n">
        <v>46004</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7639-2025</t>
        </is>
      </c>
      <c r="B296" s="1" t="n">
        <v>45705.77465277778</v>
      </c>
      <c r="C296" s="1" t="n">
        <v>46004</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29809-2022</t>
        </is>
      </c>
      <c r="B297" s="1" t="n">
        <v>44755.8713425926</v>
      </c>
      <c r="C297" s="1" t="n">
        <v>46004</v>
      </c>
      <c r="D297" t="inlineStr">
        <is>
          <t>GOTLANDS LÄN</t>
        </is>
      </c>
      <c r="E297" t="inlineStr">
        <is>
          <t>GOTLAND</t>
        </is>
      </c>
      <c r="G297" t="n">
        <v>11.5</v>
      </c>
      <c r="H297" t="n">
        <v>0</v>
      </c>
      <c r="I297" t="n">
        <v>0</v>
      </c>
      <c r="J297" t="n">
        <v>0</v>
      </c>
      <c r="K297" t="n">
        <v>0</v>
      </c>
      <c r="L297" t="n">
        <v>0</v>
      </c>
      <c r="M297" t="n">
        <v>0</v>
      </c>
      <c r="N297" t="n">
        <v>0</v>
      </c>
      <c r="O297" t="n">
        <v>0</v>
      </c>
      <c r="P297" t="n">
        <v>0</v>
      </c>
      <c r="Q297" t="n">
        <v>0</v>
      </c>
      <c r="R297" s="2" t="inlineStr"/>
    </row>
    <row r="298" ht="15" customHeight="1">
      <c r="A298" t="inlineStr">
        <is>
          <t>A 61682-2024</t>
        </is>
      </c>
      <c r="B298" s="1" t="n">
        <v>45647.48824074074</v>
      </c>
      <c r="C298" s="1" t="n">
        <v>46004</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999-2024</t>
        </is>
      </c>
      <c r="B299" s="1" t="n">
        <v>45301</v>
      </c>
      <c r="C299" s="1" t="n">
        <v>46004</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46004</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51782-2023</t>
        </is>
      </c>
      <c r="B301" s="1" t="n">
        <v>45222.80952546297</v>
      </c>
      <c r="C301" s="1" t="n">
        <v>46004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47762-2023</t>
        </is>
      </c>
      <c r="B302" s="1" t="n">
        <v>45203.86256944444</v>
      </c>
      <c r="C302" s="1" t="n">
        <v>46004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46004</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15434-2024</t>
        </is>
      </c>
      <c r="B304" s="1" t="n">
        <v>45401.38836805556</v>
      </c>
      <c r="C304" s="1" t="n">
        <v>46004</v>
      </c>
      <c r="D304" t="inlineStr">
        <is>
          <t>GOTLANDS LÄN</t>
        </is>
      </c>
      <c r="E304" t="inlineStr">
        <is>
          <t>GOTLAND</t>
        </is>
      </c>
      <c r="G304" t="n">
        <v>2.5</v>
      </c>
      <c r="H304" t="n">
        <v>0</v>
      </c>
      <c r="I304" t="n">
        <v>0</v>
      </c>
      <c r="J304" t="n">
        <v>0</v>
      </c>
      <c r="K304" t="n">
        <v>0</v>
      </c>
      <c r="L304" t="n">
        <v>0</v>
      </c>
      <c r="M304" t="n">
        <v>0</v>
      </c>
      <c r="N304" t="n">
        <v>0</v>
      </c>
      <c r="O304" t="n">
        <v>0</v>
      </c>
      <c r="P304" t="n">
        <v>0</v>
      </c>
      <c r="Q304" t="n">
        <v>0</v>
      </c>
      <c r="R304" s="2" t="inlineStr"/>
    </row>
    <row r="305" ht="15" customHeight="1">
      <c r="A305" t="inlineStr">
        <is>
          <t>A 40294-2022</t>
        </is>
      </c>
      <c r="B305" s="1" t="n">
        <v>44821</v>
      </c>
      <c r="C305" s="1" t="n">
        <v>46004</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27602-2023</t>
        </is>
      </c>
      <c r="B306" s="1" t="n">
        <v>45097</v>
      </c>
      <c r="C306" s="1" t="n">
        <v>46004</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5217-2023</t>
        </is>
      </c>
      <c r="B307" s="1" t="n">
        <v>44959.39582175926</v>
      </c>
      <c r="C307" s="1" t="n">
        <v>46004</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58780-2024</t>
        </is>
      </c>
      <c r="B308" s="1" t="n">
        <v>45635.84113425926</v>
      </c>
      <c r="C308" s="1" t="n">
        <v>46004</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12322-2025</t>
        </is>
      </c>
      <c r="B309" s="1" t="n">
        <v>45730</v>
      </c>
      <c r="C309" s="1" t="n">
        <v>46004</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14638-2025</t>
        </is>
      </c>
      <c r="B310" s="1" t="n">
        <v>45742</v>
      </c>
      <c r="C310" s="1" t="n">
        <v>46004</v>
      </c>
      <c r="D310" t="inlineStr">
        <is>
          <t>GOTLANDS LÄN</t>
        </is>
      </c>
      <c r="E310" t="inlineStr">
        <is>
          <t>GOTLAND</t>
        </is>
      </c>
      <c r="G310" t="n">
        <v>13.4</v>
      </c>
      <c r="H310" t="n">
        <v>0</v>
      </c>
      <c r="I310" t="n">
        <v>0</v>
      </c>
      <c r="J310" t="n">
        <v>0</v>
      </c>
      <c r="K310" t="n">
        <v>0</v>
      </c>
      <c r="L310" t="n">
        <v>0</v>
      </c>
      <c r="M310" t="n">
        <v>0</v>
      </c>
      <c r="N310" t="n">
        <v>0</v>
      </c>
      <c r="O310" t="n">
        <v>0</v>
      </c>
      <c r="P310" t="n">
        <v>0</v>
      </c>
      <c r="Q310" t="n">
        <v>0</v>
      </c>
      <c r="R310" s="2" t="inlineStr"/>
    </row>
    <row r="311" ht="15" customHeight="1">
      <c r="A311" t="inlineStr">
        <is>
          <t>A 16361-2024</t>
        </is>
      </c>
      <c r="B311" s="1" t="n">
        <v>45407</v>
      </c>
      <c r="C311" s="1" t="n">
        <v>46004</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4421-2024</t>
        </is>
      </c>
      <c r="B312" s="1" t="n">
        <v>45327.45173611111</v>
      </c>
      <c r="C312" s="1" t="n">
        <v>46004</v>
      </c>
      <c r="D312" t="inlineStr">
        <is>
          <t>GOTLANDS LÄN</t>
        </is>
      </c>
      <c r="E312" t="inlineStr">
        <is>
          <t>GOTLAND</t>
        </is>
      </c>
      <c r="G312" t="n">
        <v>5.1</v>
      </c>
      <c r="H312" t="n">
        <v>0</v>
      </c>
      <c r="I312" t="n">
        <v>0</v>
      </c>
      <c r="J312" t="n">
        <v>0</v>
      </c>
      <c r="K312" t="n">
        <v>0</v>
      </c>
      <c r="L312" t="n">
        <v>0</v>
      </c>
      <c r="M312" t="n">
        <v>0</v>
      </c>
      <c r="N312" t="n">
        <v>0</v>
      </c>
      <c r="O312" t="n">
        <v>0</v>
      </c>
      <c r="P312" t="n">
        <v>0</v>
      </c>
      <c r="Q312" t="n">
        <v>0</v>
      </c>
      <c r="R312" s="2" t="inlineStr"/>
    </row>
    <row r="313" ht="15" customHeight="1">
      <c r="A313" t="inlineStr">
        <is>
          <t>A 43081-2022</t>
        </is>
      </c>
      <c r="B313" s="1" t="n">
        <v>44833</v>
      </c>
      <c r="C313" s="1" t="n">
        <v>46004</v>
      </c>
      <c r="D313" t="inlineStr">
        <is>
          <t>GOTLANDS LÄN</t>
        </is>
      </c>
      <c r="E313" t="inlineStr">
        <is>
          <t>GOTLAND</t>
        </is>
      </c>
      <c r="G313" t="n">
        <v>6.8</v>
      </c>
      <c r="H313" t="n">
        <v>0</v>
      </c>
      <c r="I313" t="n">
        <v>0</v>
      </c>
      <c r="J313" t="n">
        <v>0</v>
      </c>
      <c r="K313" t="n">
        <v>0</v>
      </c>
      <c r="L313" t="n">
        <v>0</v>
      </c>
      <c r="M313" t="n">
        <v>0</v>
      </c>
      <c r="N313" t="n">
        <v>0</v>
      </c>
      <c r="O313" t="n">
        <v>0</v>
      </c>
      <c r="P313" t="n">
        <v>0</v>
      </c>
      <c r="Q313" t="n">
        <v>0</v>
      </c>
      <c r="R313" s="2" t="inlineStr"/>
    </row>
    <row r="314" ht="15" customHeight="1">
      <c r="A314" t="inlineStr">
        <is>
          <t>A 1175-2025</t>
        </is>
      </c>
      <c r="B314" s="1" t="n">
        <v>45667.34449074074</v>
      </c>
      <c r="C314" s="1" t="n">
        <v>46004</v>
      </c>
      <c r="D314" t="inlineStr">
        <is>
          <t>GOTLANDS LÄN</t>
        </is>
      </c>
      <c r="E314" t="inlineStr">
        <is>
          <t>GOTLAND</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24192-2023</t>
        </is>
      </c>
      <c r="B315" s="1" t="n">
        <v>45079</v>
      </c>
      <c r="C315" s="1" t="n">
        <v>46004</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30282-2022</t>
        </is>
      </c>
      <c r="B316" s="1" t="n">
        <v>44760</v>
      </c>
      <c r="C316" s="1" t="n">
        <v>46004</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7034-2023</t>
        </is>
      </c>
      <c r="B317" s="1" t="n">
        <v>44968.32108796296</v>
      </c>
      <c r="C317" s="1" t="n">
        <v>46004</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7042-2023</t>
        </is>
      </c>
      <c r="B318" s="1" t="n">
        <v>44968</v>
      </c>
      <c r="C318" s="1" t="n">
        <v>46004</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7835-2024</t>
        </is>
      </c>
      <c r="B319" s="1" t="n">
        <v>45349.83138888889</v>
      </c>
      <c r="C319" s="1" t="n">
        <v>46004</v>
      </c>
      <c r="D319" t="inlineStr">
        <is>
          <t>GOTLANDS LÄN</t>
        </is>
      </c>
      <c r="E319" t="inlineStr">
        <is>
          <t>GOTLAND</t>
        </is>
      </c>
      <c r="G319" t="n">
        <v>3.8</v>
      </c>
      <c r="H319" t="n">
        <v>0</v>
      </c>
      <c r="I319" t="n">
        <v>0</v>
      </c>
      <c r="J319" t="n">
        <v>0</v>
      </c>
      <c r="K319" t="n">
        <v>0</v>
      </c>
      <c r="L319" t="n">
        <v>0</v>
      </c>
      <c r="M319" t="n">
        <v>0</v>
      </c>
      <c r="N319" t="n">
        <v>0</v>
      </c>
      <c r="O319" t="n">
        <v>0</v>
      </c>
      <c r="P319" t="n">
        <v>0</v>
      </c>
      <c r="Q319" t="n">
        <v>0</v>
      </c>
      <c r="R319" s="2" t="inlineStr"/>
    </row>
    <row r="320" ht="15" customHeight="1">
      <c r="A320" t="inlineStr">
        <is>
          <t>A 20165-2022</t>
        </is>
      </c>
      <c r="B320" s="1" t="n">
        <v>44698.49854166667</v>
      </c>
      <c r="C320" s="1" t="n">
        <v>46004</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10650-2022</t>
        </is>
      </c>
      <c r="B321" s="1" t="n">
        <v>44624.57945601852</v>
      </c>
      <c r="C321" s="1" t="n">
        <v>46004</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2180-2025</t>
        </is>
      </c>
      <c r="B322" s="1" t="n">
        <v>45673</v>
      </c>
      <c r="C322" s="1" t="n">
        <v>46004</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46004</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46004</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3150-2025</t>
        </is>
      </c>
      <c r="B325" s="1" t="n">
        <v>45679.28974537037</v>
      </c>
      <c r="C325" s="1" t="n">
        <v>46004</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26810-2021</t>
        </is>
      </c>
      <c r="B326" s="1" t="n">
        <v>44349.55087962963</v>
      </c>
      <c r="C326" s="1" t="n">
        <v>46004</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33876-2024</t>
        </is>
      </c>
      <c r="B327" s="1" t="n">
        <v>45521.87988425926</v>
      </c>
      <c r="C327" s="1" t="n">
        <v>46004</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43223-2023</t>
        </is>
      </c>
      <c r="B328" s="1" t="n">
        <v>45183.45642361111</v>
      </c>
      <c r="C328" s="1" t="n">
        <v>46004</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61962-2024</t>
        </is>
      </c>
      <c r="B329" s="1" t="n">
        <v>45653.54340277778</v>
      </c>
      <c r="C329" s="1" t="n">
        <v>46004</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42041-2024</t>
        </is>
      </c>
      <c r="B330" s="1" t="n">
        <v>45561</v>
      </c>
      <c r="C330" s="1" t="n">
        <v>46004</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28425-2023</t>
        </is>
      </c>
      <c r="B331" s="1" t="n">
        <v>45102</v>
      </c>
      <c r="C331" s="1" t="n">
        <v>46004</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27930-2021</t>
        </is>
      </c>
      <c r="B332" s="1" t="n">
        <v>44354</v>
      </c>
      <c r="C332" s="1" t="n">
        <v>46004</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59469-2024</t>
        </is>
      </c>
      <c r="B333" s="1" t="n">
        <v>45638</v>
      </c>
      <c r="C333" s="1" t="n">
        <v>46004</v>
      </c>
      <c r="D333" t="inlineStr">
        <is>
          <t>GOTLANDS LÄN</t>
        </is>
      </c>
      <c r="E333" t="inlineStr">
        <is>
          <t>GOTLAND</t>
        </is>
      </c>
      <c r="G333" t="n">
        <v>0.4</v>
      </c>
      <c r="H333" t="n">
        <v>0</v>
      </c>
      <c r="I333" t="n">
        <v>0</v>
      </c>
      <c r="J333" t="n">
        <v>0</v>
      </c>
      <c r="K333" t="n">
        <v>0</v>
      </c>
      <c r="L333" t="n">
        <v>0</v>
      </c>
      <c r="M333" t="n">
        <v>0</v>
      </c>
      <c r="N333" t="n">
        <v>0</v>
      </c>
      <c r="O333" t="n">
        <v>0</v>
      </c>
      <c r="P333" t="n">
        <v>0</v>
      </c>
      <c r="Q333" t="n">
        <v>0</v>
      </c>
      <c r="R333" s="2" t="inlineStr"/>
    </row>
    <row r="334" ht="15" customHeight="1">
      <c r="A334" t="inlineStr">
        <is>
          <t>A 13037-2025</t>
        </is>
      </c>
      <c r="B334" s="1" t="n">
        <v>45734</v>
      </c>
      <c r="C334" s="1" t="n">
        <v>46004</v>
      </c>
      <c r="D334" t="inlineStr">
        <is>
          <t>GOTLANDS LÄN</t>
        </is>
      </c>
      <c r="E334" t="inlineStr">
        <is>
          <t>GOTLAND</t>
        </is>
      </c>
      <c r="G334" t="n">
        <v>9.5</v>
      </c>
      <c r="H334" t="n">
        <v>0</v>
      </c>
      <c r="I334" t="n">
        <v>0</v>
      </c>
      <c r="J334" t="n">
        <v>0</v>
      </c>
      <c r="K334" t="n">
        <v>0</v>
      </c>
      <c r="L334" t="n">
        <v>0</v>
      </c>
      <c r="M334" t="n">
        <v>0</v>
      </c>
      <c r="N334" t="n">
        <v>0</v>
      </c>
      <c r="O334" t="n">
        <v>0</v>
      </c>
      <c r="P334" t="n">
        <v>0</v>
      </c>
      <c r="Q334" t="n">
        <v>0</v>
      </c>
      <c r="R334" s="2" t="inlineStr"/>
    </row>
    <row r="335" ht="15" customHeight="1">
      <c r="A335" t="inlineStr">
        <is>
          <t>A 54074-2022</t>
        </is>
      </c>
      <c r="B335" s="1" t="n">
        <v>44881</v>
      </c>
      <c r="C335" s="1" t="n">
        <v>46004</v>
      </c>
      <c r="D335" t="inlineStr">
        <is>
          <t>GOTLANDS LÄN</t>
        </is>
      </c>
      <c r="E335" t="inlineStr">
        <is>
          <t>GOTLAND</t>
        </is>
      </c>
      <c r="G335" t="n">
        <v>0.9</v>
      </c>
      <c r="H335" t="n">
        <v>0</v>
      </c>
      <c r="I335" t="n">
        <v>0</v>
      </c>
      <c r="J335" t="n">
        <v>0</v>
      </c>
      <c r="K335" t="n">
        <v>0</v>
      </c>
      <c r="L335" t="n">
        <v>0</v>
      </c>
      <c r="M335" t="n">
        <v>0</v>
      </c>
      <c r="N335" t="n">
        <v>0</v>
      </c>
      <c r="O335" t="n">
        <v>0</v>
      </c>
      <c r="P335" t="n">
        <v>0</v>
      </c>
      <c r="Q335" t="n">
        <v>0</v>
      </c>
      <c r="R335" s="2" t="inlineStr"/>
    </row>
    <row r="336" ht="15" customHeight="1">
      <c r="A336" t="inlineStr">
        <is>
          <t>A 61694-2023</t>
        </is>
      </c>
      <c r="B336" s="1" t="n">
        <v>45264</v>
      </c>
      <c r="C336" s="1" t="n">
        <v>46004</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64208-2021</t>
        </is>
      </c>
      <c r="B337" s="1" t="n">
        <v>44510</v>
      </c>
      <c r="C337" s="1" t="n">
        <v>46004</v>
      </c>
      <c r="D337" t="inlineStr">
        <is>
          <t>GOTLANDS LÄN</t>
        </is>
      </c>
      <c r="E337" t="inlineStr">
        <is>
          <t>GOTLAND</t>
        </is>
      </c>
      <c r="G337" t="n">
        <v>4.7</v>
      </c>
      <c r="H337" t="n">
        <v>0</v>
      </c>
      <c r="I337" t="n">
        <v>0</v>
      </c>
      <c r="J337" t="n">
        <v>0</v>
      </c>
      <c r="K337" t="n">
        <v>0</v>
      </c>
      <c r="L337" t="n">
        <v>0</v>
      </c>
      <c r="M337" t="n">
        <v>0</v>
      </c>
      <c r="N337" t="n">
        <v>0</v>
      </c>
      <c r="O337" t="n">
        <v>0</v>
      </c>
      <c r="P337" t="n">
        <v>0</v>
      </c>
      <c r="Q337" t="n">
        <v>0</v>
      </c>
      <c r="R337" s="2" t="inlineStr"/>
    </row>
    <row r="338" ht="15" customHeight="1">
      <c r="A338" t="inlineStr">
        <is>
          <t>A 5751-2024</t>
        </is>
      </c>
      <c r="B338" s="1" t="n">
        <v>45335.32702546296</v>
      </c>
      <c r="C338" s="1" t="n">
        <v>46004</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15436-2025</t>
        </is>
      </c>
      <c r="B339" s="1" t="n">
        <v>45747.47462962963</v>
      </c>
      <c r="C339" s="1" t="n">
        <v>46004</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6696-2023</t>
        </is>
      </c>
      <c r="B340" s="1" t="n">
        <v>44966.66425925926</v>
      </c>
      <c r="C340" s="1" t="n">
        <v>46004</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28480-2023</t>
        </is>
      </c>
      <c r="B341" s="1" t="n">
        <v>45103</v>
      </c>
      <c r="C341" s="1" t="n">
        <v>46004</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28485-2023</t>
        </is>
      </c>
      <c r="B342" s="1" t="n">
        <v>45103.43731481482</v>
      </c>
      <c r="C342" s="1" t="n">
        <v>46004</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4990-2025</t>
        </is>
      </c>
      <c r="B343" s="1" t="n">
        <v>45691</v>
      </c>
      <c r="C343" s="1" t="n">
        <v>46004</v>
      </c>
      <c r="D343" t="inlineStr">
        <is>
          <t>GOTLANDS LÄN</t>
        </is>
      </c>
      <c r="E343" t="inlineStr">
        <is>
          <t>GOTLAND</t>
        </is>
      </c>
      <c r="G343" t="n">
        <v>7.7</v>
      </c>
      <c r="H343" t="n">
        <v>0</v>
      </c>
      <c r="I343" t="n">
        <v>0</v>
      </c>
      <c r="J343" t="n">
        <v>0</v>
      </c>
      <c r="K343" t="n">
        <v>0</v>
      </c>
      <c r="L343" t="n">
        <v>0</v>
      </c>
      <c r="M343" t="n">
        <v>0</v>
      </c>
      <c r="N343" t="n">
        <v>0</v>
      </c>
      <c r="O343" t="n">
        <v>0</v>
      </c>
      <c r="P343" t="n">
        <v>0</v>
      </c>
      <c r="Q343" t="n">
        <v>0</v>
      </c>
      <c r="R343" s="2" t="inlineStr"/>
    </row>
    <row r="344" ht="15" customHeight="1">
      <c r="A344" t="inlineStr">
        <is>
          <t>A 54268-2022</t>
        </is>
      </c>
      <c r="B344" s="1" t="n">
        <v>44882</v>
      </c>
      <c r="C344" s="1" t="n">
        <v>46004</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21247-2022</t>
        </is>
      </c>
      <c r="B345" s="1" t="n">
        <v>44705.38832175926</v>
      </c>
      <c r="C345" s="1" t="n">
        <v>46004</v>
      </c>
      <c r="D345" t="inlineStr">
        <is>
          <t>GOTLANDS LÄN</t>
        </is>
      </c>
      <c r="E345" t="inlineStr">
        <is>
          <t>GOTLAND</t>
        </is>
      </c>
      <c r="G345" t="n">
        <v>16.2</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46004</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1446-2025</t>
        </is>
      </c>
      <c r="B347" s="1" t="n">
        <v>45669.86035879629</v>
      </c>
      <c r="C347" s="1" t="n">
        <v>46004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1462-2025</t>
        </is>
      </c>
      <c r="B348" s="1" t="n">
        <v>45670.36319444444</v>
      </c>
      <c r="C348" s="1" t="n">
        <v>46004</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38165-2023</t>
        </is>
      </c>
      <c r="B349" s="1" t="n">
        <v>45161</v>
      </c>
      <c r="C349" s="1" t="n">
        <v>46004</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57685-2022</t>
        </is>
      </c>
      <c r="B350" s="1" t="n">
        <v>44897.4777662037</v>
      </c>
      <c r="C350" s="1" t="n">
        <v>46004</v>
      </c>
      <c r="D350" t="inlineStr">
        <is>
          <t>GOTLANDS LÄN</t>
        </is>
      </c>
      <c r="E350" t="inlineStr">
        <is>
          <t>GOTLAND</t>
        </is>
      </c>
      <c r="G350" t="n">
        <v>3.7</v>
      </c>
      <c r="H350" t="n">
        <v>0</v>
      </c>
      <c r="I350" t="n">
        <v>0</v>
      </c>
      <c r="J350" t="n">
        <v>0</v>
      </c>
      <c r="K350" t="n">
        <v>0</v>
      </c>
      <c r="L350" t="n">
        <v>0</v>
      </c>
      <c r="M350" t="n">
        <v>0</v>
      </c>
      <c r="N350" t="n">
        <v>0</v>
      </c>
      <c r="O350" t="n">
        <v>0</v>
      </c>
      <c r="P350" t="n">
        <v>0</v>
      </c>
      <c r="Q350" t="n">
        <v>0</v>
      </c>
      <c r="R350" s="2" t="inlineStr"/>
    </row>
    <row r="351" ht="15" customHeight="1">
      <c r="A351" t="inlineStr">
        <is>
          <t>A 811-2023</t>
        </is>
      </c>
      <c r="B351" s="1" t="n">
        <v>44931</v>
      </c>
      <c r="C351" s="1" t="n">
        <v>46004</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17780-2022</t>
        </is>
      </c>
      <c r="B352" s="1" t="n">
        <v>44682.82622685185</v>
      </c>
      <c r="C352" s="1" t="n">
        <v>46004</v>
      </c>
      <c r="D352" t="inlineStr">
        <is>
          <t>GOTLANDS LÄN</t>
        </is>
      </c>
      <c r="E352" t="inlineStr">
        <is>
          <t>GOTLAND</t>
        </is>
      </c>
      <c r="G352" t="n">
        <v>2.2</v>
      </c>
      <c r="H352" t="n">
        <v>0</v>
      </c>
      <c r="I352" t="n">
        <v>0</v>
      </c>
      <c r="J352" t="n">
        <v>0</v>
      </c>
      <c r="K352" t="n">
        <v>0</v>
      </c>
      <c r="L352" t="n">
        <v>0</v>
      </c>
      <c r="M352" t="n">
        <v>0</v>
      </c>
      <c r="N352" t="n">
        <v>0</v>
      </c>
      <c r="O352" t="n">
        <v>0</v>
      </c>
      <c r="P352" t="n">
        <v>0</v>
      </c>
      <c r="Q352" t="n">
        <v>0</v>
      </c>
      <c r="R352" s="2" t="inlineStr"/>
    </row>
    <row r="353" ht="15" customHeight="1">
      <c r="A353" t="inlineStr">
        <is>
          <t>A 63516-2023</t>
        </is>
      </c>
      <c r="B353" s="1" t="n">
        <v>45274</v>
      </c>
      <c r="C353" s="1" t="n">
        <v>46004</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53935-2024</t>
        </is>
      </c>
      <c r="B354" s="1" t="n">
        <v>45615</v>
      </c>
      <c r="C354" s="1" t="n">
        <v>46004</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69112-2021</t>
        </is>
      </c>
      <c r="B355" s="1" t="n">
        <v>44530</v>
      </c>
      <c r="C355" s="1" t="n">
        <v>46004</v>
      </c>
      <c r="D355" t="inlineStr">
        <is>
          <t>GOTLANDS LÄN</t>
        </is>
      </c>
      <c r="E355" t="inlineStr">
        <is>
          <t>GOTLAND</t>
        </is>
      </c>
      <c r="G355" t="n">
        <v>4.2</v>
      </c>
      <c r="H355" t="n">
        <v>0</v>
      </c>
      <c r="I355" t="n">
        <v>0</v>
      </c>
      <c r="J355" t="n">
        <v>0</v>
      </c>
      <c r="K355" t="n">
        <v>0</v>
      </c>
      <c r="L355" t="n">
        <v>0</v>
      </c>
      <c r="M355" t="n">
        <v>0</v>
      </c>
      <c r="N355" t="n">
        <v>0</v>
      </c>
      <c r="O355" t="n">
        <v>0</v>
      </c>
      <c r="P355" t="n">
        <v>0</v>
      </c>
      <c r="Q355" t="n">
        <v>0</v>
      </c>
      <c r="R355" s="2" t="inlineStr"/>
    </row>
    <row r="356" ht="15" customHeight="1">
      <c r="A356" t="inlineStr">
        <is>
          <t>A 43229-2023</t>
        </is>
      </c>
      <c r="B356" s="1" t="n">
        <v>45183.46704861111</v>
      </c>
      <c r="C356" s="1" t="n">
        <v>46004</v>
      </c>
      <c r="D356" t="inlineStr">
        <is>
          <t>GOTLANDS LÄN</t>
        </is>
      </c>
      <c r="E356" t="inlineStr">
        <is>
          <t>GOTLAND</t>
        </is>
      </c>
      <c r="G356" t="n">
        <v>7.1</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46004</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49693-2023</t>
        </is>
      </c>
      <c r="B358" s="1" t="n">
        <v>45212.38138888889</v>
      </c>
      <c r="C358" s="1" t="n">
        <v>46004</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49697-2023</t>
        </is>
      </c>
      <c r="B359" s="1" t="n">
        <v>45212.38909722222</v>
      </c>
      <c r="C359" s="1" t="n">
        <v>46004</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23516-2023</t>
        </is>
      </c>
      <c r="B360" s="1" t="n">
        <v>45076.93391203704</v>
      </c>
      <c r="C360" s="1" t="n">
        <v>46004</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43231-2023</t>
        </is>
      </c>
      <c r="B361" s="1" t="n">
        <v>45183.47025462963</v>
      </c>
      <c r="C361" s="1" t="n">
        <v>46004</v>
      </c>
      <c r="D361" t="inlineStr">
        <is>
          <t>GOTLANDS LÄN</t>
        </is>
      </c>
      <c r="E361" t="inlineStr">
        <is>
          <t>GOTLAND</t>
        </is>
      </c>
      <c r="G361" t="n">
        <v>3.6</v>
      </c>
      <c r="H361" t="n">
        <v>0</v>
      </c>
      <c r="I361" t="n">
        <v>0</v>
      </c>
      <c r="J361" t="n">
        <v>0</v>
      </c>
      <c r="K361" t="n">
        <v>0</v>
      </c>
      <c r="L361" t="n">
        <v>0</v>
      </c>
      <c r="M361" t="n">
        <v>0</v>
      </c>
      <c r="N361" t="n">
        <v>0</v>
      </c>
      <c r="O361" t="n">
        <v>0</v>
      </c>
      <c r="P361" t="n">
        <v>0</v>
      </c>
      <c r="Q361" t="n">
        <v>0</v>
      </c>
      <c r="R361" s="2" t="inlineStr"/>
    </row>
    <row r="362" ht="15" customHeight="1">
      <c r="A362" t="inlineStr">
        <is>
          <t>A 34312-2024</t>
        </is>
      </c>
      <c r="B362" s="1" t="n">
        <v>45524.69703703704</v>
      </c>
      <c r="C362" s="1" t="n">
        <v>46004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5905-2024</t>
        </is>
      </c>
      <c r="B363" s="1" t="n">
        <v>45335.88993055555</v>
      </c>
      <c r="C363" s="1" t="n">
        <v>46004</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58230-2024</t>
        </is>
      </c>
      <c r="B364" s="1" t="n">
        <v>45632.51625</v>
      </c>
      <c r="C364" s="1" t="n">
        <v>46004</v>
      </c>
      <c r="D364" t="inlineStr">
        <is>
          <t>GOTLANDS LÄN</t>
        </is>
      </c>
      <c r="E364" t="inlineStr">
        <is>
          <t>GOTLAND</t>
        </is>
      </c>
      <c r="G364" t="n">
        <v>7.3</v>
      </c>
      <c r="H364" t="n">
        <v>0</v>
      </c>
      <c r="I364" t="n">
        <v>0</v>
      </c>
      <c r="J364" t="n">
        <v>0</v>
      </c>
      <c r="K364" t="n">
        <v>0</v>
      </c>
      <c r="L364" t="n">
        <v>0</v>
      </c>
      <c r="M364" t="n">
        <v>0</v>
      </c>
      <c r="N364" t="n">
        <v>0</v>
      </c>
      <c r="O364" t="n">
        <v>0</v>
      </c>
      <c r="P364" t="n">
        <v>0</v>
      </c>
      <c r="Q364" t="n">
        <v>0</v>
      </c>
      <c r="R364" s="2" t="inlineStr"/>
    </row>
    <row r="365" ht="15" customHeight="1">
      <c r="A365" t="inlineStr">
        <is>
          <t>A 41038-2023</t>
        </is>
      </c>
      <c r="B365" s="1" t="n">
        <v>45173.60959490741</v>
      </c>
      <c r="C365" s="1" t="n">
        <v>46004</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64555-2023</t>
        </is>
      </c>
      <c r="B366" s="1" t="n">
        <v>45281</v>
      </c>
      <c r="C366" s="1" t="n">
        <v>46004</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3431-2025</t>
        </is>
      </c>
      <c r="B367" s="1" t="n">
        <v>45680.42935185185</v>
      </c>
      <c r="C367" s="1" t="n">
        <v>46004</v>
      </c>
      <c r="D367" t="inlineStr">
        <is>
          <t>GOTLANDS LÄN</t>
        </is>
      </c>
      <c r="E367" t="inlineStr">
        <is>
          <t>GOTLAND</t>
        </is>
      </c>
      <c r="G367" t="n">
        <v>4.8</v>
      </c>
      <c r="H367" t="n">
        <v>0</v>
      </c>
      <c r="I367" t="n">
        <v>0</v>
      </c>
      <c r="J367" t="n">
        <v>0</v>
      </c>
      <c r="K367" t="n">
        <v>0</v>
      </c>
      <c r="L367" t="n">
        <v>0</v>
      </c>
      <c r="M367" t="n">
        <v>0</v>
      </c>
      <c r="N367" t="n">
        <v>0</v>
      </c>
      <c r="O367" t="n">
        <v>0</v>
      </c>
      <c r="P367" t="n">
        <v>0</v>
      </c>
      <c r="Q367" t="n">
        <v>0</v>
      </c>
      <c r="R367" s="2" t="inlineStr"/>
    </row>
    <row r="368" ht="15" customHeight="1">
      <c r="A368" t="inlineStr">
        <is>
          <t>A 457-2023</t>
        </is>
      </c>
      <c r="B368" s="1" t="n">
        <v>44929.87238425926</v>
      </c>
      <c r="C368" s="1" t="n">
        <v>46004</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459-2023</t>
        </is>
      </c>
      <c r="B369" s="1" t="n">
        <v>44929.87423611111</v>
      </c>
      <c r="C369" s="1" t="n">
        <v>46004</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48503-2023</t>
        </is>
      </c>
      <c r="B370" s="1" t="n">
        <v>45207</v>
      </c>
      <c r="C370" s="1" t="n">
        <v>46004</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46004</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46004</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46004</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46004</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7858-2025</t>
        </is>
      </c>
      <c r="B375" s="1" t="n">
        <v>45706.68633101852</v>
      </c>
      <c r="C375" s="1" t="n">
        <v>46004</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46545-2024</t>
        </is>
      </c>
      <c r="B376" s="1" t="n">
        <v>45582.65831018519</v>
      </c>
      <c r="C376" s="1" t="n">
        <v>46004</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876-2024</t>
        </is>
      </c>
      <c r="B377" s="1" t="n">
        <v>45301</v>
      </c>
      <c r="C377" s="1" t="n">
        <v>46004</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999-2023</t>
        </is>
      </c>
      <c r="B378" s="1" t="n">
        <v>44935</v>
      </c>
      <c r="C378" s="1" t="n">
        <v>46004</v>
      </c>
      <c r="D378" t="inlineStr">
        <is>
          <t>GOTLANDS LÄN</t>
        </is>
      </c>
      <c r="E378" t="inlineStr">
        <is>
          <t>GOTLAND</t>
        </is>
      </c>
      <c r="G378" t="n">
        <v>4.7</v>
      </c>
      <c r="H378" t="n">
        <v>0</v>
      </c>
      <c r="I378" t="n">
        <v>0</v>
      </c>
      <c r="J378" t="n">
        <v>0</v>
      </c>
      <c r="K378" t="n">
        <v>0</v>
      </c>
      <c r="L378" t="n">
        <v>0</v>
      </c>
      <c r="M378" t="n">
        <v>0</v>
      </c>
      <c r="N378" t="n">
        <v>0</v>
      </c>
      <c r="O378" t="n">
        <v>0</v>
      </c>
      <c r="P378" t="n">
        <v>0</v>
      </c>
      <c r="Q378" t="n">
        <v>0</v>
      </c>
      <c r="R378" s="2" t="inlineStr"/>
    </row>
    <row r="379" ht="15" customHeight="1">
      <c r="A379" t="inlineStr">
        <is>
          <t>A 1364-2025</t>
        </is>
      </c>
      <c r="B379" s="1" t="n">
        <v>45667.63929398148</v>
      </c>
      <c r="C379" s="1" t="n">
        <v>46004</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2125-2025</t>
        </is>
      </c>
      <c r="B380" s="1" t="n">
        <v>45672.64940972222</v>
      </c>
      <c r="C380" s="1" t="n">
        <v>46004</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26891-2024</t>
        </is>
      </c>
      <c r="B381" s="1" t="n">
        <v>45470.65540509259</v>
      </c>
      <c r="C381" s="1" t="n">
        <v>46004</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44279.66168981481</v>
      </c>
      <c r="C382" s="1" t="n">
        <v>46004</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5923-2023</t>
        </is>
      </c>
      <c r="B383" s="1" t="n">
        <v>44963.69503472222</v>
      </c>
      <c r="C383" s="1" t="n">
        <v>46004</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14141-2024</t>
        </is>
      </c>
      <c r="B384" s="1" t="n">
        <v>45392.85193287037</v>
      </c>
      <c r="C384" s="1" t="n">
        <v>46004</v>
      </c>
      <c r="D384" t="inlineStr">
        <is>
          <t>GOTLANDS LÄN</t>
        </is>
      </c>
      <c r="E384" t="inlineStr">
        <is>
          <t>GOTLAND</t>
        </is>
      </c>
      <c r="G384" t="n">
        <v>5.3</v>
      </c>
      <c r="H384" t="n">
        <v>0</v>
      </c>
      <c r="I384" t="n">
        <v>0</v>
      </c>
      <c r="J384" t="n">
        <v>0</v>
      </c>
      <c r="K384" t="n">
        <v>0</v>
      </c>
      <c r="L384" t="n">
        <v>0</v>
      </c>
      <c r="M384" t="n">
        <v>0</v>
      </c>
      <c r="N384" t="n">
        <v>0</v>
      </c>
      <c r="O384" t="n">
        <v>0</v>
      </c>
      <c r="P384" t="n">
        <v>0</v>
      </c>
      <c r="Q384" t="n">
        <v>0</v>
      </c>
      <c r="R384" s="2" t="inlineStr"/>
    </row>
    <row r="385" ht="15" customHeight="1">
      <c r="A385" t="inlineStr">
        <is>
          <t>A 50482-2024</t>
        </is>
      </c>
      <c r="B385" s="1" t="n">
        <v>45601.48114583334</v>
      </c>
      <c r="C385" s="1" t="n">
        <v>46004</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22031-2024</t>
        </is>
      </c>
      <c r="B386" s="1" t="n">
        <v>45443.60075231481</v>
      </c>
      <c r="C386" s="1" t="n">
        <v>46004</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17688-2024</t>
        </is>
      </c>
      <c r="B387" s="1" t="n">
        <v>45418.43575231481</v>
      </c>
      <c r="C387" s="1" t="n">
        <v>46004</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12155-2023</t>
        </is>
      </c>
      <c r="B388" s="1" t="n">
        <v>44998.49106481481</v>
      </c>
      <c r="C388" s="1" t="n">
        <v>46004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24966-2023</t>
        </is>
      </c>
      <c r="B389" s="1" t="n">
        <v>45085</v>
      </c>
      <c r="C389" s="1" t="n">
        <v>46004</v>
      </c>
      <c r="D389" t="inlineStr">
        <is>
          <t>GOTLANDS LÄN</t>
        </is>
      </c>
      <c r="E389" t="inlineStr">
        <is>
          <t>GOTLAND</t>
        </is>
      </c>
      <c r="G389" t="n">
        <v>7</v>
      </c>
      <c r="H389" t="n">
        <v>0</v>
      </c>
      <c r="I389" t="n">
        <v>0</v>
      </c>
      <c r="J389" t="n">
        <v>0</v>
      </c>
      <c r="K389" t="n">
        <v>0</v>
      </c>
      <c r="L389" t="n">
        <v>0</v>
      </c>
      <c r="M389" t="n">
        <v>0</v>
      </c>
      <c r="N389" t="n">
        <v>0</v>
      </c>
      <c r="O389" t="n">
        <v>0</v>
      </c>
      <c r="P389" t="n">
        <v>0</v>
      </c>
      <c r="Q389" t="n">
        <v>0</v>
      </c>
      <c r="R389" s="2" t="inlineStr"/>
    </row>
    <row r="390" ht="15" customHeight="1">
      <c r="A390" t="inlineStr">
        <is>
          <t>A 57652-2023</t>
        </is>
      </c>
      <c r="B390" s="1" t="n">
        <v>45246</v>
      </c>
      <c r="C390" s="1" t="n">
        <v>46004</v>
      </c>
      <c r="D390" t="inlineStr">
        <is>
          <t>GOTLANDS LÄN</t>
        </is>
      </c>
      <c r="E390" t="inlineStr">
        <is>
          <t>GOTLAND</t>
        </is>
      </c>
      <c r="G390" t="n">
        <v>7.2</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46004</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2774-2024</t>
        </is>
      </c>
      <c r="B392" s="1" t="n">
        <v>45314.62375</v>
      </c>
      <c r="C392" s="1" t="n">
        <v>46004</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38234-2023</t>
        </is>
      </c>
      <c r="B393" s="1" t="n">
        <v>45161.56663194444</v>
      </c>
      <c r="C393" s="1" t="n">
        <v>46004</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48843-2024</t>
        </is>
      </c>
      <c r="B394" s="1" t="n">
        <v>45593</v>
      </c>
      <c r="C394" s="1" t="n">
        <v>46004</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1273-2023</t>
        </is>
      </c>
      <c r="B395" s="1" t="n">
        <v>44936</v>
      </c>
      <c r="C395" s="1" t="n">
        <v>46004</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2714-2023</t>
        </is>
      </c>
      <c r="B396" s="1" t="n">
        <v>44944.54896990741</v>
      </c>
      <c r="C396" s="1" t="n">
        <v>46004</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22897-2023</t>
        </is>
      </c>
      <c r="B397" s="1" t="n">
        <v>45072.55239583334</v>
      </c>
      <c r="C397" s="1" t="n">
        <v>46004</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4568-2025</t>
        </is>
      </c>
      <c r="B398" s="1" t="n">
        <v>45687</v>
      </c>
      <c r="C398" s="1" t="n">
        <v>46004</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10653-2023</t>
        </is>
      </c>
      <c r="B399" s="1" t="n">
        <v>44988.48859953704</v>
      </c>
      <c r="C399" s="1" t="n">
        <v>46004</v>
      </c>
      <c r="D399" t="inlineStr">
        <is>
          <t>GOTLANDS LÄN</t>
        </is>
      </c>
      <c r="E399" t="inlineStr">
        <is>
          <t>GOTLAND</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1681-2023</t>
        </is>
      </c>
      <c r="B400" s="1" t="n">
        <v>44938.39715277778</v>
      </c>
      <c r="C400" s="1" t="n">
        <v>46004</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9947-2024</t>
        </is>
      </c>
      <c r="B401" s="1" t="n">
        <v>45363</v>
      </c>
      <c r="C401" s="1" t="n">
        <v>46004</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42338-2023</t>
        </is>
      </c>
      <c r="B402" s="1" t="n">
        <v>45180</v>
      </c>
      <c r="C402" s="1" t="n">
        <v>46004</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18918-2025</t>
        </is>
      </c>
      <c r="B403" s="1" t="n">
        <v>45764</v>
      </c>
      <c r="C403" s="1" t="n">
        <v>46004</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35512-2023</t>
        </is>
      </c>
      <c r="B404" s="1" t="n">
        <v>45147.25623842593</v>
      </c>
      <c r="C404" s="1" t="n">
        <v>46004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11013-2024</t>
        </is>
      </c>
      <c r="B405" s="1" t="n">
        <v>45370</v>
      </c>
      <c r="C405" s="1" t="n">
        <v>46004</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42007-2023</t>
        </is>
      </c>
      <c r="B406" s="1" t="n">
        <v>45177</v>
      </c>
      <c r="C406" s="1" t="n">
        <v>46004</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11874-2024</t>
        </is>
      </c>
      <c r="B407" s="1" t="n">
        <v>45376.46956018519</v>
      </c>
      <c r="C407" s="1" t="n">
        <v>46004</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17724-2024</t>
        </is>
      </c>
      <c r="B408" s="1" t="n">
        <v>45418.55096064815</v>
      </c>
      <c r="C408" s="1" t="n">
        <v>46004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45084-2024</t>
        </is>
      </c>
      <c r="B409" s="1" t="n">
        <v>45575</v>
      </c>
      <c r="C409" s="1" t="n">
        <v>46004</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23978-2023</t>
        </is>
      </c>
      <c r="B410" s="1" t="n">
        <v>45078</v>
      </c>
      <c r="C410" s="1" t="n">
        <v>46004</v>
      </c>
      <c r="D410" t="inlineStr">
        <is>
          <t>GOTLANDS LÄN</t>
        </is>
      </c>
      <c r="E410" t="inlineStr">
        <is>
          <t>GOTLAND</t>
        </is>
      </c>
      <c r="F410" t="inlineStr">
        <is>
          <t>Naturvårdsverket</t>
        </is>
      </c>
      <c r="G410" t="n">
        <v>1.7</v>
      </c>
      <c r="H410" t="n">
        <v>0</v>
      </c>
      <c r="I410" t="n">
        <v>0</v>
      </c>
      <c r="J410" t="n">
        <v>0</v>
      </c>
      <c r="K410" t="n">
        <v>0</v>
      </c>
      <c r="L410" t="n">
        <v>0</v>
      </c>
      <c r="M410" t="n">
        <v>0</v>
      </c>
      <c r="N410" t="n">
        <v>0</v>
      </c>
      <c r="O410" t="n">
        <v>0</v>
      </c>
      <c r="P410" t="n">
        <v>0</v>
      </c>
      <c r="Q410" t="n">
        <v>0</v>
      </c>
      <c r="R410" s="2" t="inlineStr"/>
    </row>
    <row r="411" ht="15" customHeight="1">
      <c r="A411" t="inlineStr">
        <is>
          <t>A 49884-2023</t>
        </is>
      </c>
      <c r="B411" s="1" t="n">
        <v>45213</v>
      </c>
      <c r="C411" s="1" t="n">
        <v>46004</v>
      </c>
      <c r="D411" t="inlineStr">
        <is>
          <t>GOTLANDS LÄN</t>
        </is>
      </c>
      <c r="E411" t="inlineStr">
        <is>
          <t>GOTLAND</t>
        </is>
      </c>
      <c r="G411" t="n">
        <v>8.9</v>
      </c>
      <c r="H411" t="n">
        <v>0</v>
      </c>
      <c r="I411" t="n">
        <v>0</v>
      </c>
      <c r="J411" t="n">
        <v>0</v>
      </c>
      <c r="K411" t="n">
        <v>0</v>
      </c>
      <c r="L411" t="n">
        <v>0</v>
      </c>
      <c r="M411" t="n">
        <v>0</v>
      </c>
      <c r="N411" t="n">
        <v>0</v>
      </c>
      <c r="O411" t="n">
        <v>0</v>
      </c>
      <c r="P411" t="n">
        <v>0</v>
      </c>
      <c r="Q411" t="n">
        <v>0</v>
      </c>
      <c r="R411" s="2" t="inlineStr"/>
    </row>
    <row r="412" ht="15" customHeight="1">
      <c r="A412" t="inlineStr">
        <is>
          <t>A 20356-2022</t>
        </is>
      </c>
      <c r="B412" s="1" t="n">
        <v>44699</v>
      </c>
      <c r="C412" s="1" t="n">
        <v>46004</v>
      </c>
      <c r="D412" t="inlineStr">
        <is>
          <t>GOTLANDS LÄN</t>
        </is>
      </c>
      <c r="E412" t="inlineStr">
        <is>
          <t>GOTLAND</t>
        </is>
      </c>
      <c r="F412" t="inlineStr">
        <is>
          <t>Övriga Aktiebolag</t>
        </is>
      </c>
      <c r="G412" t="n">
        <v>4.4</v>
      </c>
      <c r="H412" t="n">
        <v>0</v>
      </c>
      <c r="I412" t="n">
        <v>0</v>
      </c>
      <c r="J412" t="n">
        <v>0</v>
      </c>
      <c r="K412" t="n">
        <v>0</v>
      </c>
      <c r="L412" t="n">
        <v>0</v>
      </c>
      <c r="M412" t="n">
        <v>0</v>
      </c>
      <c r="N412" t="n">
        <v>0</v>
      </c>
      <c r="O412" t="n">
        <v>0</v>
      </c>
      <c r="P412" t="n">
        <v>0</v>
      </c>
      <c r="Q412" t="n">
        <v>0</v>
      </c>
      <c r="R412" s="2" t="inlineStr"/>
    </row>
    <row r="413" ht="15" customHeight="1">
      <c r="A413" t="inlineStr">
        <is>
          <t>A 12846-2025</t>
        </is>
      </c>
      <c r="B413" s="1" t="n">
        <v>45733.65049768519</v>
      </c>
      <c r="C413" s="1" t="n">
        <v>46004</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20225-2025</t>
        </is>
      </c>
      <c r="B414" s="1" t="n">
        <v>45772.65802083333</v>
      </c>
      <c r="C414" s="1" t="n">
        <v>46004</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4868-2024</t>
        </is>
      </c>
      <c r="B415" s="1" t="n">
        <v>45329</v>
      </c>
      <c r="C415" s="1" t="n">
        <v>46004</v>
      </c>
      <c r="D415" t="inlineStr">
        <is>
          <t>GOTLANDS LÄN</t>
        </is>
      </c>
      <c r="E415" t="inlineStr">
        <is>
          <t>GOTLAND</t>
        </is>
      </c>
      <c r="G415" t="n">
        <v>7.1</v>
      </c>
      <c r="H415" t="n">
        <v>0</v>
      </c>
      <c r="I415" t="n">
        <v>0</v>
      </c>
      <c r="J415" t="n">
        <v>0</v>
      </c>
      <c r="K415" t="n">
        <v>0</v>
      </c>
      <c r="L415" t="n">
        <v>0</v>
      </c>
      <c r="M415" t="n">
        <v>0</v>
      </c>
      <c r="N415" t="n">
        <v>0</v>
      </c>
      <c r="O415" t="n">
        <v>0</v>
      </c>
      <c r="P415" t="n">
        <v>0</v>
      </c>
      <c r="Q415" t="n">
        <v>0</v>
      </c>
      <c r="R415" s="2" t="inlineStr"/>
    </row>
    <row r="416" ht="15" customHeight="1">
      <c r="A416" t="inlineStr">
        <is>
          <t>A 43200-2023</t>
        </is>
      </c>
      <c r="B416" s="1" t="n">
        <v>45183</v>
      </c>
      <c r="C416" s="1" t="n">
        <v>46004</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1677-2023</t>
        </is>
      </c>
      <c r="B417" s="1" t="n">
        <v>44938</v>
      </c>
      <c r="C417" s="1" t="n">
        <v>46004</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9613-2025</t>
        </is>
      </c>
      <c r="B418" s="1" t="n">
        <v>45715</v>
      </c>
      <c r="C418" s="1" t="n">
        <v>46004</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64831-2023</t>
        </is>
      </c>
      <c r="B419" s="1" t="n">
        <v>45282.44924768519</v>
      </c>
      <c r="C419" s="1" t="n">
        <v>46004</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5386-2023</t>
        </is>
      </c>
      <c r="B420" s="1" t="n">
        <v>44959</v>
      </c>
      <c r="C420" s="1" t="n">
        <v>46004</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3935-2025</t>
        </is>
      </c>
      <c r="B421" s="1" t="n">
        <v>45684.46070601852</v>
      </c>
      <c r="C421" s="1" t="n">
        <v>46004</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21792-2024</t>
        </is>
      </c>
      <c r="B422" s="1" t="n">
        <v>45442.64326388889</v>
      </c>
      <c r="C422" s="1" t="n">
        <v>46004</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58211-2024</t>
        </is>
      </c>
      <c r="B423" s="1" t="n">
        <v>45632.49292824074</v>
      </c>
      <c r="C423" s="1" t="n">
        <v>46004</v>
      </c>
      <c r="D423" t="inlineStr">
        <is>
          <t>GOTLANDS LÄN</t>
        </is>
      </c>
      <c r="E423" t="inlineStr">
        <is>
          <t>GOTLAND</t>
        </is>
      </c>
      <c r="G423" t="n">
        <v>5.4</v>
      </c>
      <c r="H423" t="n">
        <v>0</v>
      </c>
      <c r="I423" t="n">
        <v>0</v>
      </c>
      <c r="J423" t="n">
        <v>0</v>
      </c>
      <c r="K423" t="n">
        <v>0</v>
      </c>
      <c r="L423" t="n">
        <v>0</v>
      </c>
      <c r="M423" t="n">
        <v>0</v>
      </c>
      <c r="N423" t="n">
        <v>0</v>
      </c>
      <c r="O423" t="n">
        <v>0</v>
      </c>
      <c r="P423" t="n">
        <v>0</v>
      </c>
      <c r="Q423" t="n">
        <v>0</v>
      </c>
      <c r="R423" s="2" t="inlineStr"/>
    </row>
    <row r="424" ht="15" customHeight="1">
      <c r="A424" t="inlineStr">
        <is>
          <t>A 8036-2022</t>
        </is>
      </c>
      <c r="B424" s="1" t="n">
        <v>44609.44362268518</v>
      </c>
      <c r="C424" s="1" t="n">
        <v>46004</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46375-2024</t>
        </is>
      </c>
      <c r="B425" s="1" t="n">
        <v>45582</v>
      </c>
      <c r="C425" s="1" t="n">
        <v>46004</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62915-2021</t>
        </is>
      </c>
      <c r="B426" s="1" t="n">
        <v>44504</v>
      </c>
      <c r="C426" s="1" t="n">
        <v>46004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11634-2024</t>
        </is>
      </c>
      <c r="B427" s="1" t="n">
        <v>45373</v>
      </c>
      <c r="C427" s="1" t="n">
        <v>46004</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12599-2025</t>
        </is>
      </c>
      <c r="B428" s="1" t="n">
        <v>45733.29546296296</v>
      </c>
      <c r="C428" s="1" t="n">
        <v>46004</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5884-2025</t>
        </is>
      </c>
      <c r="B429" s="1" t="n">
        <v>45695.37482638889</v>
      </c>
      <c r="C429" s="1" t="n">
        <v>46004</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5897-2025</t>
        </is>
      </c>
      <c r="B430" s="1" t="n">
        <v>45695.39273148148</v>
      </c>
      <c r="C430" s="1" t="n">
        <v>46004</v>
      </c>
      <c r="D430" t="inlineStr">
        <is>
          <t>GOTLANDS LÄN</t>
        </is>
      </c>
      <c r="E430" t="inlineStr">
        <is>
          <t>GOTLAND</t>
        </is>
      </c>
      <c r="G430" t="n">
        <v>3.7</v>
      </c>
      <c r="H430" t="n">
        <v>0</v>
      </c>
      <c r="I430" t="n">
        <v>0</v>
      </c>
      <c r="J430" t="n">
        <v>0</v>
      </c>
      <c r="K430" t="n">
        <v>0</v>
      </c>
      <c r="L430" t="n">
        <v>0</v>
      </c>
      <c r="M430" t="n">
        <v>0</v>
      </c>
      <c r="N430" t="n">
        <v>0</v>
      </c>
      <c r="O430" t="n">
        <v>0</v>
      </c>
      <c r="P430" t="n">
        <v>0</v>
      </c>
      <c r="Q430" t="n">
        <v>0</v>
      </c>
      <c r="R430" s="2" t="inlineStr"/>
    </row>
    <row r="431" ht="15" customHeight="1">
      <c r="A431" t="inlineStr">
        <is>
          <t>A 5909-2025</t>
        </is>
      </c>
      <c r="B431" s="1" t="n">
        <v>45695.40634259259</v>
      </c>
      <c r="C431" s="1" t="n">
        <v>46004</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7638-2025</t>
        </is>
      </c>
      <c r="B432" s="1" t="n">
        <v>45705.77306712963</v>
      </c>
      <c r="C432" s="1" t="n">
        <v>46004</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60086-2022</t>
        </is>
      </c>
      <c r="B433" s="1" t="n">
        <v>44909</v>
      </c>
      <c r="C433" s="1" t="n">
        <v>46004</v>
      </c>
      <c r="D433" t="inlineStr">
        <is>
          <t>GOTLANDS LÄN</t>
        </is>
      </c>
      <c r="E433" t="inlineStr">
        <is>
          <t>GOTLAND</t>
        </is>
      </c>
      <c r="G433" t="n">
        <v>2.1</v>
      </c>
      <c r="H433" t="n">
        <v>0</v>
      </c>
      <c r="I433" t="n">
        <v>0</v>
      </c>
      <c r="J433" t="n">
        <v>0</v>
      </c>
      <c r="K433" t="n">
        <v>0</v>
      </c>
      <c r="L433" t="n">
        <v>0</v>
      </c>
      <c r="M433" t="n">
        <v>0</v>
      </c>
      <c r="N433" t="n">
        <v>0</v>
      </c>
      <c r="O433" t="n">
        <v>0</v>
      </c>
      <c r="P433" t="n">
        <v>0</v>
      </c>
      <c r="Q433" t="n">
        <v>0</v>
      </c>
      <c r="R433" s="2" t="inlineStr"/>
    </row>
    <row r="434" ht="15" customHeight="1">
      <c r="A434" t="inlineStr">
        <is>
          <t>A 22704-2023</t>
        </is>
      </c>
      <c r="B434" s="1" t="n">
        <v>45071</v>
      </c>
      <c r="C434" s="1" t="n">
        <v>46004</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4377-2023</t>
        </is>
      </c>
      <c r="B435" s="1" t="n">
        <v>44955.5502662037</v>
      </c>
      <c r="C435" s="1" t="n">
        <v>46004</v>
      </c>
      <c r="D435" t="inlineStr">
        <is>
          <t>GOTLANDS LÄN</t>
        </is>
      </c>
      <c r="E435" t="inlineStr">
        <is>
          <t>GOTLAND</t>
        </is>
      </c>
      <c r="F435" t="inlineStr">
        <is>
          <t>Kyrkan</t>
        </is>
      </c>
      <c r="G435" t="n">
        <v>0.6</v>
      </c>
      <c r="H435" t="n">
        <v>0</v>
      </c>
      <c r="I435" t="n">
        <v>0</v>
      </c>
      <c r="J435" t="n">
        <v>0</v>
      </c>
      <c r="K435" t="n">
        <v>0</v>
      </c>
      <c r="L435" t="n">
        <v>0</v>
      </c>
      <c r="M435" t="n">
        <v>0</v>
      </c>
      <c r="N435" t="n">
        <v>0</v>
      </c>
      <c r="O435" t="n">
        <v>0</v>
      </c>
      <c r="P435" t="n">
        <v>0</v>
      </c>
      <c r="Q435" t="n">
        <v>0</v>
      </c>
      <c r="R435" s="2" t="inlineStr"/>
    </row>
    <row r="436" ht="15" customHeight="1">
      <c r="A436" t="inlineStr">
        <is>
          <t>A 25866-2022</t>
        </is>
      </c>
      <c r="B436" s="1" t="n">
        <v>44733</v>
      </c>
      <c r="C436" s="1" t="n">
        <v>46004</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43901-2023</t>
        </is>
      </c>
      <c r="B437" s="1" t="n">
        <v>45187</v>
      </c>
      <c r="C437" s="1" t="n">
        <v>46004</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17532-2024</t>
        </is>
      </c>
      <c r="B438" s="1" t="n">
        <v>45415</v>
      </c>
      <c r="C438" s="1" t="n">
        <v>46004</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45692-2023</t>
        </is>
      </c>
      <c r="B439" s="1" t="n">
        <v>45195</v>
      </c>
      <c r="C439" s="1" t="n">
        <v>46004</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46004</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20356-2022</t>
        </is>
      </c>
      <c r="B441" s="1" t="n">
        <v>44699</v>
      </c>
      <c r="C441" s="1" t="n">
        <v>46004</v>
      </c>
      <c r="D441" t="inlineStr">
        <is>
          <t>GOTLANDS LÄN</t>
        </is>
      </c>
      <c r="E441" t="inlineStr">
        <is>
          <t>GOTLAND</t>
        </is>
      </c>
      <c r="F441" t="inlineStr">
        <is>
          <t>Övriga Aktiebolag</t>
        </is>
      </c>
      <c r="G441" t="n">
        <v>4.4</v>
      </c>
      <c r="H441" t="n">
        <v>0</v>
      </c>
      <c r="I441" t="n">
        <v>0</v>
      </c>
      <c r="J441" t="n">
        <v>0</v>
      </c>
      <c r="K441" t="n">
        <v>0</v>
      </c>
      <c r="L441" t="n">
        <v>0</v>
      </c>
      <c r="M441" t="n">
        <v>0</v>
      </c>
      <c r="N441" t="n">
        <v>0</v>
      </c>
      <c r="O441" t="n">
        <v>0</v>
      </c>
      <c r="P441" t="n">
        <v>0</v>
      </c>
      <c r="Q441" t="n">
        <v>0</v>
      </c>
      <c r="R441" s="2" t="inlineStr"/>
    </row>
    <row r="442" ht="15" customHeight="1">
      <c r="A442" t="inlineStr">
        <is>
          <t>A 15083-2025</t>
        </is>
      </c>
      <c r="B442" s="1" t="n">
        <v>45743</v>
      </c>
      <c r="C442" s="1" t="n">
        <v>46004</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46396-2023</t>
        </is>
      </c>
      <c r="B443" s="1" t="n">
        <v>45197</v>
      </c>
      <c r="C443" s="1" t="n">
        <v>46004</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58388-2022</t>
        </is>
      </c>
      <c r="B444" s="1" t="n">
        <v>44894</v>
      </c>
      <c r="C444" s="1" t="n">
        <v>46004</v>
      </c>
      <c r="D444" t="inlineStr">
        <is>
          <t>GOTLANDS LÄN</t>
        </is>
      </c>
      <c r="E444" t="inlineStr">
        <is>
          <t>GOTLAND</t>
        </is>
      </c>
      <c r="F444" t="inlineStr">
        <is>
          <t>Övriga statliga verk och myndigheter</t>
        </is>
      </c>
      <c r="G444" t="n">
        <v>3.1</v>
      </c>
      <c r="H444" t="n">
        <v>0</v>
      </c>
      <c r="I444" t="n">
        <v>0</v>
      </c>
      <c r="J444" t="n">
        <v>0</v>
      </c>
      <c r="K444" t="n">
        <v>0</v>
      </c>
      <c r="L444" t="n">
        <v>0</v>
      </c>
      <c r="M444" t="n">
        <v>0</v>
      </c>
      <c r="N444" t="n">
        <v>0</v>
      </c>
      <c r="O444" t="n">
        <v>0</v>
      </c>
      <c r="P444" t="n">
        <v>0</v>
      </c>
      <c r="Q444" t="n">
        <v>0</v>
      </c>
      <c r="R444" s="2" t="inlineStr"/>
    </row>
    <row r="445" ht="15" customHeight="1">
      <c r="A445" t="inlineStr">
        <is>
          <t>A 9887-2025</t>
        </is>
      </c>
      <c r="B445" s="1" t="n">
        <v>45716</v>
      </c>
      <c r="C445" s="1" t="n">
        <v>46004</v>
      </c>
      <c r="D445" t="inlineStr">
        <is>
          <t>GOTLANDS LÄN</t>
        </is>
      </c>
      <c r="E445" t="inlineStr">
        <is>
          <t>GOTLAND</t>
        </is>
      </c>
      <c r="G445" t="n">
        <v>7.5</v>
      </c>
      <c r="H445" t="n">
        <v>0</v>
      </c>
      <c r="I445" t="n">
        <v>0</v>
      </c>
      <c r="J445" t="n">
        <v>0</v>
      </c>
      <c r="K445" t="n">
        <v>0</v>
      </c>
      <c r="L445" t="n">
        <v>0</v>
      </c>
      <c r="M445" t="n">
        <v>0</v>
      </c>
      <c r="N445" t="n">
        <v>0</v>
      </c>
      <c r="O445" t="n">
        <v>0</v>
      </c>
      <c r="P445" t="n">
        <v>0</v>
      </c>
      <c r="Q445" t="n">
        <v>0</v>
      </c>
      <c r="R445" s="2" t="inlineStr"/>
    </row>
    <row r="446" ht="15" customHeight="1">
      <c r="A446" t="inlineStr">
        <is>
          <t>A 12209-2024</t>
        </is>
      </c>
      <c r="B446" s="1" t="n">
        <v>45378</v>
      </c>
      <c r="C446" s="1" t="n">
        <v>46004</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12210-2024</t>
        </is>
      </c>
      <c r="B447" s="1" t="n">
        <v>45378</v>
      </c>
      <c r="C447" s="1" t="n">
        <v>46004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59986-2022</t>
        </is>
      </c>
      <c r="B448" s="1" t="n">
        <v>44909</v>
      </c>
      <c r="C448" s="1" t="n">
        <v>46004</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2292-2021</t>
        </is>
      </c>
      <c r="B449" s="1" t="n">
        <v>44212</v>
      </c>
      <c r="C449" s="1" t="n">
        <v>46004</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35142-2025</t>
        </is>
      </c>
      <c r="B450" s="1" t="n">
        <v>45852.65532407408</v>
      </c>
      <c r="C450" s="1" t="n">
        <v>46004</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35141-2025</t>
        </is>
      </c>
      <c r="B451" s="1" t="n">
        <v>45852.65206018519</v>
      </c>
      <c r="C451" s="1" t="n">
        <v>46004</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31802-2024</t>
        </is>
      </c>
      <c r="B452" s="1" t="n">
        <v>45509</v>
      </c>
      <c r="C452" s="1" t="n">
        <v>46004</v>
      </c>
      <c r="D452" t="inlineStr">
        <is>
          <t>GOTLANDS LÄN</t>
        </is>
      </c>
      <c r="E452" t="inlineStr">
        <is>
          <t>GOTLAND</t>
        </is>
      </c>
      <c r="G452" t="n">
        <v>2.8</v>
      </c>
      <c r="H452" t="n">
        <v>0</v>
      </c>
      <c r="I452" t="n">
        <v>0</v>
      </c>
      <c r="J452" t="n">
        <v>0</v>
      </c>
      <c r="K452" t="n">
        <v>0</v>
      </c>
      <c r="L452" t="n">
        <v>0</v>
      </c>
      <c r="M452" t="n">
        <v>0</v>
      </c>
      <c r="N452" t="n">
        <v>0</v>
      </c>
      <c r="O452" t="n">
        <v>0</v>
      </c>
      <c r="P452" t="n">
        <v>0</v>
      </c>
      <c r="Q452" t="n">
        <v>0</v>
      </c>
      <c r="R452" s="2" t="inlineStr"/>
    </row>
    <row r="453" ht="15" customHeight="1">
      <c r="A453" t="inlineStr">
        <is>
          <t>A 20993-2023</t>
        </is>
      </c>
      <c r="B453" s="1" t="n">
        <v>45056</v>
      </c>
      <c r="C453" s="1" t="n">
        <v>46004</v>
      </c>
      <c r="D453" t="inlineStr">
        <is>
          <t>GOTLANDS LÄN</t>
        </is>
      </c>
      <c r="E453" t="inlineStr">
        <is>
          <t>GOTLAND</t>
        </is>
      </c>
      <c r="G453" t="n">
        <v>7.1</v>
      </c>
      <c r="H453" t="n">
        <v>0</v>
      </c>
      <c r="I453" t="n">
        <v>0</v>
      </c>
      <c r="J453" t="n">
        <v>0</v>
      </c>
      <c r="K453" t="n">
        <v>0</v>
      </c>
      <c r="L453" t="n">
        <v>0</v>
      </c>
      <c r="M453" t="n">
        <v>0</v>
      </c>
      <c r="N453" t="n">
        <v>0</v>
      </c>
      <c r="O453" t="n">
        <v>0</v>
      </c>
      <c r="P453" t="n">
        <v>0</v>
      </c>
      <c r="Q453" t="n">
        <v>0</v>
      </c>
      <c r="R453" s="2" t="inlineStr"/>
    </row>
    <row r="454" ht="15" customHeight="1">
      <c r="A454" t="inlineStr">
        <is>
          <t>A 15042-2025</t>
        </is>
      </c>
      <c r="B454" s="1" t="n">
        <v>45743</v>
      </c>
      <c r="C454" s="1" t="n">
        <v>46004</v>
      </c>
      <c r="D454" t="inlineStr">
        <is>
          <t>GOTLANDS LÄN</t>
        </is>
      </c>
      <c r="E454" t="inlineStr">
        <is>
          <t>GOTLAND</t>
        </is>
      </c>
      <c r="G454" t="n">
        <v>8.5</v>
      </c>
      <c r="H454" t="n">
        <v>0</v>
      </c>
      <c r="I454" t="n">
        <v>0</v>
      </c>
      <c r="J454" t="n">
        <v>0</v>
      </c>
      <c r="K454" t="n">
        <v>0</v>
      </c>
      <c r="L454" t="n">
        <v>0</v>
      </c>
      <c r="M454" t="n">
        <v>0</v>
      </c>
      <c r="N454" t="n">
        <v>0</v>
      </c>
      <c r="O454" t="n">
        <v>0</v>
      </c>
      <c r="P454" t="n">
        <v>0</v>
      </c>
      <c r="Q454" t="n">
        <v>0</v>
      </c>
      <c r="R454" s="2" t="inlineStr"/>
    </row>
    <row r="455" ht="15" customHeight="1">
      <c r="A455" t="inlineStr">
        <is>
          <t>A 53934-2024</t>
        </is>
      </c>
      <c r="B455" s="1" t="n">
        <v>45615</v>
      </c>
      <c r="C455" s="1" t="n">
        <v>46004</v>
      </c>
      <c r="D455" t="inlineStr">
        <is>
          <t>GOTLANDS LÄN</t>
        </is>
      </c>
      <c r="E455" t="inlineStr">
        <is>
          <t>GOTLAND</t>
        </is>
      </c>
      <c r="G455" t="n">
        <v>5</v>
      </c>
      <c r="H455" t="n">
        <v>0</v>
      </c>
      <c r="I455" t="n">
        <v>0</v>
      </c>
      <c r="J455" t="n">
        <v>0</v>
      </c>
      <c r="K455" t="n">
        <v>0</v>
      </c>
      <c r="L455" t="n">
        <v>0</v>
      </c>
      <c r="M455" t="n">
        <v>0</v>
      </c>
      <c r="N455" t="n">
        <v>0</v>
      </c>
      <c r="O455" t="n">
        <v>0</v>
      </c>
      <c r="P455" t="n">
        <v>0</v>
      </c>
      <c r="Q455" t="n">
        <v>0</v>
      </c>
      <c r="R455" s="2" t="inlineStr"/>
    </row>
    <row r="456" ht="15" customHeight="1">
      <c r="A456" t="inlineStr">
        <is>
          <t>A 12327-2025</t>
        </is>
      </c>
      <c r="B456" s="1" t="n">
        <v>45730</v>
      </c>
      <c r="C456" s="1" t="n">
        <v>46004</v>
      </c>
      <c r="D456" t="inlineStr">
        <is>
          <t>GOTLANDS LÄN</t>
        </is>
      </c>
      <c r="E456" t="inlineStr">
        <is>
          <t>GOTLAND</t>
        </is>
      </c>
      <c r="G456" t="n">
        <v>1.8</v>
      </c>
      <c r="H456" t="n">
        <v>0</v>
      </c>
      <c r="I456" t="n">
        <v>0</v>
      </c>
      <c r="J456" t="n">
        <v>0</v>
      </c>
      <c r="K456" t="n">
        <v>0</v>
      </c>
      <c r="L456" t="n">
        <v>0</v>
      </c>
      <c r="M456" t="n">
        <v>0</v>
      </c>
      <c r="N456" t="n">
        <v>0</v>
      </c>
      <c r="O456" t="n">
        <v>0</v>
      </c>
      <c r="P456" t="n">
        <v>0</v>
      </c>
      <c r="Q456" t="n">
        <v>0</v>
      </c>
      <c r="R456" s="2" t="inlineStr"/>
    </row>
    <row r="457" ht="15" customHeight="1">
      <c r="A457" t="inlineStr">
        <is>
          <t>A 58132-2023</t>
        </is>
      </c>
      <c r="B457" s="1" t="n">
        <v>45250</v>
      </c>
      <c r="C457" s="1" t="n">
        <v>46004</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22899-2023</t>
        </is>
      </c>
      <c r="B458" s="1" t="n">
        <v>45072</v>
      </c>
      <c r="C458" s="1" t="n">
        <v>46004</v>
      </c>
      <c r="D458" t="inlineStr">
        <is>
          <t>GOTLANDS LÄN</t>
        </is>
      </c>
      <c r="E458" t="inlineStr">
        <is>
          <t>GOTLAND</t>
        </is>
      </c>
      <c r="G458" t="n">
        <v>0.7</v>
      </c>
      <c r="H458" t="n">
        <v>0</v>
      </c>
      <c r="I458" t="n">
        <v>0</v>
      </c>
      <c r="J458" t="n">
        <v>0</v>
      </c>
      <c r="K458" t="n">
        <v>0</v>
      </c>
      <c r="L458" t="n">
        <v>0</v>
      </c>
      <c r="M458" t="n">
        <v>0</v>
      </c>
      <c r="N458" t="n">
        <v>0</v>
      </c>
      <c r="O458" t="n">
        <v>0</v>
      </c>
      <c r="P458" t="n">
        <v>0</v>
      </c>
      <c r="Q458" t="n">
        <v>0</v>
      </c>
      <c r="R458" s="2" t="inlineStr"/>
    </row>
    <row r="459" ht="15" customHeight="1">
      <c r="A459" t="inlineStr">
        <is>
          <t>A 4420-2025</t>
        </is>
      </c>
      <c r="B459" s="1" t="n">
        <v>45686.47157407407</v>
      </c>
      <c r="C459" s="1" t="n">
        <v>46004</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28285-2024</t>
        </is>
      </c>
      <c r="B460" s="1" t="n">
        <v>45477</v>
      </c>
      <c r="C460" s="1" t="n">
        <v>46004</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14427-2024</t>
        </is>
      </c>
      <c r="B461" s="1" t="n">
        <v>45394</v>
      </c>
      <c r="C461" s="1" t="n">
        <v>46004</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51963-2024</t>
        </is>
      </c>
      <c r="B462" s="1" t="n">
        <v>45607.64833333333</v>
      </c>
      <c r="C462" s="1" t="n">
        <v>46004</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39849-2025</t>
        </is>
      </c>
      <c r="B463" s="1" t="n">
        <v>45891.58502314815</v>
      </c>
      <c r="C463" s="1" t="n">
        <v>46004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39814-2025</t>
        </is>
      </c>
      <c r="B464" s="1" t="n">
        <v>45891.52694444444</v>
      </c>
      <c r="C464" s="1" t="n">
        <v>46004</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39819-2025</t>
        </is>
      </c>
      <c r="B465" s="1" t="n">
        <v>45891.53418981482</v>
      </c>
      <c r="C465" s="1" t="n">
        <v>46004</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39752-2025</t>
        </is>
      </c>
      <c r="B466" s="1" t="n">
        <v>45891</v>
      </c>
      <c r="C466" s="1" t="n">
        <v>46004</v>
      </c>
      <c r="D466" t="inlineStr">
        <is>
          <t>GOTLANDS LÄN</t>
        </is>
      </c>
      <c r="E466" t="inlineStr">
        <is>
          <t>GOTLAND</t>
        </is>
      </c>
      <c r="G466" t="n">
        <v>5.3</v>
      </c>
      <c r="H466" t="n">
        <v>0</v>
      </c>
      <c r="I466" t="n">
        <v>0</v>
      </c>
      <c r="J466" t="n">
        <v>0</v>
      </c>
      <c r="K466" t="n">
        <v>0</v>
      </c>
      <c r="L466" t="n">
        <v>0</v>
      </c>
      <c r="M466" t="n">
        <v>0</v>
      </c>
      <c r="N466" t="n">
        <v>0</v>
      </c>
      <c r="O466" t="n">
        <v>0</v>
      </c>
      <c r="P466" t="n">
        <v>0</v>
      </c>
      <c r="Q466" t="n">
        <v>0</v>
      </c>
      <c r="R466" s="2" t="inlineStr"/>
    </row>
    <row r="467" ht="15" customHeight="1">
      <c r="A467" t="inlineStr">
        <is>
          <t>A 39816-2025</t>
        </is>
      </c>
      <c r="B467" s="1" t="n">
        <v>45891</v>
      </c>
      <c r="C467" s="1" t="n">
        <v>46004</v>
      </c>
      <c r="D467" t="inlineStr">
        <is>
          <t>GOTLANDS LÄN</t>
        </is>
      </c>
      <c r="E467" t="inlineStr">
        <is>
          <t>GOTLAND</t>
        </is>
      </c>
      <c r="G467" t="n">
        <v>0.9</v>
      </c>
      <c r="H467" t="n">
        <v>0</v>
      </c>
      <c r="I467" t="n">
        <v>0</v>
      </c>
      <c r="J467" t="n">
        <v>0</v>
      </c>
      <c r="K467" t="n">
        <v>0</v>
      </c>
      <c r="L467" t="n">
        <v>0</v>
      </c>
      <c r="M467" t="n">
        <v>0</v>
      </c>
      <c r="N467" t="n">
        <v>0</v>
      </c>
      <c r="O467" t="n">
        <v>0</v>
      </c>
      <c r="P467" t="n">
        <v>0</v>
      </c>
      <c r="Q467" t="n">
        <v>0</v>
      </c>
      <c r="R467" s="2" t="inlineStr"/>
    </row>
    <row r="468" ht="15" customHeight="1">
      <c r="A468" t="inlineStr">
        <is>
          <t>A 40372-2025</t>
        </is>
      </c>
      <c r="B468" s="1" t="n">
        <v>45895.5162037037</v>
      </c>
      <c r="C468" s="1" t="n">
        <v>46004</v>
      </c>
      <c r="D468" t="inlineStr">
        <is>
          <t>GOTLANDS LÄN</t>
        </is>
      </c>
      <c r="E468" t="inlineStr">
        <is>
          <t>GOTLAND</t>
        </is>
      </c>
      <c r="G468" t="n">
        <v>3.3</v>
      </c>
      <c r="H468" t="n">
        <v>0</v>
      </c>
      <c r="I468" t="n">
        <v>0</v>
      </c>
      <c r="J468" t="n">
        <v>0</v>
      </c>
      <c r="K468" t="n">
        <v>0</v>
      </c>
      <c r="L468" t="n">
        <v>0</v>
      </c>
      <c r="M468" t="n">
        <v>0</v>
      </c>
      <c r="N468" t="n">
        <v>0</v>
      </c>
      <c r="O468" t="n">
        <v>0</v>
      </c>
      <c r="P468" t="n">
        <v>0</v>
      </c>
      <c r="Q468" t="n">
        <v>0</v>
      </c>
      <c r="R468" s="2" t="inlineStr"/>
    </row>
    <row r="469" ht="15" customHeight="1">
      <c r="A469" t="inlineStr">
        <is>
          <t>A 40373-2025</t>
        </is>
      </c>
      <c r="B469" s="1" t="n">
        <v>45895.51821759259</v>
      </c>
      <c r="C469" s="1" t="n">
        <v>46004</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49257-2024</t>
        </is>
      </c>
      <c r="B470" s="1" t="n">
        <v>45595.47627314815</v>
      </c>
      <c r="C470" s="1" t="n">
        <v>46004</v>
      </c>
      <c r="D470" t="inlineStr">
        <is>
          <t>GOTLANDS LÄN</t>
        </is>
      </c>
      <c r="E470" t="inlineStr">
        <is>
          <t>GOTLAND</t>
        </is>
      </c>
      <c r="G470" t="n">
        <v>6.3</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46004</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46004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49315-2024</t>
        </is>
      </c>
      <c r="B473" s="1" t="n">
        <v>45595</v>
      </c>
      <c r="C473" s="1" t="n">
        <v>46004</v>
      </c>
      <c r="D473" t="inlineStr">
        <is>
          <t>GOTLANDS LÄN</t>
        </is>
      </c>
      <c r="E473" t="inlineStr">
        <is>
          <t>GOTLAND</t>
        </is>
      </c>
      <c r="G473" t="n">
        <v>1.5</v>
      </c>
      <c r="H473" t="n">
        <v>0</v>
      </c>
      <c r="I473" t="n">
        <v>0</v>
      </c>
      <c r="J473" t="n">
        <v>0</v>
      </c>
      <c r="K473" t="n">
        <v>0</v>
      </c>
      <c r="L473" t="n">
        <v>0</v>
      </c>
      <c r="M473" t="n">
        <v>0</v>
      </c>
      <c r="N473" t="n">
        <v>0</v>
      </c>
      <c r="O473" t="n">
        <v>0</v>
      </c>
      <c r="P473" t="n">
        <v>0</v>
      </c>
      <c r="Q473" t="n">
        <v>0</v>
      </c>
      <c r="R473" s="2" t="inlineStr"/>
    </row>
    <row r="474" ht="15" customHeight="1">
      <c r="A474" t="inlineStr">
        <is>
          <t>A 2674-2023</t>
        </is>
      </c>
      <c r="B474" s="1" t="n">
        <v>44944</v>
      </c>
      <c r="C474" s="1" t="n">
        <v>46004</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40103-2025</t>
        </is>
      </c>
      <c r="B475" s="1" t="n">
        <v>45894.4880324074</v>
      </c>
      <c r="C475" s="1" t="n">
        <v>46004</v>
      </c>
      <c r="D475" t="inlineStr">
        <is>
          <t>GOTLANDS LÄN</t>
        </is>
      </c>
      <c r="E475" t="inlineStr">
        <is>
          <t>GOTLAND</t>
        </is>
      </c>
      <c r="G475" t="n">
        <v>0.9</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46004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61100-2022</t>
        </is>
      </c>
      <c r="B477" s="1" t="n">
        <v>44915</v>
      </c>
      <c r="C477" s="1" t="n">
        <v>46004</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1066-2024</t>
        </is>
      </c>
      <c r="B478" s="1" t="n">
        <v>45302.285</v>
      </c>
      <c r="C478" s="1" t="n">
        <v>46004</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581-2023</t>
        </is>
      </c>
      <c r="B479" s="1" t="n">
        <v>44930</v>
      </c>
      <c r="C479" s="1" t="n">
        <v>46004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40499-2025</t>
        </is>
      </c>
      <c r="B480" s="1" t="n">
        <v>45896.32517361111</v>
      </c>
      <c r="C480" s="1" t="n">
        <v>46004</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10655-2023</t>
        </is>
      </c>
      <c r="B481" s="1" t="n">
        <v>44988.49543981482</v>
      </c>
      <c r="C481" s="1" t="n">
        <v>46004</v>
      </c>
      <c r="D481" t="inlineStr">
        <is>
          <t>GOTLANDS LÄN</t>
        </is>
      </c>
      <c r="E481" t="inlineStr">
        <is>
          <t>GOTLAND</t>
        </is>
      </c>
      <c r="F481" t="inlineStr">
        <is>
          <t>Kyrkan</t>
        </is>
      </c>
      <c r="G481" t="n">
        <v>2</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46004</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41551-2025</t>
        </is>
      </c>
      <c r="B483" s="1" t="n">
        <v>45901.58854166666</v>
      </c>
      <c r="C483" s="1" t="n">
        <v>46004</v>
      </c>
      <c r="D483" t="inlineStr">
        <is>
          <t>GOTLANDS LÄN</t>
        </is>
      </c>
      <c r="E483" t="inlineStr">
        <is>
          <t>GOTLAND</t>
        </is>
      </c>
      <c r="G483" t="n">
        <v>5.6</v>
      </c>
      <c r="H483" t="n">
        <v>0</v>
      </c>
      <c r="I483" t="n">
        <v>0</v>
      </c>
      <c r="J483" t="n">
        <v>0</v>
      </c>
      <c r="K483" t="n">
        <v>0</v>
      </c>
      <c r="L483" t="n">
        <v>0</v>
      </c>
      <c r="M483" t="n">
        <v>0</v>
      </c>
      <c r="N483" t="n">
        <v>0</v>
      </c>
      <c r="O483" t="n">
        <v>0</v>
      </c>
      <c r="P483" t="n">
        <v>0</v>
      </c>
      <c r="Q483" t="n">
        <v>0</v>
      </c>
      <c r="R483" s="2" t="inlineStr"/>
    </row>
    <row r="484" ht="15" customHeight="1">
      <c r="A484" t="inlineStr">
        <is>
          <t>A 44649-2021</t>
        </is>
      </c>
      <c r="B484" s="1" t="n">
        <v>44437</v>
      </c>
      <c r="C484" s="1" t="n">
        <v>46004</v>
      </c>
      <c r="D484" t="inlineStr">
        <is>
          <t>GOTLANDS LÄN</t>
        </is>
      </c>
      <c r="E484" t="inlineStr">
        <is>
          <t>GOTLAND</t>
        </is>
      </c>
      <c r="G484" t="n">
        <v>8.1</v>
      </c>
      <c r="H484" t="n">
        <v>0</v>
      </c>
      <c r="I484" t="n">
        <v>0</v>
      </c>
      <c r="J484" t="n">
        <v>0</v>
      </c>
      <c r="K484" t="n">
        <v>0</v>
      </c>
      <c r="L484" t="n">
        <v>0</v>
      </c>
      <c r="M484" t="n">
        <v>0</v>
      </c>
      <c r="N484" t="n">
        <v>0</v>
      </c>
      <c r="O484" t="n">
        <v>0</v>
      </c>
      <c r="P484" t="n">
        <v>0</v>
      </c>
      <c r="Q484" t="n">
        <v>0</v>
      </c>
      <c r="R484" s="2" t="inlineStr"/>
    </row>
    <row r="485" ht="15" customHeight="1">
      <c r="A485" t="inlineStr">
        <is>
          <t>A 27596-2023</t>
        </is>
      </c>
      <c r="B485" s="1" t="n">
        <v>45097</v>
      </c>
      <c r="C485" s="1" t="n">
        <v>46004</v>
      </c>
      <c r="D485" t="inlineStr">
        <is>
          <t>GOTLANDS LÄN</t>
        </is>
      </c>
      <c r="E485" t="inlineStr">
        <is>
          <t>GOTLAND</t>
        </is>
      </c>
      <c r="G485" t="n">
        <v>3.6</v>
      </c>
      <c r="H485" t="n">
        <v>0</v>
      </c>
      <c r="I485" t="n">
        <v>0</v>
      </c>
      <c r="J485" t="n">
        <v>0</v>
      </c>
      <c r="K485" t="n">
        <v>0</v>
      </c>
      <c r="L485" t="n">
        <v>0</v>
      </c>
      <c r="M485" t="n">
        <v>0</v>
      </c>
      <c r="N485" t="n">
        <v>0</v>
      </c>
      <c r="O485" t="n">
        <v>0</v>
      </c>
      <c r="P485" t="n">
        <v>0</v>
      </c>
      <c r="Q485" t="n">
        <v>0</v>
      </c>
      <c r="R485" s="2" t="inlineStr"/>
    </row>
    <row r="486" ht="15" customHeight="1">
      <c r="A486" t="inlineStr">
        <is>
          <t>A 8484-2025</t>
        </is>
      </c>
      <c r="B486" s="1" t="n">
        <v>45709</v>
      </c>
      <c r="C486" s="1" t="n">
        <v>46004</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56115-2023</t>
        </is>
      </c>
      <c r="B487" s="1" t="n">
        <v>45236</v>
      </c>
      <c r="C487" s="1" t="n">
        <v>46004</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64969-2023</t>
        </is>
      </c>
      <c r="B488" s="1" t="n">
        <v>45284.54009259259</v>
      </c>
      <c r="C488" s="1" t="n">
        <v>46004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39278-2025</t>
        </is>
      </c>
      <c r="B489" s="1" t="n">
        <v>45889</v>
      </c>
      <c r="C489" s="1" t="n">
        <v>46004</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30815-2023</t>
        </is>
      </c>
      <c r="B490" s="1" t="n">
        <v>45112</v>
      </c>
      <c r="C490" s="1" t="n">
        <v>46004</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33853-2024</t>
        </is>
      </c>
      <c r="B491" s="1" t="n">
        <v>45520.64298611111</v>
      </c>
      <c r="C491" s="1" t="n">
        <v>46004</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41435-2025</t>
        </is>
      </c>
      <c r="B492" s="1" t="n">
        <v>45901.39974537037</v>
      </c>
      <c r="C492" s="1" t="n">
        <v>46004</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18223-2025</t>
        </is>
      </c>
      <c r="B493" s="1" t="n">
        <v>45761</v>
      </c>
      <c r="C493" s="1" t="n">
        <v>46004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46004</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46949-2024</t>
        </is>
      </c>
      <c r="B495" s="1" t="n">
        <v>45585</v>
      </c>
      <c r="C495" s="1" t="n">
        <v>46004</v>
      </c>
      <c r="D495" t="inlineStr">
        <is>
          <t>GOTLANDS LÄN</t>
        </is>
      </c>
      <c r="E495" t="inlineStr">
        <is>
          <t>GOTLAND</t>
        </is>
      </c>
      <c r="G495" t="n">
        <v>0.6</v>
      </c>
      <c r="H495" t="n">
        <v>0</v>
      </c>
      <c r="I495" t="n">
        <v>0</v>
      </c>
      <c r="J495" t="n">
        <v>0</v>
      </c>
      <c r="K495" t="n">
        <v>0</v>
      </c>
      <c r="L495" t="n">
        <v>0</v>
      </c>
      <c r="M495" t="n">
        <v>0</v>
      </c>
      <c r="N495" t="n">
        <v>0</v>
      </c>
      <c r="O495" t="n">
        <v>0</v>
      </c>
      <c r="P495" t="n">
        <v>0</v>
      </c>
      <c r="Q495" t="n">
        <v>0</v>
      </c>
      <c r="R495" s="2" t="inlineStr"/>
    </row>
    <row r="496" ht="15" customHeight="1">
      <c r="A496" t="inlineStr">
        <is>
          <t>A 10492-2023</t>
        </is>
      </c>
      <c r="B496" s="1" t="n">
        <v>44987</v>
      </c>
      <c r="C496" s="1" t="n">
        <v>46004</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24001-2021</t>
        </is>
      </c>
      <c r="B497" s="1" t="n">
        <v>44335</v>
      </c>
      <c r="C497" s="1" t="n">
        <v>46004</v>
      </c>
      <c r="D497" t="inlineStr">
        <is>
          <t>GOTLANDS LÄN</t>
        </is>
      </c>
      <c r="E497" t="inlineStr">
        <is>
          <t>GOTLAND</t>
        </is>
      </c>
      <c r="G497" t="n">
        <v>3.4</v>
      </c>
      <c r="H497" t="n">
        <v>0</v>
      </c>
      <c r="I497" t="n">
        <v>0</v>
      </c>
      <c r="J497" t="n">
        <v>0</v>
      </c>
      <c r="K497" t="n">
        <v>0</v>
      </c>
      <c r="L497" t="n">
        <v>0</v>
      </c>
      <c r="M497" t="n">
        <v>0</v>
      </c>
      <c r="N497" t="n">
        <v>0</v>
      </c>
      <c r="O497" t="n">
        <v>0</v>
      </c>
      <c r="P497" t="n">
        <v>0</v>
      </c>
      <c r="Q497" t="n">
        <v>0</v>
      </c>
      <c r="R497" s="2" t="inlineStr"/>
    </row>
    <row r="498" ht="15" customHeight="1">
      <c r="A498" t="inlineStr">
        <is>
          <t>A 39479-2022</t>
        </is>
      </c>
      <c r="B498" s="1" t="n">
        <v>44818</v>
      </c>
      <c r="C498" s="1" t="n">
        <v>46004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39496-2022</t>
        </is>
      </c>
      <c r="B499" s="1" t="n">
        <v>44818</v>
      </c>
      <c r="C499" s="1" t="n">
        <v>46004</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49962-2023</t>
        </is>
      </c>
      <c r="B500" s="1" t="n">
        <v>45215.38775462963</v>
      </c>
      <c r="C500" s="1" t="n">
        <v>46004</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42608-2025</t>
        </is>
      </c>
      <c r="B501" s="1" t="n">
        <v>45905</v>
      </c>
      <c r="C501" s="1" t="n">
        <v>46004</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50744-2024</t>
        </is>
      </c>
      <c r="B502" s="1" t="n">
        <v>45602.4187037037</v>
      </c>
      <c r="C502" s="1" t="n">
        <v>46004</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45244-2024</t>
        </is>
      </c>
      <c r="B503" s="1" t="n">
        <v>45576</v>
      </c>
      <c r="C503" s="1" t="n">
        <v>46004</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38787-2023</t>
        </is>
      </c>
      <c r="B504" s="1" t="n">
        <v>45163</v>
      </c>
      <c r="C504" s="1" t="n">
        <v>46004</v>
      </c>
      <c r="D504" t="inlineStr">
        <is>
          <t>GOTLANDS LÄN</t>
        </is>
      </c>
      <c r="E504" t="inlineStr">
        <is>
          <t>GOTLAND</t>
        </is>
      </c>
      <c r="G504" t="n">
        <v>0.4</v>
      </c>
      <c r="H504" t="n">
        <v>0</v>
      </c>
      <c r="I504" t="n">
        <v>0</v>
      </c>
      <c r="J504" t="n">
        <v>0</v>
      </c>
      <c r="K504" t="n">
        <v>0</v>
      </c>
      <c r="L504" t="n">
        <v>0</v>
      </c>
      <c r="M504" t="n">
        <v>0</v>
      </c>
      <c r="N504" t="n">
        <v>0</v>
      </c>
      <c r="O504" t="n">
        <v>0</v>
      </c>
      <c r="P504" t="n">
        <v>0</v>
      </c>
      <c r="Q504" t="n">
        <v>0</v>
      </c>
      <c r="R504" s="2" t="inlineStr"/>
    </row>
    <row r="505" ht="15" customHeight="1">
      <c r="A505" t="inlineStr">
        <is>
          <t>A 46389-2021</t>
        </is>
      </c>
      <c r="B505" s="1" t="n">
        <v>44443</v>
      </c>
      <c r="C505" s="1" t="n">
        <v>46004</v>
      </c>
      <c r="D505" t="inlineStr">
        <is>
          <t>GOTLANDS LÄN</t>
        </is>
      </c>
      <c r="E505" t="inlineStr">
        <is>
          <t>GOTLAND</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16373-2025</t>
        </is>
      </c>
      <c r="B506" s="1" t="n">
        <v>45751</v>
      </c>
      <c r="C506" s="1" t="n">
        <v>46004</v>
      </c>
      <c r="D506" t="inlineStr">
        <is>
          <t>GOTLANDS LÄN</t>
        </is>
      </c>
      <c r="E506" t="inlineStr">
        <is>
          <t>GOTLAND</t>
        </is>
      </c>
      <c r="G506" t="n">
        <v>1.5</v>
      </c>
      <c r="H506" t="n">
        <v>0</v>
      </c>
      <c r="I506" t="n">
        <v>0</v>
      </c>
      <c r="J506" t="n">
        <v>0</v>
      </c>
      <c r="K506" t="n">
        <v>0</v>
      </c>
      <c r="L506" t="n">
        <v>0</v>
      </c>
      <c r="M506" t="n">
        <v>0</v>
      </c>
      <c r="N506" t="n">
        <v>0</v>
      </c>
      <c r="O506" t="n">
        <v>0</v>
      </c>
      <c r="P506" t="n">
        <v>0</v>
      </c>
      <c r="Q506" t="n">
        <v>0</v>
      </c>
      <c r="R506" s="2" t="inlineStr"/>
    </row>
    <row r="507" ht="15" customHeight="1">
      <c r="A507" t="inlineStr">
        <is>
          <t>A 44949-2023</t>
        </is>
      </c>
      <c r="B507" s="1" t="n">
        <v>45190.69520833333</v>
      </c>
      <c r="C507" s="1" t="n">
        <v>46004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17682-2024</t>
        </is>
      </c>
      <c r="B508" s="1" t="n">
        <v>45418.42966435185</v>
      </c>
      <c r="C508" s="1" t="n">
        <v>46004</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44919-2022</t>
        </is>
      </c>
      <c r="B509" s="1" t="n">
        <v>44841</v>
      </c>
      <c r="C509" s="1" t="n">
        <v>46004</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61897-2024</t>
        </is>
      </c>
      <c r="B510" s="1" t="n">
        <v>45652.75685185185</v>
      </c>
      <c r="C510" s="1" t="n">
        <v>46004</v>
      </c>
      <c r="D510" t="inlineStr">
        <is>
          <t>GOTLANDS LÄN</t>
        </is>
      </c>
      <c r="E510" t="inlineStr">
        <is>
          <t>GOTLAND</t>
        </is>
      </c>
      <c r="G510" t="n">
        <v>6.4</v>
      </c>
      <c r="H510" t="n">
        <v>0</v>
      </c>
      <c r="I510" t="n">
        <v>0</v>
      </c>
      <c r="J510" t="n">
        <v>0</v>
      </c>
      <c r="K510" t="n">
        <v>0</v>
      </c>
      <c r="L510" t="n">
        <v>0</v>
      </c>
      <c r="M510" t="n">
        <v>0</v>
      </c>
      <c r="N510" t="n">
        <v>0</v>
      </c>
      <c r="O510" t="n">
        <v>0</v>
      </c>
      <c r="P510" t="n">
        <v>0</v>
      </c>
      <c r="Q510" t="n">
        <v>0</v>
      </c>
      <c r="R510" s="2" t="inlineStr"/>
    </row>
    <row r="511" ht="15" customHeight="1">
      <c r="A511" t="inlineStr">
        <is>
          <t>A 10158-2025</t>
        </is>
      </c>
      <c r="B511" s="1" t="n">
        <v>45719</v>
      </c>
      <c r="C511" s="1" t="n">
        <v>46004</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12032-2025</t>
        </is>
      </c>
      <c r="B512" s="1" t="n">
        <v>45728.64472222222</v>
      </c>
      <c r="C512" s="1" t="n">
        <v>46004</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15595-2024</t>
        </is>
      </c>
      <c r="B513" s="1" t="n">
        <v>45401.81480324074</v>
      </c>
      <c r="C513" s="1" t="n">
        <v>46004</v>
      </c>
      <c r="D513" t="inlineStr">
        <is>
          <t>GOTLANDS LÄN</t>
        </is>
      </c>
      <c r="E513" t="inlineStr">
        <is>
          <t>GOTLAND</t>
        </is>
      </c>
      <c r="G513" t="n">
        <v>6.4</v>
      </c>
      <c r="H513" t="n">
        <v>0</v>
      </c>
      <c r="I513" t="n">
        <v>0</v>
      </c>
      <c r="J513" t="n">
        <v>0</v>
      </c>
      <c r="K513" t="n">
        <v>0</v>
      </c>
      <c r="L513" t="n">
        <v>0</v>
      </c>
      <c r="M513" t="n">
        <v>0</v>
      </c>
      <c r="N513" t="n">
        <v>0</v>
      </c>
      <c r="O513" t="n">
        <v>0</v>
      </c>
      <c r="P513" t="n">
        <v>0</v>
      </c>
      <c r="Q513" t="n">
        <v>0</v>
      </c>
      <c r="R513" s="2" t="inlineStr"/>
    </row>
    <row r="514" ht="15" customHeight="1">
      <c r="A514" t="inlineStr">
        <is>
          <t>A 16501-2023</t>
        </is>
      </c>
      <c r="B514" s="1" t="n">
        <v>45029</v>
      </c>
      <c r="C514" s="1" t="n">
        <v>46004</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43911-2025</t>
        </is>
      </c>
      <c r="B515" s="1" t="n">
        <v>45914.3881712963</v>
      </c>
      <c r="C515" s="1" t="n">
        <v>46004</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43951-2025</t>
        </is>
      </c>
      <c r="B516" s="1" t="n">
        <v>45915.38119212963</v>
      </c>
      <c r="C516" s="1" t="n">
        <v>46004</v>
      </c>
      <c r="D516" t="inlineStr">
        <is>
          <t>GOTLANDS LÄN</t>
        </is>
      </c>
      <c r="E516" t="inlineStr">
        <is>
          <t>GOTLAND</t>
        </is>
      </c>
      <c r="G516" t="n">
        <v>4.4</v>
      </c>
      <c r="H516" t="n">
        <v>0</v>
      </c>
      <c r="I516" t="n">
        <v>0</v>
      </c>
      <c r="J516" t="n">
        <v>0</v>
      </c>
      <c r="K516" t="n">
        <v>0</v>
      </c>
      <c r="L516" t="n">
        <v>0</v>
      </c>
      <c r="M516" t="n">
        <v>0</v>
      </c>
      <c r="N516" t="n">
        <v>0</v>
      </c>
      <c r="O516" t="n">
        <v>0</v>
      </c>
      <c r="P516" t="n">
        <v>0</v>
      </c>
      <c r="Q516" t="n">
        <v>0</v>
      </c>
      <c r="R516" s="2" t="inlineStr"/>
    </row>
    <row r="517" ht="15" customHeight="1">
      <c r="A517" t="inlineStr">
        <is>
          <t>A 44410-2025</t>
        </is>
      </c>
      <c r="B517" s="1" t="n">
        <v>45916.53699074074</v>
      </c>
      <c r="C517" s="1" t="n">
        <v>46004</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21164-2024</t>
        </is>
      </c>
      <c r="B518" s="1" t="n">
        <v>45440</v>
      </c>
      <c r="C518" s="1" t="n">
        <v>46004</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17541-2024</t>
        </is>
      </c>
      <c r="B519" s="1" t="n">
        <v>45415</v>
      </c>
      <c r="C519" s="1" t="n">
        <v>46004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883-2025</t>
        </is>
      </c>
      <c r="B520" s="1" t="n">
        <v>45665</v>
      </c>
      <c r="C520" s="1" t="n">
        <v>46004</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13910-2025</t>
        </is>
      </c>
      <c r="B521" s="1" t="n">
        <v>45737</v>
      </c>
      <c r="C521" s="1" t="n">
        <v>46004</v>
      </c>
      <c r="D521" t="inlineStr">
        <is>
          <t>GOTLANDS LÄN</t>
        </is>
      </c>
      <c r="E521" t="inlineStr">
        <is>
          <t>GOTLAND</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44405-2025</t>
        </is>
      </c>
      <c r="B522" s="1" t="n">
        <v>45916.52405092592</v>
      </c>
      <c r="C522" s="1" t="n">
        <v>46004</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20794-2025</t>
        </is>
      </c>
      <c r="B523" s="1" t="n">
        <v>45776</v>
      </c>
      <c r="C523" s="1" t="n">
        <v>46004</v>
      </c>
      <c r="D523" t="inlineStr">
        <is>
          <t>GOTLANDS LÄN</t>
        </is>
      </c>
      <c r="E523" t="inlineStr">
        <is>
          <t>GOTLAND</t>
        </is>
      </c>
      <c r="G523" t="n">
        <v>6</v>
      </c>
      <c r="H523" t="n">
        <v>0</v>
      </c>
      <c r="I523" t="n">
        <v>0</v>
      </c>
      <c r="J523" t="n">
        <v>0</v>
      </c>
      <c r="K523" t="n">
        <v>0</v>
      </c>
      <c r="L523" t="n">
        <v>0</v>
      </c>
      <c r="M523" t="n">
        <v>0</v>
      </c>
      <c r="N523" t="n">
        <v>0</v>
      </c>
      <c r="O523" t="n">
        <v>0</v>
      </c>
      <c r="P523" t="n">
        <v>0</v>
      </c>
      <c r="Q523" t="n">
        <v>0</v>
      </c>
      <c r="R523" s="2" t="inlineStr"/>
    </row>
    <row r="524" ht="15" customHeight="1">
      <c r="A524" t="inlineStr">
        <is>
          <t>A 20805-2025</t>
        </is>
      </c>
      <c r="B524" s="1" t="n">
        <v>45776</v>
      </c>
      <c r="C524" s="1" t="n">
        <v>46004</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21389-2025</t>
        </is>
      </c>
      <c r="B525" s="1" t="n">
        <v>45782</v>
      </c>
      <c r="C525" s="1" t="n">
        <v>46004</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54584-2025</t>
        </is>
      </c>
      <c r="B526" s="1" t="n">
        <v>45965.71788194445</v>
      </c>
      <c r="C526" s="1" t="n">
        <v>46004</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21651-2025</t>
        </is>
      </c>
      <c r="B527" s="1" t="n">
        <v>45783</v>
      </c>
      <c r="C527" s="1" t="n">
        <v>46004</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26391-2025</t>
        </is>
      </c>
      <c r="B528" s="1" t="n">
        <v>45806</v>
      </c>
      <c r="C528" s="1" t="n">
        <v>46004</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21420-2024</t>
        </is>
      </c>
      <c r="B529" s="1" t="n">
        <v>45441.38293981482</v>
      </c>
      <c r="C529" s="1" t="n">
        <v>46004</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10656-2024</t>
        </is>
      </c>
      <c r="B530" s="1" t="n">
        <v>45368</v>
      </c>
      <c r="C530" s="1" t="n">
        <v>46004</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57356-2023</t>
        </is>
      </c>
      <c r="B531" s="1" t="n">
        <v>45240</v>
      </c>
      <c r="C531" s="1" t="n">
        <v>46004</v>
      </c>
      <c r="D531" t="inlineStr">
        <is>
          <t>GOTLANDS LÄN</t>
        </is>
      </c>
      <c r="E531" t="inlineStr">
        <is>
          <t>GOTLAND</t>
        </is>
      </c>
      <c r="G531" t="n">
        <v>6.4</v>
      </c>
      <c r="H531" t="n">
        <v>0</v>
      </c>
      <c r="I531" t="n">
        <v>0</v>
      </c>
      <c r="J531" t="n">
        <v>0</v>
      </c>
      <c r="K531" t="n">
        <v>0</v>
      </c>
      <c r="L531" t="n">
        <v>0</v>
      </c>
      <c r="M531" t="n">
        <v>0</v>
      </c>
      <c r="N531" t="n">
        <v>0</v>
      </c>
      <c r="O531" t="n">
        <v>0</v>
      </c>
      <c r="P531" t="n">
        <v>0</v>
      </c>
      <c r="Q531" t="n">
        <v>0</v>
      </c>
      <c r="R531" s="2" t="inlineStr"/>
    </row>
    <row r="532" ht="15" customHeight="1">
      <c r="A532" t="inlineStr">
        <is>
          <t>A 28506-2023</t>
        </is>
      </c>
      <c r="B532" s="1" t="n">
        <v>45103</v>
      </c>
      <c r="C532" s="1" t="n">
        <v>46004</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23188-2025</t>
        </is>
      </c>
      <c r="B533" s="1" t="n">
        <v>45791</v>
      </c>
      <c r="C533" s="1" t="n">
        <v>46004</v>
      </c>
      <c r="D533" t="inlineStr">
        <is>
          <t>GOTLANDS LÄN</t>
        </is>
      </c>
      <c r="E533" t="inlineStr">
        <is>
          <t>GOTLAND</t>
        </is>
      </c>
      <c r="G533" t="n">
        <v>6.2</v>
      </c>
      <c r="H533" t="n">
        <v>0</v>
      </c>
      <c r="I533" t="n">
        <v>0</v>
      </c>
      <c r="J533" t="n">
        <v>0</v>
      </c>
      <c r="K533" t="n">
        <v>0</v>
      </c>
      <c r="L533" t="n">
        <v>0</v>
      </c>
      <c r="M533" t="n">
        <v>0</v>
      </c>
      <c r="N533" t="n">
        <v>0</v>
      </c>
      <c r="O533" t="n">
        <v>0</v>
      </c>
      <c r="P533" t="n">
        <v>0</v>
      </c>
      <c r="Q533" t="n">
        <v>0</v>
      </c>
      <c r="R533" s="2" t="inlineStr"/>
    </row>
    <row r="534" ht="15" customHeight="1">
      <c r="A534" t="inlineStr">
        <is>
          <t>A 46836-2025</t>
        </is>
      </c>
      <c r="B534" s="1" t="n">
        <v>45928.31511574074</v>
      </c>
      <c r="C534" s="1" t="n">
        <v>46004</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47637-2025</t>
        </is>
      </c>
      <c r="B535" s="1" t="n">
        <v>45931.49753472222</v>
      </c>
      <c r="C535" s="1" t="n">
        <v>46004</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46004</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46004</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46004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46004</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32378-2025</t>
        </is>
      </c>
      <c r="B540" s="1" t="n">
        <v>45837</v>
      </c>
      <c r="C540" s="1" t="n">
        <v>46004</v>
      </c>
      <c r="D540" t="inlineStr">
        <is>
          <t>GOTLANDS LÄN</t>
        </is>
      </c>
      <c r="E540" t="inlineStr">
        <is>
          <t>GOTLAND</t>
        </is>
      </c>
      <c r="G540" t="n">
        <v>4.1</v>
      </c>
      <c r="H540" t="n">
        <v>0</v>
      </c>
      <c r="I540" t="n">
        <v>0</v>
      </c>
      <c r="J540" t="n">
        <v>0</v>
      </c>
      <c r="K540" t="n">
        <v>0</v>
      </c>
      <c r="L540" t="n">
        <v>0</v>
      </c>
      <c r="M540" t="n">
        <v>0</v>
      </c>
      <c r="N540" t="n">
        <v>0</v>
      </c>
      <c r="O540" t="n">
        <v>0</v>
      </c>
      <c r="P540" t="n">
        <v>0</v>
      </c>
      <c r="Q540" t="n">
        <v>0</v>
      </c>
      <c r="R540" s="2" t="inlineStr"/>
    </row>
    <row r="541" ht="15" customHeight="1">
      <c r="A541" t="inlineStr">
        <is>
          <t>A 6749-2025</t>
        </is>
      </c>
      <c r="B541" s="1" t="n">
        <v>45700</v>
      </c>
      <c r="C541" s="1" t="n">
        <v>46004</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56799-2025</t>
        </is>
      </c>
      <c r="B542" s="1" t="n">
        <v>45978.43392361111</v>
      </c>
      <c r="C542" s="1" t="n">
        <v>46004</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46004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56688-2025</t>
        </is>
      </c>
      <c r="B544" s="1" t="n">
        <v>45975.84331018518</v>
      </c>
      <c r="C544" s="1" t="n">
        <v>46004</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47147-2025</t>
        </is>
      </c>
      <c r="B545" s="1" t="n">
        <v>45929</v>
      </c>
      <c r="C545" s="1" t="n">
        <v>46004</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35550-2025</t>
        </is>
      </c>
      <c r="B546" s="1" t="n">
        <v>45856.49324074074</v>
      </c>
      <c r="C546" s="1" t="n">
        <v>46004</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47578-2025</t>
        </is>
      </c>
      <c r="B547" s="1" t="n">
        <v>45931</v>
      </c>
      <c r="C547" s="1" t="n">
        <v>46004</v>
      </c>
      <c r="D547" t="inlineStr">
        <is>
          <t>GOTLANDS LÄN</t>
        </is>
      </c>
      <c r="E547" t="inlineStr">
        <is>
          <t>GOTLAND</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33011-2025</t>
        </is>
      </c>
      <c r="B548" s="1" t="n">
        <v>45840</v>
      </c>
      <c r="C548" s="1" t="n">
        <v>46004</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25796-2025</t>
        </is>
      </c>
      <c r="B549" s="1" t="n">
        <v>45804.39543981481</v>
      </c>
      <c r="C549" s="1" t="n">
        <v>46004</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49690-2025</t>
        </is>
      </c>
      <c r="B550" s="1" t="n">
        <v>45939.66730324074</v>
      </c>
      <c r="C550" s="1" t="n">
        <v>46004</v>
      </c>
      <c r="D550" t="inlineStr">
        <is>
          <t>GOTLANDS LÄN</t>
        </is>
      </c>
      <c r="E550" t="inlineStr">
        <is>
          <t>GOTLAND</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26465-2025</t>
        </is>
      </c>
      <c r="B551" s="1" t="n">
        <v>45807.44377314814</v>
      </c>
      <c r="C551" s="1" t="n">
        <v>46004</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26457-2025</t>
        </is>
      </c>
      <c r="B552" s="1" t="n">
        <v>45807.42773148148</v>
      </c>
      <c r="C552" s="1" t="n">
        <v>46004</v>
      </c>
      <c r="D552" t="inlineStr">
        <is>
          <t>GOTLANDS LÄN</t>
        </is>
      </c>
      <c r="E552" t="inlineStr">
        <is>
          <t>GOTLAND</t>
        </is>
      </c>
      <c r="G552" t="n">
        <v>5.7</v>
      </c>
      <c r="H552" t="n">
        <v>0</v>
      </c>
      <c r="I552" t="n">
        <v>0</v>
      </c>
      <c r="J552" t="n">
        <v>0</v>
      </c>
      <c r="K552" t="n">
        <v>0</v>
      </c>
      <c r="L552" t="n">
        <v>0</v>
      </c>
      <c r="M552" t="n">
        <v>0</v>
      </c>
      <c r="N552" t="n">
        <v>0</v>
      </c>
      <c r="O552" t="n">
        <v>0</v>
      </c>
      <c r="P552" t="n">
        <v>0</v>
      </c>
      <c r="Q552" t="n">
        <v>0</v>
      </c>
      <c r="R552" s="2" t="inlineStr"/>
    </row>
    <row r="553" ht="15" customHeight="1">
      <c r="A553" t="inlineStr">
        <is>
          <t>A 26467-2025</t>
        </is>
      </c>
      <c r="B553" s="1" t="n">
        <v>45807.44640046296</v>
      </c>
      <c r="C553" s="1" t="n">
        <v>46004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26660-2025</t>
        </is>
      </c>
      <c r="B554" s="1" t="n">
        <v>45810.39737268518</v>
      </c>
      <c r="C554" s="1" t="n">
        <v>46004</v>
      </c>
      <c r="D554" t="inlineStr">
        <is>
          <t>GOTLANDS LÄN</t>
        </is>
      </c>
      <c r="E554" t="inlineStr">
        <is>
          <t>GOTLAND</t>
        </is>
      </c>
      <c r="G554" t="n">
        <v>1.8</v>
      </c>
      <c r="H554" t="n">
        <v>0</v>
      </c>
      <c r="I554" t="n">
        <v>0</v>
      </c>
      <c r="J554" t="n">
        <v>0</v>
      </c>
      <c r="K554" t="n">
        <v>0</v>
      </c>
      <c r="L554" t="n">
        <v>0</v>
      </c>
      <c r="M554" t="n">
        <v>0</v>
      </c>
      <c r="N554" t="n">
        <v>0</v>
      </c>
      <c r="O554" t="n">
        <v>0</v>
      </c>
      <c r="P554" t="n">
        <v>0</v>
      </c>
      <c r="Q554" t="n">
        <v>0</v>
      </c>
      <c r="R554" s="2" t="inlineStr"/>
    </row>
    <row r="555" ht="15" customHeight="1">
      <c r="A555" t="inlineStr">
        <is>
          <t>A 27355-2025</t>
        </is>
      </c>
      <c r="B555" s="1" t="n">
        <v>45812</v>
      </c>
      <c r="C555" s="1" t="n">
        <v>46004</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49724-2025</t>
        </is>
      </c>
      <c r="B556" s="1" t="n">
        <v>45939.83730324074</v>
      </c>
      <c r="C556" s="1" t="n">
        <v>46004</v>
      </c>
      <c r="D556" t="inlineStr">
        <is>
          <t>GOTLANDS LÄN</t>
        </is>
      </c>
      <c r="E556" t="inlineStr">
        <is>
          <t>GOTLAND</t>
        </is>
      </c>
      <c r="F556" t="inlineStr">
        <is>
          <t>Kyrkan</t>
        </is>
      </c>
      <c r="G556" t="n">
        <v>3.1</v>
      </c>
      <c r="H556" t="n">
        <v>0</v>
      </c>
      <c r="I556" t="n">
        <v>0</v>
      </c>
      <c r="J556" t="n">
        <v>0</v>
      </c>
      <c r="K556" t="n">
        <v>0</v>
      </c>
      <c r="L556" t="n">
        <v>0</v>
      </c>
      <c r="M556" t="n">
        <v>0</v>
      </c>
      <c r="N556" t="n">
        <v>0</v>
      </c>
      <c r="O556" t="n">
        <v>0</v>
      </c>
      <c r="P556" t="n">
        <v>0</v>
      </c>
      <c r="Q556" t="n">
        <v>0</v>
      </c>
      <c r="R556" s="2" t="inlineStr"/>
    </row>
    <row r="557" ht="15" customHeight="1">
      <c r="A557" t="inlineStr">
        <is>
          <t>A 49730-2025</t>
        </is>
      </c>
      <c r="B557" s="1" t="n">
        <v>45939.87613425926</v>
      </c>
      <c r="C557" s="1" t="n">
        <v>46004</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27371-2025</t>
        </is>
      </c>
      <c r="B558" s="1" t="n">
        <v>45812</v>
      </c>
      <c r="C558" s="1" t="n">
        <v>46004</v>
      </c>
      <c r="D558" t="inlineStr">
        <is>
          <t>GOTLANDS LÄN</t>
        </is>
      </c>
      <c r="E558" t="inlineStr">
        <is>
          <t>GOTLAND</t>
        </is>
      </c>
      <c r="G558" t="n">
        <v>8</v>
      </c>
      <c r="H558" t="n">
        <v>0</v>
      </c>
      <c r="I558" t="n">
        <v>0</v>
      </c>
      <c r="J558" t="n">
        <v>0</v>
      </c>
      <c r="K558" t="n">
        <v>0</v>
      </c>
      <c r="L558" t="n">
        <v>0</v>
      </c>
      <c r="M558" t="n">
        <v>0</v>
      </c>
      <c r="N558" t="n">
        <v>0</v>
      </c>
      <c r="O558" t="n">
        <v>0</v>
      </c>
      <c r="P558" t="n">
        <v>0</v>
      </c>
      <c r="Q558" t="n">
        <v>0</v>
      </c>
      <c r="R558" s="2" t="inlineStr"/>
    </row>
    <row r="559" ht="15" customHeight="1">
      <c r="A559" t="inlineStr">
        <is>
          <t>A 50421-2025</t>
        </is>
      </c>
      <c r="B559" s="1" t="n">
        <v>45944.66049768519</v>
      </c>
      <c r="C559" s="1" t="n">
        <v>46004</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7850-2025</t>
        </is>
      </c>
      <c r="B560" s="1" t="n">
        <v>45706</v>
      </c>
      <c r="C560" s="1" t="n">
        <v>46004</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6739-2025</t>
        </is>
      </c>
      <c r="B561" s="1" t="n">
        <v>45700</v>
      </c>
      <c r="C561" s="1" t="n">
        <v>46004</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50431-2025</t>
        </is>
      </c>
      <c r="B562" s="1" t="n">
        <v>45944.68453703704</v>
      </c>
      <c r="C562" s="1" t="n">
        <v>46004</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8444-2025</t>
        </is>
      </c>
      <c r="B563" s="1" t="n">
        <v>45709</v>
      </c>
      <c r="C563" s="1" t="n">
        <v>46004</v>
      </c>
      <c r="D563" t="inlineStr">
        <is>
          <t>GOTLANDS LÄN</t>
        </is>
      </c>
      <c r="E563" t="inlineStr">
        <is>
          <t>GOTLAND</t>
        </is>
      </c>
      <c r="G563" t="n">
        <v>5.2</v>
      </c>
      <c r="H563" t="n">
        <v>0</v>
      </c>
      <c r="I563" t="n">
        <v>0</v>
      </c>
      <c r="J563" t="n">
        <v>0</v>
      </c>
      <c r="K563" t="n">
        <v>0</v>
      </c>
      <c r="L563" t="n">
        <v>0</v>
      </c>
      <c r="M563" t="n">
        <v>0</v>
      </c>
      <c r="N563" t="n">
        <v>0</v>
      </c>
      <c r="O563" t="n">
        <v>0</v>
      </c>
      <c r="P563" t="n">
        <v>0</v>
      </c>
      <c r="Q563" t="n">
        <v>0</v>
      </c>
      <c r="R563" s="2" t="inlineStr"/>
    </row>
    <row r="564" ht="15" customHeight="1">
      <c r="A564" t="inlineStr">
        <is>
          <t>A 19905-2025</t>
        </is>
      </c>
      <c r="B564" s="1" t="n">
        <v>45771</v>
      </c>
      <c r="C564" s="1" t="n">
        <v>46004</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29207-2025</t>
        </is>
      </c>
      <c r="B565" s="1" t="n">
        <v>45823</v>
      </c>
      <c r="C565" s="1" t="n">
        <v>46004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29196-2025</t>
        </is>
      </c>
      <c r="B566" s="1" t="n">
        <v>45822</v>
      </c>
      <c r="C566" s="1" t="n">
        <v>46004</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59197-2025</t>
        </is>
      </c>
      <c r="B567" s="1" t="n">
        <v>45988.59846064815</v>
      </c>
      <c r="C567" s="1" t="n">
        <v>46004</v>
      </c>
      <c r="D567" t="inlineStr">
        <is>
          <t>GOTLANDS LÄN</t>
        </is>
      </c>
      <c r="E567" t="inlineStr">
        <is>
          <t>GOTLAND</t>
        </is>
      </c>
      <c r="G567" t="n">
        <v>2.3</v>
      </c>
      <c r="H567" t="n">
        <v>0</v>
      </c>
      <c r="I567" t="n">
        <v>0</v>
      </c>
      <c r="J567" t="n">
        <v>0</v>
      </c>
      <c r="K567" t="n">
        <v>0</v>
      </c>
      <c r="L567" t="n">
        <v>0</v>
      </c>
      <c r="M567" t="n">
        <v>0</v>
      </c>
      <c r="N567" t="n">
        <v>0</v>
      </c>
      <c r="O567" t="n">
        <v>0</v>
      </c>
      <c r="P567" t="n">
        <v>0</v>
      </c>
      <c r="Q567" t="n">
        <v>0</v>
      </c>
      <c r="R567" s="2" t="inlineStr"/>
    </row>
    <row r="568" ht="15" customHeight="1">
      <c r="A568" t="inlineStr">
        <is>
          <t>A 50928-2025</t>
        </is>
      </c>
      <c r="B568" s="1" t="n">
        <v>45946.67896990741</v>
      </c>
      <c r="C568" s="1" t="n">
        <v>46004</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51262-2025</t>
        </is>
      </c>
      <c r="B569" s="1" t="n">
        <v>45949.49872685185</v>
      </c>
      <c r="C569" s="1" t="n">
        <v>46004</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30061-2025</t>
        </is>
      </c>
      <c r="B570" s="1" t="n">
        <v>45826.61488425926</v>
      </c>
      <c r="C570" s="1" t="n">
        <v>46004</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58160-2024</t>
        </is>
      </c>
      <c r="B571" s="1" t="n">
        <v>45632.44927083333</v>
      </c>
      <c r="C571" s="1" t="n">
        <v>46004</v>
      </c>
      <c r="D571" t="inlineStr">
        <is>
          <t>GOTLANDS LÄN</t>
        </is>
      </c>
      <c r="E571" t="inlineStr">
        <is>
          <t>GOTLAND</t>
        </is>
      </c>
      <c r="G571" t="n">
        <v>5.6</v>
      </c>
      <c r="H571" t="n">
        <v>0</v>
      </c>
      <c r="I571" t="n">
        <v>0</v>
      </c>
      <c r="J571" t="n">
        <v>0</v>
      </c>
      <c r="K571" t="n">
        <v>0</v>
      </c>
      <c r="L571" t="n">
        <v>0</v>
      </c>
      <c r="M571" t="n">
        <v>0</v>
      </c>
      <c r="N571" t="n">
        <v>0</v>
      </c>
      <c r="O571" t="n">
        <v>0</v>
      </c>
      <c r="P571" t="n">
        <v>0</v>
      </c>
      <c r="Q571" t="n">
        <v>0</v>
      </c>
      <c r="R571" s="2" t="inlineStr"/>
    </row>
    <row r="572" ht="15" customHeight="1">
      <c r="A572" t="inlineStr">
        <is>
          <t>A 52249-2025</t>
        </is>
      </c>
      <c r="B572" s="1" t="n">
        <v>45953.48637731482</v>
      </c>
      <c r="C572" s="1" t="n">
        <v>46004</v>
      </c>
      <c r="D572" t="inlineStr">
        <is>
          <t>GOTLANDS LÄN</t>
        </is>
      </c>
      <c r="E572" t="inlineStr">
        <is>
          <t>GOTLAND</t>
        </is>
      </c>
      <c r="F572" t="inlineStr">
        <is>
          <t>Övriga Aktiebolag</t>
        </is>
      </c>
      <c r="G572" t="n">
        <v>1</v>
      </c>
      <c r="H572" t="n">
        <v>0</v>
      </c>
      <c r="I572" t="n">
        <v>0</v>
      </c>
      <c r="J572" t="n">
        <v>0</v>
      </c>
      <c r="K572" t="n">
        <v>0</v>
      </c>
      <c r="L572" t="n">
        <v>0</v>
      </c>
      <c r="M572" t="n">
        <v>0</v>
      </c>
      <c r="N572" t="n">
        <v>0</v>
      </c>
      <c r="O572" t="n">
        <v>0</v>
      </c>
      <c r="P572" t="n">
        <v>0</v>
      </c>
      <c r="Q572" t="n">
        <v>0</v>
      </c>
      <c r="R572" s="2" t="inlineStr"/>
    </row>
    <row r="573" ht="15" customHeight="1">
      <c r="A573" t="inlineStr">
        <is>
          <t>A 16109-2025</t>
        </is>
      </c>
      <c r="B573" s="1" t="n">
        <v>45750</v>
      </c>
      <c r="C573" s="1" t="n">
        <v>46004</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32467-2025</t>
        </is>
      </c>
      <c r="B574" s="1" t="n">
        <v>45838.42111111111</v>
      </c>
      <c r="C574" s="1" t="n">
        <v>46004</v>
      </c>
      <c r="D574" t="inlineStr">
        <is>
          <t>GOTLANDS LÄN</t>
        </is>
      </c>
      <c r="E574" t="inlineStr">
        <is>
          <t>GOTLAND</t>
        </is>
      </c>
      <c r="G574" t="n">
        <v>4.3</v>
      </c>
      <c r="H574" t="n">
        <v>0</v>
      </c>
      <c r="I574" t="n">
        <v>0</v>
      </c>
      <c r="J574" t="n">
        <v>0</v>
      </c>
      <c r="K574" t="n">
        <v>0</v>
      </c>
      <c r="L574" t="n">
        <v>0</v>
      </c>
      <c r="M574" t="n">
        <v>0</v>
      </c>
      <c r="N574" t="n">
        <v>0</v>
      </c>
      <c r="O574" t="n">
        <v>0</v>
      </c>
      <c r="P574" t="n">
        <v>0</v>
      </c>
      <c r="Q574" t="n">
        <v>0</v>
      </c>
      <c r="R574" s="2" t="inlineStr"/>
    </row>
    <row r="575" ht="15" customHeight="1">
      <c r="A575" t="inlineStr">
        <is>
          <t>A 52637-2025</t>
        </is>
      </c>
      <c r="B575" s="1" t="n">
        <v>45954.75099537037</v>
      </c>
      <c r="C575" s="1" t="n">
        <v>46004</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32379-2025</t>
        </is>
      </c>
      <c r="B576" s="1" t="n">
        <v>45837</v>
      </c>
      <c r="C576" s="1" t="n">
        <v>46004</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33007-2025</t>
        </is>
      </c>
      <c r="B577" s="1" t="n">
        <v>45840</v>
      </c>
      <c r="C577" s="1" t="n">
        <v>46004</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61078-2025</t>
        </is>
      </c>
      <c r="B578" s="1" t="n">
        <v>46000.3996875</v>
      </c>
      <c r="C578" s="1" t="n">
        <v>46004</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61080-2025</t>
        </is>
      </c>
      <c r="B579" s="1" t="n">
        <v>46000.40390046296</v>
      </c>
      <c r="C579" s="1" t="n">
        <v>46004</v>
      </c>
      <c r="D579" t="inlineStr">
        <is>
          <t>GOTLANDS LÄN</t>
        </is>
      </c>
      <c r="E579" t="inlineStr">
        <is>
          <t>GOTLAND</t>
        </is>
      </c>
      <c r="G579" t="n">
        <v>2.3</v>
      </c>
      <c r="H579" t="n">
        <v>0</v>
      </c>
      <c r="I579" t="n">
        <v>0</v>
      </c>
      <c r="J579" t="n">
        <v>0</v>
      </c>
      <c r="K579" t="n">
        <v>0</v>
      </c>
      <c r="L579" t="n">
        <v>0</v>
      </c>
      <c r="M579" t="n">
        <v>0</v>
      </c>
      <c r="N579" t="n">
        <v>0</v>
      </c>
      <c r="O579" t="n">
        <v>0</v>
      </c>
      <c r="P579" t="n">
        <v>0</v>
      </c>
      <c r="Q579" t="n">
        <v>0</v>
      </c>
      <c r="R579" s="2" t="inlineStr"/>
    </row>
    <row r="580" ht="15" customHeight="1">
      <c r="A580" t="inlineStr">
        <is>
          <t>A 15413-2025</t>
        </is>
      </c>
      <c r="B580" s="1" t="n">
        <v>45747.451875</v>
      </c>
      <c r="C580" s="1" t="n">
        <v>46004</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35096-2025</t>
        </is>
      </c>
      <c r="B581" s="1" t="n">
        <v>45852.54356481481</v>
      </c>
      <c r="C581" s="1" t="n">
        <v>46004</v>
      </c>
      <c r="D581" t="inlineStr">
        <is>
          <t>GOTLANDS LÄN</t>
        </is>
      </c>
      <c r="E581" t="inlineStr">
        <is>
          <t>GOTLAND</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53577-2025</t>
        </is>
      </c>
      <c r="B582" s="1" t="n">
        <v>45960.42224537037</v>
      </c>
      <c r="C582" s="1" t="n">
        <v>46004</v>
      </c>
      <c r="D582" t="inlineStr">
        <is>
          <t>GOTLANDS LÄN</t>
        </is>
      </c>
      <c r="E582" t="inlineStr">
        <is>
          <t>GOTLAND</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35123-2025</t>
        </is>
      </c>
      <c r="B583" s="1" t="n">
        <v>45852.614375</v>
      </c>
      <c r="C583" s="1" t="n">
        <v>46004</v>
      </c>
      <c r="D583" t="inlineStr">
        <is>
          <t>GOTLANDS LÄN</t>
        </is>
      </c>
      <c r="E583" t="inlineStr">
        <is>
          <t>GOTLAND</t>
        </is>
      </c>
      <c r="G583" t="n">
        <v>1.1</v>
      </c>
      <c r="H583" t="n">
        <v>0</v>
      </c>
      <c r="I583" t="n">
        <v>0</v>
      </c>
      <c r="J583" t="n">
        <v>0</v>
      </c>
      <c r="K583" t="n">
        <v>0</v>
      </c>
      <c r="L583" t="n">
        <v>0</v>
      </c>
      <c r="M583" t="n">
        <v>0</v>
      </c>
      <c r="N583" t="n">
        <v>0</v>
      </c>
      <c r="O583" t="n">
        <v>0</v>
      </c>
      <c r="P583" t="n">
        <v>0</v>
      </c>
      <c r="Q583" t="n">
        <v>0</v>
      </c>
      <c r="R583" s="2" t="inlineStr"/>
    </row>
    <row r="584" ht="15" customHeight="1">
      <c r="A584" t="inlineStr">
        <is>
          <t>A 35290-2025</t>
        </is>
      </c>
      <c r="B584" s="1" t="n">
        <v>45854.38502314815</v>
      </c>
      <c r="C584" s="1" t="n">
        <v>46004</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60384-2025</t>
        </is>
      </c>
      <c r="B585" s="1" t="n">
        <v>45995.37947916667</v>
      </c>
      <c r="C585" s="1" t="n">
        <v>46004</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30104-2025</t>
        </is>
      </c>
      <c r="B586" s="1" t="n">
        <v>45826.68806712963</v>
      </c>
      <c r="C586" s="1" t="n">
        <v>46004</v>
      </c>
      <c r="D586" t="inlineStr">
        <is>
          <t>GOTLANDS LÄN</t>
        </is>
      </c>
      <c r="E586" t="inlineStr">
        <is>
          <t>GOTLAND</t>
        </is>
      </c>
      <c r="G586" t="n">
        <v>15.4</v>
      </c>
      <c r="H586" t="n">
        <v>0</v>
      </c>
      <c r="I586" t="n">
        <v>0</v>
      </c>
      <c r="J586" t="n">
        <v>0</v>
      </c>
      <c r="K586" t="n">
        <v>0</v>
      </c>
      <c r="L586" t="n">
        <v>0</v>
      </c>
      <c r="M586" t="n">
        <v>0</v>
      </c>
      <c r="N586" t="n">
        <v>0</v>
      </c>
      <c r="O586" t="n">
        <v>0</v>
      </c>
      <c r="P586" t="n">
        <v>0</v>
      </c>
      <c r="Q586" t="n">
        <v>0</v>
      </c>
      <c r="R586" s="2" t="inlineStr"/>
    </row>
    <row r="587" ht="15" customHeight="1">
      <c r="A587" t="inlineStr">
        <is>
          <t>A 32669-2024</t>
        </is>
      </c>
      <c r="B587" s="1" t="n">
        <v>45514</v>
      </c>
      <c r="C587" s="1" t="n">
        <v>46004</v>
      </c>
      <c r="D587" t="inlineStr">
        <is>
          <t>GOTLANDS LÄN</t>
        </is>
      </c>
      <c r="E587" t="inlineStr">
        <is>
          <t>GOTLAND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53569-2025</t>
        </is>
      </c>
      <c r="B588" s="1" t="n">
        <v>45960.41155092593</v>
      </c>
      <c r="C588" s="1" t="n">
        <v>46004</v>
      </c>
      <c r="D588" t="inlineStr">
        <is>
          <t>GOTLANDS LÄN</t>
        </is>
      </c>
      <c r="E588" t="inlineStr">
        <is>
          <t>GOTLAND</t>
        </is>
      </c>
      <c r="F588" t="inlineStr">
        <is>
          <t>Övriga Aktiebolag</t>
        </is>
      </c>
      <c r="G588" t="n">
        <v>11.3</v>
      </c>
      <c r="H588" t="n">
        <v>0</v>
      </c>
      <c r="I588" t="n">
        <v>0</v>
      </c>
      <c r="J588" t="n">
        <v>0</v>
      </c>
      <c r="K588" t="n">
        <v>0</v>
      </c>
      <c r="L588" t="n">
        <v>0</v>
      </c>
      <c r="M588" t="n">
        <v>0</v>
      </c>
      <c r="N588" t="n">
        <v>0</v>
      </c>
      <c r="O588" t="n">
        <v>0</v>
      </c>
      <c r="P588" t="n">
        <v>0</v>
      </c>
      <c r="Q588" t="n">
        <v>0</v>
      </c>
      <c r="R588" s="2" t="inlineStr"/>
    </row>
    <row r="589" ht="15" customHeight="1">
      <c r="A589" t="inlineStr">
        <is>
          <t>A 53587-2025</t>
        </is>
      </c>
      <c r="B589" s="1" t="n">
        <v>45960.43681712963</v>
      </c>
      <c r="C589" s="1" t="n">
        <v>46004</v>
      </c>
      <c r="D589" t="inlineStr">
        <is>
          <t>GOTLANDS LÄN</t>
        </is>
      </c>
      <c r="E589" t="inlineStr">
        <is>
          <t>GOTLAND</t>
        </is>
      </c>
      <c r="F589" t="inlineStr">
        <is>
          <t>Övriga Aktiebolag</t>
        </is>
      </c>
      <c r="G589" t="n">
        <v>1.7</v>
      </c>
      <c r="H589" t="n">
        <v>0</v>
      </c>
      <c r="I589" t="n">
        <v>0</v>
      </c>
      <c r="J589" t="n">
        <v>0</v>
      </c>
      <c r="K589" t="n">
        <v>0</v>
      </c>
      <c r="L589" t="n">
        <v>0</v>
      </c>
      <c r="M589" t="n">
        <v>0</v>
      </c>
      <c r="N589" t="n">
        <v>0</v>
      </c>
      <c r="O589" t="n">
        <v>0</v>
      </c>
      <c r="P589" t="n">
        <v>0</v>
      </c>
      <c r="Q589" t="n">
        <v>0</v>
      </c>
      <c r="R589" s="2" t="inlineStr"/>
    </row>
    <row r="590" ht="15" customHeight="1">
      <c r="A590" t="inlineStr">
        <is>
          <t>A 35537-2025</t>
        </is>
      </c>
      <c r="B590" s="1" t="n">
        <v>45856</v>
      </c>
      <c r="C590" s="1" t="n">
        <v>46004</v>
      </c>
      <c r="D590" t="inlineStr">
        <is>
          <t>GOTLANDS LÄN</t>
        </is>
      </c>
      <c r="E590" t="inlineStr">
        <is>
          <t>GOTLAND</t>
        </is>
      </c>
      <c r="G590" t="n">
        <v>16.8</v>
      </c>
      <c r="H590" t="n">
        <v>0</v>
      </c>
      <c r="I590" t="n">
        <v>0</v>
      </c>
      <c r="J590" t="n">
        <v>0</v>
      </c>
      <c r="K590" t="n">
        <v>0</v>
      </c>
      <c r="L590" t="n">
        <v>0</v>
      </c>
      <c r="M590" t="n">
        <v>0</v>
      </c>
      <c r="N590" t="n">
        <v>0</v>
      </c>
      <c r="O590" t="n">
        <v>0</v>
      </c>
      <c r="P590" t="n">
        <v>0</v>
      </c>
      <c r="Q590" t="n">
        <v>0</v>
      </c>
      <c r="R590" s="2" t="inlineStr"/>
    </row>
    <row r="591" ht="15" customHeight="1">
      <c r="A591" t="inlineStr">
        <is>
          <t>A 53561-2025</t>
        </is>
      </c>
      <c r="B591" s="1" t="n">
        <v>45960.4059375</v>
      </c>
      <c r="C591" s="1" t="n">
        <v>46004</v>
      </c>
      <c r="D591" t="inlineStr">
        <is>
          <t>GOTLANDS LÄN</t>
        </is>
      </c>
      <c r="E591" t="inlineStr">
        <is>
          <t>GOTLAND</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30488-2025</t>
        </is>
      </c>
      <c r="B592" s="1" t="n">
        <v>45830</v>
      </c>
      <c r="C592" s="1" t="n">
        <v>46004</v>
      </c>
      <c r="D592" t="inlineStr">
        <is>
          <t>GOTLANDS LÄN</t>
        </is>
      </c>
      <c r="E592" t="inlineStr">
        <is>
          <t>GOTLAND</t>
        </is>
      </c>
      <c r="F592" t="inlineStr">
        <is>
          <t>Kyrkan</t>
        </is>
      </c>
      <c r="G592" t="n">
        <v>3.9</v>
      </c>
      <c r="H592" t="n">
        <v>0</v>
      </c>
      <c r="I592" t="n">
        <v>0</v>
      </c>
      <c r="J592" t="n">
        <v>0</v>
      </c>
      <c r="K592" t="n">
        <v>0</v>
      </c>
      <c r="L592" t="n">
        <v>0</v>
      </c>
      <c r="M592" t="n">
        <v>0</v>
      </c>
      <c r="N592" t="n">
        <v>0</v>
      </c>
      <c r="O592" t="n">
        <v>0</v>
      </c>
      <c r="P592" t="n">
        <v>0</v>
      </c>
      <c r="Q592" t="n">
        <v>0</v>
      </c>
      <c r="R592" s="2" t="inlineStr"/>
    </row>
    <row r="593" ht="15" customHeight="1">
      <c r="A593" t="inlineStr">
        <is>
          <t>A 15216-2025</t>
        </is>
      </c>
      <c r="B593" s="1" t="n">
        <v>45744</v>
      </c>
      <c r="C593" s="1" t="n">
        <v>46004</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15001-2025</t>
        </is>
      </c>
      <c r="B594" s="1" t="n">
        <v>45743</v>
      </c>
      <c r="C594" s="1" t="n">
        <v>46004</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43790-2024</t>
        </is>
      </c>
      <c r="B595" s="1" t="n">
        <v>45571</v>
      </c>
      <c r="C595" s="1" t="n">
        <v>46004</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17847-2025</t>
        </is>
      </c>
      <c r="B596" s="1" t="n">
        <v>45758</v>
      </c>
      <c r="C596" s="1" t="n">
        <v>46004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36319-2025</t>
        </is>
      </c>
      <c r="B597" s="1" t="n">
        <v>45868</v>
      </c>
      <c r="C597" s="1" t="n">
        <v>46004</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18742-2025</t>
        </is>
      </c>
      <c r="B598" s="1" t="n">
        <v>45763</v>
      </c>
      <c r="C598" s="1" t="n">
        <v>46004</v>
      </c>
      <c r="D598" t="inlineStr">
        <is>
          <t>GOTLANDS LÄN</t>
        </is>
      </c>
      <c r="E598" t="inlineStr">
        <is>
          <t>GOTLAND</t>
        </is>
      </c>
      <c r="G598" t="n">
        <v>3.4</v>
      </c>
      <c r="H598" t="n">
        <v>0</v>
      </c>
      <c r="I598" t="n">
        <v>0</v>
      </c>
      <c r="J598" t="n">
        <v>0</v>
      </c>
      <c r="K598" t="n">
        <v>0</v>
      </c>
      <c r="L598" t="n">
        <v>0</v>
      </c>
      <c r="M598" t="n">
        <v>0</v>
      </c>
      <c r="N598" t="n">
        <v>0</v>
      </c>
      <c r="O598" t="n">
        <v>0</v>
      </c>
      <c r="P598" t="n">
        <v>0</v>
      </c>
      <c r="Q598" t="n">
        <v>0</v>
      </c>
      <c r="R598" s="2" t="inlineStr"/>
    </row>
    <row r="599" ht="15" customHeight="1">
      <c r="A599" t="inlineStr">
        <is>
          <t>A 35129-2025</t>
        </is>
      </c>
      <c r="B599" s="1" t="n">
        <v>45852.63224537037</v>
      </c>
      <c r="C599" s="1" t="n">
        <v>46004</v>
      </c>
      <c r="D599" t="inlineStr">
        <is>
          <t>GOTLANDS LÄN</t>
        </is>
      </c>
      <c r="E599" t="inlineStr">
        <is>
          <t>GOTLAND</t>
        </is>
      </c>
      <c r="G599" t="n">
        <v>3.2</v>
      </c>
      <c r="H599" t="n">
        <v>0</v>
      </c>
      <c r="I599" t="n">
        <v>0</v>
      </c>
      <c r="J599" t="n">
        <v>0</v>
      </c>
      <c r="K599" t="n">
        <v>0</v>
      </c>
      <c r="L599" t="n">
        <v>0</v>
      </c>
      <c r="M599" t="n">
        <v>0</v>
      </c>
      <c r="N599" t="n">
        <v>0</v>
      </c>
      <c r="O599" t="n">
        <v>0</v>
      </c>
      <c r="P599" t="n">
        <v>0</v>
      </c>
      <c r="Q599" t="n">
        <v>0</v>
      </c>
      <c r="R599" s="2" t="inlineStr"/>
    </row>
    <row r="600" ht="15" customHeight="1">
      <c r="A600" t="inlineStr">
        <is>
          <t>A 30489-2025</t>
        </is>
      </c>
      <c r="B600" s="1" t="n">
        <v>45830</v>
      </c>
      <c r="C600" s="1" t="n">
        <v>46004</v>
      </c>
      <c r="D600" t="inlineStr">
        <is>
          <t>GOTLANDS LÄN</t>
        </is>
      </c>
      <c r="E600" t="inlineStr">
        <is>
          <t>GOTLAND</t>
        </is>
      </c>
      <c r="G600" t="n">
        <v>4.6</v>
      </c>
      <c r="H600" t="n">
        <v>0</v>
      </c>
      <c r="I600" t="n">
        <v>0</v>
      </c>
      <c r="J600" t="n">
        <v>0</v>
      </c>
      <c r="K600" t="n">
        <v>0</v>
      </c>
      <c r="L600" t="n">
        <v>0</v>
      </c>
      <c r="M600" t="n">
        <v>0</v>
      </c>
      <c r="N600" t="n">
        <v>0</v>
      </c>
      <c r="O600" t="n">
        <v>0</v>
      </c>
      <c r="P600" t="n">
        <v>0</v>
      </c>
      <c r="Q600" t="n">
        <v>0</v>
      </c>
      <c r="R600" s="2" t="inlineStr"/>
    </row>
    <row r="601" ht="15" customHeight="1">
      <c r="A601" t="inlineStr">
        <is>
          <t>A 21142-2025</t>
        </is>
      </c>
      <c r="B601" s="1" t="n">
        <v>45779</v>
      </c>
      <c r="C601" s="1" t="n">
        <v>46004</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6108-2025</t>
        </is>
      </c>
      <c r="B602" s="1" t="n">
        <v>45698.29880787037</v>
      </c>
      <c r="C602" s="1" t="n">
        <v>46004</v>
      </c>
      <c r="D602" t="inlineStr">
        <is>
          <t>GOTLANDS LÄN</t>
        </is>
      </c>
      <c r="E602" t="inlineStr">
        <is>
          <t>GOTLAND</t>
        </is>
      </c>
      <c r="G602" t="n">
        <v>2.8</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46004</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46004</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20307-2025</t>
        </is>
      </c>
      <c r="B605" s="1" t="n">
        <v>45774.95546296296</v>
      </c>
      <c r="C605" s="1" t="n">
        <v>46004</v>
      </c>
      <c r="D605" t="inlineStr">
        <is>
          <t>GOTLANDS LÄN</t>
        </is>
      </c>
      <c r="E605" t="inlineStr">
        <is>
          <t>GOTLAND</t>
        </is>
      </c>
      <c r="G605" t="n">
        <v>6.8</v>
      </c>
      <c r="H605" t="n">
        <v>0</v>
      </c>
      <c r="I605" t="n">
        <v>0</v>
      </c>
      <c r="J605" t="n">
        <v>0</v>
      </c>
      <c r="K605" t="n">
        <v>0</v>
      </c>
      <c r="L605" t="n">
        <v>0</v>
      </c>
      <c r="M605" t="n">
        <v>0</v>
      </c>
      <c r="N605" t="n">
        <v>0</v>
      </c>
      <c r="O605" t="n">
        <v>0</v>
      </c>
      <c r="P605" t="n">
        <v>0</v>
      </c>
      <c r="Q605" t="n">
        <v>0</v>
      </c>
      <c r="R605" s="2" t="inlineStr"/>
    </row>
    <row r="606" ht="15" customHeight="1">
      <c r="A606" t="inlineStr">
        <is>
          <t>A 18993-2025</t>
        </is>
      </c>
      <c r="B606" s="1" t="n">
        <v>45764</v>
      </c>
      <c r="C606" s="1" t="n">
        <v>46004</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row r="607">
      <c r="A607" t="inlineStr">
        <is>
          <t>A 30135-2025</t>
        </is>
      </c>
      <c r="B607" s="1" t="n">
        <v>45826</v>
      </c>
      <c r="C607" s="1" t="n">
        <v>46004</v>
      </c>
      <c r="D607" t="inlineStr">
        <is>
          <t>GOTLANDS LÄN</t>
        </is>
      </c>
      <c r="E607" t="inlineStr">
        <is>
          <t>GOTLAND</t>
        </is>
      </c>
      <c r="G607" t="n">
        <v>2.7</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2025-12-13T10:25:06Z</dcterms:created>
  <dcterms:modified xmlns:dcterms="http://purl.org/dc/terms/" xmlns:xsi="http://www.w3.org/2001/XMLSchema-instance" xsi:type="dcterms:W3CDTF">2025-12-13T10:25:07Z</dcterms:modified>
</cp:coreProperties>
</file>