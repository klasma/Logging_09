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45995</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45995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45995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45995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45995</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45995</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45995</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45995</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45995</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45995</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45995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45995</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45995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45995</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45995</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61697-2023</t>
        </is>
      </c>
      <c r="B28" s="1" t="n">
        <v>45265</v>
      </c>
      <c r="C28" s="1" t="n">
        <v>45995</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15629-2024</t>
        </is>
      </c>
      <c r="B29" s="1" t="n">
        <v>45402.78372685185</v>
      </c>
      <c r="C29" s="1" t="n">
        <v>45995</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45995</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45995</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45995</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45995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45995</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45995</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2804-2023</t>
        </is>
      </c>
      <c r="B36" s="1" t="n">
        <v>44944</v>
      </c>
      <c r="C36" s="1" t="n">
        <v>45995</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45995</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45995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45995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45995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45995</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45995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45995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45995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45995</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45995</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45995</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14354-2024</t>
        </is>
      </c>
      <c r="B48" s="1" t="n">
        <v>45393</v>
      </c>
      <c r="C48" s="1" t="n">
        <v>45995</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584-2023</t>
        </is>
      </c>
      <c r="B49" s="1" t="n">
        <v>44930</v>
      </c>
      <c r="C49" s="1" t="n">
        <v>45995</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45995</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45248-2024</t>
        </is>
      </c>
      <c r="B51" s="1" t="n">
        <v>45576</v>
      </c>
      <c r="C51" s="1" t="n">
        <v>45995</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1719-2025</t>
        </is>
      </c>
      <c r="B52" s="1" t="n">
        <v>45671</v>
      </c>
      <c r="C52" s="1" t="n">
        <v>45995</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22404-2024</t>
        </is>
      </c>
      <c r="B53" s="1" t="n">
        <v>45446</v>
      </c>
      <c r="C53" s="1" t="n">
        <v>45995</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17766-2024</t>
        </is>
      </c>
      <c r="B54" s="1" t="n">
        <v>45418</v>
      </c>
      <c r="C54" s="1" t="n">
        <v>45995</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45995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45995</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45995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45995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2649-2023</t>
        </is>
      </c>
      <c r="B59" s="1" t="n">
        <v>44943</v>
      </c>
      <c r="C59" s="1" t="n">
        <v>45995</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45995</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45995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44944-2022</t>
        </is>
      </c>
      <c r="B62" s="1" t="n">
        <v>44841</v>
      </c>
      <c r="C62" s="1" t="n">
        <v>45995</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4984-2025</t>
        </is>
      </c>
      <c r="B63" s="1" t="n">
        <v>45691.29891203704</v>
      </c>
      <c r="C63" s="1" t="n">
        <v>45995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45995</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27280-2023</t>
        </is>
      </c>
      <c r="B65" s="1" t="n">
        <v>45096</v>
      </c>
      <c r="C65" s="1" t="n">
        <v>45995</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45995</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45995</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56687-2025</t>
        </is>
      </c>
      <c r="B68" s="1" t="n">
        <v>45975.84065972222</v>
      </c>
      <c r="C68" s="1" t="n">
        <v>45995</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27168-2022</t>
        </is>
      </c>
      <c r="B69" s="1" t="n">
        <v>44741</v>
      </c>
      <c r="C69" s="1" t="n">
        <v>45995</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45995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45995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45995</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2085-2023</t>
        </is>
      </c>
      <c r="B73" s="1" t="n">
        <v>44939</v>
      </c>
      <c r="C73" s="1" t="n">
        <v>45995</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57773-2025</t>
        </is>
      </c>
      <c r="B74" s="1" t="n">
        <v>45981.56349537037</v>
      </c>
      <c r="C74" s="1" t="n">
        <v>45995</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446-2023</t>
        </is>
      </c>
      <c r="B75" s="1" t="n">
        <v>44929</v>
      </c>
      <c r="C75" s="1" t="n">
        <v>45995</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45995</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65819-2020</t>
        </is>
      </c>
      <c r="B77" s="1" t="n">
        <v>44174</v>
      </c>
      <c r="C77" s="1" t="n">
        <v>45995</v>
      </c>
      <c r="D77" t="inlineStr">
        <is>
          <t>GOTLANDS LÄN</t>
        </is>
      </c>
      <c r="E77" t="inlineStr">
        <is>
          <t>GOTLAND</t>
        </is>
      </c>
      <c r="G77" t="n">
        <v>4.3</v>
      </c>
      <c r="H77" t="n">
        <v>1</v>
      </c>
      <c r="I77" t="n">
        <v>3</v>
      </c>
      <c r="J77" t="n">
        <v>1</v>
      </c>
      <c r="K77" t="n">
        <v>2</v>
      </c>
      <c r="L77" t="n">
        <v>0</v>
      </c>
      <c r="M77" t="n">
        <v>0</v>
      </c>
      <c r="N77" t="n">
        <v>0</v>
      </c>
      <c r="O77" t="n">
        <v>3</v>
      </c>
      <c r="P77" t="n">
        <v>2</v>
      </c>
      <c r="Q77" t="n">
        <v>6</v>
      </c>
      <c r="R77" s="2" t="inlineStr">
        <is>
          <t>Tallvaxskivling
Vit taggsvamp
Skugglosta
Blå slemspindling
Kattfotslav
Nästrot</t>
        </is>
      </c>
      <c r="S77">
        <f>HYPERLINK("https://klasma.github.io/Logging_0980/artfynd/A 65819-2020 artfynd.xlsx", "A 65819-2020")</f>
        <v/>
      </c>
      <c r="T77">
        <f>HYPERLINK("https://klasma.github.io/Logging_0980/kartor/A 65819-2020 karta.png", "A 65819-2020")</f>
        <v/>
      </c>
      <c r="V77">
        <f>HYPERLINK("https://klasma.github.io/Logging_0980/klagomål/A 65819-2020 FSC-klagomål.docx", "A 65819-2020")</f>
        <v/>
      </c>
      <c r="W77">
        <f>HYPERLINK("https://klasma.github.io/Logging_0980/klagomålsmail/A 65819-2020 FSC-klagomål mail.docx", "A 65819-2020")</f>
        <v/>
      </c>
      <c r="X77">
        <f>HYPERLINK("https://klasma.github.io/Logging_0980/tillsyn/A 65819-2020 tillsynsbegäran.docx", "A 65819-2020")</f>
        <v/>
      </c>
      <c r="Y77">
        <f>HYPERLINK("https://klasma.github.io/Logging_0980/tillsynsmail/A 65819-2020 tillsynsbegäran mail.docx", "A 65819-2020")</f>
        <v/>
      </c>
    </row>
    <row r="78" ht="15" customHeight="1">
      <c r="A78" t="inlineStr">
        <is>
          <t>A 7038-2023</t>
        </is>
      </c>
      <c r="B78" s="1" t="n">
        <v>44968</v>
      </c>
      <c r="C78" s="1" t="n">
        <v>45995</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16823-2024</t>
        </is>
      </c>
      <c r="B79" s="1" t="n">
        <v>45411</v>
      </c>
      <c r="C79" s="1" t="n">
        <v>45995</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66091-2021</t>
        </is>
      </c>
      <c r="B80" s="1" t="n">
        <v>44517</v>
      </c>
      <c r="C80" s="1" t="n">
        <v>45995</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2213-2023</t>
        </is>
      </c>
      <c r="B81" s="1" t="n">
        <v>44942</v>
      </c>
      <c r="C81" s="1" t="n">
        <v>45995</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54055-2022</t>
        </is>
      </c>
      <c r="B82" s="1" t="n">
        <v>44881</v>
      </c>
      <c r="C82" s="1" t="n">
        <v>45995</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42936-2024</t>
        </is>
      </c>
      <c r="B83" s="1" t="n">
        <v>45567</v>
      </c>
      <c r="C83" s="1" t="n">
        <v>45995</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39425-2023</t>
        </is>
      </c>
      <c r="B84" s="1" t="n">
        <v>45166</v>
      </c>
      <c r="C84" s="1" t="n">
        <v>45995</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32326-2024</t>
        </is>
      </c>
      <c r="B85" s="1" t="n">
        <v>45512</v>
      </c>
      <c r="C85" s="1" t="n">
        <v>45995</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52245-2025</t>
        </is>
      </c>
      <c r="B86" s="1" t="n">
        <v>45953.47115740741</v>
      </c>
      <c r="C86" s="1" t="n">
        <v>45995</v>
      </c>
      <c r="D86" t="inlineStr">
        <is>
          <t>GOTLANDS LÄN</t>
        </is>
      </c>
      <c r="E86" t="inlineStr">
        <is>
          <t>GOTLAND</t>
        </is>
      </c>
      <c r="F86" t="inlineStr">
        <is>
          <t>Övriga Aktiebolag</t>
        </is>
      </c>
      <c r="G86" t="n">
        <v>10.1</v>
      </c>
      <c r="H86" t="n">
        <v>0</v>
      </c>
      <c r="I86" t="n">
        <v>3</v>
      </c>
      <c r="J86" t="n">
        <v>1</v>
      </c>
      <c r="K86" t="n">
        <v>1</v>
      </c>
      <c r="L86" t="n">
        <v>0</v>
      </c>
      <c r="M86" t="n">
        <v>0</v>
      </c>
      <c r="N86" t="n">
        <v>0</v>
      </c>
      <c r="O86" t="n">
        <v>2</v>
      </c>
      <c r="P86" t="n">
        <v>1</v>
      </c>
      <c r="Q86" t="n">
        <v>5</v>
      </c>
      <c r="R86" s="2" t="inlineStr">
        <is>
          <t>Källnate
Jordtistel
Olivspindling
Rödgul trumpetsvamp
Underviol</t>
        </is>
      </c>
      <c r="S86">
        <f>HYPERLINK("https://klasma.github.io/Logging_0980/artfynd/A 52245-2025 artfynd.xlsx", "A 52245-2025")</f>
        <v/>
      </c>
      <c r="T86">
        <f>HYPERLINK("https://klasma.github.io/Logging_0980/kartor/A 52245-2025 karta.png", "A 52245-2025")</f>
        <v/>
      </c>
      <c r="V86">
        <f>HYPERLINK("https://klasma.github.io/Logging_0980/klagomål/A 52245-2025 FSC-klagomål.docx", "A 52245-2025")</f>
        <v/>
      </c>
      <c r="W86">
        <f>HYPERLINK("https://klasma.github.io/Logging_0980/klagomålsmail/A 52245-2025 FSC-klagomål mail.docx", "A 52245-2025")</f>
        <v/>
      </c>
      <c r="X86">
        <f>HYPERLINK("https://klasma.github.io/Logging_0980/tillsyn/A 52245-2025 tillsynsbegäran.docx", "A 52245-2025")</f>
        <v/>
      </c>
      <c r="Y86">
        <f>HYPERLINK("https://klasma.github.io/Logging_0980/tillsynsmail/A 52245-2025 tillsynsbegäran mail.docx", "A 52245-2025")</f>
        <v/>
      </c>
    </row>
    <row r="87" ht="15" customHeight="1">
      <c r="A87" t="inlineStr">
        <is>
          <t>A 16375-2025</t>
        </is>
      </c>
      <c r="B87" s="1" t="n">
        <v>45751.41064814815</v>
      </c>
      <c r="C87" s="1" t="n">
        <v>45995</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35293-2025</t>
        </is>
      </c>
      <c r="B88" s="1" t="n">
        <v>45854.39438657407</v>
      </c>
      <c r="C88" s="1" t="n">
        <v>45995</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45995</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45995</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45995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8265-2023</t>
        </is>
      </c>
      <c r="B92" s="1" t="n">
        <v>44974</v>
      </c>
      <c r="C92" s="1" t="n">
        <v>45995</v>
      </c>
      <c r="D92" t="inlineStr">
        <is>
          <t>GOTLANDS LÄN</t>
        </is>
      </c>
      <c r="E92" t="inlineStr">
        <is>
          <t>GOTLAND</t>
        </is>
      </c>
      <c r="G92" t="n">
        <v>3.3</v>
      </c>
      <c r="H92" t="n">
        <v>4</v>
      </c>
      <c r="I92" t="n">
        <v>3</v>
      </c>
      <c r="J92" t="n">
        <v>0</v>
      </c>
      <c r="K92" t="n">
        <v>0</v>
      </c>
      <c r="L92" t="n">
        <v>0</v>
      </c>
      <c r="M92" t="n">
        <v>0</v>
      </c>
      <c r="N92" t="n">
        <v>0</v>
      </c>
      <c r="O92" t="n">
        <v>0</v>
      </c>
      <c r="P92" t="n">
        <v>0</v>
      </c>
      <c r="Q92" t="n">
        <v>4</v>
      </c>
      <c r="R92" s="2" t="inlineStr">
        <is>
          <t>Flugblomster
Purpurknipprot
Tvåblad
Salepsrot</t>
        </is>
      </c>
      <c r="S92">
        <f>HYPERLINK("https://klasma.github.io/Logging_0980/artfynd/A 8265-2023 artfynd.xlsx", "A 8265-2023")</f>
        <v/>
      </c>
      <c r="T92">
        <f>HYPERLINK("https://klasma.github.io/Logging_0980/kartor/A 8265-2023 karta.png", "A 8265-2023")</f>
        <v/>
      </c>
      <c r="V92">
        <f>HYPERLINK("https://klasma.github.io/Logging_0980/klagomål/A 8265-2023 FSC-klagomål.docx", "A 8265-2023")</f>
        <v/>
      </c>
      <c r="W92">
        <f>HYPERLINK("https://klasma.github.io/Logging_0980/klagomålsmail/A 8265-2023 FSC-klagomål mail.docx", "A 8265-2023")</f>
        <v/>
      </c>
      <c r="X92">
        <f>HYPERLINK("https://klasma.github.io/Logging_0980/tillsyn/A 8265-2023 tillsynsbegäran.docx", "A 8265-2023")</f>
        <v/>
      </c>
      <c r="Y92">
        <f>HYPERLINK("https://klasma.github.io/Logging_0980/tillsynsmail/A 8265-2023 tillsynsbegäran mail.docx", "A 8265-2023")</f>
        <v/>
      </c>
    </row>
    <row r="93" ht="15" customHeight="1">
      <c r="A93" t="inlineStr">
        <is>
          <t>A 54523-2023</t>
        </is>
      </c>
      <c r="B93" s="1" t="n">
        <v>45233</v>
      </c>
      <c r="C93" s="1" t="n">
        <v>45995</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186-2023</t>
        </is>
      </c>
      <c r="B94" s="1" t="n">
        <v>44928</v>
      </c>
      <c r="C94" s="1" t="n">
        <v>45995</v>
      </c>
      <c r="D94" t="inlineStr">
        <is>
          <t>GOTLANDS LÄN</t>
        </is>
      </c>
      <c r="E94" t="inlineStr">
        <is>
          <t>GOTLAND</t>
        </is>
      </c>
      <c r="G94" t="n">
        <v>2.2</v>
      </c>
      <c r="H94" t="n">
        <v>2</v>
      </c>
      <c r="I94" t="n">
        <v>2</v>
      </c>
      <c r="J94" t="n">
        <v>0</v>
      </c>
      <c r="K94" t="n">
        <v>2</v>
      </c>
      <c r="L94" t="n">
        <v>0</v>
      </c>
      <c r="M94" t="n">
        <v>0</v>
      </c>
      <c r="N94" t="n">
        <v>0</v>
      </c>
      <c r="O94" t="n">
        <v>2</v>
      </c>
      <c r="P94" t="n">
        <v>2</v>
      </c>
      <c r="Q94" t="n">
        <v>4</v>
      </c>
      <c r="R94" s="2" t="inlineStr">
        <is>
          <t>Svartgrön spindling
Vit taggsvamp
Nästrot
Skogsknipprot</t>
        </is>
      </c>
      <c r="S94">
        <f>HYPERLINK("https://klasma.github.io/Logging_0980/artfynd/A 186-2023 artfynd.xlsx", "A 186-2023")</f>
        <v/>
      </c>
      <c r="T94">
        <f>HYPERLINK("https://klasma.github.io/Logging_0980/kartor/A 186-2023 karta.png", "A 186-2023")</f>
        <v/>
      </c>
      <c r="V94">
        <f>HYPERLINK("https://klasma.github.io/Logging_0980/klagomål/A 186-2023 FSC-klagomål.docx", "A 186-2023")</f>
        <v/>
      </c>
      <c r="W94">
        <f>HYPERLINK("https://klasma.github.io/Logging_0980/klagomålsmail/A 186-2023 FSC-klagomål mail.docx", "A 186-2023")</f>
        <v/>
      </c>
      <c r="X94">
        <f>HYPERLINK("https://klasma.github.io/Logging_0980/tillsyn/A 186-2023 tillsynsbegäran.docx", "A 186-2023")</f>
        <v/>
      </c>
      <c r="Y94">
        <f>HYPERLINK("https://klasma.github.io/Logging_0980/tillsynsmail/A 186-2023 tillsynsbegäran mail.docx", "A 186-2023")</f>
        <v/>
      </c>
    </row>
    <row r="95" ht="15" customHeight="1">
      <c r="A95" t="inlineStr">
        <is>
          <t>A 6159-2023</t>
        </is>
      </c>
      <c r="B95" s="1" t="n">
        <v>44964</v>
      </c>
      <c r="C95" s="1" t="n">
        <v>45995</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56717-2024</t>
        </is>
      </c>
      <c r="B96" s="1" t="n">
        <v>45628.3166550926</v>
      </c>
      <c r="C96" s="1" t="n">
        <v>45995</v>
      </c>
      <c r="D96" t="inlineStr">
        <is>
          <t>GOTLANDS LÄN</t>
        </is>
      </c>
      <c r="E96" t="inlineStr">
        <is>
          <t>GOTLAND</t>
        </is>
      </c>
      <c r="G96" t="n">
        <v>9.699999999999999</v>
      </c>
      <c r="H96" t="n">
        <v>0</v>
      </c>
      <c r="I96" t="n">
        <v>2</v>
      </c>
      <c r="J96" t="n">
        <v>2</v>
      </c>
      <c r="K96" t="n">
        <v>0</v>
      </c>
      <c r="L96" t="n">
        <v>0</v>
      </c>
      <c r="M96" t="n">
        <v>0</v>
      </c>
      <c r="N96" t="n">
        <v>0</v>
      </c>
      <c r="O96" t="n">
        <v>2</v>
      </c>
      <c r="P96" t="n">
        <v>0</v>
      </c>
      <c r="Q96" t="n">
        <v>4</v>
      </c>
      <c r="R96" s="2" t="inlineStr">
        <is>
          <t>Ekvaxskivling
Odörspindling
Fjällig taggsvamp s.str.
Kattfotslav</t>
        </is>
      </c>
      <c r="S96">
        <f>HYPERLINK("https://klasma.github.io/Logging_0980/artfynd/A 56717-2024 artfynd.xlsx", "A 56717-2024")</f>
        <v/>
      </c>
      <c r="T96">
        <f>HYPERLINK("https://klasma.github.io/Logging_0980/kartor/A 56717-2024 karta.png", "A 56717-2024")</f>
        <v/>
      </c>
      <c r="V96">
        <f>HYPERLINK("https://klasma.github.io/Logging_0980/klagomål/A 56717-2024 FSC-klagomål.docx", "A 56717-2024")</f>
        <v/>
      </c>
      <c r="W96">
        <f>HYPERLINK("https://klasma.github.io/Logging_0980/klagomålsmail/A 56717-2024 FSC-klagomål mail.docx", "A 56717-2024")</f>
        <v/>
      </c>
      <c r="X96">
        <f>HYPERLINK("https://klasma.github.io/Logging_0980/tillsyn/A 56717-2024 tillsynsbegäran.docx", "A 56717-2024")</f>
        <v/>
      </c>
      <c r="Y96">
        <f>HYPERLINK("https://klasma.github.io/Logging_0980/tillsynsmail/A 56717-2024 tillsynsbegäran mail.docx", "A 56717-2024")</f>
        <v/>
      </c>
    </row>
    <row r="97" ht="15" customHeight="1">
      <c r="A97" t="inlineStr">
        <is>
          <t>A 43197-2023</t>
        </is>
      </c>
      <c r="B97" s="1" t="n">
        <v>45183</v>
      </c>
      <c r="C97" s="1" t="n">
        <v>45995</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1971-2023</t>
        </is>
      </c>
      <c r="B98" s="1" t="n">
        <v>44939</v>
      </c>
      <c r="C98" s="1" t="n">
        <v>45995</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52309-2025</t>
        </is>
      </c>
      <c r="B99" s="1" t="n">
        <v>45953.64381944444</v>
      </c>
      <c r="C99" s="1" t="n">
        <v>45995</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52250-2025</t>
        </is>
      </c>
      <c r="B100" s="1" t="n">
        <v>45953.48998842593</v>
      </c>
      <c r="C100" s="1" t="n">
        <v>45995</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44933-2022</t>
        </is>
      </c>
      <c r="B101" s="1" t="n">
        <v>44841</v>
      </c>
      <c r="C101" s="1" t="n">
        <v>45995</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2485-2025</t>
        </is>
      </c>
      <c r="B102" s="1" t="n">
        <v>45673</v>
      </c>
      <c r="C102" s="1" t="n">
        <v>45995</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57463-2025</t>
        </is>
      </c>
      <c r="B103" s="1" t="n">
        <v>45980.54174768519</v>
      </c>
      <c r="C103" s="1" t="n">
        <v>45995</v>
      </c>
      <c r="D103" t="inlineStr">
        <is>
          <t>GOTLANDS LÄN</t>
        </is>
      </c>
      <c r="E103" t="inlineStr">
        <is>
          <t>GOTLAND</t>
        </is>
      </c>
      <c r="G103" t="n">
        <v>3.8</v>
      </c>
      <c r="H103" t="n">
        <v>0</v>
      </c>
      <c r="I103" t="n">
        <v>1</v>
      </c>
      <c r="J103" t="n">
        <v>1</v>
      </c>
      <c r="K103" t="n">
        <v>2</v>
      </c>
      <c r="L103" t="n">
        <v>0</v>
      </c>
      <c r="M103" t="n">
        <v>0</v>
      </c>
      <c r="N103" t="n">
        <v>0</v>
      </c>
      <c r="O103" t="n">
        <v>3</v>
      </c>
      <c r="P103" t="n">
        <v>2</v>
      </c>
      <c r="Q103" t="n">
        <v>4</v>
      </c>
      <c r="R103" s="2" t="inlineStr">
        <is>
          <t>Gulsträngad fagerspindling
Tvillingspindling
Odörspindling
Blå slemspindling</t>
        </is>
      </c>
      <c r="S103">
        <f>HYPERLINK("https://klasma.github.io/Logging_0980/artfynd/A 57463-2025 artfynd.xlsx", "A 57463-2025")</f>
        <v/>
      </c>
      <c r="T103">
        <f>HYPERLINK("https://klasma.github.io/Logging_0980/kartor/A 57463-2025 karta.png", "A 57463-2025")</f>
        <v/>
      </c>
      <c r="V103">
        <f>HYPERLINK("https://klasma.github.io/Logging_0980/klagomål/A 57463-2025 FSC-klagomål.docx", "A 57463-2025")</f>
        <v/>
      </c>
      <c r="W103">
        <f>HYPERLINK("https://klasma.github.io/Logging_0980/klagomålsmail/A 57463-2025 FSC-klagomål mail.docx", "A 57463-2025")</f>
        <v/>
      </c>
      <c r="X103">
        <f>HYPERLINK("https://klasma.github.io/Logging_0980/tillsyn/A 57463-2025 tillsynsbegäran.docx", "A 57463-2025")</f>
        <v/>
      </c>
      <c r="Y103">
        <f>HYPERLINK("https://klasma.github.io/Logging_0980/tillsynsmail/A 57463-2025 tillsynsbegäran mail.docx", "A 57463-2025")</f>
        <v/>
      </c>
    </row>
    <row r="104" ht="15" customHeight="1">
      <c r="A104" t="inlineStr">
        <is>
          <t>A 20833-2024</t>
        </is>
      </c>
      <c r="B104" s="1" t="n">
        <v>45439</v>
      </c>
      <c r="C104" s="1" t="n">
        <v>45995</v>
      </c>
      <c r="D104" t="inlineStr">
        <is>
          <t>GOTLANDS LÄN</t>
        </is>
      </c>
      <c r="E104" t="inlineStr">
        <is>
          <t>GOTLAND</t>
        </is>
      </c>
      <c r="G104" t="n">
        <v>0.9</v>
      </c>
      <c r="H104" t="n">
        <v>3</v>
      </c>
      <c r="I104" t="n">
        <v>1</v>
      </c>
      <c r="J104" t="n">
        <v>3</v>
      </c>
      <c r="K104" t="n">
        <v>0</v>
      </c>
      <c r="L104" t="n">
        <v>0</v>
      </c>
      <c r="M104" t="n">
        <v>0</v>
      </c>
      <c r="N104" t="n">
        <v>0</v>
      </c>
      <c r="O104" t="n">
        <v>3</v>
      </c>
      <c r="P104" t="n">
        <v>0</v>
      </c>
      <c r="Q104" t="n">
        <v>4</v>
      </c>
      <c r="R104" s="2" t="inlineStr">
        <is>
          <t>Dårgräsfjäril
Spillkråka
Svinrot
Skogsknipprot</t>
        </is>
      </c>
      <c r="S104">
        <f>HYPERLINK("https://klasma.github.io/Logging_0980/artfynd/A 20833-2024 artfynd.xlsx", "A 20833-2024")</f>
        <v/>
      </c>
      <c r="T104">
        <f>HYPERLINK("https://klasma.github.io/Logging_0980/kartor/A 20833-2024 karta.png", "A 20833-2024")</f>
        <v/>
      </c>
      <c r="V104">
        <f>HYPERLINK("https://klasma.github.io/Logging_0980/klagomål/A 20833-2024 FSC-klagomål.docx", "A 20833-2024")</f>
        <v/>
      </c>
      <c r="W104">
        <f>HYPERLINK("https://klasma.github.io/Logging_0980/klagomålsmail/A 20833-2024 FSC-klagomål mail.docx", "A 20833-2024")</f>
        <v/>
      </c>
      <c r="X104">
        <f>HYPERLINK("https://klasma.github.io/Logging_0980/tillsyn/A 20833-2024 tillsynsbegäran.docx", "A 20833-2024")</f>
        <v/>
      </c>
      <c r="Y104">
        <f>HYPERLINK("https://klasma.github.io/Logging_0980/tillsynsmail/A 20833-2024 tillsynsbegäran mail.docx", "A 20833-2024")</f>
        <v/>
      </c>
      <c r="Z104">
        <f>HYPERLINK("https://klasma.github.io/Logging_0980/fåglar/A 20833-2024 prioriterade fågelarter.docx", "A 20833-2024")</f>
        <v/>
      </c>
    </row>
    <row r="105" ht="15" customHeight="1">
      <c r="A105" t="inlineStr">
        <is>
          <t>A 65537-2020</t>
        </is>
      </c>
      <c r="B105" s="1" t="n">
        <v>44173</v>
      </c>
      <c r="C105" s="1" t="n">
        <v>45995</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45995</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45995</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45995</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45995</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45995</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48126-2022</t>
        </is>
      </c>
      <c r="B111" s="1" t="n">
        <v>44857</v>
      </c>
      <c r="C111" s="1" t="n">
        <v>45995</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43013-2022</t>
        </is>
      </c>
      <c r="B112" s="1" t="n">
        <v>44833</v>
      </c>
      <c r="C112" s="1" t="n">
        <v>45995</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45995</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73144-2021</t>
        </is>
      </c>
      <c r="B114" s="1" t="n">
        <v>44550</v>
      </c>
      <c r="C114" s="1" t="n">
        <v>45995</v>
      </c>
      <c r="D114" t="inlineStr">
        <is>
          <t>GOTLANDS LÄN</t>
        </is>
      </c>
      <c r="E114" t="inlineStr">
        <is>
          <t>GOTLAND</t>
        </is>
      </c>
      <c r="G114" t="n">
        <v>1.9</v>
      </c>
      <c r="H114" t="n">
        <v>0</v>
      </c>
      <c r="I114" t="n">
        <v>1</v>
      </c>
      <c r="J114" t="n">
        <v>1</v>
      </c>
      <c r="K114" t="n">
        <v>1</v>
      </c>
      <c r="L114" t="n">
        <v>0</v>
      </c>
      <c r="M114" t="n">
        <v>0</v>
      </c>
      <c r="N114" t="n">
        <v>0</v>
      </c>
      <c r="O114" t="n">
        <v>2</v>
      </c>
      <c r="P114" t="n">
        <v>1</v>
      </c>
      <c r="Q114" t="n">
        <v>3</v>
      </c>
      <c r="R114" s="2" t="inlineStr">
        <is>
          <t>Skogskorn
Igelkott
Kambräken</t>
        </is>
      </c>
      <c r="S114">
        <f>HYPERLINK("https://klasma.github.io/Logging_0980/artfynd/A 73144-2021 artfynd.xlsx", "A 73144-2021")</f>
        <v/>
      </c>
      <c r="T114">
        <f>HYPERLINK("https://klasma.github.io/Logging_0980/kartor/A 73144-2021 karta.png", "A 73144-2021")</f>
        <v/>
      </c>
      <c r="V114">
        <f>HYPERLINK("https://klasma.github.io/Logging_0980/klagomål/A 73144-2021 FSC-klagomål.docx", "A 73144-2021")</f>
        <v/>
      </c>
      <c r="W114">
        <f>HYPERLINK("https://klasma.github.io/Logging_0980/klagomålsmail/A 73144-2021 FSC-klagomål mail.docx", "A 73144-2021")</f>
        <v/>
      </c>
      <c r="X114">
        <f>HYPERLINK("https://klasma.github.io/Logging_0980/tillsyn/A 73144-2021 tillsynsbegäran.docx", "A 73144-2021")</f>
        <v/>
      </c>
      <c r="Y114">
        <f>HYPERLINK("https://klasma.github.io/Logging_0980/tillsynsmail/A 73144-2021 tillsynsbegäran mail.docx", "A 73144-2021")</f>
        <v/>
      </c>
    </row>
    <row r="115" ht="15" customHeight="1">
      <c r="A115" t="inlineStr">
        <is>
          <t>A 53552-2021</t>
        </is>
      </c>
      <c r="B115" s="1" t="n">
        <v>44468</v>
      </c>
      <c r="C115" s="1" t="n">
        <v>45995</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17982-2023</t>
        </is>
      </c>
      <c r="B116" s="1" t="n">
        <v>45040</v>
      </c>
      <c r="C116" s="1" t="n">
        <v>45995</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55334-2024</t>
        </is>
      </c>
      <c r="B117" s="1" t="n">
        <v>45621</v>
      </c>
      <c r="C117" s="1" t="n">
        <v>45995</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17975-2024</t>
        </is>
      </c>
      <c r="B118" s="1" t="n">
        <v>45419.85546296297</v>
      </c>
      <c r="C118" s="1" t="n">
        <v>45995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45995</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49709-2025</t>
        </is>
      </c>
      <c r="B120" s="1" t="n">
        <v>45939.68228009259</v>
      </c>
      <c r="C120" s="1" t="n">
        <v>45995</v>
      </c>
      <c r="D120" t="inlineStr">
        <is>
          <t>GOTLANDS LÄN</t>
        </is>
      </c>
      <c r="E120" t="inlineStr">
        <is>
          <t>GOTLAND</t>
        </is>
      </c>
      <c r="G120" t="n">
        <v>10.2</v>
      </c>
      <c r="H120" t="n">
        <v>0</v>
      </c>
      <c r="I120" t="n">
        <v>2</v>
      </c>
      <c r="J120" t="n">
        <v>1</v>
      </c>
      <c r="K120" t="n">
        <v>0</v>
      </c>
      <c r="L120" t="n">
        <v>0</v>
      </c>
      <c r="M120" t="n">
        <v>0</v>
      </c>
      <c r="N120" t="n">
        <v>0</v>
      </c>
      <c r="O120" t="n">
        <v>1</v>
      </c>
      <c r="P120" t="n">
        <v>0</v>
      </c>
      <c r="Q120" t="n">
        <v>3</v>
      </c>
      <c r="R120" s="2" t="inlineStr">
        <is>
          <t>Tallticka
Blåmossa
Grovticka</t>
        </is>
      </c>
      <c r="S120">
        <f>HYPERLINK("https://klasma.github.io/Logging_0980/artfynd/A 49709-2025 artfynd.xlsx", "A 49709-2025")</f>
        <v/>
      </c>
      <c r="T120">
        <f>HYPERLINK("https://klasma.github.io/Logging_0980/kartor/A 49709-2025 karta.png", "A 49709-2025")</f>
        <v/>
      </c>
      <c r="V120">
        <f>HYPERLINK("https://klasma.github.io/Logging_0980/klagomål/A 49709-2025 FSC-klagomål.docx", "A 49709-2025")</f>
        <v/>
      </c>
      <c r="W120">
        <f>HYPERLINK("https://klasma.github.io/Logging_0980/klagomålsmail/A 49709-2025 FSC-klagomål mail.docx", "A 49709-2025")</f>
        <v/>
      </c>
      <c r="X120">
        <f>HYPERLINK("https://klasma.github.io/Logging_0980/tillsyn/A 49709-2025 tillsynsbegäran.docx", "A 49709-2025")</f>
        <v/>
      </c>
      <c r="Y120">
        <f>HYPERLINK("https://klasma.github.io/Logging_0980/tillsynsmail/A 49709-2025 tillsynsbegäran mail.docx", "A 49709-2025")</f>
        <v/>
      </c>
    </row>
    <row r="121" ht="15" customHeight="1">
      <c r="A121" t="inlineStr">
        <is>
          <t>A 12315-2024</t>
        </is>
      </c>
      <c r="B121" s="1" t="n">
        <v>45378.6434837963</v>
      </c>
      <c r="C121" s="1" t="n">
        <v>45995</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30490-2025</t>
        </is>
      </c>
      <c r="B122" s="1" t="n">
        <v>45830</v>
      </c>
      <c r="C122" s="1" t="n">
        <v>45995</v>
      </c>
      <c r="D122" t="inlineStr">
        <is>
          <t>GOTLANDS LÄN</t>
        </is>
      </c>
      <c r="E122" t="inlineStr">
        <is>
          <t>GOTLAND</t>
        </is>
      </c>
      <c r="G122" t="n">
        <v>7.9</v>
      </c>
      <c r="H122" t="n">
        <v>1</v>
      </c>
      <c r="I122" t="n">
        <v>0</v>
      </c>
      <c r="J122" t="n">
        <v>2</v>
      </c>
      <c r="K122" t="n">
        <v>0</v>
      </c>
      <c r="L122" t="n">
        <v>0</v>
      </c>
      <c r="M122" t="n">
        <v>0</v>
      </c>
      <c r="N122" t="n">
        <v>0</v>
      </c>
      <c r="O122" t="n">
        <v>2</v>
      </c>
      <c r="P122" t="n">
        <v>0</v>
      </c>
      <c r="Q122" t="n">
        <v>3</v>
      </c>
      <c r="R122" s="2" t="inlineStr">
        <is>
          <t>Klasefibbla
Majviva
Nattviol</t>
        </is>
      </c>
      <c r="S122">
        <f>HYPERLINK("https://klasma.github.io/Logging_0980/artfynd/A 30490-2025 artfynd.xlsx", "A 30490-2025")</f>
        <v/>
      </c>
      <c r="T122">
        <f>HYPERLINK("https://klasma.github.io/Logging_0980/kartor/A 30490-2025 karta.png", "A 30490-2025")</f>
        <v/>
      </c>
      <c r="V122">
        <f>HYPERLINK("https://klasma.github.io/Logging_0980/klagomål/A 30490-2025 FSC-klagomål.docx", "A 30490-2025")</f>
        <v/>
      </c>
      <c r="W122">
        <f>HYPERLINK("https://klasma.github.io/Logging_0980/klagomålsmail/A 30490-2025 FSC-klagomål mail.docx", "A 30490-2025")</f>
        <v/>
      </c>
      <c r="X122">
        <f>HYPERLINK("https://klasma.github.io/Logging_0980/tillsyn/A 30490-2025 tillsynsbegäran.docx", "A 30490-2025")</f>
        <v/>
      </c>
      <c r="Y122">
        <f>HYPERLINK("https://klasma.github.io/Logging_0980/tillsynsmail/A 30490-2025 tillsynsbegäran mail.docx", "A 30490-2025")</f>
        <v/>
      </c>
    </row>
    <row r="123" ht="15" customHeight="1">
      <c r="A123" t="inlineStr">
        <is>
          <t>A 20831-2024</t>
        </is>
      </c>
      <c r="B123" s="1" t="n">
        <v>45439</v>
      </c>
      <c r="C123" s="1" t="n">
        <v>45995</v>
      </c>
      <c r="D123" t="inlineStr">
        <is>
          <t>GOTLANDS LÄN</t>
        </is>
      </c>
      <c r="E123" t="inlineStr">
        <is>
          <t>GOTLAND</t>
        </is>
      </c>
      <c r="G123" t="n">
        <v>2.9</v>
      </c>
      <c r="H123" t="n">
        <v>2</v>
      </c>
      <c r="I123" t="n">
        <v>1</v>
      </c>
      <c r="J123" t="n">
        <v>2</v>
      </c>
      <c r="K123" t="n">
        <v>0</v>
      </c>
      <c r="L123" t="n">
        <v>0</v>
      </c>
      <c r="M123" t="n">
        <v>0</v>
      </c>
      <c r="N123" t="n">
        <v>0</v>
      </c>
      <c r="O123" t="n">
        <v>2</v>
      </c>
      <c r="P123" t="n">
        <v>0</v>
      </c>
      <c r="Q123" t="n">
        <v>3</v>
      </c>
      <c r="R123" s="2" t="inlineStr">
        <is>
          <t>Dårgräsfjäril
Svinrot
Skogsknipprot</t>
        </is>
      </c>
      <c r="S123">
        <f>HYPERLINK("https://klasma.github.io/Logging_0980/artfynd/A 20831-2024 artfynd.xlsx", "A 20831-2024")</f>
        <v/>
      </c>
      <c r="T123">
        <f>HYPERLINK("https://klasma.github.io/Logging_0980/kartor/A 20831-2024 karta.png", "A 20831-2024")</f>
        <v/>
      </c>
      <c r="V123">
        <f>HYPERLINK("https://klasma.github.io/Logging_0980/klagomål/A 20831-2024 FSC-klagomål.docx", "A 20831-2024")</f>
        <v/>
      </c>
      <c r="W123">
        <f>HYPERLINK("https://klasma.github.io/Logging_0980/klagomålsmail/A 20831-2024 FSC-klagomål mail.docx", "A 20831-2024")</f>
        <v/>
      </c>
      <c r="X123">
        <f>HYPERLINK("https://klasma.github.io/Logging_0980/tillsyn/A 20831-2024 tillsynsbegäran.docx", "A 20831-2024")</f>
        <v/>
      </c>
      <c r="Y123">
        <f>HYPERLINK("https://klasma.github.io/Logging_0980/tillsynsmail/A 20831-2024 tillsynsbegäran mail.docx", "A 20831-2024")</f>
        <v/>
      </c>
    </row>
    <row r="124" ht="15" customHeight="1">
      <c r="A124" t="inlineStr">
        <is>
          <t>A 29870-2021</t>
        </is>
      </c>
      <c r="B124" s="1" t="n">
        <v>44362</v>
      </c>
      <c r="C124" s="1" t="n">
        <v>45995</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45995</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16429-2021</t>
        </is>
      </c>
      <c r="B126" s="1" t="n">
        <v>44293</v>
      </c>
      <c r="C126" s="1" t="n">
        <v>45995</v>
      </c>
      <c r="D126" t="inlineStr">
        <is>
          <t>GOTLANDS LÄN</t>
        </is>
      </c>
      <c r="E126" t="inlineStr">
        <is>
          <t>GOTLAND</t>
        </is>
      </c>
      <c r="G126" t="n">
        <v>3.4</v>
      </c>
      <c r="H126" t="n">
        <v>0</v>
      </c>
      <c r="I126" t="n">
        <v>0</v>
      </c>
      <c r="J126" t="n">
        <v>1</v>
      </c>
      <c r="K126" t="n">
        <v>1</v>
      </c>
      <c r="L126" t="n">
        <v>0</v>
      </c>
      <c r="M126" t="n">
        <v>0</v>
      </c>
      <c r="N126" t="n">
        <v>0</v>
      </c>
      <c r="O126" t="n">
        <v>2</v>
      </c>
      <c r="P126" t="n">
        <v>1</v>
      </c>
      <c r="Q126" t="n">
        <v>2</v>
      </c>
      <c r="R126" s="2" t="inlineStr">
        <is>
          <t>Gotlandsmåra
Barrviolspindling</t>
        </is>
      </c>
      <c r="S126">
        <f>HYPERLINK("https://klasma.github.io/Logging_0980/artfynd/A 16429-2021 artfynd.xlsx", "A 16429-2021")</f>
        <v/>
      </c>
      <c r="T126">
        <f>HYPERLINK("https://klasma.github.io/Logging_0980/kartor/A 16429-2021 karta.png", "A 16429-2021")</f>
        <v/>
      </c>
      <c r="V126">
        <f>HYPERLINK("https://klasma.github.io/Logging_0980/klagomål/A 16429-2021 FSC-klagomål.docx", "A 16429-2021")</f>
        <v/>
      </c>
      <c r="W126">
        <f>HYPERLINK("https://klasma.github.io/Logging_0980/klagomålsmail/A 16429-2021 FSC-klagomål mail.docx", "A 16429-2021")</f>
        <v/>
      </c>
      <c r="X126">
        <f>HYPERLINK("https://klasma.github.io/Logging_0980/tillsyn/A 16429-2021 tillsynsbegäran.docx", "A 16429-2021")</f>
        <v/>
      </c>
      <c r="Y126">
        <f>HYPERLINK("https://klasma.github.io/Logging_0980/tillsynsmail/A 16429-2021 tillsynsbegäran mail.docx", "A 16429-2021")</f>
        <v/>
      </c>
    </row>
    <row r="127" ht="15" customHeight="1">
      <c r="A127" t="inlineStr">
        <is>
          <t>A 9930-2021</t>
        </is>
      </c>
      <c r="B127" s="1" t="n">
        <v>44252</v>
      </c>
      <c r="C127" s="1" t="n">
        <v>45995</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20218-2022</t>
        </is>
      </c>
      <c r="B128" s="1" t="n">
        <v>44698</v>
      </c>
      <c r="C128" s="1" t="n">
        <v>45995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60665-2021</t>
        </is>
      </c>
      <c r="B129" s="1" t="n">
        <v>44496</v>
      </c>
      <c r="C129" s="1" t="n">
        <v>45995</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26077-2024</t>
        </is>
      </c>
      <c r="B130" s="1" t="n">
        <v>45467</v>
      </c>
      <c r="C130" s="1" t="n">
        <v>45995</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20838-2024</t>
        </is>
      </c>
      <c r="B131" s="1" t="n">
        <v>45439</v>
      </c>
      <c r="C131" s="1" t="n">
        <v>45995</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28276-2024</t>
        </is>
      </c>
      <c r="B132" s="1" t="n">
        <v>45477</v>
      </c>
      <c r="C132" s="1" t="n">
        <v>45995</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28276-2024 artfynd.xlsx", "A 28276-2024")</f>
        <v/>
      </c>
      <c r="T132">
        <f>HYPERLINK("https://klasma.github.io/Logging_0980/kartor/A 28276-2024 karta.png", "A 28276-2024")</f>
        <v/>
      </c>
      <c r="V132">
        <f>HYPERLINK("https://klasma.github.io/Logging_0980/klagomål/A 28276-2024 FSC-klagomål.docx", "A 28276-2024")</f>
        <v/>
      </c>
      <c r="W132">
        <f>HYPERLINK("https://klasma.github.io/Logging_0980/klagomålsmail/A 28276-2024 FSC-klagomål mail.docx", "A 28276-2024")</f>
        <v/>
      </c>
      <c r="X132">
        <f>HYPERLINK("https://klasma.github.io/Logging_0980/tillsyn/A 28276-2024 tillsynsbegäran.docx", "A 28276-2024")</f>
        <v/>
      </c>
      <c r="Y132">
        <f>HYPERLINK("https://klasma.github.io/Logging_0980/tillsynsmail/A 28276-2024 tillsynsbegäran mail.docx", "A 28276-2024")</f>
        <v/>
      </c>
    </row>
    <row r="133" ht="15" customHeight="1">
      <c r="A133" t="inlineStr">
        <is>
          <t>A 54357-2024</t>
        </is>
      </c>
      <c r="B133" s="1" t="n">
        <v>45617.40662037037</v>
      </c>
      <c r="C133" s="1" t="n">
        <v>45995</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21879-2025</t>
        </is>
      </c>
      <c r="B134" s="1" t="n">
        <v>45784.40533564815</v>
      </c>
      <c r="C134" s="1" t="n">
        <v>45995</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7070-2022</t>
        </is>
      </c>
      <c r="B135" s="1" t="n">
        <v>44603</v>
      </c>
      <c r="C135" s="1" t="n">
        <v>45995</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43219-2023</t>
        </is>
      </c>
      <c r="B136" s="1" t="n">
        <v>45183</v>
      </c>
      <c r="C136" s="1" t="n">
        <v>45995</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12914-2025</t>
        </is>
      </c>
      <c r="B137" s="1" t="n">
        <v>45733</v>
      </c>
      <c r="C137" s="1" t="n">
        <v>45995</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28261-2024</t>
        </is>
      </c>
      <c r="B138" s="1" t="n">
        <v>45477</v>
      </c>
      <c r="C138" s="1" t="n">
        <v>45995</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28261-2024 artfynd.xlsx", "A 28261-2024")</f>
        <v/>
      </c>
      <c r="T138">
        <f>HYPERLINK("https://klasma.github.io/Logging_0980/kartor/A 28261-2024 karta.png", "A 28261-2024")</f>
        <v/>
      </c>
      <c r="V138">
        <f>HYPERLINK("https://klasma.github.io/Logging_0980/klagomål/A 28261-2024 FSC-klagomål.docx", "A 28261-2024")</f>
        <v/>
      </c>
      <c r="W138">
        <f>HYPERLINK("https://klasma.github.io/Logging_0980/klagomålsmail/A 28261-2024 FSC-klagomål mail.docx", "A 28261-2024")</f>
        <v/>
      </c>
      <c r="X138">
        <f>HYPERLINK("https://klasma.github.io/Logging_0980/tillsyn/A 28261-2024 tillsynsbegäran.docx", "A 28261-2024")</f>
        <v/>
      </c>
      <c r="Y138">
        <f>HYPERLINK("https://klasma.github.io/Logging_0980/tillsynsmail/A 28261-2024 tillsynsbegäran mail.docx", "A 28261-2024")</f>
        <v/>
      </c>
    </row>
    <row r="139" ht="15" customHeight="1">
      <c r="A139" t="inlineStr">
        <is>
          <t>A 55649-2024</t>
        </is>
      </c>
      <c r="B139" s="1" t="n">
        <v>45622.63053240741</v>
      </c>
      <c r="C139" s="1" t="n">
        <v>45995</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24-2021</t>
        </is>
      </c>
      <c r="B140" s="1" t="n">
        <v>44197</v>
      </c>
      <c r="C140" s="1" t="n">
        <v>45995</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45995</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45995</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45995</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2476-2025</t>
        </is>
      </c>
      <c r="B144" s="1" t="n">
        <v>45673</v>
      </c>
      <c r="C144" s="1" t="n">
        <v>45995</v>
      </c>
      <c r="D144" t="inlineStr">
        <is>
          <t>GOTLANDS LÄN</t>
        </is>
      </c>
      <c r="E144" t="inlineStr">
        <is>
          <t>GOTLAND</t>
        </is>
      </c>
      <c r="G144" t="n">
        <v>3.1</v>
      </c>
      <c r="H144" t="n">
        <v>0</v>
      </c>
      <c r="I144" t="n">
        <v>1</v>
      </c>
      <c r="J144" t="n">
        <v>0</v>
      </c>
      <c r="K144" t="n">
        <v>0</v>
      </c>
      <c r="L144" t="n">
        <v>0</v>
      </c>
      <c r="M144" t="n">
        <v>0</v>
      </c>
      <c r="N144" t="n">
        <v>0</v>
      </c>
      <c r="O144" t="n">
        <v>0</v>
      </c>
      <c r="P144" t="n">
        <v>0</v>
      </c>
      <c r="Q144" t="n">
        <v>1</v>
      </c>
      <c r="R144" s="2" t="inlineStr">
        <is>
          <t>Kryddspindling</t>
        </is>
      </c>
      <c r="S144">
        <f>HYPERLINK("https://klasma.github.io/Logging_0980/artfynd/A 2476-2025 artfynd.xlsx", "A 2476-2025")</f>
        <v/>
      </c>
      <c r="T144">
        <f>HYPERLINK("https://klasma.github.io/Logging_0980/kartor/A 2476-2025 karta.png", "A 2476-2025")</f>
        <v/>
      </c>
      <c r="V144">
        <f>HYPERLINK("https://klasma.github.io/Logging_0980/klagomål/A 2476-2025 FSC-klagomål.docx", "A 2476-2025")</f>
        <v/>
      </c>
      <c r="W144">
        <f>HYPERLINK("https://klasma.github.io/Logging_0980/klagomålsmail/A 2476-2025 FSC-klagomål mail.docx", "A 2476-2025")</f>
        <v/>
      </c>
      <c r="X144">
        <f>HYPERLINK("https://klasma.github.io/Logging_0980/tillsyn/A 2476-2025 tillsynsbegäran.docx", "A 2476-2025")</f>
        <v/>
      </c>
      <c r="Y144">
        <f>HYPERLINK("https://klasma.github.io/Logging_0980/tillsynsmail/A 2476-2025 tillsynsbegäran mail.docx", "A 2476-2025")</f>
        <v/>
      </c>
    </row>
    <row r="145" ht="15" customHeight="1">
      <c r="A145" t="inlineStr">
        <is>
          <t>A 10218-2025</t>
        </is>
      </c>
      <c r="B145" s="1" t="n">
        <v>45720</v>
      </c>
      <c r="C145" s="1" t="n">
        <v>45995</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13939-2021</t>
        </is>
      </c>
      <c r="B146" s="1" t="n">
        <v>44277</v>
      </c>
      <c r="C146" s="1" t="n">
        <v>45995</v>
      </c>
      <c r="D146" t="inlineStr">
        <is>
          <t>GOTLANDS LÄN</t>
        </is>
      </c>
      <c r="E146" t="inlineStr">
        <is>
          <t>GOTLAND</t>
        </is>
      </c>
      <c r="G146" t="n">
        <v>1</v>
      </c>
      <c r="H146" t="n">
        <v>0</v>
      </c>
      <c r="I146" t="n">
        <v>0</v>
      </c>
      <c r="J146" t="n">
        <v>1</v>
      </c>
      <c r="K146" t="n">
        <v>0</v>
      </c>
      <c r="L146" t="n">
        <v>0</v>
      </c>
      <c r="M146" t="n">
        <v>0</v>
      </c>
      <c r="N146" t="n">
        <v>0</v>
      </c>
      <c r="O146" t="n">
        <v>1</v>
      </c>
      <c r="P146" t="n">
        <v>0</v>
      </c>
      <c r="Q146" t="n">
        <v>1</v>
      </c>
      <c r="R146" s="2" t="inlineStr">
        <is>
          <t>Axveronika</t>
        </is>
      </c>
      <c r="S146">
        <f>HYPERLINK("https://klasma.github.io/Logging_0980/artfynd/A 13939-2021 artfynd.xlsx", "A 13939-2021")</f>
        <v/>
      </c>
      <c r="T146">
        <f>HYPERLINK("https://klasma.github.io/Logging_0980/kartor/A 13939-2021 karta.png", "A 13939-2021")</f>
        <v/>
      </c>
      <c r="V146">
        <f>HYPERLINK("https://klasma.github.io/Logging_0980/klagomål/A 13939-2021 FSC-klagomål.docx", "A 13939-2021")</f>
        <v/>
      </c>
      <c r="W146">
        <f>HYPERLINK("https://klasma.github.io/Logging_0980/klagomålsmail/A 13939-2021 FSC-klagomål mail.docx", "A 13939-2021")</f>
        <v/>
      </c>
      <c r="X146">
        <f>HYPERLINK("https://klasma.github.io/Logging_0980/tillsyn/A 13939-2021 tillsynsbegäran.docx", "A 13939-2021")</f>
        <v/>
      </c>
      <c r="Y146">
        <f>HYPERLINK("https://klasma.github.io/Logging_0980/tillsynsmail/A 13939-2021 tillsynsbegäran mail.docx", "A 13939-2021")</f>
        <v/>
      </c>
    </row>
    <row r="147" ht="15" customHeight="1">
      <c r="A147" t="inlineStr">
        <is>
          <t>A 10995-2023</t>
        </is>
      </c>
      <c r="B147" s="1" t="n">
        <v>44986</v>
      </c>
      <c r="C147" s="1" t="n">
        <v>45995</v>
      </c>
      <c r="D147" t="inlineStr">
        <is>
          <t>GOTLANDS LÄN</t>
        </is>
      </c>
      <c r="E147" t="inlineStr">
        <is>
          <t>GOTLAND</t>
        </is>
      </c>
      <c r="G147" t="n">
        <v>2.8</v>
      </c>
      <c r="H147" t="n">
        <v>0</v>
      </c>
      <c r="I147" t="n">
        <v>0</v>
      </c>
      <c r="J147" t="n">
        <v>0</v>
      </c>
      <c r="K147" t="n">
        <v>1</v>
      </c>
      <c r="L147" t="n">
        <v>0</v>
      </c>
      <c r="M147" t="n">
        <v>0</v>
      </c>
      <c r="N147" t="n">
        <v>0</v>
      </c>
      <c r="O147" t="n">
        <v>1</v>
      </c>
      <c r="P147" t="n">
        <v>1</v>
      </c>
      <c r="Q147" t="n">
        <v>1</v>
      </c>
      <c r="R147" s="2" t="inlineStr">
        <is>
          <t>Violettfläckig spindling</t>
        </is>
      </c>
      <c r="S147">
        <f>HYPERLINK("https://klasma.github.io/Logging_0980/artfynd/A 10995-2023 artfynd.xlsx", "A 10995-2023")</f>
        <v/>
      </c>
      <c r="T147">
        <f>HYPERLINK("https://klasma.github.io/Logging_0980/kartor/A 10995-2023 karta.png", "A 10995-2023")</f>
        <v/>
      </c>
      <c r="V147">
        <f>HYPERLINK("https://klasma.github.io/Logging_0980/klagomål/A 10995-2023 FSC-klagomål.docx", "A 10995-2023")</f>
        <v/>
      </c>
      <c r="W147">
        <f>HYPERLINK("https://klasma.github.io/Logging_0980/klagomålsmail/A 10995-2023 FSC-klagomål mail.docx", "A 10995-2023")</f>
        <v/>
      </c>
      <c r="X147">
        <f>HYPERLINK("https://klasma.github.io/Logging_0980/tillsyn/A 10995-2023 tillsynsbegäran.docx", "A 10995-2023")</f>
        <v/>
      </c>
      <c r="Y147">
        <f>HYPERLINK("https://klasma.github.io/Logging_0980/tillsynsmail/A 10995-2023 tillsynsbegäran mail.docx", "A 10995-2023")</f>
        <v/>
      </c>
    </row>
    <row r="148" ht="15" customHeight="1">
      <c r="A148" t="inlineStr">
        <is>
          <t>A 12379-2024</t>
        </is>
      </c>
      <c r="B148" s="1" t="n">
        <v>45379.28155092592</v>
      </c>
      <c r="C148" s="1" t="n">
        <v>45995</v>
      </c>
      <c r="D148" t="inlineStr">
        <is>
          <t>GOTLANDS LÄN</t>
        </is>
      </c>
      <c r="E148" t="inlineStr">
        <is>
          <t>GOTLAND</t>
        </is>
      </c>
      <c r="G148" t="n">
        <v>4.4</v>
      </c>
      <c r="H148" t="n">
        <v>0</v>
      </c>
      <c r="I148" t="n">
        <v>0</v>
      </c>
      <c r="J148" t="n">
        <v>1</v>
      </c>
      <c r="K148" t="n">
        <v>0</v>
      </c>
      <c r="L148" t="n">
        <v>0</v>
      </c>
      <c r="M148" t="n">
        <v>0</v>
      </c>
      <c r="N148" t="n">
        <v>0</v>
      </c>
      <c r="O148" t="n">
        <v>1</v>
      </c>
      <c r="P148" t="n">
        <v>0</v>
      </c>
      <c r="Q148" t="n">
        <v>1</v>
      </c>
      <c r="R148" s="2" t="inlineStr">
        <is>
          <t>Svinrot</t>
        </is>
      </c>
      <c r="S148">
        <f>HYPERLINK("https://klasma.github.io/Logging_0980/artfynd/A 12379-2024 artfynd.xlsx", "A 12379-2024")</f>
        <v/>
      </c>
      <c r="T148">
        <f>HYPERLINK("https://klasma.github.io/Logging_0980/kartor/A 12379-2024 karta.png", "A 12379-2024")</f>
        <v/>
      </c>
      <c r="V148">
        <f>HYPERLINK("https://klasma.github.io/Logging_0980/klagomål/A 12379-2024 FSC-klagomål.docx", "A 12379-2024")</f>
        <v/>
      </c>
      <c r="W148">
        <f>HYPERLINK("https://klasma.github.io/Logging_0980/klagomålsmail/A 12379-2024 FSC-klagomål mail.docx", "A 12379-2024")</f>
        <v/>
      </c>
      <c r="X148">
        <f>HYPERLINK("https://klasma.github.io/Logging_0980/tillsyn/A 12379-2024 tillsynsbegäran.docx", "A 12379-2024")</f>
        <v/>
      </c>
      <c r="Y148">
        <f>HYPERLINK("https://klasma.github.io/Logging_0980/tillsynsmail/A 12379-2024 tillsynsbegäran mail.docx", "A 12379-2024")</f>
        <v/>
      </c>
    </row>
    <row r="149" ht="15" customHeight="1">
      <c r="A149" t="inlineStr">
        <is>
          <t>A 17723-2021</t>
        </is>
      </c>
      <c r="B149" s="1" t="n">
        <v>44300</v>
      </c>
      <c r="C149" s="1" t="n">
        <v>45995</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62552-2022</t>
        </is>
      </c>
      <c r="B150" s="1" t="n">
        <v>44924</v>
      </c>
      <c r="C150" s="1" t="n">
        <v>45995</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24245-2022</t>
        </is>
      </c>
      <c r="B151" s="1" t="n">
        <v>44725</v>
      </c>
      <c r="C151" s="1" t="n">
        <v>45995</v>
      </c>
      <c r="D151" t="inlineStr">
        <is>
          <t>GOTLANDS LÄN</t>
        </is>
      </c>
      <c r="E151" t="inlineStr">
        <is>
          <t>GOTLAND</t>
        </is>
      </c>
      <c r="G151" t="n">
        <v>4.9</v>
      </c>
      <c r="H151" t="n">
        <v>0</v>
      </c>
      <c r="I151" t="n">
        <v>0</v>
      </c>
      <c r="J151" t="n">
        <v>0</v>
      </c>
      <c r="K151" t="n">
        <v>0</v>
      </c>
      <c r="L151" t="n">
        <v>1</v>
      </c>
      <c r="M151" t="n">
        <v>0</v>
      </c>
      <c r="N151" t="n">
        <v>0</v>
      </c>
      <c r="O151" t="n">
        <v>1</v>
      </c>
      <c r="P151" t="n">
        <v>1</v>
      </c>
      <c r="Q151" t="n">
        <v>1</v>
      </c>
      <c r="R151" s="2" t="inlineStr">
        <is>
          <t>Slät taggsvamp</t>
        </is>
      </c>
      <c r="S151">
        <f>HYPERLINK("https://klasma.github.io/Logging_0980/artfynd/A 24245-2022 artfynd.xlsx", "A 24245-2022")</f>
        <v/>
      </c>
      <c r="T151">
        <f>HYPERLINK("https://klasma.github.io/Logging_0980/kartor/A 24245-2022 karta.png", "A 24245-2022")</f>
        <v/>
      </c>
      <c r="V151">
        <f>HYPERLINK("https://klasma.github.io/Logging_0980/klagomål/A 24245-2022 FSC-klagomål.docx", "A 24245-2022")</f>
        <v/>
      </c>
      <c r="W151">
        <f>HYPERLINK("https://klasma.github.io/Logging_0980/klagomålsmail/A 24245-2022 FSC-klagomål mail.docx", "A 24245-2022")</f>
        <v/>
      </c>
      <c r="X151">
        <f>HYPERLINK("https://klasma.github.io/Logging_0980/tillsyn/A 24245-2022 tillsynsbegäran.docx", "A 24245-2022")</f>
        <v/>
      </c>
      <c r="Y151">
        <f>HYPERLINK("https://klasma.github.io/Logging_0980/tillsynsmail/A 24245-2022 tillsynsbegäran mail.docx", "A 24245-2022")</f>
        <v/>
      </c>
    </row>
    <row r="152" ht="15" customHeight="1">
      <c r="A152" t="inlineStr">
        <is>
          <t>A 44088-2022</t>
        </is>
      </c>
      <c r="B152" s="1" t="n">
        <v>44839</v>
      </c>
      <c r="C152" s="1" t="n">
        <v>45995</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44304-2021</t>
        </is>
      </c>
      <c r="B153" s="1" t="n">
        <v>44434</v>
      </c>
      <c r="C153" s="1" t="n">
        <v>45995</v>
      </c>
      <c r="D153" t="inlineStr">
        <is>
          <t>GOTLANDS LÄN</t>
        </is>
      </c>
      <c r="E153" t="inlineStr">
        <is>
          <t>GOTLAND</t>
        </is>
      </c>
      <c r="G153" t="n">
        <v>5.8</v>
      </c>
      <c r="H153" t="n">
        <v>0</v>
      </c>
      <c r="I153" t="n">
        <v>0</v>
      </c>
      <c r="J153" t="n">
        <v>1</v>
      </c>
      <c r="K153" t="n">
        <v>0</v>
      </c>
      <c r="L153" t="n">
        <v>0</v>
      </c>
      <c r="M153" t="n">
        <v>0</v>
      </c>
      <c r="N153" t="n">
        <v>0</v>
      </c>
      <c r="O153" t="n">
        <v>1</v>
      </c>
      <c r="P153" t="n">
        <v>0</v>
      </c>
      <c r="Q153" t="n">
        <v>1</v>
      </c>
      <c r="R153" s="2" t="inlineStr">
        <is>
          <t>Svinrot</t>
        </is>
      </c>
      <c r="S153">
        <f>HYPERLINK("https://klasma.github.io/Logging_0980/artfynd/A 44304-2021 artfynd.xlsx", "A 44304-2021")</f>
        <v/>
      </c>
      <c r="T153">
        <f>HYPERLINK("https://klasma.github.io/Logging_0980/kartor/A 44304-2021 karta.png", "A 44304-2021")</f>
        <v/>
      </c>
      <c r="V153">
        <f>HYPERLINK("https://klasma.github.io/Logging_0980/klagomål/A 44304-2021 FSC-klagomål.docx", "A 44304-2021")</f>
        <v/>
      </c>
      <c r="W153">
        <f>HYPERLINK("https://klasma.github.io/Logging_0980/klagomålsmail/A 44304-2021 FSC-klagomål mail.docx", "A 44304-2021")</f>
        <v/>
      </c>
      <c r="X153">
        <f>HYPERLINK("https://klasma.github.io/Logging_0980/tillsyn/A 44304-2021 tillsynsbegäran.docx", "A 44304-2021")</f>
        <v/>
      </c>
      <c r="Y153">
        <f>HYPERLINK("https://klasma.github.io/Logging_0980/tillsynsmail/A 44304-2021 tillsynsbegäran mail.docx", "A 44304-2021")</f>
        <v/>
      </c>
    </row>
    <row r="154" ht="15" customHeight="1">
      <c r="A154" t="inlineStr">
        <is>
          <t>A 39812-2025</t>
        </is>
      </c>
      <c r="B154" s="1" t="n">
        <v>45891</v>
      </c>
      <c r="C154" s="1" t="n">
        <v>45995</v>
      </c>
      <c r="D154" t="inlineStr">
        <is>
          <t>GOTLANDS LÄN</t>
        </is>
      </c>
      <c r="E154" t="inlineStr">
        <is>
          <t>GOTLAND</t>
        </is>
      </c>
      <c r="G154" t="n">
        <v>6</v>
      </c>
      <c r="H154" t="n">
        <v>1</v>
      </c>
      <c r="I154" t="n">
        <v>0</v>
      </c>
      <c r="J154" t="n">
        <v>0</v>
      </c>
      <c r="K154" t="n">
        <v>0</v>
      </c>
      <c r="L154" t="n">
        <v>1</v>
      </c>
      <c r="M154" t="n">
        <v>0</v>
      </c>
      <c r="N154" t="n">
        <v>0</v>
      </c>
      <c r="O154" t="n">
        <v>1</v>
      </c>
      <c r="P154" t="n">
        <v>1</v>
      </c>
      <c r="Q154" t="n">
        <v>1</v>
      </c>
      <c r="R154" s="2" t="inlineStr">
        <is>
          <t>Nålkörvel</t>
        </is>
      </c>
      <c r="S154">
        <f>HYPERLINK("https://klasma.github.io/Logging_0980/artfynd/A 39812-2025 artfynd.xlsx", "A 39812-2025")</f>
        <v/>
      </c>
      <c r="T154">
        <f>HYPERLINK("https://klasma.github.io/Logging_0980/kartor/A 39812-2025 karta.png", "A 39812-2025")</f>
        <v/>
      </c>
      <c r="V154">
        <f>HYPERLINK("https://klasma.github.io/Logging_0980/klagomål/A 39812-2025 FSC-klagomål.docx", "A 39812-2025")</f>
        <v/>
      </c>
      <c r="W154">
        <f>HYPERLINK("https://klasma.github.io/Logging_0980/klagomålsmail/A 39812-2025 FSC-klagomål mail.docx", "A 39812-2025")</f>
        <v/>
      </c>
      <c r="X154">
        <f>HYPERLINK("https://klasma.github.io/Logging_0980/tillsyn/A 39812-2025 tillsynsbegäran.docx", "A 39812-2025")</f>
        <v/>
      </c>
      <c r="Y154">
        <f>HYPERLINK("https://klasma.github.io/Logging_0980/tillsynsmail/A 39812-2025 tillsynsbegäran mail.docx", "A 39812-2025")</f>
        <v/>
      </c>
    </row>
    <row r="155" ht="15" customHeight="1">
      <c r="A155" t="inlineStr">
        <is>
          <t>A 44308-2021</t>
        </is>
      </c>
      <c r="B155" s="1" t="n">
        <v>44434</v>
      </c>
      <c r="C155" s="1" t="n">
        <v>45995</v>
      </c>
      <c r="D155" t="inlineStr">
        <is>
          <t>GOTLANDS LÄN</t>
        </is>
      </c>
      <c r="E155" t="inlineStr">
        <is>
          <t>GOTLAND</t>
        </is>
      </c>
      <c r="G155" t="n">
        <v>5.9</v>
      </c>
      <c r="H155" t="n">
        <v>0</v>
      </c>
      <c r="I155" t="n">
        <v>1</v>
      </c>
      <c r="J155" t="n">
        <v>0</v>
      </c>
      <c r="K155" t="n">
        <v>0</v>
      </c>
      <c r="L155" t="n">
        <v>0</v>
      </c>
      <c r="M155" t="n">
        <v>0</v>
      </c>
      <c r="N155" t="n">
        <v>0</v>
      </c>
      <c r="O155" t="n">
        <v>0</v>
      </c>
      <c r="P155" t="n">
        <v>0</v>
      </c>
      <c r="Q155" t="n">
        <v>1</v>
      </c>
      <c r="R155" s="2" t="inlineStr">
        <is>
          <t>Svavelriska</t>
        </is>
      </c>
      <c r="S155">
        <f>HYPERLINK("https://klasma.github.io/Logging_0980/artfynd/A 44308-2021 artfynd.xlsx", "A 44308-2021")</f>
        <v/>
      </c>
      <c r="T155">
        <f>HYPERLINK("https://klasma.github.io/Logging_0980/kartor/A 44308-2021 karta.png", "A 44308-2021")</f>
        <v/>
      </c>
      <c r="V155">
        <f>HYPERLINK("https://klasma.github.io/Logging_0980/klagomål/A 44308-2021 FSC-klagomål.docx", "A 44308-2021")</f>
        <v/>
      </c>
      <c r="W155">
        <f>HYPERLINK("https://klasma.github.io/Logging_0980/klagomålsmail/A 44308-2021 FSC-klagomål mail.docx", "A 44308-2021")</f>
        <v/>
      </c>
      <c r="X155">
        <f>HYPERLINK("https://klasma.github.io/Logging_0980/tillsyn/A 44308-2021 tillsynsbegäran.docx", "A 44308-2021")</f>
        <v/>
      </c>
      <c r="Y155">
        <f>HYPERLINK("https://klasma.github.io/Logging_0980/tillsynsmail/A 44308-2021 tillsynsbegäran mail.docx", "A 44308-2021")</f>
        <v/>
      </c>
    </row>
    <row r="156" ht="15" customHeight="1">
      <c r="A156" t="inlineStr">
        <is>
          <t>A 25977-2024</t>
        </is>
      </c>
      <c r="B156" s="1" t="n">
        <v>45467.69356481481</v>
      </c>
      <c r="C156" s="1" t="n">
        <v>45995</v>
      </c>
      <c r="D156" t="inlineStr">
        <is>
          <t>GOTLANDS LÄN</t>
        </is>
      </c>
      <c r="E156" t="inlineStr">
        <is>
          <t>GOTLAND</t>
        </is>
      </c>
      <c r="G156" t="n">
        <v>3</v>
      </c>
      <c r="H156" t="n">
        <v>1</v>
      </c>
      <c r="I156" t="n">
        <v>0</v>
      </c>
      <c r="J156" t="n">
        <v>0</v>
      </c>
      <c r="K156" t="n">
        <v>0</v>
      </c>
      <c r="L156" t="n">
        <v>0</v>
      </c>
      <c r="M156" t="n">
        <v>0</v>
      </c>
      <c r="N156" t="n">
        <v>0</v>
      </c>
      <c r="O156" t="n">
        <v>0</v>
      </c>
      <c r="P156" t="n">
        <v>0</v>
      </c>
      <c r="Q156" t="n">
        <v>1</v>
      </c>
      <c r="R156" s="2" t="inlineStr">
        <is>
          <t>Nattviol</t>
        </is>
      </c>
      <c r="S156">
        <f>HYPERLINK("https://klasma.github.io/Logging_0980/artfynd/A 25977-2024 artfynd.xlsx", "A 25977-2024")</f>
        <v/>
      </c>
      <c r="T156">
        <f>HYPERLINK("https://klasma.github.io/Logging_0980/kartor/A 25977-2024 karta.png", "A 25977-2024")</f>
        <v/>
      </c>
      <c r="V156">
        <f>HYPERLINK("https://klasma.github.io/Logging_0980/klagomål/A 25977-2024 FSC-klagomål.docx", "A 25977-2024")</f>
        <v/>
      </c>
      <c r="W156">
        <f>HYPERLINK("https://klasma.github.io/Logging_0980/klagomålsmail/A 25977-2024 FSC-klagomål mail.docx", "A 25977-2024")</f>
        <v/>
      </c>
      <c r="X156">
        <f>HYPERLINK("https://klasma.github.io/Logging_0980/tillsyn/A 25977-2024 tillsynsbegäran.docx", "A 25977-2024")</f>
        <v/>
      </c>
      <c r="Y156">
        <f>HYPERLINK("https://klasma.github.io/Logging_0980/tillsynsmail/A 25977-2024 tillsynsbegäran mail.docx", "A 25977-2024")</f>
        <v/>
      </c>
    </row>
    <row r="157" ht="15" customHeight="1">
      <c r="A157" t="inlineStr">
        <is>
          <t>A 49847-2023</t>
        </is>
      </c>
      <c r="B157" s="1" t="n">
        <v>45212</v>
      </c>
      <c r="C157" s="1" t="n">
        <v>45995</v>
      </c>
      <c r="D157" t="inlineStr">
        <is>
          <t>GOTLANDS LÄN</t>
        </is>
      </c>
      <c r="E157" t="inlineStr">
        <is>
          <t>GOTLAND</t>
        </is>
      </c>
      <c r="G157" t="n">
        <v>35.2</v>
      </c>
      <c r="H157" t="n">
        <v>0</v>
      </c>
      <c r="I157" t="n">
        <v>0</v>
      </c>
      <c r="J157" t="n">
        <v>0</v>
      </c>
      <c r="K157" t="n">
        <v>1</v>
      </c>
      <c r="L157" t="n">
        <v>0</v>
      </c>
      <c r="M157" t="n">
        <v>0</v>
      </c>
      <c r="N157" t="n">
        <v>0</v>
      </c>
      <c r="O157" t="n">
        <v>1</v>
      </c>
      <c r="P157" t="n">
        <v>1</v>
      </c>
      <c r="Q157" t="n">
        <v>1</v>
      </c>
      <c r="R157" s="2" t="inlineStr">
        <is>
          <t>Strandviol</t>
        </is>
      </c>
      <c r="S157">
        <f>HYPERLINK("https://klasma.github.io/Logging_0980/artfynd/A 49847-2023 artfynd.xlsx", "A 49847-2023")</f>
        <v/>
      </c>
      <c r="T157">
        <f>HYPERLINK("https://klasma.github.io/Logging_0980/kartor/A 49847-2023 karta.png", "A 49847-2023")</f>
        <v/>
      </c>
      <c r="V157">
        <f>HYPERLINK("https://klasma.github.io/Logging_0980/klagomål/A 49847-2023 FSC-klagomål.docx", "A 49847-2023")</f>
        <v/>
      </c>
      <c r="W157">
        <f>HYPERLINK("https://klasma.github.io/Logging_0980/klagomålsmail/A 49847-2023 FSC-klagomål mail.docx", "A 49847-2023")</f>
        <v/>
      </c>
      <c r="X157">
        <f>HYPERLINK("https://klasma.github.io/Logging_0980/tillsyn/A 49847-2023 tillsynsbegäran.docx", "A 49847-2023")</f>
        <v/>
      </c>
      <c r="Y157">
        <f>HYPERLINK("https://klasma.github.io/Logging_0980/tillsynsmail/A 49847-2023 tillsynsbegäran mail.docx", "A 49847-2023")</f>
        <v/>
      </c>
    </row>
    <row r="158" ht="15" customHeight="1">
      <c r="A158" t="inlineStr">
        <is>
          <t>A 46527-2023</t>
        </is>
      </c>
      <c r="B158" s="1" t="n">
        <v>45197</v>
      </c>
      <c r="C158" s="1" t="n">
        <v>45995</v>
      </c>
      <c r="D158" t="inlineStr">
        <is>
          <t>GOTLANDS LÄN</t>
        </is>
      </c>
      <c r="E158" t="inlineStr">
        <is>
          <t>GOTLAND</t>
        </is>
      </c>
      <c r="G158" t="n">
        <v>0.9</v>
      </c>
      <c r="H158" t="n">
        <v>0</v>
      </c>
      <c r="I158" t="n">
        <v>0</v>
      </c>
      <c r="J158" t="n">
        <v>1</v>
      </c>
      <c r="K158" t="n">
        <v>0</v>
      </c>
      <c r="L158" t="n">
        <v>0</v>
      </c>
      <c r="M158" t="n">
        <v>0</v>
      </c>
      <c r="N158" t="n">
        <v>0</v>
      </c>
      <c r="O158" t="n">
        <v>1</v>
      </c>
      <c r="P158" t="n">
        <v>0</v>
      </c>
      <c r="Q158" t="n">
        <v>1</v>
      </c>
      <c r="R158" s="2" t="inlineStr">
        <is>
          <t>Guldgräshoppa</t>
        </is>
      </c>
      <c r="S158">
        <f>HYPERLINK("https://klasma.github.io/Logging_0980/artfynd/A 46527-2023 artfynd.xlsx", "A 46527-2023")</f>
        <v/>
      </c>
      <c r="T158">
        <f>HYPERLINK("https://klasma.github.io/Logging_0980/kartor/A 46527-2023 karta.png", "A 46527-2023")</f>
        <v/>
      </c>
      <c r="V158">
        <f>HYPERLINK("https://klasma.github.io/Logging_0980/klagomål/A 46527-2023 FSC-klagomål.docx", "A 46527-2023")</f>
        <v/>
      </c>
      <c r="W158">
        <f>HYPERLINK("https://klasma.github.io/Logging_0980/klagomålsmail/A 46527-2023 FSC-klagomål mail.docx", "A 46527-2023")</f>
        <v/>
      </c>
      <c r="X158">
        <f>HYPERLINK("https://klasma.github.io/Logging_0980/tillsyn/A 46527-2023 tillsynsbegäran.docx", "A 46527-2023")</f>
        <v/>
      </c>
      <c r="Y158">
        <f>HYPERLINK("https://klasma.github.io/Logging_0980/tillsynsmail/A 46527-2023 tillsynsbegäran mail.docx", "A 46527-2023")</f>
        <v/>
      </c>
    </row>
    <row r="159" ht="15" customHeight="1">
      <c r="A159" t="inlineStr">
        <is>
          <t>A 447-2023</t>
        </is>
      </c>
      <c r="B159" s="1" t="n">
        <v>44929</v>
      </c>
      <c r="C159" s="1" t="n">
        <v>45995</v>
      </c>
      <c r="D159" t="inlineStr">
        <is>
          <t>GOTLANDS LÄN</t>
        </is>
      </c>
      <c r="E159" t="inlineStr">
        <is>
          <t>GOTLAND</t>
        </is>
      </c>
      <c r="G159" t="n">
        <v>5.1</v>
      </c>
      <c r="H159" t="n">
        <v>0</v>
      </c>
      <c r="I159" t="n">
        <v>0</v>
      </c>
      <c r="J159" t="n">
        <v>1</v>
      </c>
      <c r="K159" t="n">
        <v>0</v>
      </c>
      <c r="L159" t="n">
        <v>0</v>
      </c>
      <c r="M159" t="n">
        <v>0</v>
      </c>
      <c r="N159" t="n">
        <v>0</v>
      </c>
      <c r="O159" t="n">
        <v>1</v>
      </c>
      <c r="P159" t="n">
        <v>0</v>
      </c>
      <c r="Q159" t="n">
        <v>1</v>
      </c>
      <c r="R159" s="2" t="inlineStr">
        <is>
          <t>Äggspindling</t>
        </is>
      </c>
      <c r="S159">
        <f>HYPERLINK("https://klasma.github.io/Logging_0980/artfynd/A 447-2023 artfynd.xlsx", "A 447-2023")</f>
        <v/>
      </c>
      <c r="T159">
        <f>HYPERLINK("https://klasma.github.io/Logging_0980/kartor/A 447-2023 karta.png", "A 447-2023")</f>
        <v/>
      </c>
      <c r="V159">
        <f>HYPERLINK("https://klasma.github.io/Logging_0980/klagomål/A 447-2023 FSC-klagomål.docx", "A 447-2023")</f>
        <v/>
      </c>
      <c r="W159">
        <f>HYPERLINK("https://klasma.github.io/Logging_0980/klagomålsmail/A 447-2023 FSC-klagomål mail.docx", "A 447-2023")</f>
        <v/>
      </c>
      <c r="X159">
        <f>HYPERLINK("https://klasma.github.io/Logging_0980/tillsyn/A 447-2023 tillsynsbegäran.docx", "A 447-2023")</f>
        <v/>
      </c>
      <c r="Y159">
        <f>HYPERLINK("https://klasma.github.io/Logging_0980/tillsynsmail/A 447-2023 tillsynsbegäran mail.docx", "A 447-2023")</f>
        <v/>
      </c>
    </row>
    <row r="160" ht="15" customHeight="1">
      <c r="A160" t="inlineStr">
        <is>
          <t>A 65927-2021</t>
        </is>
      </c>
      <c r="B160" s="1" t="n">
        <v>44516</v>
      </c>
      <c r="C160" s="1" t="n">
        <v>45995</v>
      </c>
      <c r="D160" t="inlineStr">
        <is>
          <t>GOTLANDS LÄN</t>
        </is>
      </c>
      <c r="E160" t="inlineStr">
        <is>
          <t>GOTLAND</t>
        </is>
      </c>
      <c r="G160" t="n">
        <v>3.1</v>
      </c>
      <c r="H160" t="n">
        <v>1</v>
      </c>
      <c r="I160" t="n">
        <v>0</v>
      </c>
      <c r="J160" t="n">
        <v>0</v>
      </c>
      <c r="K160" t="n">
        <v>1</v>
      </c>
      <c r="L160" t="n">
        <v>0</v>
      </c>
      <c r="M160" t="n">
        <v>0</v>
      </c>
      <c r="N160" t="n">
        <v>0</v>
      </c>
      <c r="O160" t="n">
        <v>1</v>
      </c>
      <c r="P160" t="n">
        <v>1</v>
      </c>
      <c r="Q160" t="n">
        <v>1</v>
      </c>
      <c r="R160" s="2" t="inlineStr">
        <is>
          <t>Grenigt kungsljus</t>
        </is>
      </c>
      <c r="S160">
        <f>HYPERLINK("https://klasma.github.io/Logging_0980/artfynd/A 65927-2021 artfynd.xlsx", "A 65927-2021")</f>
        <v/>
      </c>
      <c r="T160">
        <f>HYPERLINK("https://klasma.github.io/Logging_0980/kartor/A 65927-2021 karta.png", "A 65927-2021")</f>
        <v/>
      </c>
      <c r="V160">
        <f>HYPERLINK("https://klasma.github.io/Logging_0980/klagomål/A 65927-2021 FSC-klagomål.docx", "A 65927-2021")</f>
        <v/>
      </c>
      <c r="W160">
        <f>HYPERLINK("https://klasma.github.io/Logging_0980/klagomålsmail/A 65927-2021 FSC-klagomål mail.docx", "A 65927-2021")</f>
        <v/>
      </c>
      <c r="X160">
        <f>HYPERLINK("https://klasma.github.io/Logging_0980/tillsyn/A 65927-2021 tillsynsbegäran.docx", "A 65927-2021")</f>
        <v/>
      </c>
      <c r="Y160">
        <f>HYPERLINK("https://klasma.github.io/Logging_0980/tillsynsmail/A 65927-2021 tillsynsbegäran mail.docx", "A 65927-2021")</f>
        <v/>
      </c>
    </row>
    <row r="161" ht="15" customHeight="1">
      <c r="A161" t="inlineStr">
        <is>
          <t>A 947-2023</t>
        </is>
      </c>
      <c r="B161" s="1" t="n">
        <v>44934</v>
      </c>
      <c r="C161" s="1" t="n">
        <v>45995</v>
      </c>
      <c r="D161" t="inlineStr">
        <is>
          <t>GOTLANDS LÄN</t>
        </is>
      </c>
      <c r="E161" t="inlineStr">
        <is>
          <t>GOTLAND</t>
        </is>
      </c>
      <c r="G161" t="n">
        <v>0.7</v>
      </c>
      <c r="H161" t="n">
        <v>1</v>
      </c>
      <c r="I161" t="n">
        <v>0</v>
      </c>
      <c r="J161" t="n">
        <v>0</v>
      </c>
      <c r="K161" t="n">
        <v>1</v>
      </c>
      <c r="L161" t="n">
        <v>0</v>
      </c>
      <c r="M161" t="n">
        <v>0</v>
      </c>
      <c r="N161" t="n">
        <v>0</v>
      </c>
      <c r="O161" t="n">
        <v>1</v>
      </c>
      <c r="P161" t="n">
        <v>1</v>
      </c>
      <c r="Q161" t="n">
        <v>1</v>
      </c>
      <c r="R161" s="2" t="inlineStr">
        <is>
          <t>Garderönn</t>
        </is>
      </c>
      <c r="S161">
        <f>HYPERLINK("https://klasma.github.io/Logging_0980/artfynd/A 947-2023 artfynd.xlsx", "A 947-2023")</f>
        <v/>
      </c>
      <c r="T161">
        <f>HYPERLINK("https://klasma.github.io/Logging_0980/kartor/A 947-2023 karta.png", "A 947-2023")</f>
        <v/>
      </c>
      <c r="V161">
        <f>HYPERLINK("https://klasma.github.io/Logging_0980/klagomål/A 947-2023 FSC-klagomål.docx", "A 947-2023")</f>
        <v/>
      </c>
      <c r="W161">
        <f>HYPERLINK("https://klasma.github.io/Logging_0980/klagomålsmail/A 947-2023 FSC-klagomål mail.docx", "A 947-2023")</f>
        <v/>
      </c>
      <c r="X161">
        <f>HYPERLINK("https://klasma.github.io/Logging_0980/tillsyn/A 947-2023 tillsynsbegäran.docx", "A 947-2023")</f>
        <v/>
      </c>
      <c r="Y161">
        <f>HYPERLINK("https://klasma.github.io/Logging_0980/tillsynsmail/A 947-2023 tillsynsbegäran mail.docx", "A 947-2023")</f>
        <v/>
      </c>
    </row>
    <row r="162" ht="15" customHeight="1">
      <c r="A162" t="inlineStr">
        <is>
          <t>A 61796-2022</t>
        </is>
      </c>
      <c r="B162" s="1" t="n">
        <v>44917</v>
      </c>
      <c r="C162" s="1" t="n">
        <v>45995</v>
      </c>
      <c r="D162" t="inlineStr">
        <is>
          <t>GOTLANDS LÄN</t>
        </is>
      </c>
      <c r="E162" t="inlineStr">
        <is>
          <t>GOTLAND</t>
        </is>
      </c>
      <c r="G162" t="n">
        <v>1.5</v>
      </c>
      <c r="H162" t="n">
        <v>1</v>
      </c>
      <c r="I162" t="n">
        <v>0</v>
      </c>
      <c r="J162" t="n">
        <v>0</v>
      </c>
      <c r="K162" t="n">
        <v>0</v>
      </c>
      <c r="L162" t="n">
        <v>0</v>
      </c>
      <c r="M162" t="n">
        <v>0</v>
      </c>
      <c r="N162" t="n">
        <v>0</v>
      </c>
      <c r="O162" t="n">
        <v>0</v>
      </c>
      <c r="P162" t="n">
        <v>0</v>
      </c>
      <c r="Q162" t="n">
        <v>1</v>
      </c>
      <c r="R162" s="2" t="inlineStr">
        <is>
          <t>Skogsduva</t>
        </is>
      </c>
      <c r="S162">
        <f>HYPERLINK("https://klasma.github.io/Logging_0980/artfynd/A 61796-2022 artfynd.xlsx", "A 61796-2022")</f>
        <v/>
      </c>
      <c r="T162">
        <f>HYPERLINK("https://klasma.github.io/Logging_0980/kartor/A 61796-2022 karta.png", "A 61796-2022")</f>
        <v/>
      </c>
      <c r="V162">
        <f>HYPERLINK("https://klasma.github.io/Logging_0980/klagomål/A 61796-2022 FSC-klagomål.docx", "A 61796-2022")</f>
        <v/>
      </c>
      <c r="W162">
        <f>HYPERLINK("https://klasma.github.io/Logging_0980/klagomålsmail/A 61796-2022 FSC-klagomål mail.docx", "A 61796-2022")</f>
        <v/>
      </c>
      <c r="X162">
        <f>HYPERLINK("https://klasma.github.io/Logging_0980/tillsyn/A 61796-2022 tillsynsbegäran.docx", "A 61796-2022")</f>
        <v/>
      </c>
      <c r="Y162">
        <f>HYPERLINK("https://klasma.github.io/Logging_0980/tillsynsmail/A 61796-2022 tillsynsbegäran mail.docx", "A 61796-2022")</f>
        <v/>
      </c>
      <c r="Z162">
        <f>HYPERLINK("https://klasma.github.io/Logging_0980/fåglar/A 61796-2022 prioriterade fågelarter.docx", "A 61796-2022")</f>
        <v/>
      </c>
    </row>
    <row r="163" ht="15" customHeight="1">
      <c r="A163" t="inlineStr">
        <is>
          <t>A 35467-2021</t>
        </is>
      </c>
      <c r="B163" s="1" t="n">
        <v>44385</v>
      </c>
      <c r="C163" s="1" t="n">
        <v>45995</v>
      </c>
      <c r="D163" t="inlineStr">
        <is>
          <t>GOTLANDS LÄN</t>
        </is>
      </c>
      <c r="E163" t="inlineStr">
        <is>
          <t>GOTLAND</t>
        </is>
      </c>
      <c r="G163" t="n">
        <v>12.7</v>
      </c>
      <c r="H163" t="n">
        <v>0</v>
      </c>
      <c r="I163" t="n">
        <v>0</v>
      </c>
      <c r="J163" t="n">
        <v>1</v>
      </c>
      <c r="K163" t="n">
        <v>0</v>
      </c>
      <c r="L163" t="n">
        <v>0</v>
      </c>
      <c r="M163" t="n">
        <v>0</v>
      </c>
      <c r="N163" t="n">
        <v>0</v>
      </c>
      <c r="O163" t="n">
        <v>1</v>
      </c>
      <c r="P163" t="n">
        <v>0</v>
      </c>
      <c r="Q163" t="n">
        <v>1</v>
      </c>
      <c r="R163" s="2" t="inlineStr">
        <is>
          <t>Loppstarr</t>
        </is>
      </c>
      <c r="S163">
        <f>HYPERLINK("https://klasma.github.io/Logging_0980/artfynd/A 35467-2021 artfynd.xlsx", "A 35467-2021")</f>
        <v/>
      </c>
      <c r="T163">
        <f>HYPERLINK("https://klasma.github.io/Logging_0980/kartor/A 35467-2021 karta.png", "A 35467-2021")</f>
        <v/>
      </c>
      <c r="V163">
        <f>HYPERLINK("https://klasma.github.io/Logging_0980/klagomål/A 35467-2021 FSC-klagomål.docx", "A 35467-2021")</f>
        <v/>
      </c>
      <c r="W163">
        <f>HYPERLINK("https://klasma.github.io/Logging_0980/klagomålsmail/A 35467-2021 FSC-klagomål mail.docx", "A 35467-2021")</f>
        <v/>
      </c>
      <c r="X163">
        <f>HYPERLINK("https://klasma.github.io/Logging_0980/tillsyn/A 35467-2021 tillsynsbegäran.docx", "A 35467-2021")</f>
        <v/>
      </c>
      <c r="Y163">
        <f>HYPERLINK("https://klasma.github.io/Logging_0980/tillsynsmail/A 35467-2021 tillsynsbegäran mail.docx", "A 35467-2021")</f>
        <v/>
      </c>
    </row>
    <row r="164" ht="15" customHeight="1">
      <c r="A164" t="inlineStr">
        <is>
          <t>A 49304-2024</t>
        </is>
      </c>
      <c r="B164" s="1" t="n">
        <v>45595.54996527778</v>
      </c>
      <c r="C164" s="1" t="n">
        <v>45995</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45995</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45995</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44619-2025</t>
        </is>
      </c>
      <c r="B167" s="1" t="n">
        <v>45917</v>
      </c>
      <c r="C167" s="1" t="n">
        <v>45995</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Ögonpyrola</t>
        </is>
      </c>
      <c r="S167">
        <f>HYPERLINK("https://klasma.github.io/Logging_0980/artfynd/A 44619-2025 artfynd.xlsx", "A 44619-2025")</f>
        <v/>
      </c>
      <c r="T167">
        <f>HYPERLINK("https://klasma.github.io/Logging_0980/kartor/A 44619-2025 karta.png", "A 44619-2025")</f>
        <v/>
      </c>
      <c r="V167">
        <f>HYPERLINK("https://klasma.github.io/Logging_0980/klagomål/A 44619-2025 FSC-klagomål.docx", "A 44619-2025")</f>
        <v/>
      </c>
      <c r="W167">
        <f>HYPERLINK("https://klasma.github.io/Logging_0980/klagomålsmail/A 44619-2025 FSC-klagomål mail.docx", "A 44619-2025")</f>
        <v/>
      </c>
      <c r="X167">
        <f>HYPERLINK("https://klasma.github.io/Logging_0980/tillsyn/A 44619-2025 tillsynsbegäran.docx", "A 44619-2025")</f>
        <v/>
      </c>
      <c r="Y167">
        <f>HYPERLINK("https://klasma.github.io/Logging_0980/tillsynsmail/A 44619-2025 tillsynsbegäran mail.docx", "A 44619-2025")</f>
        <v/>
      </c>
    </row>
    <row r="168" ht="15" customHeight="1">
      <c r="A168" t="inlineStr">
        <is>
          <t>A 15637-2024</t>
        </is>
      </c>
      <c r="B168" s="1" t="n">
        <v>45403.6684837963</v>
      </c>
      <c r="C168" s="1" t="n">
        <v>45995</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27589-2023</t>
        </is>
      </c>
      <c r="B169" s="1" t="n">
        <v>45097</v>
      </c>
      <c r="C169" s="1" t="n">
        <v>45995</v>
      </c>
      <c r="D169" t="inlineStr">
        <is>
          <t>GOTLANDS LÄN</t>
        </is>
      </c>
      <c r="E169" t="inlineStr">
        <is>
          <t>GOTLAND</t>
        </is>
      </c>
      <c r="G169" t="n">
        <v>5.4</v>
      </c>
      <c r="H169" t="n">
        <v>0</v>
      </c>
      <c r="I169" t="n">
        <v>0</v>
      </c>
      <c r="J169" t="n">
        <v>0</v>
      </c>
      <c r="K169" t="n">
        <v>0</v>
      </c>
      <c r="L169" t="n">
        <v>0</v>
      </c>
      <c r="M169" t="n">
        <v>1</v>
      </c>
      <c r="N169" t="n">
        <v>0</v>
      </c>
      <c r="O169" t="n">
        <v>1</v>
      </c>
      <c r="P169" t="n">
        <v>1</v>
      </c>
      <c r="Q169" t="n">
        <v>1</v>
      </c>
      <c r="R169" s="2" t="inlineStr">
        <is>
          <t>Skogsalm</t>
        </is>
      </c>
      <c r="S169">
        <f>HYPERLINK("https://klasma.github.io/Logging_0980/artfynd/A 27589-2023 artfynd.xlsx", "A 27589-2023")</f>
        <v/>
      </c>
      <c r="T169">
        <f>HYPERLINK("https://klasma.github.io/Logging_0980/kartor/A 27589-2023 karta.png", "A 27589-2023")</f>
        <v/>
      </c>
      <c r="V169">
        <f>HYPERLINK("https://klasma.github.io/Logging_0980/klagomål/A 27589-2023 FSC-klagomål.docx", "A 27589-2023")</f>
        <v/>
      </c>
      <c r="W169">
        <f>HYPERLINK("https://klasma.github.io/Logging_0980/klagomålsmail/A 27589-2023 FSC-klagomål mail.docx", "A 27589-2023")</f>
        <v/>
      </c>
      <c r="X169">
        <f>HYPERLINK("https://klasma.github.io/Logging_0980/tillsyn/A 27589-2023 tillsynsbegäran.docx", "A 27589-2023")</f>
        <v/>
      </c>
      <c r="Y169">
        <f>HYPERLINK("https://klasma.github.io/Logging_0980/tillsynsmail/A 27589-2023 tillsynsbegäran mail.docx", "A 27589-2023")</f>
        <v/>
      </c>
    </row>
    <row r="170" ht="15" customHeight="1">
      <c r="A170" t="inlineStr">
        <is>
          <t>A 12324-2025</t>
        </is>
      </c>
      <c r="B170" s="1" t="n">
        <v>45730</v>
      </c>
      <c r="C170" s="1" t="n">
        <v>45995</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1477-2024</t>
        </is>
      </c>
      <c r="B171" s="1" t="n">
        <v>45305.37987268518</v>
      </c>
      <c r="C171" s="1" t="n">
        <v>45995</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45995</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45995</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37591-2023</t>
        </is>
      </c>
      <c r="B174" s="1" t="n">
        <v>45159</v>
      </c>
      <c r="C174" s="1" t="n">
        <v>45995</v>
      </c>
      <c r="D174" t="inlineStr">
        <is>
          <t>GOTLANDS LÄN</t>
        </is>
      </c>
      <c r="E174" t="inlineStr">
        <is>
          <t>GOTLAND</t>
        </is>
      </c>
      <c r="G174" t="n">
        <v>8.300000000000001</v>
      </c>
      <c r="H174" t="n">
        <v>0</v>
      </c>
      <c r="I174" t="n">
        <v>0</v>
      </c>
      <c r="J174" t="n">
        <v>1</v>
      </c>
      <c r="K174" t="n">
        <v>0</v>
      </c>
      <c r="L174" t="n">
        <v>0</v>
      </c>
      <c r="M174" t="n">
        <v>0</v>
      </c>
      <c r="N174" t="n">
        <v>0</v>
      </c>
      <c r="O174" t="n">
        <v>1</v>
      </c>
      <c r="P174" t="n">
        <v>0</v>
      </c>
      <c r="Q174" t="n">
        <v>1</v>
      </c>
      <c r="R174" s="2" t="inlineStr">
        <is>
          <t>Ängsstarr</t>
        </is>
      </c>
      <c r="S174">
        <f>HYPERLINK("https://klasma.github.io/Logging_0980/artfynd/A 37591-2023 artfynd.xlsx", "A 37591-2023")</f>
        <v/>
      </c>
      <c r="T174">
        <f>HYPERLINK("https://klasma.github.io/Logging_0980/kartor/A 37591-2023 karta.png", "A 37591-2023")</f>
        <v/>
      </c>
      <c r="V174">
        <f>HYPERLINK("https://klasma.github.io/Logging_0980/klagomål/A 37591-2023 FSC-klagomål.docx", "A 37591-2023")</f>
        <v/>
      </c>
      <c r="W174">
        <f>HYPERLINK("https://klasma.github.io/Logging_0980/klagomålsmail/A 37591-2023 FSC-klagomål mail.docx", "A 37591-2023")</f>
        <v/>
      </c>
      <c r="X174">
        <f>HYPERLINK("https://klasma.github.io/Logging_0980/tillsyn/A 37591-2023 tillsynsbegäran.docx", "A 37591-2023")</f>
        <v/>
      </c>
      <c r="Y174">
        <f>HYPERLINK("https://klasma.github.io/Logging_0980/tillsynsmail/A 37591-2023 tillsynsbegäran mail.docx", "A 37591-2023")</f>
        <v/>
      </c>
    </row>
    <row r="175" ht="15" customHeight="1">
      <c r="A175" t="inlineStr">
        <is>
          <t>A 21466-2025</t>
        </is>
      </c>
      <c r="B175" s="1" t="n">
        <v>45782</v>
      </c>
      <c r="C175" s="1" t="n">
        <v>45995</v>
      </c>
      <c r="D175" t="inlineStr">
        <is>
          <t>GOTLANDS LÄN</t>
        </is>
      </c>
      <c r="E175" t="inlineStr">
        <is>
          <t>GOTLAND</t>
        </is>
      </c>
      <c r="F175" t="inlineStr">
        <is>
          <t>Övriga statliga verk och myndigheter</t>
        </is>
      </c>
      <c r="G175" t="n">
        <v>1.7</v>
      </c>
      <c r="H175" t="n">
        <v>1</v>
      </c>
      <c r="I175" t="n">
        <v>0</v>
      </c>
      <c r="J175" t="n">
        <v>0</v>
      </c>
      <c r="K175" t="n">
        <v>0</v>
      </c>
      <c r="L175" t="n">
        <v>0</v>
      </c>
      <c r="M175" t="n">
        <v>0</v>
      </c>
      <c r="N175" t="n">
        <v>0</v>
      </c>
      <c r="O175" t="n">
        <v>0</v>
      </c>
      <c r="P175" t="n">
        <v>0</v>
      </c>
      <c r="Q175" t="n">
        <v>1</v>
      </c>
      <c r="R175" s="2" t="inlineStr">
        <is>
          <t>Blåsippa</t>
        </is>
      </c>
      <c r="S175">
        <f>HYPERLINK("https://klasma.github.io/Logging_0980/artfynd/A 21466-2025 artfynd.xlsx", "A 21466-2025")</f>
        <v/>
      </c>
      <c r="T175">
        <f>HYPERLINK("https://klasma.github.io/Logging_0980/kartor/A 21466-2025 karta.png", "A 21466-2025")</f>
        <v/>
      </c>
      <c r="V175">
        <f>HYPERLINK("https://klasma.github.io/Logging_0980/klagomål/A 21466-2025 FSC-klagomål.docx", "A 21466-2025")</f>
        <v/>
      </c>
      <c r="W175">
        <f>HYPERLINK("https://klasma.github.io/Logging_0980/klagomålsmail/A 21466-2025 FSC-klagomål mail.docx", "A 21466-2025")</f>
        <v/>
      </c>
      <c r="X175">
        <f>HYPERLINK("https://klasma.github.io/Logging_0980/tillsyn/A 21466-2025 tillsynsbegäran.docx", "A 21466-2025")</f>
        <v/>
      </c>
      <c r="Y175">
        <f>HYPERLINK("https://klasma.github.io/Logging_0980/tillsynsmail/A 21466-2025 tillsynsbegäran mail.docx", "A 21466-2025")</f>
        <v/>
      </c>
    </row>
    <row r="176" ht="15" customHeight="1">
      <c r="A176" t="inlineStr">
        <is>
          <t>A 6303-2024</t>
        </is>
      </c>
      <c r="B176" s="1" t="n">
        <v>45338.35376157407</v>
      </c>
      <c r="C176" s="1" t="n">
        <v>45995</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10440-2024</t>
        </is>
      </c>
      <c r="B177" s="1" t="n">
        <v>45366.32818287037</v>
      </c>
      <c r="C177" s="1" t="n">
        <v>45995</v>
      </c>
      <c r="D177" t="inlineStr">
        <is>
          <t>GOTLANDS LÄN</t>
        </is>
      </c>
      <c r="E177" t="inlineStr">
        <is>
          <t>GOTLAND</t>
        </is>
      </c>
      <c r="G177" t="n">
        <v>2.5</v>
      </c>
      <c r="H177" t="n">
        <v>1</v>
      </c>
      <c r="I177" t="n">
        <v>0</v>
      </c>
      <c r="J177" t="n">
        <v>1</v>
      </c>
      <c r="K177" t="n">
        <v>0</v>
      </c>
      <c r="L177" t="n">
        <v>0</v>
      </c>
      <c r="M177" t="n">
        <v>0</v>
      </c>
      <c r="N177" t="n">
        <v>0</v>
      </c>
      <c r="O177" t="n">
        <v>1</v>
      </c>
      <c r="P177" t="n">
        <v>0</v>
      </c>
      <c r="Q177" t="n">
        <v>1</v>
      </c>
      <c r="R177" s="2" t="inlineStr">
        <is>
          <t>Mindre hackspett</t>
        </is>
      </c>
      <c r="S177">
        <f>HYPERLINK("https://klasma.github.io/Logging_0980/artfynd/A 10440-2024 artfynd.xlsx", "A 10440-2024")</f>
        <v/>
      </c>
      <c r="T177">
        <f>HYPERLINK("https://klasma.github.io/Logging_0980/kartor/A 10440-2024 karta.png", "A 10440-2024")</f>
        <v/>
      </c>
      <c r="V177">
        <f>HYPERLINK("https://klasma.github.io/Logging_0980/klagomål/A 10440-2024 FSC-klagomål.docx", "A 10440-2024")</f>
        <v/>
      </c>
      <c r="W177">
        <f>HYPERLINK("https://klasma.github.io/Logging_0980/klagomålsmail/A 10440-2024 FSC-klagomål mail.docx", "A 10440-2024")</f>
        <v/>
      </c>
      <c r="X177">
        <f>HYPERLINK("https://klasma.github.io/Logging_0980/tillsyn/A 10440-2024 tillsynsbegäran.docx", "A 10440-2024")</f>
        <v/>
      </c>
      <c r="Y177">
        <f>HYPERLINK("https://klasma.github.io/Logging_0980/tillsynsmail/A 10440-2024 tillsynsbegäran mail.docx", "A 10440-2024")</f>
        <v/>
      </c>
      <c r="Z177">
        <f>HYPERLINK("https://klasma.github.io/Logging_0980/fåglar/A 10440-2024 prioriterade fågelarter.docx", "A 10440-2024")</f>
        <v/>
      </c>
    </row>
    <row r="178" ht="15" customHeight="1">
      <c r="A178" t="inlineStr">
        <is>
          <t>A 49726-2025</t>
        </is>
      </c>
      <c r="B178" s="1" t="n">
        <v>45939.84466435185</v>
      </c>
      <c r="C178" s="1" t="n">
        <v>45995</v>
      </c>
      <c r="D178" t="inlineStr">
        <is>
          <t>GOTLANDS LÄN</t>
        </is>
      </c>
      <c r="E178" t="inlineStr">
        <is>
          <t>GOTLAND</t>
        </is>
      </c>
      <c r="F178" t="inlineStr">
        <is>
          <t>Kyrkan</t>
        </is>
      </c>
      <c r="G178" t="n">
        <v>5.4</v>
      </c>
      <c r="H178" t="n">
        <v>0</v>
      </c>
      <c r="I178" t="n">
        <v>0</v>
      </c>
      <c r="J178" t="n">
        <v>1</v>
      </c>
      <c r="K178" t="n">
        <v>0</v>
      </c>
      <c r="L178" t="n">
        <v>0</v>
      </c>
      <c r="M178" t="n">
        <v>0</v>
      </c>
      <c r="N178" t="n">
        <v>0</v>
      </c>
      <c r="O178" t="n">
        <v>1</v>
      </c>
      <c r="P178" t="n">
        <v>0</v>
      </c>
      <c r="Q178" t="n">
        <v>1</v>
      </c>
      <c r="R178" s="2" t="inlineStr">
        <is>
          <t>Odörspindling</t>
        </is>
      </c>
      <c r="S178">
        <f>HYPERLINK("https://klasma.github.io/Logging_0980/artfynd/A 49726-2025 artfynd.xlsx", "A 49726-2025")</f>
        <v/>
      </c>
      <c r="T178">
        <f>HYPERLINK("https://klasma.github.io/Logging_0980/kartor/A 49726-2025 karta.png", "A 49726-2025")</f>
        <v/>
      </c>
      <c r="V178">
        <f>HYPERLINK("https://klasma.github.io/Logging_0980/klagomål/A 49726-2025 FSC-klagomål.docx", "A 49726-2025")</f>
        <v/>
      </c>
      <c r="W178">
        <f>HYPERLINK("https://klasma.github.io/Logging_0980/klagomålsmail/A 49726-2025 FSC-klagomål mail.docx", "A 49726-2025")</f>
        <v/>
      </c>
      <c r="X178">
        <f>HYPERLINK("https://klasma.github.io/Logging_0980/tillsyn/A 49726-2025 tillsynsbegäran.docx", "A 49726-2025")</f>
        <v/>
      </c>
      <c r="Y178">
        <f>HYPERLINK("https://klasma.github.io/Logging_0980/tillsynsmail/A 49726-2025 tillsynsbegäran mail.docx", "A 49726-2025")</f>
        <v/>
      </c>
    </row>
    <row r="179" ht="15" customHeight="1">
      <c r="A179" t="inlineStr">
        <is>
          <t>A 20429-2025</t>
        </is>
      </c>
      <c r="B179" s="1" t="n">
        <v>45775.47728009259</v>
      </c>
      <c r="C179" s="1" t="n">
        <v>45995</v>
      </c>
      <c r="D179" t="inlineStr">
        <is>
          <t>GOTLANDS LÄN</t>
        </is>
      </c>
      <c r="E179" t="inlineStr">
        <is>
          <t>GOTLAND</t>
        </is>
      </c>
      <c r="G179" t="n">
        <v>1.4</v>
      </c>
      <c r="H179" t="n">
        <v>1</v>
      </c>
      <c r="I179" t="n">
        <v>0</v>
      </c>
      <c r="J179" t="n">
        <v>0</v>
      </c>
      <c r="K179" t="n">
        <v>0</v>
      </c>
      <c r="L179" t="n">
        <v>0</v>
      </c>
      <c r="M179" t="n">
        <v>0</v>
      </c>
      <c r="N179" t="n">
        <v>0</v>
      </c>
      <c r="O179" t="n">
        <v>0</v>
      </c>
      <c r="P179" t="n">
        <v>0</v>
      </c>
      <c r="Q179" t="n">
        <v>1</v>
      </c>
      <c r="R179" s="2" t="inlineStr">
        <is>
          <t>Äkta lopplummer</t>
        </is>
      </c>
      <c r="S179">
        <f>HYPERLINK("https://klasma.github.io/Logging_0980/artfynd/A 20429-2025 artfynd.xlsx", "A 20429-2025")</f>
        <v/>
      </c>
      <c r="T179">
        <f>HYPERLINK("https://klasma.github.io/Logging_0980/kartor/A 20429-2025 karta.png", "A 20429-2025")</f>
        <v/>
      </c>
      <c r="V179">
        <f>HYPERLINK("https://klasma.github.io/Logging_0980/klagomål/A 20429-2025 FSC-klagomål.docx", "A 20429-2025")</f>
        <v/>
      </c>
      <c r="W179">
        <f>HYPERLINK("https://klasma.github.io/Logging_0980/klagomålsmail/A 20429-2025 FSC-klagomål mail.docx", "A 20429-2025")</f>
        <v/>
      </c>
      <c r="X179">
        <f>HYPERLINK("https://klasma.github.io/Logging_0980/tillsyn/A 20429-2025 tillsynsbegäran.docx", "A 20429-2025")</f>
        <v/>
      </c>
      <c r="Y179">
        <f>HYPERLINK("https://klasma.github.io/Logging_0980/tillsynsmail/A 20429-2025 tillsynsbegäran mail.docx", "A 20429-2025")</f>
        <v/>
      </c>
    </row>
    <row r="180" ht="15" customHeight="1">
      <c r="A180" t="inlineStr">
        <is>
          <t>A 34809-2024</t>
        </is>
      </c>
      <c r="B180" s="1" t="n">
        <v>45526</v>
      </c>
      <c r="C180" s="1" t="n">
        <v>45995</v>
      </c>
      <c r="D180" t="inlineStr">
        <is>
          <t>GOTLANDS LÄN</t>
        </is>
      </c>
      <c r="E180" t="inlineStr">
        <is>
          <t>GOTLAND</t>
        </is>
      </c>
      <c r="G180" t="n">
        <v>9.9</v>
      </c>
      <c r="H180" t="n">
        <v>1</v>
      </c>
      <c r="I180" t="n">
        <v>0</v>
      </c>
      <c r="J180" t="n">
        <v>1</v>
      </c>
      <c r="K180" t="n">
        <v>0</v>
      </c>
      <c r="L180" t="n">
        <v>0</v>
      </c>
      <c r="M180" t="n">
        <v>0</v>
      </c>
      <c r="N180" t="n">
        <v>0</v>
      </c>
      <c r="O180" t="n">
        <v>1</v>
      </c>
      <c r="P180" t="n">
        <v>0</v>
      </c>
      <c r="Q180" t="n">
        <v>1</v>
      </c>
      <c r="R180" s="2" t="inlineStr">
        <is>
          <t>Brun ögontröst</t>
        </is>
      </c>
      <c r="S180">
        <f>HYPERLINK("https://klasma.github.io/Logging_0980/artfynd/A 34809-2024 artfynd.xlsx", "A 34809-2024")</f>
        <v/>
      </c>
      <c r="T180">
        <f>HYPERLINK("https://klasma.github.io/Logging_0980/kartor/A 34809-2024 karta.png", "A 34809-2024")</f>
        <v/>
      </c>
      <c r="V180">
        <f>HYPERLINK("https://klasma.github.io/Logging_0980/klagomål/A 34809-2024 FSC-klagomål.docx", "A 34809-2024")</f>
        <v/>
      </c>
      <c r="W180">
        <f>HYPERLINK("https://klasma.github.io/Logging_0980/klagomålsmail/A 34809-2024 FSC-klagomål mail.docx", "A 34809-2024")</f>
        <v/>
      </c>
      <c r="X180">
        <f>HYPERLINK("https://klasma.github.io/Logging_0980/tillsyn/A 34809-2024 tillsynsbegäran.docx", "A 34809-2024")</f>
        <v/>
      </c>
      <c r="Y180">
        <f>HYPERLINK("https://klasma.github.io/Logging_0980/tillsynsmail/A 34809-2024 tillsynsbegäran mail.docx", "A 34809-2024")</f>
        <v/>
      </c>
    </row>
    <row r="181" ht="15" customHeight="1">
      <c r="A181" t="inlineStr">
        <is>
          <t>A 61561-2023</t>
        </is>
      </c>
      <c r="B181" s="1" t="n">
        <v>45265</v>
      </c>
      <c r="C181" s="1" t="n">
        <v>45995</v>
      </c>
      <c r="D181" t="inlineStr">
        <is>
          <t>GOTLANDS LÄN</t>
        </is>
      </c>
      <c r="E181" t="inlineStr">
        <is>
          <t>GOTLAND</t>
        </is>
      </c>
      <c r="G181" t="n">
        <v>7.4</v>
      </c>
      <c r="H181" t="n">
        <v>0</v>
      </c>
      <c r="I181" t="n">
        <v>0</v>
      </c>
      <c r="J181" t="n">
        <v>1</v>
      </c>
      <c r="K181" t="n">
        <v>0</v>
      </c>
      <c r="L181" t="n">
        <v>0</v>
      </c>
      <c r="M181" t="n">
        <v>0</v>
      </c>
      <c r="N181" t="n">
        <v>0</v>
      </c>
      <c r="O181" t="n">
        <v>1</v>
      </c>
      <c r="P181" t="n">
        <v>0</v>
      </c>
      <c r="Q181" t="n">
        <v>1</v>
      </c>
      <c r="R181" s="2" t="inlineStr">
        <is>
          <t>Loppstarr</t>
        </is>
      </c>
      <c r="S181">
        <f>HYPERLINK("https://klasma.github.io/Logging_0980/artfynd/A 61561-2023 artfynd.xlsx", "A 61561-2023")</f>
        <v/>
      </c>
      <c r="T181">
        <f>HYPERLINK("https://klasma.github.io/Logging_0980/kartor/A 61561-2023 karta.png", "A 61561-2023")</f>
        <v/>
      </c>
      <c r="V181">
        <f>HYPERLINK("https://klasma.github.io/Logging_0980/klagomål/A 61561-2023 FSC-klagomål.docx", "A 61561-2023")</f>
        <v/>
      </c>
      <c r="W181">
        <f>HYPERLINK("https://klasma.github.io/Logging_0980/klagomålsmail/A 61561-2023 FSC-klagomål mail.docx", "A 61561-2023")</f>
        <v/>
      </c>
      <c r="X181">
        <f>HYPERLINK("https://klasma.github.io/Logging_0980/tillsyn/A 61561-2023 tillsynsbegäran.docx", "A 61561-2023")</f>
        <v/>
      </c>
      <c r="Y181">
        <f>HYPERLINK("https://klasma.github.io/Logging_0980/tillsynsmail/A 61561-2023 tillsynsbegäran mail.docx", "A 61561-2023")</f>
        <v/>
      </c>
    </row>
    <row r="182" ht="15" customHeight="1">
      <c r="A182" t="inlineStr">
        <is>
          <t>A 26461-2025</t>
        </is>
      </c>
      <c r="B182" s="1" t="n">
        <v>45807.43337962963</v>
      </c>
      <c r="C182" s="1" t="n">
        <v>45995</v>
      </c>
      <c r="D182" t="inlineStr">
        <is>
          <t>GOTLANDS LÄN</t>
        </is>
      </c>
      <c r="E182" t="inlineStr">
        <is>
          <t>GOTLAND</t>
        </is>
      </c>
      <c r="G182" t="n">
        <v>4.1</v>
      </c>
      <c r="H182" t="n">
        <v>0</v>
      </c>
      <c r="I182" t="n">
        <v>0</v>
      </c>
      <c r="J182" t="n">
        <v>0</v>
      </c>
      <c r="K182" t="n">
        <v>1</v>
      </c>
      <c r="L182" t="n">
        <v>0</v>
      </c>
      <c r="M182" t="n">
        <v>0</v>
      </c>
      <c r="N182" t="n">
        <v>0</v>
      </c>
      <c r="O182" t="n">
        <v>1</v>
      </c>
      <c r="P182" t="n">
        <v>1</v>
      </c>
      <c r="Q182" t="n">
        <v>1</v>
      </c>
      <c r="R182" s="2" t="inlineStr">
        <is>
          <t>Gotlandsmåra</t>
        </is>
      </c>
      <c r="S182">
        <f>HYPERLINK("https://klasma.github.io/Logging_0980/artfynd/A 26461-2025 artfynd.xlsx", "A 26461-2025")</f>
        <v/>
      </c>
      <c r="T182">
        <f>HYPERLINK("https://klasma.github.io/Logging_0980/kartor/A 26461-2025 karta.png", "A 26461-2025")</f>
        <v/>
      </c>
      <c r="V182">
        <f>HYPERLINK("https://klasma.github.io/Logging_0980/klagomål/A 26461-2025 FSC-klagomål.docx", "A 26461-2025")</f>
        <v/>
      </c>
      <c r="W182">
        <f>HYPERLINK("https://klasma.github.io/Logging_0980/klagomålsmail/A 26461-2025 FSC-klagomål mail.docx", "A 26461-2025")</f>
        <v/>
      </c>
      <c r="X182">
        <f>HYPERLINK("https://klasma.github.io/Logging_0980/tillsyn/A 26461-2025 tillsynsbegäran.docx", "A 26461-2025")</f>
        <v/>
      </c>
      <c r="Y182">
        <f>HYPERLINK("https://klasma.github.io/Logging_0980/tillsynsmail/A 26461-2025 tillsynsbegäran mail.docx", "A 26461-2025")</f>
        <v/>
      </c>
    </row>
    <row r="183" ht="15" customHeight="1">
      <c r="A183" t="inlineStr">
        <is>
          <t>A 22782-2023</t>
        </is>
      </c>
      <c r="B183" s="1" t="n">
        <v>45072</v>
      </c>
      <c r="C183" s="1" t="n">
        <v>45995</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45995</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34141-2024</t>
        </is>
      </c>
      <c r="B185" s="1" t="n">
        <v>45524.36229166666</v>
      </c>
      <c r="C185" s="1" t="n">
        <v>45995</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9862-2024</t>
        </is>
      </c>
      <c r="B186" s="1" t="n">
        <v>45363</v>
      </c>
      <c r="C186" s="1" t="n">
        <v>45995</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12924-2025</t>
        </is>
      </c>
      <c r="B187" s="1" t="n">
        <v>45734</v>
      </c>
      <c r="C187" s="1" t="n">
        <v>45995</v>
      </c>
      <c r="D187" t="inlineStr">
        <is>
          <t>GOTLANDS LÄN</t>
        </is>
      </c>
      <c r="E187" t="inlineStr">
        <is>
          <t>GOTLAND</t>
        </is>
      </c>
      <c r="G187" t="n">
        <v>11.7</v>
      </c>
      <c r="H187" t="n">
        <v>0</v>
      </c>
      <c r="I187" t="n">
        <v>0</v>
      </c>
      <c r="J187" t="n">
        <v>0</v>
      </c>
      <c r="K187" t="n">
        <v>1</v>
      </c>
      <c r="L187" t="n">
        <v>0</v>
      </c>
      <c r="M187" t="n">
        <v>0</v>
      </c>
      <c r="N187" t="n">
        <v>0</v>
      </c>
      <c r="O187" t="n">
        <v>1</v>
      </c>
      <c r="P187" t="n">
        <v>1</v>
      </c>
      <c r="Q187" t="n">
        <v>1</v>
      </c>
      <c r="R187" s="2" t="inlineStr">
        <is>
          <t>Gotlandsmåra</t>
        </is>
      </c>
      <c r="S187">
        <f>HYPERLINK("https://klasma.github.io/Logging_0980/artfynd/A 12924-2025 artfynd.xlsx", "A 12924-2025")</f>
        <v/>
      </c>
      <c r="T187">
        <f>HYPERLINK("https://klasma.github.io/Logging_0980/kartor/A 12924-2025 karta.png", "A 12924-2025")</f>
        <v/>
      </c>
      <c r="V187">
        <f>HYPERLINK("https://klasma.github.io/Logging_0980/klagomål/A 12924-2025 FSC-klagomål.docx", "A 12924-2025")</f>
        <v/>
      </c>
      <c r="W187">
        <f>HYPERLINK("https://klasma.github.io/Logging_0980/klagomålsmail/A 12924-2025 FSC-klagomål mail.docx", "A 12924-2025")</f>
        <v/>
      </c>
      <c r="X187">
        <f>HYPERLINK("https://klasma.github.io/Logging_0980/tillsyn/A 12924-2025 tillsynsbegäran.docx", "A 12924-2025")</f>
        <v/>
      </c>
      <c r="Y187">
        <f>HYPERLINK("https://klasma.github.io/Logging_0980/tillsynsmail/A 12924-2025 tillsynsbegäran mail.docx", "A 12924-2025")</f>
        <v/>
      </c>
    </row>
    <row r="188" ht="15" customHeight="1">
      <c r="A188" t="inlineStr">
        <is>
          <t>A 19901-2021</t>
        </is>
      </c>
      <c r="B188" s="1" t="n">
        <v>44312</v>
      </c>
      <c r="C188" s="1" t="n">
        <v>45995</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45995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45995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45995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45995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45995</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45995</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45995</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45995</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45995</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45995</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45995</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45995</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45995</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45995</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45995</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45995</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45995</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45995</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45995</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45995</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45995</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45995</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45995</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45995</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45995</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45995</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45995</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45995</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45995</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45995</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45995</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45995</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45995</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45995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45995</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1229-2021</t>
        </is>
      </c>
      <c r="B224" s="1" t="n">
        <v>44208</v>
      </c>
      <c r="C224" s="1" t="n">
        <v>45995</v>
      </c>
      <c r="D224" t="inlineStr">
        <is>
          <t>GOTLANDS LÄN</t>
        </is>
      </c>
      <c r="E224" t="inlineStr">
        <is>
          <t>GOTLAND</t>
        </is>
      </c>
      <c r="G224" t="n">
        <v>5.3</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45995</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45995</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45995</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3271-2021</t>
        </is>
      </c>
      <c r="B228" s="1" t="n">
        <v>44217</v>
      </c>
      <c r="C228" s="1" t="n">
        <v>45995</v>
      </c>
      <c r="D228" t="inlineStr">
        <is>
          <t>GOTLANDS LÄN</t>
        </is>
      </c>
      <c r="E228" t="inlineStr">
        <is>
          <t>GOTLAND</t>
        </is>
      </c>
      <c r="G228" t="n">
        <v>0.7</v>
      </c>
      <c r="H228" t="n">
        <v>0</v>
      </c>
      <c r="I228" t="n">
        <v>0</v>
      </c>
      <c r="J228" t="n">
        <v>0</v>
      </c>
      <c r="K228" t="n">
        <v>0</v>
      </c>
      <c r="L228" t="n">
        <v>0</v>
      </c>
      <c r="M228" t="n">
        <v>0</v>
      </c>
      <c r="N228" t="n">
        <v>0</v>
      </c>
      <c r="O228" t="n">
        <v>0</v>
      </c>
      <c r="P228" t="n">
        <v>0</v>
      </c>
      <c r="Q228" t="n">
        <v>0</v>
      </c>
      <c r="R228" s="2" t="inlineStr"/>
    </row>
    <row r="229" ht="15" customHeight="1">
      <c r="A229" t="inlineStr">
        <is>
          <t>A 53225-2022</t>
        </is>
      </c>
      <c r="B229" s="1" t="n">
        <v>44876</v>
      </c>
      <c r="C229" s="1" t="n">
        <v>45995</v>
      </c>
      <c r="D229" t="inlineStr">
        <is>
          <t>GOTLANDS LÄN</t>
        </is>
      </c>
      <c r="E229" t="inlineStr">
        <is>
          <t>GOTLAND</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1734-2025</t>
        </is>
      </c>
      <c r="B230" s="1" t="n">
        <v>45671.3840625</v>
      </c>
      <c r="C230" s="1" t="n">
        <v>45995</v>
      </c>
      <c r="D230" t="inlineStr">
        <is>
          <t>GOTLANDS LÄN</t>
        </is>
      </c>
      <c r="E230" t="inlineStr">
        <is>
          <t>GOTLAND</t>
        </is>
      </c>
      <c r="G230" t="n">
        <v>1.9</v>
      </c>
      <c r="H230" t="n">
        <v>0</v>
      </c>
      <c r="I230" t="n">
        <v>0</v>
      </c>
      <c r="J230" t="n">
        <v>0</v>
      </c>
      <c r="K230" t="n">
        <v>0</v>
      </c>
      <c r="L230" t="n">
        <v>0</v>
      </c>
      <c r="M230" t="n">
        <v>0</v>
      </c>
      <c r="N230" t="n">
        <v>0</v>
      </c>
      <c r="O230" t="n">
        <v>0</v>
      </c>
      <c r="P230" t="n">
        <v>0</v>
      </c>
      <c r="Q230" t="n">
        <v>0</v>
      </c>
      <c r="R230" s="2" t="inlineStr"/>
    </row>
    <row r="231" ht="15" customHeight="1">
      <c r="A231" t="inlineStr">
        <is>
          <t>A 30055-2021</t>
        </is>
      </c>
      <c r="B231" s="1" t="n">
        <v>44363</v>
      </c>
      <c r="C231" s="1" t="n">
        <v>45995</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45995</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45995</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20993-2023</t>
        </is>
      </c>
      <c r="B234" s="1" t="n">
        <v>45056</v>
      </c>
      <c r="C234" s="1" t="n">
        <v>45995</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65393-2021</t>
        </is>
      </c>
      <c r="B235" s="1" t="n">
        <v>44515</v>
      </c>
      <c r="C235" s="1" t="n">
        <v>45995</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21507-2021</t>
        </is>
      </c>
      <c r="B236" s="1" t="n">
        <v>44321</v>
      </c>
      <c r="C236" s="1" t="n">
        <v>45995</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45995</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12596-2023</t>
        </is>
      </c>
      <c r="B238" s="1" t="n">
        <v>45000.43310185185</v>
      </c>
      <c r="C238" s="1" t="n">
        <v>45995</v>
      </c>
      <c r="D238" t="inlineStr">
        <is>
          <t>GOTLANDS LÄN</t>
        </is>
      </c>
      <c r="E238" t="inlineStr">
        <is>
          <t>GOTLAND</t>
        </is>
      </c>
      <c r="G238" t="n">
        <v>4.1</v>
      </c>
      <c r="H238" t="n">
        <v>0</v>
      </c>
      <c r="I238" t="n">
        <v>0</v>
      </c>
      <c r="J238" t="n">
        <v>0</v>
      </c>
      <c r="K238" t="n">
        <v>0</v>
      </c>
      <c r="L238" t="n">
        <v>0</v>
      </c>
      <c r="M238" t="n">
        <v>0</v>
      </c>
      <c r="N238" t="n">
        <v>0</v>
      </c>
      <c r="O238" t="n">
        <v>0</v>
      </c>
      <c r="P238" t="n">
        <v>0</v>
      </c>
      <c r="Q238" t="n">
        <v>0</v>
      </c>
      <c r="R238" s="2" t="inlineStr"/>
    </row>
    <row r="239" ht="15" customHeight="1">
      <c r="A239" t="inlineStr">
        <is>
          <t>A 2125-2025</t>
        </is>
      </c>
      <c r="B239" s="1" t="n">
        <v>45672.64940972222</v>
      </c>
      <c r="C239" s="1" t="n">
        <v>45995</v>
      </c>
      <c r="D239" t="inlineStr">
        <is>
          <t>GOTLANDS LÄN</t>
        </is>
      </c>
      <c r="E239" t="inlineStr">
        <is>
          <t>GOTLAND</t>
        </is>
      </c>
      <c r="G239" t="n">
        <v>2.3</v>
      </c>
      <c r="H239" t="n">
        <v>0</v>
      </c>
      <c r="I239" t="n">
        <v>0</v>
      </c>
      <c r="J239" t="n">
        <v>0</v>
      </c>
      <c r="K239" t="n">
        <v>0</v>
      </c>
      <c r="L239" t="n">
        <v>0</v>
      </c>
      <c r="M239" t="n">
        <v>0</v>
      </c>
      <c r="N239" t="n">
        <v>0</v>
      </c>
      <c r="O239" t="n">
        <v>0</v>
      </c>
      <c r="P239" t="n">
        <v>0</v>
      </c>
      <c r="Q239" t="n">
        <v>0</v>
      </c>
      <c r="R239" s="2" t="inlineStr"/>
    </row>
    <row r="240" ht="15" customHeight="1">
      <c r="A240" t="inlineStr">
        <is>
          <t>A 25866-2022</t>
        </is>
      </c>
      <c r="B240" s="1" t="n">
        <v>44733</v>
      </c>
      <c r="C240" s="1" t="n">
        <v>45995</v>
      </c>
      <c r="D240" t="inlineStr">
        <is>
          <t>GOTLANDS LÄN</t>
        </is>
      </c>
      <c r="E240" t="inlineStr">
        <is>
          <t>GOTLAND</t>
        </is>
      </c>
      <c r="G240" t="n">
        <v>2.9</v>
      </c>
      <c r="H240" t="n">
        <v>0</v>
      </c>
      <c r="I240" t="n">
        <v>0</v>
      </c>
      <c r="J240" t="n">
        <v>0</v>
      </c>
      <c r="K240" t="n">
        <v>0</v>
      </c>
      <c r="L240" t="n">
        <v>0</v>
      </c>
      <c r="M240" t="n">
        <v>0</v>
      </c>
      <c r="N240" t="n">
        <v>0</v>
      </c>
      <c r="O240" t="n">
        <v>0</v>
      </c>
      <c r="P240" t="n">
        <v>0</v>
      </c>
      <c r="Q240" t="n">
        <v>0</v>
      </c>
      <c r="R240" s="2" t="inlineStr"/>
    </row>
    <row r="241" ht="15" customHeight="1">
      <c r="A241" t="inlineStr">
        <is>
          <t>A 43229-2023</t>
        </is>
      </c>
      <c r="B241" s="1" t="n">
        <v>45183.46704861111</v>
      </c>
      <c r="C241" s="1" t="n">
        <v>45995</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1175-2025</t>
        </is>
      </c>
      <c r="B242" s="1" t="n">
        <v>45667.34449074074</v>
      </c>
      <c r="C242" s="1" t="n">
        <v>45995</v>
      </c>
      <c r="D242" t="inlineStr">
        <is>
          <t>GOTLANDS LÄN</t>
        </is>
      </c>
      <c r="E242" t="inlineStr">
        <is>
          <t>GOTLAND</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27095-2022</t>
        </is>
      </c>
      <c r="B243" s="1" t="n">
        <v>44741</v>
      </c>
      <c r="C243" s="1" t="n">
        <v>45995</v>
      </c>
      <c r="D243" t="inlineStr">
        <is>
          <t>GOTLANDS LÄN</t>
        </is>
      </c>
      <c r="E243" t="inlineStr">
        <is>
          <t>GOTLAND</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22899-2023</t>
        </is>
      </c>
      <c r="B244" s="1" t="n">
        <v>45072</v>
      </c>
      <c r="C244" s="1" t="n">
        <v>45995</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23910-2021</t>
        </is>
      </c>
      <c r="B245" s="1" t="n">
        <v>44335</v>
      </c>
      <c r="C245" s="1" t="n">
        <v>45995</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23978-2023</t>
        </is>
      </c>
      <c r="B246" s="1" t="n">
        <v>45078</v>
      </c>
      <c r="C246" s="1" t="n">
        <v>45995</v>
      </c>
      <c r="D246" t="inlineStr">
        <is>
          <t>GOTLANDS LÄN</t>
        </is>
      </c>
      <c r="E246" t="inlineStr">
        <is>
          <t>GOTLAND</t>
        </is>
      </c>
      <c r="F246" t="inlineStr">
        <is>
          <t>Naturvårdsverket</t>
        </is>
      </c>
      <c r="G246" t="n">
        <v>1.7</v>
      </c>
      <c r="H246" t="n">
        <v>0</v>
      </c>
      <c r="I246" t="n">
        <v>0</v>
      </c>
      <c r="J246" t="n">
        <v>0</v>
      </c>
      <c r="K246" t="n">
        <v>0</v>
      </c>
      <c r="L246" t="n">
        <v>0</v>
      </c>
      <c r="M246" t="n">
        <v>0</v>
      </c>
      <c r="N246" t="n">
        <v>0</v>
      </c>
      <c r="O246" t="n">
        <v>0</v>
      </c>
      <c r="P246" t="n">
        <v>0</v>
      </c>
      <c r="Q246" t="n">
        <v>0</v>
      </c>
      <c r="R246" s="2" t="inlineStr"/>
    </row>
    <row r="247" ht="15" customHeight="1">
      <c r="A247" t="inlineStr">
        <is>
          <t>A 12155-2023</t>
        </is>
      </c>
      <c r="B247" s="1" t="n">
        <v>44998.49106481481</v>
      </c>
      <c r="C247" s="1" t="n">
        <v>45995</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34407-2023</t>
        </is>
      </c>
      <c r="B248" s="1" t="n">
        <v>45132</v>
      </c>
      <c r="C248" s="1" t="n">
        <v>45995</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11013-2024</t>
        </is>
      </c>
      <c r="B249" s="1" t="n">
        <v>45370</v>
      </c>
      <c r="C249" s="1" t="n">
        <v>45995</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457-2023</t>
        </is>
      </c>
      <c r="B250" s="1" t="n">
        <v>44929.87238425926</v>
      </c>
      <c r="C250" s="1" t="n">
        <v>45995</v>
      </c>
      <c r="D250" t="inlineStr">
        <is>
          <t>GOTLANDS LÄN</t>
        </is>
      </c>
      <c r="E250" t="inlineStr">
        <is>
          <t>GOTLAND</t>
        </is>
      </c>
      <c r="G250" t="n">
        <v>2.4</v>
      </c>
      <c r="H250" t="n">
        <v>0</v>
      </c>
      <c r="I250" t="n">
        <v>0</v>
      </c>
      <c r="J250" t="n">
        <v>0</v>
      </c>
      <c r="K250" t="n">
        <v>0</v>
      </c>
      <c r="L250" t="n">
        <v>0</v>
      </c>
      <c r="M250" t="n">
        <v>0</v>
      </c>
      <c r="N250" t="n">
        <v>0</v>
      </c>
      <c r="O250" t="n">
        <v>0</v>
      </c>
      <c r="P250" t="n">
        <v>0</v>
      </c>
      <c r="Q250" t="n">
        <v>0</v>
      </c>
      <c r="R250" s="2" t="inlineStr"/>
    </row>
    <row r="251" ht="15" customHeight="1">
      <c r="A251" t="inlineStr">
        <is>
          <t>A 459-2023</t>
        </is>
      </c>
      <c r="B251" s="1" t="n">
        <v>44929.87423611111</v>
      </c>
      <c r="C251" s="1" t="n">
        <v>45995</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17354-2022</t>
        </is>
      </c>
      <c r="B252" s="1" t="n">
        <v>44678</v>
      </c>
      <c r="C252" s="1" t="n">
        <v>45995</v>
      </c>
      <c r="D252" t="inlineStr">
        <is>
          <t>GOTLANDS LÄN</t>
        </is>
      </c>
      <c r="E252" t="inlineStr">
        <is>
          <t>GOTLAND</t>
        </is>
      </c>
      <c r="G252" t="n">
        <v>7.1</v>
      </c>
      <c r="H252" t="n">
        <v>0</v>
      </c>
      <c r="I252" t="n">
        <v>0</v>
      </c>
      <c r="J252" t="n">
        <v>0</v>
      </c>
      <c r="K252" t="n">
        <v>0</v>
      </c>
      <c r="L252" t="n">
        <v>0</v>
      </c>
      <c r="M252" t="n">
        <v>0</v>
      </c>
      <c r="N252" t="n">
        <v>0</v>
      </c>
      <c r="O252" t="n">
        <v>0</v>
      </c>
      <c r="P252" t="n">
        <v>0</v>
      </c>
      <c r="Q252" t="n">
        <v>0</v>
      </c>
      <c r="R252" s="2" t="inlineStr"/>
    </row>
    <row r="253" ht="15" customHeight="1">
      <c r="A253" t="inlineStr">
        <is>
          <t>A 38234-2023</t>
        </is>
      </c>
      <c r="B253" s="1" t="n">
        <v>45161.56663194444</v>
      </c>
      <c r="C253" s="1" t="n">
        <v>45995</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27694-2024</t>
        </is>
      </c>
      <c r="B254" s="1" t="n">
        <v>45475</v>
      </c>
      <c r="C254" s="1" t="n">
        <v>45995</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50744-2024</t>
        </is>
      </c>
      <c r="B255" s="1" t="n">
        <v>45602.4187037037</v>
      </c>
      <c r="C255" s="1" t="n">
        <v>45995</v>
      </c>
      <c r="D255" t="inlineStr">
        <is>
          <t>GOTLANDS LÄN</t>
        </is>
      </c>
      <c r="E255" t="inlineStr">
        <is>
          <t>GOTLAND</t>
        </is>
      </c>
      <c r="G255" t="n">
        <v>3.2</v>
      </c>
      <c r="H255" t="n">
        <v>0</v>
      </c>
      <c r="I255" t="n">
        <v>0</v>
      </c>
      <c r="J255" t="n">
        <v>0</v>
      </c>
      <c r="K255" t="n">
        <v>0</v>
      </c>
      <c r="L255" t="n">
        <v>0</v>
      </c>
      <c r="M255" t="n">
        <v>0</v>
      </c>
      <c r="N255" t="n">
        <v>0</v>
      </c>
      <c r="O255" t="n">
        <v>0</v>
      </c>
      <c r="P255" t="n">
        <v>0</v>
      </c>
      <c r="Q255" t="n">
        <v>0</v>
      </c>
      <c r="R255" s="2" t="inlineStr"/>
    </row>
    <row r="256" ht="15" customHeight="1">
      <c r="A256" t="inlineStr">
        <is>
          <t>A 30282-2022</t>
        </is>
      </c>
      <c r="B256" s="1" t="n">
        <v>44760</v>
      </c>
      <c r="C256" s="1" t="n">
        <v>45995</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53934-2024</t>
        </is>
      </c>
      <c r="B257" s="1" t="n">
        <v>45615</v>
      </c>
      <c r="C257" s="1" t="n">
        <v>45995</v>
      </c>
      <c r="D257" t="inlineStr">
        <is>
          <t>GOTLANDS LÄN</t>
        </is>
      </c>
      <c r="E257" t="inlineStr">
        <is>
          <t>GOTLAND</t>
        </is>
      </c>
      <c r="G257" t="n">
        <v>5</v>
      </c>
      <c r="H257" t="n">
        <v>0</v>
      </c>
      <c r="I257" t="n">
        <v>0</v>
      </c>
      <c r="J257" t="n">
        <v>0</v>
      </c>
      <c r="K257" t="n">
        <v>0</v>
      </c>
      <c r="L257" t="n">
        <v>0</v>
      </c>
      <c r="M257" t="n">
        <v>0</v>
      </c>
      <c r="N257" t="n">
        <v>0</v>
      </c>
      <c r="O257" t="n">
        <v>0</v>
      </c>
      <c r="P257" t="n">
        <v>0</v>
      </c>
      <c r="Q257" t="n">
        <v>0</v>
      </c>
      <c r="R257" s="2" t="inlineStr"/>
    </row>
    <row r="258" ht="15" customHeight="1">
      <c r="A258" t="inlineStr">
        <is>
          <t>A 14413-2022</t>
        </is>
      </c>
      <c r="B258" s="1" t="n">
        <v>44652</v>
      </c>
      <c r="C258" s="1" t="n">
        <v>45995</v>
      </c>
      <c r="D258" t="inlineStr">
        <is>
          <t>GOTLANDS LÄN</t>
        </is>
      </c>
      <c r="E258" t="inlineStr">
        <is>
          <t>GOTLAND</t>
        </is>
      </c>
      <c r="G258" t="n">
        <v>3.1</v>
      </c>
      <c r="H258" t="n">
        <v>0</v>
      </c>
      <c r="I258" t="n">
        <v>0</v>
      </c>
      <c r="J258" t="n">
        <v>0</v>
      </c>
      <c r="K258" t="n">
        <v>0</v>
      </c>
      <c r="L258" t="n">
        <v>0</v>
      </c>
      <c r="M258" t="n">
        <v>0</v>
      </c>
      <c r="N258" t="n">
        <v>0</v>
      </c>
      <c r="O258" t="n">
        <v>0</v>
      </c>
      <c r="P258" t="n">
        <v>0</v>
      </c>
      <c r="Q258" t="n">
        <v>0</v>
      </c>
      <c r="R258" s="2" t="inlineStr"/>
    </row>
    <row r="259" ht="15" customHeight="1">
      <c r="A259" t="inlineStr">
        <is>
          <t>A 4868-2024</t>
        </is>
      </c>
      <c r="B259" s="1" t="n">
        <v>45329</v>
      </c>
      <c r="C259" s="1" t="n">
        <v>45995</v>
      </c>
      <c r="D259" t="inlineStr">
        <is>
          <t>GOTLANDS LÄN</t>
        </is>
      </c>
      <c r="E259" t="inlineStr">
        <is>
          <t>GOTLAND</t>
        </is>
      </c>
      <c r="G259" t="n">
        <v>7.1</v>
      </c>
      <c r="H259" t="n">
        <v>0</v>
      </c>
      <c r="I259" t="n">
        <v>0</v>
      </c>
      <c r="J259" t="n">
        <v>0</v>
      </c>
      <c r="K259" t="n">
        <v>0</v>
      </c>
      <c r="L259" t="n">
        <v>0</v>
      </c>
      <c r="M259" t="n">
        <v>0</v>
      </c>
      <c r="N259" t="n">
        <v>0</v>
      </c>
      <c r="O259" t="n">
        <v>0</v>
      </c>
      <c r="P259" t="n">
        <v>0</v>
      </c>
      <c r="Q259" t="n">
        <v>0</v>
      </c>
      <c r="R259" s="2" t="inlineStr"/>
    </row>
    <row r="260" ht="15" customHeight="1">
      <c r="A260" t="inlineStr">
        <is>
          <t>A 15083-2025</t>
        </is>
      </c>
      <c r="B260" s="1" t="n">
        <v>45743</v>
      </c>
      <c r="C260" s="1" t="n">
        <v>45995</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32330-2024</t>
        </is>
      </c>
      <c r="B261" s="1" t="n">
        <v>45512</v>
      </c>
      <c r="C261" s="1" t="n">
        <v>45995</v>
      </c>
      <c r="D261" t="inlineStr">
        <is>
          <t>GOTLANDS LÄN</t>
        </is>
      </c>
      <c r="E261" t="inlineStr">
        <is>
          <t>GOTLAND</t>
        </is>
      </c>
      <c r="G261" t="n">
        <v>2.6</v>
      </c>
      <c r="H261" t="n">
        <v>0</v>
      </c>
      <c r="I261" t="n">
        <v>0</v>
      </c>
      <c r="J261" t="n">
        <v>0</v>
      </c>
      <c r="K261" t="n">
        <v>0</v>
      </c>
      <c r="L261" t="n">
        <v>0</v>
      </c>
      <c r="M261" t="n">
        <v>0</v>
      </c>
      <c r="N261" t="n">
        <v>0</v>
      </c>
      <c r="O261" t="n">
        <v>0</v>
      </c>
      <c r="P261" t="n">
        <v>0</v>
      </c>
      <c r="Q261" t="n">
        <v>0</v>
      </c>
      <c r="R261" s="2" t="inlineStr"/>
    </row>
    <row r="262" ht="15" customHeight="1">
      <c r="A262" t="inlineStr">
        <is>
          <t>A 2292-2021</t>
        </is>
      </c>
      <c r="B262" s="1" t="n">
        <v>44212</v>
      </c>
      <c r="C262" s="1" t="n">
        <v>45995</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9613-2025</t>
        </is>
      </c>
      <c r="B263" s="1" t="n">
        <v>45715</v>
      </c>
      <c r="C263" s="1" t="n">
        <v>45995</v>
      </c>
      <c r="D263" t="inlineStr">
        <is>
          <t>GOTLANDS LÄN</t>
        </is>
      </c>
      <c r="E263" t="inlineStr">
        <is>
          <t>GOTLAND</t>
        </is>
      </c>
      <c r="G263" t="n">
        <v>3.5</v>
      </c>
      <c r="H263" t="n">
        <v>0</v>
      </c>
      <c r="I263" t="n">
        <v>0</v>
      </c>
      <c r="J263" t="n">
        <v>0</v>
      </c>
      <c r="K263" t="n">
        <v>0</v>
      </c>
      <c r="L263" t="n">
        <v>0</v>
      </c>
      <c r="M263" t="n">
        <v>0</v>
      </c>
      <c r="N263" t="n">
        <v>0</v>
      </c>
      <c r="O263" t="n">
        <v>0</v>
      </c>
      <c r="P263" t="n">
        <v>0</v>
      </c>
      <c r="Q263" t="n">
        <v>0</v>
      </c>
      <c r="R263" s="2" t="inlineStr"/>
    </row>
    <row r="264" ht="15" customHeight="1">
      <c r="A264" t="inlineStr">
        <is>
          <t>A 15595-2024</t>
        </is>
      </c>
      <c r="B264" s="1" t="n">
        <v>45401.81480324074</v>
      </c>
      <c r="C264" s="1" t="n">
        <v>45995</v>
      </c>
      <c r="D264" t="inlineStr">
        <is>
          <t>GOTLANDS LÄN</t>
        </is>
      </c>
      <c r="E264" t="inlineStr">
        <is>
          <t>GOTLAND</t>
        </is>
      </c>
      <c r="G264" t="n">
        <v>6.4</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45995</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13037-2025</t>
        </is>
      </c>
      <c r="B266" s="1" t="n">
        <v>45734</v>
      </c>
      <c r="C266" s="1" t="n">
        <v>45995</v>
      </c>
      <c r="D266" t="inlineStr">
        <is>
          <t>GOTLANDS LÄN</t>
        </is>
      </c>
      <c r="E266" t="inlineStr">
        <is>
          <t>GOTLAND</t>
        </is>
      </c>
      <c r="G266" t="n">
        <v>9.5</v>
      </c>
      <c r="H266" t="n">
        <v>0</v>
      </c>
      <c r="I266" t="n">
        <v>0</v>
      </c>
      <c r="J266" t="n">
        <v>0</v>
      </c>
      <c r="K266" t="n">
        <v>0</v>
      </c>
      <c r="L266" t="n">
        <v>0</v>
      </c>
      <c r="M266" t="n">
        <v>0</v>
      </c>
      <c r="N266" t="n">
        <v>0</v>
      </c>
      <c r="O266" t="n">
        <v>0</v>
      </c>
      <c r="P266" t="n">
        <v>0</v>
      </c>
      <c r="Q266" t="n">
        <v>0</v>
      </c>
      <c r="R266" s="2" t="inlineStr"/>
    </row>
    <row r="267" ht="15" customHeight="1">
      <c r="A267" t="inlineStr">
        <is>
          <t>A 1446-2025</t>
        </is>
      </c>
      <c r="B267" s="1" t="n">
        <v>45669.86035879629</v>
      </c>
      <c r="C267" s="1" t="n">
        <v>45995</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31264-2021</t>
        </is>
      </c>
      <c r="B268" s="1" t="n">
        <v>44368</v>
      </c>
      <c r="C268" s="1" t="n">
        <v>45995</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43901-2023</t>
        </is>
      </c>
      <c r="B269" s="1" t="n">
        <v>45187</v>
      </c>
      <c r="C269" s="1" t="n">
        <v>45995</v>
      </c>
      <c r="D269" t="inlineStr">
        <is>
          <t>GOTLANDS LÄN</t>
        </is>
      </c>
      <c r="E269" t="inlineStr">
        <is>
          <t>GOTLAND</t>
        </is>
      </c>
      <c r="G269" t="n">
        <v>5.4</v>
      </c>
      <c r="H269" t="n">
        <v>0</v>
      </c>
      <c r="I269" t="n">
        <v>0</v>
      </c>
      <c r="J269" t="n">
        <v>0</v>
      </c>
      <c r="K269" t="n">
        <v>0</v>
      </c>
      <c r="L269" t="n">
        <v>0</v>
      </c>
      <c r="M269" t="n">
        <v>0</v>
      </c>
      <c r="N269" t="n">
        <v>0</v>
      </c>
      <c r="O269" t="n">
        <v>0</v>
      </c>
      <c r="P269" t="n">
        <v>0</v>
      </c>
      <c r="Q269" t="n">
        <v>0</v>
      </c>
      <c r="R269" s="2" t="inlineStr"/>
    </row>
    <row r="270" ht="15" customHeight="1">
      <c r="A270" t="inlineStr">
        <is>
          <t>A 458-2023</t>
        </is>
      </c>
      <c r="B270" s="1" t="n">
        <v>44929</v>
      </c>
      <c r="C270" s="1" t="n">
        <v>45995</v>
      </c>
      <c r="D270" t="inlineStr">
        <is>
          <t>GOTLANDS LÄN</t>
        </is>
      </c>
      <c r="E270" t="inlineStr">
        <is>
          <t>GOTLAND</t>
        </is>
      </c>
      <c r="G270" t="n">
        <v>3.6</v>
      </c>
      <c r="H270" t="n">
        <v>0</v>
      </c>
      <c r="I270" t="n">
        <v>0</v>
      </c>
      <c r="J270" t="n">
        <v>0</v>
      </c>
      <c r="K270" t="n">
        <v>0</v>
      </c>
      <c r="L270" t="n">
        <v>0</v>
      </c>
      <c r="M270" t="n">
        <v>0</v>
      </c>
      <c r="N270" t="n">
        <v>0</v>
      </c>
      <c r="O270" t="n">
        <v>0</v>
      </c>
      <c r="P270" t="n">
        <v>0</v>
      </c>
      <c r="Q270" t="n">
        <v>0</v>
      </c>
      <c r="R270" s="2" t="inlineStr"/>
    </row>
    <row r="271" ht="15" customHeight="1">
      <c r="A271" t="inlineStr">
        <is>
          <t>A 20356-2022</t>
        </is>
      </c>
      <c r="B271" s="1" t="n">
        <v>44699</v>
      </c>
      <c r="C271" s="1" t="n">
        <v>45995</v>
      </c>
      <c r="D271" t="inlineStr">
        <is>
          <t>GOTLANDS LÄN</t>
        </is>
      </c>
      <c r="E271" t="inlineStr">
        <is>
          <t>GOTLAND</t>
        </is>
      </c>
      <c r="F271" t="inlineStr">
        <is>
          <t>Övriga Aktiebolag</t>
        </is>
      </c>
      <c r="G271" t="n">
        <v>4.4</v>
      </c>
      <c r="H271" t="n">
        <v>0</v>
      </c>
      <c r="I271" t="n">
        <v>0</v>
      </c>
      <c r="J271" t="n">
        <v>0</v>
      </c>
      <c r="K271" t="n">
        <v>0</v>
      </c>
      <c r="L271" t="n">
        <v>0</v>
      </c>
      <c r="M271" t="n">
        <v>0</v>
      </c>
      <c r="N271" t="n">
        <v>0</v>
      </c>
      <c r="O271" t="n">
        <v>0</v>
      </c>
      <c r="P271" t="n">
        <v>0</v>
      </c>
      <c r="Q271" t="n">
        <v>0</v>
      </c>
      <c r="R271" s="2" t="inlineStr"/>
    </row>
    <row r="272" ht="15" customHeight="1">
      <c r="A272" t="inlineStr">
        <is>
          <t>A 10746-2025</t>
        </is>
      </c>
      <c r="B272" s="1" t="n">
        <v>45722.42766203704</v>
      </c>
      <c r="C272" s="1" t="n">
        <v>45995</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16501-2023</t>
        </is>
      </c>
      <c r="B273" s="1" t="n">
        <v>45029</v>
      </c>
      <c r="C273" s="1" t="n">
        <v>45995</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24966-2023</t>
        </is>
      </c>
      <c r="B274" s="1" t="n">
        <v>45085</v>
      </c>
      <c r="C274" s="1" t="n">
        <v>45995</v>
      </c>
      <c r="D274" t="inlineStr">
        <is>
          <t>GOTLANDS LÄN</t>
        </is>
      </c>
      <c r="E274" t="inlineStr">
        <is>
          <t>GOTLAND</t>
        </is>
      </c>
      <c r="G274" t="n">
        <v>7</v>
      </c>
      <c r="H274" t="n">
        <v>0</v>
      </c>
      <c r="I274" t="n">
        <v>0</v>
      </c>
      <c r="J274" t="n">
        <v>0</v>
      </c>
      <c r="K274" t="n">
        <v>0</v>
      </c>
      <c r="L274" t="n">
        <v>0</v>
      </c>
      <c r="M274" t="n">
        <v>0</v>
      </c>
      <c r="N274" t="n">
        <v>0</v>
      </c>
      <c r="O274" t="n">
        <v>0</v>
      </c>
      <c r="P274" t="n">
        <v>0</v>
      </c>
      <c r="Q274" t="n">
        <v>0</v>
      </c>
      <c r="R274" s="2" t="inlineStr"/>
    </row>
    <row r="275" ht="15" customHeight="1">
      <c r="A275" t="inlineStr">
        <is>
          <t>A 46189-2022</t>
        </is>
      </c>
      <c r="B275" s="1" t="n">
        <v>44847</v>
      </c>
      <c r="C275" s="1" t="n">
        <v>45995</v>
      </c>
      <c r="D275" t="inlineStr">
        <is>
          <t>GOTLANDS LÄN</t>
        </is>
      </c>
      <c r="E275" t="inlineStr">
        <is>
          <t>GOTLAND</t>
        </is>
      </c>
      <c r="G275" t="n">
        <v>0.4</v>
      </c>
      <c r="H275" t="n">
        <v>0</v>
      </c>
      <c r="I275" t="n">
        <v>0</v>
      </c>
      <c r="J275" t="n">
        <v>0</v>
      </c>
      <c r="K275" t="n">
        <v>0</v>
      </c>
      <c r="L275" t="n">
        <v>0</v>
      </c>
      <c r="M275" t="n">
        <v>0</v>
      </c>
      <c r="N275" t="n">
        <v>0</v>
      </c>
      <c r="O275" t="n">
        <v>0</v>
      </c>
      <c r="P275" t="n">
        <v>0</v>
      </c>
      <c r="Q275" t="n">
        <v>0</v>
      </c>
      <c r="R275" s="2" t="inlineStr"/>
    </row>
    <row r="276" ht="15" customHeight="1">
      <c r="A276" t="inlineStr">
        <is>
          <t>A 27930-2021</t>
        </is>
      </c>
      <c r="B276" s="1" t="n">
        <v>44354</v>
      </c>
      <c r="C276" s="1" t="n">
        <v>45995</v>
      </c>
      <c r="D276" t="inlineStr">
        <is>
          <t>GOTLANDS LÄN</t>
        </is>
      </c>
      <c r="E276" t="inlineStr">
        <is>
          <t>GOTLAND</t>
        </is>
      </c>
      <c r="G276" t="n">
        <v>2.5</v>
      </c>
      <c r="H276" t="n">
        <v>0</v>
      </c>
      <c r="I276" t="n">
        <v>0</v>
      </c>
      <c r="J276" t="n">
        <v>0</v>
      </c>
      <c r="K276" t="n">
        <v>0</v>
      </c>
      <c r="L276" t="n">
        <v>0</v>
      </c>
      <c r="M276" t="n">
        <v>0</v>
      </c>
      <c r="N276" t="n">
        <v>0</v>
      </c>
      <c r="O276" t="n">
        <v>0</v>
      </c>
      <c r="P276" t="n">
        <v>0</v>
      </c>
      <c r="Q276" t="n">
        <v>0</v>
      </c>
      <c r="R276" s="2" t="inlineStr"/>
    </row>
    <row r="277" ht="15" customHeight="1">
      <c r="A277" t="inlineStr">
        <is>
          <t>A 61962-2024</t>
        </is>
      </c>
      <c r="B277" s="1" t="n">
        <v>45653.54340277778</v>
      </c>
      <c r="C277" s="1" t="n">
        <v>45995</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10492-2023</t>
        </is>
      </c>
      <c r="B278" s="1" t="n">
        <v>44987</v>
      </c>
      <c r="C278" s="1" t="n">
        <v>45995</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22031-2024</t>
        </is>
      </c>
      <c r="B279" s="1" t="n">
        <v>45443.60075231481</v>
      </c>
      <c r="C279" s="1" t="n">
        <v>45995</v>
      </c>
      <c r="D279" t="inlineStr">
        <is>
          <t>GOTLANDS LÄN</t>
        </is>
      </c>
      <c r="E279" t="inlineStr">
        <is>
          <t>GOTLAND</t>
        </is>
      </c>
      <c r="G279" t="n">
        <v>2.3</v>
      </c>
      <c r="H279" t="n">
        <v>0</v>
      </c>
      <c r="I279" t="n">
        <v>0</v>
      </c>
      <c r="J279" t="n">
        <v>0</v>
      </c>
      <c r="K279" t="n">
        <v>0</v>
      </c>
      <c r="L279" t="n">
        <v>0</v>
      </c>
      <c r="M279" t="n">
        <v>0</v>
      </c>
      <c r="N279" t="n">
        <v>0</v>
      </c>
      <c r="O279" t="n">
        <v>0</v>
      </c>
      <c r="P279" t="n">
        <v>0</v>
      </c>
      <c r="Q279" t="n">
        <v>0</v>
      </c>
      <c r="R279" s="2" t="inlineStr"/>
    </row>
    <row r="280" ht="15" customHeight="1">
      <c r="A280" t="inlineStr">
        <is>
          <t>A 49314-2024</t>
        </is>
      </c>
      <c r="B280" s="1" t="n">
        <v>45595.55893518519</v>
      </c>
      <c r="C280" s="1" t="n">
        <v>45995</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44228-2022</t>
        </is>
      </c>
      <c r="B281" s="1" t="n">
        <v>44839.51599537037</v>
      </c>
      <c r="C281" s="1" t="n">
        <v>45995</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5909-2025</t>
        </is>
      </c>
      <c r="B282" s="1" t="n">
        <v>45695.40634259259</v>
      </c>
      <c r="C282" s="1" t="n">
        <v>45995</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10653-2023</t>
        </is>
      </c>
      <c r="B283" s="1" t="n">
        <v>44988.48859953704</v>
      </c>
      <c r="C283" s="1" t="n">
        <v>45995</v>
      </c>
      <c r="D283" t="inlineStr">
        <is>
          <t>GOTLANDS LÄN</t>
        </is>
      </c>
      <c r="E283" t="inlineStr">
        <is>
          <t>GOTLAND</t>
        </is>
      </c>
      <c r="F283" t="inlineStr">
        <is>
          <t>Kyrkan</t>
        </is>
      </c>
      <c r="G283" t="n">
        <v>3</v>
      </c>
      <c r="H283" t="n">
        <v>0</v>
      </c>
      <c r="I283" t="n">
        <v>0</v>
      </c>
      <c r="J283" t="n">
        <v>0</v>
      </c>
      <c r="K283" t="n">
        <v>0</v>
      </c>
      <c r="L283" t="n">
        <v>0</v>
      </c>
      <c r="M283" t="n">
        <v>0</v>
      </c>
      <c r="N283" t="n">
        <v>0</v>
      </c>
      <c r="O283" t="n">
        <v>0</v>
      </c>
      <c r="P283" t="n">
        <v>0</v>
      </c>
      <c r="Q283" t="n">
        <v>0</v>
      </c>
      <c r="R283" s="2" t="inlineStr"/>
    </row>
    <row r="284" ht="15" customHeight="1">
      <c r="A284" t="inlineStr">
        <is>
          <t>A 18993-2025</t>
        </is>
      </c>
      <c r="B284" s="1" t="n">
        <v>45764</v>
      </c>
      <c r="C284" s="1" t="n">
        <v>45995</v>
      </c>
      <c r="D284" t="inlineStr">
        <is>
          <t>GOTLANDS LÄN</t>
        </is>
      </c>
      <c r="E284" t="inlineStr">
        <is>
          <t>GOTLAND</t>
        </is>
      </c>
      <c r="G284" t="n">
        <v>3</v>
      </c>
      <c r="H284" t="n">
        <v>0</v>
      </c>
      <c r="I284" t="n">
        <v>0</v>
      </c>
      <c r="J284" t="n">
        <v>0</v>
      </c>
      <c r="K284" t="n">
        <v>0</v>
      </c>
      <c r="L284" t="n">
        <v>0</v>
      </c>
      <c r="M284" t="n">
        <v>0</v>
      </c>
      <c r="N284" t="n">
        <v>0</v>
      </c>
      <c r="O284" t="n">
        <v>0</v>
      </c>
      <c r="P284" t="n">
        <v>0</v>
      </c>
      <c r="Q284" t="n">
        <v>0</v>
      </c>
      <c r="R284" s="2" t="inlineStr"/>
    </row>
    <row r="285" ht="15" customHeight="1">
      <c r="A285" t="inlineStr">
        <is>
          <t>A 44919-2022</t>
        </is>
      </c>
      <c r="B285" s="1" t="n">
        <v>44841</v>
      </c>
      <c r="C285" s="1" t="n">
        <v>45995</v>
      </c>
      <c r="D285" t="inlineStr">
        <is>
          <t>GOTLANDS LÄN</t>
        </is>
      </c>
      <c r="E285" t="inlineStr">
        <is>
          <t>GOTLAND</t>
        </is>
      </c>
      <c r="G285" t="n">
        <v>2.2</v>
      </c>
      <c r="H285" t="n">
        <v>0</v>
      </c>
      <c r="I285" t="n">
        <v>0</v>
      </c>
      <c r="J285" t="n">
        <v>0</v>
      </c>
      <c r="K285" t="n">
        <v>0</v>
      </c>
      <c r="L285" t="n">
        <v>0</v>
      </c>
      <c r="M285" t="n">
        <v>0</v>
      </c>
      <c r="N285" t="n">
        <v>0</v>
      </c>
      <c r="O285" t="n">
        <v>0</v>
      </c>
      <c r="P285" t="n">
        <v>0</v>
      </c>
      <c r="Q285" t="n">
        <v>0</v>
      </c>
      <c r="R285" s="2" t="inlineStr"/>
    </row>
    <row r="286" ht="15" customHeight="1">
      <c r="A286" t="inlineStr">
        <is>
          <t>A 58132-2023</t>
        </is>
      </c>
      <c r="B286" s="1" t="n">
        <v>45250</v>
      </c>
      <c r="C286" s="1" t="n">
        <v>45995</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4990-2025</t>
        </is>
      </c>
      <c r="B287" s="1" t="n">
        <v>45691</v>
      </c>
      <c r="C287" s="1" t="n">
        <v>45995</v>
      </c>
      <c r="D287" t="inlineStr">
        <is>
          <t>GOTLANDS LÄN</t>
        </is>
      </c>
      <c r="E287" t="inlineStr">
        <is>
          <t>GOTLAND</t>
        </is>
      </c>
      <c r="G287" t="n">
        <v>7.7</v>
      </c>
      <c r="H287" t="n">
        <v>0</v>
      </c>
      <c r="I287" t="n">
        <v>0</v>
      </c>
      <c r="J287" t="n">
        <v>0</v>
      </c>
      <c r="K287" t="n">
        <v>0</v>
      </c>
      <c r="L287" t="n">
        <v>0</v>
      </c>
      <c r="M287" t="n">
        <v>0</v>
      </c>
      <c r="N287" t="n">
        <v>0</v>
      </c>
      <c r="O287" t="n">
        <v>0</v>
      </c>
      <c r="P287" t="n">
        <v>0</v>
      </c>
      <c r="Q287" t="n">
        <v>0</v>
      </c>
      <c r="R287" s="2" t="inlineStr"/>
    </row>
    <row r="288" ht="15" customHeight="1">
      <c r="A288" t="inlineStr">
        <is>
          <t>A 30135-2025</t>
        </is>
      </c>
      <c r="B288" s="1" t="n">
        <v>45826</v>
      </c>
      <c r="C288" s="1" t="n">
        <v>45995</v>
      </c>
      <c r="D288" t="inlineStr">
        <is>
          <t>GOTLANDS LÄN</t>
        </is>
      </c>
      <c r="E288" t="inlineStr">
        <is>
          <t>GOTLAND</t>
        </is>
      </c>
      <c r="G288" t="n">
        <v>2.7</v>
      </c>
      <c r="H288" t="n">
        <v>0</v>
      </c>
      <c r="I288" t="n">
        <v>0</v>
      </c>
      <c r="J288" t="n">
        <v>0</v>
      </c>
      <c r="K288" t="n">
        <v>0</v>
      </c>
      <c r="L288" t="n">
        <v>0</v>
      </c>
      <c r="M288" t="n">
        <v>0</v>
      </c>
      <c r="N288" t="n">
        <v>0</v>
      </c>
      <c r="O288" t="n">
        <v>0</v>
      </c>
      <c r="P288" t="n">
        <v>0</v>
      </c>
      <c r="Q288" t="n">
        <v>0</v>
      </c>
      <c r="R288" s="2" t="inlineStr"/>
    </row>
    <row r="289" ht="15" customHeight="1">
      <c r="A289" t="inlineStr">
        <is>
          <t>A 12599-2025</t>
        </is>
      </c>
      <c r="B289" s="1" t="n">
        <v>45733.29546296296</v>
      </c>
      <c r="C289" s="1" t="n">
        <v>45995</v>
      </c>
      <c r="D289" t="inlineStr">
        <is>
          <t>GOTLANDS LÄN</t>
        </is>
      </c>
      <c r="E289" t="inlineStr">
        <is>
          <t>GOTLAND</t>
        </is>
      </c>
      <c r="G289" t="n">
        <v>4.7</v>
      </c>
      <c r="H289" t="n">
        <v>0</v>
      </c>
      <c r="I289" t="n">
        <v>0</v>
      </c>
      <c r="J289" t="n">
        <v>0</v>
      </c>
      <c r="K289" t="n">
        <v>0</v>
      </c>
      <c r="L289" t="n">
        <v>0</v>
      </c>
      <c r="M289" t="n">
        <v>0</v>
      </c>
      <c r="N289" t="n">
        <v>0</v>
      </c>
      <c r="O289" t="n">
        <v>0</v>
      </c>
      <c r="P289" t="n">
        <v>0</v>
      </c>
      <c r="Q289" t="n">
        <v>0</v>
      </c>
      <c r="R289" s="2" t="inlineStr"/>
    </row>
    <row r="290" ht="15" customHeight="1">
      <c r="A290" t="inlineStr">
        <is>
          <t>A 35141-2025</t>
        </is>
      </c>
      <c r="B290" s="1" t="n">
        <v>45852.65206018519</v>
      </c>
      <c r="C290" s="1" t="n">
        <v>45995</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35142-2025</t>
        </is>
      </c>
      <c r="B291" s="1" t="n">
        <v>45852.65532407408</v>
      </c>
      <c r="C291" s="1" t="n">
        <v>45995</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48503-2023</t>
        </is>
      </c>
      <c r="B292" s="1" t="n">
        <v>45207</v>
      </c>
      <c r="C292" s="1" t="n">
        <v>45995</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65901-2021</t>
        </is>
      </c>
      <c r="B293" s="1" t="n">
        <v>44516</v>
      </c>
      <c r="C293" s="1" t="n">
        <v>45995</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43081-2022</t>
        </is>
      </c>
      <c r="B294" s="1" t="n">
        <v>44833</v>
      </c>
      <c r="C294" s="1" t="n">
        <v>45995</v>
      </c>
      <c r="D294" t="inlineStr">
        <is>
          <t>GOTLANDS LÄN</t>
        </is>
      </c>
      <c r="E294" t="inlineStr">
        <is>
          <t>GOTLAND</t>
        </is>
      </c>
      <c r="G294" t="n">
        <v>6.8</v>
      </c>
      <c r="H294" t="n">
        <v>0</v>
      </c>
      <c r="I294" t="n">
        <v>0</v>
      </c>
      <c r="J294" t="n">
        <v>0</v>
      </c>
      <c r="K294" t="n">
        <v>0</v>
      </c>
      <c r="L294" t="n">
        <v>0</v>
      </c>
      <c r="M294" t="n">
        <v>0</v>
      </c>
      <c r="N294" t="n">
        <v>0</v>
      </c>
      <c r="O294" t="n">
        <v>0</v>
      </c>
      <c r="P294" t="n">
        <v>0</v>
      </c>
      <c r="Q294" t="n">
        <v>0</v>
      </c>
      <c r="R294" s="2" t="inlineStr"/>
    </row>
    <row r="295" ht="15" customHeight="1">
      <c r="A295" t="inlineStr">
        <is>
          <t>A 32958-2021</t>
        </is>
      </c>
      <c r="B295" s="1" t="n">
        <v>44376</v>
      </c>
      <c r="C295" s="1" t="n">
        <v>45995</v>
      </c>
      <c r="D295" t="inlineStr">
        <is>
          <t>GOTLANDS LÄN</t>
        </is>
      </c>
      <c r="E295" t="inlineStr">
        <is>
          <t>GOTLAND</t>
        </is>
      </c>
      <c r="G295" t="n">
        <v>2.2</v>
      </c>
      <c r="H295" t="n">
        <v>0</v>
      </c>
      <c r="I295" t="n">
        <v>0</v>
      </c>
      <c r="J295" t="n">
        <v>0</v>
      </c>
      <c r="K295" t="n">
        <v>0</v>
      </c>
      <c r="L295" t="n">
        <v>0</v>
      </c>
      <c r="M295" t="n">
        <v>0</v>
      </c>
      <c r="N295" t="n">
        <v>0</v>
      </c>
      <c r="O295" t="n">
        <v>0</v>
      </c>
      <c r="P295" t="n">
        <v>0</v>
      </c>
      <c r="Q295" t="n">
        <v>0</v>
      </c>
      <c r="R295" s="2" t="inlineStr"/>
    </row>
    <row r="296" ht="15" customHeight="1">
      <c r="A296" t="inlineStr">
        <is>
          <t>A 44649-2021</t>
        </is>
      </c>
      <c r="B296" s="1" t="n">
        <v>44437</v>
      </c>
      <c r="C296" s="1" t="n">
        <v>45995</v>
      </c>
      <c r="D296" t="inlineStr">
        <is>
          <t>GOTLANDS LÄN</t>
        </is>
      </c>
      <c r="E296" t="inlineStr">
        <is>
          <t>GOTLAND</t>
        </is>
      </c>
      <c r="G296" t="n">
        <v>8.1</v>
      </c>
      <c r="H296" t="n">
        <v>0</v>
      </c>
      <c r="I296" t="n">
        <v>0</v>
      </c>
      <c r="J296" t="n">
        <v>0</v>
      </c>
      <c r="K296" t="n">
        <v>0</v>
      </c>
      <c r="L296" t="n">
        <v>0</v>
      </c>
      <c r="M296" t="n">
        <v>0</v>
      </c>
      <c r="N296" t="n">
        <v>0</v>
      </c>
      <c r="O296" t="n">
        <v>0</v>
      </c>
      <c r="P296" t="n">
        <v>0</v>
      </c>
      <c r="Q296" t="n">
        <v>0</v>
      </c>
      <c r="R296" s="2" t="inlineStr"/>
    </row>
    <row r="297" ht="15" customHeight="1">
      <c r="A297" t="inlineStr">
        <is>
          <t>A 5884-2025</t>
        </is>
      </c>
      <c r="B297" s="1" t="n">
        <v>45695.37482638889</v>
      </c>
      <c r="C297" s="1" t="n">
        <v>45995</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5897-2025</t>
        </is>
      </c>
      <c r="B298" s="1" t="n">
        <v>45695.39273148148</v>
      </c>
      <c r="C298" s="1" t="n">
        <v>45995</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9947-2024</t>
        </is>
      </c>
      <c r="B299" s="1" t="n">
        <v>45363</v>
      </c>
      <c r="C299" s="1" t="n">
        <v>45995</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39819-2025</t>
        </is>
      </c>
      <c r="B300" s="1" t="n">
        <v>45891.53418981482</v>
      </c>
      <c r="C300" s="1" t="n">
        <v>45995</v>
      </c>
      <c r="D300" t="inlineStr">
        <is>
          <t>GOTLANDS LÄN</t>
        </is>
      </c>
      <c r="E300" t="inlineStr">
        <is>
          <t>GOTLAND</t>
        </is>
      </c>
      <c r="G300" t="n">
        <v>3.1</v>
      </c>
      <c r="H300" t="n">
        <v>0</v>
      </c>
      <c r="I300" t="n">
        <v>0</v>
      </c>
      <c r="J300" t="n">
        <v>0</v>
      </c>
      <c r="K300" t="n">
        <v>0</v>
      </c>
      <c r="L300" t="n">
        <v>0</v>
      </c>
      <c r="M300" t="n">
        <v>0</v>
      </c>
      <c r="N300" t="n">
        <v>0</v>
      </c>
      <c r="O300" t="n">
        <v>0</v>
      </c>
      <c r="P300" t="n">
        <v>0</v>
      </c>
      <c r="Q300" t="n">
        <v>0</v>
      </c>
      <c r="R300" s="2" t="inlineStr"/>
    </row>
    <row r="301" ht="15" customHeight="1">
      <c r="A301" t="inlineStr">
        <is>
          <t>A 49693-2023</t>
        </is>
      </c>
      <c r="B301" s="1" t="n">
        <v>45212.38138888889</v>
      </c>
      <c r="C301" s="1" t="n">
        <v>45995</v>
      </c>
      <c r="D301" t="inlineStr">
        <is>
          <t>GOTLANDS LÄN</t>
        </is>
      </c>
      <c r="E301" t="inlineStr">
        <is>
          <t>GOTLAND</t>
        </is>
      </c>
      <c r="G301" t="n">
        <v>2.4</v>
      </c>
      <c r="H301" t="n">
        <v>0</v>
      </c>
      <c r="I301" t="n">
        <v>0</v>
      </c>
      <c r="J301" t="n">
        <v>0</v>
      </c>
      <c r="K301" t="n">
        <v>0</v>
      </c>
      <c r="L301" t="n">
        <v>0</v>
      </c>
      <c r="M301" t="n">
        <v>0</v>
      </c>
      <c r="N301" t="n">
        <v>0</v>
      </c>
      <c r="O301" t="n">
        <v>0</v>
      </c>
      <c r="P301" t="n">
        <v>0</v>
      </c>
      <c r="Q301" t="n">
        <v>0</v>
      </c>
      <c r="R301" s="2" t="inlineStr"/>
    </row>
    <row r="302" ht="15" customHeight="1">
      <c r="A302" t="inlineStr">
        <is>
          <t>A 49697-2023</t>
        </is>
      </c>
      <c r="B302" s="1" t="n">
        <v>45212.38909722222</v>
      </c>
      <c r="C302" s="1" t="n">
        <v>45995</v>
      </c>
      <c r="D302" t="inlineStr">
        <is>
          <t>GOTLANDS LÄN</t>
        </is>
      </c>
      <c r="E302" t="inlineStr">
        <is>
          <t>GOTLAND</t>
        </is>
      </c>
      <c r="G302" t="n">
        <v>4.4</v>
      </c>
      <c r="H302" t="n">
        <v>0</v>
      </c>
      <c r="I302" t="n">
        <v>0</v>
      </c>
      <c r="J302" t="n">
        <v>0</v>
      </c>
      <c r="K302" t="n">
        <v>0</v>
      </c>
      <c r="L302" t="n">
        <v>0</v>
      </c>
      <c r="M302" t="n">
        <v>0</v>
      </c>
      <c r="N302" t="n">
        <v>0</v>
      </c>
      <c r="O302" t="n">
        <v>0</v>
      </c>
      <c r="P302" t="n">
        <v>0</v>
      </c>
      <c r="Q302" t="n">
        <v>0</v>
      </c>
      <c r="R302" s="2" t="inlineStr"/>
    </row>
    <row r="303" ht="15" customHeight="1">
      <c r="A303" t="inlineStr">
        <is>
          <t>A 39814-2025</t>
        </is>
      </c>
      <c r="B303" s="1" t="n">
        <v>45891.52694444444</v>
      </c>
      <c r="C303" s="1" t="n">
        <v>45995</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39849-2025</t>
        </is>
      </c>
      <c r="B304" s="1" t="n">
        <v>45891.58502314815</v>
      </c>
      <c r="C304" s="1" t="n">
        <v>45995</v>
      </c>
      <c r="D304" t="inlineStr">
        <is>
          <t>GOTLANDS LÄN</t>
        </is>
      </c>
      <c r="E304" t="inlineStr">
        <is>
          <t>GOTLAND</t>
        </is>
      </c>
      <c r="G304" t="n">
        <v>6.1</v>
      </c>
      <c r="H304" t="n">
        <v>0</v>
      </c>
      <c r="I304" t="n">
        <v>0</v>
      </c>
      <c r="J304" t="n">
        <v>0</v>
      </c>
      <c r="K304" t="n">
        <v>0</v>
      </c>
      <c r="L304" t="n">
        <v>0</v>
      </c>
      <c r="M304" t="n">
        <v>0</v>
      </c>
      <c r="N304" t="n">
        <v>0</v>
      </c>
      <c r="O304" t="n">
        <v>0</v>
      </c>
      <c r="P304" t="n">
        <v>0</v>
      </c>
      <c r="Q304" t="n">
        <v>0</v>
      </c>
      <c r="R304" s="2" t="inlineStr"/>
    </row>
    <row r="305" ht="15" customHeight="1">
      <c r="A305" t="inlineStr">
        <is>
          <t>A 17682-2024</t>
        </is>
      </c>
      <c r="B305" s="1" t="n">
        <v>45418.42966435185</v>
      </c>
      <c r="C305" s="1" t="n">
        <v>45995</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49884-2023</t>
        </is>
      </c>
      <c r="B306" s="1" t="n">
        <v>45213</v>
      </c>
      <c r="C306" s="1" t="n">
        <v>45995</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57522-2022</t>
        </is>
      </c>
      <c r="B307" s="1" t="n">
        <v>44896</v>
      </c>
      <c r="C307" s="1" t="n">
        <v>45995</v>
      </c>
      <c r="D307" t="inlineStr">
        <is>
          <t>GOTLANDS LÄN</t>
        </is>
      </c>
      <c r="E307" t="inlineStr">
        <is>
          <t>GOTLAND</t>
        </is>
      </c>
      <c r="G307" t="n">
        <v>2</v>
      </c>
      <c r="H307" t="n">
        <v>0</v>
      </c>
      <c r="I307" t="n">
        <v>0</v>
      </c>
      <c r="J307" t="n">
        <v>0</v>
      </c>
      <c r="K307" t="n">
        <v>0</v>
      </c>
      <c r="L307" t="n">
        <v>0</v>
      </c>
      <c r="M307" t="n">
        <v>0</v>
      </c>
      <c r="N307" t="n">
        <v>0</v>
      </c>
      <c r="O307" t="n">
        <v>0</v>
      </c>
      <c r="P307" t="n">
        <v>0</v>
      </c>
      <c r="Q307" t="n">
        <v>0</v>
      </c>
      <c r="R307" s="2" t="inlineStr"/>
    </row>
    <row r="308" ht="15" customHeight="1">
      <c r="A308" t="inlineStr">
        <is>
          <t>A 39752-2025</t>
        </is>
      </c>
      <c r="B308" s="1" t="n">
        <v>45891</v>
      </c>
      <c r="C308" s="1" t="n">
        <v>45995</v>
      </c>
      <c r="D308" t="inlineStr">
        <is>
          <t>GOTLANDS LÄN</t>
        </is>
      </c>
      <c r="E308" t="inlineStr">
        <is>
          <t>GOTLAND</t>
        </is>
      </c>
      <c r="G308" t="n">
        <v>5.3</v>
      </c>
      <c r="H308" t="n">
        <v>0</v>
      </c>
      <c r="I308" t="n">
        <v>0</v>
      </c>
      <c r="J308" t="n">
        <v>0</v>
      </c>
      <c r="K308" t="n">
        <v>0</v>
      </c>
      <c r="L308" t="n">
        <v>0</v>
      </c>
      <c r="M308" t="n">
        <v>0</v>
      </c>
      <c r="N308" t="n">
        <v>0</v>
      </c>
      <c r="O308" t="n">
        <v>0</v>
      </c>
      <c r="P308" t="n">
        <v>0</v>
      </c>
      <c r="Q308" t="n">
        <v>0</v>
      </c>
      <c r="R308" s="2" t="inlineStr"/>
    </row>
    <row r="309" ht="15" customHeight="1">
      <c r="A309" t="inlineStr">
        <is>
          <t>A 17901-2023</t>
        </is>
      </c>
      <c r="B309" s="1" t="n">
        <v>45039</v>
      </c>
      <c r="C309" s="1" t="n">
        <v>45995</v>
      </c>
      <c r="D309" t="inlineStr">
        <is>
          <t>GOTLANDS LÄN</t>
        </is>
      </c>
      <c r="E309" t="inlineStr">
        <is>
          <t>GOTLAND</t>
        </is>
      </c>
      <c r="F309" t="inlineStr">
        <is>
          <t>Kyrkan</t>
        </is>
      </c>
      <c r="G309" t="n">
        <v>0.6</v>
      </c>
      <c r="H309" t="n">
        <v>0</v>
      </c>
      <c r="I309" t="n">
        <v>0</v>
      </c>
      <c r="J309" t="n">
        <v>0</v>
      </c>
      <c r="K309" t="n">
        <v>0</v>
      </c>
      <c r="L309" t="n">
        <v>0</v>
      </c>
      <c r="M309" t="n">
        <v>0</v>
      </c>
      <c r="N309" t="n">
        <v>0</v>
      </c>
      <c r="O309" t="n">
        <v>0</v>
      </c>
      <c r="P309" t="n">
        <v>0</v>
      </c>
      <c r="Q309" t="n">
        <v>0</v>
      </c>
      <c r="R309" s="2" t="inlineStr"/>
    </row>
    <row r="310" ht="15" customHeight="1">
      <c r="A310" t="inlineStr">
        <is>
          <t>A 876-2024</t>
        </is>
      </c>
      <c r="B310" s="1" t="n">
        <v>45301</v>
      </c>
      <c r="C310" s="1" t="n">
        <v>45995</v>
      </c>
      <c r="D310" t="inlineStr">
        <is>
          <t>GOTLANDS LÄN</t>
        </is>
      </c>
      <c r="E310" t="inlineStr">
        <is>
          <t>GOTLAND</t>
        </is>
      </c>
      <c r="G310" t="n">
        <v>5.3</v>
      </c>
      <c r="H310" t="n">
        <v>0</v>
      </c>
      <c r="I310" t="n">
        <v>0</v>
      </c>
      <c r="J310" t="n">
        <v>0</v>
      </c>
      <c r="K310" t="n">
        <v>0</v>
      </c>
      <c r="L310" t="n">
        <v>0</v>
      </c>
      <c r="M310" t="n">
        <v>0</v>
      </c>
      <c r="N310" t="n">
        <v>0</v>
      </c>
      <c r="O310" t="n">
        <v>0</v>
      </c>
      <c r="P310" t="n">
        <v>0</v>
      </c>
      <c r="Q310" t="n">
        <v>0</v>
      </c>
      <c r="R310" s="2" t="inlineStr"/>
    </row>
    <row r="311" ht="15" customHeight="1">
      <c r="A311" t="inlineStr">
        <is>
          <t>A 38649-2025</t>
        </is>
      </c>
      <c r="B311" s="1" t="n">
        <v>45884</v>
      </c>
      <c r="C311" s="1" t="n">
        <v>45995</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39816-2025</t>
        </is>
      </c>
      <c r="B312" s="1" t="n">
        <v>45891</v>
      </c>
      <c r="C312" s="1" t="n">
        <v>45995</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40103-2025</t>
        </is>
      </c>
      <c r="B313" s="1" t="n">
        <v>45894.4880324074</v>
      </c>
      <c r="C313" s="1" t="n">
        <v>45995</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40373-2025</t>
        </is>
      </c>
      <c r="B314" s="1" t="n">
        <v>45895.51821759259</v>
      </c>
      <c r="C314" s="1" t="n">
        <v>45995</v>
      </c>
      <c r="D314" t="inlineStr">
        <is>
          <t>GOTLANDS LÄN</t>
        </is>
      </c>
      <c r="E314" t="inlineStr">
        <is>
          <t>GOTLAND</t>
        </is>
      </c>
      <c r="G314" t="n">
        <v>0.6</v>
      </c>
      <c r="H314" t="n">
        <v>0</v>
      </c>
      <c r="I314" t="n">
        <v>0</v>
      </c>
      <c r="J314" t="n">
        <v>0</v>
      </c>
      <c r="K314" t="n">
        <v>0</v>
      </c>
      <c r="L314" t="n">
        <v>0</v>
      </c>
      <c r="M314" t="n">
        <v>0</v>
      </c>
      <c r="N314" t="n">
        <v>0</v>
      </c>
      <c r="O314" t="n">
        <v>0</v>
      </c>
      <c r="P314" t="n">
        <v>0</v>
      </c>
      <c r="Q314" t="n">
        <v>0</v>
      </c>
      <c r="R314" s="2" t="inlineStr"/>
    </row>
    <row r="315" ht="15" customHeight="1">
      <c r="A315" t="inlineStr">
        <is>
          <t>A 27593-2023</t>
        </is>
      </c>
      <c r="B315" s="1" t="n">
        <v>45097</v>
      </c>
      <c r="C315" s="1" t="n">
        <v>45995</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40499-2025</t>
        </is>
      </c>
      <c r="B316" s="1" t="n">
        <v>45896.32517361111</v>
      </c>
      <c r="C316" s="1" t="n">
        <v>45995</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40372-2025</t>
        </is>
      </c>
      <c r="B317" s="1" t="n">
        <v>45895.5162037037</v>
      </c>
      <c r="C317" s="1" t="n">
        <v>45995</v>
      </c>
      <c r="D317" t="inlineStr">
        <is>
          <t>GOTLANDS LÄN</t>
        </is>
      </c>
      <c r="E317" t="inlineStr">
        <is>
          <t>GOTLAND</t>
        </is>
      </c>
      <c r="G317" t="n">
        <v>3.3</v>
      </c>
      <c r="H317" t="n">
        <v>0</v>
      </c>
      <c r="I317" t="n">
        <v>0</v>
      </c>
      <c r="J317" t="n">
        <v>0</v>
      </c>
      <c r="K317" t="n">
        <v>0</v>
      </c>
      <c r="L317" t="n">
        <v>0</v>
      </c>
      <c r="M317" t="n">
        <v>0</v>
      </c>
      <c r="N317" t="n">
        <v>0</v>
      </c>
      <c r="O317" t="n">
        <v>0</v>
      </c>
      <c r="P317" t="n">
        <v>0</v>
      </c>
      <c r="Q317" t="n">
        <v>0</v>
      </c>
      <c r="R317" s="2" t="inlineStr"/>
    </row>
    <row r="318" ht="15" customHeight="1">
      <c r="A318" t="inlineStr">
        <is>
          <t>A 22704-2023</t>
        </is>
      </c>
      <c r="B318" s="1" t="n">
        <v>45071</v>
      </c>
      <c r="C318" s="1" t="n">
        <v>45995</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28425-2023</t>
        </is>
      </c>
      <c r="B319" s="1" t="n">
        <v>45102</v>
      </c>
      <c r="C319" s="1" t="n">
        <v>45995</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58476-2022</t>
        </is>
      </c>
      <c r="B320" s="1" t="n">
        <v>44902</v>
      </c>
      <c r="C320" s="1" t="n">
        <v>45995</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52892-2021</t>
        </is>
      </c>
      <c r="B321" s="1" t="n">
        <v>44467.49048611111</v>
      </c>
      <c r="C321" s="1" t="n">
        <v>45995</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43200-2023</t>
        </is>
      </c>
      <c r="B322" s="1" t="n">
        <v>45183</v>
      </c>
      <c r="C322" s="1" t="n">
        <v>45995</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43223-2023</t>
        </is>
      </c>
      <c r="B323" s="1" t="n">
        <v>45183.45642361111</v>
      </c>
      <c r="C323" s="1" t="n">
        <v>45995</v>
      </c>
      <c r="D323" t="inlineStr">
        <is>
          <t>GOTLANDS LÄN</t>
        </is>
      </c>
      <c r="E323" t="inlineStr">
        <is>
          <t>GOTLAND</t>
        </is>
      </c>
      <c r="G323" t="n">
        <v>1.8</v>
      </c>
      <c r="H323" t="n">
        <v>0</v>
      </c>
      <c r="I323" t="n">
        <v>0</v>
      </c>
      <c r="J323" t="n">
        <v>0</v>
      </c>
      <c r="K323" t="n">
        <v>0</v>
      </c>
      <c r="L323" t="n">
        <v>0</v>
      </c>
      <c r="M323" t="n">
        <v>0</v>
      </c>
      <c r="N323" t="n">
        <v>0</v>
      </c>
      <c r="O323" t="n">
        <v>0</v>
      </c>
      <c r="P323" t="n">
        <v>0</v>
      </c>
      <c r="Q323" t="n">
        <v>0</v>
      </c>
      <c r="R323" s="2" t="inlineStr"/>
    </row>
    <row r="324" ht="15" customHeight="1">
      <c r="A324" t="inlineStr">
        <is>
          <t>A 39278-2025</t>
        </is>
      </c>
      <c r="B324" s="1" t="n">
        <v>45889</v>
      </c>
      <c r="C324" s="1" t="n">
        <v>45995</v>
      </c>
      <c r="D324" t="inlineStr">
        <is>
          <t>GOTLANDS LÄN</t>
        </is>
      </c>
      <c r="E324" t="inlineStr">
        <is>
          <t>GOTLAND</t>
        </is>
      </c>
      <c r="G324" t="n">
        <v>3.7</v>
      </c>
      <c r="H324" t="n">
        <v>0</v>
      </c>
      <c r="I324" t="n">
        <v>0</v>
      </c>
      <c r="J324" t="n">
        <v>0</v>
      </c>
      <c r="K324" t="n">
        <v>0</v>
      </c>
      <c r="L324" t="n">
        <v>0</v>
      </c>
      <c r="M324" t="n">
        <v>0</v>
      </c>
      <c r="N324" t="n">
        <v>0</v>
      </c>
      <c r="O324" t="n">
        <v>0</v>
      </c>
      <c r="P324" t="n">
        <v>0</v>
      </c>
      <c r="Q324" t="n">
        <v>0</v>
      </c>
      <c r="R324" s="2" t="inlineStr"/>
    </row>
    <row r="325" ht="15" customHeight="1">
      <c r="A325" t="inlineStr">
        <is>
          <t>A 63516-2023</t>
        </is>
      </c>
      <c r="B325" s="1" t="n">
        <v>45274</v>
      </c>
      <c r="C325" s="1" t="n">
        <v>45995</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46396-2023</t>
        </is>
      </c>
      <c r="B326" s="1" t="n">
        <v>45197</v>
      </c>
      <c r="C326" s="1" t="n">
        <v>45995</v>
      </c>
      <c r="D326" t="inlineStr">
        <is>
          <t>GOTLANDS LÄN</t>
        </is>
      </c>
      <c r="E326" t="inlineStr">
        <is>
          <t>GOTLAND</t>
        </is>
      </c>
      <c r="G326" t="n">
        <v>1.4</v>
      </c>
      <c r="H326" t="n">
        <v>0</v>
      </c>
      <c r="I326" t="n">
        <v>0</v>
      </c>
      <c r="J326" t="n">
        <v>0</v>
      </c>
      <c r="K326" t="n">
        <v>0</v>
      </c>
      <c r="L326" t="n">
        <v>0</v>
      </c>
      <c r="M326" t="n">
        <v>0</v>
      </c>
      <c r="N326" t="n">
        <v>0</v>
      </c>
      <c r="O326" t="n">
        <v>0</v>
      </c>
      <c r="P326" t="n">
        <v>0</v>
      </c>
      <c r="Q326" t="n">
        <v>0</v>
      </c>
      <c r="R326" s="2" t="inlineStr"/>
    </row>
    <row r="327" ht="15" customHeight="1">
      <c r="A327" t="inlineStr">
        <is>
          <t>A 12327-2025</t>
        </is>
      </c>
      <c r="B327" s="1" t="n">
        <v>45730</v>
      </c>
      <c r="C327" s="1" t="n">
        <v>45995</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24001-2021</t>
        </is>
      </c>
      <c r="B328" s="1" t="n">
        <v>44335</v>
      </c>
      <c r="C328" s="1" t="n">
        <v>45995</v>
      </c>
      <c r="D328" t="inlineStr">
        <is>
          <t>GOTLANDS LÄN</t>
        </is>
      </c>
      <c r="E328" t="inlineStr">
        <is>
          <t>GOTLAND</t>
        </is>
      </c>
      <c r="G328" t="n">
        <v>3.4</v>
      </c>
      <c r="H328" t="n">
        <v>0</v>
      </c>
      <c r="I328" t="n">
        <v>0</v>
      </c>
      <c r="J328" t="n">
        <v>0</v>
      </c>
      <c r="K328" t="n">
        <v>0</v>
      </c>
      <c r="L328" t="n">
        <v>0</v>
      </c>
      <c r="M328" t="n">
        <v>0</v>
      </c>
      <c r="N328" t="n">
        <v>0</v>
      </c>
      <c r="O328" t="n">
        <v>0</v>
      </c>
      <c r="P328" t="n">
        <v>0</v>
      </c>
      <c r="Q328" t="n">
        <v>0</v>
      </c>
      <c r="R328" s="2" t="inlineStr"/>
    </row>
    <row r="329" ht="15" customHeight="1">
      <c r="A329" t="inlineStr">
        <is>
          <t>A 3431-2025</t>
        </is>
      </c>
      <c r="B329" s="1" t="n">
        <v>45680.42935185185</v>
      </c>
      <c r="C329" s="1" t="n">
        <v>45995</v>
      </c>
      <c r="D329" t="inlineStr">
        <is>
          <t>GOTLANDS LÄN</t>
        </is>
      </c>
      <c r="E329" t="inlineStr">
        <is>
          <t>GOTLAND</t>
        </is>
      </c>
      <c r="G329" t="n">
        <v>4.8</v>
      </c>
      <c r="H329" t="n">
        <v>0</v>
      </c>
      <c r="I329" t="n">
        <v>0</v>
      </c>
      <c r="J329" t="n">
        <v>0</v>
      </c>
      <c r="K329" t="n">
        <v>0</v>
      </c>
      <c r="L329" t="n">
        <v>0</v>
      </c>
      <c r="M329" t="n">
        <v>0</v>
      </c>
      <c r="N329" t="n">
        <v>0</v>
      </c>
      <c r="O329" t="n">
        <v>0</v>
      </c>
      <c r="P329" t="n">
        <v>0</v>
      </c>
      <c r="Q329" t="n">
        <v>0</v>
      </c>
      <c r="R329" s="2" t="inlineStr"/>
    </row>
    <row r="330" ht="15" customHeight="1">
      <c r="A330" t="inlineStr">
        <is>
          <t>A 41435-2025</t>
        </is>
      </c>
      <c r="B330" s="1" t="n">
        <v>45901.39974537037</v>
      </c>
      <c r="C330" s="1" t="n">
        <v>45995</v>
      </c>
      <c r="D330" t="inlineStr">
        <is>
          <t>GOTLANDS LÄN</t>
        </is>
      </c>
      <c r="E330" t="inlineStr">
        <is>
          <t>GOTLAND</t>
        </is>
      </c>
      <c r="G330" t="n">
        <v>4.9</v>
      </c>
      <c r="H330" t="n">
        <v>0</v>
      </c>
      <c r="I330" t="n">
        <v>0</v>
      </c>
      <c r="J330" t="n">
        <v>0</v>
      </c>
      <c r="K330" t="n">
        <v>0</v>
      </c>
      <c r="L330" t="n">
        <v>0</v>
      </c>
      <c r="M330" t="n">
        <v>0</v>
      </c>
      <c r="N330" t="n">
        <v>0</v>
      </c>
      <c r="O330" t="n">
        <v>0</v>
      </c>
      <c r="P330" t="n">
        <v>0</v>
      </c>
      <c r="Q330" t="n">
        <v>0</v>
      </c>
      <c r="R330" s="2" t="inlineStr"/>
    </row>
    <row r="331" ht="15" customHeight="1">
      <c r="A331" t="inlineStr">
        <is>
          <t>A 17724-2024</t>
        </is>
      </c>
      <c r="B331" s="1" t="n">
        <v>45418.55096064815</v>
      </c>
      <c r="C331" s="1" t="n">
        <v>45995</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30365-2024</t>
        </is>
      </c>
      <c r="B332" s="1" t="n">
        <v>45491.3716087963</v>
      </c>
      <c r="C332" s="1" t="n">
        <v>45995</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34312-2024</t>
        </is>
      </c>
      <c r="B333" s="1" t="n">
        <v>45524.69703703704</v>
      </c>
      <c r="C333" s="1" t="n">
        <v>45995</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1681-2023</t>
        </is>
      </c>
      <c r="B334" s="1" t="n">
        <v>44938.39715277778</v>
      </c>
      <c r="C334" s="1" t="n">
        <v>45995</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41551-2025</t>
        </is>
      </c>
      <c r="B335" s="1" t="n">
        <v>45901.58854166666</v>
      </c>
      <c r="C335" s="1" t="n">
        <v>45995</v>
      </c>
      <c r="D335" t="inlineStr">
        <is>
          <t>GOTLANDS LÄN</t>
        </is>
      </c>
      <c r="E335" t="inlineStr">
        <is>
          <t>GOTLAND</t>
        </is>
      </c>
      <c r="G335" t="n">
        <v>5.6</v>
      </c>
      <c r="H335" t="n">
        <v>0</v>
      </c>
      <c r="I335" t="n">
        <v>0</v>
      </c>
      <c r="J335" t="n">
        <v>0</v>
      </c>
      <c r="K335" t="n">
        <v>0</v>
      </c>
      <c r="L335" t="n">
        <v>0</v>
      </c>
      <c r="M335" t="n">
        <v>0</v>
      </c>
      <c r="N335" t="n">
        <v>0</v>
      </c>
      <c r="O335" t="n">
        <v>0</v>
      </c>
      <c r="P335" t="n">
        <v>0</v>
      </c>
      <c r="Q335" t="n">
        <v>0</v>
      </c>
      <c r="R335" s="2" t="inlineStr"/>
    </row>
    <row r="336" ht="15" customHeight="1">
      <c r="A336" t="inlineStr">
        <is>
          <t>A 12209-2024</t>
        </is>
      </c>
      <c r="B336" s="1" t="n">
        <v>45378</v>
      </c>
      <c r="C336" s="1" t="n">
        <v>45995</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12210-2024</t>
        </is>
      </c>
      <c r="B337" s="1" t="n">
        <v>45378</v>
      </c>
      <c r="C337" s="1" t="n">
        <v>45995</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6099-2024</t>
        </is>
      </c>
      <c r="B338" s="1" t="n">
        <v>45337</v>
      </c>
      <c r="C338" s="1" t="n">
        <v>45995</v>
      </c>
      <c r="D338" t="inlineStr">
        <is>
          <t>GOTLANDS LÄN</t>
        </is>
      </c>
      <c r="E338" t="inlineStr">
        <is>
          <t>GOTLAND</t>
        </is>
      </c>
      <c r="G338" t="n">
        <v>12.6</v>
      </c>
      <c r="H338" t="n">
        <v>0</v>
      </c>
      <c r="I338" t="n">
        <v>0</v>
      </c>
      <c r="J338" t="n">
        <v>0</v>
      </c>
      <c r="K338" t="n">
        <v>0</v>
      </c>
      <c r="L338" t="n">
        <v>0</v>
      </c>
      <c r="M338" t="n">
        <v>0</v>
      </c>
      <c r="N338" t="n">
        <v>0</v>
      </c>
      <c r="O338" t="n">
        <v>0</v>
      </c>
      <c r="P338" t="n">
        <v>0</v>
      </c>
      <c r="Q338" t="n">
        <v>0</v>
      </c>
      <c r="R338" s="2" t="inlineStr"/>
    </row>
    <row r="339" ht="15" customHeight="1">
      <c r="A339" t="inlineStr">
        <is>
          <t>A 1273-2023</t>
        </is>
      </c>
      <c r="B339" s="1" t="n">
        <v>44936</v>
      </c>
      <c r="C339" s="1" t="n">
        <v>45995</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1364-2025</t>
        </is>
      </c>
      <c r="B340" s="1" t="n">
        <v>45667.63929398148</v>
      </c>
      <c r="C340" s="1" t="n">
        <v>45995</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15042-2025</t>
        </is>
      </c>
      <c r="B341" s="1" t="n">
        <v>45743</v>
      </c>
      <c r="C341" s="1" t="n">
        <v>45995</v>
      </c>
      <c r="D341" t="inlineStr">
        <is>
          <t>GOTLANDS LÄN</t>
        </is>
      </c>
      <c r="E341" t="inlineStr">
        <is>
          <t>GOTLAND</t>
        </is>
      </c>
      <c r="G341" t="n">
        <v>8.5</v>
      </c>
      <c r="H341" t="n">
        <v>0</v>
      </c>
      <c r="I341" t="n">
        <v>0</v>
      </c>
      <c r="J341" t="n">
        <v>0</v>
      </c>
      <c r="K341" t="n">
        <v>0</v>
      </c>
      <c r="L341" t="n">
        <v>0</v>
      </c>
      <c r="M341" t="n">
        <v>0</v>
      </c>
      <c r="N341" t="n">
        <v>0</v>
      </c>
      <c r="O341" t="n">
        <v>0</v>
      </c>
      <c r="P341" t="n">
        <v>0</v>
      </c>
      <c r="Q341" t="n">
        <v>0</v>
      </c>
      <c r="R341" s="2" t="inlineStr"/>
    </row>
    <row r="342" ht="15" customHeight="1">
      <c r="A342" t="inlineStr">
        <is>
          <t>A 58780-2024</t>
        </is>
      </c>
      <c r="B342" s="1" t="n">
        <v>45635.84113425926</v>
      </c>
      <c r="C342" s="1" t="n">
        <v>45995</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69112-2021</t>
        </is>
      </c>
      <c r="B343" s="1" t="n">
        <v>44530</v>
      </c>
      <c r="C343" s="1" t="n">
        <v>45995</v>
      </c>
      <c r="D343" t="inlineStr">
        <is>
          <t>GOTLANDS LÄN</t>
        </is>
      </c>
      <c r="E343" t="inlineStr">
        <is>
          <t>GOTLAND</t>
        </is>
      </c>
      <c r="G343" t="n">
        <v>4.2</v>
      </c>
      <c r="H343" t="n">
        <v>0</v>
      </c>
      <c r="I343" t="n">
        <v>0</v>
      </c>
      <c r="J343" t="n">
        <v>0</v>
      </c>
      <c r="K343" t="n">
        <v>0</v>
      </c>
      <c r="L343" t="n">
        <v>0</v>
      </c>
      <c r="M343" t="n">
        <v>0</v>
      </c>
      <c r="N343" t="n">
        <v>0</v>
      </c>
      <c r="O343" t="n">
        <v>0</v>
      </c>
      <c r="P343" t="n">
        <v>0</v>
      </c>
      <c r="Q343" t="n">
        <v>0</v>
      </c>
      <c r="R343" s="2" t="inlineStr"/>
    </row>
    <row r="344" ht="15" customHeight="1">
      <c r="A344" t="inlineStr">
        <is>
          <t>A 45692-2023</t>
        </is>
      </c>
      <c r="B344" s="1" t="n">
        <v>45195</v>
      </c>
      <c r="C344" s="1" t="n">
        <v>45995</v>
      </c>
      <c r="D344" t="inlineStr">
        <is>
          <t>GOTLANDS LÄN</t>
        </is>
      </c>
      <c r="E344" t="inlineStr">
        <is>
          <t>GOTLAND</t>
        </is>
      </c>
      <c r="G344" t="n">
        <v>5.3</v>
      </c>
      <c r="H344" t="n">
        <v>0</v>
      </c>
      <c r="I344" t="n">
        <v>0</v>
      </c>
      <c r="J344" t="n">
        <v>0</v>
      </c>
      <c r="K344" t="n">
        <v>0</v>
      </c>
      <c r="L344" t="n">
        <v>0</v>
      </c>
      <c r="M344" t="n">
        <v>0</v>
      </c>
      <c r="N344" t="n">
        <v>0</v>
      </c>
      <c r="O344" t="n">
        <v>0</v>
      </c>
      <c r="P344" t="n">
        <v>0</v>
      </c>
      <c r="Q344" t="n">
        <v>0</v>
      </c>
      <c r="R344" s="2" t="inlineStr"/>
    </row>
    <row r="345" ht="15" customHeight="1">
      <c r="A345" t="inlineStr">
        <is>
          <t>A 33876-2024</t>
        </is>
      </c>
      <c r="B345" s="1" t="n">
        <v>45521.87988425926</v>
      </c>
      <c r="C345" s="1" t="n">
        <v>45995</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28285-2024</t>
        </is>
      </c>
      <c r="B346" s="1" t="n">
        <v>45477</v>
      </c>
      <c r="C346" s="1" t="n">
        <v>45995</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61100-2022</t>
        </is>
      </c>
      <c r="B347" s="1" t="n">
        <v>44915</v>
      </c>
      <c r="C347" s="1" t="n">
        <v>45995</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7638-2025</t>
        </is>
      </c>
      <c r="B348" s="1" t="n">
        <v>45705.77306712963</v>
      </c>
      <c r="C348" s="1" t="n">
        <v>45995</v>
      </c>
      <c r="D348" t="inlineStr">
        <is>
          <t>GOTLANDS LÄN</t>
        </is>
      </c>
      <c r="E348" t="inlineStr">
        <is>
          <t>GOTLAND</t>
        </is>
      </c>
      <c r="G348" t="n">
        <v>2.2</v>
      </c>
      <c r="H348" t="n">
        <v>0</v>
      </c>
      <c r="I348" t="n">
        <v>0</v>
      </c>
      <c r="J348" t="n">
        <v>0</v>
      </c>
      <c r="K348" t="n">
        <v>0</v>
      </c>
      <c r="L348" t="n">
        <v>0</v>
      </c>
      <c r="M348" t="n">
        <v>0</v>
      </c>
      <c r="N348" t="n">
        <v>0</v>
      </c>
      <c r="O348" t="n">
        <v>0</v>
      </c>
      <c r="P348" t="n">
        <v>0</v>
      </c>
      <c r="Q348" t="n">
        <v>0</v>
      </c>
      <c r="R348" s="2" t="inlineStr"/>
    </row>
    <row r="349" ht="15" customHeight="1">
      <c r="A349" t="inlineStr">
        <is>
          <t>A 61682-2024</t>
        </is>
      </c>
      <c r="B349" s="1" t="n">
        <v>45647.48824074074</v>
      </c>
      <c r="C349" s="1" t="n">
        <v>45995</v>
      </c>
      <c r="D349" t="inlineStr">
        <is>
          <t>GOTLANDS LÄN</t>
        </is>
      </c>
      <c r="E349" t="inlineStr">
        <is>
          <t>GOTLAND</t>
        </is>
      </c>
      <c r="G349" t="n">
        <v>1.9</v>
      </c>
      <c r="H349" t="n">
        <v>0</v>
      </c>
      <c r="I349" t="n">
        <v>0</v>
      </c>
      <c r="J349" t="n">
        <v>0</v>
      </c>
      <c r="K349" t="n">
        <v>0</v>
      </c>
      <c r="L349" t="n">
        <v>0</v>
      </c>
      <c r="M349" t="n">
        <v>0</v>
      </c>
      <c r="N349" t="n">
        <v>0</v>
      </c>
      <c r="O349" t="n">
        <v>0</v>
      </c>
      <c r="P349" t="n">
        <v>0</v>
      </c>
      <c r="Q349" t="n">
        <v>0</v>
      </c>
      <c r="R349" s="2" t="inlineStr"/>
    </row>
    <row r="350" ht="15" customHeight="1">
      <c r="A350" t="inlineStr">
        <is>
          <t>A 2180-2025</t>
        </is>
      </c>
      <c r="B350" s="1" t="n">
        <v>45673</v>
      </c>
      <c r="C350" s="1" t="n">
        <v>45995</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15436-2025</t>
        </is>
      </c>
      <c r="B351" s="1" t="n">
        <v>45747.47462962963</v>
      </c>
      <c r="C351" s="1" t="n">
        <v>45995</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50482-2024</t>
        </is>
      </c>
      <c r="B352" s="1" t="n">
        <v>45601.48114583334</v>
      </c>
      <c r="C352" s="1" t="n">
        <v>45995</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49257-2024</t>
        </is>
      </c>
      <c r="B353" s="1" t="n">
        <v>45595.47627314815</v>
      </c>
      <c r="C353" s="1" t="n">
        <v>45995</v>
      </c>
      <c r="D353" t="inlineStr">
        <is>
          <t>GOTLANDS LÄN</t>
        </is>
      </c>
      <c r="E353" t="inlineStr">
        <is>
          <t>GOTLAND</t>
        </is>
      </c>
      <c r="G353" t="n">
        <v>6.3</v>
      </c>
      <c r="H353" t="n">
        <v>0</v>
      </c>
      <c r="I353" t="n">
        <v>0</v>
      </c>
      <c r="J353" t="n">
        <v>0</v>
      </c>
      <c r="K353" t="n">
        <v>0</v>
      </c>
      <c r="L353" t="n">
        <v>0</v>
      </c>
      <c r="M353" t="n">
        <v>0</v>
      </c>
      <c r="N353" t="n">
        <v>0</v>
      </c>
      <c r="O353" t="n">
        <v>0</v>
      </c>
      <c r="P353" t="n">
        <v>0</v>
      </c>
      <c r="Q353" t="n">
        <v>0</v>
      </c>
      <c r="R353" s="2" t="inlineStr"/>
    </row>
    <row r="354" ht="15" customHeight="1">
      <c r="A354" t="inlineStr">
        <is>
          <t>A 37202-2024</t>
        </is>
      </c>
      <c r="B354" s="1" t="n">
        <v>45539.67310185185</v>
      </c>
      <c r="C354" s="1" t="n">
        <v>45995</v>
      </c>
      <c r="D354" t="inlineStr">
        <is>
          <t>GOTLANDS LÄN</t>
        </is>
      </c>
      <c r="E354" t="inlineStr">
        <is>
          <t>GOTLAND</t>
        </is>
      </c>
      <c r="G354" t="n">
        <v>0.3</v>
      </c>
      <c r="H354" t="n">
        <v>0</v>
      </c>
      <c r="I354" t="n">
        <v>0</v>
      </c>
      <c r="J354" t="n">
        <v>0</v>
      </c>
      <c r="K354" t="n">
        <v>0</v>
      </c>
      <c r="L354" t="n">
        <v>0</v>
      </c>
      <c r="M354" t="n">
        <v>0</v>
      </c>
      <c r="N354" t="n">
        <v>0</v>
      </c>
      <c r="O354" t="n">
        <v>0</v>
      </c>
      <c r="P354" t="n">
        <v>0</v>
      </c>
      <c r="Q354" t="n">
        <v>0</v>
      </c>
      <c r="R354" s="2" t="inlineStr"/>
    </row>
    <row r="355" ht="15" customHeight="1">
      <c r="A355" t="inlineStr">
        <is>
          <t>A 1394-2023</t>
        </is>
      </c>
      <c r="B355" s="1" t="n">
        <v>44936.72997685185</v>
      </c>
      <c r="C355" s="1" t="n">
        <v>45995</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42608-2025</t>
        </is>
      </c>
      <c r="B356" s="1" t="n">
        <v>45905</v>
      </c>
      <c r="C356" s="1" t="n">
        <v>45995</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58230-2024</t>
        </is>
      </c>
      <c r="B357" s="1" t="n">
        <v>45632.51625</v>
      </c>
      <c r="C357" s="1" t="n">
        <v>45995</v>
      </c>
      <c r="D357" t="inlineStr">
        <is>
          <t>GOTLANDS LÄN</t>
        </is>
      </c>
      <c r="E357" t="inlineStr">
        <is>
          <t>GOTLAND</t>
        </is>
      </c>
      <c r="G357" t="n">
        <v>7.3</v>
      </c>
      <c r="H357" t="n">
        <v>0</v>
      </c>
      <c r="I357" t="n">
        <v>0</v>
      </c>
      <c r="J357" t="n">
        <v>0</v>
      </c>
      <c r="K357" t="n">
        <v>0</v>
      </c>
      <c r="L357" t="n">
        <v>0</v>
      </c>
      <c r="M357" t="n">
        <v>0</v>
      </c>
      <c r="N357" t="n">
        <v>0</v>
      </c>
      <c r="O357" t="n">
        <v>0</v>
      </c>
      <c r="P357" t="n">
        <v>0</v>
      </c>
      <c r="Q357" t="n">
        <v>0</v>
      </c>
      <c r="R357" s="2" t="inlineStr"/>
    </row>
    <row r="358" ht="15" customHeight="1">
      <c r="A358" t="inlineStr">
        <is>
          <t>A 1462-2025</t>
        </is>
      </c>
      <c r="B358" s="1" t="n">
        <v>45670.36319444444</v>
      </c>
      <c r="C358" s="1" t="n">
        <v>45995</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58388-2022</t>
        </is>
      </c>
      <c r="B359" s="1" t="n">
        <v>44894</v>
      </c>
      <c r="C359" s="1" t="n">
        <v>45995</v>
      </c>
      <c r="D359" t="inlineStr">
        <is>
          <t>GOTLANDS LÄN</t>
        </is>
      </c>
      <c r="E359" t="inlineStr">
        <is>
          <t>GOTLAND</t>
        </is>
      </c>
      <c r="F359" t="inlineStr">
        <is>
          <t>Övriga statliga verk och myndigheter</t>
        </is>
      </c>
      <c r="G359" t="n">
        <v>3.1</v>
      </c>
      <c r="H359" t="n">
        <v>0</v>
      </c>
      <c r="I359" t="n">
        <v>0</v>
      </c>
      <c r="J359" t="n">
        <v>0</v>
      </c>
      <c r="K359" t="n">
        <v>0</v>
      </c>
      <c r="L359" t="n">
        <v>0</v>
      </c>
      <c r="M359" t="n">
        <v>0</v>
      </c>
      <c r="N359" t="n">
        <v>0</v>
      </c>
      <c r="O359" t="n">
        <v>0</v>
      </c>
      <c r="P359" t="n">
        <v>0</v>
      </c>
      <c r="Q359" t="n">
        <v>0</v>
      </c>
      <c r="R359" s="2" t="inlineStr"/>
    </row>
    <row r="360" ht="15" customHeight="1">
      <c r="A360" t="inlineStr">
        <is>
          <t>A 16373-2025</t>
        </is>
      </c>
      <c r="B360" s="1" t="n">
        <v>45751</v>
      </c>
      <c r="C360" s="1" t="n">
        <v>45995</v>
      </c>
      <c r="D360" t="inlineStr">
        <is>
          <t>GOTLANDS LÄN</t>
        </is>
      </c>
      <c r="E360" t="inlineStr">
        <is>
          <t>GOTLAND</t>
        </is>
      </c>
      <c r="G360" t="n">
        <v>1.5</v>
      </c>
      <c r="H360" t="n">
        <v>0</v>
      </c>
      <c r="I360" t="n">
        <v>0</v>
      </c>
      <c r="J360" t="n">
        <v>0</v>
      </c>
      <c r="K360" t="n">
        <v>0</v>
      </c>
      <c r="L360" t="n">
        <v>0</v>
      </c>
      <c r="M360" t="n">
        <v>0</v>
      </c>
      <c r="N360" t="n">
        <v>0</v>
      </c>
      <c r="O360" t="n">
        <v>0</v>
      </c>
      <c r="P360" t="n">
        <v>0</v>
      </c>
      <c r="Q360" t="n">
        <v>0</v>
      </c>
      <c r="R360" s="2" t="inlineStr"/>
    </row>
    <row r="361" ht="15" customHeight="1">
      <c r="A361" t="inlineStr">
        <is>
          <t>A 56115-2023</t>
        </is>
      </c>
      <c r="B361" s="1" t="n">
        <v>45236</v>
      </c>
      <c r="C361" s="1" t="n">
        <v>45995</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25129-2023</t>
        </is>
      </c>
      <c r="B362" s="1" t="n">
        <v>45086.44261574074</v>
      </c>
      <c r="C362" s="1" t="n">
        <v>45995</v>
      </c>
      <c r="D362" t="inlineStr">
        <is>
          <t>GOTLANDS LÄN</t>
        </is>
      </c>
      <c r="E362" t="inlineStr">
        <is>
          <t>GOTLAND</t>
        </is>
      </c>
      <c r="G362" t="n">
        <v>1.5</v>
      </c>
      <c r="H362" t="n">
        <v>0</v>
      </c>
      <c r="I362" t="n">
        <v>0</v>
      </c>
      <c r="J362" t="n">
        <v>0</v>
      </c>
      <c r="K362" t="n">
        <v>0</v>
      </c>
      <c r="L362" t="n">
        <v>0</v>
      </c>
      <c r="M362" t="n">
        <v>0</v>
      </c>
      <c r="N362" t="n">
        <v>0</v>
      </c>
      <c r="O362" t="n">
        <v>0</v>
      </c>
      <c r="P362" t="n">
        <v>0</v>
      </c>
      <c r="Q362" t="n">
        <v>0</v>
      </c>
      <c r="R362" s="2" t="inlineStr"/>
    </row>
    <row r="363" ht="15" customHeight="1">
      <c r="A363" t="inlineStr">
        <is>
          <t>A 24192-2023</t>
        </is>
      </c>
      <c r="B363" s="1" t="n">
        <v>45079</v>
      </c>
      <c r="C363" s="1" t="n">
        <v>45995</v>
      </c>
      <c r="D363" t="inlineStr">
        <is>
          <t>GOTLANDS LÄN</t>
        </is>
      </c>
      <c r="E363" t="inlineStr">
        <is>
          <t>GOTLAND</t>
        </is>
      </c>
      <c r="G363" t="n">
        <v>2.1</v>
      </c>
      <c r="H363" t="n">
        <v>0</v>
      </c>
      <c r="I363" t="n">
        <v>0</v>
      </c>
      <c r="J363" t="n">
        <v>0</v>
      </c>
      <c r="K363" t="n">
        <v>0</v>
      </c>
      <c r="L363" t="n">
        <v>0</v>
      </c>
      <c r="M363" t="n">
        <v>0</v>
      </c>
      <c r="N363" t="n">
        <v>0</v>
      </c>
      <c r="O363" t="n">
        <v>0</v>
      </c>
      <c r="P363" t="n">
        <v>0</v>
      </c>
      <c r="Q363" t="n">
        <v>0</v>
      </c>
      <c r="R363" s="2" t="inlineStr"/>
    </row>
    <row r="364" ht="15" customHeight="1">
      <c r="A364" t="inlineStr">
        <is>
          <t>A 21792-2024</t>
        </is>
      </c>
      <c r="B364" s="1" t="n">
        <v>45442.64326388889</v>
      </c>
      <c r="C364" s="1" t="n">
        <v>45995</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5386-2023</t>
        </is>
      </c>
      <c r="B365" s="1" t="n">
        <v>44959</v>
      </c>
      <c r="C365" s="1" t="n">
        <v>45995</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52637-2025</t>
        </is>
      </c>
      <c r="B366" s="1" t="n">
        <v>45954.75099537037</v>
      </c>
      <c r="C366" s="1" t="n">
        <v>45995</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7026-2023</t>
        </is>
      </c>
      <c r="B367" s="1" t="n">
        <v>44968.30340277778</v>
      </c>
      <c r="C367" s="1" t="n">
        <v>45995</v>
      </c>
      <c r="D367" t="inlineStr">
        <is>
          <t>GOTLANDS LÄN</t>
        </is>
      </c>
      <c r="E367" t="inlineStr">
        <is>
          <t>GOTLAND</t>
        </is>
      </c>
      <c r="G367" t="n">
        <v>2.9</v>
      </c>
      <c r="H367" t="n">
        <v>0</v>
      </c>
      <c r="I367" t="n">
        <v>0</v>
      </c>
      <c r="J367" t="n">
        <v>0</v>
      </c>
      <c r="K367" t="n">
        <v>0</v>
      </c>
      <c r="L367" t="n">
        <v>0</v>
      </c>
      <c r="M367" t="n">
        <v>0</v>
      </c>
      <c r="N367" t="n">
        <v>0</v>
      </c>
      <c r="O367" t="n">
        <v>0</v>
      </c>
      <c r="P367" t="n">
        <v>0</v>
      </c>
      <c r="Q367" t="n">
        <v>0</v>
      </c>
      <c r="R367" s="2" t="inlineStr"/>
    </row>
    <row r="368" ht="15" customHeight="1">
      <c r="A368" t="inlineStr">
        <is>
          <t>A 20855-2023</t>
        </is>
      </c>
      <c r="B368" s="1" t="n">
        <v>45058.82172453704</v>
      </c>
      <c r="C368" s="1" t="n">
        <v>45995</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17688-2024</t>
        </is>
      </c>
      <c r="B369" s="1" t="n">
        <v>45418.43575231481</v>
      </c>
      <c r="C369" s="1" t="n">
        <v>45995</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7837-2024</t>
        </is>
      </c>
      <c r="B370" s="1" t="n">
        <v>45349.83787037037</v>
      </c>
      <c r="C370" s="1" t="n">
        <v>45995</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1000-2024</t>
        </is>
      </c>
      <c r="B371" s="1" t="n">
        <v>45301.63371527778</v>
      </c>
      <c r="C371" s="1" t="n">
        <v>45995</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1010-2024</t>
        </is>
      </c>
      <c r="B372" s="1" t="n">
        <v>45301</v>
      </c>
      <c r="C372" s="1" t="n">
        <v>45995</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10158-2025</t>
        </is>
      </c>
      <c r="B373" s="1" t="n">
        <v>45719</v>
      </c>
      <c r="C373" s="1" t="n">
        <v>45995</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4568-2025</t>
        </is>
      </c>
      <c r="B374" s="1" t="n">
        <v>45687</v>
      </c>
      <c r="C374" s="1" t="n">
        <v>45995</v>
      </c>
      <c r="D374" t="inlineStr">
        <is>
          <t>GOTLANDS LÄN</t>
        </is>
      </c>
      <c r="E374" t="inlineStr">
        <is>
          <t>GOTLAND</t>
        </is>
      </c>
      <c r="G374" t="n">
        <v>1.9</v>
      </c>
      <c r="H374" t="n">
        <v>0</v>
      </c>
      <c r="I374" t="n">
        <v>0</v>
      </c>
      <c r="J374" t="n">
        <v>0</v>
      </c>
      <c r="K374" t="n">
        <v>0</v>
      </c>
      <c r="L374" t="n">
        <v>0</v>
      </c>
      <c r="M374" t="n">
        <v>0</v>
      </c>
      <c r="N374" t="n">
        <v>0</v>
      </c>
      <c r="O374" t="n">
        <v>0</v>
      </c>
      <c r="P374" t="n">
        <v>0</v>
      </c>
      <c r="Q374" t="n">
        <v>0</v>
      </c>
      <c r="R374" s="2" t="inlineStr"/>
    </row>
    <row r="375" ht="15" customHeight="1">
      <c r="A375" t="inlineStr">
        <is>
          <t>A 47762-2023</t>
        </is>
      </c>
      <c r="B375" s="1" t="n">
        <v>45203.86256944444</v>
      </c>
      <c r="C375" s="1" t="n">
        <v>45995</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43911-2025</t>
        </is>
      </c>
      <c r="B376" s="1" t="n">
        <v>45914.3881712963</v>
      </c>
      <c r="C376" s="1" t="n">
        <v>45995</v>
      </c>
      <c r="D376" t="inlineStr">
        <is>
          <t>GOTLANDS LÄN</t>
        </is>
      </c>
      <c r="E376" t="inlineStr">
        <is>
          <t>GOTLAND</t>
        </is>
      </c>
      <c r="G376" t="n">
        <v>1.9</v>
      </c>
      <c r="H376" t="n">
        <v>0</v>
      </c>
      <c r="I376" t="n">
        <v>0</v>
      </c>
      <c r="J376" t="n">
        <v>0</v>
      </c>
      <c r="K376" t="n">
        <v>0</v>
      </c>
      <c r="L376" t="n">
        <v>0</v>
      </c>
      <c r="M376" t="n">
        <v>0</v>
      </c>
      <c r="N376" t="n">
        <v>0</v>
      </c>
      <c r="O376" t="n">
        <v>0</v>
      </c>
      <c r="P376" t="n">
        <v>0</v>
      </c>
      <c r="Q376" t="n">
        <v>0</v>
      </c>
      <c r="R376" s="2" t="inlineStr"/>
    </row>
    <row r="377" ht="15" customHeight="1">
      <c r="A377" t="inlineStr">
        <is>
          <t>A 44410-2025</t>
        </is>
      </c>
      <c r="B377" s="1" t="n">
        <v>45916.53699074074</v>
      </c>
      <c r="C377" s="1" t="n">
        <v>45995</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35512-2023</t>
        </is>
      </c>
      <c r="B378" s="1" t="n">
        <v>45147.25623842593</v>
      </c>
      <c r="C378" s="1" t="n">
        <v>45995</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43951-2025</t>
        </is>
      </c>
      <c r="B379" s="1" t="n">
        <v>45915.38119212963</v>
      </c>
      <c r="C379" s="1" t="n">
        <v>45995</v>
      </c>
      <c r="D379" t="inlineStr">
        <is>
          <t>GOTLANDS LÄN</t>
        </is>
      </c>
      <c r="E379" t="inlineStr">
        <is>
          <t>GOTLAND</t>
        </is>
      </c>
      <c r="G379" t="n">
        <v>4.4</v>
      </c>
      <c r="H379" t="n">
        <v>0</v>
      </c>
      <c r="I379" t="n">
        <v>0</v>
      </c>
      <c r="J379" t="n">
        <v>0</v>
      </c>
      <c r="K379" t="n">
        <v>0</v>
      </c>
      <c r="L379" t="n">
        <v>0</v>
      </c>
      <c r="M379" t="n">
        <v>0</v>
      </c>
      <c r="N379" t="n">
        <v>0</v>
      </c>
      <c r="O379" t="n">
        <v>0</v>
      </c>
      <c r="P379" t="n">
        <v>0</v>
      </c>
      <c r="Q379" t="n">
        <v>0</v>
      </c>
      <c r="R379" s="2" t="inlineStr"/>
    </row>
    <row r="380" ht="15" customHeight="1">
      <c r="A380" t="inlineStr">
        <is>
          <t>A 5905-2024</t>
        </is>
      </c>
      <c r="B380" s="1" t="n">
        <v>45335.88993055555</v>
      </c>
      <c r="C380" s="1" t="n">
        <v>45995</v>
      </c>
      <c r="D380" t="inlineStr">
        <is>
          <t>GOTLANDS LÄN</t>
        </is>
      </c>
      <c r="E380" t="inlineStr">
        <is>
          <t>GOTLAND</t>
        </is>
      </c>
      <c r="G380" t="n">
        <v>3</v>
      </c>
      <c r="H380" t="n">
        <v>0</v>
      </c>
      <c r="I380" t="n">
        <v>0</v>
      </c>
      <c r="J380" t="n">
        <v>0</v>
      </c>
      <c r="K380" t="n">
        <v>0</v>
      </c>
      <c r="L380" t="n">
        <v>0</v>
      </c>
      <c r="M380" t="n">
        <v>0</v>
      </c>
      <c r="N380" t="n">
        <v>0</v>
      </c>
      <c r="O380" t="n">
        <v>0</v>
      </c>
      <c r="P380" t="n">
        <v>0</v>
      </c>
      <c r="Q380" t="n">
        <v>0</v>
      </c>
      <c r="R380" s="2" t="inlineStr"/>
    </row>
    <row r="381" ht="15" customHeight="1">
      <c r="A381" t="inlineStr">
        <is>
          <t>A 46545-2024</t>
        </is>
      </c>
      <c r="B381" s="1" t="n">
        <v>45582.65831018519</v>
      </c>
      <c r="C381" s="1" t="n">
        <v>45995</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60086-2022</t>
        </is>
      </c>
      <c r="B382" s="1" t="n">
        <v>44909</v>
      </c>
      <c r="C382" s="1" t="n">
        <v>45995</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44405-2025</t>
        </is>
      </c>
      <c r="B383" s="1" t="n">
        <v>45916.52405092592</v>
      </c>
      <c r="C383" s="1" t="n">
        <v>45995</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1291-2023</t>
        </is>
      </c>
      <c r="B384" s="1" t="n">
        <v>44936.47561342592</v>
      </c>
      <c r="C384" s="1" t="n">
        <v>45995</v>
      </c>
      <c r="D384" t="inlineStr">
        <is>
          <t>GOTLANDS LÄN</t>
        </is>
      </c>
      <c r="E384" t="inlineStr">
        <is>
          <t>GOTLAND</t>
        </is>
      </c>
      <c r="G384" t="n">
        <v>7.4</v>
      </c>
      <c r="H384" t="n">
        <v>0</v>
      </c>
      <c r="I384" t="n">
        <v>0</v>
      </c>
      <c r="J384" t="n">
        <v>0</v>
      </c>
      <c r="K384" t="n">
        <v>0</v>
      </c>
      <c r="L384" t="n">
        <v>0</v>
      </c>
      <c r="M384" t="n">
        <v>0</v>
      </c>
      <c r="N384" t="n">
        <v>0</v>
      </c>
      <c r="O384" t="n">
        <v>0</v>
      </c>
      <c r="P384" t="n">
        <v>0</v>
      </c>
      <c r="Q384" t="n">
        <v>0</v>
      </c>
      <c r="R384" s="2" t="inlineStr"/>
    </row>
    <row r="385" ht="15" customHeight="1">
      <c r="A385" t="inlineStr">
        <is>
          <t>A 28480-2023</t>
        </is>
      </c>
      <c r="B385" s="1" t="n">
        <v>45103</v>
      </c>
      <c r="C385" s="1" t="n">
        <v>45995</v>
      </c>
      <c r="D385" t="inlineStr">
        <is>
          <t>GOTLANDS LÄN</t>
        </is>
      </c>
      <c r="E385" t="inlineStr">
        <is>
          <t>GOTLAND</t>
        </is>
      </c>
      <c r="G385" t="n">
        <v>5.7</v>
      </c>
      <c r="H385" t="n">
        <v>0</v>
      </c>
      <c r="I385" t="n">
        <v>0</v>
      </c>
      <c r="J385" t="n">
        <v>0</v>
      </c>
      <c r="K385" t="n">
        <v>0</v>
      </c>
      <c r="L385" t="n">
        <v>0</v>
      </c>
      <c r="M385" t="n">
        <v>0</v>
      </c>
      <c r="N385" t="n">
        <v>0</v>
      </c>
      <c r="O385" t="n">
        <v>0</v>
      </c>
      <c r="P385" t="n">
        <v>0</v>
      </c>
      <c r="Q385" t="n">
        <v>0</v>
      </c>
      <c r="R385" s="2" t="inlineStr"/>
    </row>
    <row r="386" ht="15" customHeight="1">
      <c r="A386" t="inlineStr">
        <is>
          <t>A 28485-2023</t>
        </is>
      </c>
      <c r="B386" s="1" t="n">
        <v>45103.43731481482</v>
      </c>
      <c r="C386" s="1" t="n">
        <v>45995</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57652-2023</t>
        </is>
      </c>
      <c r="B387" s="1" t="n">
        <v>45246</v>
      </c>
      <c r="C387" s="1" t="n">
        <v>45995</v>
      </c>
      <c r="D387" t="inlineStr">
        <is>
          <t>GOTLANDS LÄN</t>
        </is>
      </c>
      <c r="E387" t="inlineStr">
        <is>
          <t>GOTLAND</t>
        </is>
      </c>
      <c r="G387" t="n">
        <v>7.2</v>
      </c>
      <c r="H387" t="n">
        <v>0</v>
      </c>
      <c r="I387" t="n">
        <v>0</v>
      </c>
      <c r="J387" t="n">
        <v>0</v>
      </c>
      <c r="K387" t="n">
        <v>0</v>
      </c>
      <c r="L387" t="n">
        <v>0</v>
      </c>
      <c r="M387" t="n">
        <v>0</v>
      </c>
      <c r="N387" t="n">
        <v>0</v>
      </c>
      <c r="O387" t="n">
        <v>0</v>
      </c>
      <c r="P387" t="n">
        <v>0</v>
      </c>
      <c r="Q387" t="n">
        <v>0</v>
      </c>
      <c r="R387" s="2" t="inlineStr"/>
    </row>
    <row r="388" ht="15" customHeight="1">
      <c r="A388" t="inlineStr">
        <is>
          <t>A 53561-2025</t>
        </is>
      </c>
      <c r="B388" s="1" t="n">
        <v>45960.4059375</v>
      </c>
      <c r="C388" s="1" t="n">
        <v>45995</v>
      </c>
      <c r="D388" t="inlineStr">
        <is>
          <t>GOTLANDS LÄN</t>
        </is>
      </c>
      <c r="E388" t="inlineStr">
        <is>
          <t>GOTLAND</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62915-2021</t>
        </is>
      </c>
      <c r="B389" s="1" t="n">
        <v>44504</v>
      </c>
      <c r="C389" s="1" t="n">
        <v>45995</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53587-2025</t>
        </is>
      </c>
      <c r="B390" s="1" t="n">
        <v>45960.43681712963</v>
      </c>
      <c r="C390" s="1" t="n">
        <v>45995</v>
      </c>
      <c r="D390" t="inlineStr">
        <is>
          <t>GOTLANDS LÄN</t>
        </is>
      </c>
      <c r="E390" t="inlineStr">
        <is>
          <t>GOTLAND</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44949-2023</t>
        </is>
      </c>
      <c r="B391" s="1" t="n">
        <v>45190.69520833333</v>
      </c>
      <c r="C391" s="1" t="n">
        <v>45995</v>
      </c>
      <c r="D391" t="inlineStr">
        <is>
          <t>GOTLANDS LÄN</t>
        </is>
      </c>
      <c r="E391" t="inlineStr">
        <is>
          <t>GOTLAND</t>
        </is>
      </c>
      <c r="G391" t="n">
        <v>1.4</v>
      </c>
      <c r="H391" t="n">
        <v>0</v>
      </c>
      <c r="I391" t="n">
        <v>0</v>
      </c>
      <c r="J391" t="n">
        <v>0</v>
      </c>
      <c r="K391" t="n">
        <v>0</v>
      </c>
      <c r="L391" t="n">
        <v>0</v>
      </c>
      <c r="M391" t="n">
        <v>0</v>
      </c>
      <c r="N391" t="n">
        <v>0</v>
      </c>
      <c r="O391" t="n">
        <v>0</v>
      </c>
      <c r="P391" t="n">
        <v>0</v>
      </c>
      <c r="Q391" t="n">
        <v>0</v>
      </c>
      <c r="R391" s="2" t="inlineStr"/>
    </row>
    <row r="392" ht="15" customHeight="1">
      <c r="A392" t="inlineStr">
        <is>
          <t>A 49315-2024</t>
        </is>
      </c>
      <c r="B392" s="1" t="n">
        <v>45595</v>
      </c>
      <c r="C392" s="1" t="n">
        <v>45995</v>
      </c>
      <c r="D392" t="inlineStr">
        <is>
          <t>GOTLANDS LÄN</t>
        </is>
      </c>
      <c r="E392" t="inlineStr">
        <is>
          <t>GOTLAND</t>
        </is>
      </c>
      <c r="G392" t="n">
        <v>1.5</v>
      </c>
      <c r="H392" t="n">
        <v>0</v>
      </c>
      <c r="I392" t="n">
        <v>0</v>
      </c>
      <c r="J392" t="n">
        <v>0</v>
      </c>
      <c r="K392" t="n">
        <v>0</v>
      </c>
      <c r="L392" t="n">
        <v>0</v>
      </c>
      <c r="M392" t="n">
        <v>0</v>
      </c>
      <c r="N392" t="n">
        <v>0</v>
      </c>
      <c r="O392" t="n">
        <v>0</v>
      </c>
      <c r="P392" t="n">
        <v>0</v>
      </c>
      <c r="Q392" t="n">
        <v>0</v>
      </c>
      <c r="R392" s="2" t="inlineStr"/>
    </row>
    <row r="393" ht="15" customHeight="1">
      <c r="A393" t="inlineStr">
        <is>
          <t>A 45106-2024</t>
        </is>
      </c>
      <c r="B393" s="1" t="n">
        <v>45575</v>
      </c>
      <c r="C393" s="1" t="n">
        <v>45995</v>
      </c>
      <c r="D393" t="inlineStr">
        <is>
          <t>GOTLANDS LÄN</t>
        </is>
      </c>
      <c r="E393" t="inlineStr">
        <is>
          <t>GOTLAND</t>
        </is>
      </c>
      <c r="G393" t="n">
        <v>10</v>
      </c>
      <c r="H393" t="n">
        <v>0</v>
      </c>
      <c r="I393" t="n">
        <v>0</v>
      </c>
      <c r="J393" t="n">
        <v>0</v>
      </c>
      <c r="K393" t="n">
        <v>0</v>
      </c>
      <c r="L393" t="n">
        <v>0</v>
      </c>
      <c r="M393" t="n">
        <v>0</v>
      </c>
      <c r="N393" t="n">
        <v>0</v>
      </c>
      <c r="O393" t="n">
        <v>0</v>
      </c>
      <c r="P393" t="n">
        <v>0</v>
      </c>
      <c r="Q393" t="n">
        <v>0</v>
      </c>
      <c r="R393" s="2" t="inlineStr"/>
    </row>
    <row r="394" ht="15" customHeight="1">
      <c r="A394" t="inlineStr">
        <is>
          <t>A 45112-2024</t>
        </is>
      </c>
      <c r="B394" s="1" t="n">
        <v>45575</v>
      </c>
      <c r="C394" s="1" t="n">
        <v>45995</v>
      </c>
      <c r="D394" t="inlineStr">
        <is>
          <t>GOTLANDS LÄN</t>
        </is>
      </c>
      <c r="E394" t="inlineStr">
        <is>
          <t>GOTLAND</t>
        </is>
      </c>
      <c r="G394" t="n">
        <v>5.1</v>
      </c>
      <c r="H394" t="n">
        <v>0</v>
      </c>
      <c r="I394" t="n">
        <v>0</v>
      </c>
      <c r="J394" t="n">
        <v>0</v>
      </c>
      <c r="K394" t="n">
        <v>0</v>
      </c>
      <c r="L394" t="n">
        <v>0</v>
      </c>
      <c r="M394" t="n">
        <v>0</v>
      </c>
      <c r="N394" t="n">
        <v>0</v>
      </c>
      <c r="O394" t="n">
        <v>0</v>
      </c>
      <c r="P394" t="n">
        <v>0</v>
      </c>
      <c r="Q394" t="n">
        <v>0</v>
      </c>
      <c r="R394" s="2" t="inlineStr"/>
    </row>
    <row r="395" ht="15" customHeight="1">
      <c r="A395" t="inlineStr">
        <is>
          <t>A 2676-2023</t>
        </is>
      </c>
      <c r="B395" s="1" t="n">
        <v>44944</v>
      </c>
      <c r="C395" s="1" t="n">
        <v>45995</v>
      </c>
      <c r="D395" t="inlineStr">
        <is>
          <t>GOTLANDS LÄN</t>
        </is>
      </c>
      <c r="E395" t="inlineStr">
        <is>
          <t>GOTLAND</t>
        </is>
      </c>
      <c r="G395" t="n">
        <v>0.7</v>
      </c>
      <c r="H395" t="n">
        <v>0</v>
      </c>
      <c r="I395" t="n">
        <v>0</v>
      </c>
      <c r="J395" t="n">
        <v>0</v>
      </c>
      <c r="K395" t="n">
        <v>0</v>
      </c>
      <c r="L395" t="n">
        <v>0</v>
      </c>
      <c r="M395" t="n">
        <v>0</v>
      </c>
      <c r="N395" t="n">
        <v>0</v>
      </c>
      <c r="O395" t="n">
        <v>0</v>
      </c>
      <c r="P395" t="n">
        <v>0</v>
      </c>
      <c r="Q395" t="n">
        <v>0</v>
      </c>
      <c r="R395" s="2" t="inlineStr"/>
    </row>
    <row r="396" ht="15" customHeight="1">
      <c r="A396" t="inlineStr">
        <is>
          <t>A 37222-2021</t>
        </is>
      </c>
      <c r="B396" s="1" t="n">
        <v>44396</v>
      </c>
      <c r="C396" s="1" t="n">
        <v>45995</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3150-2025</t>
        </is>
      </c>
      <c r="B397" s="1" t="n">
        <v>45679.28974537037</v>
      </c>
      <c r="C397" s="1" t="n">
        <v>45995</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8484-2025</t>
        </is>
      </c>
      <c r="B398" s="1" t="n">
        <v>45709</v>
      </c>
      <c r="C398" s="1" t="n">
        <v>45995</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7635-2025</t>
        </is>
      </c>
      <c r="B399" s="1" t="n">
        <v>45705</v>
      </c>
      <c r="C399" s="1" t="n">
        <v>45995</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7636-2025</t>
        </is>
      </c>
      <c r="B400" s="1" t="n">
        <v>45705.7687962963</v>
      </c>
      <c r="C400" s="1" t="n">
        <v>45995</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7639-2025</t>
        </is>
      </c>
      <c r="B401" s="1" t="n">
        <v>45705.77465277778</v>
      </c>
      <c r="C401" s="1" t="n">
        <v>45995</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3964-2024</t>
        </is>
      </c>
      <c r="B402" s="1" t="n">
        <v>45322</v>
      </c>
      <c r="C402" s="1" t="n">
        <v>45995</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45084-2024</t>
        </is>
      </c>
      <c r="B403" s="1" t="n">
        <v>45575</v>
      </c>
      <c r="C403" s="1" t="n">
        <v>45995</v>
      </c>
      <c r="D403" t="inlineStr">
        <is>
          <t>GOTLANDS LÄN</t>
        </is>
      </c>
      <c r="E403" t="inlineStr">
        <is>
          <t>GOTLAND</t>
        </is>
      </c>
      <c r="G403" t="n">
        <v>6.8</v>
      </c>
      <c r="H403" t="n">
        <v>0</v>
      </c>
      <c r="I403" t="n">
        <v>0</v>
      </c>
      <c r="J403" t="n">
        <v>0</v>
      </c>
      <c r="K403" t="n">
        <v>0</v>
      </c>
      <c r="L403" t="n">
        <v>0</v>
      </c>
      <c r="M403" t="n">
        <v>0</v>
      </c>
      <c r="N403" t="n">
        <v>0</v>
      </c>
      <c r="O403" t="n">
        <v>0</v>
      </c>
      <c r="P403" t="n">
        <v>0</v>
      </c>
      <c r="Q403" t="n">
        <v>0</v>
      </c>
      <c r="R403" s="2" t="inlineStr"/>
    </row>
    <row r="404" ht="15" customHeight="1">
      <c r="A404" t="inlineStr">
        <is>
          <t>A 2774-2024</t>
        </is>
      </c>
      <c r="B404" s="1" t="n">
        <v>45314.62375</v>
      </c>
      <c r="C404" s="1" t="n">
        <v>45995</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20356-2022</t>
        </is>
      </c>
      <c r="B405" s="1" t="n">
        <v>44699</v>
      </c>
      <c r="C405" s="1" t="n">
        <v>45995</v>
      </c>
      <c r="D405" t="inlineStr">
        <is>
          <t>GOTLANDS LÄN</t>
        </is>
      </c>
      <c r="E405" t="inlineStr">
        <is>
          <t>GOTLAND</t>
        </is>
      </c>
      <c r="F405" t="inlineStr">
        <is>
          <t>Övriga Aktiebolag</t>
        </is>
      </c>
      <c r="G405" t="n">
        <v>4.4</v>
      </c>
      <c r="H405" t="n">
        <v>0</v>
      </c>
      <c r="I405" t="n">
        <v>0</v>
      </c>
      <c r="J405" t="n">
        <v>0</v>
      </c>
      <c r="K405" t="n">
        <v>0</v>
      </c>
      <c r="L405" t="n">
        <v>0</v>
      </c>
      <c r="M405" t="n">
        <v>0</v>
      </c>
      <c r="N405" t="n">
        <v>0</v>
      </c>
      <c r="O405" t="n">
        <v>0</v>
      </c>
      <c r="P405" t="n">
        <v>0</v>
      </c>
      <c r="Q405" t="n">
        <v>0</v>
      </c>
      <c r="R405" s="2" t="inlineStr"/>
    </row>
    <row r="406" ht="15" customHeight="1">
      <c r="A406" t="inlineStr">
        <is>
          <t>A 48734-2022</t>
        </is>
      </c>
      <c r="B406" s="1" t="n">
        <v>44855</v>
      </c>
      <c r="C406" s="1" t="n">
        <v>45995</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14141-2024</t>
        </is>
      </c>
      <c r="B407" s="1" t="n">
        <v>45392.85193287037</v>
      </c>
      <c r="C407" s="1" t="n">
        <v>45995</v>
      </c>
      <c r="D407" t="inlineStr">
        <is>
          <t>GOTLANDS LÄN</t>
        </is>
      </c>
      <c r="E407" t="inlineStr">
        <is>
          <t>GOTLAND</t>
        </is>
      </c>
      <c r="G407" t="n">
        <v>5.3</v>
      </c>
      <c r="H407" t="n">
        <v>0</v>
      </c>
      <c r="I407" t="n">
        <v>0</v>
      </c>
      <c r="J407" t="n">
        <v>0</v>
      </c>
      <c r="K407" t="n">
        <v>0</v>
      </c>
      <c r="L407" t="n">
        <v>0</v>
      </c>
      <c r="M407" t="n">
        <v>0</v>
      </c>
      <c r="N407" t="n">
        <v>0</v>
      </c>
      <c r="O407" t="n">
        <v>0</v>
      </c>
      <c r="P407" t="n">
        <v>0</v>
      </c>
      <c r="Q407" t="n">
        <v>0</v>
      </c>
      <c r="R407" s="2" t="inlineStr"/>
    </row>
    <row r="408" ht="15" customHeight="1">
      <c r="A408" t="inlineStr">
        <is>
          <t>A 29809-2022</t>
        </is>
      </c>
      <c r="B408" s="1" t="n">
        <v>44755.8713425926</v>
      </c>
      <c r="C408" s="1" t="n">
        <v>45995</v>
      </c>
      <c r="D408" t="inlineStr">
        <is>
          <t>GOTLANDS LÄN</t>
        </is>
      </c>
      <c r="E408" t="inlineStr">
        <is>
          <t>GOTLAND</t>
        </is>
      </c>
      <c r="G408" t="n">
        <v>11.5</v>
      </c>
      <c r="H408" t="n">
        <v>0</v>
      </c>
      <c r="I408" t="n">
        <v>0</v>
      </c>
      <c r="J408" t="n">
        <v>0</v>
      </c>
      <c r="K408" t="n">
        <v>0</v>
      </c>
      <c r="L408" t="n">
        <v>0</v>
      </c>
      <c r="M408" t="n">
        <v>0</v>
      </c>
      <c r="N408" t="n">
        <v>0</v>
      </c>
      <c r="O408" t="n">
        <v>0</v>
      </c>
      <c r="P408" t="n">
        <v>0</v>
      </c>
      <c r="Q408" t="n">
        <v>0</v>
      </c>
      <c r="R408" s="2" t="inlineStr"/>
    </row>
    <row r="409" ht="15" customHeight="1">
      <c r="A409" t="inlineStr">
        <is>
          <t>A 5217-2023</t>
        </is>
      </c>
      <c r="B409" s="1" t="n">
        <v>44959.39582175926</v>
      </c>
      <c r="C409" s="1" t="n">
        <v>45995</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54584-2025</t>
        </is>
      </c>
      <c r="B410" s="1" t="n">
        <v>45965.71788194445</v>
      </c>
      <c r="C410" s="1" t="n">
        <v>45995</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57685-2022</t>
        </is>
      </c>
      <c r="B411" s="1" t="n">
        <v>44897.4777662037</v>
      </c>
      <c r="C411" s="1" t="n">
        <v>45995</v>
      </c>
      <c r="D411" t="inlineStr">
        <is>
          <t>GOTLANDS LÄN</t>
        </is>
      </c>
      <c r="E411" t="inlineStr">
        <is>
          <t>GOTLAND</t>
        </is>
      </c>
      <c r="G411" t="n">
        <v>3.7</v>
      </c>
      <c r="H411" t="n">
        <v>0</v>
      </c>
      <c r="I411" t="n">
        <v>0</v>
      </c>
      <c r="J411" t="n">
        <v>0</v>
      </c>
      <c r="K411" t="n">
        <v>0</v>
      </c>
      <c r="L411" t="n">
        <v>0</v>
      </c>
      <c r="M411" t="n">
        <v>0</v>
      </c>
      <c r="N411" t="n">
        <v>0</v>
      </c>
      <c r="O411" t="n">
        <v>0</v>
      </c>
      <c r="P411" t="n">
        <v>0</v>
      </c>
      <c r="Q411" t="n">
        <v>0</v>
      </c>
      <c r="R411" s="2" t="inlineStr"/>
    </row>
    <row r="412" ht="15" customHeight="1">
      <c r="A412" t="inlineStr">
        <is>
          <t>A 30815-2023</t>
        </is>
      </c>
      <c r="B412" s="1" t="n">
        <v>45112</v>
      </c>
      <c r="C412" s="1" t="n">
        <v>45995</v>
      </c>
      <c r="D412" t="inlineStr">
        <is>
          <t>GOTLANDS LÄN</t>
        </is>
      </c>
      <c r="E412" t="inlineStr">
        <is>
          <t>GOTLAND</t>
        </is>
      </c>
      <c r="G412" t="n">
        <v>6</v>
      </c>
      <c r="H412" t="n">
        <v>0</v>
      </c>
      <c r="I412" t="n">
        <v>0</v>
      </c>
      <c r="J412" t="n">
        <v>0</v>
      </c>
      <c r="K412" t="n">
        <v>0</v>
      </c>
      <c r="L412" t="n">
        <v>0</v>
      </c>
      <c r="M412" t="n">
        <v>0</v>
      </c>
      <c r="N412" t="n">
        <v>0</v>
      </c>
      <c r="O412" t="n">
        <v>0</v>
      </c>
      <c r="P412" t="n">
        <v>0</v>
      </c>
      <c r="Q412" t="n">
        <v>0</v>
      </c>
      <c r="R412" s="2" t="inlineStr"/>
    </row>
    <row r="413" ht="15" customHeight="1">
      <c r="A413" t="inlineStr">
        <is>
          <t>A 1677-2023</t>
        </is>
      </c>
      <c r="B413" s="1" t="n">
        <v>44938</v>
      </c>
      <c r="C413" s="1" t="n">
        <v>45995</v>
      </c>
      <c r="D413" t="inlineStr">
        <is>
          <t>GOTLANDS LÄN</t>
        </is>
      </c>
      <c r="E413" t="inlineStr">
        <is>
          <t>GOTLAND</t>
        </is>
      </c>
      <c r="G413" t="n">
        <v>1.6</v>
      </c>
      <c r="H413" t="n">
        <v>0</v>
      </c>
      <c r="I413" t="n">
        <v>0</v>
      </c>
      <c r="J413" t="n">
        <v>0</v>
      </c>
      <c r="K413" t="n">
        <v>0</v>
      </c>
      <c r="L413" t="n">
        <v>0</v>
      </c>
      <c r="M413" t="n">
        <v>0</v>
      </c>
      <c r="N413" t="n">
        <v>0</v>
      </c>
      <c r="O413" t="n">
        <v>0</v>
      </c>
      <c r="P413" t="n">
        <v>0</v>
      </c>
      <c r="Q413" t="n">
        <v>0</v>
      </c>
      <c r="R413" s="2" t="inlineStr"/>
    </row>
    <row r="414" ht="15" customHeight="1">
      <c r="A414" t="inlineStr">
        <is>
          <t>A 60709-2023</t>
        </is>
      </c>
      <c r="B414" s="1" t="n">
        <v>45260</v>
      </c>
      <c r="C414" s="1" t="n">
        <v>45995</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7034-2023</t>
        </is>
      </c>
      <c r="B415" s="1" t="n">
        <v>44968.32108796296</v>
      </c>
      <c r="C415" s="1" t="n">
        <v>45995</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7042-2023</t>
        </is>
      </c>
      <c r="B416" s="1" t="n">
        <v>44968</v>
      </c>
      <c r="C416" s="1" t="n">
        <v>45995</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64208-2021</t>
        </is>
      </c>
      <c r="B417" s="1" t="n">
        <v>44510</v>
      </c>
      <c r="C417" s="1" t="n">
        <v>45995</v>
      </c>
      <c r="D417" t="inlineStr">
        <is>
          <t>GOTLANDS LÄN</t>
        </is>
      </c>
      <c r="E417" t="inlineStr">
        <is>
          <t>GOTLAND</t>
        </is>
      </c>
      <c r="G417" t="n">
        <v>4.7</v>
      </c>
      <c r="H417" t="n">
        <v>0</v>
      </c>
      <c r="I417" t="n">
        <v>0</v>
      </c>
      <c r="J417" t="n">
        <v>0</v>
      </c>
      <c r="K417" t="n">
        <v>0</v>
      </c>
      <c r="L417" t="n">
        <v>0</v>
      </c>
      <c r="M417" t="n">
        <v>0</v>
      </c>
      <c r="N417" t="n">
        <v>0</v>
      </c>
      <c r="O417" t="n">
        <v>0</v>
      </c>
      <c r="P417" t="n">
        <v>0</v>
      </c>
      <c r="Q417" t="n">
        <v>0</v>
      </c>
      <c r="R417" s="2" t="inlineStr"/>
    </row>
    <row r="418" ht="15" customHeight="1">
      <c r="A418" t="inlineStr">
        <is>
          <t>A 39764-2022</t>
        </is>
      </c>
      <c r="B418" s="1" t="n">
        <v>44819</v>
      </c>
      <c r="C418" s="1" t="n">
        <v>45995</v>
      </c>
      <c r="D418" t="inlineStr">
        <is>
          <t>GOTLANDS LÄN</t>
        </is>
      </c>
      <c r="E418" t="inlineStr">
        <is>
          <t>GOTLAND</t>
        </is>
      </c>
      <c r="F418" t="inlineStr">
        <is>
          <t>Kyrkan</t>
        </is>
      </c>
      <c r="G418" t="n">
        <v>3.7</v>
      </c>
      <c r="H418" t="n">
        <v>0</v>
      </c>
      <c r="I418" t="n">
        <v>0</v>
      </c>
      <c r="J418" t="n">
        <v>0</v>
      </c>
      <c r="K418" t="n">
        <v>0</v>
      </c>
      <c r="L418" t="n">
        <v>0</v>
      </c>
      <c r="M418" t="n">
        <v>0</v>
      </c>
      <c r="N418" t="n">
        <v>0</v>
      </c>
      <c r="O418" t="n">
        <v>0</v>
      </c>
      <c r="P418" t="n">
        <v>0</v>
      </c>
      <c r="Q418" t="n">
        <v>0</v>
      </c>
      <c r="R418" s="2" t="inlineStr"/>
    </row>
    <row r="419" ht="15" customHeight="1">
      <c r="A419" t="inlineStr">
        <is>
          <t>A 45244-2024</t>
        </is>
      </c>
      <c r="B419" s="1" t="n">
        <v>45576</v>
      </c>
      <c r="C419" s="1" t="n">
        <v>45995</v>
      </c>
      <c r="D419" t="inlineStr">
        <is>
          <t>GOTLANDS LÄN</t>
        </is>
      </c>
      <c r="E419" t="inlineStr">
        <is>
          <t>GOTLAND</t>
        </is>
      </c>
      <c r="G419" t="n">
        <v>2.4</v>
      </c>
      <c r="H419" t="n">
        <v>0</v>
      </c>
      <c r="I419" t="n">
        <v>0</v>
      </c>
      <c r="J419" t="n">
        <v>0</v>
      </c>
      <c r="K419" t="n">
        <v>0</v>
      </c>
      <c r="L419" t="n">
        <v>0</v>
      </c>
      <c r="M419" t="n">
        <v>0</v>
      </c>
      <c r="N419" t="n">
        <v>0</v>
      </c>
      <c r="O419" t="n">
        <v>0</v>
      </c>
      <c r="P419" t="n">
        <v>0</v>
      </c>
      <c r="Q419" t="n">
        <v>0</v>
      </c>
      <c r="R419" s="2" t="inlineStr"/>
    </row>
    <row r="420" ht="15" customHeight="1">
      <c r="A420" t="inlineStr">
        <is>
          <t>A 23516-2023</t>
        </is>
      </c>
      <c r="B420" s="1" t="n">
        <v>45076.93391203704</v>
      </c>
      <c r="C420" s="1" t="n">
        <v>45995</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64660-2023</t>
        </is>
      </c>
      <c r="B421" s="1" t="n">
        <v>45281.60122685185</v>
      </c>
      <c r="C421" s="1" t="n">
        <v>45995</v>
      </c>
      <c r="D421" t="inlineStr">
        <is>
          <t>GOTLANDS LÄN</t>
        </is>
      </c>
      <c r="E421" t="inlineStr">
        <is>
          <t>GOTLAND</t>
        </is>
      </c>
      <c r="G421" t="n">
        <v>6.3</v>
      </c>
      <c r="H421" t="n">
        <v>0</v>
      </c>
      <c r="I421" t="n">
        <v>0</v>
      </c>
      <c r="J421" t="n">
        <v>0</v>
      </c>
      <c r="K421" t="n">
        <v>0</v>
      </c>
      <c r="L421" t="n">
        <v>0</v>
      </c>
      <c r="M421" t="n">
        <v>0</v>
      </c>
      <c r="N421" t="n">
        <v>0</v>
      </c>
      <c r="O421" t="n">
        <v>0</v>
      </c>
      <c r="P421" t="n">
        <v>0</v>
      </c>
      <c r="Q421" t="n">
        <v>0</v>
      </c>
      <c r="R421" s="2" t="inlineStr"/>
    </row>
    <row r="422" ht="15" customHeight="1">
      <c r="A422" t="inlineStr">
        <is>
          <t>A 63763-2023</t>
        </is>
      </c>
      <c r="B422" s="1" t="n">
        <v>45278.33944444444</v>
      </c>
      <c r="C422" s="1" t="n">
        <v>45995</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8260-2023</t>
        </is>
      </c>
      <c r="B423" s="1" t="n">
        <v>44974.61608796296</v>
      </c>
      <c r="C423" s="1" t="n">
        <v>45995</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26391-2025</t>
        </is>
      </c>
      <c r="B424" s="1" t="n">
        <v>45806</v>
      </c>
      <c r="C424" s="1" t="n">
        <v>45995</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63229-2021</t>
        </is>
      </c>
      <c r="B425" s="1" t="n">
        <v>44508.34518518519</v>
      </c>
      <c r="C425" s="1" t="n">
        <v>45995</v>
      </c>
      <c r="D425" t="inlineStr">
        <is>
          <t>GOTLANDS LÄN</t>
        </is>
      </c>
      <c r="E425" t="inlineStr">
        <is>
          <t>GOTLAND</t>
        </is>
      </c>
      <c r="F425" t="inlineStr">
        <is>
          <t>Kyrkan</t>
        </is>
      </c>
      <c r="G425" t="n">
        <v>3.8</v>
      </c>
      <c r="H425" t="n">
        <v>0</v>
      </c>
      <c r="I425" t="n">
        <v>0</v>
      </c>
      <c r="J425" t="n">
        <v>0</v>
      </c>
      <c r="K425" t="n">
        <v>0</v>
      </c>
      <c r="L425" t="n">
        <v>0</v>
      </c>
      <c r="M425" t="n">
        <v>0</v>
      </c>
      <c r="N425" t="n">
        <v>0</v>
      </c>
      <c r="O425" t="n">
        <v>0</v>
      </c>
      <c r="P425" t="n">
        <v>0</v>
      </c>
      <c r="Q425" t="n">
        <v>0</v>
      </c>
      <c r="R425" s="2" t="inlineStr"/>
    </row>
    <row r="426" ht="15" customHeight="1">
      <c r="A426" t="inlineStr">
        <is>
          <t>A 58211-2024</t>
        </is>
      </c>
      <c r="B426" s="1" t="n">
        <v>45632.49292824074</v>
      </c>
      <c r="C426" s="1" t="n">
        <v>45995</v>
      </c>
      <c r="D426" t="inlineStr">
        <is>
          <t>GOTLANDS LÄN</t>
        </is>
      </c>
      <c r="E426" t="inlineStr">
        <is>
          <t>GOTLAND</t>
        </is>
      </c>
      <c r="G426" t="n">
        <v>5.4</v>
      </c>
      <c r="H426" t="n">
        <v>0</v>
      </c>
      <c r="I426" t="n">
        <v>0</v>
      </c>
      <c r="J426" t="n">
        <v>0</v>
      </c>
      <c r="K426" t="n">
        <v>0</v>
      </c>
      <c r="L426" t="n">
        <v>0</v>
      </c>
      <c r="M426" t="n">
        <v>0</v>
      </c>
      <c r="N426" t="n">
        <v>0</v>
      </c>
      <c r="O426" t="n">
        <v>0</v>
      </c>
      <c r="P426" t="n">
        <v>0</v>
      </c>
      <c r="Q426" t="n">
        <v>0</v>
      </c>
      <c r="R426" s="2" t="inlineStr"/>
    </row>
    <row r="427" ht="15" customHeight="1">
      <c r="A427" t="inlineStr">
        <is>
          <t>A 30956-2024</t>
        </is>
      </c>
      <c r="B427" s="1" t="n">
        <v>45499.42527777778</v>
      </c>
      <c r="C427" s="1" t="n">
        <v>45995</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46375-2024</t>
        </is>
      </c>
      <c r="B428" s="1" t="n">
        <v>45582</v>
      </c>
      <c r="C428" s="1" t="n">
        <v>45995</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30892-2024</t>
        </is>
      </c>
      <c r="B429" s="1" t="n">
        <v>45491</v>
      </c>
      <c r="C429" s="1" t="n">
        <v>45995</v>
      </c>
      <c r="D429" t="inlineStr">
        <is>
          <t>GOTLANDS LÄN</t>
        </is>
      </c>
      <c r="E429" t="inlineStr">
        <is>
          <t>GOTLAND</t>
        </is>
      </c>
      <c r="G429" t="n">
        <v>6.1</v>
      </c>
      <c r="H429" t="n">
        <v>0</v>
      </c>
      <c r="I429" t="n">
        <v>0</v>
      </c>
      <c r="J429" t="n">
        <v>0</v>
      </c>
      <c r="K429" t="n">
        <v>0</v>
      </c>
      <c r="L429" t="n">
        <v>0</v>
      </c>
      <c r="M429" t="n">
        <v>0</v>
      </c>
      <c r="N429" t="n">
        <v>0</v>
      </c>
      <c r="O429" t="n">
        <v>0</v>
      </c>
      <c r="P429" t="n">
        <v>0</v>
      </c>
      <c r="Q429" t="n">
        <v>0</v>
      </c>
      <c r="R429" s="2" t="inlineStr"/>
    </row>
    <row r="430" ht="15" customHeight="1">
      <c r="A430" t="inlineStr">
        <is>
          <t>A 64969-2023</t>
        </is>
      </c>
      <c r="B430" s="1" t="n">
        <v>45284.54009259259</v>
      </c>
      <c r="C430" s="1" t="n">
        <v>45995</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14635-2023</t>
        </is>
      </c>
      <c r="B431" s="1" t="n">
        <v>45013.69365740741</v>
      </c>
      <c r="C431" s="1" t="n">
        <v>45995</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48843-2024</t>
        </is>
      </c>
      <c r="B432" s="1" t="n">
        <v>45593</v>
      </c>
      <c r="C432" s="1" t="n">
        <v>45995</v>
      </c>
      <c r="D432" t="inlineStr">
        <is>
          <t>GOTLANDS LÄN</t>
        </is>
      </c>
      <c r="E432" t="inlineStr">
        <is>
          <t>GOTLAND</t>
        </is>
      </c>
      <c r="G432" t="n">
        <v>0.5</v>
      </c>
      <c r="H432" t="n">
        <v>0</v>
      </c>
      <c r="I432" t="n">
        <v>0</v>
      </c>
      <c r="J432" t="n">
        <v>0</v>
      </c>
      <c r="K432" t="n">
        <v>0</v>
      </c>
      <c r="L432" t="n">
        <v>0</v>
      </c>
      <c r="M432" t="n">
        <v>0</v>
      </c>
      <c r="N432" t="n">
        <v>0</v>
      </c>
      <c r="O432" t="n">
        <v>0</v>
      </c>
      <c r="P432" t="n">
        <v>0</v>
      </c>
      <c r="Q432" t="n">
        <v>0</v>
      </c>
      <c r="R432" s="2" t="inlineStr"/>
    </row>
    <row r="433" ht="15" customHeight="1">
      <c r="A433" t="inlineStr">
        <is>
          <t>A 17541-2024</t>
        </is>
      </c>
      <c r="B433" s="1" t="n">
        <v>45415</v>
      </c>
      <c r="C433" s="1" t="n">
        <v>45995</v>
      </c>
      <c r="D433" t="inlineStr">
        <is>
          <t>GOTLANDS LÄN</t>
        </is>
      </c>
      <c r="E433" t="inlineStr">
        <is>
          <t>GOTLAND</t>
        </is>
      </c>
      <c r="G433" t="n">
        <v>2.6</v>
      </c>
      <c r="H433" t="n">
        <v>0</v>
      </c>
      <c r="I433" t="n">
        <v>0</v>
      </c>
      <c r="J433" t="n">
        <v>0</v>
      </c>
      <c r="K433" t="n">
        <v>0</v>
      </c>
      <c r="L433" t="n">
        <v>0</v>
      </c>
      <c r="M433" t="n">
        <v>0</v>
      </c>
      <c r="N433" t="n">
        <v>0</v>
      </c>
      <c r="O433" t="n">
        <v>0</v>
      </c>
      <c r="P433" t="n">
        <v>0</v>
      </c>
      <c r="Q433" t="n">
        <v>0</v>
      </c>
      <c r="R433" s="2" t="inlineStr"/>
    </row>
    <row r="434" ht="15" customHeight="1">
      <c r="A434" t="inlineStr">
        <is>
          <t>A 2241-2025</t>
        </is>
      </c>
      <c r="B434" s="1" t="n">
        <v>45673.48710648148</v>
      </c>
      <c r="C434" s="1" t="n">
        <v>45995</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46836-2025</t>
        </is>
      </c>
      <c r="B435" s="1" t="n">
        <v>45928.31511574074</v>
      </c>
      <c r="C435" s="1" t="n">
        <v>45995</v>
      </c>
      <c r="D435" t="inlineStr">
        <is>
          <t>GOTLANDS LÄN</t>
        </is>
      </c>
      <c r="E435" t="inlineStr">
        <is>
          <t>GOTLAND</t>
        </is>
      </c>
      <c r="G435" t="n">
        <v>2.8</v>
      </c>
      <c r="H435" t="n">
        <v>0</v>
      </c>
      <c r="I435" t="n">
        <v>0</v>
      </c>
      <c r="J435" t="n">
        <v>0</v>
      </c>
      <c r="K435" t="n">
        <v>0</v>
      </c>
      <c r="L435" t="n">
        <v>0</v>
      </c>
      <c r="M435" t="n">
        <v>0</v>
      </c>
      <c r="N435" t="n">
        <v>0</v>
      </c>
      <c r="O435" t="n">
        <v>0</v>
      </c>
      <c r="P435" t="n">
        <v>0</v>
      </c>
      <c r="Q435" t="n">
        <v>0</v>
      </c>
      <c r="R435" s="2" t="inlineStr"/>
    </row>
    <row r="436" ht="15" customHeight="1">
      <c r="A436" t="inlineStr">
        <is>
          <t>A 59469-2024</t>
        </is>
      </c>
      <c r="B436" s="1" t="n">
        <v>45638</v>
      </c>
      <c r="C436" s="1" t="n">
        <v>45995</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7858-2025</t>
        </is>
      </c>
      <c r="B437" s="1" t="n">
        <v>45706.68633101852</v>
      </c>
      <c r="C437" s="1" t="n">
        <v>45995</v>
      </c>
      <c r="D437" t="inlineStr">
        <is>
          <t>GOTLANDS LÄN</t>
        </is>
      </c>
      <c r="E437" t="inlineStr">
        <is>
          <t>GOTLAND</t>
        </is>
      </c>
      <c r="G437" t="n">
        <v>3</v>
      </c>
      <c r="H437" t="n">
        <v>0</v>
      </c>
      <c r="I437" t="n">
        <v>0</v>
      </c>
      <c r="J437" t="n">
        <v>0</v>
      </c>
      <c r="K437" t="n">
        <v>0</v>
      </c>
      <c r="L437" t="n">
        <v>0</v>
      </c>
      <c r="M437" t="n">
        <v>0</v>
      </c>
      <c r="N437" t="n">
        <v>0</v>
      </c>
      <c r="O437" t="n">
        <v>0</v>
      </c>
      <c r="P437" t="n">
        <v>0</v>
      </c>
      <c r="Q437" t="n">
        <v>0</v>
      </c>
      <c r="R437" s="2" t="inlineStr"/>
    </row>
    <row r="438" ht="15" customHeight="1">
      <c r="A438" t="inlineStr">
        <is>
          <t>A 15434-2024</t>
        </is>
      </c>
      <c r="B438" s="1" t="n">
        <v>45401.38836805556</v>
      </c>
      <c r="C438" s="1" t="n">
        <v>45995</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5943-2024</t>
        </is>
      </c>
      <c r="B439" s="1" t="n">
        <v>45336</v>
      </c>
      <c r="C439" s="1" t="n">
        <v>45995</v>
      </c>
      <c r="D439" t="inlineStr">
        <is>
          <t>GOTLANDS LÄN</t>
        </is>
      </c>
      <c r="E439" t="inlineStr">
        <is>
          <t>GOTLAND</t>
        </is>
      </c>
      <c r="G439" t="n">
        <v>4.3</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45995</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54073-2022</t>
        </is>
      </c>
      <c r="B441" s="1" t="n">
        <v>44881.50380787037</v>
      </c>
      <c r="C441" s="1" t="n">
        <v>45995</v>
      </c>
      <c r="D441" t="inlineStr">
        <is>
          <t>GOTLANDS LÄN</t>
        </is>
      </c>
      <c r="E441" t="inlineStr">
        <is>
          <t>GOTLAND</t>
        </is>
      </c>
      <c r="G441" t="n">
        <v>3.8</v>
      </c>
      <c r="H441" t="n">
        <v>0</v>
      </c>
      <c r="I441" t="n">
        <v>0</v>
      </c>
      <c r="J441" t="n">
        <v>0</v>
      </c>
      <c r="K441" t="n">
        <v>0</v>
      </c>
      <c r="L441" t="n">
        <v>0</v>
      </c>
      <c r="M441" t="n">
        <v>0</v>
      </c>
      <c r="N441" t="n">
        <v>0</v>
      </c>
      <c r="O441" t="n">
        <v>0</v>
      </c>
      <c r="P441" t="n">
        <v>0</v>
      </c>
      <c r="Q441" t="n">
        <v>0</v>
      </c>
      <c r="R441" s="2" t="inlineStr"/>
    </row>
    <row r="442" ht="15" customHeight="1">
      <c r="A442" t="inlineStr">
        <is>
          <t>A 16361-2024</t>
        </is>
      </c>
      <c r="B442" s="1" t="n">
        <v>45407</v>
      </c>
      <c r="C442" s="1" t="n">
        <v>45995</v>
      </c>
      <c r="D442" t="inlineStr">
        <is>
          <t>GOTLANDS LÄN</t>
        </is>
      </c>
      <c r="E442" t="inlineStr">
        <is>
          <t>GOTLAND</t>
        </is>
      </c>
      <c r="G442" t="n">
        <v>6</v>
      </c>
      <c r="H442" t="n">
        <v>0</v>
      </c>
      <c r="I442" t="n">
        <v>0</v>
      </c>
      <c r="J442" t="n">
        <v>0</v>
      </c>
      <c r="K442" t="n">
        <v>0</v>
      </c>
      <c r="L442" t="n">
        <v>0</v>
      </c>
      <c r="M442" t="n">
        <v>0</v>
      </c>
      <c r="N442" t="n">
        <v>0</v>
      </c>
      <c r="O442" t="n">
        <v>0</v>
      </c>
      <c r="P442" t="n">
        <v>0</v>
      </c>
      <c r="Q442" t="n">
        <v>0</v>
      </c>
      <c r="R442" s="2" t="inlineStr"/>
    </row>
    <row r="443" ht="15" customHeight="1">
      <c r="A443" t="inlineStr">
        <is>
          <t>A 41038-2023</t>
        </is>
      </c>
      <c r="B443" s="1" t="n">
        <v>45173.60959490741</v>
      </c>
      <c r="C443" s="1" t="n">
        <v>45995</v>
      </c>
      <c r="D443" t="inlineStr">
        <is>
          <t>GOTLANDS LÄN</t>
        </is>
      </c>
      <c r="E443" t="inlineStr">
        <is>
          <t>GOTLAND</t>
        </is>
      </c>
      <c r="G443" t="n">
        <v>2.7</v>
      </c>
      <c r="H443" t="n">
        <v>0</v>
      </c>
      <c r="I443" t="n">
        <v>0</v>
      </c>
      <c r="J443" t="n">
        <v>0</v>
      </c>
      <c r="K443" t="n">
        <v>0</v>
      </c>
      <c r="L443" t="n">
        <v>0</v>
      </c>
      <c r="M443" t="n">
        <v>0</v>
      </c>
      <c r="N443" t="n">
        <v>0</v>
      </c>
      <c r="O443" t="n">
        <v>0</v>
      </c>
      <c r="P443" t="n">
        <v>0</v>
      </c>
      <c r="Q443" t="n">
        <v>0</v>
      </c>
      <c r="R443" s="2" t="inlineStr"/>
    </row>
    <row r="444" ht="15" customHeight="1">
      <c r="A444" t="inlineStr">
        <is>
          <t>A 18223-2025</t>
        </is>
      </c>
      <c r="B444" s="1" t="n">
        <v>45761</v>
      </c>
      <c r="C444" s="1" t="n">
        <v>45995</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4420-2025</t>
        </is>
      </c>
      <c r="B445" s="1" t="n">
        <v>45686.47157407407</v>
      </c>
      <c r="C445" s="1" t="n">
        <v>45995</v>
      </c>
      <c r="D445" t="inlineStr">
        <is>
          <t>GOTLANDS LÄN</t>
        </is>
      </c>
      <c r="E445" t="inlineStr">
        <is>
          <t>GOTLAND</t>
        </is>
      </c>
      <c r="G445" t="n">
        <v>1.6</v>
      </c>
      <c r="H445" t="n">
        <v>0</v>
      </c>
      <c r="I445" t="n">
        <v>0</v>
      </c>
      <c r="J445" t="n">
        <v>0</v>
      </c>
      <c r="K445" t="n">
        <v>0</v>
      </c>
      <c r="L445" t="n">
        <v>0</v>
      </c>
      <c r="M445" t="n">
        <v>0</v>
      </c>
      <c r="N445" t="n">
        <v>0</v>
      </c>
      <c r="O445" t="n">
        <v>0</v>
      </c>
      <c r="P445" t="n">
        <v>0</v>
      </c>
      <c r="Q445" t="n">
        <v>0</v>
      </c>
      <c r="R445" s="2" t="inlineStr"/>
    </row>
    <row r="446" ht="15" customHeight="1">
      <c r="A446" t="inlineStr">
        <is>
          <t>A 5891-2025</t>
        </is>
      </c>
      <c r="B446" s="1" t="n">
        <v>45695.38327546296</v>
      </c>
      <c r="C446" s="1" t="n">
        <v>45995</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14427-2024</t>
        </is>
      </c>
      <c r="B447" s="1" t="n">
        <v>45394</v>
      </c>
      <c r="C447" s="1" t="n">
        <v>45995</v>
      </c>
      <c r="D447" t="inlineStr">
        <is>
          <t>GOTLANDS LÄN</t>
        </is>
      </c>
      <c r="E447" t="inlineStr">
        <is>
          <t>GOTLAND</t>
        </is>
      </c>
      <c r="G447" t="n">
        <v>1.3</v>
      </c>
      <c r="H447" t="n">
        <v>0</v>
      </c>
      <c r="I447" t="n">
        <v>0</v>
      </c>
      <c r="J447" t="n">
        <v>0</v>
      </c>
      <c r="K447" t="n">
        <v>0</v>
      </c>
      <c r="L447" t="n">
        <v>0</v>
      </c>
      <c r="M447" t="n">
        <v>0</v>
      </c>
      <c r="N447" t="n">
        <v>0</v>
      </c>
      <c r="O447" t="n">
        <v>0</v>
      </c>
      <c r="P447" t="n">
        <v>0</v>
      </c>
      <c r="Q447" t="n">
        <v>0</v>
      </c>
      <c r="R447" s="2" t="inlineStr"/>
    </row>
    <row r="448" ht="15" customHeight="1">
      <c r="A448" t="inlineStr">
        <is>
          <t>A 7835-2024</t>
        </is>
      </c>
      <c r="B448" s="1" t="n">
        <v>45349.83138888889</v>
      </c>
      <c r="C448" s="1" t="n">
        <v>45995</v>
      </c>
      <c r="D448" t="inlineStr">
        <is>
          <t>GOTLANDS LÄN</t>
        </is>
      </c>
      <c r="E448" t="inlineStr">
        <is>
          <t>GOTLAND</t>
        </is>
      </c>
      <c r="G448" t="n">
        <v>3.8</v>
      </c>
      <c r="H448" t="n">
        <v>0</v>
      </c>
      <c r="I448" t="n">
        <v>0</v>
      </c>
      <c r="J448" t="n">
        <v>0</v>
      </c>
      <c r="K448" t="n">
        <v>0</v>
      </c>
      <c r="L448" t="n">
        <v>0</v>
      </c>
      <c r="M448" t="n">
        <v>0</v>
      </c>
      <c r="N448" t="n">
        <v>0</v>
      </c>
      <c r="O448" t="n">
        <v>0</v>
      </c>
      <c r="P448" t="n">
        <v>0</v>
      </c>
      <c r="Q448" t="n">
        <v>0</v>
      </c>
      <c r="R448" s="2" t="inlineStr"/>
    </row>
    <row r="449" ht="15" customHeight="1">
      <c r="A449" t="inlineStr">
        <is>
          <t>A 47637-2025</t>
        </is>
      </c>
      <c r="B449" s="1" t="n">
        <v>45931.49753472222</v>
      </c>
      <c r="C449" s="1" t="n">
        <v>45995</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20794-2025</t>
        </is>
      </c>
      <c r="B450" s="1" t="n">
        <v>45776</v>
      </c>
      <c r="C450" s="1" t="n">
        <v>45995</v>
      </c>
      <c r="D450" t="inlineStr">
        <is>
          <t>GOTLANDS LÄN</t>
        </is>
      </c>
      <c r="E450" t="inlineStr">
        <is>
          <t>GOTLAND</t>
        </is>
      </c>
      <c r="G450" t="n">
        <v>6</v>
      </c>
      <c r="H450" t="n">
        <v>0</v>
      </c>
      <c r="I450" t="n">
        <v>0</v>
      </c>
      <c r="J450" t="n">
        <v>0</v>
      </c>
      <c r="K450" t="n">
        <v>0</v>
      </c>
      <c r="L450" t="n">
        <v>0</v>
      </c>
      <c r="M450" t="n">
        <v>0</v>
      </c>
      <c r="N450" t="n">
        <v>0</v>
      </c>
      <c r="O450" t="n">
        <v>0</v>
      </c>
      <c r="P450" t="n">
        <v>0</v>
      </c>
      <c r="Q450" t="n">
        <v>0</v>
      </c>
      <c r="R450" s="2" t="inlineStr"/>
    </row>
    <row r="451" ht="15" customHeight="1">
      <c r="A451" t="inlineStr">
        <is>
          <t>A 20805-2025</t>
        </is>
      </c>
      <c r="B451" s="1" t="n">
        <v>45776</v>
      </c>
      <c r="C451" s="1" t="n">
        <v>45995</v>
      </c>
      <c r="D451" t="inlineStr">
        <is>
          <t>GOTLANDS LÄN</t>
        </is>
      </c>
      <c r="E451" t="inlineStr">
        <is>
          <t>GOTLAND</t>
        </is>
      </c>
      <c r="G451" t="n">
        <v>3.1</v>
      </c>
      <c r="H451" t="n">
        <v>0</v>
      </c>
      <c r="I451" t="n">
        <v>0</v>
      </c>
      <c r="J451" t="n">
        <v>0</v>
      </c>
      <c r="K451" t="n">
        <v>0</v>
      </c>
      <c r="L451" t="n">
        <v>0</v>
      </c>
      <c r="M451" t="n">
        <v>0</v>
      </c>
      <c r="N451" t="n">
        <v>0</v>
      </c>
      <c r="O451" t="n">
        <v>0</v>
      </c>
      <c r="P451" t="n">
        <v>0</v>
      </c>
      <c r="Q451" t="n">
        <v>0</v>
      </c>
      <c r="R451" s="2" t="inlineStr"/>
    </row>
    <row r="452" ht="15" customHeight="1">
      <c r="A452" t="inlineStr">
        <is>
          <t>A 31802-2024</t>
        </is>
      </c>
      <c r="B452" s="1" t="n">
        <v>45509</v>
      </c>
      <c r="C452" s="1" t="n">
        <v>45995</v>
      </c>
      <c r="D452" t="inlineStr">
        <is>
          <t>GOTLANDS LÄN</t>
        </is>
      </c>
      <c r="E452" t="inlineStr">
        <is>
          <t>GOTLAND</t>
        </is>
      </c>
      <c r="G452" t="n">
        <v>2.8</v>
      </c>
      <c r="H452" t="n">
        <v>0</v>
      </c>
      <c r="I452" t="n">
        <v>0</v>
      </c>
      <c r="J452" t="n">
        <v>0</v>
      </c>
      <c r="K452" t="n">
        <v>0</v>
      </c>
      <c r="L452" t="n">
        <v>0</v>
      </c>
      <c r="M452" t="n">
        <v>0</v>
      </c>
      <c r="N452" t="n">
        <v>0</v>
      </c>
      <c r="O452" t="n">
        <v>0</v>
      </c>
      <c r="P452" t="n">
        <v>0</v>
      </c>
      <c r="Q452" t="n">
        <v>0</v>
      </c>
      <c r="R452" s="2" t="inlineStr"/>
    </row>
    <row r="453" ht="15" customHeight="1">
      <c r="A453" t="inlineStr">
        <is>
          <t>A 21389-2025</t>
        </is>
      </c>
      <c r="B453" s="1" t="n">
        <v>45782</v>
      </c>
      <c r="C453" s="1" t="n">
        <v>45995</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8036-2022</t>
        </is>
      </c>
      <c r="B454" s="1" t="n">
        <v>44609.44362268518</v>
      </c>
      <c r="C454" s="1" t="n">
        <v>45995</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21651-2025</t>
        </is>
      </c>
      <c r="B455" s="1" t="n">
        <v>45783</v>
      </c>
      <c r="C455" s="1" t="n">
        <v>45995</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12846-2025</t>
        </is>
      </c>
      <c r="B456" s="1" t="n">
        <v>45733.65049768519</v>
      </c>
      <c r="C456" s="1" t="n">
        <v>45995</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56799-2025</t>
        </is>
      </c>
      <c r="B457" s="1" t="n">
        <v>45978.43392361111</v>
      </c>
      <c r="C457" s="1" t="n">
        <v>45995</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47147-2025</t>
        </is>
      </c>
      <c r="B458" s="1" t="n">
        <v>45929</v>
      </c>
      <c r="C458" s="1" t="n">
        <v>45995</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32378-2025</t>
        </is>
      </c>
      <c r="B459" s="1" t="n">
        <v>45837</v>
      </c>
      <c r="C459" s="1" t="n">
        <v>45995</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46949-2024</t>
        </is>
      </c>
      <c r="B460" s="1" t="n">
        <v>45585</v>
      </c>
      <c r="C460" s="1" t="n">
        <v>45995</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10650-2022</t>
        </is>
      </c>
      <c r="B461" s="1" t="n">
        <v>44624.57945601852</v>
      </c>
      <c r="C461" s="1" t="n">
        <v>45995</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35550-2025</t>
        </is>
      </c>
      <c r="B462" s="1" t="n">
        <v>45856.49324074074</v>
      </c>
      <c r="C462" s="1" t="n">
        <v>45995</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56688-2025</t>
        </is>
      </c>
      <c r="B463" s="1" t="n">
        <v>45975.84331018518</v>
      </c>
      <c r="C463" s="1" t="n">
        <v>45995</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11634-2024</t>
        </is>
      </c>
      <c r="B464" s="1" t="n">
        <v>45373</v>
      </c>
      <c r="C464" s="1" t="n">
        <v>45995</v>
      </c>
      <c r="D464" t="inlineStr">
        <is>
          <t>GOTLANDS LÄN</t>
        </is>
      </c>
      <c r="E464" t="inlineStr">
        <is>
          <t>GOTLAND</t>
        </is>
      </c>
      <c r="G464" t="n">
        <v>3</v>
      </c>
      <c r="H464" t="n">
        <v>0</v>
      </c>
      <c r="I464" t="n">
        <v>0</v>
      </c>
      <c r="J464" t="n">
        <v>0</v>
      </c>
      <c r="K464" t="n">
        <v>0</v>
      </c>
      <c r="L464" t="n">
        <v>0</v>
      </c>
      <c r="M464" t="n">
        <v>0</v>
      </c>
      <c r="N464" t="n">
        <v>0</v>
      </c>
      <c r="O464" t="n">
        <v>0</v>
      </c>
      <c r="P464" t="n">
        <v>0</v>
      </c>
      <c r="Q464" t="n">
        <v>0</v>
      </c>
      <c r="R464" s="2" t="inlineStr"/>
    </row>
    <row r="465" ht="15" customHeight="1">
      <c r="A465" t="inlineStr">
        <is>
          <t>A 1351-2025</t>
        </is>
      </c>
      <c r="B465" s="1" t="n">
        <v>45667.62246527777</v>
      </c>
      <c r="C465" s="1" t="n">
        <v>45995</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39496-2022</t>
        </is>
      </c>
      <c r="B466" s="1" t="n">
        <v>44818</v>
      </c>
      <c r="C466" s="1" t="n">
        <v>45995</v>
      </c>
      <c r="D466" t="inlineStr">
        <is>
          <t>GOTLANDS LÄN</t>
        </is>
      </c>
      <c r="E466" t="inlineStr">
        <is>
          <t>GOTLAND</t>
        </is>
      </c>
      <c r="G466" t="n">
        <v>2.4</v>
      </c>
      <c r="H466" t="n">
        <v>0</v>
      </c>
      <c r="I466" t="n">
        <v>0</v>
      </c>
      <c r="J466" t="n">
        <v>0</v>
      </c>
      <c r="K466" t="n">
        <v>0</v>
      </c>
      <c r="L466" t="n">
        <v>0</v>
      </c>
      <c r="M466" t="n">
        <v>0</v>
      </c>
      <c r="N466" t="n">
        <v>0</v>
      </c>
      <c r="O466" t="n">
        <v>0</v>
      </c>
      <c r="P466" t="n">
        <v>0</v>
      </c>
      <c r="Q466" t="n">
        <v>0</v>
      </c>
      <c r="R466" s="2" t="inlineStr"/>
    </row>
    <row r="467" ht="15" customHeight="1">
      <c r="A467" t="inlineStr">
        <is>
          <t>A 47578-2025</t>
        </is>
      </c>
      <c r="B467" s="1" t="n">
        <v>45931</v>
      </c>
      <c r="C467" s="1" t="n">
        <v>45995</v>
      </c>
      <c r="D467" t="inlineStr">
        <is>
          <t>GOTLANDS LÄN</t>
        </is>
      </c>
      <c r="E467" t="inlineStr">
        <is>
          <t>GOTLAND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49874-2024</t>
        </is>
      </c>
      <c r="B468" s="1" t="n">
        <v>45597.49274305555</v>
      </c>
      <c r="C468" s="1" t="n">
        <v>45995</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57356-2023</t>
        </is>
      </c>
      <c r="B469" s="1" t="n">
        <v>45240</v>
      </c>
      <c r="C469" s="1" t="n">
        <v>45995</v>
      </c>
      <c r="D469" t="inlineStr">
        <is>
          <t>GOTLANDS LÄN</t>
        </is>
      </c>
      <c r="E469" t="inlineStr">
        <is>
          <t>GOTLAND</t>
        </is>
      </c>
      <c r="G469" t="n">
        <v>6.4</v>
      </c>
      <c r="H469" t="n">
        <v>0</v>
      </c>
      <c r="I469" t="n">
        <v>0</v>
      </c>
      <c r="J469" t="n">
        <v>0</v>
      </c>
      <c r="K469" t="n">
        <v>0</v>
      </c>
      <c r="L469" t="n">
        <v>0</v>
      </c>
      <c r="M469" t="n">
        <v>0</v>
      </c>
      <c r="N469" t="n">
        <v>0</v>
      </c>
      <c r="O469" t="n">
        <v>0</v>
      </c>
      <c r="P469" t="n">
        <v>0</v>
      </c>
      <c r="Q469" t="n">
        <v>0</v>
      </c>
      <c r="R469" s="2" t="inlineStr"/>
    </row>
    <row r="470" ht="15" customHeight="1">
      <c r="A470" t="inlineStr">
        <is>
          <t>A 10656-2024</t>
        </is>
      </c>
      <c r="B470" s="1" t="n">
        <v>45368</v>
      </c>
      <c r="C470" s="1" t="n">
        <v>45995</v>
      </c>
      <c r="D470" t="inlineStr">
        <is>
          <t>GOTLANDS LÄN</t>
        </is>
      </c>
      <c r="E470" t="inlineStr">
        <is>
          <t>GOTLAND</t>
        </is>
      </c>
      <c r="G470" t="n">
        <v>1.5</v>
      </c>
      <c r="H470" t="n">
        <v>0</v>
      </c>
      <c r="I470" t="n">
        <v>0</v>
      </c>
      <c r="J470" t="n">
        <v>0</v>
      </c>
      <c r="K470" t="n">
        <v>0</v>
      </c>
      <c r="L470" t="n">
        <v>0</v>
      </c>
      <c r="M470" t="n">
        <v>0</v>
      </c>
      <c r="N470" t="n">
        <v>0</v>
      </c>
      <c r="O470" t="n">
        <v>0</v>
      </c>
      <c r="P470" t="n">
        <v>0</v>
      </c>
      <c r="Q470" t="n">
        <v>0</v>
      </c>
      <c r="R470" s="2" t="inlineStr"/>
    </row>
    <row r="471" ht="15" customHeight="1">
      <c r="A471" t="inlineStr">
        <is>
          <t>A 42201-2023</t>
        </is>
      </c>
      <c r="B471" s="1" t="n">
        <v>45179</v>
      </c>
      <c r="C471" s="1" t="n">
        <v>45995</v>
      </c>
      <c r="D471" t="inlineStr">
        <is>
          <t>GOTLANDS LÄN</t>
        </is>
      </c>
      <c r="E471" t="inlineStr">
        <is>
          <t>GOTLAND</t>
        </is>
      </c>
      <c r="G471" t="n">
        <v>11.9</v>
      </c>
      <c r="H471" t="n">
        <v>0</v>
      </c>
      <c r="I471" t="n">
        <v>0</v>
      </c>
      <c r="J471" t="n">
        <v>0</v>
      </c>
      <c r="K471" t="n">
        <v>0</v>
      </c>
      <c r="L471" t="n">
        <v>0</v>
      </c>
      <c r="M471" t="n">
        <v>0</v>
      </c>
      <c r="N471" t="n">
        <v>0</v>
      </c>
      <c r="O471" t="n">
        <v>0</v>
      </c>
      <c r="P471" t="n">
        <v>0</v>
      </c>
      <c r="Q471" t="n">
        <v>0</v>
      </c>
      <c r="R471" s="2" t="inlineStr"/>
    </row>
    <row r="472" ht="15" customHeight="1">
      <c r="A472" t="inlineStr">
        <is>
          <t>A 46400-2023</t>
        </is>
      </c>
      <c r="B472" s="1" t="n">
        <v>45197.49290509259</v>
      </c>
      <c r="C472" s="1" t="n">
        <v>45995</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49724-2025</t>
        </is>
      </c>
      <c r="B473" s="1" t="n">
        <v>45939.83730324074</v>
      </c>
      <c r="C473" s="1" t="n">
        <v>45995</v>
      </c>
      <c r="D473" t="inlineStr">
        <is>
          <t>GOTLANDS LÄN</t>
        </is>
      </c>
      <c r="E473" t="inlineStr">
        <is>
          <t>GOTLAND</t>
        </is>
      </c>
      <c r="F473" t="inlineStr">
        <is>
          <t>Kyrkan</t>
        </is>
      </c>
      <c r="G473" t="n">
        <v>3.1</v>
      </c>
      <c r="H473" t="n">
        <v>0</v>
      </c>
      <c r="I473" t="n">
        <v>0</v>
      </c>
      <c r="J473" t="n">
        <v>0</v>
      </c>
      <c r="K473" t="n">
        <v>0</v>
      </c>
      <c r="L473" t="n">
        <v>0</v>
      </c>
      <c r="M473" t="n">
        <v>0</v>
      </c>
      <c r="N473" t="n">
        <v>0</v>
      </c>
      <c r="O473" t="n">
        <v>0</v>
      </c>
      <c r="P473" t="n">
        <v>0</v>
      </c>
      <c r="Q473" t="n">
        <v>0</v>
      </c>
      <c r="R473" s="2" t="inlineStr"/>
    </row>
    <row r="474" ht="15" customHeight="1">
      <c r="A474" t="inlineStr">
        <is>
          <t>A 49730-2025</t>
        </is>
      </c>
      <c r="B474" s="1" t="n">
        <v>45939.87613425926</v>
      </c>
      <c r="C474" s="1" t="n">
        <v>45995</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9875-2025</t>
        </is>
      </c>
      <c r="B475" s="1" t="n">
        <v>45716</v>
      </c>
      <c r="C475" s="1" t="n">
        <v>45995</v>
      </c>
      <c r="D475" t="inlineStr">
        <is>
          <t>GOTLANDS LÄN</t>
        </is>
      </c>
      <c r="E475" t="inlineStr">
        <is>
          <t>GOTLAND</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28506-2023</t>
        </is>
      </c>
      <c r="B476" s="1" t="n">
        <v>45103</v>
      </c>
      <c r="C476" s="1" t="n">
        <v>45995</v>
      </c>
      <c r="D476" t="inlineStr">
        <is>
          <t>GOTLANDS LÄN</t>
        </is>
      </c>
      <c r="E476" t="inlineStr">
        <is>
          <t>GOTLAND</t>
        </is>
      </c>
      <c r="G476" t="n">
        <v>3.2</v>
      </c>
      <c r="H476" t="n">
        <v>0</v>
      </c>
      <c r="I476" t="n">
        <v>0</v>
      </c>
      <c r="J476" t="n">
        <v>0</v>
      </c>
      <c r="K476" t="n">
        <v>0</v>
      </c>
      <c r="L476" t="n">
        <v>0</v>
      </c>
      <c r="M476" t="n">
        <v>0</v>
      </c>
      <c r="N476" t="n">
        <v>0</v>
      </c>
      <c r="O476" t="n">
        <v>0</v>
      </c>
      <c r="P476" t="n">
        <v>0</v>
      </c>
      <c r="Q476" t="n">
        <v>0</v>
      </c>
      <c r="R476" s="2" t="inlineStr"/>
    </row>
    <row r="477" ht="15" customHeight="1">
      <c r="A477" t="inlineStr">
        <is>
          <t>A 21420-2024</t>
        </is>
      </c>
      <c r="B477" s="1" t="n">
        <v>45441.38293981482</v>
      </c>
      <c r="C477" s="1" t="n">
        <v>45995</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21164-2024</t>
        </is>
      </c>
      <c r="B478" s="1" t="n">
        <v>45440</v>
      </c>
      <c r="C478" s="1" t="n">
        <v>45995</v>
      </c>
      <c r="D478" t="inlineStr">
        <is>
          <t>GOTLANDS LÄN</t>
        </is>
      </c>
      <c r="E478" t="inlineStr">
        <is>
          <t>GOTLAND</t>
        </is>
      </c>
      <c r="G478" t="n">
        <v>6.3</v>
      </c>
      <c r="H478" t="n">
        <v>0</v>
      </c>
      <c r="I478" t="n">
        <v>0</v>
      </c>
      <c r="J478" t="n">
        <v>0</v>
      </c>
      <c r="K478" t="n">
        <v>0</v>
      </c>
      <c r="L478" t="n">
        <v>0</v>
      </c>
      <c r="M478" t="n">
        <v>0</v>
      </c>
      <c r="N478" t="n">
        <v>0</v>
      </c>
      <c r="O478" t="n">
        <v>0</v>
      </c>
      <c r="P478" t="n">
        <v>0</v>
      </c>
      <c r="Q478" t="n">
        <v>0</v>
      </c>
      <c r="R478" s="2" t="inlineStr"/>
    </row>
    <row r="479" ht="15" customHeight="1">
      <c r="A479" t="inlineStr">
        <is>
          <t>A 8045-2022</t>
        </is>
      </c>
      <c r="B479" s="1" t="n">
        <v>44609</v>
      </c>
      <c r="C479" s="1" t="n">
        <v>45995</v>
      </c>
      <c r="D479" t="inlineStr">
        <is>
          <t>GOTLANDS LÄN</t>
        </is>
      </c>
      <c r="E479" t="inlineStr">
        <is>
          <t>GOTLAND</t>
        </is>
      </c>
      <c r="G479" t="n">
        <v>7</v>
      </c>
      <c r="H479" t="n">
        <v>0</v>
      </c>
      <c r="I479" t="n">
        <v>0</v>
      </c>
      <c r="J479" t="n">
        <v>0</v>
      </c>
      <c r="K479" t="n">
        <v>0</v>
      </c>
      <c r="L479" t="n">
        <v>0</v>
      </c>
      <c r="M479" t="n">
        <v>0</v>
      </c>
      <c r="N479" t="n">
        <v>0</v>
      </c>
      <c r="O479" t="n">
        <v>0</v>
      </c>
      <c r="P479" t="n">
        <v>0</v>
      </c>
      <c r="Q479" t="n">
        <v>0</v>
      </c>
      <c r="R479" s="2" t="inlineStr"/>
    </row>
    <row r="480" ht="15" customHeight="1">
      <c r="A480" t="inlineStr">
        <is>
          <t>A 23188-2025</t>
        </is>
      </c>
      <c r="B480" s="1" t="n">
        <v>45791</v>
      </c>
      <c r="C480" s="1" t="n">
        <v>45995</v>
      </c>
      <c r="D480" t="inlineStr">
        <is>
          <t>GOTLANDS LÄN</t>
        </is>
      </c>
      <c r="E480" t="inlineStr">
        <is>
          <t>GOTLAND</t>
        </is>
      </c>
      <c r="G480" t="n">
        <v>6.2</v>
      </c>
      <c r="H480" t="n">
        <v>0</v>
      </c>
      <c r="I480" t="n">
        <v>0</v>
      </c>
      <c r="J480" t="n">
        <v>0</v>
      </c>
      <c r="K480" t="n">
        <v>0</v>
      </c>
      <c r="L480" t="n">
        <v>0</v>
      </c>
      <c r="M480" t="n">
        <v>0</v>
      </c>
      <c r="N480" t="n">
        <v>0</v>
      </c>
      <c r="O480" t="n">
        <v>0</v>
      </c>
      <c r="P480" t="n">
        <v>0</v>
      </c>
      <c r="Q480" t="n">
        <v>0</v>
      </c>
      <c r="R480" s="2" t="inlineStr"/>
    </row>
    <row r="481" ht="15" customHeight="1">
      <c r="A481" t="inlineStr">
        <is>
          <t>A 49690-2025</t>
        </is>
      </c>
      <c r="B481" s="1" t="n">
        <v>45939.66730324074</v>
      </c>
      <c r="C481" s="1" t="n">
        <v>45995</v>
      </c>
      <c r="D481" t="inlineStr">
        <is>
          <t>GOTLANDS LÄN</t>
        </is>
      </c>
      <c r="E481" t="inlineStr">
        <is>
          <t>GOTLAND</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33011-2025</t>
        </is>
      </c>
      <c r="B482" s="1" t="n">
        <v>45840</v>
      </c>
      <c r="C482" s="1" t="n">
        <v>45995</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22897-2023</t>
        </is>
      </c>
      <c r="B483" s="1" t="n">
        <v>45072.55239583334</v>
      </c>
      <c r="C483" s="1" t="n">
        <v>45995</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61897-2024</t>
        </is>
      </c>
      <c r="B484" s="1" t="n">
        <v>45652.75685185185</v>
      </c>
      <c r="C484" s="1" t="n">
        <v>45995</v>
      </c>
      <c r="D484" t="inlineStr">
        <is>
          <t>GOTLANDS LÄN</t>
        </is>
      </c>
      <c r="E484" t="inlineStr">
        <is>
          <t>GOTLAND</t>
        </is>
      </c>
      <c r="G484" t="n">
        <v>6.4</v>
      </c>
      <c r="H484" t="n">
        <v>0</v>
      </c>
      <c r="I484" t="n">
        <v>0</v>
      </c>
      <c r="J484" t="n">
        <v>0</v>
      </c>
      <c r="K484" t="n">
        <v>0</v>
      </c>
      <c r="L484" t="n">
        <v>0</v>
      </c>
      <c r="M484" t="n">
        <v>0</v>
      </c>
      <c r="N484" t="n">
        <v>0</v>
      </c>
      <c r="O484" t="n">
        <v>0</v>
      </c>
      <c r="P484" t="n">
        <v>0</v>
      </c>
      <c r="Q484" t="n">
        <v>0</v>
      </c>
      <c r="R484" s="2" t="inlineStr"/>
    </row>
    <row r="485" ht="15" customHeight="1">
      <c r="A485" t="inlineStr">
        <is>
          <t>A 50421-2025</t>
        </is>
      </c>
      <c r="B485" s="1" t="n">
        <v>45944.66049768519</v>
      </c>
      <c r="C485" s="1" t="n">
        <v>45995</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49962-2023</t>
        </is>
      </c>
      <c r="B486" s="1" t="n">
        <v>45215.38775462963</v>
      </c>
      <c r="C486" s="1" t="n">
        <v>45995</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23473-2025</t>
        </is>
      </c>
      <c r="B487" s="1" t="n">
        <v>45792</v>
      </c>
      <c r="C487" s="1" t="n">
        <v>45995</v>
      </c>
      <c r="D487" t="inlineStr">
        <is>
          <t>GOTLANDS LÄN</t>
        </is>
      </c>
      <c r="E487" t="inlineStr">
        <is>
          <t>GOTLAND</t>
        </is>
      </c>
      <c r="G487" t="n">
        <v>3.6</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44698.49854166667</v>
      </c>
      <c r="C488" s="1" t="n">
        <v>45995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40294-2022</t>
        </is>
      </c>
      <c r="B489" s="1" t="n">
        <v>44821</v>
      </c>
      <c r="C489" s="1" t="n">
        <v>45995</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50431-2025</t>
        </is>
      </c>
      <c r="B490" s="1" t="n">
        <v>45944.68453703704</v>
      </c>
      <c r="C490" s="1" t="n">
        <v>45995</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12032-2025</t>
        </is>
      </c>
      <c r="B491" s="1" t="n">
        <v>45728.64472222222</v>
      </c>
      <c r="C491" s="1" t="n">
        <v>45995</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38787-2023</t>
        </is>
      </c>
      <c r="B492" s="1" t="n">
        <v>45163</v>
      </c>
      <c r="C492" s="1" t="n">
        <v>45995</v>
      </c>
      <c r="D492" t="inlineStr">
        <is>
          <t>GOTLANDS LÄN</t>
        </is>
      </c>
      <c r="E492" t="inlineStr">
        <is>
          <t>GOTLAND</t>
        </is>
      </c>
      <c r="G492" t="n">
        <v>0.4</v>
      </c>
      <c r="H492" t="n">
        <v>0</v>
      </c>
      <c r="I492" t="n">
        <v>0</v>
      </c>
      <c r="J492" t="n">
        <v>0</v>
      </c>
      <c r="K492" t="n">
        <v>0</v>
      </c>
      <c r="L492" t="n">
        <v>0</v>
      </c>
      <c r="M492" t="n">
        <v>0</v>
      </c>
      <c r="N492" t="n">
        <v>0</v>
      </c>
      <c r="O492" t="n">
        <v>0</v>
      </c>
      <c r="P492" t="n">
        <v>0</v>
      </c>
      <c r="Q492" t="n">
        <v>0</v>
      </c>
      <c r="R492" s="2" t="inlineStr"/>
    </row>
    <row r="493" ht="15" customHeight="1">
      <c r="A493" t="inlineStr">
        <is>
          <t>A 50928-2025</t>
        </is>
      </c>
      <c r="B493" s="1" t="n">
        <v>45946.67896990741</v>
      </c>
      <c r="C493" s="1" t="n">
        <v>45995</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43231-2023</t>
        </is>
      </c>
      <c r="B494" s="1" t="n">
        <v>45183.47025462963</v>
      </c>
      <c r="C494" s="1" t="n">
        <v>45995</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23856-2025</t>
        </is>
      </c>
      <c r="B495" s="1" t="n">
        <v>45793</v>
      </c>
      <c r="C495" s="1" t="n">
        <v>45995</v>
      </c>
      <c r="D495" t="inlineStr">
        <is>
          <t>GOTLANDS LÄN</t>
        </is>
      </c>
      <c r="E495" t="inlineStr">
        <is>
          <t>GOTLAND</t>
        </is>
      </c>
      <c r="G495" t="n">
        <v>4.4</v>
      </c>
      <c r="H495" t="n">
        <v>0</v>
      </c>
      <c r="I495" t="n">
        <v>0</v>
      </c>
      <c r="J495" t="n">
        <v>0</v>
      </c>
      <c r="K495" t="n">
        <v>0</v>
      </c>
      <c r="L495" t="n">
        <v>0</v>
      </c>
      <c r="M495" t="n">
        <v>0</v>
      </c>
      <c r="N495" t="n">
        <v>0</v>
      </c>
      <c r="O495" t="n">
        <v>0</v>
      </c>
      <c r="P495" t="n">
        <v>0</v>
      </c>
      <c r="Q495" t="n">
        <v>0</v>
      </c>
      <c r="R495" s="2" t="inlineStr"/>
    </row>
    <row r="496" ht="15" customHeight="1">
      <c r="A496" t="inlineStr">
        <is>
          <t>A 17532-2024</t>
        </is>
      </c>
      <c r="B496" s="1" t="n">
        <v>45415</v>
      </c>
      <c r="C496" s="1" t="n">
        <v>45995</v>
      </c>
      <c r="D496" t="inlineStr">
        <is>
          <t>GOTLANDS LÄN</t>
        </is>
      </c>
      <c r="E496" t="inlineStr">
        <is>
          <t>GOTLAND</t>
        </is>
      </c>
      <c r="G496" t="n">
        <v>4.3</v>
      </c>
      <c r="H496" t="n">
        <v>0</v>
      </c>
      <c r="I496" t="n">
        <v>0</v>
      </c>
      <c r="J496" t="n">
        <v>0</v>
      </c>
      <c r="K496" t="n">
        <v>0</v>
      </c>
      <c r="L496" t="n">
        <v>0</v>
      </c>
      <c r="M496" t="n">
        <v>0</v>
      </c>
      <c r="N496" t="n">
        <v>0</v>
      </c>
      <c r="O496" t="n">
        <v>0</v>
      </c>
      <c r="P496" t="n">
        <v>0</v>
      </c>
      <c r="Q496" t="n">
        <v>0</v>
      </c>
      <c r="R496" s="2" t="inlineStr"/>
    </row>
    <row r="497" ht="15" customHeight="1">
      <c r="A497" t="inlineStr">
        <is>
          <t>A 59197-2025</t>
        </is>
      </c>
      <c r="B497" s="1" t="n">
        <v>45988.59846064815</v>
      </c>
      <c r="C497" s="1" t="n">
        <v>45995</v>
      </c>
      <c r="D497" t="inlineStr">
        <is>
          <t>GOTLANDS LÄN</t>
        </is>
      </c>
      <c r="E497" t="inlineStr">
        <is>
          <t>GOTLAND</t>
        </is>
      </c>
      <c r="G497" t="n">
        <v>2.3</v>
      </c>
      <c r="H497" t="n">
        <v>0</v>
      </c>
      <c r="I497" t="n">
        <v>0</v>
      </c>
      <c r="J497" t="n">
        <v>0</v>
      </c>
      <c r="K497" t="n">
        <v>0</v>
      </c>
      <c r="L497" t="n">
        <v>0</v>
      </c>
      <c r="M497" t="n">
        <v>0</v>
      </c>
      <c r="N497" t="n">
        <v>0</v>
      </c>
      <c r="O497" t="n">
        <v>0</v>
      </c>
      <c r="P497" t="n">
        <v>0</v>
      </c>
      <c r="Q497" t="n">
        <v>0</v>
      </c>
      <c r="R497" s="2" t="inlineStr"/>
    </row>
    <row r="498" ht="15" customHeight="1">
      <c r="A498" t="inlineStr">
        <is>
          <t>A 3935-2025</t>
        </is>
      </c>
      <c r="B498" s="1" t="n">
        <v>45684.46070601852</v>
      </c>
      <c r="C498" s="1" t="n">
        <v>45995</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15073-2025</t>
        </is>
      </c>
      <c r="B499" s="1" t="n">
        <v>45743</v>
      </c>
      <c r="C499" s="1" t="n">
        <v>45995</v>
      </c>
      <c r="D499" t="inlineStr">
        <is>
          <t>GOTLANDS LÄN</t>
        </is>
      </c>
      <c r="E499" t="inlineStr">
        <is>
          <t>GOTLAND</t>
        </is>
      </c>
      <c r="G499" t="n">
        <v>12.1</v>
      </c>
      <c r="H499" t="n">
        <v>0</v>
      </c>
      <c r="I499" t="n">
        <v>0</v>
      </c>
      <c r="J499" t="n">
        <v>0</v>
      </c>
      <c r="K499" t="n">
        <v>0</v>
      </c>
      <c r="L499" t="n">
        <v>0</v>
      </c>
      <c r="M499" t="n">
        <v>0</v>
      </c>
      <c r="N499" t="n">
        <v>0</v>
      </c>
      <c r="O499" t="n">
        <v>0</v>
      </c>
      <c r="P499" t="n">
        <v>0</v>
      </c>
      <c r="Q499" t="n">
        <v>0</v>
      </c>
      <c r="R499" s="2" t="inlineStr"/>
    </row>
    <row r="500" ht="15" customHeight="1">
      <c r="A500" t="inlineStr">
        <is>
          <t>A 53569-2025</t>
        </is>
      </c>
      <c r="B500" s="1" t="n">
        <v>45960.41155092593</v>
      </c>
      <c r="C500" s="1" t="n">
        <v>45995</v>
      </c>
      <c r="D500" t="inlineStr">
        <is>
          <t>GOTLANDS LÄN</t>
        </is>
      </c>
      <c r="E500" t="inlineStr">
        <is>
          <t>GOTLAND</t>
        </is>
      </c>
      <c r="F500" t="inlineStr">
        <is>
          <t>Övriga Aktiebolag</t>
        </is>
      </c>
      <c r="G500" t="n">
        <v>11.3</v>
      </c>
      <c r="H500" t="n">
        <v>0</v>
      </c>
      <c r="I500" t="n">
        <v>0</v>
      </c>
      <c r="J500" t="n">
        <v>0</v>
      </c>
      <c r="K500" t="n">
        <v>0</v>
      </c>
      <c r="L500" t="n">
        <v>0</v>
      </c>
      <c r="M500" t="n">
        <v>0</v>
      </c>
      <c r="N500" t="n">
        <v>0</v>
      </c>
      <c r="O500" t="n">
        <v>0</v>
      </c>
      <c r="P500" t="n">
        <v>0</v>
      </c>
      <c r="Q500" t="n">
        <v>0</v>
      </c>
      <c r="R500" s="2" t="inlineStr"/>
    </row>
    <row r="501" ht="15" customHeight="1">
      <c r="A501" t="inlineStr">
        <is>
          <t>A 53577-2025</t>
        </is>
      </c>
      <c r="B501" s="1" t="n">
        <v>45960.42224537037</v>
      </c>
      <c r="C501" s="1" t="n">
        <v>45995</v>
      </c>
      <c r="D501" t="inlineStr">
        <is>
          <t>GOTLANDS LÄN</t>
        </is>
      </c>
      <c r="E501" t="inlineStr">
        <is>
          <t>GOTLAND</t>
        </is>
      </c>
      <c r="F501" t="inlineStr">
        <is>
          <t>Övriga Aktiebolag</t>
        </is>
      </c>
      <c r="G501" t="n">
        <v>3.3</v>
      </c>
      <c r="H501" t="n">
        <v>0</v>
      </c>
      <c r="I501" t="n">
        <v>0</v>
      </c>
      <c r="J501" t="n">
        <v>0</v>
      </c>
      <c r="K501" t="n">
        <v>0</v>
      </c>
      <c r="L501" t="n">
        <v>0</v>
      </c>
      <c r="M501" t="n">
        <v>0</v>
      </c>
      <c r="N501" t="n">
        <v>0</v>
      </c>
      <c r="O501" t="n">
        <v>0</v>
      </c>
      <c r="P501" t="n">
        <v>0</v>
      </c>
      <c r="Q501" t="n">
        <v>0</v>
      </c>
      <c r="R501" s="2" t="inlineStr"/>
    </row>
    <row r="502" ht="15" customHeight="1">
      <c r="A502" t="inlineStr">
        <is>
          <t>A 20225-2025</t>
        </is>
      </c>
      <c r="B502" s="1" t="n">
        <v>45772.65802083333</v>
      </c>
      <c r="C502" s="1" t="n">
        <v>45995</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6749-2025</t>
        </is>
      </c>
      <c r="B503" s="1" t="n">
        <v>45700</v>
      </c>
      <c r="C503" s="1" t="n">
        <v>45995</v>
      </c>
      <c r="D503" t="inlineStr">
        <is>
          <t>GOTLANDS LÄN</t>
        </is>
      </c>
      <c r="E503" t="inlineStr">
        <is>
          <t>GOTLAND</t>
        </is>
      </c>
      <c r="G503" t="n">
        <v>4.5</v>
      </c>
      <c r="H503" t="n">
        <v>0</v>
      </c>
      <c r="I503" t="n">
        <v>0</v>
      </c>
      <c r="J503" t="n">
        <v>0</v>
      </c>
      <c r="K503" t="n">
        <v>0</v>
      </c>
      <c r="L503" t="n">
        <v>0</v>
      </c>
      <c r="M503" t="n">
        <v>0</v>
      </c>
      <c r="N503" t="n">
        <v>0</v>
      </c>
      <c r="O503" t="n">
        <v>0</v>
      </c>
      <c r="P503" t="n">
        <v>0</v>
      </c>
      <c r="Q503" t="n">
        <v>0</v>
      </c>
      <c r="R503" s="2" t="inlineStr"/>
    </row>
    <row r="504" ht="15" customHeight="1">
      <c r="A504" t="inlineStr">
        <is>
          <t>A 883-2025</t>
        </is>
      </c>
      <c r="B504" s="1" t="n">
        <v>45665</v>
      </c>
      <c r="C504" s="1" t="n">
        <v>45995</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23698-2025</t>
        </is>
      </c>
      <c r="B505" s="1" t="n">
        <v>45793</v>
      </c>
      <c r="C505" s="1" t="n">
        <v>45995</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51262-2025</t>
        </is>
      </c>
      <c r="B506" s="1" t="n">
        <v>45949.49872685185</v>
      </c>
      <c r="C506" s="1" t="n">
        <v>45995</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1066-2024</t>
        </is>
      </c>
      <c r="B507" s="1" t="n">
        <v>45302.285</v>
      </c>
      <c r="C507" s="1" t="n">
        <v>45995</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17144-2025</t>
        </is>
      </c>
      <c r="B508" s="1" t="n">
        <v>45755.9499537037</v>
      </c>
      <c r="C508" s="1" t="n">
        <v>45995</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52249-2025</t>
        </is>
      </c>
      <c r="B509" s="1" t="n">
        <v>45953.48637731482</v>
      </c>
      <c r="C509" s="1" t="n">
        <v>45995</v>
      </c>
      <c r="D509" t="inlineStr">
        <is>
          <t>GOTLANDS LÄN</t>
        </is>
      </c>
      <c r="E509" t="inlineStr">
        <is>
          <t>GOTLAND</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56009-2024</t>
        </is>
      </c>
      <c r="B510" s="1" t="n">
        <v>45623.80864583333</v>
      </c>
      <c r="C510" s="1" t="n">
        <v>45995</v>
      </c>
      <c r="D510" t="inlineStr">
        <is>
          <t>GOTLANDS LÄN</t>
        </is>
      </c>
      <c r="E510" t="inlineStr">
        <is>
          <t>GOTLAND</t>
        </is>
      </c>
      <c r="G510" t="n">
        <v>2.8</v>
      </c>
      <c r="H510" t="n">
        <v>0</v>
      </c>
      <c r="I510" t="n">
        <v>0</v>
      </c>
      <c r="J510" t="n">
        <v>0</v>
      </c>
      <c r="K510" t="n">
        <v>0</v>
      </c>
      <c r="L510" t="n">
        <v>0</v>
      </c>
      <c r="M510" t="n">
        <v>0</v>
      </c>
      <c r="N510" t="n">
        <v>0</v>
      </c>
      <c r="O510" t="n">
        <v>0</v>
      </c>
      <c r="P510" t="n">
        <v>0</v>
      </c>
      <c r="Q510" t="n">
        <v>0</v>
      </c>
      <c r="R510" s="2" t="inlineStr"/>
    </row>
    <row r="511" ht="15" customHeight="1">
      <c r="A511" t="inlineStr">
        <is>
          <t>A 42338-2023</t>
        </is>
      </c>
      <c r="B511" s="1" t="n">
        <v>45180</v>
      </c>
      <c r="C511" s="1" t="n">
        <v>45995</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5462-2025</t>
        </is>
      </c>
      <c r="B512" s="1" t="n">
        <v>45693.29331018519</v>
      </c>
      <c r="C512" s="1" t="n">
        <v>45995</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25796-2025</t>
        </is>
      </c>
      <c r="B513" s="1" t="n">
        <v>45804.39543981481</v>
      </c>
      <c r="C513" s="1" t="n">
        <v>45995</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581-2023</t>
        </is>
      </c>
      <c r="B514" s="1" t="n">
        <v>44930</v>
      </c>
      <c r="C514" s="1" t="n">
        <v>45995</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61386-2023</t>
        </is>
      </c>
      <c r="B515" s="1" t="n">
        <v>45264</v>
      </c>
      <c r="C515" s="1" t="n">
        <v>45995</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873-2024</t>
        </is>
      </c>
      <c r="B516" s="1" t="n">
        <v>45301</v>
      </c>
      <c r="C516" s="1" t="n">
        <v>45995</v>
      </c>
      <c r="D516" t="inlineStr">
        <is>
          <t>GOTLANDS LÄN</t>
        </is>
      </c>
      <c r="E516" t="inlineStr">
        <is>
          <t>GOTLAND</t>
        </is>
      </c>
      <c r="G516" t="n">
        <v>2.7</v>
      </c>
      <c r="H516" t="n">
        <v>0</v>
      </c>
      <c r="I516" t="n">
        <v>0</v>
      </c>
      <c r="J516" t="n">
        <v>0</v>
      </c>
      <c r="K516" t="n">
        <v>0</v>
      </c>
      <c r="L516" t="n">
        <v>0</v>
      </c>
      <c r="M516" t="n">
        <v>0</v>
      </c>
      <c r="N516" t="n">
        <v>0</v>
      </c>
      <c r="O516" t="n">
        <v>0</v>
      </c>
      <c r="P516" t="n">
        <v>0</v>
      </c>
      <c r="Q516" t="n">
        <v>0</v>
      </c>
      <c r="R516" s="2" t="inlineStr"/>
    </row>
    <row r="517" ht="15" customHeight="1">
      <c r="A517" t="inlineStr">
        <is>
          <t>A 49411-2023</t>
        </is>
      </c>
      <c r="B517" s="1" t="n">
        <v>45205</v>
      </c>
      <c r="C517" s="1" t="n">
        <v>45995</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22275-2023</t>
        </is>
      </c>
      <c r="B518" s="1" t="n">
        <v>45070.39875</v>
      </c>
      <c r="C518" s="1" t="n">
        <v>45995</v>
      </c>
      <c r="D518" t="inlineStr">
        <is>
          <t>GOTLANDS LÄN</t>
        </is>
      </c>
      <c r="E518" t="inlineStr">
        <is>
          <t>GOTLAND</t>
        </is>
      </c>
      <c r="G518" t="n">
        <v>7.2</v>
      </c>
      <c r="H518" t="n">
        <v>0</v>
      </c>
      <c r="I518" t="n">
        <v>0</v>
      </c>
      <c r="J518" t="n">
        <v>0</v>
      </c>
      <c r="K518" t="n">
        <v>0</v>
      </c>
      <c r="L518" t="n">
        <v>0</v>
      </c>
      <c r="M518" t="n">
        <v>0</v>
      </c>
      <c r="N518" t="n">
        <v>0</v>
      </c>
      <c r="O518" t="n">
        <v>0</v>
      </c>
      <c r="P518" t="n">
        <v>0</v>
      </c>
      <c r="Q518" t="n">
        <v>0</v>
      </c>
      <c r="R518" s="2" t="inlineStr"/>
    </row>
    <row r="519" ht="15" customHeight="1">
      <c r="A519" t="inlineStr">
        <is>
          <t>A 12322-2025</t>
        </is>
      </c>
      <c r="B519" s="1" t="n">
        <v>45730</v>
      </c>
      <c r="C519" s="1" t="n">
        <v>45995</v>
      </c>
      <c r="D519" t="inlineStr">
        <is>
          <t>GOTLANDS LÄN</t>
        </is>
      </c>
      <c r="E519" t="inlineStr">
        <is>
          <t>GOTLAND</t>
        </is>
      </c>
      <c r="G519" t="n">
        <v>1.4</v>
      </c>
      <c r="H519" t="n">
        <v>0</v>
      </c>
      <c r="I519" t="n">
        <v>0</v>
      </c>
      <c r="J519" t="n">
        <v>0</v>
      </c>
      <c r="K519" t="n">
        <v>0</v>
      </c>
      <c r="L519" t="n">
        <v>0</v>
      </c>
      <c r="M519" t="n">
        <v>0</v>
      </c>
      <c r="N519" t="n">
        <v>0</v>
      </c>
      <c r="O519" t="n">
        <v>0</v>
      </c>
      <c r="P519" t="n">
        <v>0</v>
      </c>
      <c r="Q519" t="n">
        <v>0</v>
      </c>
      <c r="R519" s="2" t="inlineStr"/>
    </row>
    <row r="520" ht="15" customHeight="1">
      <c r="A520" t="inlineStr">
        <is>
          <t>A 14797-2024</t>
        </is>
      </c>
      <c r="B520" s="1" t="n">
        <v>45397.87030092593</v>
      </c>
      <c r="C520" s="1" t="n">
        <v>45995</v>
      </c>
      <c r="D520" t="inlineStr">
        <is>
          <t>GOTLANDS LÄN</t>
        </is>
      </c>
      <c r="E520" t="inlineStr">
        <is>
          <t>GOTLAND</t>
        </is>
      </c>
      <c r="G520" t="n">
        <v>8.1</v>
      </c>
      <c r="H520" t="n">
        <v>0</v>
      </c>
      <c r="I520" t="n">
        <v>0</v>
      </c>
      <c r="J520" t="n">
        <v>0</v>
      </c>
      <c r="K520" t="n">
        <v>0</v>
      </c>
      <c r="L520" t="n">
        <v>0</v>
      </c>
      <c r="M520" t="n">
        <v>0</v>
      </c>
      <c r="N520" t="n">
        <v>0</v>
      </c>
      <c r="O520" t="n">
        <v>0</v>
      </c>
      <c r="P520" t="n">
        <v>0</v>
      </c>
      <c r="Q520" t="n">
        <v>0</v>
      </c>
      <c r="R520" s="2" t="inlineStr"/>
    </row>
    <row r="521" ht="15" customHeight="1">
      <c r="A521" t="inlineStr">
        <is>
          <t>A 999-2024</t>
        </is>
      </c>
      <c r="B521" s="1" t="n">
        <v>45301</v>
      </c>
      <c r="C521" s="1" t="n">
        <v>45995</v>
      </c>
      <c r="D521" t="inlineStr">
        <is>
          <t>GOTLANDS LÄN</t>
        </is>
      </c>
      <c r="E521" t="inlineStr">
        <is>
          <t>GOTLAND</t>
        </is>
      </c>
      <c r="G521" t="n">
        <v>1</v>
      </c>
      <c r="H521" t="n">
        <v>0</v>
      </c>
      <c r="I521" t="n">
        <v>0</v>
      </c>
      <c r="J521" t="n">
        <v>0</v>
      </c>
      <c r="K521" t="n">
        <v>0</v>
      </c>
      <c r="L521" t="n">
        <v>0</v>
      </c>
      <c r="M521" t="n">
        <v>0</v>
      </c>
      <c r="N521" t="n">
        <v>0</v>
      </c>
      <c r="O521" t="n">
        <v>0</v>
      </c>
      <c r="P521" t="n">
        <v>0</v>
      </c>
      <c r="Q521" t="n">
        <v>0</v>
      </c>
      <c r="R521" s="2" t="inlineStr"/>
    </row>
    <row r="522" ht="15" customHeight="1">
      <c r="A522" t="inlineStr">
        <is>
          <t>A 61596-2023</t>
        </is>
      </c>
      <c r="B522" s="1" t="n">
        <v>45265</v>
      </c>
      <c r="C522" s="1" t="n">
        <v>45995</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14638-2025</t>
        </is>
      </c>
      <c r="B523" s="1" t="n">
        <v>45742</v>
      </c>
      <c r="C523" s="1" t="n">
        <v>45995</v>
      </c>
      <c r="D523" t="inlineStr">
        <is>
          <t>GOTLANDS LÄN</t>
        </is>
      </c>
      <c r="E523" t="inlineStr">
        <is>
          <t>GOTLAND</t>
        </is>
      </c>
      <c r="G523" t="n">
        <v>13.4</v>
      </c>
      <c r="H523" t="n">
        <v>0</v>
      </c>
      <c r="I523" t="n">
        <v>0</v>
      </c>
      <c r="J523" t="n">
        <v>0</v>
      </c>
      <c r="K523" t="n">
        <v>0</v>
      </c>
      <c r="L523" t="n">
        <v>0</v>
      </c>
      <c r="M523" t="n">
        <v>0</v>
      </c>
      <c r="N523" t="n">
        <v>0</v>
      </c>
      <c r="O523" t="n">
        <v>0</v>
      </c>
      <c r="P523" t="n">
        <v>0</v>
      </c>
      <c r="Q523" t="n">
        <v>0</v>
      </c>
      <c r="R523" s="2" t="inlineStr"/>
    </row>
    <row r="524" ht="15" customHeight="1">
      <c r="A524" t="inlineStr">
        <is>
          <t>A 26457-2025</t>
        </is>
      </c>
      <c r="B524" s="1" t="n">
        <v>45807.42773148148</v>
      </c>
      <c r="C524" s="1" t="n">
        <v>45995</v>
      </c>
      <c r="D524" t="inlineStr">
        <is>
          <t>GOTLANDS LÄN</t>
        </is>
      </c>
      <c r="E524" t="inlineStr">
        <is>
          <t>GOTLAND</t>
        </is>
      </c>
      <c r="G524" t="n">
        <v>5.7</v>
      </c>
      <c r="H524" t="n">
        <v>0</v>
      </c>
      <c r="I524" t="n">
        <v>0</v>
      </c>
      <c r="J524" t="n">
        <v>0</v>
      </c>
      <c r="K524" t="n">
        <v>0</v>
      </c>
      <c r="L524" t="n">
        <v>0</v>
      </c>
      <c r="M524" t="n">
        <v>0</v>
      </c>
      <c r="N524" t="n">
        <v>0</v>
      </c>
      <c r="O524" t="n">
        <v>0</v>
      </c>
      <c r="P524" t="n">
        <v>0</v>
      </c>
      <c r="Q524" t="n">
        <v>0</v>
      </c>
      <c r="R524" s="2" t="inlineStr"/>
    </row>
    <row r="525" ht="15" customHeight="1">
      <c r="A525" t="inlineStr">
        <is>
          <t>A 26467-2025</t>
        </is>
      </c>
      <c r="B525" s="1" t="n">
        <v>45807.44640046296</v>
      </c>
      <c r="C525" s="1" t="n">
        <v>45995</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26465-2025</t>
        </is>
      </c>
      <c r="B526" s="1" t="n">
        <v>45807.44377314814</v>
      </c>
      <c r="C526" s="1" t="n">
        <v>45995</v>
      </c>
      <c r="D526" t="inlineStr">
        <is>
          <t>GOTLANDS LÄN</t>
        </is>
      </c>
      <c r="E526" t="inlineStr">
        <is>
          <t>GOTLAND</t>
        </is>
      </c>
      <c r="G526" t="n">
        <v>4.5</v>
      </c>
      <c r="H526" t="n">
        <v>0</v>
      </c>
      <c r="I526" t="n">
        <v>0</v>
      </c>
      <c r="J526" t="n">
        <v>0</v>
      </c>
      <c r="K526" t="n">
        <v>0</v>
      </c>
      <c r="L526" t="n">
        <v>0</v>
      </c>
      <c r="M526" t="n">
        <v>0</v>
      </c>
      <c r="N526" t="n">
        <v>0</v>
      </c>
      <c r="O526" t="n">
        <v>0</v>
      </c>
      <c r="P526" t="n">
        <v>0</v>
      </c>
      <c r="Q526" t="n">
        <v>0</v>
      </c>
      <c r="R526" s="2" t="inlineStr"/>
    </row>
    <row r="527" ht="15" customHeight="1">
      <c r="A527" t="inlineStr">
        <is>
          <t>A 60675-2021</t>
        </is>
      </c>
      <c r="B527" s="1" t="n">
        <v>44496.64855324074</v>
      </c>
      <c r="C527" s="1" t="n">
        <v>45995</v>
      </c>
      <c r="D527" t="inlineStr">
        <is>
          <t>GOTLANDS LÄN</t>
        </is>
      </c>
      <c r="E527" t="inlineStr">
        <is>
          <t>GOTLAND</t>
        </is>
      </c>
      <c r="G527" t="n">
        <v>4.6</v>
      </c>
      <c r="H527" t="n">
        <v>0</v>
      </c>
      <c r="I527" t="n">
        <v>0</v>
      </c>
      <c r="J527" t="n">
        <v>0</v>
      </c>
      <c r="K527" t="n">
        <v>0</v>
      </c>
      <c r="L527" t="n">
        <v>0</v>
      </c>
      <c r="M527" t="n">
        <v>0</v>
      </c>
      <c r="N527" t="n">
        <v>0</v>
      </c>
      <c r="O527" t="n">
        <v>0</v>
      </c>
      <c r="P527" t="n">
        <v>0</v>
      </c>
      <c r="Q527" t="n">
        <v>0</v>
      </c>
      <c r="R527" s="2" t="inlineStr"/>
    </row>
    <row r="528" ht="15" customHeight="1">
      <c r="A528" t="inlineStr">
        <is>
          <t>A 37728-2024</t>
        </is>
      </c>
      <c r="B528" s="1" t="n">
        <v>45541</v>
      </c>
      <c r="C528" s="1" t="n">
        <v>45995</v>
      </c>
      <c r="D528" t="inlineStr">
        <is>
          <t>GOTLANDS LÄN</t>
        </is>
      </c>
      <c r="E528" t="inlineStr">
        <is>
          <t>GOTLAND</t>
        </is>
      </c>
      <c r="G528" t="n">
        <v>0.4</v>
      </c>
      <c r="H528" t="n">
        <v>0</v>
      </c>
      <c r="I528" t="n">
        <v>0</v>
      </c>
      <c r="J528" t="n">
        <v>0</v>
      </c>
      <c r="K528" t="n">
        <v>0</v>
      </c>
      <c r="L528" t="n">
        <v>0</v>
      </c>
      <c r="M528" t="n">
        <v>0</v>
      </c>
      <c r="N528" t="n">
        <v>0</v>
      </c>
      <c r="O528" t="n">
        <v>0</v>
      </c>
      <c r="P528" t="n">
        <v>0</v>
      </c>
      <c r="Q528" t="n">
        <v>0</v>
      </c>
      <c r="R528" s="2" t="inlineStr"/>
    </row>
    <row r="529" ht="15" customHeight="1">
      <c r="A529" t="inlineStr">
        <is>
          <t>A 26660-2025</t>
        </is>
      </c>
      <c r="B529" s="1" t="n">
        <v>45810.39737268518</v>
      </c>
      <c r="C529" s="1" t="n">
        <v>45995</v>
      </c>
      <c r="D529" t="inlineStr">
        <is>
          <t>GOTLANDS LÄN</t>
        </is>
      </c>
      <c r="E529" t="inlineStr">
        <is>
          <t>GOTLAND</t>
        </is>
      </c>
      <c r="G529" t="n">
        <v>1.8</v>
      </c>
      <c r="H529" t="n">
        <v>0</v>
      </c>
      <c r="I529" t="n">
        <v>0</v>
      </c>
      <c r="J529" t="n">
        <v>0</v>
      </c>
      <c r="K529" t="n">
        <v>0</v>
      </c>
      <c r="L529" t="n">
        <v>0</v>
      </c>
      <c r="M529" t="n">
        <v>0</v>
      </c>
      <c r="N529" t="n">
        <v>0</v>
      </c>
      <c r="O529" t="n">
        <v>0</v>
      </c>
      <c r="P529" t="n">
        <v>0</v>
      </c>
      <c r="Q529" t="n">
        <v>0</v>
      </c>
      <c r="R529" s="2" t="inlineStr"/>
    </row>
    <row r="530" ht="15" customHeight="1">
      <c r="A530" t="inlineStr">
        <is>
          <t>A 22287-2022</t>
        </is>
      </c>
      <c r="B530" s="1" t="n">
        <v>44712</v>
      </c>
      <c r="C530" s="1" t="n">
        <v>45995</v>
      </c>
      <c r="D530" t="inlineStr">
        <is>
          <t>GOTLANDS LÄN</t>
        </is>
      </c>
      <c r="E530" t="inlineStr">
        <is>
          <t>GOTLAND</t>
        </is>
      </c>
      <c r="G530" t="n">
        <v>6.1</v>
      </c>
      <c r="H530" t="n">
        <v>0</v>
      </c>
      <c r="I530" t="n">
        <v>0</v>
      </c>
      <c r="J530" t="n">
        <v>0</v>
      </c>
      <c r="K530" t="n">
        <v>0</v>
      </c>
      <c r="L530" t="n">
        <v>0</v>
      </c>
      <c r="M530" t="n">
        <v>0</v>
      </c>
      <c r="N530" t="n">
        <v>0</v>
      </c>
      <c r="O530" t="n">
        <v>0</v>
      </c>
      <c r="P530" t="n">
        <v>0</v>
      </c>
      <c r="Q530" t="n">
        <v>0</v>
      </c>
      <c r="R530" s="2" t="inlineStr"/>
    </row>
    <row r="531" ht="15" customHeight="1">
      <c r="A531" t="inlineStr">
        <is>
          <t>A 27371-2025</t>
        </is>
      </c>
      <c r="B531" s="1" t="n">
        <v>45812</v>
      </c>
      <c r="C531" s="1" t="n">
        <v>45995</v>
      </c>
      <c r="D531" t="inlineStr">
        <is>
          <t>GOTLANDS LÄN</t>
        </is>
      </c>
      <c r="E531" t="inlineStr">
        <is>
          <t>GOTLAND</t>
        </is>
      </c>
      <c r="G531" t="n">
        <v>8</v>
      </c>
      <c r="H531" t="n">
        <v>0</v>
      </c>
      <c r="I531" t="n">
        <v>0</v>
      </c>
      <c r="J531" t="n">
        <v>0</v>
      </c>
      <c r="K531" t="n">
        <v>0</v>
      </c>
      <c r="L531" t="n">
        <v>0</v>
      </c>
      <c r="M531" t="n">
        <v>0</v>
      </c>
      <c r="N531" t="n">
        <v>0</v>
      </c>
      <c r="O531" t="n">
        <v>0</v>
      </c>
      <c r="P531" t="n">
        <v>0</v>
      </c>
      <c r="Q531" t="n">
        <v>0</v>
      </c>
      <c r="R531" s="2" t="inlineStr"/>
    </row>
    <row r="532" ht="15" customHeight="1">
      <c r="A532" t="inlineStr">
        <is>
          <t>A 54074-2022</t>
        </is>
      </c>
      <c r="B532" s="1" t="n">
        <v>44881</v>
      </c>
      <c r="C532" s="1" t="n">
        <v>45995</v>
      </c>
      <c r="D532" t="inlineStr">
        <is>
          <t>GOTLANDS LÄN</t>
        </is>
      </c>
      <c r="E532" t="inlineStr">
        <is>
          <t>GOTLAND</t>
        </is>
      </c>
      <c r="G532" t="n">
        <v>0.9</v>
      </c>
      <c r="H532" t="n">
        <v>0</v>
      </c>
      <c r="I532" t="n">
        <v>0</v>
      </c>
      <c r="J532" t="n">
        <v>0</v>
      </c>
      <c r="K532" t="n">
        <v>0</v>
      </c>
      <c r="L532" t="n">
        <v>0</v>
      </c>
      <c r="M532" t="n">
        <v>0</v>
      </c>
      <c r="N532" t="n">
        <v>0</v>
      </c>
      <c r="O532" t="n">
        <v>0</v>
      </c>
      <c r="P532" t="n">
        <v>0</v>
      </c>
      <c r="Q532" t="n">
        <v>0</v>
      </c>
      <c r="R532" s="2" t="inlineStr"/>
    </row>
    <row r="533" ht="15" customHeight="1">
      <c r="A533" t="inlineStr">
        <is>
          <t>A 27355-2025</t>
        </is>
      </c>
      <c r="B533" s="1" t="n">
        <v>45812</v>
      </c>
      <c r="C533" s="1" t="n">
        <v>45995</v>
      </c>
      <c r="D533" t="inlineStr">
        <is>
          <t>GOTLANDS LÄN</t>
        </is>
      </c>
      <c r="E533" t="inlineStr">
        <is>
          <t>GOTLAND</t>
        </is>
      </c>
      <c r="G533" t="n">
        <v>1.1</v>
      </c>
      <c r="H533" t="n">
        <v>0</v>
      </c>
      <c r="I533" t="n">
        <v>0</v>
      </c>
      <c r="J533" t="n">
        <v>0</v>
      </c>
      <c r="K533" t="n">
        <v>0</v>
      </c>
      <c r="L533" t="n">
        <v>0</v>
      </c>
      <c r="M533" t="n">
        <v>0</v>
      </c>
      <c r="N533" t="n">
        <v>0</v>
      </c>
      <c r="O533" t="n">
        <v>0</v>
      </c>
      <c r="P533" t="n">
        <v>0</v>
      </c>
      <c r="Q533" t="n">
        <v>0</v>
      </c>
      <c r="R533" s="2" t="inlineStr"/>
    </row>
    <row r="534" ht="15" customHeight="1">
      <c r="A534" t="inlineStr">
        <is>
          <t>A 65249-2023</t>
        </is>
      </c>
      <c r="B534" s="1" t="n">
        <v>45290</v>
      </c>
      <c r="C534" s="1" t="n">
        <v>45995</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6739-2025</t>
        </is>
      </c>
      <c r="B535" s="1" t="n">
        <v>45700</v>
      </c>
      <c r="C535" s="1" t="n">
        <v>45995</v>
      </c>
      <c r="D535" t="inlineStr">
        <is>
          <t>GOTLANDS LÄN</t>
        </is>
      </c>
      <c r="E535" t="inlineStr">
        <is>
          <t>GOTLAND</t>
        </is>
      </c>
      <c r="G535" t="n">
        <v>4.5</v>
      </c>
      <c r="H535" t="n">
        <v>0</v>
      </c>
      <c r="I535" t="n">
        <v>0</v>
      </c>
      <c r="J535" t="n">
        <v>0</v>
      </c>
      <c r="K535" t="n">
        <v>0</v>
      </c>
      <c r="L535" t="n">
        <v>0</v>
      </c>
      <c r="M535" t="n">
        <v>0</v>
      </c>
      <c r="N535" t="n">
        <v>0</v>
      </c>
      <c r="O535" t="n">
        <v>0</v>
      </c>
      <c r="P535" t="n">
        <v>0</v>
      </c>
      <c r="Q535" t="n">
        <v>0</v>
      </c>
      <c r="R535" s="2" t="inlineStr"/>
    </row>
    <row r="536" ht="15" customHeight="1">
      <c r="A536" t="inlineStr">
        <is>
          <t>A 7850-2025</t>
        </is>
      </c>
      <c r="B536" s="1" t="n">
        <v>45706</v>
      </c>
      <c r="C536" s="1" t="n">
        <v>45995</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8444-2025</t>
        </is>
      </c>
      <c r="B537" s="1" t="n">
        <v>45709</v>
      </c>
      <c r="C537" s="1" t="n">
        <v>45995</v>
      </c>
      <c r="D537" t="inlineStr">
        <is>
          <t>GOTLANDS LÄN</t>
        </is>
      </c>
      <c r="E537" t="inlineStr">
        <is>
          <t>GOTLAND</t>
        </is>
      </c>
      <c r="G537" t="n">
        <v>5.2</v>
      </c>
      <c r="H537" t="n">
        <v>0</v>
      </c>
      <c r="I537" t="n">
        <v>0</v>
      </c>
      <c r="J537" t="n">
        <v>0</v>
      </c>
      <c r="K537" t="n">
        <v>0</v>
      </c>
      <c r="L537" t="n">
        <v>0</v>
      </c>
      <c r="M537" t="n">
        <v>0</v>
      </c>
      <c r="N537" t="n">
        <v>0</v>
      </c>
      <c r="O537" t="n">
        <v>0</v>
      </c>
      <c r="P537" t="n">
        <v>0</v>
      </c>
      <c r="Q537" t="n">
        <v>0</v>
      </c>
      <c r="R537" s="2" t="inlineStr"/>
    </row>
    <row r="538" ht="15" customHeight="1">
      <c r="A538" t="inlineStr">
        <is>
          <t>A 13910-2025</t>
        </is>
      </c>
      <c r="B538" s="1" t="n">
        <v>45737</v>
      </c>
      <c r="C538" s="1" t="n">
        <v>45995</v>
      </c>
      <c r="D538" t="inlineStr">
        <is>
          <t>GOTLANDS LÄN</t>
        </is>
      </c>
      <c r="E538" t="inlineStr">
        <is>
          <t>GOTLAND</t>
        </is>
      </c>
      <c r="F538" t="inlineStr">
        <is>
          <t>Kommuner</t>
        </is>
      </c>
      <c r="G538" t="n">
        <v>3.2</v>
      </c>
      <c r="H538" t="n">
        <v>0</v>
      </c>
      <c r="I538" t="n">
        <v>0</v>
      </c>
      <c r="J538" t="n">
        <v>0</v>
      </c>
      <c r="K538" t="n">
        <v>0</v>
      </c>
      <c r="L538" t="n">
        <v>0</v>
      </c>
      <c r="M538" t="n">
        <v>0</v>
      </c>
      <c r="N538" t="n">
        <v>0</v>
      </c>
      <c r="O538" t="n">
        <v>0</v>
      </c>
      <c r="P538" t="n">
        <v>0</v>
      </c>
      <c r="Q538" t="n">
        <v>0</v>
      </c>
      <c r="R538" s="2" t="inlineStr"/>
    </row>
    <row r="539" ht="15" customHeight="1">
      <c r="A539" t="inlineStr">
        <is>
          <t>A 17780-2022</t>
        </is>
      </c>
      <c r="B539" s="1" t="n">
        <v>44682.82622685185</v>
      </c>
      <c r="C539" s="1" t="n">
        <v>45995</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19905-2025</t>
        </is>
      </c>
      <c r="B540" s="1" t="n">
        <v>45771</v>
      </c>
      <c r="C540" s="1" t="n">
        <v>45995</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29196-2025</t>
        </is>
      </c>
      <c r="B541" s="1" t="n">
        <v>45822</v>
      </c>
      <c r="C541" s="1" t="n">
        <v>45995</v>
      </c>
      <c r="D541" t="inlineStr">
        <is>
          <t>GOTLANDS LÄN</t>
        </is>
      </c>
      <c r="E541" t="inlineStr">
        <is>
          <t>GOTLAND</t>
        </is>
      </c>
      <c r="G541" t="n">
        <v>0.5</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45995</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14536-2021</t>
        </is>
      </c>
      <c r="B543" s="1" t="n">
        <v>44279.66168981481</v>
      </c>
      <c r="C543" s="1" t="n">
        <v>45995</v>
      </c>
      <c r="D543" t="inlineStr">
        <is>
          <t>GOTLANDS LÄN</t>
        </is>
      </c>
      <c r="E543" t="inlineStr">
        <is>
          <t>GOTLAND</t>
        </is>
      </c>
      <c r="G543" t="n">
        <v>8.5</v>
      </c>
      <c r="H543" t="n">
        <v>0</v>
      </c>
      <c r="I543" t="n">
        <v>0</v>
      </c>
      <c r="J543" t="n">
        <v>0</v>
      </c>
      <c r="K543" t="n">
        <v>0</v>
      </c>
      <c r="L543" t="n">
        <v>0</v>
      </c>
      <c r="M543" t="n">
        <v>0</v>
      </c>
      <c r="N543" t="n">
        <v>0</v>
      </c>
      <c r="O543" t="n">
        <v>0</v>
      </c>
      <c r="P543" t="n">
        <v>0</v>
      </c>
      <c r="Q543" t="n">
        <v>0</v>
      </c>
      <c r="R543" s="2" t="inlineStr"/>
    </row>
    <row r="544" ht="15" customHeight="1">
      <c r="A544" t="inlineStr">
        <is>
          <t>A 29207-2025</t>
        </is>
      </c>
      <c r="B544" s="1" t="n">
        <v>45823</v>
      </c>
      <c r="C544" s="1" t="n">
        <v>45995</v>
      </c>
      <c r="D544" t="inlineStr">
        <is>
          <t>GOTLANDS LÄN</t>
        </is>
      </c>
      <c r="E544" t="inlineStr">
        <is>
          <t>GOTLAND</t>
        </is>
      </c>
      <c r="G544" t="n">
        <v>1.9</v>
      </c>
      <c r="H544" t="n">
        <v>0</v>
      </c>
      <c r="I544" t="n">
        <v>0</v>
      </c>
      <c r="J544" t="n">
        <v>0</v>
      </c>
      <c r="K544" t="n">
        <v>0</v>
      </c>
      <c r="L544" t="n">
        <v>0</v>
      </c>
      <c r="M544" t="n">
        <v>0</v>
      </c>
      <c r="N544" t="n">
        <v>0</v>
      </c>
      <c r="O544" t="n">
        <v>0</v>
      </c>
      <c r="P544" t="n">
        <v>0</v>
      </c>
      <c r="Q544" t="n">
        <v>0</v>
      </c>
      <c r="R544" s="2" t="inlineStr"/>
    </row>
    <row r="545" ht="15" customHeight="1">
      <c r="A545" t="inlineStr">
        <is>
          <t>A 11874-2024</t>
        </is>
      </c>
      <c r="B545" s="1" t="n">
        <v>45376.46956018519</v>
      </c>
      <c r="C545" s="1" t="n">
        <v>45995</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30061-2025</t>
        </is>
      </c>
      <c r="B546" s="1" t="n">
        <v>45826.61488425926</v>
      </c>
      <c r="C546" s="1" t="n">
        <v>45995</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42041-2024</t>
        </is>
      </c>
      <c r="B547" s="1" t="n">
        <v>45561</v>
      </c>
      <c r="C547" s="1" t="n">
        <v>45995</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61694-2023</t>
        </is>
      </c>
      <c r="B548" s="1" t="n">
        <v>45264</v>
      </c>
      <c r="C548" s="1" t="n">
        <v>45995</v>
      </c>
      <c r="D548" t="inlineStr">
        <is>
          <t>GOTLANDS LÄN</t>
        </is>
      </c>
      <c r="E548" t="inlineStr">
        <is>
          <t>GOTLAND</t>
        </is>
      </c>
      <c r="G548" t="n">
        <v>4.6</v>
      </c>
      <c r="H548" t="n">
        <v>0</v>
      </c>
      <c r="I548" t="n">
        <v>0</v>
      </c>
      <c r="J548" t="n">
        <v>0</v>
      </c>
      <c r="K548" t="n">
        <v>0</v>
      </c>
      <c r="L548" t="n">
        <v>0</v>
      </c>
      <c r="M548" t="n">
        <v>0</v>
      </c>
      <c r="N548" t="n">
        <v>0</v>
      </c>
      <c r="O548" t="n">
        <v>0</v>
      </c>
      <c r="P548" t="n">
        <v>0</v>
      </c>
      <c r="Q548" t="n">
        <v>0</v>
      </c>
      <c r="R548" s="2" t="inlineStr"/>
    </row>
    <row r="549" ht="15" customHeight="1">
      <c r="A549" t="inlineStr">
        <is>
          <t>A 58160-2024</t>
        </is>
      </c>
      <c r="B549" s="1" t="n">
        <v>45632.44927083333</v>
      </c>
      <c r="C549" s="1" t="n">
        <v>45995</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64555-2023</t>
        </is>
      </c>
      <c r="B550" s="1" t="n">
        <v>45281</v>
      </c>
      <c r="C550" s="1" t="n">
        <v>45995</v>
      </c>
      <c r="D550" t="inlineStr">
        <is>
          <t>GOTLANDS LÄN</t>
        </is>
      </c>
      <c r="E550" t="inlineStr">
        <is>
          <t>GOTLAND</t>
        </is>
      </c>
      <c r="G550" t="n">
        <v>3.5</v>
      </c>
      <c r="H550" t="n">
        <v>0</v>
      </c>
      <c r="I550" t="n">
        <v>0</v>
      </c>
      <c r="J550" t="n">
        <v>0</v>
      </c>
      <c r="K550" t="n">
        <v>0</v>
      </c>
      <c r="L550" t="n">
        <v>0</v>
      </c>
      <c r="M550" t="n">
        <v>0</v>
      </c>
      <c r="N550" t="n">
        <v>0</v>
      </c>
      <c r="O550" t="n">
        <v>0</v>
      </c>
      <c r="P550" t="n">
        <v>0</v>
      </c>
      <c r="Q550" t="n">
        <v>0</v>
      </c>
      <c r="R550" s="2" t="inlineStr"/>
    </row>
    <row r="551" ht="15" customHeight="1">
      <c r="A551" t="inlineStr">
        <is>
          <t>A 64831-2023</t>
        </is>
      </c>
      <c r="B551" s="1" t="n">
        <v>45282.44924768519</v>
      </c>
      <c r="C551" s="1" t="n">
        <v>45995</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14804-2021</t>
        </is>
      </c>
      <c r="B552" s="1" t="n">
        <v>44280</v>
      </c>
      <c r="C552" s="1" t="n">
        <v>45995</v>
      </c>
      <c r="D552" t="inlineStr">
        <is>
          <t>GOTLANDS LÄN</t>
        </is>
      </c>
      <c r="E552" t="inlineStr">
        <is>
          <t>GOTLAND</t>
        </is>
      </c>
      <c r="G552" t="n">
        <v>2.2</v>
      </c>
      <c r="H552" t="n">
        <v>0</v>
      </c>
      <c r="I552" t="n">
        <v>0</v>
      </c>
      <c r="J552" t="n">
        <v>0</v>
      </c>
      <c r="K552" t="n">
        <v>0</v>
      </c>
      <c r="L552" t="n">
        <v>0</v>
      </c>
      <c r="M552" t="n">
        <v>0</v>
      </c>
      <c r="N552" t="n">
        <v>0</v>
      </c>
      <c r="O552" t="n">
        <v>0</v>
      </c>
      <c r="P552" t="n">
        <v>0</v>
      </c>
      <c r="Q552" t="n">
        <v>0</v>
      </c>
      <c r="R552" s="2" t="inlineStr"/>
    </row>
    <row r="553" ht="15" customHeight="1">
      <c r="A553" t="inlineStr">
        <is>
          <t>A 999-2023</t>
        </is>
      </c>
      <c r="B553" s="1" t="n">
        <v>44935</v>
      </c>
      <c r="C553" s="1" t="n">
        <v>45995</v>
      </c>
      <c r="D553" t="inlineStr">
        <is>
          <t>GOTLANDS LÄN</t>
        </is>
      </c>
      <c r="E553" t="inlineStr">
        <is>
          <t>GOTLAND</t>
        </is>
      </c>
      <c r="G553" t="n">
        <v>4.7</v>
      </c>
      <c r="H553" t="n">
        <v>0</v>
      </c>
      <c r="I553" t="n">
        <v>0</v>
      </c>
      <c r="J553" t="n">
        <v>0</v>
      </c>
      <c r="K553" t="n">
        <v>0</v>
      </c>
      <c r="L553" t="n">
        <v>0</v>
      </c>
      <c r="M553" t="n">
        <v>0</v>
      </c>
      <c r="N553" t="n">
        <v>0</v>
      </c>
      <c r="O553" t="n">
        <v>0</v>
      </c>
      <c r="P553" t="n">
        <v>0</v>
      </c>
      <c r="Q553" t="n">
        <v>0</v>
      </c>
      <c r="R553" s="2" t="inlineStr"/>
    </row>
    <row r="554" ht="15" customHeight="1">
      <c r="A554" t="inlineStr">
        <is>
          <t>A 27602-2023</t>
        </is>
      </c>
      <c r="B554" s="1" t="n">
        <v>45097</v>
      </c>
      <c r="C554" s="1" t="n">
        <v>45995</v>
      </c>
      <c r="D554" t="inlineStr">
        <is>
          <t>GOTLANDS LÄN</t>
        </is>
      </c>
      <c r="E554" t="inlineStr">
        <is>
          <t>GOTLAND</t>
        </is>
      </c>
      <c r="G554" t="n">
        <v>2.7</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44955.5502662037</v>
      </c>
      <c r="C555" s="1" t="n">
        <v>45995</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44955.73359953704</v>
      </c>
      <c r="C556" s="1" t="n">
        <v>45995</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39479-2022</t>
        </is>
      </c>
      <c r="B557" s="1" t="n">
        <v>44818</v>
      </c>
      <c r="C557" s="1" t="n">
        <v>45995</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51963-2024</t>
        </is>
      </c>
      <c r="B558" s="1" t="n">
        <v>45607.64833333333</v>
      </c>
      <c r="C558" s="1" t="n">
        <v>45995</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32379-2025</t>
        </is>
      </c>
      <c r="B559" s="1" t="n">
        <v>45837</v>
      </c>
      <c r="C559" s="1" t="n">
        <v>45995</v>
      </c>
      <c r="D559" t="inlineStr">
        <is>
          <t>GOTLANDS LÄN</t>
        </is>
      </c>
      <c r="E559" t="inlineStr">
        <is>
          <t>GOTLAND</t>
        </is>
      </c>
      <c r="G559" t="n">
        <v>1</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45995</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46389-2021</t>
        </is>
      </c>
      <c r="B561" s="1" t="n">
        <v>44443</v>
      </c>
      <c r="C561" s="1" t="n">
        <v>45995</v>
      </c>
      <c r="D561" t="inlineStr">
        <is>
          <t>GOTLANDS LÄN</t>
        </is>
      </c>
      <c r="E561" t="inlineStr">
        <is>
          <t>GOTLAND</t>
        </is>
      </c>
      <c r="F561" t="inlineStr">
        <is>
          <t>Kyrkan</t>
        </is>
      </c>
      <c r="G561" t="n">
        <v>2.1</v>
      </c>
      <c r="H561" t="n">
        <v>0</v>
      </c>
      <c r="I561" t="n">
        <v>0</v>
      </c>
      <c r="J561" t="n">
        <v>0</v>
      </c>
      <c r="K561" t="n">
        <v>0</v>
      </c>
      <c r="L561" t="n">
        <v>0</v>
      </c>
      <c r="M561" t="n">
        <v>0</v>
      </c>
      <c r="N561" t="n">
        <v>0</v>
      </c>
      <c r="O561" t="n">
        <v>0</v>
      </c>
      <c r="P561" t="n">
        <v>0</v>
      </c>
      <c r="Q561" t="n">
        <v>0</v>
      </c>
      <c r="R561" s="2" t="inlineStr"/>
    </row>
    <row r="562" ht="15" customHeight="1">
      <c r="A562" t="inlineStr">
        <is>
          <t>A 32467-2025</t>
        </is>
      </c>
      <c r="B562" s="1" t="n">
        <v>45838.42111111111</v>
      </c>
      <c r="C562" s="1" t="n">
        <v>45995</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26810-2021</t>
        </is>
      </c>
      <c r="B563" s="1" t="n">
        <v>44349.55087962963</v>
      </c>
      <c r="C563" s="1" t="n">
        <v>45995</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16109-2025</t>
        </is>
      </c>
      <c r="B564" s="1" t="n">
        <v>45750</v>
      </c>
      <c r="C564" s="1" t="n">
        <v>45995</v>
      </c>
      <c r="D564" t="inlineStr">
        <is>
          <t>GOTLANDS LÄN</t>
        </is>
      </c>
      <c r="E564" t="inlineStr">
        <is>
          <t>GOTLAND</t>
        </is>
      </c>
      <c r="G564" t="n">
        <v>4.9</v>
      </c>
      <c r="H564" t="n">
        <v>0</v>
      </c>
      <c r="I564" t="n">
        <v>0</v>
      </c>
      <c r="J564" t="n">
        <v>0</v>
      </c>
      <c r="K564" t="n">
        <v>0</v>
      </c>
      <c r="L564" t="n">
        <v>0</v>
      </c>
      <c r="M564" t="n">
        <v>0</v>
      </c>
      <c r="N564" t="n">
        <v>0</v>
      </c>
      <c r="O564" t="n">
        <v>0</v>
      </c>
      <c r="P564" t="n">
        <v>0</v>
      </c>
      <c r="Q564" t="n">
        <v>0</v>
      </c>
      <c r="R564" s="2" t="inlineStr"/>
    </row>
    <row r="565" ht="15" customHeight="1">
      <c r="A565" t="inlineStr">
        <is>
          <t>A 5923-2023</t>
        </is>
      </c>
      <c r="B565" s="1" t="n">
        <v>44963.69503472222</v>
      </c>
      <c r="C565" s="1" t="n">
        <v>45995</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33853-2024</t>
        </is>
      </c>
      <c r="B566" s="1" t="n">
        <v>45520.64298611111</v>
      </c>
      <c r="C566" s="1" t="n">
        <v>45995</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18918-2025</t>
        </is>
      </c>
      <c r="B567" s="1" t="n">
        <v>45764</v>
      </c>
      <c r="C567" s="1" t="n">
        <v>45995</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45995</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33007-2025</t>
        </is>
      </c>
      <c r="B569" s="1" t="n">
        <v>45840</v>
      </c>
      <c r="C569" s="1" t="n">
        <v>45995</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10655-2023</t>
        </is>
      </c>
      <c r="B570" s="1" t="n">
        <v>44988.49543981482</v>
      </c>
      <c r="C570" s="1" t="n">
        <v>45995</v>
      </c>
      <c r="D570" t="inlineStr">
        <is>
          <t>GOTLANDS LÄN</t>
        </is>
      </c>
      <c r="E570" t="inlineStr">
        <is>
          <t>GOTLAND</t>
        </is>
      </c>
      <c r="F570" t="inlineStr">
        <is>
          <t>Kyrkan</t>
        </is>
      </c>
      <c r="G570" t="n">
        <v>2</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44944.55361111111</v>
      </c>
      <c r="C571" s="1" t="n">
        <v>45995</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26891-2024</t>
        </is>
      </c>
      <c r="B572" s="1" t="n">
        <v>45470.65540509259</v>
      </c>
      <c r="C572" s="1" t="n">
        <v>45995</v>
      </c>
      <c r="D572" t="inlineStr">
        <is>
          <t>GOTLANDS LÄN</t>
        </is>
      </c>
      <c r="E572" t="inlineStr">
        <is>
          <t>GOTLAND</t>
        </is>
      </c>
      <c r="G572" t="n">
        <v>0.8</v>
      </c>
      <c r="H572" t="n">
        <v>0</v>
      </c>
      <c r="I572" t="n">
        <v>0</v>
      </c>
      <c r="J572" t="n">
        <v>0</v>
      </c>
      <c r="K572" t="n">
        <v>0</v>
      </c>
      <c r="L572" t="n">
        <v>0</v>
      </c>
      <c r="M572" t="n">
        <v>0</v>
      </c>
      <c r="N572" t="n">
        <v>0</v>
      </c>
      <c r="O572" t="n">
        <v>0</v>
      </c>
      <c r="P572" t="n">
        <v>0</v>
      </c>
      <c r="Q572" t="n">
        <v>0</v>
      </c>
      <c r="R572" s="2" t="inlineStr"/>
    </row>
    <row r="573" ht="15" customHeight="1">
      <c r="A573" t="inlineStr">
        <is>
          <t>A 42007-2023</t>
        </is>
      </c>
      <c r="B573" s="1" t="n">
        <v>45177</v>
      </c>
      <c r="C573" s="1" t="n">
        <v>45995</v>
      </c>
      <c r="D573" t="inlineStr">
        <is>
          <t>GOTLANDS LÄN</t>
        </is>
      </c>
      <c r="E573" t="inlineStr">
        <is>
          <t>GOTLAND</t>
        </is>
      </c>
      <c r="G573" t="n">
        <v>0.8</v>
      </c>
      <c r="H573" t="n">
        <v>0</v>
      </c>
      <c r="I573" t="n">
        <v>0</v>
      </c>
      <c r="J573" t="n">
        <v>0</v>
      </c>
      <c r="K573" t="n">
        <v>0</v>
      </c>
      <c r="L573" t="n">
        <v>0</v>
      </c>
      <c r="M573" t="n">
        <v>0</v>
      </c>
      <c r="N573" t="n">
        <v>0</v>
      </c>
      <c r="O573" t="n">
        <v>0</v>
      </c>
      <c r="P573" t="n">
        <v>0</v>
      </c>
      <c r="Q573" t="n">
        <v>0</v>
      </c>
      <c r="R573" s="2" t="inlineStr"/>
    </row>
    <row r="574" ht="15" customHeight="1">
      <c r="A574" t="inlineStr">
        <is>
          <t>A 9887-2025</t>
        </is>
      </c>
      <c r="B574" s="1" t="n">
        <v>45716</v>
      </c>
      <c r="C574" s="1" t="n">
        <v>45995</v>
      </c>
      <c r="D574" t="inlineStr">
        <is>
          <t>GOTLANDS LÄN</t>
        </is>
      </c>
      <c r="E574" t="inlineStr">
        <is>
          <t>GOTLAND</t>
        </is>
      </c>
      <c r="G574" t="n">
        <v>7.5</v>
      </c>
      <c r="H574" t="n">
        <v>0</v>
      </c>
      <c r="I574" t="n">
        <v>0</v>
      </c>
      <c r="J574" t="n">
        <v>0</v>
      </c>
      <c r="K574" t="n">
        <v>0</v>
      </c>
      <c r="L574" t="n">
        <v>0</v>
      </c>
      <c r="M574" t="n">
        <v>0</v>
      </c>
      <c r="N574" t="n">
        <v>0</v>
      </c>
      <c r="O574" t="n">
        <v>0</v>
      </c>
      <c r="P574" t="n">
        <v>0</v>
      </c>
      <c r="Q574" t="n">
        <v>0</v>
      </c>
      <c r="R574" s="2" t="inlineStr"/>
    </row>
    <row r="575" ht="15" customHeight="1">
      <c r="A575" t="inlineStr">
        <is>
          <t>A 38165-2023</t>
        </is>
      </c>
      <c r="B575" s="1" t="n">
        <v>45161</v>
      </c>
      <c r="C575" s="1" t="n">
        <v>45995</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27596-2023</t>
        </is>
      </c>
      <c r="B576" s="1" t="n">
        <v>45097</v>
      </c>
      <c r="C576" s="1" t="n">
        <v>45995</v>
      </c>
      <c r="D576" t="inlineStr">
        <is>
          <t>GOTLANDS LÄN</t>
        </is>
      </c>
      <c r="E576" t="inlineStr">
        <is>
          <t>GOTLAND</t>
        </is>
      </c>
      <c r="G576" t="n">
        <v>3.6</v>
      </c>
      <c r="H576" t="n">
        <v>0</v>
      </c>
      <c r="I576" t="n">
        <v>0</v>
      </c>
      <c r="J576" t="n">
        <v>0</v>
      </c>
      <c r="K576" t="n">
        <v>0</v>
      </c>
      <c r="L576" t="n">
        <v>0</v>
      </c>
      <c r="M576" t="n">
        <v>0</v>
      </c>
      <c r="N576" t="n">
        <v>0</v>
      </c>
      <c r="O576" t="n">
        <v>0</v>
      </c>
      <c r="P576" t="n">
        <v>0</v>
      </c>
      <c r="Q576" t="n">
        <v>0</v>
      </c>
      <c r="R576" s="2" t="inlineStr"/>
    </row>
    <row r="577" ht="15" customHeight="1">
      <c r="A577" t="inlineStr">
        <is>
          <t>A 15413-2025</t>
        </is>
      </c>
      <c r="B577" s="1" t="n">
        <v>45747.451875</v>
      </c>
      <c r="C577" s="1" t="n">
        <v>45995</v>
      </c>
      <c r="D577" t="inlineStr">
        <is>
          <t>GOTLANDS LÄN</t>
        </is>
      </c>
      <c r="E577" t="inlineStr">
        <is>
          <t>GOTLAND</t>
        </is>
      </c>
      <c r="G577" t="n">
        <v>0.6</v>
      </c>
      <c r="H577" t="n">
        <v>0</v>
      </c>
      <c r="I577" t="n">
        <v>0</v>
      </c>
      <c r="J577" t="n">
        <v>0</v>
      </c>
      <c r="K577" t="n">
        <v>0</v>
      </c>
      <c r="L577" t="n">
        <v>0</v>
      </c>
      <c r="M577" t="n">
        <v>0</v>
      </c>
      <c r="N577" t="n">
        <v>0</v>
      </c>
      <c r="O577" t="n">
        <v>0</v>
      </c>
      <c r="P577" t="n">
        <v>0</v>
      </c>
      <c r="Q577" t="n">
        <v>0</v>
      </c>
      <c r="R577" s="2" t="inlineStr"/>
    </row>
    <row r="578" ht="15" customHeight="1">
      <c r="A578" t="inlineStr">
        <is>
          <t>A 24825-2024</t>
        </is>
      </c>
      <c r="B578" s="1" t="n">
        <v>45461</v>
      </c>
      <c r="C578" s="1" t="n">
        <v>45995</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6696-2023</t>
        </is>
      </c>
      <c r="B579" s="1" t="n">
        <v>44966.66425925926</v>
      </c>
      <c r="C579" s="1" t="n">
        <v>45995</v>
      </c>
      <c r="D579" t="inlineStr">
        <is>
          <t>GOTLANDS LÄN</t>
        </is>
      </c>
      <c r="E579" t="inlineStr">
        <is>
          <t>GOTLAND</t>
        </is>
      </c>
      <c r="G579" t="n">
        <v>1.5</v>
      </c>
      <c r="H579" t="n">
        <v>0</v>
      </c>
      <c r="I579" t="n">
        <v>0</v>
      </c>
      <c r="J579" t="n">
        <v>0</v>
      </c>
      <c r="K579" t="n">
        <v>0</v>
      </c>
      <c r="L579" t="n">
        <v>0</v>
      </c>
      <c r="M579" t="n">
        <v>0</v>
      </c>
      <c r="N579" t="n">
        <v>0</v>
      </c>
      <c r="O579" t="n">
        <v>0</v>
      </c>
      <c r="P579" t="n">
        <v>0</v>
      </c>
      <c r="Q579" t="n">
        <v>0</v>
      </c>
      <c r="R579" s="2" t="inlineStr"/>
    </row>
    <row r="580" ht="15" customHeight="1">
      <c r="A580" t="inlineStr">
        <is>
          <t>A 35123-2025</t>
        </is>
      </c>
      <c r="B580" s="1" t="n">
        <v>45852.614375</v>
      </c>
      <c r="C580" s="1" t="n">
        <v>45995</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21247-2022</t>
        </is>
      </c>
      <c r="B581" s="1" t="n">
        <v>44705.38832175926</v>
      </c>
      <c r="C581" s="1" t="n">
        <v>45995</v>
      </c>
      <c r="D581" t="inlineStr">
        <is>
          <t>GOTLANDS LÄN</t>
        </is>
      </c>
      <c r="E581" t="inlineStr">
        <is>
          <t>GOTLAND</t>
        </is>
      </c>
      <c r="G581" t="n">
        <v>16.2</v>
      </c>
      <c r="H581" t="n">
        <v>0</v>
      </c>
      <c r="I581" t="n">
        <v>0</v>
      </c>
      <c r="J581" t="n">
        <v>0</v>
      </c>
      <c r="K581" t="n">
        <v>0</v>
      </c>
      <c r="L581" t="n">
        <v>0</v>
      </c>
      <c r="M581" t="n">
        <v>0</v>
      </c>
      <c r="N581" t="n">
        <v>0</v>
      </c>
      <c r="O581" t="n">
        <v>0</v>
      </c>
      <c r="P581" t="n">
        <v>0</v>
      </c>
      <c r="Q581" t="n">
        <v>0</v>
      </c>
      <c r="R581" s="2" t="inlineStr"/>
    </row>
    <row r="582" ht="15" customHeight="1">
      <c r="A582" t="inlineStr">
        <is>
          <t>A 456-2023</t>
        </is>
      </c>
      <c r="B582" s="1" t="n">
        <v>44929.87122685185</v>
      </c>
      <c r="C582" s="1" t="n">
        <v>45995</v>
      </c>
      <c r="D582" t="inlineStr">
        <is>
          <t>GOTLANDS LÄN</t>
        </is>
      </c>
      <c r="E582" t="inlineStr">
        <is>
          <t>GOTLAND</t>
        </is>
      </c>
      <c r="G582" t="n">
        <v>3.2</v>
      </c>
      <c r="H582" t="n">
        <v>0</v>
      </c>
      <c r="I582" t="n">
        <v>0</v>
      </c>
      <c r="J582" t="n">
        <v>0</v>
      </c>
      <c r="K582" t="n">
        <v>0</v>
      </c>
      <c r="L582" t="n">
        <v>0</v>
      </c>
      <c r="M582" t="n">
        <v>0</v>
      </c>
      <c r="N582" t="n">
        <v>0</v>
      </c>
      <c r="O582" t="n">
        <v>0</v>
      </c>
      <c r="P582" t="n">
        <v>0</v>
      </c>
      <c r="Q582" t="n">
        <v>0</v>
      </c>
      <c r="R582" s="2" t="inlineStr"/>
    </row>
    <row r="583" ht="15" customHeight="1">
      <c r="A583" t="inlineStr">
        <is>
          <t>A 35096-2025</t>
        </is>
      </c>
      <c r="B583" s="1" t="n">
        <v>45852.54356481481</v>
      </c>
      <c r="C583" s="1" t="n">
        <v>45995</v>
      </c>
      <c r="D583" t="inlineStr">
        <is>
          <t>GOTLANDS LÄN</t>
        </is>
      </c>
      <c r="E583" t="inlineStr">
        <is>
          <t>GOTLAND</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2714-2023</t>
        </is>
      </c>
      <c r="B584" s="1" t="n">
        <v>44944.54896990741</v>
      </c>
      <c r="C584" s="1" t="n">
        <v>45995</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30104-2025</t>
        </is>
      </c>
      <c r="B585" s="1" t="n">
        <v>45826.68806712963</v>
      </c>
      <c r="C585" s="1" t="n">
        <v>45995</v>
      </c>
      <c r="D585" t="inlineStr">
        <is>
          <t>GOTLANDS LÄN</t>
        </is>
      </c>
      <c r="E585" t="inlineStr">
        <is>
          <t>GOTLAND</t>
        </is>
      </c>
      <c r="G585" t="n">
        <v>15.4</v>
      </c>
      <c r="H585" t="n">
        <v>0</v>
      </c>
      <c r="I585" t="n">
        <v>0</v>
      </c>
      <c r="J585" t="n">
        <v>0</v>
      </c>
      <c r="K585" t="n">
        <v>0</v>
      </c>
      <c r="L585" t="n">
        <v>0</v>
      </c>
      <c r="M585" t="n">
        <v>0</v>
      </c>
      <c r="N585" t="n">
        <v>0</v>
      </c>
      <c r="O585" t="n">
        <v>0</v>
      </c>
      <c r="P585" t="n">
        <v>0</v>
      </c>
      <c r="Q585" t="n">
        <v>0</v>
      </c>
      <c r="R585" s="2" t="inlineStr"/>
    </row>
    <row r="586" ht="15" customHeight="1">
      <c r="A586" t="inlineStr">
        <is>
          <t>A 4421-2024</t>
        </is>
      </c>
      <c r="B586" s="1" t="n">
        <v>45327.45173611111</v>
      </c>
      <c r="C586" s="1" t="n">
        <v>45995</v>
      </c>
      <c r="D586" t="inlineStr">
        <is>
          <t>GOTLANDS LÄN</t>
        </is>
      </c>
      <c r="E586" t="inlineStr">
        <is>
          <t>GOTLAND</t>
        </is>
      </c>
      <c r="G586" t="n">
        <v>5.1</v>
      </c>
      <c r="H586" t="n">
        <v>0</v>
      </c>
      <c r="I586" t="n">
        <v>0</v>
      </c>
      <c r="J586" t="n">
        <v>0</v>
      </c>
      <c r="K586" t="n">
        <v>0</v>
      </c>
      <c r="L586" t="n">
        <v>0</v>
      </c>
      <c r="M586" t="n">
        <v>0</v>
      </c>
      <c r="N586" t="n">
        <v>0</v>
      </c>
      <c r="O586" t="n">
        <v>0</v>
      </c>
      <c r="P586" t="n">
        <v>0</v>
      </c>
      <c r="Q586" t="n">
        <v>0</v>
      </c>
      <c r="R586" s="2" t="inlineStr"/>
    </row>
    <row r="587" ht="15" customHeight="1">
      <c r="A587" t="inlineStr">
        <is>
          <t>A 35290-2025</t>
        </is>
      </c>
      <c r="B587" s="1" t="n">
        <v>45854.38502314815</v>
      </c>
      <c r="C587" s="1" t="n">
        <v>45995</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32669-2024</t>
        </is>
      </c>
      <c r="B588" s="1" t="n">
        <v>45514</v>
      </c>
      <c r="C588" s="1" t="n">
        <v>45995</v>
      </c>
      <c r="D588" t="inlineStr">
        <is>
          <t>GOTLANDS LÄN</t>
        </is>
      </c>
      <c r="E588" t="inlineStr">
        <is>
          <t>GOTLAND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51782-2023</t>
        </is>
      </c>
      <c r="B589" s="1" t="n">
        <v>45222.80952546297</v>
      </c>
      <c r="C589" s="1" t="n">
        <v>45995</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54268-2022</t>
        </is>
      </c>
      <c r="B590" s="1" t="n">
        <v>44882</v>
      </c>
      <c r="C590" s="1" t="n">
        <v>45995</v>
      </c>
      <c r="D590" t="inlineStr">
        <is>
          <t>GOTLANDS LÄN</t>
        </is>
      </c>
      <c r="E590" t="inlineStr">
        <is>
          <t>GOTLAND</t>
        </is>
      </c>
      <c r="G590" t="n">
        <v>2.7</v>
      </c>
      <c r="H590" t="n">
        <v>0</v>
      </c>
      <c r="I590" t="n">
        <v>0</v>
      </c>
      <c r="J590" t="n">
        <v>0</v>
      </c>
      <c r="K590" t="n">
        <v>0</v>
      </c>
      <c r="L590" t="n">
        <v>0</v>
      </c>
      <c r="M590" t="n">
        <v>0</v>
      </c>
      <c r="N590" t="n">
        <v>0</v>
      </c>
      <c r="O590" t="n">
        <v>0</v>
      </c>
      <c r="P590" t="n">
        <v>0</v>
      </c>
      <c r="Q590" t="n">
        <v>0</v>
      </c>
      <c r="R590" s="2" t="inlineStr"/>
    </row>
    <row r="591" ht="15" customHeight="1">
      <c r="A591" t="inlineStr">
        <is>
          <t>A 35537-2025</t>
        </is>
      </c>
      <c r="B591" s="1" t="n">
        <v>45856</v>
      </c>
      <c r="C591" s="1" t="n">
        <v>45995</v>
      </c>
      <c r="D591" t="inlineStr">
        <is>
          <t>GOTLANDS LÄN</t>
        </is>
      </c>
      <c r="E591" t="inlineStr">
        <is>
          <t>GOTLAND</t>
        </is>
      </c>
      <c r="G591" t="n">
        <v>16.8</v>
      </c>
      <c r="H591" t="n">
        <v>0</v>
      </c>
      <c r="I591" t="n">
        <v>0</v>
      </c>
      <c r="J591" t="n">
        <v>0</v>
      </c>
      <c r="K591" t="n">
        <v>0</v>
      </c>
      <c r="L591" t="n">
        <v>0</v>
      </c>
      <c r="M591" t="n">
        <v>0</v>
      </c>
      <c r="N591" t="n">
        <v>0</v>
      </c>
      <c r="O591" t="n">
        <v>0</v>
      </c>
      <c r="P591" t="n">
        <v>0</v>
      </c>
      <c r="Q591" t="n">
        <v>0</v>
      </c>
      <c r="R591" s="2" t="inlineStr"/>
    </row>
    <row r="592" ht="15" customHeight="1">
      <c r="A592" t="inlineStr">
        <is>
          <t>A 57534-2022</t>
        </is>
      </c>
      <c r="B592" s="1" t="n">
        <v>44896</v>
      </c>
      <c r="C592" s="1" t="n">
        <v>45995</v>
      </c>
      <c r="D592" t="inlineStr">
        <is>
          <t>GOTLANDS LÄN</t>
        </is>
      </c>
      <c r="E592" t="inlineStr">
        <is>
          <t>GOTLAND</t>
        </is>
      </c>
      <c r="G592" t="n">
        <v>0.6</v>
      </c>
      <c r="H592" t="n">
        <v>0</v>
      </c>
      <c r="I592" t="n">
        <v>0</v>
      </c>
      <c r="J592" t="n">
        <v>0</v>
      </c>
      <c r="K592" t="n">
        <v>0</v>
      </c>
      <c r="L592" t="n">
        <v>0</v>
      </c>
      <c r="M592" t="n">
        <v>0</v>
      </c>
      <c r="N592" t="n">
        <v>0</v>
      </c>
      <c r="O592" t="n">
        <v>0</v>
      </c>
      <c r="P592" t="n">
        <v>0</v>
      </c>
      <c r="Q592" t="n">
        <v>0</v>
      </c>
      <c r="R592" s="2" t="inlineStr"/>
    </row>
    <row r="593" ht="15" customHeight="1">
      <c r="A593" t="inlineStr">
        <is>
          <t>A 15216-2025</t>
        </is>
      </c>
      <c r="B593" s="1" t="n">
        <v>45744</v>
      </c>
      <c r="C593" s="1" t="n">
        <v>45995</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43790-2024</t>
        </is>
      </c>
      <c r="B594" s="1" t="n">
        <v>45571</v>
      </c>
      <c r="C594" s="1" t="n">
        <v>45995</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15001-2025</t>
        </is>
      </c>
      <c r="B595" s="1" t="n">
        <v>45743</v>
      </c>
      <c r="C595" s="1" t="n">
        <v>45995</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30488-2025</t>
        </is>
      </c>
      <c r="B596" s="1" t="n">
        <v>45830</v>
      </c>
      <c r="C596" s="1" t="n">
        <v>45995</v>
      </c>
      <c r="D596" t="inlineStr">
        <is>
          <t>GOTLANDS LÄN</t>
        </is>
      </c>
      <c r="E596" t="inlineStr">
        <is>
          <t>GOTLAND</t>
        </is>
      </c>
      <c r="F596" t="inlineStr">
        <is>
          <t>Kyrkan</t>
        </is>
      </c>
      <c r="G596" t="n">
        <v>3.9</v>
      </c>
      <c r="H596" t="n">
        <v>0</v>
      </c>
      <c r="I596" t="n">
        <v>0</v>
      </c>
      <c r="J596" t="n">
        <v>0</v>
      </c>
      <c r="K596" t="n">
        <v>0</v>
      </c>
      <c r="L596" t="n">
        <v>0</v>
      </c>
      <c r="M596" t="n">
        <v>0</v>
      </c>
      <c r="N596" t="n">
        <v>0</v>
      </c>
      <c r="O596" t="n">
        <v>0</v>
      </c>
      <c r="P596" t="n">
        <v>0</v>
      </c>
      <c r="Q596" t="n">
        <v>0</v>
      </c>
      <c r="R596" s="2" t="inlineStr"/>
    </row>
    <row r="597" ht="15" customHeight="1">
      <c r="A597" t="inlineStr">
        <is>
          <t>A 17847-2025</t>
        </is>
      </c>
      <c r="B597" s="1" t="n">
        <v>45758</v>
      </c>
      <c r="C597" s="1" t="n">
        <v>45995</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18742-2025</t>
        </is>
      </c>
      <c r="B598" s="1" t="n">
        <v>45763</v>
      </c>
      <c r="C598" s="1" t="n">
        <v>45995</v>
      </c>
      <c r="D598" t="inlineStr">
        <is>
          <t>GOTLANDS LÄN</t>
        </is>
      </c>
      <c r="E598" t="inlineStr">
        <is>
          <t>GOTLAND</t>
        </is>
      </c>
      <c r="G598" t="n">
        <v>3.4</v>
      </c>
      <c r="H598" t="n">
        <v>0</v>
      </c>
      <c r="I598" t="n">
        <v>0</v>
      </c>
      <c r="J598" t="n">
        <v>0</v>
      </c>
      <c r="K598" t="n">
        <v>0</v>
      </c>
      <c r="L598" t="n">
        <v>0</v>
      </c>
      <c r="M598" t="n">
        <v>0</v>
      </c>
      <c r="N598" t="n">
        <v>0</v>
      </c>
      <c r="O598" t="n">
        <v>0</v>
      </c>
      <c r="P598" t="n">
        <v>0</v>
      </c>
      <c r="Q598" t="n">
        <v>0</v>
      </c>
      <c r="R598" s="2" t="inlineStr"/>
    </row>
    <row r="599" ht="15" customHeight="1">
      <c r="A599" t="inlineStr">
        <is>
          <t>A 36319-2025</t>
        </is>
      </c>
      <c r="B599" s="1" t="n">
        <v>45868</v>
      </c>
      <c r="C599" s="1" t="n">
        <v>45995</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35129-2025</t>
        </is>
      </c>
      <c r="B600" s="1" t="n">
        <v>45852.63224537037</v>
      </c>
      <c r="C600" s="1" t="n">
        <v>45995</v>
      </c>
      <c r="D600" t="inlineStr">
        <is>
          <t>GOTLANDS LÄN</t>
        </is>
      </c>
      <c r="E600" t="inlineStr">
        <is>
          <t>GOTLAND</t>
        </is>
      </c>
      <c r="G600" t="n">
        <v>3.2</v>
      </c>
      <c r="H600" t="n">
        <v>0</v>
      </c>
      <c r="I600" t="n">
        <v>0</v>
      </c>
      <c r="J600" t="n">
        <v>0</v>
      </c>
      <c r="K600" t="n">
        <v>0</v>
      </c>
      <c r="L600" t="n">
        <v>0</v>
      </c>
      <c r="M600" t="n">
        <v>0</v>
      </c>
      <c r="N600" t="n">
        <v>0</v>
      </c>
      <c r="O600" t="n">
        <v>0</v>
      </c>
      <c r="P600" t="n">
        <v>0</v>
      </c>
      <c r="Q600" t="n">
        <v>0</v>
      </c>
      <c r="R600" s="2" t="inlineStr"/>
    </row>
    <row r="601" ht="15" customHeight="1">
      <c r="A601" t="inlineStr">
        <is>
          <t>A 6108-2025</t>
        </is>
      </c>
      <c r="B601" s="1" t="n">
        <v>45698.29880787037</v>
      </c>
      <c r="C601" s="1" t="n">
        <v>45995</v>
      </c>
      <c r="D601" t="inlineStr">
        <is>
          <t>GOTLANDS LÄN</t>
        </is>
      </c>
      <c r="E601" t="inlineStr">
        <is>
          <t>GOTLAND</t>
        </is>
      </c>
      <c r="G601" t="n">
        <v>2.8</v>
      </c>
      <c r="H601" t="n">
        <v>0</v>
      </c>
      <c r="I601" t="n">
        <v>0</v>
      </c>
      <c r="J601" t="n">
        <v>0</v>
      </c>
      <c r="K601" t="n">
        <v>0</v>
      </c>
      <c r="L601" t="n">
        <v>0</v>
      </c>
      <c r="M601" t="n">
        <v>0</v>
      </c>
      <c r="N601" t="n">
        <v>0</v>
      </c>
      <c r="O601" t="n">
        <v>0</v>
      </c>
      <c r="P601" t="n">
        <v>0</v>
      </c>
      <c r="Q601" t="n">
        <v>0</v>
      </c>
      <c r="R601" s="2" t="inlineStr"/>
    </row>
    <row r="602" ht="15" customHeight="1">
      <c r="A602" t="inlineStr">
        <is>
          <t>A 21142-2025</t>
        </is>
      </c>
      <c r="B602" s="1" t="n">
        <v>45779</v>
      </c>
      <c r="C602" s="1" t="n">
        <v>45995</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17343-2025</t>
        </is>
      </c>
      <c r="B603" s="1" t="n">
        <v>45756.6687037037</v>
      </c>
      <c r="C603" s="1" t="n">
        <v>45995</v>
      </c>
      <c r="D603" t="inlineStr">
        <is>
          <t>GOTLANDS LÄN</t>
        </is>
      </c>
      <c r="E603" t="inlineStr">
        <is>
          <t>GOTLAND</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18938-2025</t>
        </is>
      </c>
      <c r="B604" s="1" t="n">
        <v>45764.49172453704</v>
      </c>
      <c r="C604" s="1" t="n">
        <v>45995</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30489-2025</t>
        </is>
      </c>
      <c r="B605" s="1" t="n">
        <v>45830</v>
      </c>
      <c r="C605" s="1" t="n">
        <v>45995</v>
      </c>
      <c r="D605" t="inlineStr">
        <is>
          <t>GOTLANDS LÄN</t>
        </is>
      </c>
      <c r="E605" t="inlineStr">
        <is>
          <t>GOTLAND</t>
        </is>
      </c>
      <c r="G605" t="n">
        <v>4.6</v>
      </c>
      <c r="H605" t="n">
        <v>0</v>
      </c>
      <c r="I605" t="n">
        <v>0</v>
      </c>
      <c r="J605" t="n">
        <v>0</v>
      </c>
      <c r="K605" t="n">
        <v>0</v>
      </c>
      <c r="L605" t="n">
        <v>0</v>
      </c>
      <c r="M605" t="n">
        <v>0</v>
      </c>
      <c r="N605" t="n">
        <v>0</v>
      </c>
      <c r="O605" t="n">
        <v>0</v>
      </c>
      <c r="P605" t="n">
        <v>0</v>
      </c>
      <c r="Q605" t="n">
        <v>0</v>
      </c>
      <c r="R605" s="2" t="inlineStr"/>
    </row>
    <row r="606">
      <c r="A606" t="inlineStr">
        <is>
          <t>A 20307-2025</t>
        </is>
      </c>
      <c r="B606" s="1" t="n">
        <v>45774.95546296296</v>
      </c>
      <c r="C606" s="1" t="n">
        <v>45995</v>
      </c>
      <c r="D606" t="inlineStr">
        <is>
          <t>GOTLANDS LÄN</t>
        </is>
      </c>
      <c r="E606" t="inlineStr">
        <is>
          <t>GOTLAND</t>
        </is>
      </c>
      <c r="G606" t="n">
        <v>6.8</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2025-12-04T10:27:03Z</dcterms:created>
  <dcterms:modified xmlns:dcterms="http://purl.org/dc/terms/" xmlns:xsi="http://www.w3.org/2001/XMLSchema-instance" xsi:type="dcterms:W3CDTF">2025-12-04T10:27:04Z</dcterms:modified>
</cp:coreProperties>
</file>