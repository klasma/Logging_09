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45570</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45570</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45570</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45570</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45570</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45570</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45570</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45570</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45570</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45570</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45570</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45570</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45570</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45570</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45570</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45570</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45570</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45570</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45570</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45570</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45570</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45570</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45570</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45570</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45570</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45570</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45570</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45570</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45570</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45570</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45570</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45570</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45570</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45570</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45570</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45570</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45570</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45570</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45570</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45570</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45570</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45570</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45570</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45570</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45570</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45570</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45570</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45570</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45570</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45570</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45570</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45570</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45570</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45570</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45570</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45570</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45570</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45570</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45570</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45570</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45570</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45570</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45570</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45570</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45570</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45570</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45570</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45570</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45570</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45570</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45570</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45570</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45570</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45570</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45570</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45570</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45570</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45570</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45570</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45570</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45570</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45570</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45570</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45570</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45570</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45570</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45570</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45570</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45570</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45570</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45570</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45570</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45570</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45570</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45570</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45570</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45570</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45570</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45570</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45570</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45570</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45570</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45570</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45570</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45570</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45570</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45570</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45570</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45570</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45570</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45570</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45570</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45570</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45570</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45570</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45570</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45570</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45570</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45570</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45570</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45570</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45570</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45570</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45570</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45570</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45570</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45570</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45570</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45570</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45570</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45570</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45570</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45570</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45570</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45570</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45570</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45570</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45570</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45570</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45570</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45570</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45570</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45570</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45570</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45570</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45570</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45570</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45570</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45570</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45570</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45570</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45570</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45570</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45570</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45570</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45570</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45570</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45570</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45570</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45570</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45570</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45570</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45570</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45570</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45570</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45570</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45570</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45570</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45570</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45570</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45570</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45570</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45570</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45570</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45570</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45570</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45570</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45570</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45570</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45570</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45570</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45570</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45570</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45570</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45570</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45570</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45570</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45570</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45570</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45570</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45570</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45570</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45570</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45570</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45570</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45570</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45570</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45570</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45570</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45570</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45570</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45570</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45570</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45570</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45570</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45570</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45570</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45570</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45570</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45570</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45570</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45570</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45570</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45570</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45570</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45570</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45570</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45570</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45570</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45570</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45570</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45570</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45570</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45570</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6303-2024</t>
        </is>
      </c>
      <c r="B227" s="1" t="n">
        <v>45338</v>
      </c>
      <c r="C227" s="1" t="n">
        <v>45570</v>
      </c>
      <c r="D227" t="inlineStr">
        <is>
          <t>GOTLANDS LÄN</t>
        </is>
      </c>
      <c r="E227" t="inlineStr">
        <is>
          <t>GOTLAND</t>
        </is>
      </c>
      <c r="G227" t="n">
        <v>0.6</v>
      </c>
      <c r="H227" t="n">
        <v>0</v>
      </c>
      <c r="I227" t="n">
        <v>1</v>
      </c>
      <c r="J227" t="n">
        <v>0</v>
      </c>
      <c r="K227" t="n">
        <v>0</v>
      </c>
      <c r="L227" t="n">
        <v>0</v>
      </c>
      <c r="M227" t="n">
        <v>0</v>
      </c>
      <c r="N227" t="n">
        <v>0</v>
      </c>
      <c r="O227" t="n">
        <v>0</v>
      </c>
      <c r="P227" t="n">
        <v>0</v>
      </c>
      <c r="Q227" t="n">
        <v>1</v>
      </c>
      <c r="R227" s="2" t="inlineStr">
        <is>
          <t>Strävlosta</t>
        </is>
      </c>
      <c r="S227">
        <f>HYPERLINK("https://klasma.github.io/Logging_0980/artfynd/A 6303-2024 artfynd.xlsx", "A 6303-2024")</f>
        <v/>
      </c>
      <c r="T227">
        <f>HYPERLINK("https://klasma.github.io/Logging_0980/kartor/A 6303-2024 karta.png", "A 6303-2024")</f>
        <v/>
      </c>
      <c r="V227">
        <f>HYPERLINK("https://klasma.github.io/Logging_0980/klagomål/A 6303-2024 FSC-klagomål.docx", "A 6303-2024")</f>
        <v/>
      </c>
      <c r="W227">
        <f>HYPERLINK("https://klasma.github.io/Logging_0980/klagomålsmail/A 6303-2024 FSC-klagomål mail.docx", "A 6303-2024")</f>
        <v/>
      </c>
      <c r="X227">
        <f>HYPERLINK("https://klasma.github.io/Logging_0980/tillsyn/A 6303-2024 tillsynsbegäran.docx", "A 6303-2024")</f>
        <v/>
      </c>
      <c r="Y227">
        <f>HYPERLINK("https://klasma.github.io/Logging_0980/tillsynsmail/A 6303-2024 tillsynsbegäran mail.docx", "A 6303-2024")</f>
        <v/>
      </c>
    </row>
    <row r="228" ht="15" customHeight="1">
      <c r="A228" t="inlineStr">
        <is>
          <t>A 8291-2024</t>
        </is>
      </c>
      <c r="B228" s="1" t="n">
        <v>45352</v>
      </c>
      <c r="C228" s="1" t="n">
        <v>45570</v>
      </c>
      <c r="D228" t="inlineStr">
        <is>
          <t>GOTLANDS LÄN</t>
        </is>
      </c>
      <c r="E228" t="inlineStr">
        <is>
          <t>GOTLAND</t>
        </is>
      </c>
      <c r="G228" t="n">
        <v>5.4</v>
      </c>
      <c r="H228" t="n">
        <v>1</v>
      </c>
      <c r="I228" t="n">
        <v>0</v>
      </c>
      <c r="J228" t="n">
        <v>1</v>
      </c>
      <c r="K228" t="n">
        <v>0</v>
      </c>
      <c r="L228" t="n">
        <v>0</v>
      </c>
      <c r="M228" t="n">
        <v>0</v>
      </c>
      <c r="N228" t="n">
        <v>0</v>
      </c>
      <c r="O228" t="n">
        <v>1</v>
      </c>
      <c r="P228" t="n">
        <v>0</v>
      </c>
      <c r="Q228" t="n">
        <v>1</v>
      </c>
      <c r="R228" s="2" t="inlineStr">
        <is>
          <t>Ärtsångare</t>
        </is>
      </c>
      <c r="S228">
        <f>HYPERLINK("https://klasma.github.io/Logging_0980/artfynd/A 8291-2024 artfynd.xlsx", "A 8291-2024")</f>
        <v/>
      </c>
      <c r="T228">
        <f>HYPERLINK("https://klasma.github.io/Logging_0980/kartor/A 8291-2024 karta.png", "A 8291-2024")</f>
        <v/>
      </c>
      <c r="V228">
        <f>HYPERLINK("https://klasma.github.io/Logging_0980/klagomål/A 8291-2024 FSC-klagomål.docx", "A 8291-2024")</f>
        <v/>
      </c>
      <c r="W228">
        <f>HYPERLINK("https://klasma.github.io/Logging_0980/klagomålsmail/A 8291-2024 FSC-klagomål mail.docx", "A 8291-2024")</f>
        <v/>
      </c>
      <c r="X228">
        <f>HYPERLINK("https://klasma.github.io/Logging_0980/tillsyn/A 8291-2024 tillsynsbegäran.docx", "A 8291-2024")</f>
        <v/>
      </c>
      <c r="Y228">
        <f>HYPERLINK("https://klasma.github.io/Logging_0980/tillsynsmail/A 8291-2024 tillsynsbegäran mail.docx", "A 8291-2024")</f>
        <v/>
      </c>
      <c r="Z228">
        <f>HYPERLINK("https://klasma.github.io/Logging_0980/fåglar/A 8291-2024 prioriterade fågelarter.docx", "A 8291-2024")</f>
        <v/>
      </c>
    </row>
    <row r="229" ht="15" customHeight="1">
      <c r="A229" t="inlineStr">
        <is>
          <t>A 9862-2024</t>
        </is>
      </c>
      <c r="B229" s="1" t="n">
        <v>45363</v>
      </c>
      <c r="C229" s="1" t="n">
        <v>45570</v>
      </c>
      <c r="D229" t="inlineStr">
        <is>
          <t>GOTLANDS LÄN</t>
        </is>
      </c>
      <c r="E229" t="inlineStr">
        <is>
          <t>GOTLAND</t>
        </is>
      </c>
      <c r="G229" t="n">
        <v>3.5</v>
      </c>
      <c r="H229" t="n">
        <v>1</v>
      </c>
      <c r="I229" t="n">
        <v>0</v>
      </c>
      <c r="J229" t="n">
        <v>0</v>
      </c>
      <c r="K229" t="n">
        <v>0</v>
      </c>
      <c r="L229" t="n">
        <v>0</v>
      </c>
      <c r="M229" t="n">
        <v>0</v>
      </c>
      <c r="N229" t="n">
        <v>0</v>
      </c>
      <c r="O229" t="n">
        <v>0</v>
      </c>
      <c r="P229" t="n">
        <v>0</v>
      </c>
      <c r="Q229" t="n">
        <v>1</v>
      </c>
      <c r="R229" s="2" t="inlineStr">
        <is>
          <t>Nattviol</t>
        </is>
      </c>
      <c r="S229">
        <f>HYPERLINK("https://klasma.github.io/Logging_0980/artfynd/A 9862-2024 artfynd.xlsx", "A 9862-2024")</f>
        <v/>
      </c>
      <c r="T229">
        <f>HYPERLINK("https://klasma.github.io/Logging_0980/kartor/A 9862-2024 karta.png", "A 9862-2024")</f>
        <v/>
      </c>
      <c r="V229">
        <f>HYPERLINK("https://klasma.github.io/Logging_0980/klagomål/A 9862-2024 FSC-klagomål.docx", "A 9862-2024")</f>
        <v/>
      </c>
      <c r="W229">
        <f>HYPERLINK("https://klasma.github.io/Logging_0980/klagomålsmail/A 9862-2024 FSC-klagomål mail.docx", "A 9862-2024")</f>
        <v/>
      </c>
      <c r="X229">
        <f>HYPERLINK("https://klasma.github.io/Logging_0980/tillsyn/A 9862-2024 tillsynsbegäran.docx", "A 9862-2024")</f>
        <v/>
      </c>
      <c r="Y229">
        <f>HYPERLINK("https://klasma.github.io/Logging_0980/tillsynsmail/A 9862-2024 tillsynsbegäran mail.docx", "A 9862-2024")</f>
        <v/>
      </c>
    </row>
    <row r="230" ht="15" customHeight="1">
      <c r="A230" t="inlineStr">
        <is>
          <t>A 10440-2024</t>
        </is>
      </c>
      <c r="B230" s="1" t="n">
        <v>45366</v>
      </c>
      <c r="C230" s="1" t="n">
        <v>45570</v>
      </c>
      <c r="D230" t="inlineStr">
        <is>
          <t>GOTLANDS LÄN</t>
        </is>
      </c>
      <c r="E230" t="inlineStr">
        <is>
          <t>GOTLAND</t>
        </is>
      </c>
      <c r="G230" t="n">
        <v>2.5</v>
      </c>
      <c r="H230" t="n">
        <v>1</v>
      </c>
      <c r="I230" t="n">
        <v>0</v>
      </c>
      <c r="J230" t="n">
        <v>1</v>
      </c>
      <c r="K230" t="n">
        <v>0</v>
      </c>
      <c r="L230" t="n">
        <v>0</v>
      </c>
      <c r="M230" t="n">
        <v>0</v>
      </c>
      <c r="N230" t="n">
        <v>0</v>
      </c>
      <c r="O230" t="n">
        <v>1</v>
      </c>
      <c r="P230" t="n">
        <v>0</v>
      </c>
      <c r="Q230" t="n">
        <v>1</v>
      </c>
      <c r="R230" s="2" t="inlineStr">
        <is>
          <t>Mindre hackspett</t>
        </is>
      </c>
      <c r="S230">
        <f>HYPERLINK("https://klasma.github.io/Logging_0980/artfynd/A 10440-2024 artfynd.xlsx", "A 10440-2024")</f>
        <v/>
      </c>
      <c r="T230">
        <f>HYPERLINK("https://klasma.github.io/Logging_0980/kartor/A 10440-2024 karta.png", "A 10440-2024")</f>
        <v/>
      </c>
      <c r="V230">
        <f>HYPERLINK("https://klasma.github.io/Logging_0980/klagomål/A 10440-2024 FSC-klagomål.docx", "A 10440-2024")</f>
        <v/>
      </c>
      <c r="W230">
        <f>HYPERLINK("https://klasma.github.io/Logging_0980/klagomålsmail/A 10440-2024 FSC-klagomål mail.docx", "A 10440-2024")</f>
        <v/>
      </c>
      <c r="X230">
        <f>HYPERLINK("https://klasma.github.io/Logging_0980/tillsyn/A 10440-2024 tillsynsbegäran.docx", "A 10440-2024")</f>
        <v/>
      </c>
      <c r="Y230">
        <f>HYPERLINK("https://klasma.github.io/Logging_0980/tillsynsmail/A 10440-2024 tillsynsbegäran mail.docx", "A 10440-2024")</f>
        <v/>
      </c>
      <c r="Z230">
        <f>HYPERLINK("https://klasma.github.io/Logging_0980/fåglar/A 10440-2024 prioriterade fågelarter.docx", "A 10440-2024")</f>
        <v/>
      </c>
    </row>
    <row r="231" ht="15" customHeight="1">
      <c r="A231" t="inlineStr">
        <is>
          <t>A 12379-2024</t>
        </is>
      </c>
      <c r="B231" s="1" t="n">
        <v>45379</v>
      </c>
      <c r="C231" s="1" t="n">
        <v>45570</v>
      </c>
      <c r="D231" t="inlineStr">
        <is>
          <t>GOTLANDS LÄN</t>
        </is>
      </c>
      <c r="E231" t="inlineStr">
        <is>
          <t>GOTLAND</t>
        </is>
      </c>
      <c r="G231" t="n">
        <v>4.4</v>
      </c>
      <c r="H231" t="n">
        <v>0</v>
      </c>
      <c r="I231" t="n">
        <v>0</v>
      </c>
      <c r="J231" t="n">
        <v>1</v>
      </c>
      <c r="K231" t="n">
        <v>0</v>
      </c>
      <c r="L231" t="n">
        <v>0</v>
      </c>
      <c r="M231" t="n">
        <v>0</v>
      </c>
      <c r="N231" t="n">
        <v>0</v>
      </c>
      <c r="O231" t="n">
        <v>1</v>
      </c>
      <c r="P231" t="n">
        <v>0</v>
      </c>
      <c r="Q231" t="n">
        <v>1</v>
      </c>
      <c r="R231" s="2" t="inlineStr">
        <is>
          <t>Svinrot</t>
        </is>
      </c>
      <c r="S231">
        <f>HYPERLINK("https://klasma.github.io/Logging_0980/artfynd/A 12379-2024 artfynd.xlsx", "A 12379-2024")</f>
        <v/>
      </c>
      <c r="T231">
        <f>HYPERLINK("https://klasma.github.io/Logging_0980/kartor/A 12379-2024 karta.png", "A 12379-2024")</f>
        <v/>
      </c>
      <c r="V231">
        <f>HYPERLINK("https://klasma.github.io/Logging_0980/klagomål/A 12379-2024 FSC-klagomål.docx", "A 12379-2024")</f>
        <v/>
      </c>
      <c r="W231">
        <f>HYPERLINK("https://klasma.github.io/Logging_0980/klagomålsmail/A 12379-2024 FSC-klagomål mail.docx", "A 12379-2024")</f>
        <v/>
      </c>
      <c r="X231">
        <f>HYPERLINK("https://klasma.github.io/Logging_0980/tillsyn/A 12379-2024 tillsynsbegäran.docx", "A 12379-2024")</f>
        <v/>
      </c>
      <c r="Y231">
        <f>HYPERLINK("https://klasma.github.io/Logging_0980/tillsynsmail/A 12379-2024 tillsynsbegäran mail.docx", "A 12379-2024")</f>
        <v/>
      </c>
    </row>
    <row r="232" ht="15" customHeight="1">
      <c r="A232" t="inlineStr">
        <is>
          <t>A 15629-2024</t>
        </is>
      </c>
      <c r="B232" s="1" t="n">
        <v>45402</v>
      </c>
      <c r="C232" s="1" t="n">
        <v>45570</v>
      </c>
      <c r="D232" t="inlineStr">
        <is>
          <t>GOTLANDS LÄN</t>
        </is>
      </c>
      <c r="E232" t="inlineStr">
        <is>
          <t>GOTLAND</t>
        </is>
      </c>
      <c r="G232" t="n">
        <v>6.3</v>
      </c>
      <c r="H232" t="n">
        <v>1</v>
      </c>
      <c r="I232" t="n">
        <v>0</v>
      </c>
      <c r="J232" t="n">
        <v>1</v>
      </c>
      <c r="K232" t="n">
        <v>0</v>
      </c>
      <c r="L232" t="n">
        <v>0</v>
      </c>
      <c r="M232" t="n">
        <v>0</v>
      </c>
      <c r="N232" t="n">
        <v>0</v>
      </c>
      <c r="O232" t="n">
        <v>1</v>
      </c>
      <c r="P232" t="n">
        <v>0</v>
      </c>
      <c r="Q232" t="n">
        <v>1</v>
      </c>
      <c r="R232" s="2" t="inlineStr">
        <is>
          <t>Apollofjäril</t>
        </is>
      </c>
      <c r="S232">
        <f>HYPERLINK("https://klasma.github.io/Logging_0980/artfynd/A 15629-2024 artfynd.xlsx", "A 15629-2024")</f>
        <v/>
      </c>
      <c r="T232">
        <f>HYPERLINK("https://klasma.github.io/Logging_0980/kartor/A 15629-2024 karta.png", "A 15629-2024")</f>
        <v/>
      </c>
      <c r="V232">
        <f>HYPERLINK("https://klasma.github.io/Logging_0980/klagomål/A 15629-2024 FSC-klagomål.docx", "A 15629-2024")</f>
        <v/>
      </c>
      <c r="W232">
        <f>HYPERLINK("https://klasma.github.io/Logging_0980/klagomålsmail/A 15629-2024 FSC-klagomål mail.docx", "A 15629-2024")</f>
        <v/>
      </c>
      <c r="X232">
        <f>HYPERLINK("https://klasma.github.io/Logging_0980/tillsyn/A 15629-2024 tillsynsbegäran.docx", "A 15629-2024")</f>
        <v/>
      </c>
      <c r="Y232">
        <f>HYPERLINK("https://klasma.github.io/Logging_0980/tillsynsmail/A 15629-2024 tillsynsbegäran mail.docx", "A 15629-2024")</f>
        <v/>
      </c>
    </row>
    <row r="233" ht="15" customHeight="1">
      <c r="A233" t="inlineStr">
        <is>
          <t>A 15637-2024</t>
        </is>
      </c>
      <c r="B233" s="1" t="n">
        <v>45403</v>
      </c>
      <c r="C233" s="1" t="n">
        <v>45570</v>
      </c>
      <c r="D233" t="inlineStr">
        <is>
          <t>GOTLANDS LÄN</t>
        </is>
      </c>
      <c r="E233" t="inlineStr">
        <is>
          <t>GOTLAND</t>
        </is>
      </c>
      <c r="G233" t="n">
        <v>4.1</v>
      </c>
      <c r="H233" t="n">
        <v>1</v>
      </c>
      <c r="I233" t="n">
        <v>0</v>
      </c>
      <c r="J233" t="n">
        <v>0</v>
      </c>
      <c r="K233" t="n">
        <v>0</v>
      </c>
      <c r="L233" t="n">
        <v>0</v>
      </c>
      <c r="M233" t="n">
        <v>0</v>
      </c>
      <c r="N233" t="n">
        <v>0</v>
      </c>
      <c r="O233" t="n">
        <v>0</v>
      </c>
      <c r="P233" t="n">
        <v>0</v>
      </c>
      <c r="Q233" t="n">
        <v>1</v>
      </c>
      <c r="R233" s="2" t="inlineStr">
        <is>
          <t>Blåsippa</t>
        </is>
      </c>
      <c r="S233">
        <f>HYPERLINK("https://klasma.github.io/Logging_0980/artfynd/A 15637-2024 artfynd.xlsx", "A 15637-2024")</f>
        <v/>
      </c>
      <c r="T233">
        <f>HYPERLINK("https://klasma.github.io/Logging_0980/kartor/A 15637-2024 karta.png", "A 15637-2024")</f>
        <v/>
      </c>
      <c r="V233">
        <f>HYPERLINK("https://klasma.github.io/Logging_0980/klagomål/A 15637-2024 FSC-klagomål.docx", "A 15637-2024")</f>
        <v/>
      </c>
      <c r="W233">
        <f>HYPERLINK("https://klasma.github.io/Logging_0980/klagomålsmail/A 15637-2024 FSC-klagomål mail.docx", "A 15637-2024")</f>
        <v/>
      </c>
      <c r="X233">
        <f>HYPERLINK("https://klasma.github.io/Logging_0980/tillsyn/A 15637-2024 tillsynsbegäran.docx", "A 15637-2024")</f>
        <v/>
      </c>
      <c r="Y233">
        <f>HYPERLINK("https://klasma.github.io/Logging_0980/tillsynsmail/A 15637-2024 tillsynsbegäran mail.docx", "A 15637-2024")</f>
        <v/>
      </c>
    </row>
    <row r="234" ht="15" customHeight="1">
      <c r="A234" t="inlineStr">
        <is>
          <t>A 17681-2024</t>
        </is>
      </c>
      <c r="B234" s="1" t="n">
        <v>45418</v>
      </c>
      <c r="C234" s="1" t="n">
        <v>45570</v>
      </c>
      <c r="D234" t="inlineStr">
        <is>
          <t>GOTLANDS LÄN</t>
        </is>
      </c>
      <c r="E234" t="inlineStr">
        <is>
          <t>GOTLAND</t>
        </is>
      </c>
      <c r="G234" t="n">
        <v>1.9</v>
      </c>
      <c r="H234" t="n">
        <v>0</v>
      </c>
      <c r="I234" t="n">
        <v>0</v>
      </c>
      <c r="J234" t="n">
        <v>1</v>
      </c>
      <c r="K234" t="n">
        <v>0</v>
      </c>
      <c r="L234" t="n">
        <v>0</v>
      </c>
      <c r="M234" t="n">
        <v>0</v>
      </c>
      <c r="N234" t="n">
        <v>0</v>
      </c>
      <c r="O234" t="n">
        <v>1</v>
      </c>
      <c r="P234" t="n">
        <v>0</v>
      </c>
      <c r="Q234" t="n">
        <v>1</v>
      </c>
      <c r="R234" s="2" t="inlineStr">
        <is>
          <t>Igelkott</t>
        </is>
      </c>
      <c r="S234">
        <f>HYPERLINK("https://klasma.github.io/Logging_0980/artfynd/A 17681-2024 artfynd.xlsx", "A 17681-2024")</f>
        <v/>
      </c>
      <c r="T234">
        <f>HYPERLINK("https://klasma.github.io/Logging_0980/kartor/A 17681-2024 karta.png", "A 17681-2024")</f>
        <v/>
      </c>
      <c r="V234">
        <f>HYPERLINK("https://klasma.github.io/Logging_0980/klagomål/A 17681-2024 FSC-klagomål.docx", "A 17681-2024")</f>
        <v/>
      </c>
      <c r="W234">
        <f>HYPERLINK("https://klasma.github.io/Logging_0980/klagomålsmail/A 17681-2024 FSC-klagomål mail.docx", "A 17681-2024")</f>
        <v/>
      </c>
      <c r="X234">
        <f>HYPERLINK("https://klasma.github.io/Logging_0980/tillsyn/A 17681-2024 tillsynsbegäran.docx", "A 17681-2024")</f>
        <v/>
      </c>
      <c r="Y234">
        <f>HYPERLINK("https://klasma.github.io/Logging_0980/tillsynsmail/A 17681-2024 tillsynsbegäran mail.docx", "A 17681-2024")</f>
        <v/>
      </c>
    </row>
    <row r="235" ht="15" customHeight="1">
      <c r="A235" t="inlineStr">
        <is>
          <t>A 17727-2024</t>
        </is>
      </c>
      <c r="B235" s="1" t="n">
        <v>45418</v>
      </c>
      <c r="C235" s="1" t="n">
        <v>45570</v>
      </c>
      <c r="D235" t="inlineStr">
        <is>
          <t>GOTLANDS LÄN</t>
        </is>
      </c>
      <c r="E235" t="inlineStr">
        <is>
          <t>GOTLAND</t>
        </is>
      </c>
      <c r="G235" t="n">
        <v>1</v>
      </c>
      <c r="H235" t="n">
        <v>0</v>
      </c>
      <c r="I235" t="n">
        <v>0</v>
      </c>
      <c r="J235" t="n">
        <v>1</v>
      </c>
      <c r="K235" t="n">
        <v>0</v>
      </c>
      <c r="L235" t="n">
        <v>0</v>
      </c>
      <c r="M235" t="n">
        <v>0</v>
      </c>
      <c r="N235" t="n">
        <v>0</v>
      </c>
      <c r="O235" t="n">
        <v>1</v>
      </c>
      <c r="P235" t="n">
        <v>0</v>
      </c>
      <c r="Q235" t="n">
        <v>1</v>
      </c>
      <c r="R235" s="2" t="inlineStr">
        <is>
          <t>Åkerranunkel</t>
        </is>
      </c>
      <c r="S235">
        <f>HYPERLINK("https://klasma.github.io/Logging_0980/artfynd/A 17727-2024 artfynd.xlsx", "A 17727-2024")</f>
        <v/>
      </c>
      <c r="T235">
        <f>HYPERLINK("https://klasma.github.io/Logging_0980/kartor/A 17727-2024 karta.png", "A 17727-2024")</f>
        <v/>
      </c>
      <c r="V235">
        <f>HYPERLINK("https://klasma.github.io/Logging_0980/klagomål/A 17727-2024 FSC-klagomål.docx", "A 17727-2024")</f>
        <v/>
      </c>
      <c r="W235">
        <f>HYPERLINK("https://klasma.github.io/Logging_0980/klagomålsmail/A 17727-2024 FSC-klagomål mail.docx", "A 17727-2024")</f>
        <v/>
      </c>
      <c r="X235">
        <f>HYPERLINK("https://klasma.github.io/Logging_0980/tillsyn/A 17727-2024 tillsynsbegäran.docx", "A 17727-2024")</f>
        <v/>
      </c>
      <c r="Y235">
        <f>HYPERLINK("https://klasma.github.io/Logging_0980/tillsynsmail/A 17727-2024 tillsynsbegäran mail.docx", "A 17727-2024")</f>
        <v/>
      </c>
    </row>
    <row r="236" ht="15" customHeight="1">
      <c r="A236" t="inlineStr">
        <is>
          <t>A 20831-2024</t>
        </is>
      </c>
      <c r="B236" s="1" t="n">
        <v>45439</v>
      </c>
      <c r="C236" s="1" t="n">
        <v>45570</v>
      </c>
      <c r="D236" t="inlineStr">
        <is>
          <t>GOTLANDS LÄN</t>
        </is>
      </c>
      <c r="E236" t="inlineStr">
        <is>
          <t>GOTLAND</t>
        </is>
      </c>
      <c r="G236" t="n">
        <v>2.9</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20831-2024 artfynd.xlsx", "A 20831-2024")</f>
        <v/>
      </c>
      <c r="T236">
        <f>HYPERLINK("https://klasma.github.io/Logging_0980/kartor/A 20831-2024 karta.png", "A 20831-2024")</f>
        <v/>
      </c>
      <c r="V236">
        <f>HYPERLINK("https://klasma.github.io/Logging_0980/klagomål/A 20831-2024 FSC-klagomål.docx", "A 20831-2024")</f>
        <v/>
      </c>
      <c r="W236">
        <f>HYPERLINK("https://klasma.github.io/Logging_0980/klagomålsmail/A 20831-2024 FSC-klagomål mail.docx", "A 20831-2024")</f>
        <v/>
      </c>
      <c r="X236">
        <f>HYPERLINK("https://klasma.github.io/Logging_0980/tillsyn/A 20831-2024 tillsynsbegäran.docx", "A 20831-2024")</f>
        <v/>
      </c>
      <c r="Y236">
        <f>HYPERLINK("https://klasma.github.io/Logging_0980/tillsynsmail/A 20831-2024 tillsynsbegäran mail.docx", "A 20831-2024")</f>
        <v/>
      </c>
    </row>
    <row r="237" ht="15" customHeight="1">
      <c r="A237" t="inlineStr">
        <is>
          <t>A 20838-2024</t>
        </is>
      </c>
      <c r="B237" s="1" t="n">
        <v>45439</v>
      </c>
      <c r="C237" s="1" t="n">
        <v>45570</v>
      </c>
      <c r="D237" t="inlineStr">
        <is>
          <t>GOTLANDS LÄN</t>
        </is>
      </c>
      <c r="E237" t="inlineStr">
        <is>
          <t>GOTLAND</t>
        </is>
      </c>
      <c r="G237" t="n">
        <v>0.7</v>
      </c>
      <c r="H237" t="n">
        <v>1</v>
      </c>
      <c r="I237" t="n">
        <v>1</v>
      </c>
      <c r="J237" t="n">
        <v>0</v>
      </c>
      <c r="K237" t="n">
        <v>0</v>
      </c>
      <c r="L237" t="n">
        <v>0</v>
      </c>
      <c r="M237" t="n">
        <v>0</v>
      </c>
      <c r="N237" t="n">
        <v>0</v>
      </c>
      <c r="O237" t="n">
        <v>0</v>
      </c>
      <c r="P237" t="n">
        <v>0</v>
      </c>
      <c r="Q237" t="n">
        <v>1</v>
      </c>
      <c r="R237" s="2" t="inlineStr">
        <is>
          <t>Skogsknipprot</t>
        </is>
      </c>
      <c r="S237">
        <f>HYPERLINK("https://klasma.github.io/Logging_0980/artfynd/A 20838-2024 artfynd.xlsx", "A 20838-2024")</f>
        <v/>
      </c>
      <c r="T237">
        <f>HYPERLINK("https://klasma.github.io/Logging_0980/kartor/A 20838-2024 karta.png", "A 20838-2024")</f>
        <v/>
      </c>
      <c r="V237">
        <f>HYPERLINK("https://klasma.github.io/Logging_0980/klagomål/A 20838-2024 FSC-klagomål.docx", "A 20838-2024")</f>
        <v/>
      </c>
      <c r="W237">
        <f>HYPERLINK("https://klasma.github.io/Logging_0980/klagomålsmail/A 20838-2024 FSC-klagomål mail.docx", "A 20838-2024")</f>
        <v/>
      </c>
      <c r="X237">
        <f>HYPERLINK("https://klasma.github.io/Logging_0980/tillsyn/A 20838-2024 tillsynsbegäran.docx", "A 20838-2024")</f>
        <v/>
      </c>
      <c r="Y237">
        <f>HYPERLINK("https://klasma.github.io/Logging_0980/tillsynsmail/A 20838-2024 tillsynsbegäran mail.docx", "A 20838-2024")</f>
        <v/>
      </c>
    </row>
    <row r="238" ht="15" customHeight="1">
      <c r="A238" t="inlineStr">
        <is>
          <t>A 20833-2024</t>
        </is>
      </c>
      <c r="B238" s="1" t="n">
        <v>45439</v>
      </c>
      <c r="C238" s="1" t="n">
        <v>45570</v>
      </c>
      <c r="D238" t="inlineStr">
        <is>
          <t>GOTLANDS LÄN</t>
        </is>
      </c>
      <c r="E238" t="inlineStr">
        <is>
          <t>GOTLAND</t>
        </is>
      </c>
      <c r="G238" t="n">
        <v>0.9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20833-2024 artfynd.xlsx", "A 20833-2024")</f>
        <v/>
      </c>
      <c r="T238">
        <f>HYPERLINK("https://klasma.github.io/Logging_0980/kartor/A 20833-2024 karta.png", "A 20833-2024")</f>
        <v/>
      </c>
      <c r="V238">
        <f>HYPERLINK("https://klasma.github.io/Logging_0980/klagomål/A 20833-2024 FSC-klagomål.docx", "A 20833-2024")</f>
        <v/>
      </c>
      <c r="W238">
        <f>HYPERLINK("https://klasma.github.io/Logging_0980/klagomålsmail/A 20833-2024 FSC-klagomål mail.docx", "A 20833-2024")</f>
        <v/>
      </c>
      <c r="X238">
        <f>HYPERLINK("https://klasma.github.io/Logging_0980/tillsyn/A 20833-2024 tillsynsbegäran.docx", "A 20833-2024")</f>
        <v/>
      </c>
      <c r="Y238">
        <f>HYPERLINK("https://klasma.github.io/Logging_0980/tillsynsmail/A 20833-2024 tillsynsbegäran mail.docx", "A 20833-2024")</f>
        <v/>
      </c>
    </row>
    <row r="239" ht="15" customHeight="1">
      <c r="A239" t="inlineStr">
        <is>
          <t>A 25977-2024</t>
        </is>
      </c>
      <c r="B239" s="1" t="n">
        <v>45467</v>
      </c>
      <c r="C239" s="1" t="n">
        <v>45570</v>
      </c>
      <c r="D239" t="inlineStr">
        <is>
          <t>GOTLANDS LÄN</t>
        </is>
      </c>
      <c r="E239" t="inlineStr">
        <is>
          <t>GOTLAND</t>
        </is>
      </c>
      <c r="G239" t="n">
        <v>3</v>
      </c>
      <c r="H239" t="n">
        <v>1</v>
      </c>
      <c r="I239" t="n">
        <v>0</v>
      </c>
      <c r="J239" t="n">
        <v>0</v>
      </c>
      <c r="K239" t="n">
        <v>0</v>
      </c>
      <c r="L239" t="n">
        <v>0</v>
      </c>
      <c r="M239" t="n">
        <v>0</v>
      </c>
      <c r="N239" t="n">
        <v>0</v>
      </c>
      <c r="O239" t="n">
        <v>0</v>
      </c>
      <c r="P239" t="n">
        <v>0</v>
      </c>
      <c r="Q239" t="n">
        <v>1</v>
      </c>
      <c r="R239" s="2" t="inlineStr">
        <is>
          <t>Nattviol</t>
        </is>
      </c>
      <c r="S239">
        <f>HYPERLINK("https://klasma.github.io/Logging_0980/artfynd/A 25977-2024 artfynd.xlsx", "A 25977-2024")</f>
        <v/>
      </c>
      <c r="T239">
        <f>HYPERLINK("https://klasma.github.io/Logging_0980/kartor/A 25977-2024 karta.png", "A 25977-2024")</f>
        <v/>
      </c>
      <c r="V239">
        <f>HYPERLINK("https://klasma.github.io/Logging_0980/klagomål/A 25977-2024 FSC-klagomål.docx", "A 25977-2024")</f>
        <v/>
      </c>
      <c r="W239">
        <f>HYPERLINK("https://klasma.github.io/Logging_0980/klagomålsmail/A 25977-2024 FSC-klagomål mail.docx", "A 25977-2024")</f>
        <v/>
      </c>
      <c r="X239">
        <f>HYPERLINK("https://klasma.github.io/Logging_0980/tillsyn/A 25977-2024 tillsynsbegäran.docx", "A 25977-2024")</f>
        <v/>
      </c>
      <c r="Y239">
        <f>HYPERLINK("https://klasma.github.io/Logging_0980/tillsynsmail/A 25977-2024 tillsynsbegäran mail.docx", "A 25977-2024")</f>
        <v/>
      </c>
    </row>
    <row r="240" ht="15" customHeight="1">
      <c r="A240" t="inlineStr">
        <is>
          <t>A 30892-2024</t>
        </is>
      </c>
      <c r="B240" s="1" t="n">
        <v>45491</v>
      </c>
      <c r="C240" s="1" t="n">
        <v>45570</v>
      </c>
      <c r="D240" t="inlineStr">
        <is>
          <t>GOTLANDS LÄN</t>
        </is>
      </c>
      <c r="E240" t="inlineStr">
        <is>
          <t>GOTLAND</t>
        </is>
      </c>
      <c r="G240" t="n">
        <v>16.3</v>
      </c>
      <c r="H240" t="n">
        <v>1</v>
      </c>
      <c r="I240" t="n">
        <v>0</v>
      </c>
      <c r="J240" t="n">
        <v>1</v>
      </c>
      <c r="K240" t="n">
        <v>0</v>
      </c>
      <c r="L240" t="n">
        <v>0</v>
      </c>
      <c r="M240" t="n">
        <v>0</v>
      </c>
      <c r="N240" t="n">
        <v>0</v>
      </c>
      <c r="O240" t="n">
        <v>1</v>
      </c>
      <c r="P240" t="n">
        <v>0</v>
      </c>
      <c r="Q240" t="n">
        <v>1</v>
      </c>
      <c r="R240" s="2" t="inlineStr">
        <is>
          <t>Brun ögontröst</t>
        </is>
      </c>
      <c r="S240">
        <f>HYPERLINK("https://klasma.github.io/Logging_0980/artfynd/A 30892-2024 artfynd.xlsx", "A 30892-2024")</f>
        <v/>
      </c>
      <c r="T240">
        <f>HYPERLINK("https://klasma.github.io/Logging_0980/kartor/A 30892-2024 karta.png", "A 30892-2024")</f>
        <v/>
      </c>
      <c r="V240">
        <f>HYPERLINK("https://klasma.github.io/Logging_0980/klagomål/A 30892-2024 FSC-klagomål.docx", "A 30892-2024")</f>
        <v/>
      </c>
      <c r="W240">
        <f>HYPERLINK("https://klasma.github.io/Logging_0980/klagomålsmail/A 30892-2024 FSC-klagomål mail.docx", "A 30892-2024")</f>
        <v/>
      </c>
      <c r="X240">
        <f>HYPERLINK("https://klasma.github.io/Logging_0980/tillsyn/A 30892-2024 tillsynsbegäran.docx", "A 30892-2024")</f>
        <v/>
      </c>
      <c r="Y240">
        <f>HYPERLINK("https://klasma.github.io/Logging_0980/tillsynsmail/A 30892-2024 tillsynsbegäran mail.docx", "A 30892-2024")</f>
        <v/>
      </c>
    </row>
    <row r="241" ht="15" customHeight="1">
      <c r="A241" t="inlineStr">
        <is>
          <t>A 30410-2024</t>
        </is>
      </c>
      <c r="B241" s="1" t="n">
        <v>45491</v>
      </c>
      <c r="C241" s="1" t="n">
        <v>45570</v>
      </c>
      <c r="D241" t="inlineStr">
        <is>
          <t>GOTLANDS LÄN</t>
        </is>
      </c>
      <c r="E241" t="inlineStr">
        <is>
          <t>GOTLAND</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HYPERLINK("https://klasma.github.io/Logging_0980/artfynd/A 30410-2024 artfynd.xlsx", "A 30410-2024")</f>
        <v/>
      </c>
      <c r="T241">
        <f>HYPERLINK("https://klasma.github.io/Logging_0980/kartor/A 30410-2024 karta.png", "A 30410-2024")</f>
        <v/>
      </c>
      <c r="V241">
        <f>HYPERLINK("https://klasma.github.io/Logging_0980/klagomål/A 30410-2024 FSC-klagomål.docx", "A 30410-2024")</f>
        <v/>
      </c>
      <c r="W241">
        <f>HYPERLINK("https://klasma.github.io/Logging_0980/klagomålsmail/A 30410-2024 FSC-klagomål mail.docx", "A 30410-2024")</f>
        <v/>
      </c>
      <c r="X241">
        <f>HYPERLINK("https://klasma.github.io/Logging_0980/tillsyn/A 30410-2024 tillsynsbegäran.docx", "A 30410-2024")</f>
        <v/>
      </c>
      <c r="Y241">
        <f>HYPERLINK("https://klasma.github.io/Logging_0980/tillsynsmail/A 30410-2024 tillsynsbegäran mail.docx", "A 30410-2024")</f>
        <v/>
      </c>
    </row>
    <row r="242" ht="15" customHeight="1">
      <c r="A242" t="inlineStr">
        <is>
          <t>A 31750-2024</t>
        </is>
      </c>
      <c r="B242" s="1" t="n">
        <v>45509</v>
      </c>
      <c r="C242" s="1" t="n">
        <v>45570</v>
      </c>
      <c r="D242" t="inlineStr">
        <is>
          <t>GOTLANDS LÄN</t>
        </is>
      </c>
      <c r="E242" t="inlineStr">
        <is>
          <t>GOTLAND</t>
        </is>
      </c>
      <c r="G242" t="n">
        <v>10.3</v>
      </c>
      <c r="H242" t="n">
        <v>1</v>
      </c>
      <c r="I242" t="n">
        <v>0</v>
      </c>
      <c r="J242" t="n">
        <v>1</v>
      </c>
      <c r="K242" t="n">
        <v>0</v>
      </c>
      <c r="L242" t="n">
        <v>0</v>
      </c>
      <c r="M242" t="n">
        <v>0</v>
      </c>
      <c r="N242" t="n">
        <v>0</v>
      </c>
      <c r="O242" t="n">
        <v>1</v>
      </c>
      <c r="P242" t="n">
        <v>0</v>
      </c>
      <c r="Q242" t="n">
        <v>1</v>
      </c>
      <c r="R242" s="2" t="inlineStr">
        <is>
          <t>Grönsångare</t>
        </is>
      </c>
      <c r="S242">
        <f>HYPERLINK("https://klasma.github.io/Logging_0980/artfynd/A 31750-2024 artfynd.xlsx", "A 31750-2024")</f>
        <v/>
      </c>
      <c r="T242">
        <f>HYPERLINK("https://klasma.github.io/Logging_0980/kartor/A 31750-2024 karta.png", "A 31750-2024")</f>
        <v/>
      </c>
      <c r="V242">
        <f>HYPERLINK("https://klasma.github.io/Logging_0980/klagomål/A 31750-2024 FSC-klagomål.docx", "A 31750-2024")</f>
        <v/>
      </c>
      <c r="W242">
        <f>HYPERLINK("https://klasma.github.io/Logging_0980/klagomålsmail/A 31750-2024 FSC-klagomål mail.docx", "A 31750-2024")</f>
        <v/>
      </c>
      <c r="X242">
        <f>HYPERLINK("https://klasma.github.io/Logging_0980/tillsyn/A 31750-2024 tillsynsbegäran.docx", "A 31750-2024")</f>
        <v/>
      </c>
      <c r="Y242">
        <f>HYPERLINK("https://klasma.github.io/Logging_0980/tillsynsmail/A 31750-2024 tillsynsbegäran mail.docx", "A 31750-2024")</f>
        <v/>
      </c>
      <c r="Z242">
        <f>HYPERLINK("https://klasma.github.io/Logging_0980/fåglar/A 31750-2024 prioriterade fågelarter.docx", "A 31750-2024")</f>
        <v/>
      </c>
    </row>
    <row r="243" ht="15" customHeight="1">
      <c r="A243" t="inlineStr">
        <is>
          <t>A 33081-2024</t>
        </is>
      </c>
      <c r="B243" s="1" t="n">
        <v>45517</v>
      </c>
      <c r="C243" s="1" t="n">
        <v>45570</v>
      </c>
      <c r="D243" t="inlineStr">
        <is>
          <t>GOTLANDS LÄN</t>
        </is>
      </c>
      <c r="E243" t="inlineStr">
        <is>
          <t>GOTLAND</t>
        </is>
      </c>
      <c r="G243" t="n">
        <v>1.4</v>
      </c>
      <c r="H243" t="n">
        <v>0</v>
      </c>
      <c r="I243" t="n">
        <v>0</v>
      </c>
      <c r="J243" t="n">
        <v>0</v>
      </c>
      <c r="K243" t="n">
        <v>1</v>
      </c>
      <c r="L243" t="n">
        <v>0</v>
      </c>
      <c r="M243" t="n">
        <v>0</v>
      </c>
      <c r="N243" t="n">
        <v>0</v>
      </c>
      <c r="O243" t="n">
        <v>1</v>
      </c>
      <c r="P243" t="n">
        <v>1</v>
      </c>
      <c r="Q243" t="n">
        <v>1</v>
      </c>
      <c r="R243" s="2" t="inlineStr">
        <is>
          <t>Gotlandsmåra</t>
        </is>
      </c>
      <c r="S243">
        <f>HYPERLINK("https://klasma.github.io/Logging_0980/artfynd/A 33081-2024 artfynd.xlsx", "A 33081-2024")</f>
        <v/>
      </c>
      <c r="T243">
        <f>HYPERLINK("https://klasma.github.io/Logging_0980/kartor/A 33081-2024 karta.png", "A 33081-2024")</f>
        <v/>
      </c>
      <c r="V243">
        <f>HYPERLINK("https://klasma.github.io/Logging_0980/klagomål/A 33081-2024 FSC-klagomål.docx", "A 33081-2024")</f>
        <v/>
      </c>
      <c r="W243">
        <f>HYPERLINK("https://klasma.github.io/Logging_0980/klagomålsmail/A 33081-2024 FSC-klagomål mail.docx", "A 33081-2024")</f>
        <v/>
      </c>
      <c r="X243">
        <f>HYPERLINK("https://klasma.github.io/Logging_0980/tillsyn/A 33081-2024 tillsynsbegäran.docx", "A 33081-2024")</f>
        <v/>
      </c>
      <c r="Y243">
        <f>HYPERLINK("https://klasma.github.io/Logging_0980/tillsynsmail/A 33081-2024 tillsynsbegäran mail.docx", "A 33081-2024")</f>
        <v/>
      </c>
    </row>
    <row r="244" ht="15" customHeight="1">
      <c r="A244" t="inlineStr">
        <is>
          <t>A 34141-2024</t>
        </is>
      </c>
      <c r="B244" s="1" t="n">
        <v>45524</v>
      </c>
      <c r="C244" s="1" t="n">
        <v>45570</v>
      </c>
      <c r="D244" t="inlineStr">
        <is>
          <t>GOTLANDS LÄN</t>
        </is>
      </c>
      <c r="E244" t="inlineStr">
        <is>
          <t>GOTLAND</t>
        </is>
      </c>
      <c r="G244" t="n">
        <v>0.9</v>
      </c>
      <c r="H244" t="n">
        <v>0</v>
      </c>
      <c r="I244" t="n">
        <v>1</v>
      </c>
      <c r="J244" t="n">
        <v>0</v>
      </c>
      <c r="K244" t="n">
        <v>0</v>
      </c>
      <c r="L244" t="n">
        <v>0</v>
      </c>
      <c r="M244" t="n">
        <v>0</v>
      </c>
      <c r="N244" t="n">
        <v>0</v>
      </c>
      <c r="O244" t="n">
        <v>0</v>
      </c>
      <c r="P244" t="n">
        <v>0</v>
      </c>
      <c r="Q244" t="n">
        <v>1</v>
      </c>
      <c r="R244" s="2" t="inlineStr">
        <is>
          <t>Strävlosta</t>
        </is>
      </c>
      <c r="S244">
        <f>HYPERLINK("https://klasma.github.io/Logging_0980/artfynd/A 34141-2024 artfynd.xlsx", "A 34141-2024")</f>
        <v/>
      </c>
      <c r="T244">
        <f>HYPERLINK("https://klasma.github.io/Logging_0980/kartor/A 34141-2024 karta.png", "A 34141-2024")</f>
        <v/>
      </c>
      <c r="V244">
        <f>HYPERLINK("https://klasma.github.io/Logging_0980/klagomål/A 34141-2024 FSC-klagomål.docx", "A 34141-2024")</f>
        <v/>
      </c>
      <c r="W244">
        <f>HYPERLINK("https://klasma.github.io/Logging_0980/klagomålsmail/A 34141-2024 FSC-klagomål mail.docx", "A 34141-2024")</f>
        <v/>
      </c>
      <c r="X244">
        <f>HYPERLINK("https://klasma.github.io/Logging_0980/tillsyn/A 34141-2024 tillsynsbegäran.docx", "A 34141-2024")</f>
        <v/>
      </c>
      <c r="Y244">
        <f>HYPERLINK("https://klasma.github.io/Logging_0980/tillsynsmail/A 34141-2024 tillsynsbegäran mail.docx", "A 34141-2024")</f>
        <v/>
      </c>
    </row>
    <row r="245" ht="15" customHeight="1">
      <c r="A245" t="inlineStr">
        <is>
          <t>A 34809-2024</t>
        </is>
      </c>
      <c r="B245" s="1" t="n">
        <v>45526</v>
      </c>
      <c r="C245" s="1" t="n">
        <v>45570</v>
      </c>
      <c r="D245" t="inlineStr">
        <is>
          <t>GOTLANDS LÄN</t>
        </is>
      </c>
      <c r="E245" t="inlineStr">
        <is>
          <t>GOTLAND</t>
        </is>
      </c>
      <c r="G245" t="n">
        <v>9.9</v>
      </c>
      <c r="H245" t="n">
        <v>1</v>
      </c>
      <c r="I245" t="n">
        <v>0</v>
      </c>
      <c r="J245" t="n">
        <v>1</v>
      </c>
      <c r="K245" t="n">
        <v>0</v>
      </c>
      <c r="L245" t="n">
        <v>0</v>
      </c>
      <c r="M245" t="n">
        <v>0</v>
      </c>
      <c r="N245" t="n">
        <v>0</v>
      </c>
      <c r="O245" t="n">
        <v>1</v>
      </c>
      <c r="P245" t="n">
        <v>0</v>
      </c>
      <c r="Q245" t="n">
        <v>1</v>
      </c>
      <c r="R245" s="2" t="inlineStr">
        <is>
          <t>Brun ögontröst</t>
        </is>
      </c>
      <c r="S245">
        <f>HYPERLINK("https://klasma.github.io/Logging_0980/artfynd/A 34809-2024 artfynd.xlsx", "A 34809-2024")</f>
        <v/>
      </c>
      <c r="T245">
        <f>HYPERLINK("https://klasma.github.io/Logging_0980/kartor/A 34809-2024 karta.png", "A 34809-2024")</f>
        <v/>
      </c>
      <c r="V245">
        <f>HYPERLINK("https://klasma.github.io/Logging_0980/klagomål/A 34809-2024 FSC-klagomål.docx", "A 34809-2024")</f>
        <v/>
      </c>
      <c r="W245">
        <f>HYPERLINK("https://klasma.github.io/Logging_0980/klagomålsmail/A 34809-2024 FSC-klagomål mail.docx", "A 34809-2024")</f>
        <v/>
      </c>
      <c r="X245">
        <f>HYPERLINK("https://klasma.github.io/Logging_0980/tillsyn/A 34809-2024 tillsynsbegäran.docx", "A 34809-2024")</f>
        <v/>
      </c>
      <c r="Y245">
        <f>HYPERLINK("https://klasma.github.io/Logging_0980/tillsynsmail/A 34809-2024 tillsynsbegäran mail.docx", "A 34809-2024")</f>
        <v/>
      </c>
    </row>
    <row r="246" ht="15" customHeight="1">
      <c r="A246" t="inlineStr">
        <is>
          <t>A 35574-2024</t>
        </is>
      </c>
      <c r="B246" s="1" t="n">
        <v>45531</v>
      </c>
      <c r="C246" s="1" t="n">
        <v>45570</v>
      </c>
      <c r="D246" t="inlineStr">
        <is>
          <t>GOTLANDS LÄN</t>
        </is>
      </c>
      <c r="E246" t="inlineStr">
        <is>
          <t>GOTLAND</t>
        </is>
      </c>
      <c r="G246" t="n">
        <v>5.7</v>
      </c>
      <c r="H246" t="n">
        <v>0</v>
      </c>
      <c r="I246" t="n">
        <v>1</v>
      </c>
      <c r="J246" t="n">
        <v>0</v>
      </c>
      <c r="K246" t="n">
        <v>0</v>
      </c>
      <c r="L246" t="n">
        <v>0</v>
      </c>
      <c r="M246" t="n">
        <v>0</v>
      </c>
      <c r="N246" t="n">
        <v>0</v>
      </c>
      <c r="O246" t="n">
        <v>0</v>
      </c>
      <c r="P246" t="n">
        <v>0</v>
      </c>
      <c r="Q246" t="n">
        <v>1</v>
      </c>
      <c r="R246" s="2" t="inlineStr">
        <is>
          <t>Murgröna</t>
        </is>
      </c>
      <c r="S246">
        <f>HYPERLINK("https://klasma.github.io/Logging_0980/artfynd/A 35574-2024 artfynd.xlsx", "A 35574-2024")</f>
        <v/>
      </c>
      <c r="T246">
        <f>HYPERLINK("https://klasma.github.io/Logging_0980/kartor/A 35574-2024 karta.png", "A 35574-2024")</f>
        <v/>
      </c>
      <c r="V246">
        <f>HYPERLINK("https://klasma.github.io/Logging_0980/klagomål/A 35574-2024 FSC-klagomål.docx", "A 35574-2024")</f>
        <v/>
      </c>
      <c r="W246">
        <f>HYPERLINK("https://klasma.github.io/Logging_0980/klagomålsmail/A 35574-2024 FSC-klagomål mail.docx", "A 35574-2024")</f>
        <v/>
      </c>
      <c r="X246">
        <f>HYPERLINK("https://klasma.github.io/Logging_0980/tillsyn/A 35574-2024 tillsynsbegäran.docx", "A 35574-2024")</f>
        <v/>
      </c>
      <c r="Y246">
        <f>HYPERLINK("https://klasma.github.io/Logging_0980/tillsynsmail/A 35574-2024 tillsynsbegäran mail.docx", "A 35574-2024")</f>
        <v/>
      </c>
    </row>
    <row r="247" ht="15" customHeight="1">
      <c r="A247" t="inlineStr">
        <is>
          <t>A 19159-2019</t>
        </is>
      </c>
      <c r="B247" s="1" t="n">
        <v>43564</v>
      </c>
      <c r="C247" s="1" t="n">
        <v>45570</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21380-2019</t>
        </is>
      </c>
      <c r="B248" s="1" t="n">
        <v>43579</v>
      </c>
      <c r="C248" s="1" t="n">
        <v>45570</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21894-2019</t>
        </is>
      </c>
      <c r="B249" s="1" t="n">
        <v>43584</v>
      </c>
      <c r="C249" s="1" t="n">
        <v>45570</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21925-2019</t>
        </is>
      </c>
      <c r="B250" s="1" t="n">
        <v>43584</v>
      </c>
      <c r="C250" s="1" t="n">
        <v>45570</v>
      </c>
      <c r="D250" t="inlineStr">
        <is>
          <t>GOTLANDS LÄN</t>
        </is>
      </c>
      <c r="E250" t="inlineStr">
        <is>
          <t>GOTLAND</t>
        </is>
      </c>
      <c r="G250" t="n">
        <v>2.1</v>
      </c>
      <c r="H250" t="n">
        <v>0</v>
      </c>
      <c r="I250" t="n">
        <v>0</v>
      </c>
      <c r="J250" t="n">
        <v>0</v>
      </c>
      <c r="K250" t="n">
        <v>0</v>
      </c>
      <c r="L250" t="n">
        <v>0</v>
      </c>
      <c r="M250" t="n">
        <v>0</v>
      </c>
      <c r="N250" t="n">
        <v>0</v>
      </c>
      <c r="O250" t="n">
        <v>0</v>
      </c>
      <c r="P250" t="n">
        <v>0</v>
      </c>
      <c r="Q250" t="n">
        <v>0</v>
      </c>
      <c r="R250" s="2" t="inlineStr"/>
    </row>
    <row r="251" ht="15" customHeight="1">
      <c r="A251" t="inlineStr">
        <is>
          <t>A 22457-2019</t>
        </is>
      </c>
      <c r="B251" s="1" t="n">
        <v>43587</v>
      </c>
      <c r="C251" s="1" t="n">
        <v>45570</v>
      </c>
      <c r="D251" t="inlineStr">
        <is>
          <t>GOTLANDS LÄN</t>
        </is>
      </c>
      <c r="E251" t="inlineStr">
        <is>
          <t>GOTLAND</t>
        </is>
      </c>
      <c r="G251" t="n">
        <v>0.3</v>
      </c>
      <c r="H251" t="n">
        <v>0</v>
      </c>
      <c r="I251" t="n">
        <v>0</v>
      </c>
      <c r="J251" t="n">
        <v>0</v>
      </c>
      <c r="K251" t="n">
        <v>0</v>
      </c>
      <c r="L251" t="n">
        <v>0</v>
      </c>
      <c r="M251" t="n">
        <v>0</v>
      </c>
      <c r="N251" t="n">
        <v>0</v>
      </c>
      <c r="O251" t="n">
        <v>0</v>
      </c>
      <c r="P251" t="n">
        <v>0</v>
      </c>
      <c r="Q251" t="n">
        <v>0</v>
      </c>
      <c r="R251" s="2" t="inlineStr"/>
    </row>
    <row r="252" ht="15" customHeight="1">
      <c r="A252" t="inlineStr">
        <is>
          <t>A 23044-2019</t>
        </is>
      </c>
      <c r="B252" s="1" t="n">
        <v>43591</v>
      </c>
      <c r="C252" s="1" t="n">
        <v>45570</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26595-2019</t>
        </is>
      </c>
      <c r="B253" s="1" t="n">
        <v>43612</v>
      </c>
      <c r="C253" s="1" t="n">
        <v>45570</v>
      </c>
      <c r="D253" t="inlineStr">
        <is>
          <t>GOTLANDS LÄN</t>
        </is>
      </c>
      <c r="E253" t="inlineStr">
        <is>
          <t>GOTLAND</t>
        </is>
      </c>
      <c r="G253" t="n">
        <v>0.2</v>
      </c>
      <c r="H253" t="n">
        <v>0</v>
      </c>
      <c r="I253" t="n">
        <v>0</v>
      </c>
      <c r="J253" t="n">
        <v>0</v>
      </c>
      <c r="K253" t="n">
        <v>0</v>
      </c>
      <c r="L253" t="n">
        <v>0</v>
      </c>
      <c r="M253" t="n">
        <v>0</v>
      </c>
      <c r="N253" t="n">
        <v>0</v>
      </c>
      <c r="O253" t="n">
        <v>0</v>
      </c>
      <c r="P253" t="n">
        <v>0</v>
      </c>
      <c r="Q253" t="n">
        <v>0</v>
      </c>
      <c r="R253" s="2" t="inlineStr"/>
    </row>
    <row r="254" ht="15" customHeight="1">
      <c r="A254" t="inlineStr">
        <is>
          <t>A 27795-2019</t>
        </is>
      </c>
      <c r="B254" s="1" t="n">
        <v>43612</v>
      </c>
      <c r="C254" s="1" t="n">
        <v>45570</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28977-2019</t>
        </is>
      </c>
      <c r="B255" s="1" t="n">
        <v>43628</v>
      </c>
      <c r="C255" s="1" t="n">
        <v>45570</v>
      </c>
      <c r="D255" t="inlineStr">
        <is>
          <t>GOTLANDS LÄN</t>
        </is>
      </c>
      <c r="E255" t="inlineStr">
        <is>
          <t>GOTLAND</t>
        </is>
      </c>
      <c r="G255" t="n">
        <v>4.6</v>
      </c>
      <c r="H255" t="n">
        <v>0</v>
      </c>
      <c r="I255" t="n">
        <v>0</v>
      </c>
      <c r="J255" t="n">
        <v>0</v>
      </c>
      <c r="K255" t="n">
        <v>0</v>
      </c>
      <c r="L255" t="n">
        <v>0</v>
      </c>
      <c r="M255" t="n">
        <v>0</v>
      </c>
      <c r="N255" t="n">
        <v>0</v>
      </c>
      <c r="O255" t="n">
        <v>0</v>
      </c>
      <c r="P255" t="n">
        <v>0</v>
      </c>
      <c r="Q255" t="n">
        <v>0</v>
      </c>
      <c r="R255" s="2" t="inlineStr"/>
    </row>
    <row r="256" ht="15" customHeight="1">
      <c r="A256" t="inlineStr">
        <is>
          <t>A 29470-2019</t>
        </is>
      </c>
      <c r="B256" s="1" t="n">
        <v>43629</v>
      </c>
      <c r="C256" s="1" t="n">
        <v>45570</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29469-2019</t>
        </is>
      </c>
      <c r="B257" s="1" t="n">
        <v>43629</v>
      </c>
      <c r="C257" s="1" t="n">
        <v>45570</v>
      </c>
      <c r="D257" t="inlineStr">
        <is>
          <t>GOTLANDS LÄN</t>
        </is>
      </c>
      <c r="E257" t="inlineStr">
        <is>
          <t>GOTLAND</t>
        </is>
      </c>
      <c r="G257" t="n">
        <v>1.7</v>
      </c>
      <c r="H257" t="n">
        <v>0</v>
      </c>
      <c r="I257" t="n">
        <v>0</v>
      </c>
      <c r="J257" t="n">
        <v>0</v>
      </c>
      <c r="K257" t="n">
        <v>0</v>
      </c>
      <c r="L257" t="n">
        <v>0</v>
      </c>
      <c r="M257" t="n">
        <v>0</v>
      </c>
      <c r="N257" t="n">
        <v>0</v>
      </c>
      <c r="O257" t="n">
        <v>0</v>
      </c>
      <c r="P257" t="n">
        <v>0</v>
      </c>
      <c r="Q257" t="n">
        <v>0</v>
      </c>
      <c r="R257" s="2" t="inlineStr"/>
    </row>
    <row r="258" ht="15" customHeight="1">
      <c r="A258" t="inlineStr">
        <is>
          <t>A 30033-2019</t>
        </is>
      </c>
      <c r="B258" s="1" t="n">
        <v>43630</v>
      </c>
      <c r="C258" s="1" t="n">
        <v>45570</v>
      </c>
      <c r="D258" t="inlineStr">
        <is>
          <t>GOTLANDS LÄN</t>
        </is>
      </c>
      <c r="E258" t="inlineStr">
        <is>
          <t>GOTLAND</t>
        </is>
      </c>
      <c r="G258" t="n">
        <v>3.3</v>
      </c>
      <c r="H258" t="n">
        <v>0</v>
      </c>
      <c r="I258" t="n">
        <v>0</v>
      </c>
      <c r="J258" t="n">
        <v>0</v>
      </c>
      <c r="K258" t="n">
        <v>0</v>
      </c>
      <c r="L258" t="n">
        <v>0</v>
      </c>
      <c r="M258" t="n">
        <v>0</v>
      </c>
      <c r="N258" t="n">
        <v>0</v>
      </c>
      <c r="O258" t="n">
        <v>0</v>
      </c>
      <c r="P258" t="n">
        <v>0</v>
      </c>
      <c r="Q258" t="n">
        <v>0</v>
      </c>
      <c r="R258" s="2" t="inlineStr"/>
    </row>
    <row r="259" ht="15" customHeight="1">
      <c r="A259" t="inlineStr">
        <is>
          <t>A 31396-2019</t>
        </is>
      </c>
      <c r="B259" s="1" t="n">
        <v>43636</v>
      </c>
      <c r="C259" s="1" t="n">
        <v>45570</v>
      </c>
      <c r="D259" t="inlineStr">
        <is>
          <t>GOTLANDS LÄN</t>
        </is>
      </c>
      <c r="E259" t="inlineStr">
        <is>
          <t>GOTLAND</t>
        </is>
      </c>
      <c r="G259" t="n">
        <v>5.8</v>
      </c>
      <c r="H259" t="n">
        <v>0</v>
      </c>
      <c r="I259" t="n">
        <v>0</v>
      </c>
      <c r="J259" t="n">
        <v>0</v>
      </c>
      <c r="K259" t="n">
        <v>0</v>
      </c>
      <c r="L259" t="n">
        <v>0</v>
      </c>
      <c r="M259" t="n">
        <v>0</v>
      </c>
      <c r="N259" t="n">
        <v>0</v>
      </c>
      <c r="O259" t="n">
        <v>0</v>
      </c>
      <c r="P259" t="n">
        <v>0</v>
      </c>
      <c r="Q259" t="n">
        <v>0</v>
      </c>
      <c r="R259" s="2" t="inlineStr"/>
    </row>
    <row r="260" ht="15" customHeight="1">
      <c r="A260" t="inlineStr">
        <is>
          <t>A 32061-2019</t>
        </is>
      </c>
      <c r="B260" s="1" t="n">
        <v>43643</v>
      </c>
      <c r="C260" s="1" t="n">
        <v>45570</v>
      </c>
      <c r="D260" t="inlineStr">
        <is>
          <t>GOTLANDS LÄN</t>
        </is>
      </c>
      <c r="E260" t="inlineStr">
        <is>
          <t>GOTLAND</t>
        </is>
      </c>
      <c r="G260" t="n">
        <v>7.5</v>
      </c>
      <c r="H260" t="n">
        <v>0</v>
      </c>
      <c r="I260" t="n">
        <v>0</v>
      </c>
      <c r="J260" t="n">
        <v>0</v>
      </c>
      <c r="K260" t="n">
        <v>0</v>
      </c>
      <c r="L260" t="n">
        <v>0</v>
      </c>
      <c r="M260" t="n">
        <v>0</v>
      </c>
      <c r="N260" t="n">
        <v>0</v>
      </c>
      <c r="O260" t="n">
        <v>0</v>
      </c>
      <c r="P260" t="n">
        <v>0</v>
      </c>
      <c r="Q260" t="n">
        <v>0</v>
      </c>
      <c r="R260" s="2" t="inlineStr"/>
    </row>
    <row r="261" ht="15" customHeight="1">
      <c r="A261" t="inlineStr">
        <is>
          <t>A 32949-2019</t>
        </is>
      </c>
      <c r="B261" s="1" t="n">
        <v>43648</v>
      </c>
      <c r="C261" s="1" t="n">
        <v>45570</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32964-2019</t>
        </is>
      </c>
      <c r="B262" s="1" t="n">
        <v>43648</v>
      </c>
      <c r="C262" s="1" t="n">
        <v>45570</v>
      </c>
      <c r="D262" t="inlineStr">
        <is>
          <t>GOTLANDS LÄN</t>
        </is>
      </c>
      <c r="E262" t="inlineStr">
        <is>
          <t>GOTLAND</t>
        </is>
      </c>
      <c r="G262" t="n">
        <v>8.9</v>
      </c>
      <c r="H262" t="n">
        <v>0</v>
      </c>
      <c r="I262" t="n">
        <v>0</v>
      </c>
      <c r="J262" t="n">
        <v>0</v>
      </c>
      <c r="K262" t="n">
        <v>0</v>
      </c>
      <c r="L262" t="n">
        <v>0</v>
      </c>
      <c r="M262" t="n">
        <v>0</v>
      </c>
      <c r="N262" t="n">
        <v>0</v>
      </c>
      <c r="O262" t="n">
        <v>0</v>
      </c>
      <c r="P262" t="n">
        <v>0</v>
      </c>
      <c r="Q262" t="n">
        <v>0</v>
      </c>
      <c r="R262" s="2" t="inlineStr"/>
    </row>
    <row r="263" ht="15" customHeight="1">
      <c r="A263" t="inlineStr">
        <is>
          <t>A 32970-2019</t>
        </is>
      </c>
      <c r="B263" s="1" t="n">
        <v>43648</v>
      </c>
      <c r="C263" s="1" t="n">
        <v>45570</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33673-2019</t>
        </is>
      </c>
      <c r="B264" s="1" t="n">
        <v>43651</v>
      </c>
      <c r="C264" s="1" t="n">
        <v>45570</v>
      </c>
      <c r="D264" t="inlineStr">
        <is>
          <t>GOTLANDS LÄN</t>
        </is>
      </c>
      <c r="E264" t="inlineStr">
        <is>
          <t>GOTLAND</t>
        </is>
      </c>
      <c r="G264" t="n">
        <v>3.8</v>
      </c>
      <c r="H264" t="n">
        <v>0</v>
      </c>
      <c r="I264" t="n">
        <v>0</v>
      </c>
      <c r="J264" t="n">
        <v>0</v>
      </c>
      <c r="K264" t="n">
        <v>0</v>
      </c>
      <c r="L264" t="n">
        <v>0</v>
      </c>
      <c r="M264" t="n">
        <v>0</v>
      </c>
      <c r="N264" t="n">
        <v>0</v>
      </c>
      <c r="O264" t="n">
        <v>0</v>
      </c>
      <c r="P264" t="n">
        <v>0</v>
      </c>
      <c r="Q264" t="n">
        <v>0</v>
      </c>
      <c r="R264" s="2" t="inlineStr"/>
    </row>
    <row r="265" ht="15" customHeight="1">
      <c r="A265" t="inlineStr">
        <is>
          <t>A 33668-2019</t>
        </is>
      </c>
      <c r="B265" s="1" t="n">
        <v>43651</v>
      </c>
      <c r="C265" s="1" t="n">
        <v>45570</v>
      </c>
      <c r="D265" t="inlineStr">
        <is>
          <t>GOTLANDS LÄN</t>
        </is>
      </c>
      <c r="E265" t="inlineStr">
        <is>
          <t>GOTLAND</t>
        </is>
      </c>
      <c r="G265" t="n">
        <v>9.4</v>
      </c>
      <c r="H265" t="n">
        <v>0</v>
      </c>
      <c r="I265" t="n">
        <v>0</v>
      </c>
      <c r="J265" t="n">
        <v>0</v>
      </c>
      <c r="K265" t="n">
        <v>0</v>
      </c>
      <c r="L265" t="n">
        <v>0</v>
      </c>
      <c r="M265" t="n">
        <v>0</v>
      </c>
      <c r="N265" t="n">
        <v>0</v>
      </c>
      <c r="O265" t="n">
        <v>0</v>
      </c>
      <c r="P265" t="n">
        <v>0</v>
      </c>
      <c r="Q265" t="n">
        <v>0</v>
      </c>
      <c r="R265" s="2" t="inlineStr"/>
    </row>
    <row r="266" ht="15" customHeight="1">
      <c r="A266" t="inlineStr">
        <is>
          <t>A 33674-2019</t>
        </is>
      </c>
      <c r="B266" s="1" t="n">
        <v>43651</v>
      </c>
      <c r="C266" s="1" t="n">
        <v>45570</v>
      </c>
      <c r="D266" t="inlineStr">
        <is>
          <t>GOTLANDS LÄN</t>
        </is>
      </c>
      <c r="E266" t="inlineStr">
        <is>
          <t>GOTLAND</t>
        </is>
      </c>
      <c r="G266" t="n">
        <v>2.9</v>
      </c>
      <c r="H266" t="n">
        <v>0</v>
      </c>
      <c r="I266" t="n">
        <v>0</v>
      </c>
      <c r="J266" t="n">
        <v>0</v>
      </c>
      <c r="K266" t="n">
        <v>0</v>
      </c>
      <c r="L266" t="n">
        <v>0</v>
      </c>
      <c r="M266" t="n">
        <v>0</v>
      </c>
      <c r="N266" t="n">
        <v>0</v>
      </c>
      <c r="O266" t="n">
        <v>0</v>
      </c>
      <c r="P266" t="n">
        <v>0</v>
      </c>
      <c r="Q266" t="n">
        <v>0</v>
      </c>
      <c r="R266" s="2" t="inlineStr"/>
    </row>
    <row r="267" ht="15" customHeight="1">
      <c r="A267" t="inlineStr">
        <is>
          <t>A 33646-2019</t>
        </is>
      </c>
      <c r="B267" s="1" t="n">
        <v>43651</v>
      </c>
      <c r="C267" s="1" t="n">
        <v>45570</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34790-2019</t>
        </is>
      </c>
      <c r="B268" s="1" t="n">
        <v>43658</v>
      </c>
      <c r="C268" s="1" t="n">
        <v>45570</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36344-2019</t>
        </is>
      </c>
      <c r="B269" s="1" t="n">
        <v>43661</v>
      </c>
      <c r="C269" s="1" t="n">
        <v>45570</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36072-2019</t>
        </is>
      </c>
      <c r="B270" s="1" t="n">
        <v>43668</v>
      </c>
      <c r="C270" s="1" t="n">
        <v>45570</v>
      </c>
      <c r="D270" t="inlineStr">
        <is>
          <t>GOTLANDS LÄN</t>
        </is>
      </c>
      <c r="E270" t="inlineStr">
        <is>
          <t>GOTLAND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37028-2019</t>
        </is>
      </c>
      <c r="B271" s="1" t="n">
        <v>43675</v>
      </c>
      <c r="C271" s="1" t="n">
        <v>45570</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40205-2019</t>
        </is>
      </c>
      <c r="B272" s="1" t="n">
        <v>43693</v>
      </c>
      <c r="C272" s="1" t="n">
        <v>45570</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46423-2019</t>
        </is>
      </c>
      <c r="B273" s="1" t="n">
        <v>43719</v>
      </c>
      <c r="C273" s="1" t="n">
        <v>45570</v>
      </c>
      <c r="D273" t="inlineStr">
        <is>
          <t>GOTLANDS LÄN</t>
        </is>
      </c>
      <c r="E273" t="inlineStr">
        <is>
          <t>GOTLAND</t>
        </is>
      </c>
      <c r="F273" t="inlineStr">
        <is>
          <t>Kyrkan</t>
        </is>
      </c>
      <c r="G273" t="n">
        <v>1.6</v>
      </c>
      <c r="H273" t="n">
        <v>0</v>
      </c>
      <c r="I273" t="n">
        <v>0</v>
      </c>
      <c r="J273" t="n">
        <v>0</v>
      </c>
      <c r="K273" t="n">
        <v>0</v>
      </c>
      <c r="L273" t="n">
        <v>0</v>
      </c>
      <c r="M273" t="n">
        <v>0</v>
      </c>
      <c r="N273" t="n">
        <v>0</v>
      </c>
      <c r="O273" t="n">
        <v>0</v>
      </c>
      <c r="P273" t="n">
        <v>0</v>
      </c>
      <c r="Q273" t="n">
        <v>0</v>
      </c>
      <c r="R273" s="2" t="inlineStr"/>
    </row>
    <row r="274" ht="15" customHeight="1">
      <c r="A274" t="inlineStr">
        <is>
          <t>A 47141-2019</t>
        </is>
      </c>
      <c r="B274" s="1" t="n">
        <v>43721</v>
      </c>
      <c r="C274" s="1" t="n">
        <v>45570</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48459-2019</t>
        </is>
      </c>
      <c r="B275" s="1" t="n">
        <v>43727</v>
      </c>
      <c r="C275" s="1" t="n">
        <v>45570</v>
      </c>
      <c r="D275" t="inlineStr">
        <is>
          <t>GOTLANDS LÄN</t>
        </is>
      </c>
      <c r="E275" t="inlineStr">
        <is>
          <t>GOTLAND</t>
        </is>
      </c>
      <c r="G275" t="n">
        <v>3.5</v>
      </c>
      <c r="H275" t="n">
        <v>0</v>
      </c>
      <c r="I275" t="n">
        <v>0</v>
      </c>
      <c r="J275" t="n">
        <v>0</v>
      </c>
      <c r="K275" t="n">
        <v>0</v>
      </c>
      <c r="L275" t="n">
        <v>0</v>
      </c>
      <c r="M275" t="n">
        <v>0</v>
      </c>
      <c r="N275" t="n">
        <v>0</v>
      </c>
      <c r="O275" t="n">
        <v>0</v>
      </c>
      <c r="P275" t="n">
        <v>0</v>
      </c>
      <c r="Q275" t="n">
        <v>0</v>
      </c>
      <c r="R275" s="2" t="inlineStr"/>
    </row>
    <row r="276" ht="15" customHeight="1">
      <c r="A276" t="inlineStr">
        <is>
          <t>A 49769-2019</t>
        </is>
      </c>
      <c r="B276" s="1" t="n">
        <v>43733</v>
      </c>
      <c r="C276" s="1" t="n">
        <v>45570</v>
      </c>
      <c r="D276" t="inlineStr">
        <is>
          <t>GOTLANDS LÄN</t>
        </is>
      </c>
      <c r="E276" t="inlineStr">
        <is>
          <t>GOTLAND</t>
        </is>
      </c>
      <c r="G276" t="n">
        <v>22.3</v>
      </c>
      <c r="H276" t="n">
        <v>0</v>
      </c>
      <c r="I276" t="n">
        <v>0</v>
      </c>
      <c r="J276" t="n">
        <v>0</v>
      </c>
      <c r="K276" t="n">
        <v>0</v>
      </c>
      <c r="L276" t="n">
        <v>0</v>
      </c>
      <c r="M276" t="n">
        <v>0</v>
      </c>
      <c r="N276" t="n">
        <v>0</v>
      </c>
      <c r="O276" t="n">
        <v>0</v>
      </c>
      <c r="P276" t="n">
        <v>0</v>
      </c>
      <c r="Q276" t="n">
        <v>0</v>
      </c>
      <c r="R276" s="2" t="inlineStr"/>
    </row>
    <row r="277" ht="15" customHeight="1">
      <c r="A277" t="inlineStr">
        <is>
          <t>A 50463-2019</t>
        </is>
      </c>
      <c r="B277" s="1" t="n">
        <v>43735</v>
      </c>
      <c r="C277" s="1" t="n">
        <v>45570</v>
      </c>
      <c r="D277" t="inlineStr">
        <is>
          <t>GOTLANDS LÄN</t>
        </is>
      </c>
      <c r="E277" t="inlineStr">
        <is>
          <t>GOTLAND</t>
        </is>
      </c>
      <c r="F277" t="inlineStr">
        <is>
          <t>Kyrkan</t>
        </is>
      </c>
      <c r="G277" t="n">
        <v>1.3</v>
      </c>
      <c r="H277" t="n">
        <v>0</v>
      </c>
      <c r="I277" t="n">
        <v>0</v>
      </c>
      <c r="J277" t="n">
        <v>0</v>
      </c>
      <c r="K277" t="n">
        <v>0</v>
      </c>
      <c r="L277" t="n">
        <v>0</v>
      </c>
      <c r="M277" t="n">
        <v>0</v>
      </c>
      <c r="N277" t="n">
        <v>0</v>
      </c>
      <c r="O277" t="n">
        <v>0</v>
      </c>
      <c r="P277" t="n">
        <v>0</v>
      </c>
      <c r="Q277" t="n">
        <v>0</v>
      </c>
      <c r="R277" s="2" t="inlineStr"/>
    </row>
    <row r="278" ht="15" customHeight="1">
      <c r="A278" t="inlineStr">
        <is>
          <t>A 50632-2019</t>
        </is>
      </c>
      <c r="B278" s="1" t="n">
        <v>43737</v>
      </c>
      <c r="C278" s="1" t="n">
        <v>45570</v>
      </c>
      <c r="D278" t="inlineStr">
        <is>
          <t>GOTLANDS LÄN</t>
        </is>
      </c>
      <c r="E278" t="inlineStr">
        <is>
          <t>GOTLAND</t>
        </is>
      </c>
      <c r="G278" t="n">
        <v>7.7</v>
      </c>
      <c r="H278" t="n">
        <v>0</v>
      </c>
      <c r="I278" t="n">
        <v>0</v>
      </c>
      <c r="J278" t="n">
        <v>0</v>
      </c>
      <c r="K278" t="n">
        <v>0</v>
      </c>
      <c r="L278" t="n">
        <v>0</v>
      </c>
      <c r="M278" t="n">
        <v>0</v>
      </c>
      <c r="N278" t="n">
        <v>0</v>
      </c>
      <c r="O278" t="n">
        <v>0</v>
      </c>
      <c r="P278" t="n">
        <v>0</v>
      </c>
      <c r="Q278" t="n">
        <v>0</v>
      </c>
      <c r="R278" s="2" t="inlineStr"/>
    </row>
    <row r="279" ht="15" customHeight="1">
      <c r="A279" t="inlineStr">
        <is>
          <t>A 51577-2019</t>
        </is>
      </c>
      <c r="B279" s="1" t="n">
        <v>43740</v>
      </c>
      <c r="C279" s="1" t="n">
        <v>45570</v>
      </c>
      <c r="D279" t="inlineStr">
        <is>
          <t>GOTLANDS LÄN</t>
        </is>
      </c>
      <c r="E279" t="inlineStr">
        <is>
          <t>GOTLAND</t>
        </is>
      </c>
      <c r="G279" t="n">
        <v>6.5</v>
      </c>
      <c r="H279" t="n">
        <v>0</v>
      </c>
      <c r="I279" t="n">
        <v>0</v>
      </c>
      <c r="J279" t="n">
        <v>0</v>
      </c>
      <c r="K279" t="n">
        <v>0</v>
      </c>
      <c r="L279" t="n">
        <v>0</v>
      </c>
      <c r="M279" t="n">
        <v>0</v>
      </c>
      <c r="N279" t="n">
        <v>0</v>
      </c>
      <c r="O279" t="n">
        <v>0</v>
      </c>
      <c r="P279" t="n">
        <v>0</v>
      </c>
      <c r="Q279" t="n">
        <v>0</v>
      </c>
      <c r="R279" s="2" t="inlineStr"/>
    </row>
    <row r="280" ht="15" customHeight="1">
      <c r="A280" t="inlineStr">
        <is>
          <t>A 53783-2019</t>
        </is>
      </c>
      <c r="B280" s="1" t="n">
        <v>43750</v>
      </c>
      <c r="C280" s="1" t="n">
        <v>45570</v>
      </c>
      <c r="D280" t="inlineStr">
        <is>
          <t>GOTLANDS LÄN</t>
        </is>
      </c>
      <c r="E280" t="inlineStr">
        <is>
          <t>GOTLAND</t>
        </is>
      </c>
      <c r="G280" t="n">
        <v>3.1</v>
      </c>
      <c r="H280" t="n">
        <v>0</v>
      </c>
      <c r="I280" t="n">
        <v>0</v>
      </c>
      <c r="J280" t="n">
        <v>0</v>
      </c>
      <c r="K280" t="n">
        <v>0</v>
      </c>
      <c r="L280" t="n">
        <v>0</v>
      </c>
      <c r="M280" t="n">
        <v>0</v>
      </c>
      <c r="N280" t="n">
        <v>0</v>
      </c>
      <c r="O280" t="n">
        <v>0</v>
      </c>
      <c r="P280" t="n">
        <v>0</v>
      </c>
      <c r="Q280" t="n">
        <v>0</v>
      </c>
      <c r="R280" s="2" t="inlineStr"/>
    </row>
    <row r="281" ht="15" customHeight="1">
      <c r="A281" t="inlineStr">
        <is>
          <t>A 56238-2019</t>
        </is>
      </c>
      <c r="B281" s="1" t="n">
        <v>43762</v>
      </c>
      <c r="C281" s="1" t="n">
        <v>45570</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56845-2019</t>
        </is>
      </c>
      <c r="B282" s="1" t="n">
        <v>43765</v>
      </c>
      <c r="C282" s="1" t="n">
        <v>45570</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60700-2019</t>
        </is>
      </c>
      <c r="B283" s="1" t="n">
        <v>43781</v>
      </c>
      <c r="C283" s="1" t="n">
        <v>45570</v>
      </c>
      <c r="D283" t="inlineStr">
        <is>
          <t>GOTLANDS LÄN</t>
        </is>
      </c>
      <c r="E283" t="inlineStr">
        <is>
          <t>GOTLAND</t>
        </is>
      </c>
      <c r="G283" t="n">
        <v>4.3</v>
      </c>
      <c r="H283" t="n">
        <v>0</v>
      </c>
      <c r="I283" t="n">
        <v>0</v>
      </c>
      <c r="J283" t="n">
        <v>0</v>
      </c>
      <c r="K283" t="n">
        <v>0</v>
      </c>
      <c r="L283" t="n">
        <v>0</v>
      </c>
      <c r="M283" t="n">
        <v>0</v>
      </c>
      <c r="N283" t="n">
        <v>0</v>
      </c>
      <c r="O283" t="n">
        <v>0</v>
      </c>
      <c r="P283" t="n">
        <v>0</v>
      </c>
      <c r="Q283" t="n">
        <v>0</v>
      </c>
      <c r="R283" s="2" t="inlineStr"/>
    </row>
    <row r="284" ht="15" customHeight="1">
      <c r="A284" t="inlineStr">
        <is>
          <t>A 62212-2019</t>
        </is>
      </c>
      <c r="B284" s="1" t="n">
        <v>43788</v>
      </c>
      <c r="C284" s="1" t="n">
        <v>45570</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62209-2019</t>
        </is>
      </c>
      <c r="B285" s="1" t="n">
        <v>43788</v>
      </c>
      <c r="C285" s="1" t="n">
        <v>45570</v>
      </c>
      <c r="D285" t="inlineStr">
        <is>
          <t>GOTLANDS LÄN</t>
        </is>
      </c>
      <c r="E285" t="inlineStr">
        <is>
          <t>GOTLAND</t>
        </is>
      </c>
      <c r="G285" t="n">
        <v>4.8</v>
      </c>
      <c r="H285" t="n">
        <v>0</v>
      </c>
      <c r="I285" t="n">
        <v>0</v>
      </c>
      <c r="J285" t="n">
        <v>0</v>
      </c>
      <c r="K285" t="n">
        <v>0</v>
      </c>
      <c r="L285" t="n">
        <v>0</v>
      </c>
      <c r="M285" t="n">
        <v>0</v>
      </c>
      <c r="N285" t="n">
        <v>0</v>
      </c>
      <c r="O285" t="n">
        <v>0</v>
      </c>
      <c r="P285" t="n">
        <v>0</v>
      </c>
      <c r="Q285" t="n">
        <v>0</v>
      </c>
      <c r="R285" s="2" t="inlineStr"/>
    </row>
    <row r="286" ht="15" customHeight="1">
      <c r="A286" t="inlineStr">
        <is>
          <t>A 62218-2019</t>
        </is>
      </c>
      <c r="B286" s="1" t="n">
        <v>43788</v>
      </c>
      <c r="C286" s="1" t="n">
        <v>45570</v>
      </c>
      <c r="D286" t="inlineStr">
        <is>
          <t>GOTLANDS LÄN</t>
        </is>
      </c>
      <c r="E286" t="inlineStr">
        <is>
          <t>GOTLAND</t>
        </is>
      </c>
      <c r="G286" t="n">
        <v>0.5</v>
      </c>
      <c r="H286" t="n">
        <v>0</v>
      </c>
      <c r="I286" t="n">
        <v>0</v>
      </c>
      <c r="J286" t="n">
        <v>0</v>
      </c>
      <c r="K286" t="n">
        <v>0</v>
      </c>
      <c r="L286" t="n">
        <v>0</v>
      </c>
      <c r="M286" t="n">
        <v>0</v>
      </c>
      <c r="N286" t="n">
        <v>0</v>
      </c>
      <c r="O286" t="n">
        <v>0</v>
      </c>
      <c r="P286" t="n">
        <v>0</v>
      </c>
      <c r="Q286" t="n">
        <v>0</v>
      </c>
      <c r="R286" s="2" t="inlineStr"/>
    </row>
    <row r="287" ht="15" customHeight="1">
      <c r="A287" t="inlineStr">
        <is>
          <t>A 63366-2019</t>
        </is>
      </c>
      <c r="B287" s="1" t="n">
        <v>43794</v>
      </c>
      <c r="C287" s="1" t="n">
        <v>45570</v>
      </c>
      <c r="D287" t="inlineStr">
        <is>
          <t>GOTLANDS LÄN</t>
        </is>
      </c>
      <c r="E287" t="inlineStr">
        <is>
          <t>GOTLAND</t>
        </is>
      </c>
      <c r="G287" t="n">
        <v>16.4</v>
      </c>
      <c r="H287" t="n">
        <v>0</v>
      </c>
      <c r="I287" t="n">
        <v>0</v>
      </c>
      <c r="J287" t="n">
        <v>0</v>
      </c>
      <c r="K287" t="n">
        <v>0</v>
      </c>
      <c r="L287" t="n">
        <v>0</v>
      </c>
      <c r="M287" t="n">
        <v>0</v>
      </c>
      <c r="N287" t="n">
        <v>0</v>
      </c>
      <c r="O287" t="n">
        <v>0</v>
      </c>
      <c r="P287" t="n">
        <v>0</v>
      </c>
      <c r="Q287" t="n">
        <v>0</v>
      </c>
      <c r="R287" s="2" t="inlineStr"/>
    </row>
    <row r="288" ht="15" customHeight="1">
      <c r="A288" t="inlineStr">
        <is>
          <t>A 63747-2019</t>
        </is>
      </c>
      <c r="B288" s="1" t="n">
        <v>43795</v>
      </c>
      <c r="C288" s="1" t="n">
        <v>45570</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63751-2019</t>
        </is>
      </c>
      <c r="B289" s="1" t="n">
        <v>43795</v>
      </c>
      <c r="C289" s="1" t="n">
        <v>45570</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66960-2019</t>
        </is>
      </c>
      <c r="B290" s="1" t="n">
        <v>43810</v>
      </c>
      <c r="C290" s="1" t="n">
        <v>45570</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67079-2019</t>
        </is>
      </c>
      <c r="B291" s="1" t="n">
        <v>43811</v>
      </c>
      <c r="C291" s="1" t="n">
        <v>45570</v>
      </c>
      <c r="D291" t="inlineStr">
        <is>
          <t>GOTLANDS LÄN</t>
        </is>
      </c>
      <c r="E291" t="inlineStr">
        <is>
          <t>GOTLAND</t>
        </is>
      </c>
      <c r="G291" t="n">
        <v>18.7</v>
      </c>
      <c r="H291" t="n">
        <v>0</v>
      </c>
      <c r="I291" t="n">
        <v>0</v>
      </c>
      <c r="J291" t="n">
        <v>0</v>
      </c>
      <c r="K291" t="n">
        <v>0</v>
      </c>
      <c r="L291" t="n">
        <v>0</v>
      </c>
      <c r="M291" t="n">
        <v>0</v>
      </c>
      <c r="N291" t="n">
        <v>0</v>
      </c>
      <c r="O291" t="n">
        <v>0</v>
      </c>
      <c r="P291" t="n">
        <v>0</v>
      </c>
      <c r="Q291" t="n">
        <v>0</v>
      </c>
      <c r="R291" s="2" t="inlineStr"/>
    </row>
    <row r="292" ht="15" customHeight="1">
      <c r="A292" t="inlineStr">
        <is>
          <t>A 67737-2019</t>
        </is>
      </c>
      <c r="B292" s="1" t="n">
        <v>43815</v>
      </c>
      <c r="C292" s="1" t="n">
        <v>45570</v>
      </c>
      <c r="D292" t="inlineStr">
        <is>
          <t>GOTLANDS LÄN</t>
        </is>
      </c>
      <c r="E292" t="inlineStr">
        <is>
          <t>GOTLAND</t>
        </is>
      </c>
      <c r="G292" t="n">
        <v>22.1</v>
      </c>
      <c r="H292" t="n">
        <v>0</v>
      </c>
      <c r="I292" t="n">
        <v>0</v>
      </c>
      <c r="J292" t="n">
        <v>0</v>
      </c>
      <c r="K292" t="n">
        <v>0</v>
      </c>
      <c r="L292" t="n">
        <v>0</v>
      </c>
      <c r="M292" t="n">
        <v>0</v>
      </c>
      <c r="N292" t="n">
        <v>0</v>
      </c>
      <c r="O292" t="n">
        <v>0</v>
      </c>
      <c r="P292" t="n">
        <v>0</v>
      </c>
      <c r="Q292" t="n">
        <v>0</v>
      </c>
      <c r="R292" s="2" t="inlineStr"/>
    </row>
    <row r="293" ht="15" customHeight="1">
      <c r="A293" t="inlineStr">
        <is>
          <t>A 67791-2019</t>
        </is>
      </c>
      <c r="B293" s="1" t="n">
        <v>43815</v>
      </c>
      <c r="C293" s="1" t="n">
        <v>45570</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67743-2019</t>
        </is>
      </c>
      <c r="B294" s="1" t="n">
        <v>43815</v>
      </c>
      <c r="C294" s="1" t="n">
        <v>45570</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972-2020</t>
        </is>
      </c>
      <c r="B295" s="1" t="n">
        <v>43819</v>
      </c>
      <c r="C295" s="1" t="n">
        <v>45570</v>
      </c>
      <c r="D295" t="inlineStr">
        <is>
          <t>GOTLANDS LÄN</t>
        </is>
      </c>
      <c r="E295" t="inlineStr">
        <is>
          <t>GOTLAND</t>
        </is>
      </c>
      <c r="G295" t="n">
        <v>2.5</v>
      </c>
      <c r="H295" t="n">
        <v>0</v>
      </c>
      <c r="I295" t="n">
        <v>0</v>
      </c>
      <c r="J295" t="n">
        <v>0</v>
      </c>
      <c r="K295" t="n">
        <v>0</v>
      </c>
      <c r="L295" t="n">
        <v>0</v>
      </c>
      <c r="M295" t="n">
        <v>0</v>
      </c>
      <c r="N295" t="n">
        <v>0</v>
      </c>
      <c r="O295" t="n">
        <v>0</v>
      </c>
      <c r="P295" t="n">
        <v>0</v>
      </c>
      <c r="Q295" t="n">
        <v>0</v>
      </c>
      <c r="R295" s="2" t="inlineStr"/>
    </row>
    <row r="296" ht="15" customHeight="1">
      <c r="A296" t="inlineStr">
        <is>
          <t>A 68750-2019</t>
        </is>
      </c>
      <c r="B296" s="1" t="n">
        <v>43819</v>
      </c>
      <c r="C296" s="1" t="n">
        <v>45570</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164-2020</t>
        </is>
      </c>
      <c r="B297" s="1" t="n">
        <v>43833</v>
      </c>
      <c r="C297" s="1" t="n">
        <v>45570</v>
      </c>
      <c r="D297" t="inlineStr">
        <is>
          <t>GOTLANDS LÄN</t>
        </is>
      </c>
      <c r="E297" t="inlineStr">
        <is>
          <t>GOTLAND</t>
        </is>
      </c>
      <c r="F297" t="inlineStr">
        <is>
          <t>Kyrkan</t>
        </is>
      </c>
      <c r="G297" t="n">
        <v>6.2</v>
      </c>
      <c r="H297" t="n">
        <v>0</v>
      </c>
      <c r="I297" t="n">
        <v>0</v>
      </c>
      <c r="J297" t="n">
        <v>0</v>
      </c>
      <c r="K297" t="n">
        <v>0</v>
      </c>
      <c r="L297" t="n">
        <v>0</v>
      </c>
      <c r="M297" t="n">
        <v>0</v>
      </c>
      <c r="N297" t="n">
        <v>0</v>
      </c>
      <c r="O297" t="n">
        <v>0</v>
      </c>
      <c r="P297" t="n">
        <v>0</v>
      </c>
      <c r="Q297" t="n">
        <v>0</v>
      </c>
      <c r="R297" s="2" t="inlineStr"/>
    </row>
    <row r="298" ht="15" customHeight="1">
      <c r="A298" t="inlineStr">
        <is>
          <t>A 768-2020</t>
        </is>
      </c>
      <c r="B298" s="1" t="n">
        <v>43838</v>
      </c>
      <c r="C298" s="1" t="n">
        <v>45570</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1384-2020</t>
        </is>
      </c>
      <c r="B299" s="1" t="n">
        <v>43843</v>
      </c>
      <c r="C299" s="1" t="n">
        <v>45570</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1541-2020</t>
        </is>
      </c>
      <c r="B300" s="1" t="n">
        <v>43843</v>
      </c>
      <c r="C300" s="1" t="n">
        <v>45570</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2675-2020</t>
        </is>
      </c>
      <c r="B301" s="1" t="n">
        <v>43849</v>
      </c>
      <c r="C301" s="1" t="n">
        <v>45570</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4409-2020</t>
        </is>
      </c>
      <c r="B302" s="1" t="n">
        <v>43850</v>
      </c>
      <c r="C302" s="1" t="n">
        <v>45570</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5724-2020</t>
        </is>
      </c>
      <c r="B303" s="1" t="n">
        <v>43862</v>
      </c>
      <c r="C303" s="1" t="n">
        <v>45570</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5731-2020</t>
        </is>
      </c>
      <c r="B304" s="1" t="n">
        <v>43862</v>
      </c>
      <c r="C304" s="1" t="n">
        <v>45570</v>
      </c>
      <c r="D304" t="inlineStr">
        <is>
          <t>GOTLANDS LÄN</t>
        </is>
      </c>
      <c r="E304" t="inlineStr">
        <is>
          <t>GOTLAND</t>
        </is>
      </c>
      <c r="G304" t="n">
        <v>2.2</v>
      </c>
      <c r="H304" t="n">
        <v>0</v>
      </c>
      <c r="I304" t="n">
        <v>0</v>
      </c>
      <c r="J304" t="n">
        <v>0</v>
      </c>
      <c r="K304" t="n">
        <v>0</v>
      </c>
      <c r="L304" t="n">
        <v>0</v>
      </c>
      <c r="M304" t="n">
        <v>0</v>
      </c>
      <c r="N304" t="n">
        <v>0</v>
      </c>
      <c r="O304" t="n">
        <v>0</v>
      </c>
      <c r="P304" t="n">
        <v>0</v>
      </c>
      <c r="Q304" t="n">
        <v>0</v>
      </c>
      <c r="R304" s="2" t="inlineStr"/>
    </row>
    <row r="305" ht="15" customHeight="1">
      <c r="A305" t="inlineStr">
        <is>
          <t>A 5723-2020</t>
        </is>
      </c>
      <c r="B305" s="1" t="n">
        <v>43862</v>
      </c>
      <c r="C305" s="1" t="n">
        <v>45570</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5727-2020</t>
        </is>
      </c>
      <c r="B306" s="1" t="n">
        <v>43862</v>
      </c>
      <c r="C306" s="1" t="n">
        <v>45570</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6226-2020</t>
        </is>
      </c>
      <c r="B307" s="1" t="n">
        <v>43865</v>
      </c>
      <c r="C307" s="1" t="n">
        <v>45570</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6611-2020</t>
        </is>
      </c>
      <c r="B308" s="1" t="n">
        <v>43867</v>
      </c>
      <c r="C308" s="1" t="n">
        <v>45570</v>
      </c>
      <c r="D308" t="inlineStr">
        <is>
          <t>GOTLANDS LÄN</t>
        </is>
      </c>
      <c r="E308" t="inlineStr">
        <is>
          <t>GOTLAND</t>
        </is>
      </c>
      <c r="G308" t="n">
        <v>3.3</v>
      </c>
      <c r="H308" t="n">
        <v>0</v>
      </c>
      <c r="I308" t="n">
        <v>0</v>
      </c>
      <c r="J308" t="n">
        <v>0</v>
      </c>
      <c r="K308" t="n">
        <v>0</v>
      </c>
      <c r="L308" t="n">
        <v>0</v>
      </c>
      <c r="M308" t="n">
        <v>0</v>
      </c>
      <c r="N308" t="n">
        <v>0</v>
      </c>
      <c r="O308" t="n">
        <v>0</v>
      </c>
      <c r="P308" t="n">
        <v>0</v>
      </c>
      <c r="Q308" t="n">
        <v>0</v>
      </c>
      <c r="R308" s="2" t="inlineStr"/>
    </row>
    <row r="309" ht="15" customHeight="1">
      <c r="A309" t="inlineStr">
        <is>
          <t>A 8217-2020</t>
        </is>
      </c>
      <c r="B309" s="1" t="n">
        <v>43874</v>
      </c>
      <c r="C309" s="1" t="n">
        <v>45570</v>
      </c>
      <c r="D309" t="inlineStr">
        <is>
          <t>GOTLANDS LÄN</t>
        </is>
      </c>
      <c r="E309" t="inlineStr">
        <is>
          <t>GOTLAND</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8872-2020</t>
        </is>
      </c>
      <c r="B310" s="1" t="n">
        <v>43878</v>
      </c>
      <c r="C310" s="1" t="n">
        <v>45570</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9502-2020</t>
        </is>
      </c>
      <c r="B311" s="1" t="n">
        <v>43880</v>
      </c>
      <c r="C311" s="1" t="n">
        <v>45570</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10932-2020</t>
        </is>
      </c>
      <c r="B312" s="1" t="n">
        <v>43889</v>
      </c>
      <c r="C312" s="1" t="n">
        <v>45570</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10931-2020</t>
        </is>
      </c>
      <c r="B313" s="1" t="n">
        <v>43889</v>
      </c>
      <c r="C313" s="1" t="n">
        <v>45570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12309-2020</t>
        </is>
      </c>
      <c r="B314" s="1" t="n">
        <v>43895</v>
      </c>
      <c r="C314" s="1" t="n">
        <v>45570</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13940-2020</t>
        </is>
      </c>
      <c r="B315" s="1" t="n">
        <v>43903</v>
      </c>
      <c r="C315" s="1" t="n">
        <v>45570</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13930-2020</t>
        </is>
      </c>
      <c r="B316" s="1" t="n">
        <v>43906</v>
      </c>
      <c r="C316" s="1" t="n">
        <v>45570</v>
      </c>
      <c r="D316" t="inlineStr">
        <is>
          <t>GOTLANDS LÄN</t>
        </is>
      </c>
      <c r="E316" t="inlineStr">
        <is>
          <t>GOTLAND</t>
        </is>
      </c>
      <c r="G316" t="n">
        <v>4</v>
      </c>
      <c r="H316" t="n">
        <v>0</v>
      </c>
      <c r="I316" t="n">
        <v>0</v>
      </c>
      <c r="J316" t="n">
        <v>0</v>
      </c>
      <c r="K316" t="n">
        <v>0</v>
      </c>
      <c r="L316" t="n">
        <v>0</v>
      </c>
      <c r="M316" t="n">
        <v>0</v>
      </c>
      <c r="N316" t="n">
        <v>0</v>
      </c>
      <c r="O316" t="n">
        <v>0</v>
      </c>
      <c r="P316" t="n">
        <v>0</v>
      </c>
      <c r="Q316" t="n">
        <v>0</v>
      </c>
      <c r="R316" s="2" t="inlineStr"/>
    </row>
    <row r="317" ht="15" customHeight="1">
      <c r="A317" t="inlineStr">
        <is>
          <t>A 13995-2020</t>
        </is>
      </c>
      <c r="B317" s="1" t="n">
        <v>43906</v>
      </c>
      <c r="C317" s="1" t="n">
        <v>45570</v>
      </c>
      <c r="D317" t="inlineStr">
        <is>
          <t>GOTLANDS LÄN</t>
        </is>
      </c>
      <c r="E317" t="inlineStr">
        <is>
          <t>GOTLAND</t>
        </is>
      </c>
      <c r="G317" t="n">
        <v>1.4</v>
      </c>
      <c r="H317" t="n">
        <v>0</v>
      </c>
      <c r="I317" t="n">
        <v>0</v>
      </c>
      <c r="J317" t="n">
        <v>0</v>
      </c>
      <c r="K317" t="n">
        <v>0</v>
      </c>
      <c r="L317" t="n">
        <v>0</v>
      </c>
      <c r="M317" t="n">
        <v>0</v>
      </c>
      <c r="N317" t="n">
        <v>0</v>
      </c>
      <c r="O317" t="n">
        <v>0</v>
      </c>
      <c r="P317" t="n">
        <v>0</v>
      </c>
      <c r="Q317" t="n">
        <v>0</v>
      </c>
      <c r="R317" s="2" t="inlineStr"/>
    </row>
    <row r="318" ht="15" customHeight="1">
      <c r="A318" t="inlineStr">
        <is>
          <t>A 13987-2020</t>
        </is>
      </c>
      <c r="B318" s="1" t="n">
        <v>43906</v>
      </c>
      <c r="C318" s="1" t="n">
        <v>45570</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14073-2020</t>
        </is>
      </c>
      <c r="B319" s="1" t="n">
        <v>43907</v>
      </c>
      <c r="C319" s="1" t="n">
        <v>45570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14074-2020</t>
        </is>
      </c>
      <c r="B320" s="1" t="n">
        <v>43907</v>
      </c>
      <c r="C320" s="1" t="n">
        <v>45570</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16452-2020</t>
        </is>
      </c>
      <c r="B321" s="1" t="n">
        <v>43909</v>
      </c>
      <c r="C321" s="1" t="n">
        <v>45570</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14995-2020</t>
        </is>
      </c>
      <c r="B322" s="1" t="n">
        <v>43910</v>
      </c>
      <c r="C322" s="1" t="n">
        <v>45570</v>
      </c>
      <c r="D322" t="inlineStr">
        <is>
          <t>GOTLANDS LÄN</t>
        </is>
      </c>
      <c r="E322" t="inlineStr">
        <is>
          <t>GOTLAND</t>
        </is>
      </c>
      <c r="G322" t="n">
        <v>6.3</v>
      </c>
      <c r="H322" t="n">
        <v>0</v>
      </c>
      <c r="I322" t="n">
        <v>0</v>
      </c>
      <c r="J322" t="n">
        <v>0</v>
      </c>
      <c r="K322" t="n">
        <v>0</v>
      </c>
      <c r="L322" t="n">
        <v>0</v>
      </c>
      <c r="M322" t="n">
        <v>0</v>
      </c>
      <c r="N322" t="n">
        <v>0</v>
      </c>
      <c r="O322" t="n">
        <v>0</v>
      </c>
      <c r="P322" t="n">
        <v>0</v>
      </c>
      <c r="Q322" t="n">
        <v>0</v>
      </c>
      <c r="R322" s="2" t="inlineStr"/>
    </row>
    <row r="323" ht="15" customHeight="1">
      <c r="A323" t="inlineStr">
        <is>
          <t>A 15202-2020</t>
        </is>
      </c>
      <c r="B323" s="1" t="n">
        <v>43913</v>
      </c>
      <c r="C323" s="1" t="n">
        <v>45570</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15197-2020</t>
        </is>
      </c>
      <c r="B324" s="1" t="n">
        <v>43913</v>
      </c>
      <c r="C324" s="1" t="n">
        <v>45570</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15888-2020</t>
        </is>
      </c>
      <c r="B325" s="1" t="n">
        <v>43915</v>
      </c>
      <c r="C325" s="1" t="n">
        <v>45570</v>
      </c>
      <c r="D325" t="inlineStr">
        <is>
          <t>GOTLANDS LÄN</t>
        </is>
      </c>
      <c r="E325" t="inlineStr">
        <is>
          <t>GOTLAND</t>
        </is>
      </c>
      <c r="G325" t="n">
        <v>1.8</v>
      </c>
      <c r="H325" t="n">
        <v>0</v>
      </c>
      <c r="I325" t="n">
        <v>0</v>
      </c>
      <c r="J325" t="n">
        <v>0</v>
      </c>
      <c r="K325" t="n">
        <v>0</v>
      </c>
      <c r="L325" t="n">
        <v>0</v>
      </c>
      <c r="M325" t="n">
        <v>0</v>
      </c>
      <c r="N325" t="n">
        <v>0</v>
      </c>
      <c r="O325" t="n">
        <v>0</v>
      </c>
      <c r="P325" t="n">
        <v>0</v>
      </c>
      <c r="Q325" t="n">
        <v>0</v>
      </c>
      <c r="R325" s="2" t="inlineStr"/>
    </row>
    <row r="326" ht="15" customHeight="1">
      <c r="A326" t="inlineStr">
        <is>
          <t>A 16133-2020</t>
        </is>
      </c>
      <c r="B326" s="1" t="n">
        <v>43916</v>
      </c>
      <c r="C326" s="1" t="n">
        <v>45570</v>
      </c>
      <c r="D326" t="inlineStr">
        <is>
          <t>GOTLANDS LÄN</t>
        </is>
      </c>
      <c r="E326" t="inlineStr">
        <is>
          <t>GOTLAND</t>
        </is>
      </c>
      <c r="G326" t="n">
        <v>6.7</v>
      </c>
      <c r="H326" t="n">
        <v>0</v>
      </c>
      <c r="I326" t="n">
        <v>0</v>
      </c>
      <c r="J326" t="n">
        <v>0</v>
      </c>
      <c r="K326" t="n">
        <v>0</v>
      </c>
      <c r="L326" t="n">
        <v>0</v>
      </c>
      <c r="M326" t="n">
        <v>0</v>
      </c>
      <c r="N326" t="n">
        <v>0</v>
      </c>
      <c r="O326" t="n">
        <v>0</v>
      </c>
      <c r="P326" t="n">
        <v>0</v>
      </c>
      <c r="Q326" t="n">
        <v>0</v>
      </c>
      <c r="R326" s="2" t="inlineStr"/>
    </row>
    <row r="327" ht="15" customHeight="1">
      <c r="A327" t="inlineStr">
        <is>
          <t>A 17403-2020</t>
        </is>
      </c>
      <c r="B327" s="1" t="n">
        <v>43917</v>
      </c>
      <c r="C327" s="1" t="n">
        <v>45570</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17869-2020</t>
        </is>
      </c>
      <c r="B328" s="1" t="n">
        <v>43924</v>
      </c>
      <c r="C328" s="1" t="n">
        <v>45570</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19900-2020</t>
        </is>
      </c>
      <c r="B329" s="1" t="n">
        <v>43942</v>
      </c>
      <c r="C329" s="1" t="n">
        <v>45570</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21568-2020</t>
        </is>
      </c>
      <c r="B330" s="1" t="n">
        <v>43956</v>
      </c>
      <c r="C330" s="1" t="n">
        <v>45570</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22093-2020</t>
        </is>
      </c>
      <c r="B331" s="1" t="n">
        <v>43959</v>
      </c>
      <c r="C331" s="1" t="n">
        <v>45570</v>
      </c>
      <c r="D331" t="inlineStr">
        <is>
          <t>GOTLANDS LÄN</t>
        </is>
      </c>
      <c r="E331" t="inlineStr">
        <is>
          <t>GOTLAND</t>
        </is>
      </c>
      <c r="F331" t="inlineStr">
        <is>
          <t>Kommuner</t>
        </is>
      </c>
      <c r="G331" t="n">
        <v>0.6</v>
      </c>
      <c r="H331" t="n">
        <v>0</v>
      </c>
      <c r="I331" t="n">
        <v>0</v>
      </c>
      <c r="J331" t="n">
        <v>0</v>
      </c>
      <c r="K331" t="n">
        <v>0</v>
      </c>
      <c r="L331" t="n">
        <v>0</v>
      </c>
      <c r="M331" t="n">
        <v>0</v>
      </c>
      <c r="N331" t="n">
        <v>0</v>
      </c>
      <c r="O331" t="n">
        <v>0</v>
      </c>
      <c r="P331" t="n">
        <v>0</v>
      </c>
      <c r="Q331" t="n">
        <v>0</v>
      </c>
      <c r="R331" s="2" t="inlineStr"/>
    </row>
    <row r="332" ht="15" customHeight="1">
      <c r="A332" t="inlineStr">
        <is>
          <t>A 22329-2020</t>
        </is>
      </c>
      <c r="B332" s="1" t="n">
        <v>43962</v>
      </c>
      <c r="C332" s="1" t="n">
        <v>45570</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22333-2020</t>
        </is>
      </c>
      <c r="B333" s="1" t="n">
        <v>43962</v>
      </c>
      <c r="C333" s="1" t="n">
        <v>45570</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23498-2020</t>
        </is>
      </c>
      <c r="B334" s="1" t="n">
        <v>43969</v>
      </c>
      <c r="C334" s="1" t="n">
        <v>45570</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23728-2020</t>
        </is>
      </c>
      <c r="B335" s="1" t="n">
        <v>43970</v>
      </c>
      <c r="C335" s="1" t="n">
        <v>45570</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24537-2020</t>
        </is>
      </c>
      <c r="B336" s="1" t="n">
        <v>43977</v>
      </c>
      <c r="C336" s="1" t="n">
        <v>45570</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25039-2020</t>
        </is>
      </c>
      <c r="B337" s="1" t="n">
        <v>43979</v>
      </c>
      <c r="C337" s="1" t="n">
        <v>45570</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26117-2020</t>
        </is>
      </c>
      <c r="B338" s="1" t="n">
        <v>43985</v>
      </c>
      <c r="C338" s="1" t="n">
        <v>45570</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27322-2020</t>
        </is>
      </c>
      <c r="B339" s="1" t="n">
        <v>43992</v>
      </c>
      <c r="C339" s="1" t="n">
        <v>45570</v>
      </c>
      <c r="D339" t="inlineStr">
        <is>
          <t>GOTLANDS LÄN</t>
        </is>
      </c>
      <c r="E339" t="inlineStr">
        <is>
          <t>GOTLAND</t>
        </is>
      </c>
      <c r="F339" t="inlineStr">
        <is>
          <t>Övriga statliga verk och myndigheter</t>
        </is>
      </c>
      <c r="G339" t="n">
        <v>7.4</v>
      </c>
      <c r="H339" t="n">
        <v>0</v>
      </c>
      <c r="I339" t="n">
        <v>0</v>
      </c>
      <c r="J339" t="n">
        <v>0</v>
      </c>
      <c r="K339" t="n">
        <v>0</v>
      </c>
      <c r="L339" t="n">
        <v>0</v>
      </c>
      <c r="M339" t="n">
        <v>0</v>
      </c>
      <c r="N339" t="n">
        <v>0</v>
      </c>
      <c r="O339" t="n">
        <v>0</v>
      </c>
      <c r="P339" t="n">
        <v>0</v>
      </c>
      <c r="Q339" t="n">
        <v>0</v>
      </c>
      <c r="R339" s="2" t="inlineStr"/>
    </row>
    <row r="340" ht="15" customHeight="1">
      <c r="A340" t="inlineStr">
        <is>
          <t>A 27334-2020</t>
        </is>
      </c>
      <c r="B340" s="1" t="n">
        <v>43992</v>
      </c>
      <c r="C340" s="1" t="n">
        <v>45570</v>
      </c>
      <c r="D340" t="inlineStr">
        <is>
          <t>GOTLANDS LÄN</t>
        </is>
      </c>
      <c r="E340" t="inlineStr">
        <is>
          <t>GOTLAND</t>
        </is>
      </c>
      <c r="F340" t="inlineStr">
        <is>
          <t>Övriga statliga verk och myndigheter</t>
        </is>
      </c>
      <c r="G340" t="n">
        <v>5.4</v>
      </c>
      <c r="H340" t="n">
        <v>0</v>
      </c>
      <c r="I340" t="n">
        <v>0</v>
      </c>
      <c r="J340" t="n">
        <v>0</v>
      </c>
      <c r="K340" t="n">
        <v>0</v>
      </c>
      <c r="L340" t="n">
        <v>0</v>
      </c>
      <c r="M340" t="n">
        <v>0</v>
      </c>
      <c r="N340" t="n">
        <v>0</v>
      </c>
      <c r="O340" t="n">
        <v>0</v>
      </c>
      <c r="P340" t="n">
        <v>0</v>
      </c>
      <c r="Q340" t="n">
        <v>0</v>
      </c>
      <c r="R340" s="2" t="inlineStr"/>
    </row>
    <row r="341" ht="15" customHeight="1">
      <c r="A341" t="inlineStr">
        <is>
          <t>A 27723-2020</t>
        </is>
      </c>
      <c r="B341" s="1" t="n">
        <v>43994</v>
      </c>
      <c r="C341" s="1" t="n">
        <v>45570</v>
      </c>
      <c r="D341" t="inlineStr">
        <is>
          <t>GOTLANDS LÄN</t>
        </is>
      </c>
      <c r="E341" t="inlineStr">
        <is>
          <t>GOTLAND</t>
        </is>
      </c>
      <c r="F341" t="inlineStr">
        <is>
          <t>Övriga statliga verk och myndigheter</t>
        </is>
      </c>
      <c r="G341" t="n">
        <v>0.5</v>
      </c>
      <c r="H341" t="n">
        <v>0</v>
      </c>
      <c r="I341" t="n">
        <v>0</v>
      </c>
      <c r="J341" t="n">
        <v>0</v>
      </c>
      <c r="K341" t="n">
        <v>0</v>
      </c>
      <c r="L341" t="n">
        <v>0</v>
      </c>
      <c r="M341" t="n">
        <v>0</v>
      </c>
      <c r="N341" t="n">
        <v>0</v>
      </c>
      <c r="O341" t="n">
        <v>0</v>
      </c>
      <c r="P341" t="n">
        <v>0</v>
      </c>
      <c r="Q341" t="n">
        <v>0</v>
      </c>
      <c r="R341" s="2" t="inlineStr"/>
    </row>
    <row r="342" ht="15" customHeight="1">
      <c r="A342" t="inlineStr">
        <is>
          <t>A 27719-2020</t>
        </is>
      </c>
      <c r="B342" s="1" t="n">
        <v>43994</v>
      </c>
      <c r="C342" s="1" t="n">
        <v>45570</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27713-2020</t>
        </is>
      </c>
      <c r="B343" s="1" t="n">
        <v>43994</v>
      </c>
      <c r="C343" s="1" t="n">
        <v>45570</v>
      </c>
      <c r="D343" t="inlineStr">
        <is>
          <t>GOTLANDS LÄN</t>
        </is>
      </c>
      <c r="E343" t="inlineStr">
        <is>
          <t>GOTLAND</t>
        </is>
      </c>
      <c r="F343" t="inlineStr">
        <is>
          <t>Övriga statliga verk och myndigheter</t>
        </is>
      </c>
      <c r="G343" t="n">
        <v>0.8</v>
      </c>
      <c r="H343" t="n">
        <v>0</v>
      </c>
      <c r="I343" t="n">
        <v>0</v>
      </c>
      <c r="J343" t="n">
        <v>0</v>
      </c>
      <c r="K343" t="n">
        <v>0</v>
      </c>
      <c r="L343" t="n">
        <v>0</v>
      </c>
      <c r="M343" t="n">
        <v>0</v>
      </c>
      <c r="N343" t="n">
        <v>0</v>
      </c>
      <c r="O343" t="n">
        <v>0</v>
      </c>
      <c r="P343" t="n">
        <v>0</v>
      </c>
      <c r="Q343" t="n">
        <v>0</v>
      </c>
      <c r="R343" s="2" t="inlineStr"/>
    </row>
    <row r="344" ht="15" customHeight="1">
      <c r="A344" t="inlineStr">
        <is>
          <t>A 29529-2020</t>
        </is>
      </c>
      <c r="B344" s="1" t="n">
        <v>44005</v>
      </c>
      <c r="C344" s="1" t="n">
        <v>45570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29915-2020</t>
        </is>
      </c>
      <c r="B345" s="1" t="n">
        <v>44006</v>
      </c>
      <c r="C345" s="1" t="n">
        <v>45570</v>
      </c>
      <c r="D345" t="inlineStr">
        <is>
          <t>GOTLANDS LÄN</t>
        </is>
      </c>
      <c r="E345" t="inlineStr">
        <is>
          <t>GOTLAND</t>
        </is>
      </c>
      <c r="F345" t="inlineStr">
        <is>
          <t>Kommuner</t>
        </is>
      </c>
      <c r="G345" t="n">
        <v>5.8</v>
      </c>
      <c r="H345" t="n">
        <v>0</v>
      </c>
      <c r="I345" t="n">
        <v>0</v>
      </c>
      <c r="J345" t="n">
        <v>0</v>
      </c>
      <c r="K345" t="n">
        <v>0</v>
      </c>
      <c r="L345" t="n">
        <v>0</v>
      </c>
      <c r="M345" t="n">
        <v>0</v>
      </c>
      <c r="N345" t="n">
        <v>0</v>
      </c>
      <c r="O345" t="n">
        <v>0</v>
      </c>
      <c r="P345" t="n">
        <v>0</v>
      </c>
      <c r="Q345" t="n">
        <v>0</v>
      </c>
      <c r="R345" s="2" t="inlineStr"/>
    </row>
    <row r="346" ht="15" customHeight="1">
      <c r="A346" t="inlineStr">
        <is>
          <t>A 30980-2020</t>
        </is>
      </c>
      <c r="B346" s="1" t="n">
        <v>44011</v>
      </c>
      <c r="C346" s="1" t="n">
        <v>45570</v>
      </c>
      <c r="D346" t="inlineStr">
        <is>
          <t>GOTLANDS LÄN</t>
        </is>
      </c>
      <c r="E346" t="inlineStr">
        <is>
          <t>GOTLAND</t>
        </is>
      </c>
      <c r="G346" t="n">
        <v>17.9</v>
      </c>
      <c r="H346" t="n">
        <v>0</v>
      </c>
      <c r="I346" t="n">
        <v>0</v>
      </c>
      <c r="J346" t="n">
        <v>0</v>
      </c>
      <c r="K346" t="n">
        <v>0</v>
      </c>
      <c r="L346" t="n">
        <v>0</v>
      </c>
      <c r="M346" t="n">
        <v>0</v>
      </c>
      <c r="N346" t="n">
        <v>0</v>
      </c>
      <c r="O346" t="n">
        <v>0</v>
      </c>
      <c r="P346" t="n">
        <v>0</v>
      </c>
      <c r="Q346" t="n">
        <v>0</v>
      </c>
      <c r="R346" s="2" t="inlineStr"/>
    </row>
    <row r="347" ht="15" customHeight="1">
      <c r="A347" t="inlineStr">
        <is>
          <t>A 32804-2020</t>
        </is>
      </c>
      <c r="B347" s="1" t="n">
        <v>44018</v>
      </c>
      <c r="C347" s="1" t="n">
        <v>45570</v>
      </c>
      <c r="D347" t="inlineStr">
        <is>
          <t>GOTLANDS LÄN</t>
        </is>
      </c>
      <c r="E347" t="inlineStr">
        <is>
          <t>GOTLAND</t>
        </is>
      </c>
      <c r="G347" t="n">
        <v>19.3</v>
      </c>
      <c r="H347" t="n">
        <v>0</v>
      </c>
      <c r="I347" t="n">
        <v>0</v>
      </c>
      <c r="J347" t="n">
        <v>0</v>
      </c>
      <c r="K347" t="n">
        <v>0</v>
      </c>
      <c r="L347" t="n">
        <v>0</v>
      </c>
      <c r="M347" t="n">
        <v>0</v>
      </c>
      <c r="N347" t="n">
        <v>0</v>
      </c>
      <c r="O347" t="n">
        <v>0</v>
      </c>
      <c r="P347" t="n">
        <v>0</v>
      </c>
      <c r="Q347" t="n">
        <v>0</v>
      </c>
      <c r="R347" s="2" t="inlineStr"/>
    </row>
    <row r="348" ht="15" customHeight="1">
      <c r="A348" t="inlineStr">
        <is>
          <t>A 32974-2020</t>
        </is>
      </c>
      <c r="B348" s="1" t="n">
        <v>44020</v>
      </c>
      <c r="C348" s="1" t="n">
        <v>45570</v>
      </c>
      <c r="D348" t="inlineStr">
        <is>
          <t>GOTLANDS LÄN</t>
        </is>
      </c>
      <c r="E348" t="inlineStr">
        <is>
          <t>GOTLAND</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35074-2020</t>
        </is>
      </c>
      <c r="B349" s="1" t="n">
        <v>44039</v>
      </c>
      <c r="C349" s="1" t="n">
        <v>45570</v>
      </c>
      <c r="D349" t="inlineStr">
        <is>
          <t>GOTLANDS LÄN</t>
        </is>
      </c>
      <c r="E349" t="inlineStr">
        <is>
          <t>GOTLAND</t>
        </is>
      </c>
      <c r="G349" t="n">
        <v>5.4</v>
      </c>
      <c r="H349" t="n">
        <v>0</v>
      </c>
      <c r="I349" t="n">
        <v>0</v>
      </c>
      <c r="J349" t="n">
        <v>0</v>
      </c>
      <c r="K349" t="n">
        <v>0</v>
      </c>
      <c r="L349" t="n">
        <v>0</v>
      </c>
      <c r="M349" t="n">
        <v>0</v>
      </c>
      <c r="N349" t="n">
        <v>0</v>
      </c>
      <c r="O349" t="n">
        <v>0</v>
      </c>
      <c r="P349" t="n">
        <v>0</v>
      </c>
      <c r="Q349" t="n">
        <v>0</v>
      </c>
      <c r="R349" s="2" t="inlineStr"/>
    </row>
    <row r="350" ht="15" customHeight="1">
      <c r="A350" t="inlineStr">
        <is>
          <t>A 36073-2020</t>
        </is>
      </c>
      <c r="B350" s="1" t="n">
        <v>44048</v>
      </c>
      <c r="C350" s="1" t="n">
        <v>45570</v>
      </c>
      <c r="D350" t="inlineStr">
        <is>
          <t>GOTLANDS LÄN</t>
        </is>
      </c>
      <c r="E350" t="inlineStr">
        <is>
          <t>GOTLAND</t>
        </is>
      </c>
      <c r="G350" t="n">
        <v>10.1</v>
      </c>
      <c r="H350" t="n">
        <v>0</v>
      </c>
      <c r="I350" t="n">
        <v>0</v>
      </c>
      <c r="J350" t="n">
        <v>0</v>
      </c>
      <c r="K350" t="n">
        <v>0</v>
      </c>
      <c r="L350" t="n">
        <v>0</v>
      </c>
      <c r="M350" t="n">
        <v>0</v>
      </c>
      <c r="N350" t="n">
        <v>0</v>
      </c>
      <c r="O350" t="n">
        <v>0</v>
      </c>
      <c r="P350" t="n">
        <v>0</v>
      </c>
      <c r="Q350" t="n">
        <v>0</v>
      </c>
      <c r="R350" s="2" t="inlineStr"/>
    </row>
    <row r="351" ht="15" customHeight="1">
      <c r="A351" t="inlineStr">
        <is>
          <t>A 36076-2020</t>
        </is>
      </c>
      <c r="B351" s="1" t="n">
        <v>44048</v>
      </c>
      <c r="C351" s="1" t="n">
        <v>45570</v>
      </c>
      <c r="D351" t="inlineStr">
        <is>
          <t>GOTLANDS LÄN</t>
        </is>
      </c>
      <c r="E351" t="inlineStr">
        <is>
          <t>GOTLAND</t>
        </is>
      </c>
      <c r="G351" t="n">
        <v>0.8</v>
      </c>
      <c r="H351" t="n">
        <v>0</v>
      </c>
      <c r="I351" t="n">
        <v>0</v>
      </c>
      <c r="J351" t="n">
        <v>0</v>
      </c>
      <c r="K351" t="n">
        <v>0</v>
      </c>
      <c r="L351" t="n">
        <v>0</v>
      </c>
      <c r="M351" t="n">
        <v>0</v>
      </c>
      <c r="N351" t="n">
        <v>0</v>
      </c>
      <c r="O351" t="n">
        <v>0</v>
      </c>
      <c r="P351" t="n">
        <v>0</v>
      </c>
      <c r="Q351" t="n">
        <v>0</v>
      </c>
      <c r="R351" s="2" t="inlineStr"/>
    </row>
    <row r="352" ht="15" customHeight="1">
      <c r="A352" t="inlineStr">
        <is>
          <t>A 36284-2020</t>
        </is>
      </c>
      <c r="B352" s="1" t="n">
        <v>44049</v>
      </c>
      <c r="C352" s="1" t="n">
        <v>45570</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37204-2020</t>
        </is>
      </c>
      <c r="B353" s="1" t="n">
        <v>44054</v>
      </c>
      <c r="C353" s="1" t="n">
        <v>45570</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38709-2020</t>
        </is>
      </c>
      <c r="B354" s="1" t="n">
        <v>44061</v>
      </c>
      <c r="C354" s="1" t="n">
        <v>45570</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39477-2020</t>
        </is>
      </c>
      <c r="B355" s="1" t="n">
        <v>44064</v>
      </c>
      <c r="C355" s="1" t="n">
        <v>45570</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41109-2020</t>
        </is>
      </c>
      <c r="B356" s="1" t="n">
        <v>44069</v>
      </c>
      <c r="C356" s="1" t="n">
        <v>45570</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41576-2020</t>
        </is>
      </c>
      <c r="B357" s="1" t="n">
        <v>44074</v>
      </c>
      <c r="C357" s="1" t="n">
        <v>45570</v>
      </c>
      <c r="D357" t="inlineStr">
        <is>
          <t>GOTLANDS LÄN</t>
        </is>
      </c>
      <c r="E357" t="inlineStr">
        <is>
          <t>GOTLAND</t>
        </is>
      </c>
      <c r="G357" t="n">
        <v>8.4</v>
      </c>
      <c r="H357" t="n">
        <v>0</v>
      </c>
      <c r="I357" t="n">
        <v>0</v>
      </c>
      <c r="J357" t="n">
        <v>0</v>
      </c>
      <c r="K357" t="n">
        <v>0</v>
      </c>
      <c r="L357" t="n">
        <v>0</v>
      </c>
      <c r="M357" t="n">
        <v>0</v>
      </c>
      <c r="N357" t="n">
        <v>0</v>
      </c>
      <c r="O357" t="n">
        <v>0</v>
      </c>
      <c r="P357" t="n">
        <v>0</v>
      </c>
      <c r="Q357" t="n">
        <v>0</v>
      </c>
      <c r="R357" s="2" t="inlineStr"/>
    </row>
    <row r="358" ht="15" customHeight="1">
      <c r="A358" t="inlineStr">
        <is>
          <t>A 45921-2020</t>
        </is>
      </c>
      <c r="B358" s="1" t="n">
        <v>44088</v>
      </c>
      <c r="C358" s="1" t="n">
        <v>45570</v>
      </c>
      <c r="D358" t="inlineStr">
        <is>
          <t>GOTLANDS LÄN</t>
        </is>
      </c>
      <c r="E358" t="inlineStr">
        <is>
          <t>GOTLAND</t>
        </is>
      </c>
      <c r="G358" t="n">
        <v>6.5</v>
      </c>
      <c r="H358" t="n">
        <v>0</v>
      </c>
      <c r="I358" t="n">
        <v>0</v>
      </c>
      <c r="J358" t="n">
        <v>0</v>
      </c>
      <c r="K358" t="n">
        <v>0</v>
      </c>
      <c r="L358" t="n">
        <v>0</v>
      </c>
      <c r="M358" t="n">
        <v>0</v>
      </c>
      <c r="N358" t="n">
        <v>0</v>
      </c>
      <c r="O358" t="n">
        <v>0</v>
      </c>
      <c r="P358" t="n">
        <v>0</v>
      </c>
      <c r="Q358" t="n">
        <v>0</v>
      </c>
      <c r="R358" s="2" t="inlineStr"/>
    </row>
    <row r="359" ht="15" customHeight="1">
      <c r="A359" t="inlineStr">
        <is>
          <t>A 46019-2020</t>
        </is>
      </c>
      <c r="B359" s="1" t="n">
        <v>44091</v>
      </c>
      <c r="C359" s="1" t="n">
        <v>45570</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46778-2020</t>
        </is>
      </c>
      <c r="B360" s="1" t="n">
        <v>44096</v>
      </c>
      <c r="C360" s="1" t="n">
        <v>45570</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53641-2020</t>
        </is>
      </c>
      <c r="B361" s="1" t="n">
        <v>44124</v>
      </c>
      <c r="C361" s="1" t="n">
        <v>45570</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53665-2020</t>
        </is>
      </c>
      <c r="B362" s="1" t="n">
        <v>44124</v>
      </c>
      <c r="C362" s="1" t="n">
        <v>45570</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59052-2020</t>
        </is>
      </c>
      <c r="B363" s="1" t="n">
        <v>44147</v>
      </c>
      <c r="C363" s="1" t="n">
        <v>45570</v>
      </c>
      <c r="D363" t="inlineStr">
        <is>
          <t>GOTLANDS LÄN</t>
        </is>
      </c>
      <c r="E363" t="inlineStr">
        <is>
          <t>GOTLAND</t>
        </is>
      </c>
      <c r="G363" t="n">
        <v>3.4</v>
      </c>
      <c r="H363" t="n">
        <v>0</v>
      </c>
      <c r="I363" t="n">
        <v>0</v>
      </c>
      <c r="J363" t="n">
        <v>0</v>
      </c>
      <c r="K363" t="n">
        <v>0</v>
      </c>
      <c r="L363" t="n">
        <v>0</v>
      </c>
      <c r="M363" t="n">
        <v>0</v>
      </c>
      <c r="N363" t="n">
        <v>0</v>
      </c>
      <c r="O363" t="n">
        <v>0</v>
      </c>
      <c r="P363" t="n">
        <v>0</v>
      </c>
      <c r="Q363" t="n">
        <v>0</v>
      </c>
      <c r="R363" s="2" t="inlineStr"/>
    </row>
    <row r="364" ht="15" customHeight="1">
      <c r="A364" t="inlineStr">
        <is>
          <t>A 59630-2020</t>
        </is>
      </c>
      <c r="B364" s="1" t="n">
        <v>44150</v>
      </c>
      <c r="C364" s="1" t="n">
        <v>45570</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60356-2020</t>
        </is>
      </c>
      <c r="B365" s="1" t="n">
        <v>44152</v>
      </c>
      <c r="C365" s="1" t="n">
        <v>45570</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62120-2020</t>
        </is>
      </c>
      <c r="B366" s="1" t="n">
        <v>44158</v>
      </c>
      <c r="C366" s="1" t="n">
        <v>45570</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64380-2020</t>
        </is>
      </c>
      <c r="B367" s="1" t="n">
        <v>44168</v>
      </c>
      <c r="C367" s="1" t="n">
        <v>45570</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65126-2020</t>
        </is>
      </c>
      <c r="B368" s="1" t="n">
        <v>44168</v>
      </c>
      <c r="C368" s="1" t="n">
        <v>45570</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65537-2020</t>
        </is>
      </c>
      <c r="B369" s="1" t="n">
        <v>44173</v>
      </c>
      <c r="C369" s="1" t="n">
        <v>45570</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69643-2020</t>
        </is>
      </c>
      <c r="B370" s="1" t="n">
        <v>44195</v>
      </c>
      <c r="C370" s="1" t="n">
        <v>45570</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14-2021</t>
        </is>
      </c>
      <c r="B371" s="1" t="n">
        <v>44197</v>
      </c>
      <c r="C371" s="1" t="n">
        <v>45570</v>
      </c>
      <c r="D371" t="inlineStr">
        <is>
          <t>GOTLANDS LÄN</t>
        </is>
      </c>
      <c r="E371" t="inlineStr">
        <is>
          <t>GOTLAND</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1229-2021</t>
        </is>
      </c>
      <c r="B372" s="1" t="n">
        <v>44208</v>
      </c>
      <c r="C372" s="1" t="n">
        <v>45570</v>
      </c>
      <c r="D372" t="inlineStr">
        <is>
          <t>GOTLANDS LÄN</t>
        </is>
      </c>
      <c r="E372" t="inlineStr">
        <is>
          <t>GOTLAND</t>
        </is>
      </c>
      <c r="G372" t="n">
        <v>5.3</v>
      </c>
      <c r="H372" t="n">
        <v>0</v>
      </c>
      <c r="I372" t="n">
        <v>0</v>
      </c>
      <c r="J372" t="n">
        <v>0</v>
      </c>
      <c r="K372" t="n">
        <v>0</v>
      </c>
      <c r="L372" t="n">
        <v>0</v>
      </c>
      <c r="M372" t="n">
        <v>0</v>
      </c>
      <c r="N372" t="n">
        <v>0</v>
      </c>
      <c r="O372" t="n">
        <v>0</v>
      </c>
      <c r="P372" t="n">
        <v>0</v>
      </c>
      <c r="Q372" t="n">
        <v>0</v>
      </c>
      <c r="R372" s="2" t="inlineStr"/>
    </row>
    <row r="373" ht="15" customHeight="1">
      <c r="A373" t="inlineStr">
        <is>
          <t>A 2292-2021</t>
        </is>
      </c>
      <c r="B373" s="1" t="n">
        <v>44212</v>
      </c>
      <c r="C373" s="1" t="n">
        <v>45570</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2608-2021</t>
        </is>
      </c>
      <c r="B374" s="1" t="n">
        <v>44214</v>
      </c>
      <c r="C374" s="1" t="n">
        <v>45570</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3319-2021</t>
        </is>
      </c>
      <c r="B375" s="1" t="n">
        <v>44216</v>
      </c>
      <c r="C375" s="1" t="n">
        <v>45570</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3172-2021</t>
        </is>
      </c>
      <c r="B376" s="1" t="n">
        <v>44217</v>
      </c>
      <c r="C376" s="1" t="n">
        <v>45570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3271-2021</t>
        </is>
      </c>
      <c r="B377" s="1" t="n">
        <v>44217</v>
      </c>
      <c r="C377" s="1" t="n">
        <v>45570</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8329-2021</t>
        </is>
      </c>
      <c r="B378" s="1" t="n">
        <v>44244</v>
      </c>
      <c r="C378" s="1" t="n">
        <v>45570</v>
      </c>
      <c r="D378" t="inlineStr">
        <is>
          <t>GOTLANDS LÄN</t>
        </is>
      </c>
      <c r="E378" t="inlineStr">
        <is>
          <t>GOTLAND</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8700-2021</t>
        </is>
      </c>
      <c r="B379" s="1" t="n">
        <v>44246</v>
      </c>
      <c r="C379" s="1" t="n">
        <v>45570</v>
      </c>
      <c r="D379" t="inlineStr">
        <is>
          <t>GOTLANDS LÄN</t>
        </is>
      </c>
      <c r="E379" t="inlineStr">
        <is>
          <t>GOTLAND</t>
        </is>
      </c>
      <c r="G379" t="n">
        <v>0.1</v>
      </c>
      <c r="H379" t="n">
        <v>0</v>
      </c>
      <c r="I379" t="n">
        <v>0</v>
      </c>
      <c r="J379" t="n">
        <v>0</v>
      </c>
      <c r="K379" t="n">
        <v>0</v>
      </c>
      <c r="L379" t="n">
        <v>0</v>
      </c>
      <c r="M379" t="n">
        <v>0</v>
      </c>
      <c r="N379" t="n">
        <v>0</v>
      </c>
      <c r="O379" t="n">
        <v>0</v>
      </c>
      <c r="P379" t="n">
        <v>0</v>
      </c>
      <c r="Q379" t="n">
        <v>0</v>
      </c>
      <c r="R379" s="2" t="inlineStr"/>
    </row>
    <row r="380" ht="15" customHeight="1">
      <c r="A380" t="inlineStr">
        <is>
          <t>A 11400-2021</t>
        </is>
      </c>
      <c r="B380" s="1" t="n">
        <v>44263</v>
      </c>
      <c r="C380" s="1" t="n">
        <v>45570</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11402-2021</t>
        </is>
      </c>
      <c r="B381" s="1" t="n">
        <v>44263</v>
      </c>
      <c r="C381" s="1" t="n">
        <v>45570</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12318-2021</t>
        </is>
      </c>
      <c r="B382" s="1" t="n">
        <v>44266</v>
      </c>
      <c r="C382" s="1" t="n">
        <v>45570</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13274-2021</t>
        </is>
      </c>
      <c r="B383" s="1" t="n">
        <v>44272</v>
      </c>
      <c r="C383" s="1" t="n">
        <v>45570</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14536-2021</t>
        </is>
      </c>
      <c r="B384" s="1" t="n">
        <v>44279</v>
      </c>
      <c r="C384" s="1" t="n">
        <v>45570</v>
      </c>
      <c r="D384" t="inlineStr">
        <is>
          <t>GOTLANDS LÄN</t>
        </is>
      </c>
      <c r="E384" t="inlineStr">
        <is>
          <t>GOTLAND</t>
        </is>
      </c>
      <c r="G384" t="n">
        <v>8.5</v>
      </c>
      <c r="H384" t="n">
        <v>0</v>
      </c>
      <c r="I384" t="n">
        <v>0</v>
      </c>
      <c r="J384" t="n">
        <v>0</v>
      </c>
      <c r="K384" t="n">
        <v>0</v>
      </c>
      <c r="L384" t="n">
        <v>0</v>
      </c>
      <c r="M384" t="n">
        <v>0</v>
      </c>
      <c r="N384" t="n">
        <v>0</v>
      </c>
      <c r="O384" t="n">
        <v>0</v>
      </c>
      <c r="P384" t="n">
        <v>0</v>
      </c>
      <c r="Q384" t="n">
        <v>0</v>
      </c>
      <c r="R384" s="2" t="inlineStr"/>
    </row>
    <row r="385" ht="15" customHeight="1">
      <c r="A385" t="inlineStr">
        <is>
          <t>A 14804-2021</t>
        </is>
      </c>
      <c r="B385" s="1" t="n">
        <v>44280</v>
      </c>
      <c r="C385" s="1" t="n">
        <v>45570</v>
      </c>
      <c r="D385" t="inlineStr">
        <is>
          <t>GOTLANDS LÄN</t>
        </is>
      </c>
      <c r="E385" t="inlineStr">
        <is>
          <t>GOTLAND</t>
        </is>
      </c>
      <c r="G385" t="n">
        <v>2.2</v>
      </c>
      <c r="H385" t="n">
        <v>0</v>
      </c>
      <c r="I385" t="n">
        <v>0</v>
      </c>
      <c r="J385" t="n">
        <v>0</v>
      </c>
      <c r="K385" t="n">
        <v>0</v>
      </c>
      <c r="L385" t="n">
        <v>0</v>
      </c>
      <c r="M385" t="n">
        <v>0</v>
      </c>
      <c r="N385" t="n">
        <v>0</v>
      </c>
      <c r="O385" t="n">
        <v>0</v>
      </c>
      <c r="P385" t="n">
        <v>0</v>
      </c>
      <c r="Q385" t="n">
        <v>0</v>
      </c>
      <c r="R385" s="2" t="inlineStr"/>
    </row>
    <row r="386" ht="15" customHeight="1">
      <c r="A386" t="inlineStr">
        <is>
          <t>A 15127-2021</t>
        </is>
      </c>
      <c r="B386" s="1" t="n">
        <v>44283</v>
      </c>
      <c r="C386" s="1" t="n">
        <v>45570</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16435-2021</t>
        </is>
      </c>
      <c r="B387" s="1" t="n">
        <v>44293</v>
      </c>
      <c r="C387" s="1" t="n">
        <v>45570</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17254-2021</t>
        </is>
      </c>
      <c r="B388" s="1" t="n">
        <v>44298</v>
      </c>
      <c r="C388" s="1" t="n">
        <v>45570</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17227-2021</t>
        </is>
      </c>
      <c r="B389" s="1" t="n">
        <v>44298</v>
      </c>
      <c r="C389" s="1" t="n">
        <v>45570</v>
      </c>
      <c r="D389" t="inlineStr">
        <is>
          <t>GOTLANDS LÄN</t>
        </is>
      </c>
      <c r="E389" t="inlineStr">
        <is>
          <t>GOTLAND</t>
        </is>
      </c>
      <c r="G389" t="n">
        <v>6.2</v>
      </c>
      <c r="H389" t="n">
        <v>0</v>
      </c>
      <c r="I389" t="n">
        <v>0</v>
      </c>
      <c r="J389" t="n">
        <v>0</v>
      </c>
      <c r="K389" t="n">
        <v>0</v>
      </c>
      <c r="L389" t="n">
        <v>0</v>
      </c>
      <c r="M389" t="n">
        <v>0</v>
      </c>
      <c r="N389" t="n">
        <v>0</v>
      </c>
      <c r="O389" t="n">
        <v>0</v>
      </c>
      <c r="P389" t="n">
        <v>0</v>
      </c>
      <c r="Q389" t="n">
        <v>0</v>
      </c>
      <c r="R389" s="2" t="inlineStr"/>
    </row>
    <row r="390" ht="15" customHeight="1">
      <c r="A390" t="inlineStr">
        <is>
          <t>A 17199-2021</t>
        </is>
      </c>
      <c r="B390" s="1" t="n">
        <v>44298</v>
      </c>
      <c r="C390" s="1" t="n">
        <v>45570</v>
      </c>
      <c r="D390" t="inlineStr">
        <is>
          <t>GOTLANDS LÄN</t>
        </is>
      </c>
      <c r="E390" t="inlineStr">
        <is>
          <t>GOTLAND</t>
        </is>
      </c>
      <c r="G390" t="n">
        <v>9.6</v>
      </c>
      <c r="H390" t="n">
        <v>0</v>
      </c>
      <c r="I390" t="n">
        <v>0</v>
      </c>
      <c r="J390" t="n">
        <v>0</v>
      </c>
      <c r="K390" t="n">
        <v>0</v>
      </c>
      <c r="L390" t="n">
        <v>0</v>
      </c>
      <c r="M390" t="n">
        <v>0</v>
      </c>
      <c r="N390" t="n">
        <v>0</v>
      </c>
      <c r="O390" t="n">
        <v>0</v>
      </c>
      <c r="P390" t="n">
        <v>0</v>
      </c>
      <c r="Q390" t="n">
        <v>0</v>
      </c>
      <c r="R390" s="2" t="inlineStr"/>
    </row>
    <row r="391" ht="15" customHeight="1">
      <c r="A391" t="inlineStr">
        <is>
          <t>A 17585-2021</t>
        </is>
      </c>
      <c r="B391" s="1" t="n">
        <v>44299</v>
      </c>
      <c r="C391" s="1" t="n">
        <v>45570</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17920-2021</t>
        </is>
      </c>
      <c r="B392" s="1" t="n">
        <v>44301</v>
      </c>
      <c r="C392" s="1" t="n">
        <v>45570</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18038-2021</t>
        </is>
      </c>
      <c r="B393" s="1" t="n">
        <v>44302</v>
      </c>
      <c r="C393" s="1" t="n">
        <v>45570</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19447-2021</t>
        </is>
      </c>
      <c r="B394" s="1" t="n">
        <v>44310</v>
      </c>
      <c r="C394" s="1" t="n">
        <v>45570</v>
      </c>
      <c r="D394" t="inlineStr">
        <is>
          <t>GOTLANDS LÄN</t>
        </is>
      </c>
      <c r="E394" t="inlineStr">
        <is>
          <t>GOTLAND</t>
        </is>
      </c>
      <c r="G394" t="n">
        <v>0.4</v>
      </c>
      <c r="H394" t="n">
        <v>0</v>
      </c>
      <c r="I394" t="n">
        <v>0</v>
      </c>
      <c r="J394" t="n">
        <v>0</v>
      </c>
      <c r="K394" t="n">
        <v>0</v>
      </c>
      <c r="L394" t="n">
        <v>0</v>
      </c>
      <c r="M394" t="n">
        <v>0</v>
      </c>
      <c r="N394" t="n">
        <v>0</v>
      </c>
      <c r="O394" t="n">
        <v>0</v>
      </c>
      <c r="P394" t="n">
        <v>0</v>
      </c>
      <c r="Q394" t="n">
        <v>0</v>
      </c>
      <c r="R394" s="2" t="inlineStr"/>
    </row>
    <row r="395" ht="15" customHeight="1">
      <c r="A395" t="inlineStr">
        <is>
          <t>A 19448-2021</t>
        </is>
      </c>
      <c r="B395" s="1" t="n">
        <v>44310</v>
      </c>
      <c r="C395" s="1" t="n">
        <v>45570</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19892-2021</t>
        </is>
      </c>
      <c r="B396" s="1" t="n">
        <v>44312</v>
      </c>
      <c r="C396" s="1" t="n">
        <v>45570</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19901-2021</t>
        </is>
      </c>
      <c r="B397" s="1" t="n">
        <v>44312</v>
      </c>
      <c r="C397" s="1" t="n">
        <v>45570</v>
      </c>
      <c r="D397" t="inlineStr">
        <is>
          <t>GOTLANDS LÄN</t>
        </is>
      </c>
      <c r="E397" t="inlineStr">
        <is>
          <t>GOTLAND</t>
        </is>
      </c>
      <c r="G397" t="n">
        <v>4.5</v>
      </c>
      <c r="H397" t="n">
        <v>0</v>
      </c>
      <c r="I397" t="n">
        <v>0</v>
      </c>
      <c r="J397" t="n">
        <v>0</v>
      </c>
      <c r="K397" t="n">
        <v>0</v>
      </c>
      <c r="L397" t="n">
        <v>0</v>
      </c>
      <c r="M397" t="n">
        <v>0</v>
      </c>
      <c r="N397" t="n">
        <v>0</v>
      </c>
      <c r="O397" t="n">
        <v>0</v>
      </c>
      <c r="P397" t="n">
        <v>0</v>
      </c>
      <c r="Q397" t="n">
        <v>0</v>
      </c>
      <c r="R397" s="2" t="inlineStr"/>
    </row>
    <row r="398" ht="15" customHeight="1">
      <c r="A398" t="inlineStr">
        <is>
          <t>A 19939-2021</t>
        </is>
      </c>
      <c r="B398" s="1" t="n">
        <v>44313</v>
      </c>
      <c r="C398" s="1" t="n">
        <v>45570</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20111-2021</t>
        </is>
      </c>
      <c r="B399" s="1" t="n">
        <v>44314</v>
      </c>
      <c r="C399" s="1" t="n">
        <v>45570</v>
      </c>
      <c r="D399" t="inlineStr">
        <is>
          <t>GOTLANDS LÄN</t>
        </is>
      </c>
      <c r="E399" t="inlineStr">
        <is>
          <t>GOTLAND</t>
        </is>
      </c>
      <c r="G399" t="n">
        <v>4.4</v>
      </c>
      <c r="H399" t="n">
        <v>0</v>
      </c>
      <c r="I399" t="n">
        <v>0</v>
      </c>
      <c r="J399" t="n">
        <v>0</v>
      </c>
      <c r="K399" t="n">
        <v>0</v>
      </c>
      <c r="L399" t="n">
        <v>0</v>
      </c>
      <c r="M399" t="n">
        <v>0</v>
      </c>
      <c r="N399" t="n">
        <v>0</v>
      </c>
      <c r="O399" t="n">
        <v>0</v>
      </c>
      <c r="P399" t="n">
        <v>0</v>
      </c>
      <c r="Q399" t="n">
        <v>0</v>
      </c>
      <c r="R399" s="2" t="inlineStr"/>
    </row>
    <row r="400" ht="15" customHeight="1">
      <c r="A400" t="inlineStr">
        <is>
          <t>A 21507-2021</t>
        </is>
      </c>
      <c r="B400" s="1" t="n">
        <v>44321</v>
      </c>
      <c r="C400" s="1" t="n">
        <v>45570</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22155-2021</t>
        </is>
      </c>
      <c r="B401" s="1" t="n">
        <v>44325</v>
      </c>
      <c r="C401" s="1" t="n">
        <v>45570</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23910-2021</t>
        </is>
      </c>
      <c r="B402" s="1" t="n">
        <v>44335</v>
      </c>
      <c r="C402" s="1" t="n">
        <v>45570</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24001-2021</t>
        </is>
      </c>
      <c r="B403" s="1" t="n">
        <v>44335</v>
      </c>
      <c r="C403" s="1" t="n">
        <v>45570</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26810-2021</t>
        </is>
      </c>
      <c r="B404" s="1" t="n">
        <v>44349</v>
      </c>
      <c r="C404" s="1" t="n">
        <v>45570</v>
      </c>
      <c r="D404" t="inlineStr">
        <is>
          <t>GOTLANDS LÄN</t>
        </is>
      </c>
      <c r="E404" t="inlineStr">
        <is>
          <t>GOTLAND</t>
        </is>
      </c>
      <c r="G404" t="n">
        <v>3.5</v>
      </c>
      <c r="H404" t="n">
        <v>0</v>
      </c>
      <c r="I404" t="n">
        <v>0</v>
      </c>
      <c r="J404" t="n">
        <v>0</v>
      </c>
      <c r="K404" t="n">
        <v>0</v>
      </c>
      <c r="L404" t="n">
        <v>0</v>
      </c>
      <c r="M404" t="n">
        <v>0</v>
      </c>
      <c r="N404" t="n">
        <v>0</v>
      </c>
      <c r="O404" t="n">
        <v>0</v>
      </c>
      <c r="P404" t="n">
        <v>0</v>
      </c>
      <c r="Q404" t="n">
        <v>0</v>
      </c>
      <c r="R404" s="2" t="inlineStr"/>
    </row>
    <row r="405" ht="15" customHeight="1">
      <c r="A405" t="inlineStr">
        <is>
          <t>A 26857-2021</t>
        </is>
      </c>
      <c r="B405" s="1" t="n">
        <v>44349</v>
      </c>
      <c r="C405" s="1" t="n">
        <v>45570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26867-2021</t>
        </is>
      </c>
      <c r="B406" s="1" t="n">
        <v>44349</v>
      </c>
      <c r="C406" s="1" t="n">
        <v>45570</v>
      </c>
      <c r="D406" t="inlineStr">
        <is>
          <t>GOTLANDS LÄN</t>
        </is>
      </c>
      <c r="E406" t="inlineStr">
        <is>
          <t>GOTLAND</t>
        </is>
      </c>
      <c r="G406" t="n">
        <v>5.7</v>
      </c>
      <c r="H406" t="n">
        <v>0</v>
      </c>
      <c r="I406" t="n">
        <v>0</v>
      </c>
      <c r="J406" t="n">
        <v>0</v>
      </c>
      <c r="K406" t="n">
        <v>0</v>
      </c>
      <c r="L406" t="n">
        <v>0</v>
      </c>
      <c r="M406" t="n">
        <v>0</v>
      </c>
      <c r="N406" t="n">
        <v>0</v>
      </c>
      <c r="O406" t="n">
        <v>0</v>
      </c>
      <c r="P406" t="n">
        <v>0</v>
      </c>
      <c r="Q406" t="n">
        <v>0</v>
      </c>
      <c r="R406" s="2" t="inlineStr"/>
    </row>
    <row r="407" ht="15" customHeight="1">
      <c r="A407" t="inlineStr">
        <is>
          <t>A 27930-2021</t>
        </is>
      </c>
      <c r="B407" s="1" t="n">
        <v>44354</v>
      </c>
      <c r="C407" s="1" t="n">
        <v>45570</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30055-2021</t>
        </is>
      </c>
      <c r="B408" s="1" t="n">
        <v>44363</v>
      </c>
      <c r="C408" s="1" t="n">
        <v>45570</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31264-2021</t>
        </is>
      </c>
      <c r="B409" s="1" t="n">
        <v>44368</v>
      </c>
      <c r="C409" s="1" t="n">
        <v>45570</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31981-2021</t>
        </is>
      </c>
      <c r="B410" s="1" t="n">
        <v>44370</v>
      </c>
      <c r="C410" s="1" t="n">
        <v>45570</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32647-2021</t>
        </is>
      </c>
      <c r="B411" s="1" t="n">
        <v>44375</v>
      </c>
      <c r="C411" s="1" t="n">
        <v>45570</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32691-2021</t>
        </is>
      </c>
      <c r="B412" s="1" t="n">
        <v>44375</v>
      </c>
      <c r="C412" s="1" t="n">
        <v>45570</v>
      </c>
      <c r="D412" t="inlineStr">
        <is>
          <t>GOTLANDS LÄN</t>
        </is>
      </c>
      <c r="E412" t="inlineStr">
        <is>
          <t>GOTLAND</t>
        </is>
      </c>
      <c r="G412" t="n">
        <v>0.8</v>
      </c>
      <c r="H412" t="n">
        <v>0</v>
      </c>
      <c r="I412" t="n">
        <v>0</v>
      </c>
      <c r="J412" t="n">
        <v>0</v>
      </c>
      <c r="K412" t="n">
        <v>0</v>
      </c>
      <c r="L412" t="n">
        <v>0</v>
      </c>
      <c r="M412" t="n">
        <v>0</v>
      </c>
      <c r="N412" t="n">
        <v>0</v>
      </c>
      <c r="O412" t="n">
        <v>0</v>
      </c>
      <c r="P412" t="n">
        <v>0</v>
      </c>
      <c r="Q412" t="n">
        <v>0</v>
      </c>
      <c r="R412" s="2" t="inlineStr"/>
    </row>
    <row r="413" ht="15" customHeight="1">
      <c r="A413" t="inlineStr">
        <is>
          <t>A 32958-2021</t>
        </is>
      </c>
      <c r="B413" s="1" t="n">
        <v>44376</v>
      </c>
      <c r="C413" s="1" t="n">
        <v>45570</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36313-2021</t>
        </is>
      </c>
      <c r="B414" s="1" t="n">
        <v>44390</v>
      </c>
      <c r="C414" s="1" t="n">
        <v>45570</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37037-2021</t>
        </is>
      </c>
      <c r="B415" s="1" t="n">
        <v>44393</v>
      </c>
      <c r="C415" s="1" t="n">
        <v>45570</v>
      </c>
      <c r="D415" t="inlineStr">
        <is>
          <t>GOTLANDS LÄN</t>
        </is>
      </c>
      <c r="E415" t="inlineStr">
        <is>
          <t>GOTLAND</t>
        </is>
      </c>
      <c r="G415" t="n">
        <v>10.2</v>
      </c>
      <c r="H415" t="n">
        <v>0</v>
      </c>
      <c r="I415" t="n">
        <v>0</v>
      </c>
      <c r="J415" t="n">
        <v>0</v>
      </c>
      <c r="K415" t="n">
        <v>0</v>
      </c>
      <c r="L415" t="n">
        <v>0</v>
      </c>
      <c r="M415" t="n">
        <v>0</v>
      </c>
      <c r="N415" t="n">
        <v>0</v>
      </c>
      <c r="O415" t="n">
        <v>0</v>
      </c>
      <c r="P415" t="n">
        <v>0</v>
      </c>
      <c r="Q415" t="n">
        <v>0</v>
      </c>
      <c r="R415" s="2" t="inlineStr"/>
    </row>
    <row r="416" ht="15" customHeight="1">
      <c r="A416" t="inlineStr">
        <is>
          <t>A 37222-2021</t>
        </is>
      </c>
      <c r="B416" s="1" t="n">
        <v>44396</v>
      </c>
      <c r="C416" s="1" t="n">
        <v>45570</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41346-2021</t>
        </is>
      </c>
      <c r="B417" s="1" t="n">
        <v>44424</v>
      </c>
      <c r="C417" s="1" t="n">
        <v>45570</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42688-2021</t>
        </is>
      </c>
      <c r="B418" s="1" t="n">
        <v>44428</v>
      </c>
      <c r="C418" s="1" t="n">
        <v>45570</v>
      </c>
      <c r="D418" t="inlineStr">
        <is>
          <t>GOTLANDS LÄN</t>
        </is>
      </c>
      <c r="E418" t="inlineStr">
        <is>
          <t>GOTLAND</t>
        </is>
      </c>
      <c r="G418" t="n">
        <v>0.6</v>
      </c>
      <c r="H418" t="n">
        <v>0</v>
      </c>
      <c r="I418" t="n">
        <v>0</v>
      </c>
      <c r="J418" t="n">
        <v>0</v>
      </c>
      <c r="K418" t="n">
        <v>0</v>
      </c>
      <c r="L418" t="n">
        <v>0</v>
      </c>
      <c r="M418" t="n">
        <v>0</v>
      </c>
      <c r="N418" t="n">
        <v>0</v>
      </c>
      <c r="O418" t="n">
        <v>0</v>
      </c>
      <c r="P418" t="n">
        <v>0</v>
      </c>
      <c r="Q418" t="n">
        <v>0</v>
      </c>
      <c r="R418" s="2" t="inlineStr"/>
    </row>
    <row r="419" ht="15" customHeight="1">
      <c r="A419" t="inlineStr">
        <is>
          <t>A 44304-2021</t>
        </is>
      </c>
      <c r="B419" s="1" t="n">
        <v>44434</v>
      </c>
      <c r="C419" s="1" t="n">
        <v>45570</v>
      </c>
      <c r="D419" t="inlineStr">
        <is>
          <t>GOTLANDS LÄN</t>
        </is>
      </c>
      <c r="E419" t="inlineStr">
        <is>
          <t>GOTLAND</t>
        </is>
      </c>
      <c r="G419" t="n">
        <v>5.8</v>
      </c>
      <c r="H419" t="n">
        <v>0</v>
      </c>
      <c r="I419" t="n">
        <v>0</v>
      </c>
      <c r="J419" t="n">
        <v>0</v>
      </c>
      <c r="K419" t="n">
        <v>0</v>
      </c>
      <c r="L419" t="n">
        <v>0</v>
      </c>
      <c r="M419" t="n">
        <v>0</v>
      </c>
      <c r="N419" t="n">
        <v>0</v>
      </c>
      <c r="O419" t="n">
        <v>0</v>
      </c>
      <c r="P419" t="n">
        <v>0</v>
      </c>
      <c r="Q419" t="n">
        <v>0</v>
      </c>
      <c r="R419" s="2" t="inlineStr"/>
    </row>
    <row r="420" ht="15" customHeight="1">
      <c r="A420" t="inlineStr">
        <is>
          <t>A 44649-2021</t>
        </is>
      </c>
      <c r="B420" s="1" t="n">
        <v>44437</v>
      </c>
      <c r="C420" s="1" t="n">
        <v>45570</v>
      </c>
      <c r="D420" t="inlineStr">
        <is>
          <t>GOTLANDS LÄN</t>
        </is>
      </c>
      <c r="E420" t="inlineStr">
        <is>
          <t>GOTLAND</t>
        </is>
      </c>
      <c r="G420" t="n">
        <v>8.1</v>
      </c>
      <c r="H420" t="n">
        <v>0</v>
      </c>
      <c r="I420" t="n">
        <v>0</v>
      </c>
      <c r="J420" t="n">
        <v>0</v>
      </c>
      <c r="K420" t="n">
        <v>0</v>
      </c>
      <c r="L420" t="n">
        <v>0</v>
      </c>
      <c r="M420" t="n">
        <v>0</v>
      </c>
      <c r="N420" t="n">
        <v>0</v>
      </c>
      <c r="O420" t="n">
        <v>0</v>
      </c>
      <c r="P420" t="n">
        <v>0</v>
      </c>
      <c r="Q420" t="n">
        <v>0</v>
      </c>
      <c r="R420" s="2" t="inlineStr"/>
    </row>
    <row r="421" ht="15" customHeight="1">
      <c r="A421" t="inlineStr">
        <is>
          <t>A 46362-2021</t>
        </is>
      </c>
      <c r="B421" s="1" t="n">
        <v>44442</v>
      </c>
      <c r="C421" s="1" t="n">
        <v>45570</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46389-2021</t>
        </is>
      </c>
      <c r="B422" s="1" t="n">
        <v>44443</v>
      </c>
      <c r="C422" s="1" t="n">
        <v>45570</v>
      </c>
      <c r="D422" t="inlineStr">
        <is>
          <t>GOTLANDS LÄN</t>
        </is>
      </c>
      <c r="E422" t="inlineStr">
        <is>
          <t>GOTLAND</t>
        </is>
      </c>
      <c r="F422" t="inlineStr">
        <is>
          <t>Kyrkan</t>
        </is>
      </c>
      <c r="G422" t="n">
        <v>2.1</v>
      </c>
      <c r="H422" t="n">
        <v>0</v>
      </c>
      <c r="I422" t="n">
        <v>0</v>
      </c>
      <c r="J422" t="n">
        <v>0</v>
      </c>
      <c r="K422" t="n">
        <v>0</v>
      </c>
      <c r="L422" t="n">
        <v>0</v>
      </c>
      <c r="M422" t="n">
        <v>0</v>
      </c>
      <c r="N422" t="n">
        <v>0</v>
      </c>
      <c r="O422" t="n">
        <v>0</v>
      </c>
      <c r="P422" t="n">
        <v>0</v>
      </c>
      <c r="Q422" t="n">
        <v>0</v>
      </c>
      <c r="R422" s="2" t="inlineStr"/>
    </row>
    <row r="423" ht="15" customHeight="1">
      <c r="A423" t="inlineStr">
        <is>
          <t>A 47369-2021</t>
        </is>
      </c>
      <c r="B423" s="1" t="n">
        <v>44447</v>
      </c>
      <c r="C423" s="1" t="n">
        <v>45570</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50892-2021</t>
        </is>
      </c>
      <c r="B424" s="1" t="n">
        <v>44459</v>
      </c>
      <c r="C424" s="1" t="n">
        <v>45570</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52892-2021</t>
        </is>
      </c>
      <c r="B425" s="1" t="n">
        <v>44467</v>
      </c>
      <c r="C425" s="1" t="n">
        <v>45570</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53479-2021</t>
        </is>
      </c>
      <c r="B426" s="1" t="n">
        <v>44468</v>
      </c>
      <c r="C426" s="1" t="n">
        <v>45570</v>
      </c>
      <c r="D426" t="inlineStr">
        <is>
          <t>GOTLANDS LÄN</t>
        </is>
      </c>
      <c r="E426" t="inlineStr">
        <is>
          <t>GOTLAND</t>
        </is>
      </c>
      <c r="G426" t="n">
        <v>8</v>
      </c>
      <c r="H426" t="n">
        <v>0</v>
      </c>
      <c r="I426" t="n">
        <v>0</v>
      </c>
      <c r="J426" t="n">
        <v>0</v>
      </c>
      <c r="K426" t="n">
        <v>0</v>
      </c>
      <c r="L426" t="n">
        <v>0</v>
      </c>
      <c r="M426" t="n">
        <v>0</v>
      </c>
      <c r="N426" t="n">
        <v>0</v>
      </c>
      <c r="O426" t="n">
        <v>0</v>
      </c>
      <c r="P426" t="n">
        <v>0</v>
      </c>
      <c r="Q426" t="n">
        <v>0</v>
      </c>
      <c r="R426" s="2" t="inlineStr"/>
    </row>
    <row r="427" ht="15" customHeight="1">
      <c r="A427" t="inlineStr">
        <is>
          <t>A 56951-2021</t>
        </is>
      </c>
      <c r="B427" s="1" t="n">
        <v>44482</v>
      </c>
      <c r="C427" s="1" t="n">
        <v>45570</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57219-2021</t>
        </is>
      </c>
      <c r="B428" s="1" t="n">
        <v>44483</v>
      </c>
      <c r="C428" s="1" t="n">
        <v>45570</v>
      </c>
      <c r="D428" t="inlineStr">
        <is>
          <t>GOTLANDS LÄN</t>
        </is>
      </c>
      <c r="E428" t="inlineStr">
        <is>
          <t>GOTLAND</t>
        </is>
      </c>
      <c r="F428" t="inlineStr">
        <is>
          <t>Kyrkan</t>
        </is>
      </c>
      <c r="G428" t="n">
        <v>4</v>
      </c>
      <c r="H428" t="n">
        <v>0</v>
      </c>
      <c r="I428" t="n">
        <v>0</v>
      </c>
      <c r="J428" t="n">
        <v>0</v>
      </c>
      <c r="K428" t="n">
        <v>0</v>
      </c>
      <c r="L428" t="n">
        <v>0</v>
      </c>
      <c r="M428" t="n">
        <v>0</v>
      </c>
      <c r="N428" t="n">
        <v>0</v>
      </c>
      <c r="O428" t="n">
        <v>0</v>
      </c>
      <c r="P428" t="n">
        <v>0</v>
      </c>
      <c r="Q428" t="n">
        <v>0</v>
      </c>
      <c r="R428" s="2" t="inlineStr"/>
    </row>
    <row r="429" ht="15" customHeight="1">
      <c r="A429" t="inlineStr">
        <is>
          <t>A 58224-2021</t>
        </is>
      </c>
      <c r="B429" s="1" t="n">
        <v>44487</v>
      </c>
      <c r="C429" s="1" t="n">
        <v>45570</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58600-2021</t>
        </is>
      </c>
      <c r="B430" s="1" t="n">
        <v>44488</v>
      </c>
      <c r="C430" s="1" t="n">
        <v>45570</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58815-2021</t>
        </is>
      </c>
      <c r="B431" s="1" t="n">
        <v>44489</v>
      </c>
      <c r="C431" s="1" t="n">
        <v>45570</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60607-2021</t>
        </is>
      </c>
      <c r="B432" s="1" t="n">
        <v>44496</v>
      </c>
      <c r="C432" s="1" t="n">
        <v>45570</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60675-2021</t>
        </is>
      </c>
      <c r="B433" s="1" t="n">
        <v>44496</v>
      </c>
      <c r="C433" s="1" t="n">
        <v>45570</v>
      </c>
      <c r="D433" t="inlineStr">
        <is>
          <t>GOTLANDS LÄN</t>
        </is>
      </c>
      <c r="E433" t="inlineStr">
        <is>
          <t>GOTLAND</t>
        </is>
      </c>
      <c r="G433" t="n">
        <v>4.6</v>
      </c>
      <c r="H433" t="n">
        <v>0</v>
      </c>
      <c r="I433" t="n">
        <v>0</v>
      </c>
      <c r="J433" t="n">
        <v>0</v>
      </c>
      <c r="K433" t="n">
        <v>0</v>
      </c>
      <c r="L433" t="n">
        <v>0</v>
      </c>
      <c r="M433" t="n">
        <v>0</v>
      </c>
      <c r="N433" t="n">
        <v>0</v>
      </c>
      <c r="O433" t="n">
        <v>0</v>
      </c>
      <c r="P433" t="n">
        <v>0</v>
      </c>
      <c r="Q433" t="n">
        <v>0</v>
      </c>
      <c r="R433" s="2" t="inlineStr"/>
    </row>
    <row r="434" ht="15" customHeight="1">
      <c r="A434" t="inlineStr">
        <is>
          <t>A 62915-2021</t>
        </is>
      </c>
      <c r="B434" s="1" t="n">
        <v>44504</v>
      </c>
      <c r="C434" s="1" t="n">
        <v>45570</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63229-2021</t>
        </is>
      </c>
      <c r="B435" s="1" t="n">
        <v>44508</v>
      </c>
      <c r="C435" s="1" t="n">
        <v>45570</v>
      </c>
      <c r="D435" t="inlineStr">
        <is>
          <t>GOTLANDS LÄN</t>
        </is>
      </c>
      <c r="E435" t="inlineStr">
        <is>
          <t>GOTLAND</t>
        </is>
      </c>
      <c r="F435" t="inlineStr">
        <is>
          <t>Kyrkan</t>
        </is>
      </c>
      <c r="G435" t="n">
        <v>3.8</v>
      </c>
      <c r="H435" t="n">
        <v>0</v>
      </c>
      <c r="I435" t="n">
        <v>0</v>
      </c>
      <c r="J435" t="n">
        <v>0</v>
      </c>
      <c r="K435" t="n">
        <v>0</v>
      </c>
      <c r="L435" t="n">
        <v>0</v>
      </c>
      <c r="M435" t="n">
        <v>0</v>
      </c>
      <c r="N435" t="n">
        <v>0</v>
      </c>
      <c r="O435" t="n">
        <v>0</v>
      </c>
      <c r="P435" t="n">
        <v>0</v>
      </c>
      <c r="Q435" t="n">
        <v>0</v>
      </c>
      <c r="R435" s="2" t="inlineStr"/>
    </row>
    <row r="436" ht="15" customHeight="1">
      <c r="A436" t="inlineStr">
        <is>
          <t>A 64208-2021</t>
        </is>
      </c>
      <c r="B436" s="1" t="n">
        <v>44510</v>
      </c>
      <c r="C436" s="1" t="n">
        <v>45570</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65393-2021</t>
        </is>
      </c>
      <c r="B437" s="1" t="n">
        <v>44515</v>
      </c>
      <c r="C437" s="1" t="n">
        <v>45570</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65901-2021</t>
        </is>
      </c>
      <c r="B438" s="1" t="n">
        <v>44516</v>
      </c>
      <c r="C438" s="1" t="n">
        <v>45570</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69112-2021</t>
        </is>
      </c>
      <c r="B439" s="1" t="n">
        <v>44530</v>
      </c>
      <c r="C439" s="1" t="n">
        <v>45570</v>
      </c>
      <c r="D439" t="inlineStr">
        <is>
          <t>GOTLANDS LÄN</t>
        </is>
      </c>
      <c r="E439" t="inlineStr">
        <is>
          <t>GOTLAND</t>
        </is>
      </c>
      <c r="G439" t="n">
        <v>4.2</v>
      </c>
      <c r="H439" t="n">
        <v>0</v>
      </c>
      <c r="I439" t="n">
        <v>0</v>
      </c>
      <c r="J439" t="n">
        <v>0</v>
      </c>
      <c r="K439" t="n">
        <v>0</v>
      </c>
      <c r="L439" t="n">
        <v>0</v>
      </c>
      <c r="M439" t="n">
        <v>0</v>
      </c>
      <c r="N439" t="n">
        <v>0</v>
      </c>
      <c r="O439" t="n">
        <v>0</v>
      </c>
      <c r="P439" t="n">
        <v>0</v>
      </c>
      <c r="Q439" t="n">
        <v>0</v>
      </c>
      <c r="R439" s="2" t="inlineStr"/>
    </row>
    <row r="440" ht="15" customHeight="1">
      <c r="A440" t="inlineStr">
        <is>
          <t>A 70997-2021</t>
        </is>
      </c>
      <c r="B440" s="1" t="n">
        <v>44538</v>
      </c>
      <c r="C440" s="1" t="n">
        <v>45570</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71010-2021</t>
        </is>
      </c>
      <c r="B441" s="1" t="n">
        <v>44538</v>
      </c>
      <c r="C441" s="1" t="n">
        <v>45570</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71620-2021</t>
        </is>
      </c>
      <c r="B442" s="1" t="n">
        <v>44542</v>
      </c>
      <c r="C442" s="1" t="n">
        <v>45570</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72626-2021</t>
        </is>
      </c>
      <c r="B443" s="1" t="n">
        <v>44546</v>
      </c>
      <c r="C443" s="1" t="n">
        <v>45570</v>
      </c>
      <c r="D443" t="inlineStr">
        <is>
          <t>GOTLANDS LÄN</t>
        </is>
      </c>
      <c r="E443" t="inlineStr">
        <is>
          <t>GOTLAND</t>
        </is>
      </c>
      <c r="G443" t="n">
        <v>7.3</v>
      </c>
      <c r="H443" t="n">
        <v>0</v>
      </c>
      <c r="I443" t="n">
        <v>0</v>
      </c>
      <c r="J443" t="n">
        <v>0</v>
      </c>
      <c r="K443" t="n">
        <v>0</v>
      </c>
      <c r="L443" t="n">
        <v>0</v>
      </c>
      <c r="M443" t="n">
        <v>0</v>
      </c>
      <c r="N443" t="n">
        <v>0</v>
      </c>
      <c r="O443" t="n">
        <v>0</v>
      </c>
      <c r="P443" t="n">
        <v>0</v>
      </c>
      <c r="Q443" t="n">
        <v>0</v>
      </c>
      <c r="R443" s="2" t="inlineStr"/>
    </row>
    <row r="444" ht="15" customHeight="1">
      <c r="A444" t="inlineStr">
        <is>
          <t>A 411-2022</t>
        </is>
      </c>
      <c r="B444" s="1" t="n">
        <v>44565</v>
      </c>
      <c r="C444" s="1" t="n">
        <v>45570</v>
      </c>
      <c r="D444" t="inlineStr">
        <is>
          <t>GOTLANDS LÄN</t>
        </is>
      </c>
      <c r="E444" t="inlineStr">
        <is>
          <t>GOTLAND</t>
        </is>
      </c>
      <c r="G444" t="n">
        <v>3.9</v>
      </c>
      <c r="H444" t="n">
        <v>0</v>
      </c>
      <c r="I444" t="n">
        <v>0</v>
      </c>
      <c r="J444" t="n">
        <v>0</v>
      </c>
      <c r="K444" t="n">
        <v>0</v>
      </c>
      <c r="L444" t="n">
        <v>0</v>
      </c>
      <c r="M444" t="n">
        <v>0</v>
      </c>
      <c r="N444" t="n">
        <v>0</v>
      </c>
      <c r="O444" t="n">
        <v>0</v>
      </c>
      <c r="P444" t="n">
        <v>0</v>
      </c>
      <c r="Q444" t="n">
        <v>0</v>
      </c>
      <c r="R444" s="2" t="inlineStr"/>
    </row>
    <row r="445" ht="15" customHeight="1">
      <c r="A445" t="inlineStr">
        <is>
          <t>A 4262-2022</t>
        </is>
      </c>
      <c r="B445" s="1" t="n">
        <v>44588</v>
      </c>
      <c r="C445" s="1" t="n">
        <v>45570</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8055-2022</t>
        </is>
      </c>
      <c r="B446" s="1" t="n">
        <v>44609</v>
      </c>
      <c r="C446" s="1" t="n">
        <v>45570</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8036-2022</t>
        </is>
      </c>
      <c r="B447" s="1" t="n">
        <v>44609</v>
      </c>
      <c r="C447" s="1" t="n">
        <v>45570</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8045-2022</t>
        </is>
      </c>
      <c r="B448" s="1" t="n">
        <v>44609</v>
      </c>
      <c r="C448" s="1" t="n">
        <v>45570</v>
      </c>
      <c r="D448" t="inlineStr">
        <is>
          <t>GOTLANDS LÄN</t>
        </is>
      </c>
      <c r="E448" t="inlineStr">
        <is>
          <t>GOTLAND</t>
        </is>
      </c>
      <c r="G448" t="n">
        <v>7</v>
      </c>
      <c r="H448" t="n">
        <v>0</v>
      </c>
      <c r="I448" t="n">
        <v>0</v>
      </c>
      <c r="J448" t="n">
        <v>0</v>
      </c>
      <c r="K448" t="n">
        <v>0</v>
      </c>
      <c r="L448" t="n">
        <v>0</v>
      </c>
      <c r="M448" t="n">
        <v>0</v>
      </c>
      <c r="N448" t="n">
        <v>0</v>
      </c>
      <c r="O448" t="n">
        <v>0</v>
      </c>
      <c r="P448" t="n">
        <v>0</v>
      </c>
      <c r="Q448" t="n">
        <v>0</v>
      </c>
      <c r="R448" s="2" t="inlineStr"/>
    </row>
    <row r="449" ht="15" customHeight="1">
      <c r="A449" t="inlineStr">
        <is>
          <t>A 10650-2022</t>
        </is>
      </c>
      <c r="B449" s="1" t="n">
        <v>44624</v>
      </c>
      <c r="C449" s="1" t="n">
        <v>45570</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11029-2022</t>
        </is>
      </c>
      <c r="B450" s="1" t="n">
        <v>44628</v>
      </c>
      <c r="C450" s="1" t="n">
        <v>45570</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13498-2022</t>
        </is>
      </c>
      <c r="B451" s="1" t="n">
        <v>44647</v>
      </c>
      <c r="C451" s="1" t="n">
        <v>45570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13500-2022</t>
        </is>
      </c>
      <c r="B452" s="1" t="n">
        <v>44647</v>
      </c>
      <c r="C452" s="1" t="n">
        <v>45570</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13643-2022</t>
        </is>
      </c>
      <c r="B453" s="1" t="n">
        <v>44648</v>
      </c>
      <c r="C453" s="1" t="n">
        <v>45570</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14413-2022</t>
        </is>
      </c>
      <c r="B454" s="1" t="n">
        <v>44652</v>
      </c>
      <c r="C454" s="1" t="n">
        <v>45570</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15713-2022</t>
        </is>
      </c>
      <c r="B455" s="1" t="n">
        <v>44663</v>
      </c>
      <c r="C455" s="1" t="n">
        <v>45570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15710-2022</t>
        </is>
      </c>
      <c r="B456" s="1" t="n">
        <v>44663</v>
      </c>
      <c r="C456" s="1" t="n">
        <v>45570</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16858-2022</t>
        </is>
      </c>
      <c r="B457" s="1" t="n">
        <v>44674</v>
      </c>
      <c r="C457" s="1" t="n">
        <v>45570</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17147-2022</t>
        </is>
      </c>
      <c r="B458" s="1" t="n">
        <v>44677</v>
      </c>
      <c r="C458" s="1" t="n">
        <v>45570</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17354-2022</t>
        </is>
      </c>
      <c r="B459" s="1" t="n">
        <v>44678</v>
      </c>
      <c r="C459" s="1" t="n">
        <v>45570</v>
      </c>
      <c r="D459" t="inlineStr">
        <is>
          <t>GOTLANDS LÄN</t>
        </is>
      </c>
      <c r="E459" t="inlineStr">
        <is>
          <t>GOTLAND</t>
        </is>
      </c>
      <c r="G459" t="n">
        <v>7.1</v>
      </c>
      <c r="H459" t="n">
        <v>0</v>
      </c>
      <c r="I459" t="n">
        <v>0</v>
      </c>
      <c r="J459" t="n">
        <v>0</v>
      </c>
      <c r="K459" t="n">
        <v>0</v>
      </c>
      <c r="L459" t="n">
        <v>0</v>
      </c>
      <c r="M459" t="n">
        <v>0</v>
      </c>
      <c r="N459" t="n">
        <v>0</v>
      </c>
      <c r="O459" t="n">
        <v>0</v>
      </c>
      <c r="P459" t="n">
        <v>0</v>
      </c>
      <c r="Q459" t="n">
        <v>0</v>
      </c>
      <c r="R459" s="2" t="inlineStr"/>
    </row>
    <row r="460" ht="15" customHeight="1">
      <c r="A460" t="inlineStr">
        <is>
          <t>A 17381-2022</t>
        </is>
      </c>
      <c r="B460" s="1" t="n">
        <v>44678</v>
      </c>
      <c r="C460" s="1" t="n">
        <v>45570</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v>
      </c>
      <c r="C461" s="1" t="n">
        <v>45570</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20165-2022</t>
        </is>
      </c>
      <c r="B462" s="1" t="n">
        <v>44698</v>
      </c>
      <c r="C462" s="1" t="n">
        <v>45570</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20356-2022</t>
        </is>
      </c>
      <c r="B463" s="1" t="n">
        <v>44699</v>
      </c>
      <c r="C463" s="1" t="n">
        <v>45570</v>
      </c>
      <c r="D463" t="inlineStr">
        <is>
          <t>GOTLANDS LÄN</t>
        </is>
      </c>
      <c r="E463" t="inlineStr">
        <is>
          <t>GOTLAND</t>
        </is>
      </c>
      <c r="F463" t="inlineStr">
        <is>
          <t>Övriga Aktiebolag</t>
        </is>
      </c>
      <c r="G463" t="n">
        <v>4.4</v>
      </c>
      <c r="H463" t="n">
        <v>0</v>
      </c>
      <c r="I463" t="n">
        <v>0</v>
      </c>
      <c r="J463" t="n">
        <v>0</v>
      </c>
      <c r="K463" t="n">
        <v>0</v>
      </c>
      <c r="L463" t="n">
        <v>0</v>
      </c>
      <c r="M463" t="n">
        <v>0</v>
      </c>
      <c r="N463" t="n">
        <v>0</v>
      </c>
      <c r="O463" t="n">
        <v>0</v>
      </c>
      <c r="P463" t="n">
        <v>0</v>
      </c>
      <c r="Q463" t="n">
        <v>0</v>
      </c>
      <c r="R463" s="2" t="inlineStr"/>
    </row>
    <row r="464" ht="15" customHeight="1">
      <c r="A464" t="inlineStr">
        <is>
          <t>A 20990-2022</t>
        </is>
      </c>
      <c r="B464" s="1" t="n">
        <v>44703</v>
      </c>
      <c r="C464" s="1" t="n">
        <v>45570</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20993-2022</t>
        </is>
      </c>
      <c r="B465" s="1" t="n">
        <v>44703</v>
      </c>
      <c r="C465" s="1" t="n">
        <v>45570</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21247-2022</t>
        </is>
      </c>
      <c r="B466" s="1" t="n">
        <v>44705</v>
      </c>
      <c r="C466" s="1" t="n">
        <v>45570</v>
      </c>
      <c r="D466" t="inlineStr">
        <is>
          <t>GOTLANDS LÄN</t>
        </is>
      </c>
      <c r="E466" t="inlineStr">
        <is>
          <t>GOTLAND</t>
        </is>
      </c>
      <c r="G466" t="n">
        <v>16.2</v>
      </c>
      <c r="H466" t="n">
        <v>0</v>
      </c>
      <c r="I466" t="n">
        <v>0</v>
      </c>
      <c r="J466" t="n">
        <v>0</v>
      </c>
      <c r="K466" t="n">
        <v>0</v>
      </c>
      <c r="L466" t="n">
        <v>0</v>
      </c>
      <c r="M466" t="n">
        <v>0</v>
      </c>
      <c r="N466" t="n">
        <v>0</v>
      </c>
      <c r="O466" t="n">
        <v>0</v>
      </c>
      <c r="P466" t="n">
        <v>0</v>
      </c>
      <c r="Q466" t="n">
        <v>0</v>
      </c>
      <c r="R466" s="2" t="inlineStr"/>
    </row>
    <row r="467" ht="15" customHeight="1">
      <c r="A467" t="inlineStr">
        <is>
          <t>A 22287-2022</t>
        </is>
      </c>
      <c r="B467" s="1" t="n">
        <v>44712</v>
      </c>
      <c r="C467" s="1" t="n">
        <v>45570</v>
      </c>
      <c r="D467" t="inlineStr">
        <is>
          <t>GOTLANDS LÄN</t>
        </is>
      </c>
      <c r="E467" t="inlineStr">
        <is>
          <t>GOTLAND</t>
        </is>
      </c>
      <c r="G467" t="n">
        <v>6.1</v>
      </c>
      <c r="H467" t="n">
        <v>0</v>
      </c>
      <c r="I467" t="n">
        <v>0</v>
      </c>
      <c r="J467" t="n">
        <v>0</v>
      </c>
      <c r="K467" t="n">
        <v>0</v>
      </c>
      <c r="L467" t="n">
        <v>0</v>
      </c>
      <c r="M467" t="n">
        <v>0</v>
      </c>
      <c r="N467" t="n">
        <v>0</v>
      </c>
      <c r="O467" t="n">
        <v>0</v>
      </c>
      <c r="P467" t="n">
        <v>0</v>
      </c>
      <c r="Q467" t="n">
        <v>0</v>
      </c>
      <c r="R467" s="2" t="inlineStr"/>
    </row>
    <row r="468" ht="15" customHeight="1">
      <c r="A468" t="inlineStr">
        <is>
          <t>A 22498-2022</t>
        </is>
      </c>
      <c r="B468" s="1" t="n">
        <v>44713</v>
      </c>
      <c r="C468" s="1" t="n">
        <v>45570</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22495-2022</t>
        </is>
      </c>
      <c r="B469" s="1" t="n">
        <v>44713</v>
      </c>
      <c r="C469" s="1" t="n">
        <v>45570</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24123-2022</t>
        </is>
      </c>
      <c r="B470" s="1" t="n">
        <v>44725</v>
      </c>
      <c r="C470" s="1" t="n">
        <v>45570</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24235-2022</t>
        </is>
      </c>
      <c r="B471" s="1" t="n">
        <v>44725</v>
      </c>
      <c r="C471" s="1" t="n">
        <v>45570</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25866-2022</t>
        </is>
      </c>
      <c r="B472" s="1" t="n">
        <v>44733</v>
      </c>
      <c r="C472" s="1" t="n">
        <v>45570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27095-2022</t>
        </is>
      </c>
      <c r="B473" s="1" t="n">
        <v>44741</v>
      </c>
      <c r="C473" s="1" t="n">
        <v>45570</v>
      </c>
      <c r="D473" t="inlineStr">
        <is>
          <t>GOTLANDS LÄN</t>
        </is>
      </c>
      <c r="E473" t="inlineStr">
        <is>
          <t>GOTLAND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29809-2022</t>
        </is>
      </c>
      <c r="B474" s="1" t="n">
        <v>44755</v>
      </c>
      <c r="C474" s="1" t="n">
        <v>45570</v>
      </c>
      <c r="D474" t="inlineStr">
        <is>
          <t>GOTLANDS LÄN</t>
        </is>
      </c>
      <c r="E474" t="inlineStr">
        <is>
          <t>GOTLAND</t>
        </is>
      </c>
      <c r="G474" t="n">
        <v>11.5</v>
      </c>
      <c r="H474" t="n">
        <v>0</v>
      </c>
      <c r="I474" t="n">
        <v>0</v>
      </c>
      <c r="J474" t="n">
        <v>0</v>
      </c>
      <c r="K474" t="n">
        <v>0</v>
      </c>
      <c r="L474" t="n">
        <v>0</v>
      </c>
      <c r="M474" t="n">
        <v>0</v>
      </c>
      <c r="N474" t="n">
        <v>0</v>
      </c>
      <c r="O474" t="n">
        <v>0</v>
      </c>
      <c r="P474" t="n">
        <v>0</v>
      </c>
      <c r="Q474" t="n">
        <v>0</v>
      </c>
      <c r="R474" s="2" t="inlineStr"/>
    </row>
    <row r="475" ht="15" customHeight="1">
      <c r="A475" t="inlineStr">
        <is>
          <t>A 30282-2022</t>
        </is>
      </c>
      <c r="B475" s="1" t="n">
        <v>44760</v>
      </c>
      <c r="C475" s="1" t="n">
        <v>45570</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31239-2022</t>
        </is>
      </c>
      <c r="B476" s="1" t="n">
        <v>44771</v>
      </c>
      <c r="C476" s="1" t="n">
        <v>45570</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37569-2022</t>
        </is>
      </c>
      <c r="B477" s="1" t="n">
        <v>44809</v>
      </c>
      <c r="C477" s="1" t="n">
        <v>45570</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39302-2022</t>
        </is>
      </c>
      <c r="B478" s="1" t="n">
        <v>44817</v>
      </c>
      <c r="C478" s="1" t="n">
        <v>45570</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39496-2022</t>
        </is>
      </c>
      <c r="B479" s="1" t="n">
        <v>44818</v>
      </c>
      <c r="C479" s="1" t="n">
        <v>45570</v>
      </c>
      <c r="D479" t="inlineStr">
        <is>
          <t>GOTLANDS LÄN</t>
        </is>
      </c>
      <c r="E479" t="inlineStr">
        <is>
          <t>GOTLAND</t>
        </is>
      </c>
      <c r="G479" t="n">
        <v>2.4</v>
      </c>
      <c r="H479" t="n">
        <v>0</v>
      </c>
      <c r="I479" t="n">
        <v>0</v>
      </c>
      <c r="J479" t="n">
        <v>0</v>
      </c>
      <c r="K479" t="n">
        <v>0</v>
      </c>
      <c r="L479" t="n">
        <v>0</v>
      </c>
      <c r="M479" t="n">
        <v>0</v>
      </c>
      <c r="N479" t="n">
        <v>0</v>
      </c>
      <c r="O479" t="n">
        <v>0</v>
      </c>
      <c r="P479" t="n">
        <v>0</v>
      </c>
      <c r="Q479" t="n">
        <v>0</v>
      </c>
      <c r="R479" s="2" t="inlineStr"/>
    </row>
    <row r="480" ht="15" customHeight="1">
      <c r="A480" t="inlineStr">
        <is>
          <t>A 39479-2022</t>
        </is>
      </c>
      <c r="B480" s="1" t="n">
        <v>44818</v>
      </c>
      <c r="C480" s="1" t="n">
        <v>45570</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39764-2022</t>
        </is>
      </c>
      <c r="B481" s="1" t="n">
        <v>44819</v>
      </c>
      <c r="C481" s="1" t="n">
        <v>45570</v>
      </c>
      <c r="D481" t="inlineStr">
        <is>
          <t>GOTLANDS LÄN</t>
        </is>
      </c>
      <c r="E481" t="inlineStr">
        <is>
          <t>GOTLAND</t>
        </is>
      </c>
      <c r="F481" t="inlineStr">
        <is>
          <t>Kyrkan</t>
        </is>
      </c>
      <c r="G481" t="n">
        <v>3.7</v>
      </c>
      <c r="H481" t="n">
        <v>0</v>
      </c>
      <c r="I481" t="n">
        <v>0</v>
      </c>
      <c r="J481" t="n">
        <v>0</v>
      </c>
      <c r="K481" t="n">
        <v>0</v>
      </c>
      <c r="L481" t="n">
        <v>0</v>
      </c>
      <c r="M481" t="n">
        <v>0</v>
      </c>
      <c r="N481" t="n">
        <v>0</v>
      </c>
      <c r="O481" t="n">
        <v>0</v>
      </c>
      <c r="P481" t="n">
        <v>0</v>
      </c>
      <c r="Q481" t="n">
        <v>0</v>
      </c>
      <c r="R481" s="2" t="inlineStr"/>
    </row>
    <row r="482" ht="15" customHeight="1">
      <c r="A482" t="inlineStr">
        <is>
          <t>A 40294-2022</t>
        </is>
      </c>
      <c r="B482" s="1" t="n">
        <v>44821</v>
      </c>
      <c r="C482" s="1" t="n">
        <v>45570</v>
      </c>
      <c r="D482" t="inlineStr">
        <is>
          <t>GOTLANDS LÄN</t>
        </is>
      </c>
      <c r="E482" t="inlineStr">
        <is>
          <t>GOTLAND</t>
        </is>
      </c>
      <c r="G482" t="n">
        <v>1.6</v>
      </c>
      <c r="H482" t="n">
        <v>0</v>
      </c>
      <c r="I482" t="n">
        <v>0</v>
      </c>
      <c r="J482" t="n">
        <v>0</v>
      </c>
      <c r="K482" t="n">
        <v>0</v>
      </c>
      <c r="L482" t="n">
        <v>0</v>
      </c>
      <c r="M482" t="n">
        <v>0</v>
      </c>
      <c r="N482" t="n">
        <v>0</v>
      </c>
      <c r="O482" t="n">
        <v>0</v>
      </c>
      <c r="P482" t="n">
        <v>0</v>
      </c>
      <c r="Q482" t="n">
        <v>0</v>
      </c>
      <c r="R482" s="2" t="inlineStr"/>
    </row>
    <row r="483" ht="15" customHeight="1">
      <c r="A483" t="inlineStr">
        <is>
          <t>A 40478-2022</t>
        </is>
      </c>
      <c r="B483" s="1" t="n">
        <v>44823</v>
      </c>
      <c r="C483" s="1" t="n">
        <v>45570</v>
      </c>
      <c r="D483" t="inlineStr">
        <is>
          <t>GOTLANDS LÄN</t>
        </is>
      </c>
      <c r="E483" t="inlineStr">
        <is>
          <t>GOTLAND</t>
        </is>
      </c>
      <c r="G483" t="n">
        <v>6.3</v>
      </c>
      <c r="H483" t="n">
        <v>0</v>
      </c>
      <c r="I483" t="n">
        <v>0</v>
      </c>
      <c r="J483" t="n">
        <v>0</v>
      </c>
      <c r="K483" t="n">
        <v>0</v>
      </c>
      <c r="L483" t="n">
        <v>0</v>
      </c>
      <c r="M483" t="n">
        <v>0</v>
      </c>
      <c r="N483" t="n">
        <v>0</v>
      </c>
      <c r="O483" t="n">
        <v>0</v>
      </c>
      <c r="P483" t="n">
        <v>0</v>
      </c>
      <c r="Q483" t="n">
        <v>0</v>
      </c>
      <c r="R483" s="2" t="inlineStr"/>
    </row>
    <row r="484" ht="15" customHeight="1">
      <c r="A484" t="inlineStr">
        <is>
          <t>A 43081-2022</t>
        </is>
      </c>
      <c r="B484" s="1" t="n">
        <v>44833</v>
      </c>
      <c r="C484" s="1" t="n">
        <v>45570</v>
      </c>
      <c r="D484" t="inlineStr">
        <is>
          <t>GOTLANDS LÄN</t>
        </is>
      </c>
      <c r="E484" t="inlineStr">
        <is>
          <t>GOTLAND</t>
        </is>
      </c>
      <c r="G484" t="n">
        <v>6.8</v>
      </c>
      <c r="H484" t="n">
        <v>0</v>
      </c>
      <c r="I484" t="n">
        <v>0</v>
      </c>
      <c r="J484" t="n">
        <v>0</v>
      </c>
      <c r="K484" t="n">
        <v>0</v>
      </c>
      <c r="L484" t="n">
        <v>0</v>
      </c>
      <c r="M484" t="n">
        <v>0</v>
      </c>
      <c r="N484" t="n">
        <v>0</v>
      </c>
      <c r="O484" t="n">
        <v>0</v>
      </c>
      <c r="P484" t="n">
        <v>0</v>
      </c>
      <c r="Q484" t="n">
        <v>0</v>
      </c>
      <c r="R484" s="2" t="inlineStr"/>
    </row>
    <row r="485" ht="15" customHeight="1">
      <c r="A485" t="inlineStr">
        <is>
          <t>A 44102-2022</t>
        </is>
      </c>
      <c r="B485" s="1" t="n">
        <v>44839</v>
      </c>
      <c r="C485" s="1" t="n">
        <v>45570</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44108-2022</t>
        </is>
      </c>
      <c r="B486" s="1" t="n">
        <v>44839</v>
      </c>
      <c r="C486" s="1" t="n">
        <v>45570</v>
      </c>
      <c r="D486" t="inlineStr">
        <is>
          <t>GOTLANDS LÄN</t>
        </is>
      </c>
      <c r="E486" t="inlineStr">
        <is>
          <t>GOTLAND</t>
        </is>
      </c>
      <c r="G486" t="n">
        <v>12.9</v>
      </c>
      <c r="H486" t="n">
        <v>0</v>
      </c>
      <c r="I486" t="n">
        <v>0</v>
      </c>
      <c r="J486" t="n">
        <v>0</v>
      </c>
      <c r="K486" t="n">
        <v>0</v>
      </c>
      <c r="L486" t="n">
        <v>0</v>
      </c>
      <c r="M486" t="n">
        <v>0</v>
      </c>
      <c r="N486" t="n">
        <v>0</v>
      </c>
      <c r="O486" t="n">
        <v>0</v>
      </c>
      <c r="P486" t="n">
        <v>0</v>
      </c>
      <c r="Q486" t="n">
        <v>0</v>
      </c>
      <c r="R486" s="2" t="inlineStr"/>
    </row>
    <row r="487" ht="15" customHeight="1">
      <c r="A487" t="inlineStr">
        <is>
          <t>A 44207-2022</t>
        </is>
      </c>
      <c r="B487" s="1" t="n">
        <v>44839</v>
      </c>
      <c r="C487" s="1" t="n">
        <v>45570</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44204-2022</t>
        </is>
      </c>
      <c r="B488" s="1" t="n">
        <v>44839</v>
      </c>
      <c r="C488" s="1" t="n">
        <v>45570</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44228-2022</t>
        </is>
      </c>
      <c r="B489" s="1" t="n">
        <v>44839</v>
      </c>
      <c r="C489" s="1" t="n">
        <v>45570</v>
      </c>
      <c r="D489" t="inlineStr">
        <is>
          <t>GOTLANDS LÄN</t>
        </is>
      </c>
      <c r="E489" t="inlineStr">
        <is>
          <t>GOTLAND</t>
        </is>
      </c>
      <c r="G489" t="n">
        <v>2.1</v>
      </c>
      <c r="H489" t="n">
        <v>0</v>
      </c>
      <c r="I489" t="n">
        <v>0</v>
      </c>
      <c r="J489" t="n">
        <v>0</v>
      </c>
      <c r="K489" t="n">
        <v>0</v>
      </c>
      <c r="L489" t="n">
        <v>0</v>
      </c>
      <c r="M489" t="n">
        <v>0</v>
      </c>
      <c r="N489" t="n">
        <v>0</v>
      </c>
      <c r="O489" t="n">
        <v>0</v>
      </c>
      <c r="P489" t="n">
        <v>0</v>
      </c>
      <c r="Q489" t="n">
        <v>0</v>
      </c>
      <c r="R489" s="2" t="inlineStr"/>
    </row>
    <row r="490" ht="15" customHeight="1">
      <c r="A490" t="inlineStr">
        <is>
          <t>A 44878-2022</t>
        </is>
      </c>
      <c r="B490" s="1" t="n">
        <v>44839</v>
      </c>
      <c r="C490" s="1" t="n">
        <v>45570</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44919-2022</t>
        </is>
      </c>
      <c r="B491" s="1" t="n">
        <v>44841</v>
      </c>
      <c r="C491" s="1" t="n">
        <v>45570</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44942-2022</t>
        </is>
      </c>
      <c r="B492" s="1" t="n">
        <v>44841</v>
      </c>
      <c r="C492" s="1" t="n">
        <v>45570</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46189-2022</t>
        </is>
      </c>
      <c r="B493" s="1" t="n">
        <v>44847</v>
      </c>
      <c r="C493" s="1" t="n">
        <v>45570</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47231-2022</t>
        </is>
      </c>
      <c r="B494" s="1" t="n">
        <v>44852</v>
      </c>
      <c r="C494" s="1" t="n">
        <v>45570</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48734-2022</t>
        </is>
      </c>
      <c r="B495" s="1" t="n">
        <v>44855</v>
      </c>
      <c r="C495" s="1" t="n">
        <v>45570</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49812-2022</t>
        </is>
      </c>
      <c r="B496" s="1" t="n">
        <v>44862</v>
      </c>
      <c r="C496" s="1" t="n">
        <v>45570</v>
      </c>
      <c r="D496" t="inlineStr">
        <is>
          <t>GOTLANDS LÄN</t>
        </is>
      </c>
      <c r="E496" t="inlineStr">
        <is>
          <t>GOTLAND</t>
        </is>
      </c>
      <c r="F496" t="inlineStr">
        <is>
          <t>Kyrkan</t>
        </is>
      </c>
      <c r="G496" t="n">
        <v>1.3</v>
      </c>
      <c r="H496" t="n">
        <v>0</v>
      </c>
      <c r="I496" t="n">
        <v>0</v>
      </c>
      <c r="J496" t="n">
        <v>0</v>
      </c>
      <c r="K496" t="n">
        <v>0</v>
      </c>
      <c r="L496" t="n">
        <v>0</v>
      </c>
      <c r="M496" t="n">
        <v>0</v>
      </c>
      <c r="N496" t="n">
        <v>0</v>
      </c>
      <c r="O496" t="n">
        <v>0</v>
      </c>
      <c r="P496" t="n">
        <v>0</v>
      </c>
      <c r="Q496" t="n">
        <v>0</v>
      </c>
      <c r="R496" s="2" t="inlineStr"/>
    </row>
    <row r="497" ht="15" customHeight="1">
      <c r="A497" t="inlineStr">
        <is>
          <t>A 50810-2022</t>
        </is>
      </c>
      <c r="B497" s="1" t="n">
        <v>44867</v>
      </c>
      <c r="C497" s="1" t="n">
        <v>45570</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51591-2022</t>
        </is>
      </c>
      <c r="B498" s="1" t="n">
        <v>44871</v>
      </c>
      <c r="C498" s="1" t="n">
        <v>45570</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53725-2022</t>
        </is>
      </c>
      <c r="B499" s="1" t="n">
        <v>44875</v>
      </c>
      <c r="C499" s="1" t="n">
        <v>45570</v>
      </c>
      <c r="D499" t="inlineStr">
        <is>
          <t>GOTLANDS LÄN</t>
        </is>
      </c>
      <c r="E499" t="inlineStr">
        <is>
          <t>GOTLAND</t>
        </is>
      </c>
      <c r="F499" t="inlineStr">
        <is>
          <t>Övriga statliga verk och myndigheter</t>
        </is>
      </c>
      <c r="G499" t="n">
        <v>6.2</v>
      </c>
      <c r="H499" t="n">
        <v>0</v>
      </c>
      <c r="I499" t="n">
        <v>0</v>
      </c>
      <c r="J499" t="n">
        <v>0</v>
      </c>
      <c r="K499" t="n">
        <v>0</v>
      </c>
      <c r="L499" t="n">
        <v>0</v>
      </c>
      <c r="M499" t="n">
        <v>0</v>
      </c>
      <c r="N499" t="n">
        <v>0</v>
      </c>
      <c r="O499" t="n">
        <v>0</v>
      </c>
      <c r="P499" t="n">
        <v>0</v>
      </c>
      <c r="Q499" t="n">
        <v>0</v>
      </c>
      <c r="R499" s="2" t="inlineStr"/>
    </row>
    <row r="500" ht="15" customHeight="1">
      <c r="A500" t="inlineStr">
        <is>
          <t>A 53722-2022</t>
        </is>
      </c>
      <c r="B500" s="1" t="n">
        <v>44875</v>
      </c>
      <c r="C500" s="1" t="n">
        <v>45570</v>
      </c>
      <c r="D500" t="inlineStr">
        <is>
          <t>GOTLANDS LÄN</t>
        </is>
      </c>
      <c r="E500" t="inlineStr">
        <is>
          <t>GOTLAND</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53727-2022</t>
        </is>
      </c>
      <c r="B501" s="1" t="n">
        <v>44875</v>
      </c>
      <c r="C501" s="1" t="n">
        <v>45570</v>
      </c>
      <c r="D501" t="inlineStr">
        <is>
          <t>GOTLANDS LÄN</t>
        </is>
      </c>
      <c r="E501" t="inlineStr">
        <is>
          <t>GOTLAND</t>
        </is>
      </c>
      <c r="F501" t="inlineStr">
        <is>
          <t>Övriga statliga verk och myndigheter</t>
        </is>
      </c>
      <c r="G501" t="n">
        <v>3.6</v>
      </c>
      <c r="H501" t="n">
        <v>0</v>
      </c>
      <c r="I501" t="n">
        <v>0</v>
      </c>
      <c r="J501" t="n">
        <v>0</v>
      </c>
      <c r="K501" t="n">
        <v>0</v>
      </c>
      <c r="L501" t="n">
        <v>0</v>
      </c>
      <c r="M501" t="n">
        <v>0</v>
      </c>
      <c r="N501" t="n">
        <v>0</v>
      </c>
      <c r="O501" t="n">
        <v>0</v>
      </c>
      <c r="P501" t="n">
        <v>0</v>
      </c>
      <c r="Q501" t="n">
        <v>0</v>
      </c>
      <c r="R501" s="2" t="inlineStr"/>
    </row>
    <row r="502" ht="15" customHeight="1">
      <c r="A502" t="inlineStr">
        <is>
          <t>A 53225-2022</t>
        </is>
      </c>
      <c r="B502" s="1" t="n">
        <v>44876</v>
      </c>
      <c r="C502" s="1" t="n">
        <v>45570</v>
      </c>
      <c r="D502" t="inlineStr">
        <is>
          <t>GOTLANDS LÄN</t>
        </is>
      </c>
      <c r="E502" t="inlineStr">
        <is>
          <t>GOTLAND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45570</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54073-2022</t>
        </is>
      </c>
      <c r="B504" s="1" t="n">
        <v>44881</v>
      </c>
      <c r="C504" s="1" t="n">
        <v>45570</v>
      </c>
      <c r="D504" t="inlineStr">
        <is>
          <t>GOTLANDS LÄN</t>
        </is>
      </c>
      <c r="E504" t="inlineStr">
        <is>
          <t>GOTLAND</t>
        </is>
      </c>
      <c r="G504" t="n">
        <v>3.8</v>
      </c>
      <c r="H504" t="n">
        <v>0</v>
      </c>
      <c r="I504" t="n">
        <v>0</v>
      </c>
      <c r="J504" t="n">
        <v>0</v>
      </c>
      <c r="K504" t="n">
        <v>0</v>
      </c>
      <c r="L504" t="n">
        <v>0</v>
      </c>
      <c r="M504" t="n">
        <v>0</v>
      </c>
      <c r="N504" t="n">
        <v>0</v>
      </c>
      <c r="O504" t="n">
        <v>0</v>
      </c>
      <c r="P504" t="n">
        <v>0</v>
      </c>
      <c r="Q504" t="n">
        <v>0</v>
      </c>
      <c r="R504" s="2" t="inlineStr"/>
    </row>
    <row r="505" ht="15" customHeight="1">
      <c r="A505" t="inlineStr">
        <is>
          <t>A 54268-2022</t>
        </is>
      </c>
      <c r="B505" s="1" t="n">
        <v>44882</v>
      </c>
      <c r="C505" s="1" t="n">
        <v>45570</v>
      </c>
      <c r="D505" t="inlineStr">
        <is>
          <t>GOTLANDS LÄN</t>
        </is>
      </c>
      <c r="E505" t="inlineStr">
        <is>
          <t>GOTLAND</t>
        </is>
      </c>
      <c r="G505" t="n">
        <v>2.7</v>
      </c>
      <c r="H505" t="n">
        <v>0</v>
      </c>
      <c r="I505" t="n">
        <v>0</v>
      </c>
      <c r="J505" t="n">
        <v>0</v>
      </c>
      <c r="K505" t="n">
        <v>0</v>
      </c>
      <c r="L505" t="n">
        <v>0</v>
      </c>
      <c r="M505" t="n">
        <v>0</v>
      </c>
      <c r="N505" t="n">
        <v>0</v>
      </c>
      <c r="O505" t="n">
        <v>0</v>
      </c>
      <c r="P505" t="n">
        <v>0</v>
      </c>
      <c r="Q505" t="n">
        <v>0</v>
      </c>
      <c r="R505" s="2" t="inlineStr"/>
    </row>
    <row r="506" ht="15" customHeight="1">
      <c r="A506" t="inlineStr">
        <is>
          <t>A 55866-2022</t>
        </is>
      </c>
      <c r="B506" s="1" t="n">
        <v>44888</v>
      </c>
      <c r="C506" s="1" t="n">
        <v>45570</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56928-2022</t>
        </is>
      </c>
      <c r="B507" s="1" t="n">
        <v>44894</v>
      </c>
      <c r="C507" s="1" t="n">
        <v>45570</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58388-2022</t>
        </is>
      </c>
      <c r="B508" s="1" t="n">
        <v>44894</v>
      </c>
      <c r="C508" s="1" t="n">
        <v>45570</v>
      </c>
      <c r="D508" t="inlineStr">
        <is>
          <t>GOTLANDS LÄN</t>
        </is>
      </c>
      <c r="E508" t="inlineStr">
        <is>
          <t>GOTLAND</t>
        </is>
      </c>
      <c r="F508" t="inlineStr">
        <is>
          <t>Övriga statliga verk och myndigheter</t>
        </is>
      </c>
      <c r="G508" t="n">
        <v>3.1</v>
      </c>
      <c r="H508" t="n">
        <v>0</v>
      </c>
      <c r="I508" t="n">
        <v>0</v>
      </c>
      <c r="J508" t="n">
        <v>0</v>
      </c>
      <c r="K508" t="n">
        <v>0</v>
      </c>
      <c r="L508" t="n">
        <v>0</v>
      </c>
      <c r="M508" t="n">
        <v>0</v>
      </c>
      <c r="N508" t="n">
        <v>0</v>
      </c>
      <c r="O508" t="n">
        <v>0</v>
      </c>
      <c r="P508" t="n">
        <v>0</v>
      </c>
      <c r="Q508" t="n">
        <v>0</v>
      </c>
      <c r="R508" s="2" t="inlineStr"/>
    </row>
    <row r="509" ht="15" customHeight="1">
      <c r="A509" t="inlineStr">
        <is>
          <t>A 57534-2022</t>
        </is>
      </c>
      <c r="B509" s="1" t="n">
        <v>44896</v>
      </c>
      <c r="C509" s="1" t="n">
        <v>45570</v>
      </c>
      <c r="D509" t="inlineStr">
        <is>
          <t>GOTLANDS LÄN</t>
        </is>
      </c>
      <c r="E509" t="inlineStr">
        <is>
          <t>GOTLAND</t>
        </is>
      </c>
      <c r="G509" t="n">
        <v>0.6</v>
      </c>
      <c r="H509" t="n">
        <v>0</v>
      </c>
      <c r="I509" t="n">
        <v>0</v>
      </c>
      <c r="J509" t="n">
        <v>0</v>
      </c>
      <c r="K509" t="n">
        <v>0</v>
      </c>
      <c r="L509" t="n">
        <v>0</v>
      </c>
      <c r="M509" t="n">
        <v>0</v>
      </c>
      <c r="N509" t="n">
        <v>0</v>
      </c>
      <c r="O509" t="n">
        <v>0</v>
      </c>
      <c r="P509" t="n">
        <v>0</v>
      </c>
      <c r="Q509" t="n">
        <v>0</v>
      </c>
      <c r="R509" s="2" t="inlineStr"/>
    </row>
    <row r="510" ht="15" customHeight="1">
      <c r="A510" t="inlineStr">
        <is>
          <t>A 57522-2022</t>
        </is>
      </c>
      <c r="B510" s="1" t="n">
        <v>44896</v>
      </c>
      <c r="C510" s="1" t="n">
        <v>45570</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57685-2022</t>
        </is>
      </c>
      <c r="B511" s="1" t="n">
        <v>44897</v>
      </c>
      <c r="C511" s="1" t="n">
        <v>45570</v>
      </c>
      <c r="D511" t="inlineStr">
        <is>
          <t>GOTLANDS LÄN</t>
        </is>
      </c>
      <c r="E511" t="inlineStr">
        <is>
          <t>GOTLAND</t>
        </is>
      </c>
      <c r="G511" t="n">
        <v>3.7</v>
      </c>
      <c r="H511" t="n">
        <v>0</v>
      </c>
      <c r="I511" t="n">
        <v>0</v>
      </c>
      <c r="J511" t="n">
        <v>0</v>
      </c>
      <c r="K511" t="n">
        <v>0</v>
      </c>
      <c r="L511" t="n">
        <v>0</v>
      </c>
      <c r="M511" t="n">
        <v>0</v>
      </c>
      <c r="N511" t="n">
        <v>0</v>
      </c>
      <c r="O511" t="n">
        <v>0</v>
      </c>
      <c r="P511" t="n">
        <v>0</v>
      </c>
      <c r="Q511" t="n">
        <v>0</v>
      </c>
      <c r="R511" s="2" t="inlineStr"/>
    </row>
    <row r="512" ht="15" customHeight="1">
      <c r="A512" t="inlineStr">
        <is>
          <t>A 57947-2022</t>
        </is>
      </c>
      <c r="B512" s="1" t="n">
        <v>44900</v>
      </c>
      <c r="C512" s="1" t="n">
        <v>45570</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58479-2022</t>
        </is>
      </c>
      <c r="B513" s="1" t="n">
        <v>44902</v>
      </c>
      <c r="C513" s="1" t="n">
        <v>45570</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58476-2022</t>
        </is>
      </c>
      <c r="B514" s="1" t="n">
        <v>44902</v>
      </c>
      <c r="C514" s="1" t="n">
        <v>45570</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59874-2022</t>
        </is>
      </c>
      <c r="B515" s="1" t="n">
        <v>44908</v>
      </c>
      <c r="C515" s="1" t="n">
        <v>45570</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60086-2022</t>
        </is>
      </c>
      <c r="B516" s="1" t="n">
        <v>44909</v>
      </c>
      <c r="C516" s="1" t="n">
        <v>45570</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45570</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60372-2022</t>
        </is>
      </c>
      <c r="B518" s="1" t="n">
        <v>44910</v>
      </c>
      <c r="C518" s="1" t="n">
        <v>45570</v>
      </c>
      <c r="D518" t="inlineStr">
        <is>
          <t>GOTLANDS LÄN</t>
        </is>
      </c>
      <c r="E518" t="inlineStr">
        <is>
          <t>GOTLAND</t>
        </is>
      </c>
      <c r="G518" t="n">
        <v>3.9</v>
      </c>
      <c r="H518" t="n">
        <v>0</v>
      </c>
      <c r="I518" t="n">
        <v>0</v>
      </c>
      <c r="J518" t="n">
        <v>0</v>
      </c>
      <c r="K518" t="n">
        <v>0</v>
      </c>
      <c r="L518" t="n">
        <v>0</v>
      </c>
      <c r="M518" t="n">
        <v>0</v>
      </c>
      <c r="N518" t="n">
        <v>0</v>
      </c>
      <c r="O518" t="n">
        <v>0</v>
      </c>
      <c r="P518" t="n">
        <v>0</v>
      </c>
      <c r="Q518" t="n">
        <v>0</v>
      </c>
      <c r="R518" s="2" t="inlineStr"/>
    </row>
    <row r="519" ht="15" customHeight="1">
      <c r="A519" t="inlineStr">
        <is>
          <t>A 61100-2022</t>
        </is>
      </c>
      <c r="B519" s="1" t="n">
        <v>44915</v>
      </c>
      <c r="C519" s="1" t="n">
        <v>45570</v>
      </c>
      <c r="D519" t="inlineStr">
        <is>
          <t>GOTLANDS LÄN</t>
        </is>
      </c>
      <c r="E519" t="inlineStr">
        <is>
          <t>GOTLAND</t>
        </is>
      </c>
      <c r="G519" t="n">
        <v>1.4</v>
      </c>
      <c r="H519" t="n">
        <v>0</v>
      </c>
      <c r="I519" t="n">
        <v>0</v>
      </c>
      <c r="J519" t="n">
        <v>0</v>
      </c>
      <c r="K519" t="n">
        <v>0</v>
      </c>
      <c r="L519" t="n">
        <v>0</v>
      </c>
      <c r="M519" t="n">
        <v>0</v>
      </c>
      <c r="N519" t="n">
        <v>0</v>
      </c>
      <c r="O519" t="n">
        <v>0</v>
      </c>
      <c r="P519" t="n">
        <v>0</v>
      </c>
      <c r="Q519" t="n">
        <v>0</v>
      </c>
      <c r="R519" s="2" t="inlineStr"/>
    </row>
    <row r="520" ht="15" customHeight="1">
      <c r="A520" t="inlineStr">
        <is>
          <t>A 61570-2022</t>
        </is>
      </c>
      <c r="B520" s="1" t="n">
        <v>44916</v>
      </c>
      <c r="C520" s="1" t="n">
        <v>45570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61563-2022</t>
        </is>
      </c>
      <c r="B521" s="1" t="n">
        <v>44916</v>
      </c>
      <c r="C521" s="1" t="n">
        <v>45570</v>
      </c>
      <c r="D521" t="inlineStr">
        <is>
          <t>GOTLANDS LÄN</t>
        </is>
      </c>
      <c r="E521" t="inlineStr">
        <is>
          <t>GOTLAND</t>
        </is>
      </c>
      <c r="G521" t="n">
        <v>3.4</v>
      </c>
      <c r="H521" t="n">
        <v>0</v>
      </c>
      <c r="I521" t="n">
        <v>0</v>
      </c>
      <c r="J521" t="n">
        <v>0</v>
      </c>
      <c r="K521" t="n">
        <v>0</v>
      </c>
      <c r="L521" t="n">
        <v>0</v>
      </c>
      <c r="M521" t="n">
        <v>0</v>
      </c>
      <c r="N521" t="n">
        <v>0</v>
      </c>
      <c r="O521" t="n">
        <v>0</v>
      </c>
      <c r="P521" t="n">
        <v>0</v>
      </c>
      <c r="Q521" t="n">
        <v>0</v>
      </c>
      <c r="R521" s="2" t="inlineStr"/>
    </row>
    <row r="522" ht="15" customHeight="1">
      <c r="A522" t="inlineStr">
        <is>
          <t>A 62155-2022</t>
        </is>
      </c>
      <c r="B522" s="1" t="n">
        <v>44922</v>
      </c>
      <c r="C522" s="1" t="n">
        <v>45570</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62164-2022</t>
        </is>
      </c>
      <c r="B523" s="1" t="n">
        <v>44922</v>
      </c>
      <c r="C523" s="1" t="n">
        <v>45570</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62182-2022</t>
        </is>
      </c>
      <c r="B524" s="1" t="n">
        <v>44922</v>
      </c>
      <c r="C524" s="1" t="n">
        <v>45570</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62193-2022</t>
        </is>
      </c>
      <c r="B525" s="1" t="n">
        <v>44922</v>
      </c>
      <c r="C525" s="1" t="n">
        <v>45570</v>
      </c>
      <c r="D525" t="inlineStr">
        <is>
          <t>GOTLANDS LÄN</t>
        </is>
      </c>
      <c r="E525" t="inlineStr">
        <is>
          <t>GOTLAND</t>
        </is>
      </c>
      <c r="G525" t="n">
        <v>5.6</v>
      </c>
      <c r="H525" t="n">
        <v>0</v>
      </c>
      <c r="I525" t="n">
        <v>0</v>
      </c>
      <c r="J525" t="n">
        <v>0</v>
      </c>
      <c r="K525" t="n">
        <v>0</v>
      </c>
      <c r="L525" t="n">
        <v>0</v>
      </c>
      <c r="M525" t="n">
        <v>0</v>
      </c>
      <c r="N525" t="n">
        <v>0</v>
      </c>
      <c r="O525" t="n">
        <v>0</v>
      </c>
      <c r="P525" t="n">
        <v>0</v>
      </c>
      <c r="Q525" t="n">
        <v>0</v>
      </c>
      <c r="R525" s="2" t="inlineStr"/>
    </row>
    <row r="526" ht="15" customHeight="1">
      <c r="A526" t="inlineStr">
        <is>
          <t>A 62151-2022</t>
        </is>
      </c>
      <c r="B526" s="1" t="n">
        <v>44922</v>
      </c>
      <c r="C526" s="1" t="n">
        <v>45570</v>
      </c>
      <c r="D526" t="inlineStr">
        <is>
          <t>GOTLANDS LÄN</t>
        </is>
      </c>
      <c r="E526" t="inlineStr">
        <is>
          <t>GOTLAND</t>
        </is>
      </c>
      <c r="G526" t="n">
        <v>6.5</v>
      </c>
      <c r="H526" t="n">
        <v>0</v>
      </c>
      <c r="I526" t="n">
        <v>0</v>
      </c>
      <c r="J526" t="n">
        <v>0</v>
      </c>
      <c r="K526" t="n">
        <v>0</v>
      </c>
      <c r="L526" t="n">
        <v>0</v>
      </c>
      <c r="M526" t="n">
        <v>0</v>
      </c>
      <c r="N526" t="n">
        <v>0</v>
      </c>
      <c r="O526" t="n">
        <v>0</v>
      </c>
      <c r="P526" t="n">
        <v>0</v>
      </c>
      <c r="Q526" t="n">
        <v>0</v>
      </c>
      <c r="R526" s="2" t="inlineStr"/>
    </row>
    <row r="527" ht="15" customHeight="1">
      <c r="A527" t="inlineStr">
        <is>
          <t>A 62186-2022</t>
        </is>
      </c>
      <c r="B527" s="1" t="n">
        <v>44922</v>
      </c>
      <c r="C527" s="1" t="n">
        <v>45570</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62184-2022</t>
        </is>
      </c>
      <c r="B528" s="1" t="n">
        <v>44922</v>
      </c>
      <c r="C528" s="1" t="n">
        <v>45570</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163-2023</t>
        </is>
      </c>
      <c r="B529" s="1" t="n">
        <v>44928</v>
      </c>
      <c r="C529" s="1" t="n">
        <v>45570</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458-2023</t>
        </is>
      </c>
      <c r="B530" s="1" t="n">
        <v>44929</v>
      </c>
      <c r="C530" s="1" t="n">
        <v>45570</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457-2023</t>
        </is>
      </c>
      <c r="B531" s="1" t="n">
        <v>44929</v>
      </c>
      <c r="C531" s="1" t="n">
        <v>45570</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v>
      </c>
      <c r="C532" s="1" t="n">
        <v>45570</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459-2023</t>
        </is>
      </c>
      <c r="B533" s="1" t="n">
        <v>44929</v>
      </c>
      <c r="C533" s="1" t="n">
        <v>45570</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581-2023</t>
        </is>
      </c>
      <c r="B534" s="1" t="n">
        <v>44930</v>
      </c>
      <c r="C534" s="1" t="n">
        <v>45570</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811-2023</t>
        </is>
      </c>
      <c r="B535" s="1" t="n">
        <v>44931</v>
      </c>
      <c r="C535" s="1" t="n">
        <v>45570</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999-2023</t>
        </is>
      </c>
      <c r="B536" s="1" t="n">
        <v>44935</v>
      </c>
      <c r="C536" s="1" t="n">
        <v>45570</v>
      </c>
      <c r="D536" t="inlineStr">
        <is>
          <t>GOTLANDS LÄN</t>
        </is>
      </c>
      <c r="E536" t="inlineStr">
        <is>
          <t>GOTLAND</t>
        </is>
      </c>
      <c r="G536" t="n">
        <v>4.7</v>
      </c>
      <c r="H536" t="n">
        <v>0</v>
      </c>
      <c r="I536" t="n">
        <v>0</v>
      </c>
      <c r="J536" t="n">
        <v>0</v>
      </c>
      <c r="K536" t="n">
        <v>0</v>
      </c>
      <c r="L536" t="n">
        <v>0</v>
      </c>
      <c r="M536" t="n">
        <v>0</v>
      </c>
      <c r="N536" t="n">
        <v>0</v>
      </c>
      <c r="O536" t="n">
        <v>0</v>
      </c>
      <c r="P536" t="n">
        <v>0</v>
      </c>
      <c r="Q536" t="n">
        <v>0</v>
      </c>
      <c r="R536" s="2" t="inlineStr"/>
    </row>
    <row r="537" ht="15" customHeight="1">
      <c r="A537" t="inlineStr">
        <is>
          <t>A 1284-2023</t>
        </is>
      </c>
      <c r="B537" s="1" t="n">
        <v>44936</v>
      </c>
      <c r="C537" s="1" t="n">
        <v>45570</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1273-2023</t>
        </is>
      </c>
      <c r="B538" s="1" t="n">
        <v>44936</v>
      </c>
      <c r="C538" s="1" t="n">
        <v>45570</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1291-2023</t>
        </is>
      </c>
      <c r="B539" s="1" t="n">
        <v>44936</v>
      </c>
      <c r="C539" s="1" t="n">
        <v>45570</v>
      </c>
      <c r="D539" t="inlineStr">
        <is>
          <t>GOTLANDS LÄN</t>
        </is>
      </c>
      <c r="E539" t="inlineStr">
        <is>
          <t>GOTLAND</t>
        </is>
      </c>
      <c r="G539" t="n">
        <v>7.4</v>
      </c>
      <c r="H539" t="n">
        <v>0</v>
      </c>
      <c r="I539" t="n">
        <v>0</v>
      </c>
      <c r="J539" t="n">
        <v>0</v>
      </c>
      <c r="K539" t="n">
        <v>0</v>
      </c>
      <c r="L539" t="n">
        <v>0</v>
      </c>
      <c r="M539" t="n">
        <v>0</v>
      </c>
      <c r="N539" t="n">
        <v>0</v>
      </c>
      <c r="O539" t="n">
        <v>0</v>
      </c>
      <c r="P539" t="n">
        <v>0</v>
      </c>
      <c r="Q539" t="n">
        <v>0</v>
      </c>
      <c r="R539" s="2" t="inlineStr"/>
    </row>
    <row r="540" ht="15" customHeight="1">
      <c r="A540" t="inlineStr">
        <is>
          <t>A 1394-2023</t>
        </is>
      </c>
      <c r="B540" s="1" t="n">
        <v>44936</v>
      </c>
      <c r="C540" s="1" t="n">
        <v>45570</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1677-2023</t>
        </is>
      </c>
      <c r="B541" s="1" t="n">
        <v>44938</v>
      </c>
      <c r="C541" s="1" t="n">
        <v>45570</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1681-2023</t>
        </is>
      </c>
      <c r="B542" s="1" t="n">
        <v>44938</v>
      </c>
      <c r="C542" s="1" t="n">
        <v>45570</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2674-2023</t>
        </is>
      </c>
      <c r="B543" s="1" t="n">
        <v>44944</v>
      </c>
      <c r="C543" s="1" t="n">
        <v>45570</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2676-2023</t>
        </is>
      </c>
      <c r="B544" s="1" t="n">
        <v>44944</v>
      </c>
      <c r="C544" s="1" t="n">
        <v>45570</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2714-2023</t>
        </is>
      </c>
      <c r="B545" s="1" t="n">
        <v>44944</v>
      </c>
      <c r="C545" s="1" t="n">
        <v>45570</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2727-2023</t>
        </is>
      </c>
      <c r="B546" s="1" t="n">
        <v>44944</v>
      </c>
      <c r="C546" s="1" t="n">
        <v>45570</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2719-2023</t>
        </is>
      </c>
      <c r="B547" s="1" t="n">
        <v>44944</v>
      </c>
      <c r="C547" s="1" t="n">
        <v>45570</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2805-2023</t>
        </is>
      </c>
      <c r="B548" s="1" t="n">
        <v>44944</v>
      </c>
      <c r="C548" s="1" t="n">
        <v>45570</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2815-2023</t>
        </is>
      </c>
      <c r="B549" s="1" t="n">
        <v>44944</v>
      </c>
      <c r="C549" s="1" t="n">
        <v>45570</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3230-2023</t>
        </is>
      </c>
      <c r="B550" s="1" t="n">
        <v>44946</v>
      </c>
      <c r="C550" s="1" t="n">
        <v>45570</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4378-2023</t>
        </is>
      </c>
      <c r="B551" s="1" t="n">
        <v>44955</v>
      </c>
      <c r="C551" s="1" t="n">
        <v>45570</v>
      </c>
      <c r="D551" t="inlineStr">
        <is>
          <t>GOTLANDS LÄN</t>
        </is>
      </c>
      <c r="E551" t="inlineStr">
        <is>
          <t>GOTLAND</t>
        </is>
      </c>
      <c r="F551" t="inlineStr">
        <is>
          <t>Kyrkan</t>
        </is>
      </c>
      <c r="G551" t="n">
        <v>1.5</v>
      </c>
      <c r="H551" t="n">
        <v>0</v>
      </c>
      <c r="I551" t="n">
        <v>0</v>
      </c>
      <c r="J551" t="n">
        <v>0</v>
      </c>
      <c r="K551" t="n">
        <v>0</v>
      </c>
      <c r="L551" t="n">
        <v>0</v>
      </c>
      <c r="M551" t="n">
        <v>0</v>
      </c>
      <c r="N551" t="n">
        <v>0</v>
      </c>
      <c r="O551" t="n">
        <v>0</v>
      </c>
      <c r="P551" t="n">
        <v>0</v>
      </c>
      <c r="Q551" t="n">
        <v>0</v>
      </c>
      <c r="R551" s="2" t="inlineStr"/>
    </row>
    <row r="552" ht="15" customHeight="1">
      <c r="A552" t="inlineStr">
        <is>
          <t>A 4377-2023</t>
        </is>
      </c>
      <c r="B552" s="1" t="n">
        <v>44955</v>
      </c>
      <c r="C552" s="1" t="n">
        <v>45570</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4387-2023</t>
        </is>
      </c>
      <c r="B553" s="1" t="n">
        <v>44955</v>
      </c>
      <c r="C553" s="1" t="n">
        <v>45570</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4565-2023</t>
        </is>
      </c>
      <c r="B554" s="1" t="n">
        <v>44956</v>
      </c>
      <c r="C554" s="1" t="n">
        <v>45570</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5217-2023</t>
        </is>
      </c>
      <c r="B555" s="1" t="n">
        <v>44959</v>
      </c>
      <c r="C555" s="1" t="n">
        <v>45570</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5379-2023</t>
        </is>
      </c>
      <c r="B556" s="1" t="n">
        <v>44959</v>
      </c>
      <c r="C556" s="1" t="n">
        <v>45570</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45570</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5923-2023</t>
        </is>
      </c>
      <c r="B558" s="1" t="n">
        <v>44963</v>
      </c>
      <c r="C558" s="1" t="n">
        <v>45570</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6721-2023</t>
        </is>
      </c>
      <c r="B559" s="1" t="n">
        <v>44966</v>
      </c>
      <c r="C559" s="1" t="n">
        <v>45570</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6717-2023</t>
        </is>
      </c>
      <c r="B560" s="1" t="n">
        <v>44966</v>
      </c>
      <c r="C560" s="1" t="n">
        <v>45570</v>
      </c>
      <c r="D560" t="inlineStr">
        <is>
          <t>GOTLANDS LÄN</t>
        </is>
      </c>
      <c r="E560" t="inlineStr">
        <is>
          <t>GOTLAND</t>
        </is>
      </c>
      <c r="F560" t="inlineStr">
        <is>
          <t>Naturvårdsverket</t>
        </is>
      </c>
      <c r="G560" t="n">
        <v>1.4</v>
      </c>
      <c r="H560" t="n">
        <v>0</v>
      </c>
      <c r="I560" t="n">
        <v>0</v>
      </c>
      <c r="J560" t="n">
        <v>0</v>
      </c>
      <c r="K560" t="n">
        <v>0</v>
      </c>
      <c r="L560" t="n">
        <v>0</v>
      </c>
      <c r="M560" t="n">
        <v>0</v>
      </c>
      <c r="N560" t="n">
        <v>0</v>
      </c>
      <c r="O560" t="n">
        <v>0</v>
      </c>
      <c r="P560" t="n">
        <v>0</v>
      </c>
      <c r="Q560" t="n">
        <v>0</v>
      </c>
      <c r="R560" s="2" t="inlineStr"/>
    </row>
    <row r="561" ht="15" customHeight="1">
      <c r="A561" t="inlineStr">
        <is>
          <t>A 7041-2023</t>
        </is>
      </c>
      <c r="B561" s="1" t="n">
        <v>44968</v>
      </c>
      <c r="C561" s="1" t="n">
        <v>45570</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7026-2023</t>
        </is>
      </c>
      <c r="B562" s="1" t="n">
        <v>44968</v>
      </c>
      <c r="C562" s="1" t="n">
        <v>45570</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7034-2023</t>
        </is>
      </c>
      <c r="B563" s="1" t="n">
        <v>44968</v>
      </c>
      <c r="C563" s="1" t="n">
        <v>45570</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7040-2023</t>
        </is>
      </c>
      <c r="B564" s="1" t="n">
        <v>44968</v>
      </c>
      <c r="C564" s="1" t="n">
        <v>45570</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7042-2023</t>
        </is>
      </c>
      <c r="B565" s="1" t="n">
        <v>44968</v>
      </c>
      <c r="C565" s="1" t="n">
        <v>45570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8260-2023</t>
        </is>
      </c>
      <c r="B566" s="1" t="n">
        <v>44974</v>
      </c>
      <c r="C566" s="1" t="n">
        <v>45570</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8962-2023</t>
        </is>
      </c>
      <c r="B567" s="1" t="n">
        <v>44979</v>
      </c>
      <c r="C567" s="1" t="n">
        <v>45570</v>
      </c>
      <c r="D567" t="inlineStr">
        <is>
          <t>GOTLANDS LÄN</t>
        </is>
      </c>
      <c r="E567" t="inlineStr">
        <is>
          <t>GOTLAND</t>
        </is>
      </c>
      <c r="G567" t="n">
        <v>5.5</v>
      </c>
      <c r="H567" t="n">
        <v>0</v>
      </c>
      <c r="I567" t="n">
        <v>0</v>
      </c>
      <c r="J567" t="n">
        <v>0</v>
      </c>
      <c r="K567" t="n">
        <v>0</v>
      </c>
      <c r="L567" t="n">
        <v>0</v>
      </c>
      <c r="M567" t="n">
        <v>0</v>
      </c>
      <c r="N567" t="n">
        <v>0</v>
      </c>
      <c r="O567" t="n">
        <v>0</v>
      </c>
      <c r="P567" t="n">
        <v>0</v>
      </c>
      <c r="Q567" t="n">
        <v>0</v>
      </c>
      <c r="R567" s="2" t="inlineStr"/>
    </row>
    <row r="568" ht="15" customHeight="1">
      <c r="A568" t="inlineStr">
        <is>
          <t>A 10492-2023</t>
        </is>
      </c>
      <c r="B568" s="1" t="n">
        <v>44987</v>
      </c>
      <c r="C568" s="1" t="n">
        <v>45570</v>
      </c>
      <c r="D568" t="inlineStr">
        <is>
          <t>GOTLANDS LÄN</t>
        </is>
      </c>
      <c r="E568" t="inlineStr">
        <is>
          <t>GOTLAND</t>
        </is>
      </c>
      <c r="G568" t="n">
        <v>1</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v>
      </c>
      <c r="C569" s="1" t="n">
        <v>45570</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10657-2023</t>
        </is>
      </c>
      <c r="B570" s="1" t="n">
        <v>44988</v>
      </c>
      <c r="C570" s="1" t="n">
        <v>45570</v>
      </c>
      <c r="D570" t="inlineStr">
        <is>
          <t>GOTLANDS LÄN</t>
        </is>
      </c>
      <c r="E570" t="inlineStr">
        <is>
          <t>GOTLAND</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10653-2023</t>
        </is>
      </c>
      <c r="B571" s="1" t="n">
        <v>44988</v>
      </c>
      <c r="C571" s="1" t="n">
        <v>45570</v>
      </c>
      <c r="D571" t="inlineStr">
        <is>
          <t>GOTLANDS LÄN</t>
        </is>
      </c>
      <c r="E571" t="inlineStr">
        <is>
          <t>GOTLAND</t>
        </is>
      </c>
      <c r="F571" t="inlineStr">
        <is>
          <t>Kyrkan</t>
        </is>
      </c>
      <c r="G571" t="n">
        <v>3</v>
      </c>
      <c r="H571" t="n">
        <v>0</v>
      </c>
      <c r="I571" t="n">
        <v>0</v>
      </c>
      <c r="J571" t="n">
        <v>0</v>
      </c>
      <c r="K571" t="n">
        <v>0</v>
      </c>
      <c r="L571" t="n">
        <v>0</v>
      </c>
      <c r="M571" t="n">
        <v>0</v>
      </c>
      <c r="N571" t="n">
        <v>0</v>
      </c>
      <c r="O571" t="n">
        <v>0</v>
      </c>
      <c r="P571" t="n">
        <v>0</v>
      </c>
      <c r="Q571" t="n">
        <v>0</v>
      </c>
      <c r="R571" s="2" t="inlineStr"/>
    </row>
    <row r="572" ht="15" customHeight="1">
      <c r="A572" t="inlineStr">
        <is>
          <t>A 11115-2023</t>
        </is>
      </c>
      <c r="B572" s="1" t="n">
        <v>44992</v>
      </c>
      <c r="C572" s="1" t="n">
        <v>45570</v>
      </c>
      <c r="D572" t="inlineStr">
        <is>
          <t>GOTLANDS LÄN</t>
        </is>
      </c>
      <c r="E572" t="inlineStr">
        <is>
          <t>GOTLAND</t>
        </is>
      </c>
      <c r="G572" t="n">
        <v>3.5</v>
      </c>
      <c r="H572" t="n">
        <v>0</v>
      </c>
      <c r="I572" t="n">
        <v>0</v>
      </c>
      <c r="J572" t="n">
        <v>0</v>
      </c>
      <c r="K572" t="n">
        <v>0</v>
      </c>
      <c r="L572" t="n">
        <v>0</v>
      </c>
      <c r="M572" t="n">
        <v>0</v>
      </c>
      <c r="N572" t="n">
        <v>0</v>
      </c>
      <c r="O572" t="n">
        <v>0</v>
      </c>
      <c r="P572" t="n">
        <v>0</v>
      </c>
      <c r="Q572" t="n">
        <v>0</v>
      </c>
      <c r="R572" s="2" t="inlineStr"/>
    </row>
    <row r="573" ht="15" customHeight="1">
      <c r="A573" t="inlineStr">
        <is>
          <t>A 12161-2023</t>
        </is>
      </c>
      <c r="B573" s="1" t="n">
        <v>44998</v>
      </c>
      <c r="C573" s="1" t="n">
        <v>45570</v>
      </c>
      <c r="D573" t="inlineStr">
        <is>
          <t>GOTLANDS LÄN</t>
        </is>
      </c>
      <c r="E573" t="inlineStr">
        <is>
          <t>GOTLAND</t>
        </is>
      </c>
      <c r="G573" t="n">
        <v>1.8</v>
      </c>
      <c r="H573" t="n">
        <v>0</v>
      </c>
      <c r="I573" t="n">
        <v>0</v>
      </c>
      <c r="J573" t="n">
        <v>0</v>
      </c>
      <c r="K573" t="n">
        <v>0</v>
      </c>
      <c r="L573" t="n">
        <v>0</v>
      </c>
      <c r="M573" t="n">
        <v>0</v>
      </c>
      <c r="N573" t="n">
        <v>0</v>
      </c>
      <c r="O573" t="n">
        <v>0</v>
      </c>
      <c r="P573" t="n">
        <v>0</v>
      </c>
      <c r="Q573" t="n">
        <v>0</v>
      </c>
      <c r="R573" s="2" t="inlineStr"/>
    </row>
    <row r="574" ht="15" customHeight="1">
      <c r="A574" t="inlineStr">
        <is>
          <t>A 12155-2023</t>
        </is>
      </c>
      <c r="B574" s="1" t="n">
        <v>44998</v>
      </c>
      <c r="C574" s="1" t="n">
        <v>45570</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12596-2023</t>
        </is>
      </c>
      <c r="B575" s="1" t="n">
        <v>45000</v>
      </c>
      <c r="C575" s="1" t="n">
        <v>45570</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13627-2023</t>
        </is>
      </c>
      <c r="B576" s="1" t="n">
        <v>45006</v>
      </c>
      <c r="C576" s="1" t="n">
        <v>45570</v>
      </c>
      <c r="D576" t="inlineStr">
        <is>
          <t>GOTLANDS LÄN</t>
        </is>
      </c>
      <c r="E576" t="inlineStr">
        <is>
          <t>GOTLAND</t>
        </is>
      </c>
      <c r="G576" t="n">
        <v>10.7</v>
      </c>
      <c r="H576" t="n">
        <v>0</v>
      </c>
      <c r="I576" t="n">
        <v>0</v>
      </c>
      <c r="J576" t="n">
        <v>0</v>
      </c>
      <c r="K576" t="n">
        <v>0</v>
      </c>
      <c r="L576" t="n">
        <v>0</v>
      </c>
      <c r="M576" t="n">
        <v>0</v>
      </c>
      <c r="N576" t="n">
        <v>0</v>
      </c>
      <c r="O576" t="n">
        <v>0</v>
      </c>
      <c r="P576" t="n">
        <v>0</v>
      </c>
      <c r="Q576" t="n">
        <v>0</v>
      </c>
      <c r="R576" s="2" t="inlineStr"/>
    </row>
    <row r="577" ht="15" customHeight="1">
      <c r="A577" t="inlineStr">
        <is>
          <t>A 13910-2023</t>
        </is>
      </c>
      <c r="B577" s="1" t="n">
        <v>45008</v>
      </c>
      <c r="C577" s="1" t="n">
        <v>45570</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14635-2023</t>
        </is>
      </c>
      <c r="B578" s="1" t="n">
        <v>45013</v>
      </c>
      <c r="C578" s="1" t="n">
        <v>45570</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14704-2023</t>
        </is>
      </c>
      <c r="B579" s="1" t="n">
        <v>45014</v>
      </c>
      <c r="C579" s="1" t="n">
        <v>45570</v>
      </c>
      <c r="D579" t="inlineStr">
        <is>
          <t>GOTLANDS LÄN</t>
        </is>
      </c>
      <c r="E579" t="inlineStr">
        <is>
          <t>GOTLAND</t>
        </is>
      </c>
      <c r="G579" t="n">
        <v>4.4</v>
      </c>
      <c r="H579" t="n">
        <v>0</v>
      </c>
      <c r="I579" t="n">
        <v>0</v>
      </c>
      <c r="J579" t="n">
        <v>0</v>
      </c>
      <c r="K579" t="n">
        <v>0</v>
      </c>
      <c r="L579" t="n">
        <v>0</v>
      </c>
      <c r="M579" t="n">
        <v>0</v>
      </c>
      <c r="N579" t="n">
        <v>0</v>
      </c>
      <c r="O579" t="n">
        <v>0</v>
      </c>
      <c r="P579" t="n">
        <v>0</v>
      </c>
      <c r="Q579" t="n">
        <v>0</v>
      </c>
      <c r="R579" s="2" t="inlineStr"/>
    </row>
    <row r="580" ht="15" customHeight="1">
      <c r="A580" t="inlineStr">
        <is>
          <t>A 15182-2023</t>
        </is>
      </c>
      <c r="B580" s="1" t="n">
        <v>45016</v>
      </c>
      <c r="C580" s="1" t="n">
        <v>45570</v>
      </c>
      <c r="D580" t="inlineStr">
        <is>
          <t>GOTLANDS LÄN</t>
        </is>
      </c>
      <c r="E580" t="inlineStr">
        <is>
          <t>GOTLAND</t>
        </is>
      </c>
      <c r="G580" t="n">
        <v>3.9</v>
      </c>
      <c r="H580" t="n">
        <v>0</v>
      </c>
      <c r="I580" t="n">
        <v>0</v>
      </c>
      <c r="J580" t="n">
        <v>0</v>
      </c>
      <c r="K580" t="n">
        <v>0</v>
      </c>
      <c r="L580" t="n">
        <v>0</v>
      </c>
      <c r="M580" t="n">
        <v>0</v>
      </c>
      <c r="N580" t="n">
        <v>0</v>
      </c>
      <c r="O580" t="n">
        <v>0</v>
      </c>
      <c r="P580" t="n">
        <v>0</v>
      </c>
      <c r="Q580" t="n">
        <v>0</v>
      </c>
      <c r="R580" s="2" t="inlineStr"/>
    </row>
    <row r="581" ht="15" customHeight="1">
      <c r="A581" t="inlineStr">
        <is>
          <t>A 15216-2023</t>
        </is>
      </c>
      <c r="B581" s="1" t="n">
        <v>45019</v>
      </c>
      <c r="C581" s="1" t="n">
        <v>45570</v>
      </c>
      <c r="D581" t="inlineStr">
        <is>
          <t>GOTLANDS LÄN</t>
        </is>
      </c>
      <c r="E581" t="inlineStr">
        <is>
          <t>GOTLAND</t>
        </is>
      </c>
      <c r="G581" t="n">
        <v>5</v>
      </c>
      <c r="H581" t="n">
        <v>0</v>
      </c>
      <c r="I581" t="n">
        <v>0</v>
      </c>
      <c r="J581" t="n">
        <v>0</v>
      </c>
      <c r="K581" t="n">
        <v>0</v>
      </c>
      <c r="L581" t="n">
        <v>0</v>
      </c>
      <c r="M581" t="n">
        <v>0</v>
      </c>
      <c r="N581" t="n">
        <v>0</v>
      </c>
      <c r="O581" t="n">
        <v>0</v>
      </c>
      <c r="P581" t="n">
        <v>0</v>
      </c>
      <c r="Q581" t="n">
        <v>0</v>
      </c>
      <c r="R581" s="2" t="inlineStr"/>
    </row>
    <row r="582" ht="15" customHeight="1">
      <c r="A582" t="inlineStr">
        <is>
          <t>A 15617-2023</t>
        </is>
      </c>
      <c r="B582" s="1" t="n">
        <v>45020</v>
      </c>
      <c r="C582" s="1" t="n">
        <v>45570</v>
      </c>
      <c r="D582" t="inlineStr">
        <is>
          <t>GOTLANDS LÄN</t>
        </is>
      </c>
      <c r="E582" t="inlineStr">
        <is>
          <t>GOTLAND</t>
        </is>
      </c>
      <c r="G582" t="n">
        <v>6.1</v>
      </c>
      <c r="H582" t="n">
        <v>0</v>
      </c>
      <c r="I582" t="n">
        <v>0</v>
      </c>
      <c r="J582" t="n">
        <v>0</v>
      </c>
      <c r="K582" t="n">
        <v>0</v>
      </c>
      <c r="L582" t="n">
        <v>0</v>
      </c>
      <c r="M582" t="n">
        <v>0</v>
      </c>
      <c r="N582" t="n">
        <v>0</v>
      </c>
      <c r="O582" t="n">
        <v>0</v>
      </c>
      <c r="P582" t="n">
        <v>0</v>
      </c>
      <c r="Q582" t="n">
        <v>0</v>
      </c>
      <c r="R582" s="2" t="inlineStr"/>
    </row>
    <row r="583" ht="15" customHeight="1">
      <c r="A583" t="inlineStr">
        <is>
          <t>A 16501-2023</t>
        </is>
      </c>
      <c r="B583" s="1" t="n">
        <v>45029</v>
      </c>
      <c r="C583" s="1" t="n">
        <v>45570</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17080-2023</t>
        </is>
      </c>
      <c r="B584" s="1" t="n">
        <v>45033</v>
      </c>
      <c r="C584" s="1" t="n">
        <v>45570</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17901-2023</t>
        </is>
      </c>
      <c r="B585" s="1" t="n">
        <v>45039</v>
      </c>
      <c r="C585" s="1" t="n">
        <v>45570</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18889-2023</t>
        </is>
      </c>
      <c r="B586" s="1" t="n">
        <v>45044</v>
      </c>
      <c r="C586" s="1" t="n">
        <v>45570</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20993-2023</t>
        </is>
      </c>
      <c r="B587" s="1" t="n">
        <v>45056</v>
      </c>
      <c r="C587" s="1" t="n">
        <v>45570</v>
      </c>
      <c r="D587" t="inlineStr">
        <is>
          <t>GOTLANDS LÄN</t>
        </is>
      </c>
      <c r="E587" t="inlineStr">
        <is>
          <t>GOTLAND</t>
        </is>
      </c>
      <c r="G587" t="n">
        <v>7.1</v>
      </c>
      <c r="H587" t="n">
        <v>0</v>
      </c>
      <c r="I587" t="n">
        <v>0</v>
      </c>
      <c r="J587" t="n">
        <v>0</v>
      </c>
      <c r="K587" t="n">
        <v>0</v>
      </c>
      <c r="L587" t="n">
        <v>0</v>
      </c>
      <c r="M587" t="n">
        <v>0</v>
      </c>
      <c r="N587" t="n">
        <v>0</v>
      </c>
      <c r="O587" t="n">
        <v>0</v>
      </c>
      <c r="P587" t="n">
        <v>0</v>
      </c>
      <c r="Q587" t="n">
        <v>0</v>
      </c>
      <c r="R587" s="2" t="inlineStr"/>
    </row>
    <row r="588" ht="15" customHeight="1">
      <c r="A588" t="inlineStr">
        <is>
          <t>A 20855-2023</t>
        </is>
      </c>
      <c r="B588" s="1" t="n">
        <v>45058</v>
      </c>
      <c r="C588" s="1" t="n">
        <v>45570</v>
      </c>
      <c r="D588" t="inlineStr">
        <is>
          <t>GOTLANDS LÄN</t>
        </is>
      </c>
      <c r="E588" t="inlineStr">
        <is>
          <t>GOTLAND</t>
        </is>
      </c>
      <c r="G588" t="n">
        <v>1.7</v>
      </c>
      <c r="H588" t="n">
        <v>0</v>
      </c>
      <c r="I588" t="n">
        <v>0</v>
      </c>
      <c r="J588" t="n">
        <v>0</v>
      </c>
      <c r="K588" t="n">
        <v>0</v>
      </c>
      <c r="L588" t="n">
        <v>0</v>
      </c>
      <c r="M588" t="n">
        <v>0</v>
      </c>
      <c r="N588" t="n">
        <v>0</v>
      </c>
      <c r="O588" t="n">
        <v>0</v>
      </c>
      <c r="P588" t="n">
        <v>0</v>
      </c>
      <c r="Q588" t="n">
        <v>0</v>
      </c>
      <c r="R588" s="2" t="inlineStr"/>
    </row>
    <row r="589" ht="15" customHeight="1">
      <c r="A589" t="inlineStr">
        <is>
          <t>A 20856-2023</t>
        </is>
      </c>
      <c r="B589" s="1" t="n">
        <v>45058</v>
      </c>
      <c r="C589" s="1" t="n">
        <v>45570</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20857-2023</t>
        </is>
      </c>
      <c r="B590" s="1" t="n">
        <v>45058</v>
      </c>
      <c r="C590" s="1" t="n">
        <v>45570</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20854-2023</t>
        </is>
      </c>
      <c r="B591" s="1" t="n">
        <v>45058</v>
      </c>
      <c r="C591" s="1" t="n">
        <v>45570</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22275-2023</t>
        </is>
      </c>
      <c r="B592" s="1" t="n">
        <v>45070</v>
      </c>
      <c r="C592" s="1" t="n">
        <v>45570</v>
      </c>
      <c r="D592" t="inlineStr">
        <is>
          <t>GOTLANDS LÄN</t>
        </is>
      </c>
      <c r="E592" t="inlineStr">
        <is>
          <t>GOTLAND</t>
        </is>
      </c>
      <c r="G592" t="n">
        <v>7.2</v>
      </c>
      <c r="H592" t="n">
        <v>0</v>
      </c>
      <c r="I592" t="n">
        <v>0</v>
      </c>
      <c r="J592" t="n">
        <v>0</v>
      </c>
      <c r="K592" t="n">
        <v>0</v>
      </c>
      <c r="L592" t="n">
        <v>0</v>
      </c>
      <c r="M592" t="n">
        <v>0</v>
      </c>
      <c r="N592" t="n">
        <v>0</v>
      </c>
      <c r="O592" t="n">
        <v>0</v>
      </c>
      <c r="P592" t="n">
        <v>0</v>
      </c>
      <c r="Q592" t="n">
        <v>0</v>
      </c>
      <c r="R592" s="2" t="inlineStr"/>
    </row>
    <row r="593" ht="15" customHeight="1">
      <c r="A593" t="inlineStr">
        <is>
          <t>A 22412-2023</t>
        </is>
      </c>
      <c r="B593" s="1" t="n">
        <v>45070</v>
      </c>
      <c r="C593" s="1" t="n">
        <v>45570</v>
      </c>
      <c r="D593" t="inlineStr">
        <is>
          <t>GOTLANDS LÄN</t>
        </is>
      </c>
      <c r="E593" t="inlineStr">
        <is>
          <t>GOTLAND</t>
        </is>
      </c>
      <c r="G593" t="n">
        <v>7.3</v>
      </c>
      <c r="H593" t="n">
        <v>0</v>
      </c>
      <c r="I593" t="n">
        <v>0</v>
      </c>
      <c r="J593" t="n">
        <v>0</v>
      </c>
      <c r="K593" t="n">
        <v>0</v>
      </c>
      <c r="L593" t="n">
        <v>0</v>
      </c>
      <c r="M593" t="n">
        <v>0</v>
      </c>
      <c r="N593" t="n">
        <v>0</v>
      </c>
      <c r="O593" t="n">
        <v>0</v>
      </c>
      <c r="P593" t="n">
        <v>0</v>
      </c>
      <c r="Q593" t="n">
        <v>0</v>
      </c>
      <c r="R593" s="2" t="inlineStr"/>
    </row>
    <row r="594" ht="15" customHeight="1">
      <c r="A594" t="inlineStr">
        <is>
          <t>A 22709-2023</t>
        </is>
      </c>
      <c r="B594" s="1" t="n">
        <v>45071</v>
      </c>
      <c r="C594" s="1" t="n">
        <v>45570</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22704-2023</t>
        </is>
      </c>
      <c r="B595" s="1" t="n">
        <v>45071</v>
      </c>
      <c r="C595" s="1" t="n">
        <v>45570</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22708-2023</t>
        </is>
      </c>
      <c r="B596" s="1" t="n">
        <v>45071</v>
      </c>
      <c r="C596" s="1" t="n">
        <v>45570</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22707-2023</t>
        </is>
      </c>
      <c r="B597" s="1" t="n">
        <v>45071</v>
      </c>
      <c r="C597" s="1" t="n">
        <v>45570</v>
      </c>
      <c r="D597" t="inlineStr">
        <is>
          <t>GOTLANDS LÄN</t>
        </is>
      </c>
      <c r="E597" t="inlineStr">
        <is>
          <t>GOTLAND</t>
        </is>
      </c>
      <c r="G597" t="n">
        <v>2.2</v>
      </c>
      <c r="H597" t="n">
        <v>0</v>
      </c>
      <c r="I597" t="n">
        <v>0</v>
      </c>
      <c r="J597" t="n">
        <v>0</v>
      </c>
      <c r="K597" t="n">
        <v>0</v>
      </c>
      <c r="L597" t="n">
        <v>0</v>
      </c>
      <c r="M597" t="n">
        <v>0</v>
      </c>
      <c r="N597" t="n">
        <v>0</v>
      </c>
      <c r="O597" t="n">
        <v>0</v>
      </c>
      <c r="P597" t="n">
        <v>0</v>
      </c>
      <c r="Q597" t="n">
        <v>0</v>
      </c>
      <c r="R597" s="2" t="inlineStr"/>
    </row>
    <row r="598" ht="15" customHeight="1">
      <c r="A598" t="inlineStr">
        <is>
          <t>A 22723-2023</t>
        </is>
      </c>
      <c r="B598" s="1" t="n">
        <v>45071</v>
      </c>
      <c r="C598" s="1" t="n">
        <v>45570</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22706-2023</t>
        </is>
      </c>
      <c r="B599" s="1" t="n">
        <v>45071</v>
      </c>
      <c r="C599" s="1" t="n">
        <v>45570</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22890-2023</t>
        </is>
      </c>
      <c r="B600" s="1" t="n">
        <v>45072</v>
      </c>
      <c r="C600" s="1" t="n">
        <v>45570</v>
      </c>
      <c r="D600" t="inlineStr">
        <is>
          <t>GOTLANDS LÄN</t>
        </is>
      </c>
      <c r="E600" t="inlineStr">
        <is>
          <t>GOTLAND</t>
        </is>
      </c>
      <c r="G600" t="n">
        <v>7.5</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45570</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22903-2023</t>
        </is>
      </c>
      <c r="B602" s="1" t="n">
        <v>45072</v>
      </c>
      <c r="C602" s="1" t="n">
        <v>45570</v>
      </c>
      <c r="D602" t="inlineStr">
        <is>
          <t>GOTLANDS LÄN</t>
        </is>
      </c>
      <c r="E602" t="inlineStr">
        <is>
          <t>GOTLAND</t>
        </is>
      </c>
      <c r="G602" t="n">
        <v>0.6</v>
      </c>
      <c r="H602" t="n">
        <v>0</v>
      </c>
      <c r="I602" t="n">
        <v>0</v>
      </c>
      <c r="J602" t="n">
        <v>0</v>
      </c>
      <c r="K602" t="n">
        <v>0</v>
      </c>
      <c r="L602" t="n">
        <v>0</v>
      </c>
      <c r="M602" t="n">
        <v>0</v>
      </c>
      <c r="N602" t="n">
        <v>0</v>
      </c>
      <c r="O602" t="n">
        <v>0</v>
      </c>
      <c r="P602" t="n">
        <v>0</v>
      </c>
      <c r="Q602" t="n">
        <v>0</v>
      </c>
      <c r="R602" s="2" t="inlineStr"/>
    </row>
    <row r="603" ht="15" customHeight="1">
      <c r="A603" t="inlineStr">
        <is>
          <t>A 22897-2023</t>
        </is>
      </c>
      <c r="B603" s="1" t="n">
        <v>45072</v>
      </c>
      <c r="C603" s="1" t="n">
        <v>45570</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23511-2023</t>
        </is>
      </c>
      <c r="B604" s="1" t="n">
        <v>45077</v>
      </c>
      <c r="C604" s="1" t="n">
        <v>45570</v>
      </c>
      <c r="D604" t="inlineStr">
        <is>
          <t>GOTLANDS LÄN</t>
        </is>
      </c>
      <c r="E604" t="inlineStr">
        <is>
          <t>GOTLAND</t>
        </is>
      </c>
      <c r="G604" t="n">
        <v>11.2</v>
      </c>
      <c r="H604" t="n">
        <v>0</v>
      </c>
      <c r="I604" t="n">
        <v>0</v>
      </c>
      <c r="J604" t="n">
        <v>0</v>
      </c>
      <c r="K604" t="n">
        <v>0</v>
      </c>
      <c r="L604" t="n">
        <v>0</v>
      </c>
      <c r="M604" t="n">
        <v>0</v>
      </c>
      <c r="N604" t="n">
        <v>0</v>
      </c>
      <c r="O604" t="n">
        <v>0</v>
      </c>
      <c r="P604" t="n">
        <v>0</v>
      </c>
      <c r="Q604" t="n">
        <v>0</v>
      </c>
      <c r="R604" s="2" t="inlineStr"/>
    </row>
    <row r="605" ht="15" customHeight="1">
      <c r="A605" t="inlineStr">
        <is>
          <t>A 23516-2023</t>
        </is>
      </c>
      <c r="B605" s="1" t="n">
        <v>45077</v>
      </c>
      <c r="C605" s="1" t="n">
        <v>45570</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23858-2023</t>
        </is>
      </c>
      <c r="B606" s="1" t="n">
        <v>45078</v>
      </c>
      <c r="C606" s="1" t="n">
        <v>45570</v>
      </c>
      <c r="D606" t="inlineStr">
        <is>
          <t>GOTLANDS LÄN</t>
        </is>
      </c>
      <c r="E606" t="inlineStr">
        <is>
          <t>GOTLAND</t>
        </is>
      </c>
      <c r="F606" t="inlineStr">
        <is>
          <t>Naturvårdsverket</t>
        </is>
      </c>
      <c r="G606" t="n">
        <v>4.2</v>
      </c>
      <c r="H606" t="n">
        <v>0</v>
      </c>
      <c r="I606" t="n">
        <v>0</v>
      </c>
      <c r="J606" t="n">
        <v>0</v>
      </c>
      <c r="K606" t="n">
        <v>0</v>
      </c>
      <c r="L606" t="n">
        <v>0</v>
      </c>
      <c r="M606" t="n">
        <v>0</v>
      </c>
      <c r="N606" t="n">
        <v>0</v>
      </c>
      <c r="O606" t="n">
        <v>0</v>
      </c>
      <c r="P606" t="n">
        <v>0</v>
      </c>
      <c r="Q606" t="n">
        <v>0</v>
      </c>
      <c r="R606" s="2" t="inlineStr"/>
    </row>
    <row r="607" ht="15" customHeight="1">
      <c r="A607" t="inlineStr">
        <is>
          <t>A 23966-2023</t>
        </is>
      </c>
      <c r="B607" s="1" t="n">
        <v>45078</v>
      </c>
      <c r="C607" s="1" t="n">
        <v>45570</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23978-2023</t>
        </is>
      </c>
      <c r="B608" s="1" t="n">
        <v>45078</v>
      </c>
      <c r="C608" s="1" t="n">
        <v>45570</v>
      </c>
      <c r="D608" t="inlineStr">
        <is>
          <t>GOTLANDS LÄN</t>
        </is>
      </c>
      <c r="E608" t="inlineStr">
        <is>
          <t>GOTLAND</t>
        </is>
      </c>
      <c r="F608" t="inlineStr">
        <is>
          <t>Naturvårdsverket</t>
        </is>
      </c>
      <c r="G608" t="n">
        <v>1.7</v>
      </c>
      <c r="H608" t="n">
        <v>0</v>
      </c>
      <c r="I608" t="n">
        <v>0</v>
      </c>
      <c r="J608" t="n">
        <v>0</v>
      </c>
      <c r="K608" t="n">
        <v>0</v>
      </c>
      <c r="L608" t="n">
        <v>0</v>
      </c>
      <c r="M608" t="n">
        <v>0</v>
      </c>
      <c r="N608" t="n">
        <v>0</v>
      </c>
      <c r="O608" t="n">
        <v>0</v>
      </c>
      <c r="P608" t="n">
        <v>0</v>
      </c>
      <c r="Q608" t="n">
        <v>0</v>
      </c>
      <c r="R608" s="2" t="inlineStr"/>
    </row>
    <row r="609" ht="15" customHeight="1">
      <c r="A609" t="inlineStr">
        <is>
          <t>A 24192-2023</t>
        </is>
      </c>
      <c r="B609" s="1" t="n">
        <v>45079</v>
      </c>
      <c r="C609" s="1" t="n">
        <v>45570</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24719-2023</t>
        </is>
      </c>
      <c r="B610" s="1" t="n">
        <v>45084</v>
      </c>
      <c r="C610" s="1" t="n">
        <v>45570</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24966-2023</t>
        </is>
      </c>
      <c r="B611" s="1" t="n">
        <v>45085</v>
      </c>
      <c r="C611" s="1" t="n">
        <v>45570</v>
      </c>
      <c r="D611" t="inlineStr">
        <is>
          <t>GOTLANDS LÄN</t>
        </is>
      </c>
      <c r="E611" t="inlineStr">
        <is>
          <t>GOTLAND</t>
        </is>
      </c>
      <c r="G611" t="n">
        <v>7</v>
      </c>
      <c r="H611" t="n">
        <v>0</v>
      </c>
      <c r="I611" t="n">
        <v>0</v>
      </c>
      <c r="J611" t="n">
        <v>0</v>
      </c>
      <c r="K611" t="n">
        <v>0</v>
      </c>
      <c r="L611" t="n">
        <v>0</v>
      </c>
      <c r="M611" t="n">
        <v>0</v>
      </c>
      <c r="N611" t="n">
        <v>0</v>
      </c>
      <c r="O611" t="n">
        <v>0</v>
      </c>
      <c r="P611" t="n">
        <v>0</v>
      </c>
      <c r="Q611" t="n">
        <v>0</v>
      </c>
      <c r="R611" s="2" t="inlineStr"/>
    </row>
    <row r="612" ht="15" customHeight="1">
      <c r="A612" t="inlineStr">
        <is>
          <t>A 25129-2023</t>
        </is>
      </c>
      <c r="B612" s="1" t="n">
        <v>45086</v>
      </c>
      <c r="C612" s="1" t="n">
        <v>45570</v>
      </c>
      <c r="D612" t="inlineStr">
        <is>
          <t>GOTLANDS LÄN</t>
        </is>
      </c>
      <c r="E612" t="inlineStr">
        <is>
          <t>GOTLAND</t>
        </is>
      </c>
      <c r="G612" t="n">
        <v>1.5</v>
      </c>
      <c r="H612" t="n">
        <v>0</v>
      </c>
      <c r="I612" t="n">
        <v>0</v>
      </c>
      <c r="J612" t="n">
        <v>0</v>
      </c>
      <c r="K612" t="n">
        <v>0</v>
      </c>
      <c r="L612" t="n">
        <v>0</v>
      </c>
      <c r="M612" t="n">
        <v>0</v>
      </c>
      <c r="N612" t="n">
        <v>0</v>
      </c>
      <c r="O612" t="n">
        <v>0</v>
      </c>
      <c r="P612" t="n">
        <v>0</v>
      </c>
      <c r="Q612" t="n">
        <v>0</v>
      </c>
      <c r="R612" s="2" t="inlineStr"/>
    </row>
    <row r="613" ht="15" customHeight="1">
      <c r="A613" t="inlineStr">
        <is>
          <t>A 27593-2023</t>
        </is>
      </c>
      <c r="B613" s="1" t="n">
        <v>45097</v>
      </c>
      <c r="C613" s="1" t="n">
        <v>45570</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27597-2023</t>
        </is>
      </c>
      <c r="B614" s="1" t="n">
        <v>45097</v>
      </c>
      <c r="C614" s="1" t="n">
        <v>45570</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27602-2023</t>
        </is>
      </c>
      <c r="B615" s="1" t="n">
        <v>45097</v>
      </c>
      <c r="C615" s="1" t="n">
        <v>45570</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27596-2023</t>
        </is>
      </c>
      <c r="B616" s="1" t="n">
        <v>45097</v>
      </c>
      <c r="C616" s="1" t="n">
        <v>45570</v>
      </c>
      <c r="D616" t="inlineStr">
        <is>
          <t>GOTLANDS LÄN</t>
        </is>
      </c>
      <c r="E616" t="inlineStr">
        <is>
          <t>GOTLAND</t>
        </is>
      </c>
      <c r="G616" t="n">
        <v>3.6</v>
      </c>
      <c r="H616" t="n">
        <v>0</v>
      </c>
      <c r="I616" t="n">
        <v>0</v>
      </c>
      <c r="J616" t="n">
        <v>0</v>
      </c>
      <c r="K616" t="n">
        <v>0</v>
      </c>
      <c r="L616" t="n">
        <v>0</v>
      </c>
      <c r="M616" t="n">
        <v>0</v>
      </c>
      <c r="N616" t="n">
        <v>0</v>
      </c>
      <c r="O616" t="n">
        <v>0</v>
      </c>
      <c r="P616" t="n">
        <v>0</v>
      </c>
      <c r="Q616" t="n">
        <v>0</v>
      </c>
      <c r="R616" s="2" t="inlineStr"/>
    </row>
    <row r="617" ht="15" customHeight="1">
      <c r="A617" t="inlineStr">
        <is>
          <t>A 28228-2023</t>
        </is>
      </c>
      <c r="B617" s="1" t="n">
        <v>45099</v>
      </c>
      <c r="C617" s="1" t="n">
        <v>45570</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28425-2023</t>
        </is>
      </c>
      <c r="B618" s="1" t="n">
        <v>45102</v>
      </c>
      <c r="C618" s="1" t="n">
        <v>45570</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28486-2023</t>
        </is>
      </c>
      <c r="B619" s="1" t="n">
        <v>45103</v>
      </c>
      <c r="C619" s="1" t="n">
        <v>45570</v>
      </c>
      <c r="D619" t="inlineStr">
        <is>
          <t>GOTLANDS LÄN</t>
        </is>
      </c>
      <c r="E619" t="inlineStr">
        <is>
          <t>GOTLAND</t>
        </is>
      </c>
      <c r="G619" t="n">
        <v>7.7</v>
      </c>
      <c r="H619" t="n">
        <v>0</v>
      </c>
      <c r="I619" t="n">
        <v>0</v>
      </c>
      <c r="J619" t="n">
        <v>0</v>
      </c>
      <c r="K619" t="n">
        <v>0</v>
      </c>
      <c r="L619" t="n">
        <v>0</v>
      </c>
      <c r="M619" t="n">
        <v>0</v>
      </c>
      <c r="N619" t="n">
        <v>0</v>
      </c>
      <c r="O619" t="n">
        <v>0</v>
      </c>
      <c r="P619" t="n">
        <v>0</v>
      </c>
      <c r="Q619" t="n">
        <v>0</v>
      </c>
      <c r="R619" s="2" t="inlineStr"/>
    </row>
    <row r="620" ht="15" customHeight="1">
      <c r="A620" t="inlineStr">
        <is>
          <t>A 28485-2023</t>
        </is>
      </c>
      <c r="B620" s="1" t="n">
        <v>45103</v>
      </c>
      <c r="C620" s="1" t="n">
        <v>45570</v>
      </c>
      <c r="D620" t="inlineStr">
        <is>
          <t>GOTLANDS LÄN</t>
        </is>
      </c>
      <c r="E620" t="inlineStr">
        <is>
          <t>GOTLAND</t>
        </is>
      </c>
      <c r="G620" t="n">
        <v>2.3</v>
      </c>
      <c r="H620" t="n">
        <v>0</v>
      </c>
      <c r="I620" t="n">
        <v>0</v>
      </c>
      <c r="J620" t="n">
        <v>0</v>
      </c>
      <c r="K620" t="n">
        <v>0</v>
      </c>
      <c r="L620" t="n">
        <v>0</v>
      </c>
      <c r="M620" t="n">
        <v>0</v>
      </c>
      <c r="N620" t="n">
        <v>0</v>
      </c>
      <c r="O620" t="n">
        <v>0</v>
      </c>
      <c r="P620" t="n">
        <v>0</v>
      </c>
      <c r="Q620" t="n">
        <v>0</v>
      </c>
      <c r="R620" s="2" t="inlineStr"/>
    </row>
    <row r="621" ht="15" customHeight="1">
      <c r="A621" t="inlineStr">
        <is>
          <t>A 28480-2023</t>
        </is>
      </c>
      <c r="B621" s="1" t="n">
        <v>45103</v>
      </c>
      <c r="C621" s="1" t="n">
        <v>45570</v>
      </c>
      <c r="D621" t="inlineStr">
        <is>
          <t>GOTLANDS LÄN</t>
        </is>
      </c>
      <c r="E621" t="inlineStr">
        <is>
          <t>GOTLAND</t>
        </is>
      </c>
      <c r="G621" t="n">
        <v>5.7</v>
      </c>
      <c r="H621" t="n">
        <v>0</v>
      </c>
      <c r="I621" t="n">
        <v>0</v>
      </c>
      <c r="J621" t="n">
        <v>0</v>
      </c>
      <c r="K621" t="n">
        <v>0</v>
      </c>
      <c r="L621" t="n">
        <v>0</v>
      </c>
      <c r="M621" t="n">
        <v>0</v>
      </c>
      <c r="N621" t="n">
        <v>0</v>
      </c>
      <c r="O621" t="n">
        <v>0</v>
      </c>
      <c r="P621" t="n">
        <v>0</v>
      </c>
      <c r="Q621" t="n">
        <v>0</v>
      </c>
      <c r="R621" s="2" t="inlineStr"/>
    </row>
    <row r="622" ht="15" customHeight="1">
      <c r="A622" t="inlineStr">
        <is>
          <t>A 28506-2023</t>
        </is>
      </c>
      <c r="B622" s="1" t="n">
        <v>45103</v>
      </c>
      <c r="C622" s="1" t="n">
        <v>45570</v>
      </c>
      <c r="D622" t="inlineStr">
        <is>
          <t>GOTLANDS LÄN</t>
        </is>
      </c>
      <c r="E622" t="inlineStr">
        <is>
          <t>GOTLAND</t>
        </is>
      </c>
      <c r="G622" t="n">
        <v>3.2</v>
      </c>
      <c r="H622" t="n">
        <v>0</v>
      </c>
      <c r="I622" t="n">
        <v>0</v>
      </c>
      <c r="J622" t="n">
        <v>0</v>
      </c>
      <c r="K622" t="n">
        <v>0</v>
      </c>
      <c r="L622" t="n">
        <v>0</v>
      </c>
      <c r="M622" t="n">
        <v>0</v>
      </c>
      <c r="N622" t="n">
        <v>0</v>
      </c>
      <c r="O622" t="n">
        <v>0</v>
      </c>
      <c r="P622" t="n">
        <v>0</v>
      </c>
      <c r="Q622" t="n">
        <v>0</v>
      </c>
      <c r="R622" s="2" t="inlineStr"/>
    </row>
    <row r="623" ht="15" customHeight="1">
      <c r="A623" t="inlineStr">
        <is>
          <t>A 28560-2023</t>
        </is>
      </c>
      <c r="B623" s="1" t="n">
        <v>45103</v>
      </c>
      <c r="C623" s="1" t="n">
        <v>45570</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29126-2023</t>
        </is>
      </c>
      <c r="B624" s="1" t="n">
        <v>45105</v>
      </c>
      <c r="C624" s="1" t="n">
        <v>45570</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29499-2023</t>
        </is>
      </c>
      <c r="B625" s="1" t="n">
        <v>45106</v>
      </c>
      <c r="C625" s="1" t="n">
        <v>45570</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30164-2023</t>
        </is>
      </c>
      <c r="B626" s="1" t="n">
        <v>45110</v>
      </c>
      <c r="C626" s="1" t="n">
        <v>45570</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30815-2023</t>
        </is>
      </c>
      <c r="B627" s="1" t="n">
        <v>45112</v>
      </c>
      <c r="C627" s="1" t="n">
        <v>45570</v>
      </c>
      <c r="D627" t="inlineStr">
        <is>
          <t>GOTLANDS LÄN</t>
        </is>
      </c>
      <c r="E627" t="inlineStr">
        <is>
          <t>GOTLAND</t>
        </is>
      </c>
      <c r="G627" t="n">
        <v>6</v>
      </c>
      <c r="H627" t="n">
        <v>0</v>
      </c>
      <c r="I627" t="n">
        <v>0</v>
      </c>
      <c r="J627" t="n">
        <v>0</v>
      </c>
      <c r="K627" t="n">
        <v>0</v>
      </c>
      <c r="L627" t="n">
        <v>0</v>
      </c>
      <c r="M627" t="n">
        <v>0</v>
      </c>
      <c r="N627" t="n">
        <v>0</v>
      </c>
      <c r="O627" t="n">
        <v>0</v>
      </c>
      <c r="P627" t="n">
        <v>0</v>
      </c>
      <c r="Q627" t="n">
        <v>0</v>
      </c>
      <c r="R627" s="2" t="inlineStr"/>
    </row>
    <row r="628" ht="15" customHeight="1">
      <c r="A628" t="inlineStr">
        <is>
          <t>A 32737-2023</t>
        </is>
      </c>
      <c r="B628" s="1" t="n">
        <v>45122</v>
      </c>
      <c r="C628" s="1" t="n">
        <v>45570</v>
      </c>
      <c r="D628" t="inlineStr">
        <is>
          <t>GOTLANDS LÄN</t>
        </is>
      </c>
      <c r="E628" t="inlineStr">
        <is>
          <t>GOTLAND</t>
        </is>
      </c>
      <c r="F628" t="inlineStr">
        <is>
          <t>Kyrkan</t>
        </is>
      </c>
      <c r="G628" t="n">
        <v>15.4</v>
      </c>
      <c r="H628" t="n">
        <v>0</v>
      </c>
      <c r="I628" t="n">
        <v>0</v>
      </c>
      <c r="J628" t="n">
        <v>0</v>
      </c>
      <c r="K628" t="n">
        <v>0</v>
      </c>
      <c r="L628" t="n">
        <v>0</v>
      </c>
      <c r="M628" t="n">
        <v>0</v>
      </c>
      <c r="N628" t="n">
        <v>0</v>
      </c>
      <c r="O628" t="n">
        <v>0</v>
      </c>
      <c r="P628" t="n">
        <v>0</v>
      </c>
      <c r="Q628" t="n">
        <v>0</v>
      </c>
      <c r="R628" s="2" t="inlineStr"/>
    </row>
    <row r="629" ht="15" customHeight="1">
      <c r="A629" t="inlineStr">
        <is>
          <t>A 32783-2023</t>
        </is>
      </c>
      <c r="B629" s="1" t="n">
        <v>45124</v>
      </c>
      <c r="C629" s="1" t="n">
        <v>45570</v>
      </c>
      <c r="D629" t="inlineStr">
        <is>
          <t>GOTLANDS LÄN</t>
        </is>
      </c>
      <c r="E629" t="inlineStr">
        <is>
          <t>GOTLAND</t>
        </is>
      </c>
      <c r="G629" t="n">
        <v>17.8</v>
      </c>
      <c r="H629" t="n">
        <v>0</v>
      </c>
      <c r="I629" t="n">
        <v>0</v>
      </c>
      <c r="J629" t="n">
        <v>0</v>
      </c>
      <c r="K629" t="n">
        <v>0</v>
      </c>
      <c r="L629" t="n">
        <v>0</v>
      </c>
      <c r="M629" t="n">
        <v>0</v>
      </c>
      <c r="N629" t="n">
        <v>0</v>
      </c>
      <c r="O629" t="n">
        <v>0</v>
      </c>
      <c r="P629" t="n">
        <v>0</v>
      </c>
      <c r="Q629" t="n">
        <v>0</v>
      </c>
      <c r="R629" s="2" t="inlineStr"/>
    </row>
    <row r="630" ht="15" customHeight="1">
      <c r="A630" t="inlineStr">
        <is>
          <t>A 34081-2023</t>
        </is>
      </c>
      <c r="B630" s="1" t="n">
        <v>45125</v>
      </c>
      <c r="C630" s="1" t="n">
        <v>45570</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34407-2023</t>
        </is>
      </c>
      <c r="B631" s="1" t="n">
        <v>45132</v>
      </c>
      <c r="C631" s="1" t="n">
        <v>45570</v>
      </c>
      <c r="D631" t="inlineStr">
        <is>
          <t>GOTLANDS LÄN</t>
        </is>
      </c>
      <c r="E631" t="inlineStr">
        <is>
          <t>GOTLAND</t>
        </is>
      </c>
      <c r="G631" t="n">
        <v>4.4</v>
      </c>
      <c r="H631" t="n">
        <v>0</v>
      </c>
      <c r="I631" t="n">
        <v>0</v>
      </c>
      <c r="J631" t="n">
        <v>0</v>
      </c>
      <c r="K631" t="n">
        <v>0</v>
      </c>
      <c r="L631" t="n">
        <v>0</v>
      </c>
      <c r="M631" t="n">
        <v>0</v>
      </c>
      <c r="N631" t="n">
        <v>0</v>
      </c>
      <c r="O631" t="n">
        <v>0</v>
      </c>
      <c r="P631" t="n">
        <v>0</v>
      </c>
      <c r="Q631" t="n">
        <v>0</v>
      </c>
      <c r="R631" s="2" t="inlineStr"/>
    </row>
    <row r="632" ht="15" customHeight="1">
      <c r="A632" t="inlineStr">
        <is>
          <t>A 35478-2023</t>
        </is>
      </c>
      <c r="B632" s="1" t="n">
        <v>45146</v>
      </c>
      <c r="C632" s="1" t="n">
        <v>45570</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35512-2023</t>
        </is>
      </c>
      <c r="B633" s="1" t="n">
        <v>45147</v>
      </c>
      <c r="C633" s="1" t="n">
        <v>45570</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35595-2023</t>
        </is>
      </c>
      <c r="B634" s="1" t="n">
        <v>45147</v>
      </c>
      <c r="C634" s="1" t="n">
        <v>45570</v>
      </c>
      <c r="D634" t="inlineStr">
        <is>
          <t>GOTLANDS LÄN</t>
        </is>
      </c>
      <c r="E634" t="inlineStr">
        <is>
          <t>GOTLAND</t>
        </is>
      </c>
      <c r="G634" t="n">
        <v>4.2</v>
      </c>
      <c r="H634" t="n">
        <v>0</v>
      </c>
      <c r="I634" t="n">
        <v>0</v>
      </c>
      <c r="J634" t="n">
        <v>0</v>
      </c>
      <c r="K634" t="n">
        <v>0</v>
      </c>
      <c r="L634" t="n">
        <v>0</v>
      </c>
      <c r="M634" t="n">
        <v>0</v>
      </c>
      <c r="N634" t="n">
        <v>0</v>
      </c>
      <c r="O634" t="n">
        <v>0</v>
      </c>
      <c r="P634" t="n">
        <v>0</v>
      </c>
      <c r="Q634" t="n">
        <v>0</v>
      </c>
      <c r="R634" s="2" t="inlineStr"/>
    </row>
    <row r="635" ht="15" customHeight="1">
      <c r="A635" t="inlineStr">
        <is>
          <t>A 35592-2023</t>
        </is>
      </c>
      <c r="B635" s="1" t="n">
        <v>45147</v>
      </c>
      <c r="C635" s="1" t="n">
        <v>45570</v>
      </c>
      <c r="D635" t="inlineStr">
        <is>
          <t>GOTLANDS LÄN</t>
        </is>
      </c>
      <c r="E635" t="inlineStr">
        <is>
          <t>GOTLAND</t>
        </is>
      </c>
      <c r="G635" t="n">
        <v>5.1</v>
      </c>
      <c r="H635" t="n">
        <v>0</v>
      </c>
      <c r="I635" t="n">
        <v>0</v>
      </c>
      <c r="J635" t="n">
        <v>0</v>
      </c>
      <c r="K635" t="n">
        <v>0</v>
      </c>
      <c r="L635" t="n">
        <v>0</v>
      </c>
      <c r="M635" t="n">
        <v>0</v>
      </c>
      <c r="N635" t="n">
        <v>0</v>
      </c>
      <c r="O635" t="n">
        <v>0</v>
      </c>
      <c r="P635" t="n">
        <v>0</v>
      </c>
      <c r="Q635" t="n">
        <v>0</v>
      </c>
      <c r="R635" s="2" t="inlineStr"/>
    </row>
    <row r="636" ht="15" customHeight="1">
      <c r="A636" t="inlineStr">
        <is>
          <t>A 37591-2023</t>
        </is>
      </c>
      <c r="B636" s="1" t="n">
        <v>45159</v>
      </c>
      <c r="C636" s="1" t="n">
        <v>45570</v>
      </c>
      <c r="D636" t="inlineStr">
        <is>
          <t>GOTLANDS LÄN</t>
        </is>
      </c>
      <c r="E636" t="inlineStr">
        <is>
          <t>GOTLAND</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38234-2023</t>
        </is>
      </c>
      <c r="B637" s="1" t="n">
        <v>45161</v>
      </c>
      <c r="C637" s="1" t="n">
        <v>45570</v>
      </c>
      <c r="D637" t="inlineStr">
        <is>
          <t>GOTLANDS LÄN</t>
        </is>
      </c>
      <c r="E637" t="inlineStr">
        <is>
          <t>GOTLAND</t>
        </is>
      </c>
      <c r="G637" t="n">
        <v>1.3</v>
      </c>
      <c r="H637" t="n">
        <v>0</v>
      </c>
      <c r="I637" t="n">
        <v>0</v>
      </c>
      <c r="J637" t="n">
        <v>0</v>
      </c>
      <c r="K637" t="n">
        <v>0</v>
      </c>
      <c r="L637" t="n">
        <v>0</v>
      </c>
      <c r="M637" t="n">
        <v>0</v>
      </c>
      <c r="N637" t="n">
        <v>0</v>
      </c>
      <c r="O637" t="n">
        <v>0</v>
      </c>
      <c r="P637" t="n">
        <v>0</v>
      </c>
      <c r="Q637" t="n">
        <v>0</v>
      </c>
      <c r="R637" s="2" t="inlineStr"/>
    </row>
    <row r="638" ht="15" customHeight="1">
      <c r="A638" t="inlineStr">
        <is>
          <t>A 38237-2023</t>
        </is>
      </c>
      <c r="B638" s="1" t="n">
        <v>45161</v>
      </c>
      <c r="C638" s="1" t="n">
        <v>45570</v>
      </c>
      <c r="D638" t="inlineStr">
        <is>
          <t>GOTLANDS LÄN</t>
        </is>
      </c>
      <c r="E638" t="inlineStr">
        <is>
          <t>GOTLAND</t>
        </is>
      </c>
      <c r="G638" t="n">
        <v>2.8</v>
      </c>
      <c r="H638" t="n">
        <v>0</v>
      </c>
      <c r="I638" t="n">
        <v>0</v>
      </c>
      <c r="J638" t="n">
        <v>0</v>
      </c>
      <c r="K638" t="n">
        <v>0</v>
      </c>
      <c r="L638" t="n">
        <v>0</v>
      </c>
      <c r="M638" t="n">
        <v>0</v>
      </c>
      <c r="N638" t="n">
        <v>0</v>
      </c>
      <c r="O638" t="n">
        <v>0</v>
      </c>
      <c r="P638" t="n">
        <v>0</v>
      </c>
      <c r="Q638" t="n">
        <v>0</v>
      </c>
      <c r="R638" s="2" t="inlineStr"/>
    </row>
    <row r="639" ht="15" customHeight="1">
      <c r="A639" t="inlineStr">
        <is>
          <t>A 38165-2023</t>
        </is>
      </c>
      <c r="B639" s="1" t="n">
        <v>45161</v>
      </c>
      <c r="C639" s="1" t="n">
        <v>45570</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38787-2023</t>
        </is>
      </c>
      <c r="B640" s="1" t="n">
        <v>45163</v>
      </c>
      <c r="C640" s="1" t="n">
        <v>45570</v>
      </c>
      <c r="D640" t="inlineStr">
        <is>
          <t>GOTLANDS LÄN</t>
        </is>
      </c>
      <c r="E640" t="inlineStr">
        <is>
          <t>GOTLAND</t>
        </is>
      </c>
      <c r="G640" t="n">
        <v>0.4</v>
      </c>
      <c r="H640" t="n">
        <v>0</v>
      </c>
      <c r="I640" t="n">
        <v>0</v>
      </c>
      <c r="J640" t="n">
        <v>0</v>
      </c>
      <c r="K640" t="n">
        <v>0</v>
      </c>
      <c r="L640" t="n">
        <v>0</v>
      </c>
      <c r="M640" t="n">
        <v>0</v>
      </c>
      <c r="N640" t="n">
        <v>0</v>
      </c>
      <c r="O640" t="n">
        <v>0</v>
      </c>
      <c r="P640" t="n">
        <v>0</v>
      </c>
      <c r="Q640" t="n">
        <v>0</v>
      </c>
      <c r="R640" s="2" t="inlineStr"/>
    </row>
    <row r="641" ht="15" customHeight="1">
      <c r="A641" t="inlineStr">
        <is>
          <t>A 39436-2023</t>
        </is>
      </c>
      <c r="B641" s="1" t="n">
        <v>45166</v>
      </c>
      <c r="C641" s="1" t="n">
        <v>45570</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39371-2023</t>
        </is>
      </c>
      <c r="B642" s="1" t="n">
        <v>45166</v>
      </c>
      <c r="C642" s="1" t="n">
        <v>45570</v>
      </c>
      <c r="D642" t="inlineStr">
        <is>
          <t>GOTLANDS LÄN</t>
        </is>
      </c>
      <c r="E642" t="inlineStr">
        <is>
          <t>GOTLAND</t>
        </is>
      </c>
      <c r="G642" t="n">
        <v>8.4</v>
      </c>
      <c r="H642" t="n">
        <v>0</v>
      </c>
      <c r="I642" t="n">
        <v>0</v>
      </c>
      <c r="J642" t="n">
        <v>0</v>
      </c>
      <c r="K642" t="n">
        <v>0</v>
      </c>
      <c r="L642" t="n">
        <v>0</v>
      </c>
      <c r="M642" t="n">
        <v>0</v>
      </c>
      <c r="N642" t="n">
        <v>0</v>
      </c>
      <c r="O642" t="n">
        <v>0</v>
      </c>
      <c r="P642" t="n">
        <v>0</v>
      </c>
      <c r="Q642" t="n">
        <v>0</v>
      </c>
      <c r="R642" s="2" t="inlineStr"/>
    </row>
    <row r="643" ht="15" customHeight="1">
      <c r="A643" t="inlineStr">
        <is>
          <t>A 39711-2023</t>
        </is>
      </c>
      <c r="B643" s="1" t="n">
        <v>45166</v>
      </c>
      <c r="C643" s="1" t="n">
        <v>45570</v>
      </c>
      <c r="D643" t="inlineStr">
        <is>
          <t>GOTLANDS LÄN</t>
        </is>
      </c>
      <c r="E643" t="inlineStr">
        <is>
          <t>GOTLAND</t>
        </is>
      </c>
      <c r="G643" t="n">
        <v>5.5</v>
      </c>
      <c r="H643" t="n">
        <v>0</v>
      </c>
      <c r="I643" t="n">
        <v>0</v>
      </c>
      <c r="J643" t="n">
        <v>0</v>
      </c>
      <c r="K643" t="n">
        <v>0</v>
      </c>
      <c r="L643" t="n">
        <v>0</v>
      </c>
      <c r="M643" t="n">
        <v>0</v>
      </c>
      <c r="N643" t="n">
        <v>0</v>
      </c>
      <c r="O643" t="n">
        <v>0</v>
      </c>
      <c r="P643" t="n">
        <v>0</v>
      </c>
      <c r="Q643" t="n">
        <v>0</v>
      </c>
      <c r="R643" s="2" t="inlineStr"/>
    </row>
    <row r="644" ht="15" customHeight="1">
      <c r="A644" t="inlineStr">
        <is>
          <t>A 41038-2023</t>
        </is>
      </c>
      <c r="B644" s="1" t="n">
        <v>45173</v>
      </c>
      <c r="C644" s="1" t="n">
        <v>45570</v>
      </c>
      <c r="D644" t="inlineStr">
        <is>
          <t>GOTLANDS LÄN</t>
        </is>
      </c>
      <c r="E644" t="inlineStr">
        <is>
          <t>GOTLAND</t>
        </is>
      </c>
      <c r="G644" t="n">
        <v>2.7</v>
      </c>
      <c r="H644" t="n">
        <v>0</v>
      </c>
      <c r="I644" t="n">
        <v>0</v>
      </c>
      <c r="J644" t="n">
        <v>0</v>
      </c>
      <c r="K644" t="n">
        <v>0</v>
      </c>
      <c r="L644" t="n">
        <v>0</v>
      </c>
      <c r="M644" t="n">
        <v>0</v>
      </c>
      <c r="N644" t="n">
        <v>0</v>
      </c>
      <c r="O644" t="n">
        <v>0</v>
      </c>
      <c r="P644" t="n">
        <v>0</v>
      </c>
      <c r="Q644" t="n">
        <v>0</v>
      </c>
      <c r="R644" s="2" t="inlineStr"/>
    </row>
    <row r="645" ht="15" customHeight="1">
      <c r="A645" t="inlineStr">
        <is>
          <t>A 41378-2023</t>
        </is>
      </c>
      <c r="B645" s="1" t="n">
        <v>45174</v>
      </c>
      <c r="C645" s="1" t="n">
        <v>45570</v>
      </c>
      <c r="D645" t="inlineStr">
        <is>
          <t>GOTLANDS LÄN</t>
        </is>
      </c>
      <c r="E645" t="inlineStr">
        <is>
          <t>GOTLAND</t>
        </is>
      </c>
      <c r="G645" t="n">
        <v>1.6</v>
      </c>
      <c r="H645" t="n">
        <v>0</v>
      </c>
      <c r="I645" t="n">
        <v>0</v>
      </c>
      <c r="J645" t="n">
        <v>0</v>
      </c>
      <c r="K645" t="n">
        <v>0</v>
      </c>
      <c r="L645" t="n">
        <v>0</v>
      </c>
      <c r="M645" t="n">
        <v>0</v>
      </c>
      <c r="N645" t="n">
        <v>0</v>
      </c>
      <c r="O645" t="n">
        <v>0</v>
      </c>
      <c r="P645" t="n">
        <v>0</v>
      </c>
      <c r="Q645" t="n">
        <v>0</v>
      </c>
      <c r="R645" s="2" t="inlineStr"/>
    </row>
    <row r="646" ht="15" customHeight="1">
      <c r="A646" t="inlineStr">
        <is>
          <t>A 41336-2023</t>
        </is>
      </c>
      <c r="B646" s="1" t="n">
        <v>45174</v>
      </c>
      <c r="C646" s="1" t="n">
        <v>45570</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41697-2023</t>
        </is>
      </c>
      <c r="B647" s="1" t="n">
        <v>45176</v>
      </c>
      <c r="C647" s="1" t="n">
        <v>45570</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41893-2023</t>
        </is>
      </c>
      <c r="B648" s="1" t="n">
        <v>45176</v>
      </c>
      <c r="C648" s="1" t="n">
        <v>45570</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42007-2023</t>
        </is>
      </c>
      <c r="B649" s="1" t="n">
        <v>45177</v>
      </c>
      <c r="C649" s="1" t="n">
        <v>45570</v>
      </c>
      <c r="D649" t="inlineStr">
        <is>
          <t>GOTLANDS LÄN</t>
        </is>
      </c>
      <c r="E649" t="inlineStr">
        <is>
          <t>GOTLAND</t>
        </is>
      </c>
      <c r="G649" t="n">
        <v>0.8</v>
      </c>
      <c r="H649" t="n">
        <v>0</v>
      </c>
      <c r="I649" t="n">
        <v>0</v>
      </c>
      <c r="J649" t="n">
        <v>0</v>
      </c>
      <c r="K649" t="n">
        <v>0</v>
      </c>
      <c r="L649" t="n">
        <v>0</v>
      </c>
      <c r="M649" t="n">
        <v>0</v>
      </c>
      <c r="N649" t="n">
        <v>0</v>
      </c>
      <c r="O649" t="n">
        <v>0</v>
      </c>
      <c r="P649" t="n">
        <v>0</v>
      </c>
      <c r="Q649" t="n">
        <v>0</v>
      </c>
      <c r="R649" s="2" t="inlineStr"/>
    </row>
    <row r="650" ht="15" customHeight="1">
      <c r="A650" t="inlineStr">
        <is>
          <t>A 42097-2023</t>
        </is>
      </c>
      <c r="B650" s="1" t="n">
        <v>45177</v>
      </c>
      <c r="C650" s="1" t="n">
        <v>45570</v>
      </c>
      <c r="D650" t="inlineStr">
        <is>
          <t>GOTLANDS LÄN</t>
        </is>
      </c>
      <c r="E650" t="inlineStr">
        <is>
          <t>GOTLAND</t>
        </is>
      </c>
      <c r="G650" t="n">
        <v>3.9</v>
      </c>
      <c r="H650" t="n">
        <v>0</v>
      </c>
      <c r="I650" t="n">
        <v>0</v>
      </c>
      <c r="J650" t="n">
        <v>0</v>
      </c>
      <c r="K650" t="n">
        <v>0</v>
      </c>
      <c r="L650" t="n">
        <v>0</v>
      </c>
      <c r="M650" t="n">
        <v>0</v>
      </c>
      <c r="N650" t="n">
        <v>0</v>
      </c>
      <c r="O650" t="n">
        <v>0</v>
      </c>
      <c r="P650" t="n">
        <v>0</v>
      </c>
      <c r="Q650" t="n">
        <v>0</v>
      </c>
      <c r="R650" s="2" t="inlineStr"/>
    </row>
    <row r="651" ht="15" customHeight="1">
      <c r="A651" t="inlineStr">
        <is>
          <t>A 42201-2023</t>
        </is>
      </c>
      <c r="B651" s="1" t="n">
        <v>45179</v>
      </c>
      <c r="C651" s="1" t="n">
        <v>45570</v>
      </c>
      <c r="D651" t="inlineStr">
        <is>
          <t>GOTLANDS LÄN</t>
        </is>
      </c>
      <c r="E651" t="inlineStr">
        <is>
          <t>GOTLAND</t>
        </is>
      </c>
      <c r="G651" t="n">
        <v>11.9</v>
      </c>
      <c r="H651" t="n">
        <v>0</v>
      </c>
      <c r="I651" t="n">
        <v>0</v>
      </c>
      <c r="J651" t="n">
        <v>0</v>
      </c>
      <c r="K651" t="n">
        <v>0</v>
      </c>
      <c r="L651" t="n">
        <v>0</v>
      </c>
      <c r="M651" t="n">
        <v>0</v>
      </c>
      <c r="N651" t="n">
        <v>0</v>
      </c>
      <c r="O651" t="n">
        <v>0</v>
      </c>
      <c r="P651" t="n">
        <v>0</v>
      </c>
      <c r="Q651" t="n">
        <v>0</v>
      </c>
      <c r="R651" s="2" t="inlineStr"/>
    </row>
    <row r="652" ht="15" customHeight="1">
      <c r="A652" t="inlineStr">
        <is>
          <t>A 42338-2023</t>
        </is>
      </c>
      <c r="B652" s="1" t="n">
        <v>45180</v>
      </c>
      <c r="C652" s="1" t="n">
        <v>45570</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42465-2023</t>
        </is>
      </c>
      <c r="B653" s="1" t="n">
        <v>45180</v>
      </c>
      <c r="C653" s="1" t="n">
        <v>45570</v>
      </c>
      <c r="D653" t="inlineStr">
        <is>
          <t>GOTLANDS LÄN</t>
        </is>
      </c>
      <c r="E653" t="inlineStr">
        <is>
          <t>GOTLAND</t>
        </is>
      </c>
      <c r="G653" t="n">
        <v>0.9</v>
      </c>
      <c r="H653" t="n">
        <v>0</v>
      </c>
      <c r="I653" t="n">
        <v>0</v>
      </c>
      <c r="J653" t="n">
        <v>0</v>
      </c>
      <c r="K653" t="n">
        <v>0</v>
      </c>
      <c r="L653" t="n">
        <v>0</v>
      </c>
      <c r="M653" t="n">
        <v>0</v>
      </c>
      <c r="N653" t="n">
        <v>0</v>
      </c>
      <c r="O653" t="n">
        <v>0</v>
      </c>
      <c r="P653" t="n">
        <v>0</v>
      </c>
      <c r="Q653" t="n">
        <v>0</v>
      </c>
      <c r="R653" s="2" t="inlineStr"/>
    </row>
    <row r="654" ht="15" customHeight="1">
      <c r="A654" t="inlineStr">
        <is>
          <t>A 43223-2023</t>
        </is>
      </c>
      <c r="B654" s="1" t="n">
        <v>45183</v>
      </c>
      <c r="C654" s="1" t="n">
        <v>45570</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43200-2023</t>
        </is>
      </c>
      <c r="B655" s="1" t="n">
        <v>45183</v>
      </c>
      <c r="C655" s="1" t="n">
        <v>45570</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43226-2023</t>
        </is>
      </c>
      <c r="B656" s="1" t="n">
        <v>45183</v>
      </c>
      <c r="C656" s="1" t="n">
        <v>45570</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43231-2023</t>
        </is>
      </c>
      <c r="B657" s="1" t="n">
        <v>45183</v>
      </c>
      <c r="C657" s="1" t="n">
        <v>45570</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43220-2023</t>
        </is>
      </c>
      <c r="B658" s="1" t="n">
        <v>45183</v>
      </c>
      <c r="C658" s="1" t="n">
        <v>45570</v>
      </c>
      <c r="D658" t="inlineStr">
        <is>
          <t>GOTLANDS LÄN</t>
        </is>
      </c>
      <c r="E658" t="inlineStr">
        <is>
          <t>GOTLAND</t>
        </is>
      </c>
      <c r="G658" t="n">
        <v>3.3</v>
      </c>
      <c r="H658" t="n">
        <v>0</v>
      </c>
      <c r="I658" t="n">
        <v>0</v>
      </c>
      <c r="J658" t="n">
        <v>0</v>
      </c>
      <c r="K658" t="n">
        <v>0</v>
      </c>
      <c r="L658" t="n">
        <v>0</v>
      </c>
      <c r="M658" t="n">
        <v>0</v>
      </c>
      <c r="N658" t="n">
        <v>0</v>
      </c>
      <c r="O658" t="n">
        <v>0</v>
      </c>
      <c r="P658" t="n">
        <v>0</v>
      </c>
      <c r="Q658" t="n">
        <v>0</v>
      </c>
      <c r="R658" s="2" t="inlineStr"/>
    </row>
    <row r="659" ht="15" customHeight="1">
      <c r="A659" t="inlineStr">
        <is>
          <t>A 43224-2023</t>
        </is>
      </c>
      <c r="B659" s="1" t="n">
        <v>45183</v>
      </c>
      <c r="C659" s="1" t="n">
        <v>45570</v>
      </c>
      <c r="D659" t="inlineStr">
        <is>
          <t>GOTLANDS LÄN</t>
        </is>
      </c>
      <c r="E659" t="inlineStr">
        <is>
          <t>GOTLAND</t>
        </is>
      </c>
      <c r="G659" t="n">
        <v>1.1</v>
      </c>
      <c r="H659" t="n">
        <v>0</v>
      </c>
      <c r="I659" t="n">
        <v>0</v>
      </c>
      <c r="J659" t="n">
        <v>0</v>
      </c>
      <c r="K659" t="n">
        <v>0</v>
      </c>
      <c r="L659" t="n">
        <v>0</v>
      </c>
      <c r="M659" t="n">
        <v>0</v>
      </c>
      <c r="N659" t="n">
        <v>0</v>
      </c>
      <c r="O659" t="n">
        <v>0</v>
      </c>
      <c r="P659" t="n">
        <v>0</v>
      </c>
      <c r="Q659" t="n">
        <v>0</v>
      </c>
      <c r="R659" s="2" t="inlineStr"/>
    </row>
    <row r="660" ht="15" customHeight="1">
      <c r="A660" t="inlineStr">
        <is>
          <t>A 43229-2023</t>
        </is>
      </c>
      <c r="B660" s="1" t="n">
        <v>45183</v>
      </c>
      <c r="C660" s="1" t="n">
        <v>45570</v>
      </c>
      <c r="D660" t="inlineStr">
        <is>
          <t>GOTLANDS LÄN</t>
        </is>
      </c>
      <c r="E660" t="inlineStr">
        <is>
          <t>GOTLAND</t>
        </is>
      </c>
      <c r="G660" t="n">
        <v>7.1</v>
      </c>
      <c r="H660" t="n">
        <v>0</v>
      </c>
      <c r="I660" t="n">
        <v>0</v>
      </c>
      <c r="J660" t="n">
        <v>0</v>
      </c>
      <c r="K660" t="n">
        <v>0</v>
      </c>
      <c r="L660" t="n">
        <v>0</v>
      </c>
      <c r="M660" t="n">
        <v>0</v>
      </c>
      <c r="N660" t="n">
        <v>0</v>
      </c>
      <c r="O660" t="n">
        <v>0</v>
      </c>
      <c r="P660" t="n">
        <v>0</v>
      </c>
      <c r="Q660" t="n">
        <v>0</v>
      </c>
      <c r="R660" s="2" t="inlineStr"/>
    </row>
    <row r="661" ht="15" customHeight="1">
      <c r="A661" t="inlineStr">
        <is>
          <t>A 43901-2023</t>
        </is>
      </c>
      <c r="B661" s="1" t="n">
        <v>45187</v>
      </c>
      <c r="C661" s="1" t="n">
        <v>45570</v>
      </c>
      <c r="D661" t="inlineStr">
        <is>
          <t>GOTLANDS LÄN</t>
        </is>
      </c>
      <c r="E661" t="inlineStr">
        <is>
          <t>GOTLAND</t>
        </is>
      </c>
      <c r="G661" t="n">
        <v>5.4</v>
      </c>
      <c r="H661" t="n">
        <v>0</v>
      </c>
      <c r="I661" t="n">
        <v>0</v>
      </c>
      <c r="J661" t="n">
        <v>0</v>
      </c>
      <c r="K661" t="n">
        <v>0</v>
      </c>
      <c r="L661" t="n">
        <v>0</v>
      </c>
      <c r="M661" t="n">
        <v>0</v>
      </c>
      <c r="N661" t="n">
        <v>0</v>
      </c>
      <c r="O661" t="n">
        <v>0</v>
      </c>
      <c r="P661" t="n">
        <v>0</v>
      </c>
      <c r="Q661" t="n">
        <v>0</v>
      </c>
      <c r="R661" s="2" t="inlineStr"/>
    </row>
    <row r="662" ht="15" customHeight="1">
      <c r="A662" t="inlineStr">
        <is>
          <t>A 44189-2023</t>
        </is>
      </c>
      <c r="B662" s="1" t="n">
        <v>45188</v>
      </c>
      <c r="C662" s="1" t="n">
        <v>45570</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44888-2023</t>
        </is>
      </c>
      <c r="B663" s="1" t="n">
        <v>45190</v>
      </c>
      <c r="C663" s="1" t="n">
        <v>45570</v>
      </c>
      <c r="D663" t="inlineStr">
        <is>
          <t>GOTLANDS LÄN</t>
        </is>
      </c>
      <c r="E663" t="inlineStr">
        <is>
          <t>GOTLAND</t>
        </is>
      </c>
      <c r="G663" t="n">
        <v>6.1</v>
      </c>
      <c r="H663" t="n">
        <v>0</v>
      </c>
      <c r="I663" t="n">
        <v>0</v>
      </c>
      <c r="J663" t="n">
        <v>0</v>
      </c>
      <c r="K663" t="n">
        <v>0</v>
      </c>
      <c r="L663" t="n">
        <v>0</v>
      </c>
      <c r="M663" t="n">
        <v>0</v>
      </c>
      <c r="N663" t="n">
        <v>0</v>
      </c>
      <c r="O663" t="n">
        <v>0</v>
      </c>
      <c r="P663" t="n">
        <v>0</v>
      </c>
      <c r="Q663" t="n">
        <v>0</v>
      </c>
      <c r="R663" s="2" t="inlineStr"/>
    </row>
    <row r="664" ht="15" customHeight="1">
      <c r="A664" t="inlineStr">
        <is>
          <t>A 44941-2023</t>
        </is>
      </c>
      <c r="B664" s="1" t="n">
        <v>45190</v>
      </c>
      <c r="C664" s="1" t="n">
        <v>45570</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44953-2023</t>
        </is>
      </c>
      <c r="B665" s="1" t="n">
        <v>45190</v>
      </c>
      <c r="C665" s="1" t="n">
        <v>45570</v>
      </c>
      <c r="D665" t="inlineStr">
        <is>
          <t>GOTLANDS LÄN</t>
        </is>
      </c>
      <c r="E665" t="inlineStr">
        <is>
          <t>GOTLAND</t>
        </is>
      </c>
      <c r="G665" t="n">
        <v>3.7</v>
      </c>
      <c r="H665" t="n">
        <v>0</v>
      </c>
      <c r="I665" t="n">
        <v>0</v>
      </c>
      <c r="J665" t="n">
        <v>0</v>
      </c>
      <c r="K665" t="n">
        <v>0</v>
      </c>
      <c r="L665" t="n">
        <v>0</v>
      </c>
      <c r="M665" t="n">
        <v>0</v>
      </c>
      <c r="N665" t="n">
        <v>0</v>
      </c>
      <c r="O665" t="n">
        <v>0</v>
      </c>
      <c r="P665" t="n">
        <v>0</v>
      </c>
      <c r="Q665" t="n">
        <v>0</v>
      </c>
      <c r="R665" s="2" t="inlineStr"/>
    </row>
    <row r="666" ht="15" customHeight="1">
      <c r="A666" t="inlineStr">
        <is>
          <t>A 44918-2023</t>
        </is>
      </c>
      <c r="B666" s="1" t="n">
        <v>45190</v>
      </c>
      <c r="C666" s="1" t="n">
        <v>45570</v>
      </c>
      <c r="D666" t="inlineStr">
        <is>
          <t>GOTLANDS LÄN</t>
        </is>
      </c>
      <c r="E666" t="inlineStr">
        <is>
          <t>GOTLAND</t>
        </is>
      </c>
      <c r="G666" t="n">
        <v>1.6</v>
      </c>
      <c r="H666" t="n">
        <v>0</v>
      </c>
      <c r="I666" t="n">
        <v>0</v>
      </c>
      <c r="J666" t="n">
        <v>0</v>
      </c>
      <c r="K666" t="n">
        <v>0</v>
      </c>
      <c r="L666" t="n">
        <v>0</v>
      </c>
      <c r="M666" t="n">
        <v>0</v>
      </c>
      <c r="N666" t="n">
        <v>0</v>
      </c>
      <c r="O666" t="n">
        <v>0</v>
      </c>
      <c r="P666" t="n">
        <v>0</v>
      </c>
      <c r="Q666" t="n">
        <v>0</v>
      </c>
      <c r="R666" s="2" t="inlineStr"/>
    </row>
    <row r="667" ht="15" customHeight="1">
      <c r="A667" t="inlineStr">
        <is>
          <t>A 44949-2023</t>
        </is>
      </c>
      <c r="B667" s="1" t="n">
        <v>45190</v>
      </c>
      <c r="C667" s="1" t="n">
        <v>45570</v>
      </c>
      <c r="D667" t="inlineStr">
        <is>
          <t>GOTLANDS LÄN</t>
        </is>
      </c>
      <c r="E667" t="inlineStr">
        <is>
          <t>GOTLAND</t>
        </is>
      </c>
      <c r="G667" t="n">
        <v>1.4</v>
      </c>
      <c r="H667" t="n">
        <v>0</v>
      </c>
      <c r="I667" t="n">
        <v>0</v>
      </c>
      <c r="J667" t="n">
        <v>0</v>
      </c>
      <c r="K667" t="n">
        <v>0</v>
      </c>
      <c r="L667" t="n">
        <v>0</v>
      </c>
      <c r="M667" t="n">
        <v>0</v>
      </c>
      <c r="N667" t="n">
        <v>0</v>
      </c>
      <c r="O667" t="n">
        <v>0</v>
      </c>
      <c r="P667" t="n">
        <v>0</v>
      </c>
      <c r="Q667" t="n">
        <v>0</v>
      </c>
      <c r="R667" s="2" t="inlineStr"/>
    </row>
    <row r="668" ht="15" customHeight="1">
      <c r="A668" t="inlineStr">
        <is>
          <t>A 45168-2023</t>
        </is>
      </c>
      <c r="B668" s="1" t="n">
        <v>45191</v>
      </c>
      <c r="C668" s="1" t="n">
        <v>45570</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45600-2023</t>
        </is>
      </c>
      <c r="B669" s="1" t="n">
        <v>45194</v>
      </c>
      <c r="C669" s="1" t="n">
        <v>45570</v>
      </c>
      <c r="D669" t="inlineStr">
        <is>
          <t>GOTLANDS LÄN</t>
        </is>
      </c>
      <c r="E669" t="inlineStr">
        <is>
          <t>GOTLAND</t>
        </is>
      </c>
      <c r="G669" t="n">
        <v>6.1</v>
      </c>
      <c r="H669" t="n">
        <v>0</v>
      </c>
      <c r="I669" t="n">
        <v>0</v>
      </c>
      <c r="J669" t="n">
        <v>0</v>
      </c>
      <c r="K669" t="n">
        <v>0</v>
      </c>
      <c r="L669" t="n">
        <v>0</v>
      </c>
      <c r="M669" t="n">
        <v>0</v>
      </c>
      <c r="N669" t="n">
        <v>0</v>
      </c>
      <c r="O669" t="n">
        <v>0</v>
      </c>
      <c r="P669" t="n">
        <v>0</v>
      </c>
      <c r="Q669" t="n">
        <v>0</v>
      </c>
      <c r="R669" s="2" t="inlineStr"/>
    </row>
    <row r="670" ht="15" customHeight="1">
      <c r="A670" t="inlineStr">
        <is>
          <t>A 45692-2023</t>
        </is>
      </c>
      <c r="B670" s="1" t="n">
        <v>45195</v>
      </c>
      <c r="C670" s="1" t="n">
        <v>45570</v>
      </c>
      <c r="D670" t="inlineStr">
        <is>
          <t>GOTLANDS LÄN</t>
        </is>
      </c>
      <c r="E670" t="inlineStr">
        <is>
          <t>GOTLAND</t>
        </is>
      </c>
      <c r="G670" t="n">
        <v>5.3</v>
      </c>
      <c r="H670" t="n">
        <v>0</v>
      </c>
      <c r="I670" t="n">
        <v>0</v>
      </c>
      <c r="J670" t="n">
        <v>0</v>
      </c>
      <c r="K670" t="n">
        <v>0</v>
      </c>
      <c r="L670" t="n">
        <v>0</v>
      </c>
      <c r="M670" t="n">
        <v>0</v>
      </c>
      <c r="N670" t="n">
        <v>0</v>
      </c>
      <c r="O670" t="n">
        <v>0</v>
      </c>
      <c r="P670" t="n">
        <v>0</v>
      </c>
      <c r="Q670" t="n">
        <v>0</v>
      </c>
      <c r="R670" s="2" t="inlineStr"/>
    </row>
    <row r="671" ht="15" customHeight="1">
      <c r="A671" t="inlineStr">
        <is>
          <t>A 46402-2023</t>
        </is>
      </c>
      <c r="B671" s="1" t="n">
        <v>45197</v>
      </c>
      <c r="C671" s="1" t="n">
        <v>45570</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46396-2023</t>
        </is>
      </c>
      <c r="B672" s="1" t="n">
        <v>45197</v>
      </c>
      <c r="C672" s="1" t="n">
        <v>45570</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46400-2023</t>
        </is>
      </c>
      <c r="B673" s="1" t="n">
        <v>45197</v>
      </c>
      <c r="C673" s="1" t="n">
        <v>45570</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47322-2023</t>
        </is>
      </c>
      <c r="B674" s="1" t="n">
        <v>45202</v>
      </c>
      <c r="C674" s="1" t="n">
        <v>45570</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47762-2023</t>
        </is>
      </c>
      <c r="B675" s="1" t="n">
        <v>45203</v>
      </c>
      <c r="C675" s="1" t="n">
        <v>45570</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49411-2023</t>
        </is>
      </c>
      <c r="B676" s="1" t="n">
        <v>45205</v>
      </c>
      <c r="C676" s="1" t="n">
        <v>45570</v>
      </c>
      <c r="D676" t="inlineStr">
        <is>
          <t>GOTLANDS LÄN</t>
        </is>
      </c>
      <c r="E676" t="inlineStr">
        <is>
          <t>GOTLAND</t>
        </is>
      </c>
      <c r="G676" t="n">
        <v>2</v>
      </c>
      <c r="H676" t="n">
        <v>0</v>
      </c>
      <c r="I676" t="n">
        <v>0</v>
      </c>
      <c r="J676" t="n">
        <v>0</v>
      </c>
      <c r="K676" t="n">
        <v>0</v>
      </c>
      <c r="L676" t="n">
        <v>0</v>
      </c>
      <c r="M676" t="n">
        <v>0</v>
      </c>
      <c r="N676" t="n">
        <v>0</v>
      </c>
      <c r="O676" t="n">
        <v>0</v>
      </c>
      <c r="P676" t="n">
        <v>0</v>
      </c>
      <c r="Q676" t="n">
        <v>0</v>
      </c>
      <c r="R676" s="2" t="inlineStr"/>
    </row>
    <row r="677" ht="15" customHeight="1">
      <c r="A677" t="inlineStr">
        <is>
          <t>A 48503-2023</t>
        </is>
      </c>
      <c r="B677" s="1" t="n">
        <v>45207</v>
      </c>
      <c r="C677" s="1" t="n">
        <v>45570</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48504-2023</t>
        </is>
      </c>
      <c r="B678" s="1" t="n">
        <v>45207</v>
      </c>
      <c r="C678" s="1" t="n">
        <v>45570</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48745-2023</t>
        </is>
      </c>
      <c r="B679" s="1" t="n">
        <v>45208</v>
      </c>
      <c r="C679" s="1" t="n">
        <v>45570</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49693-2023</t>
        </is>
      </c>
      <c r="B680" s="1" t="n">
        <v>45212</v>
      </c>
      <c r="C680" s="1" t="n">
        <v>45570</v>
      </c>
      <c r="D680" t="inlineStr">
        <is>
          <t>GOTLANDS LÄN</t>
        </is>
      </c>
      <c r="E680" t="inlineStr">
        <is>
          <t>GOTLAND</t>
        </is>
      </c>
      <c r="G680" t="n">
        <v>2.4</v>
      </c>
      <c r="H680" t="n">
        <v>0</v>
      </c>
      <c r="I680" t="n">
        <v>0</v>
      </c>
      <c r="J680" t="n">
        <v>0</v>
      </c>
      <c r="K680" t="n">
        <v>0</v>
      </c>
      <c r="L680" t="n">
        <v>0</v>
      </c>
      <c r="M680" t="n">
        <v>0</v>
      </c>
      <c r="N680" t="n">
        <v>0</v>
      </c>
      <c r="O680" t="n">
        <v>0</v>
      </c>
      <c r="P680" t="n">
        <v>0</v>
      </c>
      <c r="Q680" t="n">
        <v>0</v>
      </c>
      <c r="R680" s="2" t="inlineStr"/>
    </row>
    <row r="681" ht="15" customHeight="1">
      <c r="A681" t="inlineStr">
        <is>
          <t>A 49697-2023</t>
        </is>
      </c>
      <c r="B681" s="1" t="n">
        <v>45212</v>
      </c>
      <c r="C681" s="1" t="n">
        <v>45570</v>
      </c>
      <c r="D681" t="inlineStr">
        <is>
          <t>GOTLANDS LÄN</t>
        </is>
      </c>
      <c r="E681" t="inlineStr">
        <is>
          <t>GOTLAND</t>
        </is>
      </c>
      <c r="G681" t="n">
        <v>4.4</v>
      </c>
      <c r="H681" t="n">
        <v>0</v>
      </c>
      <c r="I681" t="n">
        <v>0</v>
      </c>
      <c r="J681" t="n">
        <v>0</v>
      </c>
      <c r="K681" t="n">
        <v>0</v>
      </c>
      <c r="L681" t="n">
        <v>0</v>
      </c>
      <c r="M681" t="n">
        <v>0</v>
      </c>
      <c r="N681" t="n">
        <v>0</v>
      </c>
      <c r="O681" t="n">
        <v>0</v>
      </c>
      <c r="P681" t="n">
        <v>0</v>
      </c>
      <c r="Q681" t="n">
        <v>0</v>
      </c>
      <c r="R681" s="2" t="inlineStr"/>
    </row>
    <row r="682" ht="15" customHeight="1">
      <c r="A682" t="inlineStr">
        <is>
          <t>A 49846-2023</t>
        </is>
      </c>
      <c r="B682" s="1" t="n">
        <v>45212</v>
      </c>
      <c r="C682" s="1" t="n">
        <v>45570</v>
      </c>
      <c r="D682" t="inlineStr">
        <is>
          <t>GOTLANDS LÄN</t>
        </is>
      </c>
      <c r="E682" t="inlineStr">
        <is>
          <t>GOTLAND</t>
        </is>
      </c>
      <c r="G682" t="n">
        <v>16.9</v>
      </c>
      <c r="H682" t="n">
        <v>0</v>
      </c>
      <c r="I682" t="n">
        <v>0</v>
      </c>
      <c r="J682" t="n">
        <v>0</v>
      </c>
      <c r="K682" t="n">
        <v>0</v>
      </c>
      <c r="L682" t="n">
        <v>0</v>
      </c>
      <c r="M682" t="n">
        <v>0</v>
      </c>
      <c r="N682" t="n">
        <v>0</v>
      </c>
      <c r="O682" t="n">
        <v>0</v>
      </c>
      <c r="P682" t="n">
        <v>0</v>
      </c>
      <c r="Q682" t="n">
        <v>0</v>
      </c>
      <c r="R682" s="2" t="inlineStr"/>
    </row>
    <row r="683" ht="15" customHeight="1">
      <c r="A683" t="inlineStr">
        <is>
          <t>A 49884-2023</t>
        </is>
      </c>
      <c r="B683" s="1" t="n">
        <v>45213</v>
      </c>
      <c r="C683" s="1" t="n">
        <v>45570</v>
      </c>
      <c r="D683" t="inlineStr">
        <is>
          <t>GOTLANDS LÄN</t>
        </is>
      </c>
      <c r="E683" t="inlineStr">
        <is>
          <t>GOTLAND</t>
        </is>
      </c>
      <c r="G683" t="n">
        <v>8.9</v>
      </c>
      <c r="H683" t="n">
        <v>0</v>
      </c>
      <c r="I683" t="n">
        <v>0</v>
      </c>
      <c r="J683" t="n">
        <v>0</v>
      </c>
      <c r="K683" t="n">
        <v>0</v>
      </c>
      <c r="L683" t="n">
        <v>0</v>
      </c>
      <c r="M683" t="n">
        <v>0</v>
      </c>
      <c r="N683" t="n">
        <v>0</v>
      </c>
      <c r="O683" t="n">
        <v>0</v>
      </c>
      <c r="P683" t="n">
        <v>0</v>
      </c>
      <c r="Q683" t="n">
        <v>0</v>
      </c>
      <c r="R683" s="2" t="inlineStr"/>
    </row>
    <row r="684" ht="15" customHeight="1">
      <c r="A684" t="inlineStr">
        <is>
          <t>A 49962-2023</t>
        </is>
      </c>
      <c r="B684" s="1" t="n">
        <v>45215</v>
      </c>
      <c r="C684" s="1" t="n">
        <v>45570</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49966-2023</t>
        </is>
      </c>
      <c r="B685" s="1" t="n">
        <v>45215</v>
      </c>
      <c r="C685" s="1" t="n">
        <v>45570</v>
      </c>
      <c r="D685" t="inlineStr">
        <is>
          <t>GOTLANDS LÄN</t>
        </is>
      </c>
      <c r="E685" t="inlineStr">
        <is>
          <t>GOTLAND</t>
        </is>
      </c>
      <c r="G685" t="n">
        <v>5</v>
      </c>
      <c r="H685" t="n">
        <v>0</v>
      </c>
      <c r="I685" t="n">
        <v>0</v>
      </c>
      <c r="J685" t="n">
        <v>0</v>
      </c>
      <c r="K685" t="n">
        <v>0</v>
      </c>
      <c r="L685" t="n">
        <v>0</v>
      </c>
      <c r="M685" t="n">
        <v>0</v>
      </c>
      <c r="N685" t="n">
        <v>0</v>
      </c>
      <c r="O685" t="n">
        <v>0</v>
      </c>
      <c r="P685" t="n">
        <v>0</v>
      </c>
      <c r="Q685" t="n">
        <v>0</v>
      </c>
      <c r="R685" s="2" t="inlineStr"/>
    </row>
    <row r="686" ht="15" customHeight="1">
      <c r="A686" t="inlineStr">
        <is>
          <t>A 49964-2023</t>
        </is>
      </c>
      <c r="B686" s="1" t="n">
        <v>45215</v>
      </c>
      <c r="C686" s="1" t="n">
        <v>45570</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49968-2023</t>
        </is>
      </c>
      <c r="B687" s="1" t="n">
        <v>45215</v>
      </c>
      <c r="C687" s="1" t="n">
        <v>45570</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50566-2023</t>
        </is>
      </c>
      <c r="B688" s="1" t="n">
        <v>45217</v>
      </c>
      <c r="C688" s="1" t="n">
        <v>45570</v>
      </c>
      <c r="D688" t="inlineStr">
        <is>
          <t>GOTLANDS LÄN</t>
        </is>
      </c>
      <c r="E688" t="inlineStr">
        <is>
          <t>GOTLAND</t>
        </is>
      </c>
      <c r="G688" t="n">
        <v>5.8</v>
      </c>
      <c r="H688" t="n">
        <v>0</v>
      </c>
      <c r="I688" t="n">
        <v>0</v>
      </c>
      <c r="J688" t="n">
        <v>0</v>
      </c>
      <c r="K688" t="n">
        <v>0</v>
      </c>
      <c r="L688" t="n">
        <v>0</v>
      </c>
      <c r="M688" t="n">
        <v>0</v>
      </c>
      <c r="N688" t="n">
        <v>0</v>
      </c>
      <c r="O688" t="n">
        <v>0</v>
      </c>
      <c r="P688" t="n">
        <v>0</v>
      </c>
      <c r="Q688" t="n">
        <v>0</v>
      </c>
      <c r="R688" s="2" t="inlineStr"/>
    </row>
    <row r="689" ht="15" customHeight="1">
      <c r="A689" t="inlineStr">
        <is>
          <t>A 51035-2023</t>
        </is>
      </c>
      <c r="B689" s="1" t="n">
        <v>45218</v>
      </c>
      <c r="C689" s="1" t="n">
        <v>45570</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51782-2023</t>
        </is>
      </c>
      <c r="B690" s="1" t="n">
        <v>45222</v>
      </c>
      <c r="C690" s="1" t="n">
        <v>45570</v>
      </c>
      <c r="D690" t="inlineStr">
        <is>
          <t>GOTLANDS LÄN</t>
        </is>
      </c>
      <c r="E690" t="inlineStr">
        <is>
          <t>GOTLAND</t>
        </is>
      </c>
      <c r="G690" t="n">
        <v>1.2</v>
      </c>
      <c r="H690" t="n">
        <v>0</v>
      </c>
      <c r="I690" t="n">
        <v>0</v>
      </c>
      <c r="J690" t="n">
        <v>0</v>
      </c>
      <c r="K690" t="n">
        <v>0</v>
      </c>
      <c r="L690" t="n">
        <v>0</v>
      </c>
      <c r="M690" t="n">
        <v>0</v>
      </c>
      <c r="N690" t="n">
        <v>0</v>
      </c>
      <c r="O690" t="n">
        <v>0</v>
      </c>
      <c r="P690" t="n">
        <v>0</v>
      </c>
      <c r="Q690" t="n">
        <v>0</v>
      </c>
      <c r="R690" s="2" t="inlineStr"/>
    </row>
    <row r="691" ht="15" customHeight="1">
      <c r="A691" t="inlineStr">
        <is>
          <t>A 52684-2023</t>
        </is>
      </c>
      <c r="B691" s="1" t="n">
        <v>45225</v>
      </c>
      <c r="C691" s="1" t="n">
        <v>45570</v>
      </c>
      <c r="D691" t="inlineStr">
        <is>
          <t>GOTLANDS LÄN</t>
        </is>
      </c>
      <c r="E691" t="inlineStr">
        <is>
          <t>GOTLAND</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53913-2023</t>
        </is>
      </c>
      <c r="B692" s="1" t="n">
        <v>45231</v>
      </c>
      <c r="C692" s="1" t="n">
        <v>45570</v>
      </c>
      <c r="D692" t="inlineStr">
        <is>
          <t>GOTLANDS LÄN</t>
        </is>
      </c>
      <c r="E692" t="inlineStr">
        <is>
          <t>GOTLAND</t>
        </is>
      </c>
      <c r="G692" t="n">
        <v>6.2</v>
      </c>
      <c r="H692" t="n">
        <v>0</v>
      </c>
      <c r="I692" t="n">
        <v>0</v>
      </c>
      <c r="J692" t="n">
        <v>0</v>
      </c>
      <c r="K692" t="n">
        <v>0</v>
      </c>
      <c r="L692" t="n">
        <v>0</v>
      </c>
      <c r="M692" t="n">
        <v>0</v>
      </c>
      <c r="N692" t="n">
        <v>0</v>
      </c>
      <c r="O692" t="n">
        <v>0</v>
      </c>
      <c r="P692" t="n">
        <v>0</v>
      </c>
      <c r="Q692" t="n">
        <v>0</v>
      </c>
      <c r="R692" s="2" t="inlineStr"/>
    </row>
    <row r="693" ht="15" customHeight="1">
      <c r="A693" t="inlineStr">
        <is>
          <t>A 56115-2023</t>
        </is>
      </c>
      <c r="B693" s="1" t="n">
        <v>45236</v>
      </c>
      <c r="C693" s="1" t="n">
        <v>45570</v>
      </c>
      <c r="D693" t="inlineStr">
        <is>
          <t>GOTLANDS LÄN</t>
        </is>
      </c>
      <c r="E693" t="inlineStr">
        <is>
          <t>GOTLAND</t>
        </is>
      </c>
      <c r="G693" t="n">
        <v>2</v>
      </c>
      <c r="H693" t="n">
        <v>0</v>
      </c>
      <c r="I693" t="n">
        <v>0</v>
      </c>
      <c r="J693" t="n">
        <v>0</v>
      </c>
      <c r="K693" t="n">
        <v>0</v>
      </c>
      <c r="L693" t="n">
        <v>0</v>
      </c>
      <c r="M693" t="n">
        <v>0</v>
      </c>
      <c r="N693" t="n">
        <v>0</v>
      </c>
      <c r="O693" t="n">
        <v>0</v>
      </c>
      <c r="P693" t="n">
        <v>0</v>
      </c>
      <c r="Q693" t="n">
        <v>0</v>
      </c>
      <c r="R693" s="2" t="inlineStr"/>
    </row>
    <row r="694" ht="15" customHeight="1">
      <c r="A694" t="inlineStr">
        <is>
          <t>A 57356-2023</t>
        </is>
      </c>
      <c r="B694" s="1" t="n">
        <v>45240</v>
      </c>
      <c r="C694" s="1" t="n">
        <v>45570</v>
      </c>
      <c r="D694" t="inlineStr">
        <is>
          <t>GOTLANDS LÄN</t>
        </is>
      </c>
      <c r="E694" t="inlineStr">
        <is>
          <t>GOTLAND</t>
        </is>
      </c>
      <c r="G694" t="n">
        <v>6.4</v>
      </c>
      <c r="H694" t="n">
        <v>0</v>
      </c>
      <c r="I694" t="n">
        <v>0</v>
      </c>
      <c r="J694" t="n">
        <v>0</v>
      </c>
      <c r="K694" t="n">
        <v>0</v>
      </c>
      <c r="L694" t="n">
        <v>0</v>
      </c>
      <c r="M694" t="n">
        <v>0</v>
      </c>
      <c r="N694" t="n">
        <v>0</v>
      </c>
      <c r="O694" t="n">
        <v>0</v>
      </c>
      <c r="P694" t="n">
        <v>0</v>
      </c>
      <c r="Q694" t="n">
        <v>0</v>
      </c>
      <c r="R694" s="2" t="inlineStr"/>
    </row>
    <row r="695" ht="15" customHeight="1">
      <c r="A695" t="inlineStr">
        <is>
          <t>A 56303-2023</t>
        </is>
      </c>
      <c r="B695" s="1" t="n">
        <v>45242</v>
      </c>
      <c r="C695" s="1" t="n">
        <v>45570</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56568-2023</t>
        </is>
      </c>
      <c r="B696" s="1" t="n">
        <v>45243</v>
      </c>
      <c r="C696" s="1" t="n">
        <v>45570</v>
      </c>
      <c r="D696" t="inlineStr">
        <is>
          <t>GOTLANDS LÄN</t>
        </is>
      </c>
      <c r="E696" t="inlineStr">
        <is>
          <t>GOTLAND</t>
        </is>
      </c>
      <c r="G696" t="n">
        <v>3.3</v>
      </c>
      <c r="H696" t="n">
        <v>0</v>
      </c>
      <c r="I696" t="n">
        <v>0</v>
      </c>
      <c r="J696" t="n">
        <v>0</v>
      </c>
      <c r="K696" t="n">
        <v>0</v>
      </c>
      <c r="L696" t="n">
        <v>0</v>
      </c>
      <c r="M696" t="n">
        <v>0</v>
      </c>
      <c r="N696" t="n">
        <v>0</v>
      </c>
      <c r="O696" t="n">
        <v>0</v>
      </c>
      <c r="P696" t="n">
        <v>0</v>
      </c>
      <c r="Q696" t="n">
        <v>0</v>
      </c>
      <c r="R696" s="2" t="inlineStr"/>
    </row>
    <row r="697" ht="15" customHeight="1">
      <c r="A697" t="inlineStr">
        <is>
          <t>A 56877-2023</t>
        </is>
      </c>
      <c r="B697" s="1" t="n">
        <v>45244</v>
      </c>
      <c r="C697" s="1" t="n">
        <v>45570</v>
      </c>
      <c r="D697" t="inlineStr">
        <is>
          <t>GOTLANDS LÄN</t>
        </is>
      </c>
      <c r="E697" t="inlineStr">
        <is>
          <t>GOTLAND</t>
        </is>
      </c>
      <c r="G697" t="n">
        <v>5.8</v>
      </c>
      <c r="H697" t="n">
        <v>0</v>
      </c>
      <c r="I697" t="n">
        <v>0</v>
      </c>
      <c r="J697" t="n">
        <v>0</v>
      </c>
      <c r="K697" t="n">
        <v>0</v>
      </c>
      <c r="L697" t="n">
        <v>0</v>
      </c>
      <c r="M697" t="n">
        <v>0</v>
      </c>
      <c r="N697" t="n">
        <v>0</v>
      </c>
      <c r="O697" t="n">
        <v>0</v>
      </c>
      <c r="P697" t="n">
        <v>0</v>
      </c>
      <c r="Q697" t="n">
        <v>0</v>
      </c>
      <c r="R697" s="2" t="inlineStr"/>
    </row>
    <row r="698" ht="15" customHeight="1">
      <c r="A698" t="inlineStr">
        <is>
          <t>A 57573-2023</t>
        </is>
      </c>
      <c r="B698" s="1" t="n">
        <v>45246</v>
      </c>
      <c r="C698" s="1" t="n">
        <v>45570</v>
      </c>
      <c r="D698" t="inlineStr">
        <is>
          <t>GOTLANDS LÄN</t>
        </is>
      </c>
      <c r="E698" t="inlineStr">
        <is>
          <t>GOTLAND</t>
        </is>
      </c>
      <c r="G698" t="n">
        <v>1.7</v>
      </c>
      <c r="H698" t="n">
        <v>0</v>
      </c>
      <c r="I698" t="n">
        <v>0</v>
      </c>
      <c r="J698" t="n">
        <v>0</v>
      </c>
      <c r="K698" t="n">
        <v>0</v>
      </c>
      <c r="L698" t="n">
        <v>0</v>
      </c>
      <c r="M698" t="n">
        <v>0</v>
      </c>
      <c r="N698" t="n">
        <v>0</v>
      </c>
      <c r="O698" t="n">
        <v>0</v>
      </c>
      <c r="P698" t="n">
        <v>0</v>
      </c>
      <c r="Q698" t="n">
        <v>0</v>
      </c>
      <c r="R698" s="2" t="inlineStr"/>
    </row>
    <row r="699" ht="15" customHeight="1">
      <c r="A699" t="inlineStr">
        <is>
          <t>A 57652-2023</t>
        </is>
      </c>
      <c r="B699" s="1" t="n">
        <v>45246</v>
      </c>
      <c r="C699" s="1" t="n">
        <v>45570</v>
      </c>
      <c r="D699" t="inlineStr">
        <is>
          <t>GOTLANDS LÄN</t>
        </is>
      </c>
      <c r="E699" t="inlineStr">
        <is>
          <t>GOTLAND</t>
        </is>
      </c>
      <c r="G699" t="n">
        <v>7.2</v>
      </c>
      <c r="H699" t="n">
        <v>0</v>
      </c>
      <c r="I699" t="n">
        <v>0</v>
      </c>
      <c r="J699" t="n">
        <v>0</v>
      </c>
      <c r="K699" t="n">
        <v>0</v>
      </c>
      <c r="L699" t="n">
        <v>0</v>
      </c>
      <c r="M699" t="n">
        <v>0</v>
      </c>
      <c r="N699" t="n">
        <v>0</v>
      </c>
      <c r="O699" t="n">
        <v>0</v>
      </c>
      <c r="P699" t="n">
        <v>0</v>
      </c>
      <c r="Q699" t="n">
        <v>0</v>
      </c>
      <c r="R699" s="2" t="inlineStr"/>
    </row>
    <row r="700" ht="15" customHeight="1">
      <c r="A700" t="inlineStr">
        <is>
          <t>A 57765-2023</t>
        </is>
      </c>
      <c r="B700" s="1" t="n">
        <v>45246</v>
      </c>
      <c r="C700" s="1" t="n">
        <v>45570</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58132-2023</t>
        </is>
      </c>
      <c r="B701" s="1" t="n">
        <v>45250</v>
      </c>
      <c r="C701" s="1" t="n">
        <v>45570</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59559-2023</t>
        </is>
      </c>
      <c r="B702" s="1" t="n">
        <v>45254</v>
      </c>
      <c r="C702" s="1" t="n">
        <v>45570</v>
      </c>
      <c r="D702" t="inlineStr">
        <is>
          <t>GOTLANDS LÄN</t>
        </is>
      </c>
      <c r="E702" t="inlineStr">
        <is>
          <t>GOTLAND</t>
        </is>
      </c>
      <c r="G702" t="n">
        <v>1</v>
      </c>
      <c r="H702" t="n">
        <v>0</v>
      </c>
      <c r="I702" t="n">
        <v>0</v>
      </c>
      <c r="J702" t="n">
        <v>0</v>
      </c>
      <c r="K702" t="n">
        <v>0</v>
      </c>
      <c r="L702" t="n">
        <v>0</v>
      </c>
      <c r="M702" t="n">
        <v>0</v>
      </c>
      <c r="N702" t="n">
        <v>0</v>
      </c>
      <c r="O702" t="n">
        <v>0</v>
      </c>
      <c r="P702" t="n">
        <v>0</v>
      </c>
      <c r="Q702" t="n">
        <v>0</v>
      </c>
      <c r="R702" s="2" t="inlineStr"/>
    </row>
    <row r="703" ht="15" customHeight="1">
      <c r="A703" t="inlineStr">
        <is>
          <t>A 59554-2023</t>
        </is>
      </c>
      <c r="B703" s="1" t="n">
        <v>45254</v>
      </c>
      <c r="C703" s="1" t="n">
        <v>45570</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60269-2023</t>
        </is>
      </c>
      <c r="B704" s="1" t="n">
        <v>45258</v>
      </c>
      <c r="C704" s="1" t="n">
        <v>45570</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60273-2023</t>
        </is>
      </c>
      <c r="B705" s="1" t="n">
        <v>45258</v>
      </c>
      <c r="C705" s="1" t="n">
        <v>45570</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60709-2023</t>
        </is>
      </c>
      <c r="B706" s="1" t="n">
        <v>45260</v>
      </c>
      <c r="C706" s="1" t="n">
        <v>45570</v>
      </c>
      <c r="D706" t="inlineStr">
        <is>
          <t>GOTLANDS LÄN</t>
        </is>
      </c>
      <c r="E706" t="inlineStr">
        <is>
          <t>GOTLAND</t>
        </is>
      </c>
      <c r="G706" t="n">
        <v>1.7</v>
      </c>
      <c r="H706" t="n">
        <v>0</v>
      </c>
      <c r="I706" t="n">
        <v>0</v>
      </c>
      <c r="J706" t="n">
        <v>0</v>
      </c>
      <c r="K706" t="n">
        <v>0</v>
      </c>
      <c r="L706" t="n">
        <v>0</v>
      </c>
      <c r="M706" t="n">
        <v>0</v>
      </c>
      <c r="N706" t="n">
        <v>0</v>
      </c>
      <c r="O706" t="n">
        <v>0</v>
      </c>
      <c r="P706" t="n">
        <v>0</v>
      </c>
      <c r="Q706" t="n">
        <v>0</v>
      </c>
      <c r="R706" s="2" t="inlineStr"/>
    </row>
    <row r="707" ht="15" customHeight="1">
      <c r="A707" t="inlineStr">
        <is>
          <t>A 61175-2023</t>
        </is>
      </c>
      <c r="B707" s="1" t="n">
        <v>45263</v>
      </c>
      <c r="C707" s="1" t="n">
        <v>45570</v>
      </c>
      <c r="D707" t="inlineStr">
        <is>
          <t>GOTLANDS LÄN</t>
        </is>
      </c>
      <c r="E707" t="inlineStr">
        <is>
          <t>GOTLAND</t>
        </is>
      </c>
      <c r="G707" t="n">
        <v>0.9</v>
      </c>
      <c r="H707" t="n">
        <v>0</v>
      </c>
      <c r="I707" t="n">
        <v>0</v>
      </c>
      <c r="J707" t="n">
        <v>0</v>
      </c>
      <c r="K707" t="n">
        <v>0</v>
      </c>
      <c r="L707" t="n">
        <v>0</v>
      </c>
      <c r="M707" t="n">
        <v>0</v>
      </c>
      <c r="N707" t="n">
        <v>0</v>
      </c>
      <c r="O707" t="n">
        <v>0</v>
      </c>
      <c r="P707" t="n">
        <v>0</v>
      </c>
      <c r="Q707" t="n">
        <v>0</v>
      </c>
      <c r="R707" s="2" t="inlineStr"/>
    </row>
    <row r="708" ht="15" customHeight="1">
      <c r="A708" t="inlineStr">
        <is>
          <t>A 61386-2023</t>
        </is>
      </c>
      <c r="B708" s="1" t="n">
        <v>45264</v>
      </c>
      <c r="C708" s="1" t="n">
        <v>45570</v>
      </c>
      <c r="D708" t="inlineStr">
        <is>
          <t>GOTLANDS LÄN</t>
        </is>
      </c>
      <c r="E708" t="inlineStr">
        <is>
          <t>GOTLAND</t>
        </is>
      </c>
      <c r="G708" t="n">
        <v>0.7</v>
      </c>
      <c r="H708" t="n">
        <v>0</v>
      </c>
      <c r="I708" t="n">
        <v>0</v>
      </c>
      <c r="J708" t="n">
        <v>0</v>
      </c>
      <c r="K708" t="n">
        <v>0</v>
      </c>
      <c r="L708" t="n">
        <v>0</v>
      </c>
      <c r="M708" t="n">
        <v>0</v>
      </c>
      <c r="N708" t="n">
        <v>0</v>
      </c>
      <c r="O708" t="n">
        <v>0</v>
      </c>
      <c r="P708" t="n">
        <v>0</v>
      </c>
      <c r="Q708" t="n">
        <v>0</v>
      </c>
      <c r="R708" s="2" t="inlineStr"/>
    </row>
    <row r="709" ht="15" customHeight="1">
      <c r="A709" t="inlineStr">
        <is>
          <t>A 61694-2023</t>
        </is>
      </c>
      <c r="B709" s="1" t="n">
        <v>45264</v>
      </c>
      <c r="C709" s="1" t="n">
        <v>45570</v>
      </c>
      <c r="D709" t="inlineStr">
        <is>
          <t>GOTLANDS LÄN</t>
        </is>
      </c>
      <c r="E709" t="inlineStr">
        <is>
          <t>GOTLAND</t>
        </is>
      </c>
      <c r="G709" t="n">
        <v>4.6</v>
      </c>
      <c r="H709" t="n">
        <v>0</v>
      </c>
      <c r="I709" t="n">
        <v>0</v>
      </c>
      <c r="J709" t="n">
        <v>0</v>
      </c>
      <c r="K709" t="n">
        <v>0</v>
      </c>
      <c r="L709" t="n">
        <v>0</v>
      </c>
      <c r="M709" t="n">
        <v>0</v>
      </c>
      <c r="N709" t="n">
        <v>0</v>
      </c>
      <c r="O709" t="n">
        <v>0</v>
      </c>
      <c r="P709" t="n">
        <v>0</v>
      </c>
      <c r="Q709" t="n">
        <v>0</v>
      </c>
      <c r="R709" s="2" t="inlineStr"/>
    </row>
    <row r="710" ht="15" customHeight="1">
      <c r="A710" t="inlineStr">
        <is>
          <t>A 61596-2023</t>
        </is>
      </c>
      <c r="B710" s="1" t="n">
        <v>45265</v>
      </c>
      <c r="C710" s="1" t="n">
        <v>45570</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61634-2023</t>
        </is>
      </c>
      <c r="B711" s="1" t="n">
        <v>45265</v>
      </c>
      <c r="C711" s="1" t="n">
        <v>45570</v>
      </c>
      <c r="D711" t="inlineStr">
        <is>
          <t>GOTLANDS LÄN</t>
        </is>
      </c>
      <c r="E711" t="inlineStr">
        <is>
          <t>GOTLAND</t>
        </is>
      </c>
      <c r="G711" t="n">
        <v>7.4</v>
      </c>
      <c r="H711" t="n">
        <v>0</v>
      </c>
      <c r="I711" t="n">
        <v>0</v>
      </c>
      <c r="J711" t="n">
        <v>0</v>
      </c>
      <c r="K711" t="n">
        <v>0</v>
      </c>
      <c r="L711" t="n">
        <v>0</v>
      </c>
      <c r="M711" t="n">
        <v>0</v>
      </c>
      <c r="N711" t="n">
        <v>0</v>
      </c>
      <c r="O711" t="n">
        <v>0</v>
      </c>
      <c r="P711" t="n">
        <v>0</v>
      </c>
      <c r="Q711" t="n">
        <v>0</v>
      </c>
      <c r="R711" s="2" t="inlineStr"/>
    </row>
    <row r="712" ht="15" customHeight="1">
      <c r="A712" t="inlineStr">
        <is>
          <t>A 63246-2023</t>
        </is>
      </c>
      <c r="B712" s="1" t="n">
        <v>45273</v>
      </c>
      <c r="C712" s="1" t="n">
        <v>45570</v>
      </c>
      <c r="D712" t="inlineStr">
        <is>
          <t>GOTLANDS LÄN</t>
        </is>
      </c>
      <c r="E712" t="inlineStr">
        <is>
          <t>GOTLAND</t>
        </is>
      </c>
      <c r="G712" t="n">
        <v>1.1</v>
      </c>
      <c r="H712" t="n">
        <v>0</v>
      </c>
      <c r="I712" t="n">
        <v>0</v>
      </c>
      <c r="J712" t="n">
        <v>0</v>
      </c>
      <c r="K712" t="n">
        <v>0</v>
      </c>
      <c r="L712" t="n">
        <v>0</v>
      </c>
      <c r="M712" t="n">
        <v>0</v>
      </c>
      <c r="N712" t="n">
        <v>0</v>
      </c>
      <c r="O712" t="n">
        <v>0</v>
      </c>
      <c r="P712" t="n">
        <v>0</v>
      </c>
      <c r="Q712" t="n">
        <v>0</v>
      </c>
      <c r="R712" s="2" t="inlineStr"/>
    </row>
    <row r="713" ht="15" customHeight="1">
      <c r="A713" t="inlineStr">
        <is>
          <t>A 63303-2023</t>
        </is>
      </c>
      <c r="B713" s="1" t="n">
        <v>45274</v>
      </c>
      <c r="C713" s="1" t="n">
        <v>45570</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63516-2023</t>
        </is>
      </c>
      <c r="B714" s="1" t="n">
        <v>45274</v>
      </c>
      <c r="C714" s="1" t="n">
        <v>45570</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63773-2023</t>
        </is>
      </c>
      <c r="B715" s="1" t="n">
        <v>45278</v>
      </c>
      <c r="C715" s="1" t="n">
        <v>45570</v>
      </c>
      <c r="D715" t="inlineStr">
        <is>
          <t>GOTLANDS LÄN</t>
        </is>
      </c>
      <c r="E715" t="inlineStr">
        <is>
          <t>GOTLAND</t>
        </is>
      </c>
      <c r="G715" t="n">
        <v>8.5</v>
      </c>
      <c r="H715" t="n">
        <v>0</v>
      </c>
      <c r="I715" t="n">
        <v>0</v>
      </c>
      <c r="J715" t="n">
        <v>0</v>
      </c>
      <c r="K715" t="n">
        <v>0</v>
      </c>
      <c r="L715" t="n">
        <v>0</v>
      </c>
      <c r="M715" t="n">
        <v>0</v>
      </c>
      <c r="N715" t="n">
        <v>0</v>
      </c>
      <c r="O715" t="n">
        <v>0</v>
      </c>
      <c r="P715" t="n">
        <v>0</v>
      </c>
      <c r="Q715" t="n">
        <v>0</v>
      </c>
      <c r="R715" s="2" t="inlineStr"/>
    </row>
    <row r="716" ht="15" customHeight="1">
      <c r="A716" t="inlineStr">
        <is>
          <t>A 63763-2023</t>
        </is>
      </c>
      <c r="B716" s="1" t="n">
        <v>45278</v>
      </c>
      <c r="C716" s="1" t="n">
        <v>45570</v>
      </c>
      <c r="D716" t="inlineStr">
        <is>
          <t>GOTLANDS LÄN</t>
        </is>
      </c>
      <c r="E716" t="inlineStr">
        <is>
          <t>GOTLAND</t>
        </is>
      </c>
      <c r="G716" t="n">
        <v>0.5</v>
      </c>
      <c r="H716" t="n">
        <v>0</v>
      </c>
      <c r="I716" t="n">
        <v>0</v>
      </c>
      <c r="J716" t="n">
        <v>0</v>
      </c>
      <c r="K716" t="n">
        <v>0</v>
      </c>
      <c r="L716" t="n">
        <v>0</v>
      </c>
      <c r="M716" t="n">
        <v>0</v>
      </c>
      <c r="N716" t="n">
        <v>0</v>
      </c>
      <c r="O716" t="n">
        <v>0</v>
      </c>
      <c r="P716" t="n">
        <v>0</v>
      </c>
      <c r="Q716" t="n">
        <v>0</v>
      </c>
      <c r="R716" s="2" t="inlineStr"/>
    </row>
    <row r="717" ht="15" customHeight="1">
      <c r="A717" t="inlineStr">
        <is>
          <t>A 63996-2023</t>
        </is>
      </c>
      <c r="B717" s="1" t="n">
        <v>45278</v>
      </c>
      <c r="C717" s="1" t="n">
        <v>45570</v>
      </c>
      <c r="D717" t="inlineStr">
        <is>
          <t>GOTLANDS LÄN</t>
        </is>
      </c>
      <c r="E717" t="inlineStr">
        <is>
          <t>GOTLAND</t>
        </is>
      </c>
      <c r="G717" t="n">
        <v>3.8</v>
      </c>
      <c r="H717" t="n">
        <v>0</v>
      </c>
      <c r="I717" t="n">
        <v>0</v>
      </c>
      <c r="J717" t="n">
        <v>0</v>
      </c>
      <c r="K717" t="n">
        <v>0</v>
      </c>
      <c r="L717" t="n">
        <v>0</v>
      </c>
      <c r="M717" t="n">
        <v>0</v>
      </c>
      <c r="N717" t="n">
        <v>0</v>
      </c>
      <c r="O717" t="n">
        <v>0</v>
      </c>
      <c r="P717" t="n">
        <v>0</v>
      </c>
      <c r="Q717" t="n">
        <v>0</v>
      </c>
      <c r="R717" s="2" t="inlineStr"/>
    </row>
    <row r="718" ht="15" customHeight="1">
      <c r="A718" t="inlineStr">
        <is>
          <t>A 64555-2023</t>
        </is>
      </c>
      <c r="B718" s="1" t="n">
        <v>45281</v>
      </c>
      <c r="C718" s="1" t="n">
        <v>45570</v>
      </c>
      <c r="D718" t="inlineStr">
        <is>
          <t>GOTLANDS LÄN</t>
        </is>
      </c>
      <c r="E718" t="inlineStr">
        <is>
          <t>GOTLAND</t>
        </is>
      </c>
      <c r="G718" t="n">
        <v>3.5</v>
      </c>
      <c r="H718" t="n">
        <v>0</v>
      </c>
      <c r="I718" t="n">
        <v>0</v>
      </c>
      <c r="J718" t="n">
        <v>0</v>
      </c>
      <c r="K718" t="n">
        <v>0</v>
      </c>
      <c r="L718" t="n">
        <v>0</v>
      </c>
      <c r="M718" t="n">
        <v>0</v>
      </c>
      <c r="N718" t="n">
        <v>0</v>
      </c>
      <c r="O718" t="n">
        <v>0</v>
      </c>
      <c r="P718" t="n">
        <v>0</v>
      </c>
      <c r="Q718" t="n">
        <v>0</v>
      </c>
      <c r="R718" s="2" t="inlineStr"/>
    </row>
    <row r="719" ht="15" customHeight="1">
      <c r="A719" t="inlineStr">
        <is>
          <t>A 64660-2023</t>
        </is>
      </c>
      <c r="B719" s="1" t="n">
        <v>45281</v>
      </c>
      <c r="C719" s="1" t="n">
        <v>45570</v>
      </c>
      <c r="D719" t="inlineStr">
        <is>
          <t>GOTLANDS LÄN</t>
        </is>
      </c>
      <c r="E719" t="inlineStr">
        <is>
          <t>GOTLAND</t>
        </is>
      </c>
      <c r="G719" t="n">
        <v>6.3</v>
      </c>
      <c r="H719" t="n">
        <v>0</v>
      </c>
      <c r="I719" t="n">
        <v>0</v>
      </c>
      <c r="J719" t="n">
        <v>0</v>
      </c>
      <c r="K719" t="n">
        <v>0</v>
      </c>
      <c r="L719" t="n">
        <v>0</v>
      </c>
      <c r="M719" t="n">
        <v>0</v>
      </c>
      <c r="N719" t="n">
        <v>0</v>
      </c>
      <c r="O719" t="n">
        <v>0</v>
      </c>
      <c r="P719" t="n">
        <v>0</v>
      </c>
      <c r="Q719" t="n">
        <v>0</v>
      </c>
      <c r="R719" s="2" t="inlineStr"/>
    </row>
    <row r="720" ht="15" customHeight="1">
      <c r="A720" t="inlineStr">
        <is>
          <t>A 64831-2023</t>
        </is>
      </c>
      <c r="B720" s="1" t="n">
        <v>45282</v>
      </c>
      <c r="C720" s="1" t="n">
        <v>45570</v>
      </c>
      <c r="D720" t="inlineStr">
        <is>
          <t>GOTLANDS LÄN</t>
        </is>
      </c>
      <c r="E720" t="inlineStr">
        <is>
          <t>GOTLAND</t>
        </is>
      </c>
      <c r="G720" t="n">
        <v>1.9</v>
      </c>
      <c r="H720" t="n">
        <v>0</v>
      </c>
      <c r="I720" t="n">
        <v>0</v>
      </c>
      <c r="J720" t="n">
        <v>0</v>
      </c>
      <c r="K720" t="n">
        <v>0</v>
      </c>
      <c r="L720" t="n">
        <v>0</v>
      </c>
      <c r="M720" t="n">
        <v>0</v>
      </c>
      <c r="N720" t="n">
        <v>0</v>
      </c>
      <c r="O720" t="n">
        <v>0</v>
      </c>
      <c r="P720" t="n">
        <v>0</v>
      </c>
      <c r="Q720" t="n">
        <v>0</v>
      </c>
      <c r="R720" s="2" t="inlineStr"/>
    </row>
    <row r="721" ht="15" customHeight="1">
      <c r="A721" t="inlineStr">
        <is>
          <t>A 64838-2023</t>
        </is>
      </c>
      <c r="B721" s="1" t="n">
        <v>45282</v>
      </c>
      <c r="C721" s="1" t="n">
        <v>45570</v>
      </c>
      <c r="D721" t="inlineStr">
        <is>
          <t>GOTLANDS LÄN</t>
        </is>
      </c>
      <c r="E721" t="inlineStr">
        <is>
          <t>GOTLAND</t>
        </is>
      </c>
      <c r="G721" t="n">
        <v>7.5</v>
      </c>
      <c r="H721" t="n">
        <v>0</v>
      </c>
      <c r="I721" t="n">
        <v>0</v>
      </c>
      <c r="J721" t="n">
        <v>0</v>
      </c>
      <c r="K721" t="n">
        <v>0</v>
      </c>
      <c r="L721" t="n">
        <v>0</v>
      </c>
      <c r="M721" t="n">
        <v>0</v>
      </c>
      <c r="N721" t="n">
        <v>0</v>
      </c>
      <c r="O721" t="n">
        <v>0</v>
      </c>
      <c r="P721" t="n">
        <v>0</v>
      </c>
      <c r="Q721" t="n">
        <v>0</v>
      </c>
      <c r="R721" s="2" t="inlineStr"/>
    </row>
    <row r="722" ht="15" customHeight="1">
      <c r="A722" t="inlineStr">
        <is>
          <t>A 64969-2023</t>
        </is>
      </c>
      <c r="B722" s="1" t="n">
        <v>45284</v>
      </c>
      <c r="C722" s="1" t="n">
        <v>45570</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65088-2023</t>
        </is>
      </c>
      <c r="B723" s="1" t="n">
        <v>45287</v>
      </c>
      <c r="C723" s="1" t="n">
        <v>45570</v>
      </c>
      <c r="D723" t="inlineStr">
        <is>
          <t>GOTLANDS LÄN</t>
        </is>
      </c>
      <c r="E723" t="inlineStr">
        <is>
          <t>GOTLAND</t>
        </is>
      </c>
      <c r="G723" t="n">
        <v>2.5</v>
      </c>
      <c r="H723" t="n">
        <v>0</v>
      </c>
      <c r="I723" t="n">
        <v>0</v>
      </c>
      <c r="J723" t="n">
        <v>0</v>
      </c>
      <c r="K723" t="n">
        <v>0</v>
      </c>
      <c r="L723" t="n">
        <v>0</v>
      </c>
      <c r="M723" t="n">
        <v>0</v>
      </c>
      <c r="N723" t="n">
        <v>0</v>
      </c>
      <c r="O723" t="n">
        <v>0</v>
      </c>
      <c r="P723" t="n">
        <v>0</v>
      </c>
      <c r="Q723" t="n">
        <v>0</v>
      </c>
      <c r="R723" s="2" t="inlineStr"/>
    </row>
    <row r="724" ht="15" customHeight="1">
      <c r="A724" t="inlineStr">
        <is>
          <t>A 65097-2023</t>
        </is>
      </c>
      <c r="B724" s="1" t="n">
        <v>45287</v>
      </c>
      <c r="C724" s="1" t="n">
        <v>45570</v>
      </c>
      <c r="D724" t="inlineStr">
        <is>
          <t>GOTLANDS LÄN</t>
        </is>
      </c>
      <c r="E724" t="inlineStr">
        <is>
          <t>GOTLAND</t>
        </is>
      </c>
      <c r="G724" t="n">
        <v>15.4</v>
      </c>
      <c r="H724" t="n">
        <v>0</v>
      </c>
      <c r="I724" t="n">
        <v>0</v>
      </c>
      <c r="J724" t="n">
        <v>0</v>
      </c>
      <c r="K724" t="n">
        <v>0</v>
      </c>
      <c r="L724" t="n">
        <v>0</v>
      </c>
      <c r="M724" t="n">
        <v>0</v>
      </c>
      <c r="N724" t="n">
        <v>0</v>
      </c>
      <c r="O724" t="n">
        <v>0</v>
      </c>
      <c r="P724" t="n">
        <v>0</v>
      </c>
      <c r="Q724" t="n">
        <v>0</v>
      </c>
      <c r="R724" s="2" t="inlineStr"/>
    </row>
    <row r="725" ht="15" customHeight="1">
      <c r="A725" t="inlineStr">
        <is>
          <t>A 65249-2023</t>
        </is>
      </c>
      <c r="B725" s="1" t="n">
        <v>45290</v>
      </c>
      <c r="C725" s="1" t="n">
        <v>45570</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98-2024</t>
        </is>
      </c>
      <c r="B726" s="1" t="n">
        <v>45293</v>
      </c>
      <c r="C726" s="1" t="n">
        <v>45570</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450-2024</t>
        </is>
      </c>
      <c r="B727" s="1" t="n">
        <v>45296</v>
      </c>
      <c r="C727" s="1" t="n">
        <v>45570</v>
      </c>
      <c r="D727" t="inlineStr">
        <is>
          <t>GOTLANDS LÄN</t>
        </is>
      </c>
      <c r="E727" t="inlineStr">
        <is>
          <t>GOTLAND</t>
        </is>
      </c>
      <c r="G727" t="n">
        <v>10.1</v>
      </c>
      <c r="H727" t="n">
        <v>0</v>
      </c>
      <c r="I727" t="n">
        <v>0</v>
      </c>
      <c r="J727" t="n">
        <v>0</v>
      </c>
      <c r="K727" t="n">
        <v>0</v>
      </c>
      <c r="L727" t="n">
        <v>0</v>
      </c>
      <c r="M727" t="n">
        <v>0</v>
      </c>
      <c r="N727" t="n">
        <v>0</v>
      </c>
      <c r="O727" t="n">
        <v>0</v>
      </c>
      <c r="P727" t="n">
        <v>0</v>
      </c>
      <c r="Q727" t="n">
        <v>0</v>
      </c>
      <c r="R727" s="2" t="inlineStr"/>
    </row>
    <row r="728" ht="15" customHeight="1">
      <c r="A728" t="inlineStr">
        <is>
          <t>A 533-2024</t>
        </is>
      </c>
      <c r="B728" s="1" t="n">
        <v>45299</v>
      </c>
      <c r="C728" s="1" t="n">
        <v>45570</v>
      </c>
      <c r="D728" t="inlineStr">
        <is>
          <t>GOTLANDS LÄN</t>
        </is>
      </c>
      <c r="E728" t="inlineStr">
        <is>
          <t>GOTLAND</t>
        </is>
      </c>
      <c r="G728" t="n">
        <v>7.1</v>
      </c>
      <c r="H728" t="n">
        <v>0</v>
      </c>
      <c r="I728" t="n">
        <v>0</v>
      </c>
      <c r="J728" t="n">
        <v>0</v>
      </c>
      <c r="K728" t="n">
        <v>0</v>
      </c>
      <c r="L728" t="n">
        <v>0</v>
      </c>
      <c r="M728" t="n">
        <v>0</v>
      </c>
      <c r="N728" t="n">
        <v>0</v>
      </c>
      <c r="O728" t="n">
        <v>0</v>
      </c>
      <c r="P728" t="n">
        <v>0</v>
      </c>
      <c r="Q728" t="n">
        <v>0</v>
      </c>
      <c r="R728" s="2" t="inlineStr"/>
    </row>
    <row r="729" ht="15" customHeight="1">
      <c r="A729" t="inlineStr">
        <is>
          <t>A 796-2024</t>
        </is>
      </c>
      <c r="B729" s="1" t="n">
        <v>45300</v>
      </c>
      <c r="C729" s="1" t="n">
        <v>45570</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873-2024</t>
        </is>
      </c>
      <c r="B730" s="1" t="n">
        <v>45301</v>
      </c>
      <c r="C730" s="1" t="n">
        <v>45570</v>
      </c>
      <c r="D730" t="inlineStr">
        <is>
          <t>GOTLANDS LÄN</t>
        </is>
      </c>
      <c r="E730" t="inlineStr">
        <is>
          <t>GOTLAND</t>
        </is>
      </c>
      <c r="G730" t="n">
        <v>2.7</v>
      </c>
      <c r="H730" t="n">
        <v>0</v>
      </c>
      <c r="I730" t="n">
        <v>0</v>
      </c>
      <c r="J730" t="n">
        <v>0</v>
      </c>
      <c r="K730" t="n">
        <v>0</v>
      </c>
      <c r="L730" t="n">
        <v>0</v>
      </c>
      <c r="M730" t="n">
        <v>0</v>
      </c>
      <c r="N730" t="n">
        <v>0</v>
      </c>
      <c r="O730" t="n">
        <v>0</v>
      </c>
      <c r="P730" t="n">
        <v>0</v>
      </c>
      <c r="Q730" t="n">
        <v>0</v>
      </c>
      <c r="R730" s="2" t="inlineStr"/>
    </row>
    <row r="731" ht="15" customHeight="1">
      <c r="A731" t="inlineStr">
        <is>
          <t>A 876-2024</t>
        </is>
      </c>
      <c r="B731" s="1" t="n">
        <v>45301</v>
      </c>
      <c r="C731" s="1" t="n">
        <v>45570</v>
      </c>
      <c r="D731" t="inlineStr">
        <is>
          <t>GOTLANDS LÄN</t>
        </is>
      </c>
      <c r="E731" t="inlineStr">
        <is>
          <t>GOTLAND</t>
        </is>
      </c>
      <c r="G731" t="n">
        <v>5.3</v>
      </c>
      <c r="H731" t="n">
        <v>0</v>
      </c>
      <c r="I731" t="n">
        <v>0</v>
      </c>
      <c r="J731" t="n">
        <v>0</v>
      </c>
      <c r="K731" t="n">
        <v>0</v>
      </c>
      <c r="L731" t="n">
        <v>0</v>
      </c>
      <c r="M731" t="n">
        <v>0</v>
      </c>
      <c r="N731" t="n">
        <v>0</v>
      </c>
      <c r="O731" t="n">
        <v>0</v>
      </c>
      <c r="P731" t="n">
        <v>0</v>
      </c>
      <c r="Q731" t="n">
        <v>0</v>
      </c>
      <c r="R731" s="2" t="inlineStr"/>
    </row>
    <row r="732" ht="15" customHeight="1">
      <c r="A732" t="inlineStr">
        <is>
          <t>A 999-2024</t>
        </is>
      </c>
      <c r="B732" s="1" t="n">
        <v>45301</v>
      </c>
      <c r="C732" s="1" t="n">
        <v>45570</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1010-2024</t>
        </is>
      </c>
      <c r="B733" s="1" t="n">
        <v>45301</v>
      </c>
      <c r="C733" s="1" t="n">
        <v>45570</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1000-2024</t>
        </is>
      </c>
      <c r="B734" s="1" t="n">
        <v>45301</v>
      </c>
      <c r="C734" s="1" t="n">
        <v>45570</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1008-2024</t>
        </is>
      </c>
      <c r="B735" s="1" t="n">
        <v>45301</v>
      </c>
      <c r="C735" s="1" t="n">
        <v>45570</v>
      </c>
      <c r="D735" t="inlineStr">
        <is>
          <t>GOTLANDS LÄN</t>
        </is>
      </c>
      <c r="E735" t="inlineStr">
        <is>
          <t>GOTLAND</t>
        </is>
      </c>
      <c r="G735" t="n">
        <v>2.3</v>
      </c>
      <c r="H735" t="n">
        <v>0</v>
      </c>
      <c r="I735" t="n">
        <v>0</v>
      </c>
      <c r="J735" t="n">
        <v>0</v>
      </c>
      <c r="K735" t="n">
        <v>0</v>
      </c>
      <c r="L735" t="n">
        <v>0</v>
      </c>
      <c r="M735" t="n">
        <v>0</v>
      </c>
      <c r="N735" t="n">
        <v>0</v>
      </c>
      <c r="O735" t="n">
        <v>0</v>
      </c>
      <c r="P735" t="n">
        <v>0</v>
      </c>
      <c r="Q735" t="n">
        <v>0</v>
      </c>
      <c r="R735" s="2" t="inlineStr"/>
    </row>
    <row r="736" ht="15" customHeight="1">
      <c r="A736" t="inlineStr">
        <is>
          <t>A 1066-2024</t>
        </is>
      </c>
      <c r="B736" s="1" t="n">
        <v>45302</v>
      </c>
      <c r="C736" s="1" t="n">
        <v>45570</v>
      </c>
      <c r="D736" t="inlineStr">
        <is>
          <t>GOTLANDS LÄN</t>
        </is>
      </c>
      <c r="E736" t="inlineStr">
        <is>
          <t>GOTLAND</t>
        </is>
      </c>
      <c r="G736" t="n">
        <v>1.4</v>
      </c>
      <c r="H736" t="n">
        <v>0</v>
      </c>
      <c r="I736" t="n">
        <v>0</v>
      </c>
      <c r="J736" t="n">
        <v>0</v>
      </c>
      <c r="K736" t="n">
        <v>0</v>
      </c>
      <c r="L736" t="n">
        <v>0</v>
      </c>
      <c r="M736" t="n">
        <v>0</v>
      </c>
      <c r="N736" t="n">
        <v>0</v>
      </c>
      <c r="O736" t="n">
        <v>0</v>
      </c>
      <c r="P736" t="n">
        <v>0</v>
      </c>
      <c r="Q736" t="n">
        <v>0</v>
      </c>
      <c r="R736" s="2" t="inlineStr"/>
    </row>
    <row r="737" ht="15" customHeight="1">
      <c r="A737" t="inlineStr">
        <is>
          <t>A 1321-2024</t>
        </is>
      </c>
      <c r="B737" s="1" t="n">
        <v>45303</v>
      </c>
      <c r="C737" s="1" t="n">
        <v>45570</v>
      </c>
      <c r="D737" t="inlineStr">
        <is>
          <t>GOTLANDS LÄN</t>
        </is>
      </c>
      <c r="E737" t="inlineStr">
        <is>
          <t>GOTLAND</t>
        </is>
      </c>
      <c r="G737" t="n">
        <v>5.5</v>
      </c>
      <c r="H737" t="n">
        <v>0</v>
      </c>
      <c r="I737" t="n">
        <v>0</v>
      </c>
      <c r="J737" t="n">
        <v>0</v>
      </c>
      <c r="K737" t="n">
        <v>0</v>
      </c>
      <c r="L737" t="n">
        <v>0</v>
      </c>
      <c r="M737" t="n">
        <v>0</v>
      </c>
      <c r="N737" t="n">
        <v>0</v>
      </c>
      <c r="O737" t="n">
        <v>0</v>
      </c>
      <c r="P737" t="n">
        <v>0</v>
      </c>
      <c r="Q737" t="n">
        <v>0</v>
      </c>
      <c r="R737" s="2" t="inlineStr"/>
    </row>
    <row r="738" ht="15" customHeight="1">
      <c r="A738" t="inlineStr">
        <is>
          <t>A 1477-2024</t>
        </is>
      </c>
      <c r="B738" s="1" t="n">
        <v>45305</v>
      </c>
      <c r="C738" s="1" t="n">
        <v>45570</v>
      </c>
      <c r="D738" t="inlineStr">
        <is>
          <t>GOTLANDS LÄN</t>
        </is>
      </c>
      <c r="E738" t="inlineStr">
        <is>
          <t>GOTLAND</t>
        </is>
      </c>
      <c r="G738" t="n">
        <v>6.9</v>
      </c>
      <c r="H738" t="n">
        <v>0</v>
      </c>
      <c r="I738" t="n">
        <v>0</v>
      </c>
      <c r="J738" t="n">
        <v>0</v>
      </c>
      <c r="K738" t="n">
        <v>0</v>
      </c>
      <c r="L738" t="n">
        <v>0</v>
      </c>
      <c r="M738" t="n">
        <v>0</v>
      </c>
      <c r="N738" t="n">
        <v>0</v>
      </c>
      <c r="O738" t="n">
        <v>0</v>
      </c>
      <c r="P738" t="n">
        <v>0</v>
      </c>
      <c r="Q738" t="n">
        <v>0</v>
      </c>
      <c r="R738" s="2" t="inlineStr"/>
    </row>
    <row r="739" ht="15" customHeight="1">
      <c r="A739" t="inlineStr">
        <is>
          <t>A 2010-2024</t>
        </is>
      </c>
      <c r="B739" s="1" t="n">
        <v>45308</v>
      </c>
      <c r="C739" s="1" t="n">
        <v>45570</v>
      </c>
      <c r="D739" t="inlineStr">
        <is>
          <t>GOTLANDS LÄN</t>
        </is>
      </c>
      <c r="E739" t="inlineStr">
        <is>
          <t>GOTLAND</t>
        </is>
      </c>
      <c r="G739" t="n">
        <v>5.1</v>
      </c>
      <c r="H739" t="n">
        <v>0</v>
      </c>
      <c r="I739" t="n">
        <v>0</v>
      </c>
      <c r="J739" t="n">
        <v>0</v>
      </c>
      <c r="K739" t="n">
        <v>0</v>
      </c>
      <c r="L739" t="n">
        <v>0</v>
      </c>
      <c r="M739" t="n">
        <v>0</v>
      </c>
      <c r="N739" t="n">
        <v>0</v>
      </c>
      <c r="O739" t="n">
        <v>0</v>
      </c>
      <c r="P739" t="n">
        <v>0</v>
      </c>
      <c r="Q739" t="n">
        <v>0</v>
      </c>
      <c r="R739" s="2" t="inlineStr"/>
    </row>
    <row r="740" ht="15" customHeight="1">
      <c r="A740" t="inlineStr">
        <is>
          <t>A 2534-2024</t>
        </is>
      </c>
      <c r="B740" s="1" t="n">
        <v>45313</v>
      </c>
      <c r="C740" s="1" t="n">
        <v>45570</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45570</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45570</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45570</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45570</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45570</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45570</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45570</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45570</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45570</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45570</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45570</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45570</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45570</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45570</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45570</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45570</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45570</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45570</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45570</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45570</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45570</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45570</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45570</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45570</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45570</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45570</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45570</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45570</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45570</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45570</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45570</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45570</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45570</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45570</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45570</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45570</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45570</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45570</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45570</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45570</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45570</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45570</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45570</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45570</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45570</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45570</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45570</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45570</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45570</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45570</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45570</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45570</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45570</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45570</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45570</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45570</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45570</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45570</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45570</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45570</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45570</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45570</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45570</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45570</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45570</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45570</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45570</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45570</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45570</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45570</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45570</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45570</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45570</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45570</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45570</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45570</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45570</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45570</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45570</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45570</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45570</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45570</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45570</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45570</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45570</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45570</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45570</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45570</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45570</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45570</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45570</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45570</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45570</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45570</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45570</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45570</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45570</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45570</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45570</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45570</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45570</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45570</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45570</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45570</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45570</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45570</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45570</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45570</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45570</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45570</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45570</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45570</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45570</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45570</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45570</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45570</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45570</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45570</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45570</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45570</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45570</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45570</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45570</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45570</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45570</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45570</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45570</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45570</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45570</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45570</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45570</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45570</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45570</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45570</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45570</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45570</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45570</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45570</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45570</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45570</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45570</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45570</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45570</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45570</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45570</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42340-2024</t>
        </is>
      </c>
      <c r="B888" s="1" t="n">
        <v>45562</v>
      </c>
      <c r="C888" s="1" t="n">
        <v>45570</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42346-2024</t>
        </is>
      </c>
      <c r="B889" s="1" t="n">
        <v>45562</v>
      </c>
      <c r="C889" s="1" t="n">
        <v>45570</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c r="A890" t="inlineStr">
        <is>
          <t>A 42348-2024</t>
        </is>
      </c>
      <c r="B890" s="1" t="n">
        <v>45562</v>
      </c>
      <c r="C890" s="1" t="n">
        <v>45570</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2024-10-05T13:03:21Z</dcterms:created>
  <dcterms:modified xmlns:dcterms="http://purl.org/dc/terms/" xmlns:xsi="http://www.w3.org/2001/XMLSchema-instance" xsi:type="dcterms:W3CDTF">2024-10-05T13:03:22Z</dcterms:modified>
</cp:coreProperties>
</file>