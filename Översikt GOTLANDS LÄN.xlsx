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46168</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46168</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46168</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46168</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46168</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46168</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46168</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46168</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46168</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46168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46168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46168</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46168</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46168</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46168</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46168</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46168</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27280-2023</t>
        </is>
      </c>
      <c r="B47" s="1" t="n">
        <v>45096</v>
      </c>
      <c r="C47" s="1" t="n">
        <v>46168</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17766-2024</t>
        </is>
      </c>
      <c r="B48" s="1" t="n">
        <v>45418</v>
      </c>
      <c r="C48" s="1" t="n">
        <v>46168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46168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14354-2024</t>
        </is>
      </c>
      <c r="B51" s="1" t="n">
        <v>45393</v>
      </c>
      <c r="C51" s="1" t="n">
        <v>46168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584-2023</t>
        </is>
      </c>
      <c r="B52" s="1" t="n">
        <v>44930</v>
      </c>
      <c r="C52" s="1" t="n">
        <v>46168</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46168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46168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46168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46168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46168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46168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27168-2022</t>
        </is>
      </c>
      <c r="B60" s="1" t="n">
        <v>44741</v>
      </c>
      <c r="C60" s="1" t="n">
        <v>46168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46168</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46168</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56687-2025</t>
        </is>
      </c>
      <c r="B64" s="1" t="n">
        <v>45975.84065972222</v>
      </c>
      <c r="C64" s="1" t="n">
        <v>46168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4984-2025</t>
        </is>
      </c>
      <c r="B65" s="1" t="n">
        <v>45691.29891203704</v>
      </c>
      <c r="C65" s="1" t="n">
        <v>46168</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18541-2024</t>
        </is>
      </c>
      <c r="B66" s="1" t="n">
        <v>45425</v>
      </c>
      <c r="C66" s="1" t="n">
        <v>46168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10419-2025</t>
        </is>
      </c>
      <c r="B67" s="1" t="n">
        <v>45720</v>
      </c>
      <c r="C67" s="1" t="n">
        <v>46168</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46168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46168</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46168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46168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46168</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46168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2085-2023</t>
        </is>
      </c>
      <c r="B75" s="1" t="n">
        <v>44939</v>
      </c>
      <c r="C75" s="1" t="n">
        <v>46168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46168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46168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46168</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39425-2023</t>
        </is>
      </c>
      <c r="B79" s="1" t="n">
        <v>45166</v>
      </c>
      <c r="C79" s="1" t="n">
        <v>46168</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35293-2025</t>
        </is>
      </c>
      <c r="B80" s="1" t="n">
        <v>45854.39438657407</v>
      </c>
      <c r="C80" s="1" t="n">
        <v>46168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46168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52245-2025</t>
        </is>
      </c>
      <c r="B82" s="1" t="n">
        <v>45953.47115740741</v>
      </c>
      <c r="C82" s="1" t="n">
        <v>46168</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46168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6839-2026</t>
        </is>
      </c>
      <c r="B84" s="1" t="n">
        <v>46057.41193287037</v>
      </c>
      <c r="C84" s="1" t="n">
        <v>46168</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2213-2023</t>
        </is>
      </c>
      <c r="B85" s="1" t="n">
        <v>44942</v>
      </c>
      <c r="C85" s="1" t="n">
        <v>46168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46168</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46168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46168</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40099-2025</t>
        </is>
      </c>
      <c r="B89" s="1" t="n">
        <v>45894.48462962963</v>
      </c>
      <c r="C89" s="1" t="n">
        <v>46168</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44933-2022</t>
        </is>
      </c>
      <c r="B90" s="1" t="n">
        <v>44841</v>
      </c>
      <c r="C90" s="1" t="n">
        <v>46168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6159-2023</t>
        </is>
      </c>
      <c r="B91" s="1" t="n">
        <v>44964</v>
      </c>
      <c r="C91" s="1" t="n">
        <v>46168</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52250-2025</t>
        </is>
      </c>
      <c r="B92" s="1" t="n">
        <v>45953.48998842593</v>
      </c>
      <c r="C92" s="1" t="n">
        <v>46168</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2485-2025</t>
        </is>
      </c>
      <c r="B93" s="1" t="n">
        <v>45673</v>
      </c>
      <c r="C93" s="1" t="n">
        <v>46168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46168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46168</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1971-2023</t>
        </is>
      </c>
      <c r="B96" s="1" t="n">
        <v>44939</v>
      </c>
      <c r="C96" s="1" t="n">
        <v>46168</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13203-2026</t>
        </is>
      </c>
      <c r="B97" s="1" t="n">
        <v>46093</v>
      </c>
      <c r="C97" s="1" t="n">
        <v>46168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6836-2026</t>
        </is>
      </c>
      <c r="B98" s="1" t="n">
        <v>46057</v>
      </c>
      <c r="C98" s="1" t="n">
        <v>46168</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20833-2024</t>
        </is>
      </c>
      <c r="B99" s="1" t="n">
        <v>45439</v>
      </c>
      <c r="C99" s="1" t="n">
        <v>46168</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46168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46168</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46168</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46168</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46168</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48126-2022</t>
        </is>
      </c>
      <c r="B110" s="1" t="n">
        <v>44857</v>
      </c>
      <c r="C110" s="1" t="n">
        <v>46168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30490-2025</t>
        </is>
      </c>
      <c r="B111" s="1" t="n">
        <v>45830</v>
      </c>
      <c r="C111" s="1" t="n">
        <v>46168</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55334-2024</t>
        </is>
      </c>
      <c r="B112" s="1" t="n">
        <v>45621</v>
      </c>
      <c r="C112" s="1" t="n">
        <v>46168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17982-2023</t>
        </is>
      </c>
      <c r="B113" s="1" t="n">
        <v>45040</v>
      </c>
      <c r="C113" s="1" t="n">
        <v>46168</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46168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49709-2025</t>
        </is>
      </c>
      <c r="B115" s="1" t="n">
        <v>45939.68228009259</v>
      </c>
      <c r="C115" s="1" t="n">
        <v>46168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13499-2022</t>
        </is>
      </c>
      <c r="B116" s="1" t="n">
        <v>44647.79203703703</v>
      </c>
      <c r="C116" s="1" t="n">
        <v>46168</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12315-2024</t>
        </is>
      </c>
      <c r="B117" s="1" t="n">
        <v>45378.6434837963</v>
      </c>
      <c r="C117" s="1" t="n">
        <v>46168</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1520-2026</t>
        </is>
      </c>
      <c r="B118" s="1" t="n">
        <v>46034.35891203704</v>
      </c>
      <c r="C118" s="1" t="n">
        <v>46168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46168</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73144-2021</t>
        </is>
      </c>
      <c r="B120" s="1" t="n">
        <v>44550</v>
      </c>
      <c r="C120" s="1" t="n">
        <v>46168</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20218-2022</t>
        </is>
      </c>
      <c r="B123" s="1" t="n">
        <v>44698</v>
      </c>
      <c r="C123" s="1" t="n">
        <v>46168</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60665-2021</t>
        </is>
      </c>
      <c r="B124" s="1" t="n">
        <v>44496</v>
      </c>
      <c r="C124" s="1" t="n">
        <v>46168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20838-2024</t>
        </is>
      </c>
      <c r="B125" s="1" t="n">
        <v>45439</v>
      </c>
      <c r="C125" s="1" t="n">
        <v>46168</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54357-2024</t>
        </is>
      </c>
      <c r="B126" s="1" t="n">
        <v>45617.40662037037</v>
      </c>
      <c r="C126" s="1" t="n">
        <v>46168</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26077-2024</t>
        </is>
      </c>
      <c r="B127" s="1" t="n">
        <v>45467</v>
      </c>
      <c r="C127" s="1" t="n">
        <v>46168</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46168</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7070-2022</t>
        </is>
      </c>
      <c r="B129" s="1" t="n">
        <v>44603</v>
      </c>
      <c r="C129" s="1" t="n">
        <v>46168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46168</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62760-2025</t>
        </is>
      </c>
      <c r="B131" s="1" t="n">
        <v>46008</v>
      </c>
      <c r="C131" s="1" t="n">
        <v>46168</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46168</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12914-2025</t>
        </is>
      </c>
      <c r="B133" s="1" t="n">
        <v>45733</v>
      </c>
      <c r="C133" s="1" t="n">
        <v>46168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46168</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46168</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16997-2026</t>
        </is>
      </c>
      <c r="B136" s="1" t="n">
        <v>46114.42539351852</v>
      </c>
      <c r="C136" s="1" t="n">
        <v>46168</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17328-2026</t>
        </is>
      </c>
      <c r="B137" s="1" t="n">
        <v>46119.61216435185</v>
      </c>
      <c r="C137" s="1" t="n">
        <v>46168</v>
      </c>
      <c r="D137" t="inlineStr">
        <is>
          <t>GOTLANDS LÄN</t>
        </is>
      </c>
      <c r="E137" t="inlineStr">
        <is>
          <t>GOTLAND</t>
        </is>
      </c>
      <c r="F137" t="inlineStr">
        <is>
          <t>Kyrkan</t>
        </is>
      </c>
      <c r="G137" t="n">
        <v>4</v>
      </c>
      <c r="H137" t="n">
        <v>1</v>
      </c>
      <c r="I137" t="n">
        <v>0</v>
      </c>
      <c r="J137" t="n">
        <v>2</v>
      </c>
      <c r="K137" t="n">
        <v>0</v>
      </c>
      <c r="L137" t="n">
        <v>0</v>
      </c>
      <c r="M137" t="n">
        <v>0</v>
      </c>
      <c r="N137" t="n">
        <v>0</v>
      </c>
      <c r="O137" t="n">
        <v>2</v>
      </c>
      <c r="P137" t="n">
        <v>0</v>
      </c>
      <c r="Q137" t="n">
        <v>2</v>
      </c>
      <c r="R137" s="2" t="inlineStr">
        <is>
          <t>Backtimjan
Spillkråka</t>
        </is>
      </c>
      <c r="S137">
        <f>HYPERLINK("https://klasma.github.io/Logging_0980/artfynd/A 17328-2026 artfynd.xlsx", "A 17328-2026")</f>
        <v/>
      </c>
      <c r="T137">
        <f>HYPERLINK("https://klasma.github.io/Logging_0980/kartor/A 17328-2026 karta.png", "A 17328-2026")</f>
        <v/>
      </c>
      <c r="V137">
        <f>HYPERLINK("https://klasma.github.io/Logging_0980/klagomål/A 17328-2026 FSC-klagomål.docx", "A 17328-2026")</f>
        <v/>
      </c>
      <c r="W137">
        <f>HYPERLINK("https://klasma.github.io/Logging_0980/klagomålsmail/A 17328-2026 FSC-klagomål mail.docx", "A 17328-2026")</f>
        <v/>
      </c>
      <c r="X137">
        <f>HYPERLINK("https://klasma.github.io/Logging_0980/tillsyn/A 17328-2026 tillsynsbegäran.docx", "A 17328-2026")</f>
        <v/>
      </c>
      <c r="Y137">
        <f>HYPERLINK("https://klasma.github.io/Logging_0980/tillsynsmail/A 17328-2026 tillsynsbegäran mail.docx", "A 17328-2026")</f>
        <v/>
      </c>
      <c r="Z137">
        <f>HYPERLINK("https://klasma.github.io/Logging_0980/fåglar/A 17328-2026 prioriterade fågelarter.docx", "A 17328-2026")</f>
        <v/>
      </c>
    </row>
    <row r="138" ht="15" customHeight="1">
      <c r="A138" t="inlineStr">
        <is>
          <t>A 28276-2024</t>
        </is>
      </c>
      <c r="B138" s="1" t="n">
        <v>45477</v>
      </c>
      <c r="C138" s="1" t="n">
        <v>46168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46168</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10995-2023</t>
        </is>
      </c>
      <c r="B141" s="1" t="n">
        <v>44986</v>
      </c>
      <c r="C141" s="1" t="n">
        <v>46168</v>
      </c>
      <c r="D141" t="inlineStr">
        <is>
          <t>GOTLANDS LÄN</t>
        </is>
      </c>
      <c r="E141" t="inlineStr">
        <is>
          <t>GOTLAND</t>
        </is>
      </c>
      <c r="G141" t="n">
        <v>2.8</v>
      </c>
      <c r="H141" t="n">
        <v>0</v>
      </c>
      <c r="I141" t="n">
        <v>0</v>
      </c>
      <c r="J141" t="n">
        <v>0</v>
      </c>
      <c r="K141" t="n">
        <v>1</v>
      </c>
      <c r="L141" t="n">
        <v>0</v>
      </c>
      <c r="M141" t="n">
        <v>0</v>
      </c>
      <c r="N141" t="n">
        <v>0</v>
      </c>
      <c r="O141" t="n">
        <v>1</v>
      </c>
      <c r="P141" t="n">
        <v>1</v>
      </c>
      <c r="Q141" t="n">
        <v>1</v>
      </c>
      <c r="R141" s="2" t="inlineStr">
        <is>
          <t>Violettfläckig spindling</t>
        </is>
      </c>
      <c r="S141">
        <f>HYPERLINK("https://klasma.github.io/Logging_0980/artfynd/A 10995-2023 artfynd.xlsx", "A 10995-2023")</f>
        <v/>
      </c>
      <c r="T141">
        <f>HYPERLINK("https://klasma.github.io/Logging_0980/kartor/A 10995-2023 karta.png", "A 10995-2023")</f>
        <v/>
      </c>
      <c r="V141">
        <f>HYPERLINK("https://klasma.github.io/Logging_0980/klagomål/A 10995-2023 FSC-klagomål.docx", "A 10995-2023")</f>
        <v/>
      </c>
      <c r="W141">
        <f>HYPERLINK("https://klasma.github.io/Logging_0980/klagomålsmail/A 10995-2023 FSC-klagomål mail.docx", "A 10995-2023")</f>
        <v/>
      </c>
      <c r="X141">
        <f>HYPERLINK("https://klasma.github.io/Logging_0980/tillsyn/A 10995-2023 tillsynsbegäran.docx", "A 10995-2023")</f>
        <v/>
      </c>
      <c r="Y141">
        <f>HYPERLINK("https://klasma.github.io/Logging_0980/tillsynsmail/A 10995-2023 tillsynsbegäran mail.docx", "A 10995-2023")</f>
        <v/>
      </c>
    </row>
    <row r="142" ht="15" customHeight="1">
      <c r="A142" t="inlineStr">
        <is>
          <t>A 10440-2024</t>
        </is>
      </c>
      <c r="B142" s="1" t="n">
        <v>45366.32818287037</v>
      </c>
      <c r="C142" s="1" t="n">
        <v>46168</v>
      </c>
      <c r="D142" t="inlineStr">
        <is>
          <t>GOTLANDS LÄN</t>
        </is>
      </c>
      <c r="E142" t="inlineStr">
        <is>
          <t>GOTLAND</t>
        </is>
      </c>
      <c r="G142" t="n">
        <v>2.5</v>
      </c>
      <c r="H142" t="n">
        <v>1</v>
      </c>
      <c r="I142" t="n">
        <v>0</v>
      </c>
      <c r="J142" t="n">
        <v>1</v>
      </c>
      <c r="K142" t="n">
        <v>0</v>
      </c>
      <c r="L142" t="n">
        <v>0</v>
      </c>
      <c r="M142" t="n">
        <v>0</v>
      </c>
      <c r="N142" t="n">
        <v>0</v>
      </c>
      <c r="O142" t="n">
        <v>1</v>
      </c>
      <c r="P142" t="n">
        <v>0</v>
      </c>
      <c r="Q142" t="n">
        <v>1</v>
      </c>
      <c r="R142" s="2" t="inlineStr">
        <is>
          <t>Mindre hackspett</t>
        </is>
      </c>
      <c r="S142">
        <f>HYPERLINK("https://klasma.github.io/Logging_0980/artfynd/A 10440-2024 artfynd.xlsx", "A 10440-2024")</f>
        <v/>
      </c>
      <c r="T142">
        <f>HYPERLINK("https://klasma.github.io/Logging_0980/kartor/A 10440-2024 karta.png", "A 10440-2024")</f>
        <v/>
      </c>
      <c r="V142">
        <f>HYPERLINK("https://klasma.github.io/Logging_0980/klagomål/A 10440-2024 FSC-klagomål.docx", "A 10440-2024")</f>
        <v/>
      </c>
      <c r="W142">
        <f>HYPERLINK("https://klasma.github.io/Logging_0980/klagomålsmail/A 10440-2024 FSC-klagomål mail.docx", "A 10440-2024")</f>
        <v/>
      </c>
      <c r="X142">
        <f>HYPERLINK("https://klasma.github.io/Logging_0980/tillsyn/A 10440-2024 tillsynsbegäran.docx", "A 10440-2024")</f>
        <v/>
      </c>
      <c r="Y142">
        <f>HYPERLINK("https://klasma.github.io/Logging_0980/tillsynsmail/A 10440-2024 tillsynsbegäran mail.docx", "A 10440-2024")</f>
        <v/>
      </c>
      <c r="Z142">
        <f>HYPERLINK("https://klasma.github.io/Logging_0980/fåglar/A 10440-2024 prioriterade fågelarter.docx", "A 10440-2024")</f>
        <v/>
      </c>
    </row>
    <row r="143" ht="15" customHeight="1">
      <c r="A143" t="inlineStr">
        <is>
          <t>A 62552-2022</t>
        </is>
      </c>
      <c r="B143" s="1" t="n">
        <v>44924</v>
      </c>
      <c r="C143" s="1" t="n">
        <v>46168</v>
      </c>
      <c r="D143" t="inlineStr">
        <is>
          <t>GOTLANDS LÄN</t>
        </is>
      </c>
      <c r="E143" t="inlineStr">
        <is>
          <t>GOTLAND</t>
        </is>
      </c>
      <c r="G143" t="n">
        <v>1.6</v>
      </c>
      <c r="H143" t="n">
        <v>0</v>
      </c>
      <c r="I143" t="n">
        <v>0</v>
      </c>
      <c r="J143" t="n">
        <v>1</v>
      </c>
      <c r="K143" t="n">
        <v>0</v>
      </c>
      <c r="L143" t="n">
        <v>0</v>
      </c>
      <c r="M143" t="n">
        <v>0</v>
      </c>
      <c r="N143" t="n">
        <v>0</v>
      </c>
      <c r="O143" t="n">
        <v>1</v>
      </c>
      <c r="P143" t="n">
        <v>0</v>
      </c>
      <c r="Q143" t="n">
        <v>1</v>
      </c>
      <c r="R143" s="2" t="inlineStr">
        <is>
          <t>Äggspindling</t>
        </is>
      </c>
      <c r="S143">
        <f>HYPERLINK("https://klasma.github.io/Logging_0980/artfynd/A 62552-2022 artfynd.xlsx", "A 62552-2022")</f>
        <v/>
      </c>
      <c r="T143">
        <f>HYPERLINK("https://klasma.github.io/Logging_0980/kartor/A 62552-2022 karta.png", "A 62552-2022")</f>
        <v/>
      </c>
      <c r="V143">
        <f>HYPERLINK("https://klasma.github.io/Logging_0980/klagomål/A 62552-2022 FSC-klagomål.docx", "A 62552-2022")</f>
        <v/>
      </c>
      <c r="W143">
        <f>HYPERLINK("https://klasma.github.io/Logging_0980/klagomålsmail/A 62552-2022 FSC-klagomål mail.docx", "A 62552-2022")</f>
        <v/>
      </c>
      <c r="X143">
        <f>HYPERLINK("https://klasma.github.io/Logging_0980/tillsyn/A 62552-2022 tillsynsbegäran.docx", "A 62552-2022")</f>
        <v/>
      </c>
      <c r="Y143">
        <f>HYPERLINK("https://klasma.github.io/Logging_0980/tillsynsmail/A 62552-2022 tillsynsbegäran mail.docx", "A 62552-2022")</f>
        <v/>
      </c>
    </row>
    <row r="144" ht="15" customHeight="1">
      <c r="A144" t="inlineStr">
        <is>
          <t>A 10218-2025</t>
        </is>
      </c>
      <c r="B144" s="1" t="n">
        <v>45720</v>
      </c>
      <c r="C144" s="1" t="n">
        <v>46168</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44088-2022</t>
        </is>
      </c>
      <c r="B145" s="1" t="n">
        <v>44839</v>
      </c>
      <c r="C145" s="1" t="n">
        <v>46168</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26461-2025</t>
        </is>
      </c>
      <c r="B146" s="1" t="n">
        <v>45807.43337962963</v>
      </c>
      <c r="C146" s="1" t="n">
        <v>46168</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44308-2021</t>
        </is>
      </c>
      <c r="B147" s="1" t="n">
        <v>44434</v>
      </c>
      <c r="C147" s="1" t="n">
        <v>46168</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6739-2025</t>
        </is>
      </c>
      <c r="B148" s="1" t="n">
        <v>45700</v>
      </c>
      <c r="C148" s="1" t="n">
        <v>46168</v>
      </c>
      <c r="D148" t="inlineStr">
        <is>
          <t>GOTLANDS LÄN</t>
        </is>
      </c>
      <c r="E148" t="inlineStr">
        <is>
          <t>GOTLAND</t>
        </is>
      </c>
      <c r="G148" t="n">
        <v>4.5</v>
      </c>
      <c r="H148" t="n">
        <v>1</v>
      </c>
      <c r="I148" t="n">
        <v>0</v>
      </c>
      <c r="J148" t="n">
        <v>0</v>
      </c>
      <c r="K148" t="n">
        <v>0</v>
      </c>
      <c r="L148" t="n">
        <v>0</v>
      </c>
      <c r="M148" t="n">
        <v>0</v>
      </c>
      <c r="N148" t="n">
        <v>0</v>
      </c>
      <c r="O148" t="n">
        <v>0</v>
      </c>
      <c r="P148" t="n">
        <v>0</v>
      </c>
      <c r="Q148" t="n">
        <v>1</v>
      </c>
      <c r="R148" s="2" t="inlineStr">
        <is>
          <t>Röd glada</t>
        </is>
      </c>
      <c r="S148">
        <f>HYPERLINK("https://klasma.github.io/Logging_0980/artfynd/A 6739-2025 artfynd.xlsx", "A 6739-2025")</f>
        <v/>
      </c>
      <c r="T148">
        <f>HYPERLINK("https://klasma.github.io/Logging_0980/kartor/A 6739-2025 karta.png", "A 6739-2025")</f>
        <v/>
      </c>
      <c r="V148">
        <f>HYPERLINK("https://klasma.github.io/Logging_0980/klagomål/A 6739-2025 FSC-klagomål.docx", "A 6739-2025")</f>
        <v/>
      </c>
      <c r="W148">
        <f>HYPERLINK("https://klasma.github.io/Logging_0980/klagomålsmail/A 6739-2025 FSC-klagomål mail.docx", "A 6739-2025")</f>
        <v/>
      </c>
      <c r="X148">
        <f>HYPERLINK("https://klasma.github.io/Logging_0980/tillsyn/A 6739-2025 tillsynsbegäran.docx", "A 6739-2025")</f>
        <v/>
      </c>
      <c r="Y148">
        <f>HYPERLINK("https://klasma.github.io/Logging_0980/tillsynsmail/A 6739-2025 tillsynsbegäran mail.docx", "A 6739-2025")</f>
        <v/>
      </c>
      <c r="Z148">
        <f>HYPERLINK("https://klasma.github.io/Logging_0980/fåglar/A 6739-2025 prioriterade fågelarter.docx", "A 6739-2025")</f>
        <v/>
      </c>
    </row>
    <row r="149" ht="15" customHeight="1">
      <c r="A149" t="inlineStr">
        <is>
          <t>A 39812-2025</t>
        </is>
      </c>
      <c r="B149" s="1" t="n">
        <v>45891</v>
      </c>
      <c r="C149" s="1" t="n">
        <v>46168</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12379-2024</t>
        </is>
      </c>
      <c r="B150" s="1" t="n">
        <v>45379.28155092592</v>
      </c>
      <c r="C150" s="1" t="n">
        <v>46168</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447-2023</t>
        </is>
      </c>
      <c r="B151" s="1" t="n">
        <v>44929</v>
      </c>
      <c r="C151" s="1" t="n">
        <v>46168</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947-2023</t>
        </is>
      </c>
      <c r="B152" s="1" t="n">
        <v>44934</v>
      </c>
      <c r="C152" s="1" t="n">
        <v>46168</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49304-2024</t>
        </is>
      </c>
      <c r="B153" s="1" t="n">
        <v>45595.54996527778</v>
      </c>
      <c r="C153" s="1" t="n">
        <v>46168</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63576-2021</t>
        </is>
      </c>
      <c r="B154" s="1" t="n">
        <v>44508</v>
      </c>
      <c r="C154" s="1" t="n">
        <v>46168</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64700-2021</t>
        </is>
      </c>
      <c r="B155" s="1" t="n">
        <v>44511</v>
      </c>
      <c r="C155" s="1" t="n">
        <v>46168</v>
      </c>
      <c r="D155" t="inlineStr">
        <is>
          <t>GOTLANDS LÄN</t>
        </is>
      </c>
      <c r="E155" t="inlineStr">
        <is>
          <t>GOTLAND</t>
        </is>
      </c>
      <c r="F155" t="inlineStr">
        <is>
          <t>Naturvårdsverket</t>
        </is>
      </c>
      <c r="G155" t="n">
        <v>2.4</v>
      </c>
      <c r="H155" t="n">
        <v>1</v>
      </c>
      <c r="I155" t="n">
        <v>0</v>
      </c>
      <c r="J155" t="n">
        <v>0</v>
      </c>
      <c r="K155" t="n">
        <v>1</v>
      </c>
      <c r="L155" t="n">
        <v>0</v>
      </c>
      <c r="M155" t="n">
        <v>0</v>
      </c>
      <c r="N155" t="n">
        <v>0</v>
      </c>
      <c r="O155" t="n">
        <v>1</v>
      </c>
      <c r="P155" t="n">
        <v>1</v>
      </c>
      <c r="Q155" t="n">
        <v>1</v>
      </c>
      <c r="R155" s="2" t="inlineStr">
        <is>
          <t>Kalkdån</t>
        </is>
      </c>
      <c r="S155">
        <f>HYPERLINK("https://klasma.github.io/Logging_0980/artfynd/A 64700-2021 artfynd.xlsx", "A 64700-2021")</f>
        <v/>
      </c>
      <c r="T155">
        <f>HYPERLINK("https://klasma.github.io/Logging_0980/kartor/A 64700-2021 karta.png", "A 64700-2021")</f>
        <v/>
      </c>
      <c r="V155">
        <f>HYPERLINK("https://klasma.github.io/Logging_0980/klagomål/A 64700-2021 FSC-klagomål.docx", "A 64700-2021")</f>
        <v/>
      </c>
      <c r="W155">
        <f>HYPERLINK("https://klasma.github.io/Logging_0980/klagomålsmail/A 64700-2021 FSC-klagomål mail.docx", "A 64700-2021")</f>
        <v/>
      </c>
      <c r="X155">
        <f>HYPERLINK("https://klasma.github.io/Logging_0980/tillsyn/A 64700-2021 tillsynsbegäran.docx", "A 64700-2021")</f>
        <v/>
      </c>
      <c r="Y155">
        <f>HYPERLINK("https://klasma.github.io/Logging_0980/tillsynsmail/A 64700-2021 tillsynsbegäran mail.docx", "A 64700-2021")</f>
        <v/>
      </c>
    </row>
    <row r="156" ht="15" customHeight="1">
      <c r="A156" t="inlineStr">
        <is>
          <t>A 35467-2021</t>
        </is>
      </c>
      <c r="B156" s="1" t="n">
        <v>44385</v>
      </c>
      <c r="C156" s="1" t="n">
        <v>46168</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46168</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34141-2024</t>
        </is>
      </c>
      <c r="B158" s="1" t="n">
        <v>45524.36229166666</v>
      </c>
      <c r="C158" s="1" t="n">
        <v>46168</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9862-2024</t>
        </is>
      </c>
      <c r="B159" s="1" t="n">
        <v>45363</v>
      </c>
      <c r="C159" s="1" t="n">
        <v>46168</v>
      </c>
      <c r="D159" t="inlineStr">
        <is>
          <t>GOTLANDS LÄN</t>
        </is>
      </c>
      <c r="E159" t="inlineStr">
        <is>
          <t>GOTLAND</t>
        </is>
      </c>
      <c r="G159" t="n">
        <v>3.5</v>
      </c>
      <c r="H159" t="n">
        <v>1</v>
      </c>
      <c r="I159" t="n">
        <v>0</v>
      </c>
      <c r="J159" t="n">
        <v>0</v>
      </c>
      <c r="K159" t="n">
        <v>0</v>
      </c>
      <c r="L159" t="n">
        <v>0</v>
      </c>
      <c r="M159" t="n">
        <v>0</v>
      </c>
      <c r="N159" t="n">
        <v>0</v>
      </c>
      <c r="O159" t="n">
        <v>0</v>
      </c>
      <c r="P159" t="n">
        <v>0</v>
      </c>
      <c r="Q159" t="n">
        <v>1</v>
      </c>
      <c r="R159" s="2" t="inlineStr">
        <is>
          <t>Nattviol</t>
        </is>
      </c>
      <c r="S159">
        <f>HYPERLINK("https://klasma.github.io/Logging_0980/artfynd/A 9862-2024 artfynd.xlsx", "A 9862-2024")</f>
        <v/>
      </c>
      <c r="T159">
        <f>HYPERLINK("https://klasma.github.io/Logging_0980/kartor/A 9862-2024 karta.png", "A 9862-2024")</f>
        <v/>
      </c>
      <c r="V159">
        <f>HYPERLINK("https://klasma.github.io/Logging_0980/klagomål/A 9862-2024 FSC-klagomål.docx", "A 9862-2024")</f>
        <v/>
      </c>
      <c r="W159">
        <f>HYPERLINK("https://klasma.github.io/Logging_0980/klagomålsmail/A 9862-2024 FSC-klagomål mail.docx", "A 9862-2024")</f>
        <v/>
      </c>
      <c r="X159">
        <f>HYPERLINK("https://klasma.github.io/Logging_0980/tillsyn/A 9862-2024 tillsynsbegäran.docx", "A 9862-2024")</f>
        <v/>
      </c>
      <c r="Y159">
        <f>HYPERLINK("https://klasma.github.io/Logging_0980/tillsynsmail/A 9862-2024 tillsynsbegäran mail.docx", "A 9862-2024")</f>
        <v/>
      </c>
    </row>
    <row r="160" ht="15" customHeight="1">
      <c r="A160" t="inlineStr">
        <is>
          <t>A 27589-2023</t>
        </is>
      </c>
      <c r="B160" s="1" t="n">
        <v>45097</v>
      </c>
      <c r="C160" s="1" t="n">
        <v>46168</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1477-2024</t>
        </is>
      </c>
      <c r="B161" s="1" t="n">
        <v>45305.37987268518</v>
      </c>
      <c r="C161" s="1" t="n">
        <v>46168</v>
      </c>
      <c r="D161" t="inlineStr">
        <is>
          <t>GOTLANDS LÄN</t>
        </is>
      </c>
      <c r="E161" t="inlineStr">
        <is>
          <t>GOTLAND</t>
        </is>
      </c>
      <c r="G161" t="n">
        <v>6.9</v>
      </c>
      <c r="H161" t="n">
        <v>0</v>
      </c>
      <c r="I161" t="n">
        <v>0</v>
      </c>
      <c r="J161" t="n">
        <v>1</v>
      </c>
      <c r="K161" t="n">
        <v>0</v>
      </c>
      <c r="L161" t="n">
        <v>0</v>
      </c>
      <c r="M161" t="n">
        <v>0</v>
      </c>
      <c r="N161" t="n">
        <v>0</v>
      </c>
      <c r="O161" t="n">
        <v>1</v>
      </c>
      <c r="P161" t="n">
        <v>0</v>
      </c>
      <c r="Q161" t="n">
        <v>1</v>
      </c>
      <c r="R161" s="2" t="inlineStr">
        <is>
          <t>Igelkott</t>
        </is>
      </c>
      <c r="S161">
        <f>HYPERLINK("https://klasma.github.io/Logging_0980/artfynd/A 1477-2024 artfynd.xlsx", "A 1477-2024")</f>
        <v/>
      </c>
      <c r="T161">
        <f>HYPERLINK("https://klasma.github.io/Logging_0980/kartor/A 1477-2024 karta.png", "A 1477-2024")</f>
        <v/>
      </c>
      <c r="V161">
        <f>HYPERLINK("https://klasma.github.io/Logging_0980/klagomål/A 1477-2024 FSC-klagomål.docx", "A 1477-2024")</f>
        <v/>
      </c>
      <c r="W161">
        <f>HYPERLINK("https://klasma.github.io/Logging_0980/klagomålsmail/A 1477-2024 FSC-klagomål mail.docx", "A 1477-2024")</f>
        <v/>
      </c>
      <c r="X161">
        <f>HYPERLINK("https://klasma.github.io/Logging_0980/tillsyn/A 1477-2024 tillsynsbegäran.docx", "A 1477-2024")</f>
        <v/>
      </c>
      <c r="Y161">
        <f>HYPERLINK("https://klasma.github.io/Logging_0980/tillsynsmail/A 1477-2024 tillsynsbegäran mail.docx", "A 1477-2024")</f>
        <v/>
      </c>
    </row>
    <row r="162" ht="15" customHeight="1">
      <c r="A162" t="inlineStr">
        <is>
          <t>A 35574-2024</t>
        </is>
      </c>
      <c r="B162" s="1" t="n">
        <v>45531</v>
      </c>
      <c r="C162" s="1" t="n">
        <v>46168</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7637-2025</t>
        </is>
      </c>
      <c r="B163" s="1" t="n">
        <v>45705.77181712963</v>
      </c>
      <c r="C163" s="1" t="n">
        <v>46168</v>
      </c>
      <c r="D163" t="inlineStr">
        <is>
          <t>GOTLANDS LÄN</t>
        </is>
      </c>
      <c r="E163" t="inlineStr">
        <is>
          <t>GOTLAND</t>
        </is>
      </c>
      <c r="G163" t="n">
        <v>3.7</v>
      </c>
      <c r="H163" t="n">
        <v>0</v>
      </c>
      <c r="I163" t="n">
        <v>0</v>
      </c>
      <c r="J163" t="n">
        <v>0</v>
      </c>
      <c r="K163" t="n">
        <v>0</v>
      </c>
      <c r="L163" t="n">
        <v>0</v>
      </c>
      <c r="M163" t="n">
        <v>1</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44304-2021</t>
        </is>
      </c>
      <c r="B164" s="1" t="n">
        <v>44434</v>
      </c>
      <c r="C164" s="1" t="n">
        <v>46168</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12924-2025</t>
        </is>
      </c>
      <c r="B165" s="1" t="n">
        <v>45734</v>
      </c>
      <c r="C165" s="1" t="n">
        <v>46168</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49726-2025</t>
        </is>
      </c>
      <c r="B166" s="1" t="n">
        <v>45939.84466435185</v>
      </c>
      <c r="C166" s="1" t="n">
        <v>46168</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6303-2024</t>
        </is>
      </c>
      <c r="B167" s="1" t="n">
        <v>45338.35376157407</v>
      </c>
      <c r="C167" s="1" t="n">
        <v>46168</v>
      </c>
      <c r="D167" t="inlineStr">
        <is>
          <t>GOTLANDS LÄN</t>
        </is>
      </c>
      <c r="E167" t="inlineStr">
        <is>
          <t>GOTLAND</t>
        </is>
      </c>
      <c r="G167" t="n">
        <v>0.6</v>
      </c>
      <c r="H167" t="n">
        <v>0</v>
      </c>
      <c r="I167" t="n">
        <v>1</v>
      </c>
      <c r="J167" t="n">
        <v>0</v>
      </c>
      <c r="K167" t="n">
        <v>0</v>
      </c>
      <c r="L167" t="n">
        <v>0</v>
      </c>
      <c r="M167" t="n">
        <v>0</v>
      </c>
      <c r="N167" t="n">
        <v>0</v>
      </c>
      <c r="O167" t="n">
        <v>0</v>
      </c>
      <c r="P167" t="n">
        <v>0</v>
      </c>
      <c r="Q167" t="n">
        <v>1</v>
      </c>
      <c r="R167" s="2" t="inlineStr">
        <is>
          <t>Strävlosta</t>
        </is>
      </c>
      <c r="S167">
        <f>HYPERLINK("https://klasma.github.io/Logging_0980/artfynd/A 6303-2024 artfynd.xlsx", "A 6303-2024")</f>
        <v/>
      </c>
      <c r="T167">
        <f>HYPERLINK("https://klasma.github.io/Logging_0980/kartor/A 6303-2024 karta.png", "A 6303-2024")</f>
        <v/>
      </c>
      <c r="V167">
        <f>HYPERLINK("https://klasma.github.io/Logging_0980/klagomål/A 6303-2024 FSC-klagomål.docx", "A 6303-2024")</f>
        <v/>
      </c>
      <c r="W167">
        <f>HYPERLINK("https://klasma.github.io/Logging_0980/klagomålsmail/A 6303-2024 FSC-klagomål mail.docx", "A 6303-2024")</f>
        <v/>
      </c>
      <c r="X167">
        <f>HYPERLINK("https://klasma.github.io/Logging_0980/tillsyn/A 6303-2024 tillsynsbegäran.docx", "A 6303-2024")</f>
        <v/>
      </c>
      <c r="Y167">
        <f>HYPERLINK("https://klasma.github.io/Logging_0980/tillsynsmail/A 6303-2024 tillsynsbegäran mail.docx", "A 6303-2024")</f>
        <v/>
      </c>
    </row>
    <row r="168" ht="15" customHeight="1">
      <c r="A168" t="inlineStr">
        <is>
          <t>A 25977-2024</t>
        </is>
      </c>
      <c r="B168" s="1" t="n">
        <v>45467.69356481481</v>
      </c>
      <c r="C168" s="1" t="n">
        <v>46168</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34809-2024</t>
        </is>
      </c>
      <c r="B169" s="1" t="n">
        <v>45526</v>
      </c>
      <c r="C169" s="1" t="n">
        <v>46168</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10013-2026</t>
        </is>
      </c>
      <c r="B170" s="1" t="n">
        <v>46073</v>
      </c>
      <c r="C170" s="1" t="n">
        <v>46168</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61561-2023</t>
        </is>
      </c>
      <c r="B171" s="1" t="n">
        <v>45265</v>
      </c>
      <c r="C171" s="1" t="n">
        <v>46168</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11708-2026</t>
        </is>
      </c>
      <c r="B172" s="1" t="n">
        <v>46084</v>
      </c>
      <c r="C172" s="1" t="n">
        <v>46168</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65927-2021</t>
        </is>
      </c>
      <c r="B173" s="1" t="n">
        <v>44516</v>
      </c>
      <c r="C173" s="1" t="n">
        <v>46168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13482-2026</t>
        </is>
      </c>
      <c r="B174" s="1" t="n">
        <v>46094</v>
      </c>
      <c r="C174" s="1" t="n">
        <v>46168</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22782-2023</t>
        </is>
      </c>
      <c r="B175" s="1" t="n">
        <v>45072</v>
      </c>
      <c r="C175" s="1" t="n">
        <v>46168</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61796-2022</t>
        </is>
      </c>
      <c r="B176" s="1" t="n">
        <v>44917</v>
      </c>
      <c r="C176" s="1" t="n">
        <v>46168</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22883-2024</t>
        </is>
      </c>
      <c r="B177" s="1" t="n">
        <v>45448.66368055555</v>
      </c>
      <c r="C177" s="1" t="n">
        <v>46168</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63149-2025</t>
        </is>
      </c>
      <c r="B178" s="1" t="n">
        <v>46010</v>
      </c>
      <c r="C178" s="1" t="n">
        <v>46168</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22281-2026</t>
        </is>
      </c>
      <c r="B179" s="1" t="n">
        <v>46154</v>
      </c>
      <c r="C179" s="1" t="n">
        <v>46168</v>
      </c>
      <c r="D179" t="inlineStr">
        <is>
          <t>GOTLANDS LÄN</t>
        </is>
      </c>
      <c r="E179" t="inlineStr">
        <is>
          <t>GOTLAND</t>
        </is>
      </c>
      <c r="G179" t="n">
        <v>8.1</v>
      </c>
      <c r="H179" t="n">
        <v>0</v>
      </c>
      <c r="I179" t="n">
        <v>0</v>
      </c>
      <c r="J179" t="n">
        <v>1</v>
      </c>
      <c r="K179" t="n">
        <v>0</v>
      </c>
      <c r="L179" t="n">
        <v>0</v>
      </c>
      <c r="M179" t="n">
        <v>0</v>
      </c>
      <c r="N179" t="n">
        <v>0</v>
      </c>
      <c r="O179" t="n">
        <v>1</v>
      </c>
      <c r="P179" t="n">
        <v>0</v>
      </c>
      <c r="Q179" t="n">
        <v>1</v>
      </c>
      <c r="R179" s="2" t="inlineStr">
        <is>
          <t>Vasstandad trädbasbagge</t>
        </is>
      </c>
      <c r="S179">
        <f>HYPERLINK("https://klasma.github.io/Logging_0980/artfynd/A 22281-2026 artfynd.xlsx", "A 22281-2026")</f>
        <v/>
      </c>
      <c r="T179">
        <f>HYPERLINK("https://klasma.github.io/Logging_0980/kartor/A 22281-2026 karta.png", "A 22281-2026")</f>
        <v/>
      </c>
      <c r="V179">
        <f>HYPERLINK("https://klasma.github.io/Logging_0980/klagomål/A 22281-2026 FSC-klagomål.docx", "A 22281-2026")</f>
        <v/>
      </c>
      <c r="W179">
        <f>HYPERLINK("https://klasma.github.io/Logging_0980/klagomålsmail/A 22281-2026 FSC-klagomål mail.docx", "A 22281-2026")</f>
        <v/>
      </c>
      <c r="X179">
        <f>HYPERLINK("https://klasma.github.io/Logging_0980/tillsyn/A 22281-2026 tillsynsbegäran.docx", "A 22281-2026")</f>
        <v/>
      </c>
      <c r="Y179">
        <f>HYPERLINK("https://klasma.github.io/Logging_0980/tillsynsmail/A 22281-2026 tillsynsbegäran mail.docx", "A 22281-2026")</f>
        <v/>
      </c>
    </row>
    <row r="180" ht="15" customHeight="1">
      <c r="A180" t="inlineStr">
        <is>
          <t>A 15637-2024</t>
        </is>
      </c>
      <c r="B180" s="1" t="n">
        <v>45403.6684837963</v>
      </c>
      <c r="C180" s="1" t="n">
        <v>46168</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17854-2026</t>
        </is>
      </c>
      <c r="B181" s="1" t="n">
        <v>46121</v>
      </c>
      <c r="C181" s="1" t="n">
        <v>46168</v>
      </c>
      <c r="D181" t="inlineStr">
        <is>
          <t>GOTLANDS LÄN</t>
        </is>
      </c>
      <c r="E181" t="inlineStr">
        <is>
          <t>GOTLAND</t>
        </is>
      </c>
      <c r="G181" t="n">
        <v>6.6</v>
      </c>
      <c r="H181" t="n">
        <v>0</v>
      </c>
      <c r="I181" t="n">
        <v>1</v>
      </c>
      <c r="J181" t="n">
        <v>0</v>
      </c>
      <c r="K181" t="n">
        <v>0</v>
      </c>
      <c r="L181" t="n">
        <v>0</v>
      </c>
      <c r="M181" t="n">
        <v>0</v>
      </c>
      <c r="N181" t="n">
        <v>0</v>
      </c>
      <c r="O181" t="n">
        <v>0</v>
      </c>
      <c r="P181" t="n">
        <v>0</v>
      </c>
      <c r="Q181" t="n">
        <v>1</v>
      </c>
      <c r="R181" s="2" t="inlineStr">
        <is>
          <t>Blå slemspindling</t>
        </is>
      </c>
      <c r="S181">
        <f>HYPERLINK("https://klasma.github.io/Logging_0980/artfynd/A 17854-2026 artfynd.xlsx", "A 17854-2026")</f>
        <v/>
      </c>
      <c r="T181">
        <f>HYPERLINK("https://klasma.github.io/Logging_0980/kartor/A 17854-2026 karta.png", "A 17854-2026")</f>
        <v/>
      </c>
      <c r="V181">
        <f>HYPERLINK("https://klasma.github.io/Logging_0980/klagomål/A 17854-2026 FSC-klagomål.docx", "A 17854-2026")</f>
        <v/>
      </c>
      <c r="W181">
        <f>HYPERLINK("https://klasma.github.io/Logging_0980/klagomålsmail/A 17854-2026 FSC-klagomål mail.docx", "A 17854-2026")</f>
        <v/>
      </c>
      <c r="X181">
        <f>HYPERLINK("https://klasma.github.io/Logging_0980/tillsyn/A 17854-2026 tillsynsbegäran.docx", "A 17854-2026")</f>
        <v/>
      </c>
      <c r="Y181">
        <f>HYPERLINK("https://klasma.github.io/Logging_0980/tillsynsmail/A 17854-2026 tillsynsbegäran mail.docx", "A 17854-2026")</f>
        <v/>
      </c>
    </row>
    <row r="182" ht="15" customHeight="1">
      <c r="A182" t="inlineStr">
        <is>
          <t>A 18036-2026</t>
        </is>
      </c>
      <c r="B182" s="1" t="n">
        <v>46125.39576388889</v>
      </c>
      <c r="C182" s="1" t="n">
        <v>46168</v>
      </c>
      <c r="D182" t="inlineStr">
        <is>
          <t>GOTLANDS LÄN</t>
        </is>
      </c>
      <c r="E182" t="inlineStr">
        <is>
          <t>GOTLAND</t>
        </is>
      </c>
      <c r="G182" t="n">
        <v>1.8</v>
      </c>
      <c r="H182" t="n">
        <v>0</v>
      </c>
      <c r="I182" t="n">
        <v>0</v>
      </c>
      <c r="J182" t="n">
        <v>1</v>
      </c>
      <c r="K182" t="n">
        <v>0</v>
      </c>
      <c r="L182" t="n">
        <v>0</v>
      </c>
      <c r="M182" t="n">
        <v>0</v>
      </c>
      <c r="N182" t="n">
        <v>0</v>
      </c>
      <c r="O182" t="n">
        <v>1</v>
      </c>
      <c r="P182" t="n">
        <v>0</v>
      </c>
      <c r="Q182" t="n">
        <v>1</v>
      </c>
      <c r="R182" s="2" t="inlineStr">
        <is>
          <t>Sommarfibbla</t>
        </is>
      </c>
      <c r="S182">
        <f>HYPERLINK("https://klasma.github.io/Logging_0980/artfynd/A 18036-2026 artfynd.xlsx", "A 18036-2026")</f>
        <v/>
      </c>
      <c r="T182">
        <f>HYPERLINK("https://klasma.github.io/Logging_0980/kartor/A 18036-2026 karta.png", "A 18036-2026")</f>
        <v/>
      </c>
      <c r="V182">
        <f>HYPERLINK("https://klasma.github.io/Logging_0980/klagomål/A 18036-2026 FSC-klagomål.docx", "A 18036-2026")</f>
        <v/>
      </c>
      <c r="W182">
        <f>HYPERLINK("https://klasma.github.io/Logging_0980/klagomålsmail/A 18036-2026 FSC-klagomål mail.docx", "A 18036-2026")</f>
        <v/>
      </c>
      <c r="X182">
        <f>HYPERLINK("https://klasma.github.io/Logging_0980/tillsyn/A 18036-2026 tillsynsbegäran.docx", "A 18036-2026")</f>
        <v/>
      </c>
      <c r="Y182">
        <f>HYPERLINK("https://klasma.github.io/Logging_0980/tillsynsmail/A 18036-2026 tillsynsbegäran mail.docx", "A 18036-2026")</f>
        <v/>
      </c>
    </row>
    <row r="183" ht="15" customHeight="1">
      <c r="A183" t="inlineStr">
        <is>
          <t>A 24245-2022</t>
        </is>
      </c>
      <c r="B183" s="1" t="n">
        <v>44725</v>
      </c>
      <c r="C183" s="1" t="n">
        <v>46168</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46168</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46168</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2476-2025</t>
        </is>
      </c>
      <c r="B186" s="1" t="n">
        <v>45673</v>
      </c>
      <c r="C186" s="1" t="n">
        <v>46168</v>
      </c>
      <c r="D186" t="inlineStr">
        <is>
          <t>GOTLANDS LÄN</t>
        </is>
      </c>
      <c r="E186" t="inlineStr">
        <is>
          <t>GOTLAND</t>
        </is>
      </c>
      <c r="G186" t="n">
        <v>3.1</v>
      </c>
      <c r="H186" t="n">
        <v>0</v>
      </c>
      <c r="I186" t="n">
        <v>1</v>
      </c>
      <c r="J186" t="n">
        <v>0</v>
      </c>
      <c r="K186" t="n">
        <v>0</v>
      </c>
      <c r="L186" t="n">
        <v>0</v>
      </c>
      <c r="M186" t="n">
        <v>0</v>
      </c>
      <c r="N186" t="n">
        <v>0</v>
      </c>
      <c r="O186" t="n">
        <v>0</v>
      </c>
      <c r="P186" t="n">
        <v>0</v>
      </c>
      <c r="Q186" t="n">
        <v>1</v>
      </c>
      <c r="R186" s="2" t="inlineStr">
        <is>
          <t>Kryddspindling</t>
        </is>
      </c>
      <c r="S186">
        <f>HYPERLINK("https://klasma.github.io/Logging_0980/artfynd/A 2476-2025 artfynd.xlsx", "A 2476-2025")</f>
        <v/>
      </c>
      <c r="T186">
        <f>HYPERLINK("https://klasma.github.io/Logging_0980/kartor/A 2476-2025 karta.png", "A 2476-2025")</f>
        <v/>
      </c>
      <c r="V186">
        <f>HYPERLINK("https://klasma.github.io/Logging_0980/klagomål/A 2476-2025 FSC-klagomål.docx", "A 2476-2025")</f>
        <v/>
      </c>
      <c r="W186">
        <f>HYPERLINK("https://klasma.github.io/Logging_0980/klagomålsmail/A 2476-2025 FSC-klagomål mail.docx", "A 2476-2025")</f>
        <v/>
      </c>
      <c r="X186">
        <f>HYPERLINK("https://klasma.github.io/Logging_0980/tillsyn/A 2476-2025 tillsynsbegäran.docx", "A 2476-2025")</f>
        <v/>
      </c>
      <c r="Y186">
        <f>HYPERLINK("https://klasma.github.io/Logging_0980/tillsynsmail/A 2476-2025 tillsynsbegäran mail.docx", "A 2476-2025")</f>
        <v/>
      </c>
    </row>
    <row r="187" ht="15" customHeight="1">
      <c r="A187" t="inlineStr">
        <is>
          <t>A 12324-2025</t>
        </is>
      </c>
      <c r="B187" s="1" t="n">
        <v>45730</v>
      </c>
      <c r="C187" s="1" t="n">
        <v>46168</v>
      </c>
      <c r="D187" t="inlineStr">
        <is>
          <t>GOTLANDS LÄN</t>
        </is>
      </c>
      <c r="E187" t="inlineStr">
        <is>
          <t>GOTLAND</t>
        </is>
      </c>
      <c r="G187" t="n">
        <v>5</v>
      </c>
      <c r="H187" t="n">
        <v>0</v>
      </c>
      <c r="I187" t="n">
        <v>0</v>
      </c>
      <c r="J187" t="n">
        <v>0</v>
      </c>
      <c r="K187" t="n">
        <v>1</v>
      </c>
      <c r="L187" t="n">
        <v>0</v>
      </c>
      <c r="M187" t="n">
        <v>0</v>
      </c>
      <c r="N187" t="n">
        <v>0</v>
      </c>
      <c r="O187" t="n">
        <v>1</v>
      </c>
      <c r="P187" t="n">
        <v>1</v>
      </c>
      <c r="Q187" t="n">
        <v>1</v>
      </c>
      <c r="R187" s="2" t="inlineStr">
        <is>
          <t>Sommarklynne</t>
        </is>
      </c>
      <c r="S187">
        <f>HYPERLINK("https://klasma.github.io/Logging_0980/artfynd/A 12324-2025 artfynd.xlsx", "A 12324-2025")</f>
        <v/>
      </c>
      <c r="T187">
        <f>HYPERLINK("https://klasma.github.io/Logging_0980/kartor/A 12324-2025 karta.png", "A 12324-2025")</f>
        <v/>
      </c>
      <c r="V187">
        <f>HYPERLINK("https://klasma.github.io/Logging_0980/klagomål/A 12324-2025 FSC-klagomål.docx", "A 12324-2025")</f>
        <v/>
      </c>
      <c r="W187">
        <f>HYPERLINK("https://klasma.github.io/Logging_0980/klagomålsmail/A 12324-2025 FSC-klagomål mail.docx", "A 12324-2025")</f>
        <v/>
      </c>
      <c r="X187">
        <f>HYPERLINK("https://klasma.github.io/Logging_0980/tillsyn/A 12324-2025 tillsynsbegäran.docx", "A 12324-2025")</f>
        <v/>
      </c>
      <c r="Y187">
        <f>HYPERLINK("https://klasma.github.io/Logging_0980/tillsynsmail/A 12324-2025 tillsynsbegäran mail.docx", "A 12324-2025")</f>
        <v/>
      </c>
    </row>
    <row r="188" ht="15" customHeight="1">
      <c r="A188" t="inlineStr">
        <is>
          <t>A 37591-2023</t>
        </is>
      </c>
      <c r="B188" s="1" t="n">
        <v>45159</v>
      </c>
      <c r="C188" s="1" t="n">
        <v>46168</v>
      </c>
      <c r="D188" t="inlineStr">
        <is>
          <t>GOTLANDS LÄN</t>
        </is>
      </c>
      <c r="E188" t="inlineStr">
        <is>
          <t>GOTLAND</t>
        </is>
      </c>
      <c r="G188" t="n">
        <v>8.300000000000001</v>
      </c>
      <c r="H188" t="n">
        <v>0</v>
      </c>
      <c r="I188" t="n">
        <v>0</v>
      </c>
      <c r="J188" t="n">
        <v>1</v>
      </c>
      <c r="K188" t="n">
        <v>0</v>
      </c>
      <c r="L188" t="n">
        <v>0</v>
      </c>
      <c r="M188" t="n">
        <v>0</v>
      </c>
      <c r="N188" t="n">
        <v>0</v>
      </c>
      <c r="O188" t="n">
        <v>1</v>
      </c>
      <c r="P188" t="n">
        <v>0</v>
      </c>
      <c r="Q188" t="n">
        <v>1</v>
      </c>
      <c r="R188" s="2" t="inlineStr">
        <is>
          <t>Ängsstarr</t>
        </is>
      </c>
      <c r="S188">
        <f>HYPERLINK("https://klasma.github.io/Logging_0980/artfynd/A 37591-2023 artfynd.xlsx", "A 37591-2023")</f>
        <v/>
      </c>
      <c r="T188">
        <f>HYPERLINK("https://klasma.github.io/Logging_0980/kartor/A 37591-2023 karta.png", "A 37591-2023")</f>
        <v/>
      </c>
      <c r="V188">
        <f>HYPERLINK("https://klasma.github.io/Logging_0980/klagomål/A 37591-2023 FSC-klagomål.docx", "A 37591-2023")</f>
        <v/>
      </c>
      <c r="W188">
        <f>HYPERLINK("https://klasma.github.io/Logging_0980/klagomålsmail/A 37591-2023 FSC-klagomål mail.docx", "A 37591-2023")</f>
        <v/>
      </c>
      <c r="X188">
        <f>HYPERLINK("https://klasma.github.io/Logging_0980/tillsyn/A 37591-2023 tillsynsbegäran.docx", "A 37591-2023")</f>
        <v/>
      </c>
      <c r="Y188">
        <f>HYPERLINK("https://klasma.github.io/Logging_0980/tillsynsmail/A 37591-2023 tillsynsbegäran mail.docx", "A 37591-2023")</f>
        <v/>
      </c>
    </row>
    <row r="189" ht="15" customHeight="1">
      <c r="A189" t="inlineStr">
        <is>
          <t>A 21466-2025</t>
        </is>
      </c>
      <c r="B189" s="1" t="n">
        <v>45782</v>
      </c>
      <c r="C189" s="1" t="n">
        <v>46168</v>
      </c>
      <c r="D189" t="inlineStr">
        <is>
          <t>GOTLANDS LÄN</t>
        </is>
      </c>
      <c r="E189" t="inlineStr">
        <is>
          <t>GOTLAND</t>
        </is>
      </c>
      <c r="F189" t="inlineStr">
        <is>
          <t>Övriga statliga verk och myndigheter</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HYPERLINK("https://klasma.github.io/Logging_0980/artfynd/A 21466-2025 artfynd.xlsx", "A 21466-2025")</f>
        <v/>
      </c>
      <c r="T189">
        <f>HYPERLINK("https://klasma.github.io/Logging_0980/kartor/A 21466-2025 karta.png", "A 21466-2025")</f>
        <v/>
      </c>
      <c r="V189">
        <f>HYPERLINK("https://klasma.github.io/Logging_0980/klagomål/A 21466-2025 FSC-klagomål.docx", "A 21466-2025")</f>
        <v/>
      </c>
      <c r="W189">
        <f>HYPERLINK("https://klasma.github.io/Logging_0980/klagomålsmail/A 21466-2025 FSC-klagomål mail.docx", "A 21466-2025")</f>
        <v/>
      </c>
      <c r="X189">
        <f>HYPERLINK("https://klasma.github.io/Logging_0980/tillsyn/A 21466-2025 tillsynsbegäran.docx", "A 21466-2025")</f>
        <v/>
      </c>
      <c r="Y189">
        <f>HYPERLINK("https://klasma.github.io/Logging_0980/tillsynsmail/A 21466-2025 tillsynsbegäran mail.docx", "A 21466-2025")</f>
        <v/>
      </c>
    </row>
    <row r="190" ht="15" customHeight="1">
      <c r="A190" t="inlineStr">
        <is>
          <t>A 36313-2021</t>
        </is>
      </c>
      <c r="B190" s="1" t="n">
        <v>44390</v>
      </c>
      <c r="C190" s="1" t="n">
        <v>46168</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46168</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46168</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46168</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46168</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46168</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46168</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46168</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46168</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46168</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46168</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46168</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46168</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46168</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46168</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46168</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46168</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46168</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46168</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46168</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57356-2023</t>
        </is>
      </c>
      <c r="B220" s="1" t="n">
        <v>45240</v>
      </c>
      <c r="C220" s="1" t="n">
        <v>46168</v>
      </c>
      <c r="D220" t="inlineStr">
        <is>
          <t>GOTLANDS LÄN</t>
        </is>
      </c>
      <c r="E220" t="inlineStr">
        <is>
          <t>GOTLAND</t>
        </is>
      </c>
      <c r="G220" t="n">
        <v>6.4</v>
      </c>
      <c r="H220" t="n">
        <v>0</v>
      </c>
      <c r="I220" t="n">
        <v>0</v>
      </c>
      <c r="J220" t="n">
        <v>0</v>
      </c>
      <c r="K220" t="n">
        <v>0</v>
      </c>
      <c r="L220" t="n">
        <v>0</v>
      </c>
      <c r="M220" t="n">
        <v>0</v>
      </c>
      <c r="N220" t="n">
        <v>0</v>
      </c>
      <c r="O220" t="n">
        <v>0</v>
      </c>
      <c r="P220" t="n">
        <v>0</v>
      </c>
      <c r="Q220" t="n">
        <v>0</v>
      </c>
      <c r="R220" s="2" t="inlineStr"/>
    </row>
    <row r="221" ht="15" customHeight="1">
      <c r="A221" t="inlineStr">
        <is>
          <t>A 10656-2024</t>
        </is>
      </c>
      <c r="B221" s="1" t="n">
        <v>45368</v>
      </c>
      <c r="C221" s="1" t="n">
        <v>46168</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1446-2025</t>
        </is>
      </c>
      <c r="B222" s="1" t="n">
        <v>45669.86035879629</v>
      </c>
      <c r="C222" s="1" t="n">
        <v>46168</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28506-2023</t>
        </is>
      </c>
      <c r="B223" s="1" t="n">
        <v>45103</v>
      </c>
      <c r="C223" s="1" t="n">
        <v>46168</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21420-2024</t>
        </is>
      </c>
      <c r="B224" s="1" t="n">
        <v>45441.38293981482</v>
      </c>
      <c r="C224" s="1" t="n">
        <v>46168</v>
      </c>
      <c r="D224" t="inlineStr">
        <is>
          <t>GOTLANDS LÄN</t>
        </is>
      </c>
      <c r="E224" t="inlineStr">
        <is>
          <t>GOTLAND</t>
        </is>
      </c>
      <c r="G224" t="n">
        <v>4.1</v>
      </c>
      <c r="H224" t="n">
        <v>0</v>
      </c>
      <c r="I224" t="n">
        <v>0</v>
      </c>
      <c r="J224" t="n">
        <v>0</v>
      </c>
      <c r="K224" t="n">
        <v>0</v>
      </c>
      <c r="L224" t="n">
        <v>0</v>
      </c>
      <c r="M224" t="n">
        <v>0</v>
      </c>
      <c r="N224" t="n">
        <v>0</v>
      </c>
      <c r="O224" t="n">
        <v>0</v>
      </c>
      <c r="P224" t="n">
        <v>0</v>
      </c>
      <c r="Q224" t="n">
        <v>0</v>
      </c>
      <c r="R224" s="2" t="inlineStr"/>
    </row>
    <row r="225" ht="15" customHeight="1">
      <c r="A225" t="inlineStr">
        <is>
          <t>A 23188-2025</t>
        </is>
      </c>
      <c r="B225" s="1" t="n">
        <v>45791</v>
      </c>
      <c r="C225" s="1" t="n">
        <v>46168</v>
      </c>
      <c r="D225" t="inlineStr">
        <is>
          <t>GOTLANDS LÄN</t>
        </is>
      </c>
      <c r="E225" t="inlineStr">
        <is>
          <t>GOTLAND</t>
        </is>
      </c>
      <c r="G225" t="n">
        <v>6.2</v>
      </c>
      <c r="H225" t="n">
        <v>0</v>
      </c>
      <c r="I225" t="n">
        <v>0</v>
      </c>
      <c r="J225" t="n">
        <v>0</v>
      </c>
      <c r="K225" t="n">
        <v>0</v>
      </c>
      <c r="L225" t="n">
        <v>0</v>
      </c>
      <c r="M225" t="n">
        <v>0</v>
      </c>
      <c r="N225" t="n">
        <v>0</v>
      </c>
      <c r="O225" t="n">
        <v>0</v>
      </c>
      <c r="P225" t="n">
        <v>0</v>
      </c>
      <c r="Q225" t="n">
        <v>0</v>
      </c>
      <c r="R225" s="2" t="inlineStr"/>
    </row>
    <row r="226" ht="15" customHeight="1">
      <c r="A226" t="inlineStr">
        <is>
          <t>A 31264-2021</t>
        </is>
      </c>
      <c r="B226" s="1" t="n">
        <v>44368</v>
      </c>
      <c r="C226" s="1" t="n">
        <v>46168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46168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43901-2023</t>
        </is>
      </c>
      <c r="B228" s="1" t="n">
        <v>45187</v>
      </c>
      <c r="C228" s="1" t="n">
        <v>46168</v>
      </c>
      <c r="D228" t="inlineStr">
        <is>
          <t>GOTLANDS LÄN</t>
        </is>
      </c>
      <c r="E228" t="inlineStr">
        <is>
          <t>GOTLAND</t>
        </is>
      </c>
      <c r="G228" t="n">
        <v>5.4</v>
      </c>
      <c r="H228" t="n">
        <v>0</v>
      </c>
      <c r="I228" t="n">
        <v>0</v>
      </c>
      <c r="J228" t="n">
        <v>0</v>
      </c>
      <c r="K228" t="n">
        <v>0</v>
      </c>
      <c r="L228" t="n">
        <v>0</v>
      </c>
      <c r="M228" t="n">
        <v>0</v>
      </c>
      <c r="N228" t="n">
        <v>0</v>
      </c>
      <c r="O228" t="n">
        <v>0</v>
      </c>
      <c r="P228" t="n">
        <v>0</v>
      </c>
      <c r="Q228" t="n">
        <v>0</v>
      </c>
      <c r="R228" s="2" t="inlineStr"/>
    </row>
    <row r="229" ht="15" customHeight="1">
      <c r="A229" t="inlineStr">
        <is>
          <t>A 10746-2025</t>
        </is>
      </c>
      <c r="B229" s="1" t="n">
        <v>45722.42766203704</v>
      </c>
      <c r="C229" s="1" t="n">
        <v>46168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16501-2023</t>
        </is>
      </c>
      <c r="B230" s="1" t="n">
        <v>45029</v>
      </c>
      <c r="C230" s="1" t="n">
        <v>46168</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23473-2025</t>
        </is>
      </c>
      <c r="B231" s="1" t="n">
        <v>45792</v>
      </c>
      <c r="C231" s="1" t="n">
        <v>46168</v>
      </c>
      <c r="D231" t="inlineStr">
        <is>
          <t>GOTLANDS LÄN</t>
        </is>
      </c>
      <c r="E231" t="inlineStr">
        <is>
          <t>GOTLAND</t>
        </is>
      </c>
      <c r="G231" t="n">
        <v>3.6</v>
      </c>
      <c r="H231" t="n">
        <v>0</v>
      </c>
      <c r="I231" t="n">
        <v>0</v>
      </c>
      <c r="J231" t="n">
        <v>0</v>
      </c>
      <c r="K231" t="n">
        <v>0</v>
      </c>
      <c r="L231" t="n">
        <v>0</v>
      </c>
      <c r="M231" t="n">
        <v>0</v>
      </c>
      <c r="N231" t="n">
        <v>0</v>
      </c>
      <c r="O231" t="n">
        <v>0</v>
      </c>
      <c r="P231" t="n">
        <v>0</v>
      </c>
      <c r="Q231" t="n">
        <v>0</v>
      </c>
      <c r="R231" s="2" t="inlineStr"/>
    </row>
    <row r="232" ht="15" customHeight="1">
      <c r="A232" t="inlineStr">
        <is>
          <t>A 23856-2025</t>
        </is>
      </c>
      <c r="B232" s="1" t="n">
        <v>45793</v>
      </c>
      <c r="C232" s="1" t="n">
        <v>46168</v>
      </c>
      <c r="D232" t="inlineStr">
        <is>
          <t>GOTLANDS LÄN</t>
        </is>
      </c>
      <c r="E232" t="inlineStr">
        <is>
          <t>GOTLAND</t>
        </is>
      </c>
      <c r="G232" t="n">
        <v>4.4</v>
      </c>
      <c r="H232" t="n">
        <v>0</v>
      </c>
      <c r="I232" t="n">
        <v>0</v>
      </c>
      <c r="J232" t="n">
        <v>0</v>
      </c>
      <c r="K232" t="n">
        <v>0</v>
      </c>
      <c r="L232" t="n">
        <v>0</v>
      </c>
      <c r="M232" t="n">
        <v>0</v>
      </c>
      <c r="N232" t="n">
        <v>0</v>
      </c>
      <c r="O232" t="n">
        <v>0</v>
      </c>
      <c r="P232" t="n">
        <v>0</v>
      </c>
      <c r="Q232" t="n">
        <v>0</v>
      </c>
      <c r="R232" s="2" t="inlineStr"/>
    </row>
    <row r="233" ht="15" customHeight="1">
      <c r="A233" t="inlineStr">
        <is>
          <t>A 15073-2025</t>
        </is>
      </c>
      <c r="B233" s="1" t="n">
        <v>45743</v>
      </c>
      <c r="C233" s="1" t="n">
        <v>46168</v>
      </c>
      <c r="D233" t="inlineStr">
        <is>
          <t>GOTLANDS LÄN</t>
        </is>
      </c>
      <c r="E233" t="inlineStr">
        <is>
          <t>GOTLAND</t>
        </is>
      </c>
      <c r="G233" t="n">
        <v>12.1</v>
      </c>
      <c r="H233" t="n">
        <v>0</v>
      </c>
      <c r="I233" t="n">
        <v>0</v>
      </c>
      <c r="J233" t="n">
        <v>0</v>
      </c>
      <c r="K233" t="n">
        <v>0</v>
      </c>
      <c r="L233" t="n">
        <v>0</v>
      </c>
      <c r="M233" t="n">
        <v>0</v>
      </c>
      <c r="N233" t="n">
        <v>0</v>
      </c>
      <c r="O233" t="n">
        <v>0</v>
      </c>
      <c r="P233" t="n">
        <v>0</v>
      </c>
      <c r="Q233" t="n">
        <v>0</v>
      </c>
      <c r="R233" s="2" t="inlineStr"/>
    </row>
    <row r="234" ht="15" customHeight="1">
      <c r="A234" t="inlineStr">
        <is>
          <t>A 27930-2021</t>
        </is>
      </c>
      <c r="B234" s="1" t="n">
        <v>44354</v>
      </c>
      <c r="C234" s="1" t="n">
        <v>46168</v>
      </c>
      <c r="D234" t="inlineStr">
        <is>
          <t>GOTLANDS LÄN</t>
        </is>
      </c>
      <c r="E234" t="inlineStr">
        <is>
          <t>GOTLAND</t>
        </is>
      </c>
      <c r="G234" t="n">
        <v>2.5</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46168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6749-2025</t>
        </is>
      </c>
      <c r="B236" s="1" t="n">
        <v>45700</v>
      </c>
      <c r="C236" s="1" t="n">
        <v>46168</v>
      </c>
      <c r="D236" t="inlineStr">
        <is>
          <t>GOTLANDS LÄN</t>
        </is>
      </c>
      <c r="E236" t="inlineStr">
        <is>
          <t>GOTLAND</t>
        </is>
      </c>
      <c r="G236" t="n">
        <v>4.5</v>
      </c>
      <c r="H236" t="n">
        <v>0</v>
      </c>
      <c r="I236" t="n">
        <v>0</v>
      </c>
      <c r="J236" t="n">
        <v>0</v>
      </c>
      <c r="K236" t="n">
        <v>0</v>
      </c>
      <c r="L236" t="n">
        <v>0</v>
      </c>
      <c r="M236" t="n">
        <v>0</v>
      </c>
      <c r="N236" t="n">
        <v>0</v>
      </c>
      <c r="O236" t="n">
        <v>0</v>
      </c>
      <c r="P236" t="n">
        <v>0</v>
      </c>
      <c r="Q236" t="n">
        <v>0</v>
      </c>
      <c r="R236" s="2" t="inlineStr"/>
    </row>
    <row r="237" ht="15" customHeight="1">
      <c r="A237" t="inlineStr">
        <is>
          <t>A 61962-2024</t>
        </is>
      </c>
      <c r="B237" s="1" t="n">
        <v>45653.54340277778</v>
      </c>
      <c r="C237" s="1" t="n">
        <v>46168</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23698-2025</t>
        </is>
      </c>
      <c r="B238" s="1" t="n">
        <v>45793</v>
      </c>
      <c r="C238" s="1" t="n">
        <v>46168</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10492-2023</t>
        </is>
      </c>
      <c r="B239" s="1" t="n">
        <v>44987</v>
      </c>
      <c r="C239" s="1" t="n">
        <v>46168</v>
      </c>
      <c r="D239" t="inlineStr">
        <is>
          <t>GOTLANDS LÄN</t>
        </is>
      </c>
      <c r="E239" t="inlineStr">
        <is>
          <t>GOTLAND</t>
        </is>
      </c>
      <c r="G239" t="n">
        <v>1</v>
      </c>
      <c r="H239" t="n">
        <v>0</v>
      </c>
      <c r="I239" t="n">
        <v>0</v>
      </c>
      <c r="J239" t="n">
        <v>0</v>
      </c>
      <c r="K239" t="n">
        <v>0</v>
      </c>
      <c r="L239" t="n">
        <v>0</v>
      </c>
      <c r="M239" t="n">
        <v>0</v>
      </c>
      <c r="N239" t="n">
        <v>0</v>
      </c>
      <c r="O239" t="n">
        <v>0</v>
      </c>
      <c r="P239" t="n">
        <v>0</v>
      </c>
      <c r="Q239" t="n">
        <v>0</v>
      </c>
      <c r="R239" s="2" t="inlineStr"/>
    </row>
    <row r="240" ht="15" customHeight="1">
      <c r="A240" t="inlineStr">
        <is>
          <t>A 5909-2025</t>
        </is>
      </c>
      <c r="B240" s="1" t="n">
        <v>45695.40634259259</v>
      </c>
      <c r="C240" s="1" t="n">
        <v>46168</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10653-2023</t>
        </is>
      </c>
      <c r="B241" s="1" t="n">
        <v>44988.48859953704</v>
      </c>
      <c r="C241" s="1" t="n">
        <v>46168</v>
      </c>
      <c r="D241" t="inlineStr">
        <is>
          <t>GOTLANDS LÄN</t>
        </is>
      </c>
      <c r="E241" t="inlineStr">
        <is>
          <t>GOTLAND</t>
        </is>
      </c>
      <c r="F241" t="inlineStr">
        <is>
          <t>Kyrkan</t>
        </is>
      </c>
      <c r="G241" t="n">
        <v>3</v>
      </c>
      <c r="H241" t="n">
        <v>0</v>
      </c>
      <c r="I241" t="n">
        <v>0</v>
      </c>
      <c r="J241" t="n">
        <v>0</v>
      </c>
      <c r="K241" t="n">
        <v>0</v>
      </c>
      <c r="L241" t="n">
        <v>0</v>
      </c>
      <c r="M241" t="n">
        <v>0</v>
      </c>
      <c r="N241" t="n">
        <v>0</v>
      </c>
      <c r="O241" t="n">
        <v>0</v>
      </c>
      <c r="P241" t="n">
        <v>0</v>
      </c>
      <c r="Q241" t="n">
        <v>0</v>
      </c>
      <c r="R241" s="2" t="inlineStr"/>
    </row>
    <row r="242" ht="15" customHeight="1">
      <c r="A242" t="inlineStr">
        <is>
          <t>A 20356-2022</t>
        </is>
      </c>
      <c r="B242" s="1" t="n">
        <v>44699</v>
      </c>
      <c r="C242" s="1" t="n">
        <v>46168</v>
      </c>
      <c r="D242" t="inlineStr">
        <is>
          <t>GOTLANDS LÄN</t>
        </is>
      </c>
      <c r="E242" t="inlineStr">
        <is>
          <t>GOTLAND</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4990-2025</t>
        </is>
      </c>
      <c r="B243" s="1" t="n">
        <v>45691</v>
      </c>
      <c r="C243" s="1" t="n">
        <v>46168</v>
      </c>
      <c r="D243" t="inlineStr">
        <is>
          <t>GOTLANDS LÄN</t>
        </is>
      </c>
      <c r="E243" t="inlineStr">
        <is>
          <t>GOTLAND</t>
        </is>
      </c>
      <c r="G243" t="n">
        <v>7.7</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46168</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5462-2025</t>
        </is>
      </c>
      <c r="B245" s="1" t="n">
        <v>45693.29331018519</v>
      </c>
      <c r="C245" s="1" t="n">
        <v>46168</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43081-2022</t>
        </is>
      </c>
      <c r="B246" s="1" t="n">
        <v>44833</v>
      </c>
      <c r="C246" s="1" t="n">
        <v>46168</v>
      </c>
      <c r="D246" t="inlineStr">
        <is>
          <t>GOTLANDS LÄN</t>
        </is>
      </c>
      <c r="E246" t="inlineStr">
        <is>
          <t>GOTLAND</t>
        </is>
      </c>
      <c r="G246" t="n">
        <v>6.8</v>
      </c>
      <c r="H246" t="n">
        <v>0</v>
      </c>
      <c r="I246" t="n">
        <v>0</v>
      </c>
      <c r="J246" t="n">
        <v>0</v>
      </c>
      <c r="K246" t="n">
        <v>0</v>
      </c>
      <c r="L246" t="n">
        <v>0</v>
      </c>
      <c r="M246" t="n">
        <v>0</v>
      </c>
      <c r="N246" t="n">
        <v>0</v>
      </c>
      <c r="O246" t="n">
        <v>0</v>
      </c>
      <c r="P246" t="n">
        <v>0</v>
      </c>
      <c r="Q246" t="n">
        <v>0</v>
      </c>
      <c r="R246" s="2" t="inlineStr"/>
    </row>
    <row r="247" ht="15" customHeight="1">
      <c r="A247" t="inlineStr">
        <is>
          <t>A 32958-2021</t>
        </is>
      </c>
      <c r="B247" s="1" t="n">
        <v>44376</v>
      </c>
      <c r="C247" s="1" t="n">
        <v>46168</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4868-2024</t>
        </is>
      </c>
      <c r="B248" s="1" t="n">
        <v>45329</v>
      </c>
      <c r="C248" s="1" t="n">
        <v>46168</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5884-2025</t>
        </is>
      </c>
      <c r="B249" s="1" t="n">
        <v>45695.37482638889</v>
      </c>
      <c r="C249" s="1" t="n">
        <v>46168</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5897-2025</t>
        </is>
      </c>
      <c r="B250" s="1" t="n">
        <v>45695.39273148148</v>
      </c>
      <c r="C250" s="1" t="n">
        <v>46168</v>
      </c>
      <c r="D250" t="inlineStr">
        <is>
          <t>GOTLANDS LÄN</t>
        </is>
      </c>
      <c r="E250" t="inlineStr">
        <is>
          <t>GOTLAND</t>
        </is>
      </c>
      <c r="G250" t="n">
        <v>3.7</v>
      </c>
      <c r="H250" t="n">
        <v>0</v>
      </c>
      <c r="I250" t="n">
        <v>0</v>
      </c>
      <c r="J250" t="n">
        <v>0</v>
      </c>
      <c r="K250" t="n">
        <v>0</v>
      </c>
      <c r="L250" t="n">
        <v>0</v>
      </c>
      <c r="M250" t="n">
        <v>0</v>
      </c>
      <c r="N250" t="n">
        <v>0</v>
      </c>
      <c r="O250" t="n">
        <v>0</v>
      </c>
      <c r="P250" t="n">
        <v>0</v>
      </c>
      <c r="Q250" t="n">
        <v>0</v>
      </c>
      <c r="R250" s="2" t="inlineStr"/>
    </row>
    <row r="251" ht="15" customHeight="1">
      <c r="A251" t="inlineStr">
        <is>
          <t>A 25796-2025</t>
        </is>
      </c>
      <c r="B251" s="1" t="n">
        <v>45804.39543981481</v>
      </c>
      <c r="C251" s="1" t="n">
        <v>46168</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49693-2023</t>
        </is>
      </c>
      <c r="B252" s="1" t="n">
        <v>45212.38138888889</v>
      </c>
      <c r="C252" s="1" t="n">
        <v>46168</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49697-2023</t>
        </is>
      </c>
      <c r="B253" s="1" t="n">
        <v>45212.38909722222</v>
      </c>
      <c r="C253" s="1" t="n">
        <v>46168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32330-2024</t>
        </is>
      </c>
      <c r="B254" s="1" t="n">
        <v>45512</v>
      </c>
      <c r="C254" s="1" t="n">
        <v>46168</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17901-2023</t>
        </is>
      </c>
      <c r="B255" s="1" t="n">
        <v>45039</v>
      </c>
      <c r="C255" s="1" t="n">
        <v>46168</v>
      </c>
      <c r="D255" t="inlineStr">
        <is>
          <t>GOTLANDS LÄN</t>
        </is>
      </c>
      <c r="E255" t="inlineStr">
        <is>
          <t>GOTLAND</t>
        </is>
      </c>
      <c r="F255" t="inlineStr">
        <is>
          <t>Kyrkan</t>
        </is>
      </c>
      <c r="G255" t="n">
        <v>0.6</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46168</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9613-2025</t>
        </is>
      </c>
      <c r="B257" s="1" t="n">
        <v>45715</v>
      </c>
      <c r="C257" s="1" t="n">
        <v>46168</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46168</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26457-2025</t>
        </is>
      </c>
      <c r="B259" s="1" t="n">
        <v>45807.42773148148</v>
      </c>
      <c r="C259" s="1" t="n">
        <v>46168</v>
      </c>
      <c r="D259" t="inlineStr">
        <is>
          <t>GOTLANDS LÄN</t>
        </is>
      </c>
      <c r="E259" t="inlineStr">
        <is>
          <t>GOTLAND</t>
        </is>
      </c>
      <c r="G259" t="n">
        <v>5.7</v>
      </c>
      <c r="H259" t="n">
        <v>0</v>
      </c>
      <c r="I259" t="n">
        <v>0</v>
      </c>
      <c r="J259" t="n">
        <v>0</v>
      </c>
      <c r="K259" t="n">
        <v>0</v>
      </c>
      <c r="L259" t="n">
        <v>0</v>
      </c>
      <c r="M259" t="n">
        <v>0</v>
      </c>
      <c r="N259" t="n">
        <v>0</v>
      </c>
      <c r="O259" t="n">
        <v>0</v>
      </c>
      <c r="P259" t="n">
        <v>0</v>
      </c>
      <c r="Q259" t="n">
        <v>0</v>
      </c>
      <c r="R259" s="2" t="inlineStr"/>
    </row>
    <row r="260" ht="15" customHeight="1">
      <c r="A260" t="inlineStr">
        <is>
          <t>A 26467-2025</t>
        </is>
      </c>
      <c r="B260" s="1" t="n">
        <v>45807.44640046296</v>
      </c>
      <c r="C260" s="1" t="n">
        <v>46168</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30135-2025</t>
        </is>
      </c>
      <c r="B261" s="1" t="n">
        <v>45826</v>
      </c>
      <c r="C261" s="1" t="n">
        <v>46168</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12599-2025</t>
        </is>
      </c>
      <c r="B262" s="1" t="n">
        <v>45733.29546296296</v>
      </c>
      <c r="C262" s="1" t="n">
        <v>46168</v>
      </c>
      <c r="D262" t="inlineStr">
        <is>
          <t>GOTLANDS LÄN</t>
        </is>
      </c>
      <c r="E262" t="inlineStr">
        <is>
          <t>GOTLAND</t>
        </is>
      </c>
      <c r="G262" t="n">
        <v>4.7</v>
      </c>
      <c r="H262" t="n">
        <v>0</v>
      </c>
      <c r="I262" t="n">
        <v>0</v>
      </c>
      <c r="J262" t="n">
        <v>0</v>
      </c>
      <c r="K262" t="n">
        <v>0</v>
      </c>
      <c r="L262" t="n">
        <v>0</v>
      </c>
      <c r="M262" t="n">
        <v>0</v>
      </c>
      <c r="N262" t="n">
        <v>0</v>
      </c>
      <c r="O262" t="n">
        <v>0</v>
      </c>
      <c r="P262" t="n">
        <v>0</v>
      </c>
      <c r="Q262" t="n">
        <v>0</v>
      </c>
      <c r="R262" s="2" t="inlineStr"/>
    </row>
    <row r="263" ht="15" customHeight="1">
      <c r="A263" t="inlineStr">
        <is>
          <t>A 26465-2025</t>
        </is>
      </c>
      <c r="B263" s="1" t="n">
        <v>45807.44377314814</v>
      </c>
      <c r="C263" s="1" t="n">
        <v>46168</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35141-2025</t>
        </is>
      </c>
      <c r="B264" s="1" t="n">
        <v>45852.65206018519</v>
      </c>
      <c r="C264" s="1" t="n">
        <v>46168</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26660-2025</t>
        </is>
      </c>
      <c r="B265" s="1" t="n">
        <v>45810.39737268518</v>
      </c>
      <c r="C265" s="1" t="n">
        <v>46168</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35142-2025</t>
        </is>
      </c>
      <c r="B266" s="1" t="n">
        <v>45852.65532407408</v>
      </c>
      <c r="C266" s="1" t="n">
        <v>46168</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46396-2023</t>
        </is>
      </c>
      <c r="B267" s="1" t="n">
        <v>45197</v>
      </c>
      <c r="C267" s="1" t="n">
        <v>46168</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27371-2025</t>
        </is>
      </c>
      <c r="B268" s="1" t="n">
        <v>45812</v>
      </c>
      <c r="C268" s="1" t="n">
        <v>46168</v>
      </c>
      <c r="D268" t="inlineStr">
        <is>
          <t>GOTLANDS LÄN</t>
        </is>
      </c>
      <c r="E268" t="inlineStr">
        <is>
          <t>GOTLAND</t>
        </is>
      </c>
      <c r="G268" t="n">
        <v>8</v>
      </c>
      <c r="H268" t="n">
        <v>0</v>
      </c>
      <c r="I268" t="n">
        <v>0</v>
      </c>
      <c r="J268" t="n">
        <v>0</v>
      </c>
      <c r="K268" t="n">
        <v>0</v>
      </c>
      <c r="L268" t="n">
        <v>0</v>
      </c>
      <c r="M268" t="n">
        <v>0</v>
      </c>
      <c r="N268" t="n">
        <v>0</v>
      </c>
      <c r="O268" t="n">
        <v>0</v>
      </c>
      <c r="P268" t="n">
        <v>0</v>
      </c>
      <c r="Q268" t="n">
        <v>0</v>
      </c>
      <c r="R268" s="2" t="inlineStr"/>
    </row>
    <row r="269" ht="15" customHeight="1">
      <c r="A269" t="inlineStr">
        <is>
          <t>A 27355-2025</t>
        </is>
      </c>
      <c r="B269" s="1" t="n">
        <v>45812</v>
      </c>
      <c r="C269" s="1" t="n">
        <v>46168</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17724-2024</t>
        </is>
      </c>
      <c r="B270" s="1" t="n">
        <v>45418.55096064815</v>
      </c>
      <c r="C270" s="1" t="n">
        <v>46168</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15595-2024</t>
        </is>
      </c>
      <c r="B271" s="1" t="n">
        <v>45401.81480324074</v>
      </c>
      <c r="C271" s="1" t="n">
        <v>46168</v>
      </c>
      <c r="D271" t="inlineStr">
        <is>
          <t>GOTLANDS LÄN</t>
        </is>
      </c>
      <c r="E271" t="inlineStr">
        <is>
          <t>GOTLAND</t>
        </is>
      </c>
      <c r="G271" t="n">
        <v>6.4</v>
      </c>
      <c r="H271" t="n">
        <v>0</v>
      </c>
      <c r="I271" t="n">
        <v>0</v>
      </c>
      <c r="J271" t="n">
        <v>0</v>
      </c>
      <c r="K271" t="n">
        <v>0</v>
      </c>
      <c r="L271" t="n">
        <v>0</v>
      </c>
      <c r="M271" t="n">
        <v>0</v>
      </c>
      <c r="N271" t="n">
        <v>0</v>
      </c>
      <c r="O271" t="n">
        <v>0</v>
      </c>
      <c r="P271" t="n">
        <v>0</v>
      </c>
      <c r="Q271" t="n">
        <v>0</v>
      </c>
      <c r="R271" s="2" t="inlineStr"/>
    </row>
    <row r="272" ht="15" customHeight="1">
      <c r="A272" t="inlineStr">
        <is>
          <t>A 39819-2025</t>
        </is>
      </c>
      <c r="B272" s="1" t="n">
        <v>45891.53418981482</v>
      </c>
      <c r="C272" s="1" t="n">
        <v>46168</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46168</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7850-2025</t>
        </is>
      </c>
      <c r="B274" s="1" t="n">
        <v>45706</v>
      </c>
      <c r="C274" s="1" t="n">
        <v>46168</v>
      </c>
      <c r="D274" t="inlineStr">
        <is>
          <t>GOTLANDS LÄN</t>
        </is>
      </c>
      <c r="E274" t="inlineStr">
        <is>
          <t>GOTLAND</t>
        </is>
      </c>
      <c r="G274" t="n">
        <v>0.5</v>
      </c>
      <c r="H274" t="n">
        <v>0</v>
      </c>
      <c r="I274" t="n">
        <v>0</v>
      </c>
      <c r="J274" t="n">
        <v>0</v>
      </c>
      <c r="K274" t="n">
        <v>0</v>
      </c>
      <c r="L274" t="n">
        <v>0</v>
      </c>
      <c r="M274" t="n">
        <v>0</v>
      </c>
      <c r="N274" t="n">
        <v>0</v>
      </c>
      <c r="O274" t="n">
        <v>0</v>
      </c>
      <c r="P274" t="n">
        <v>0</v>
      </c>
      <c r="Q274" t="n">
        <v>0</v>
      </c>
      <c r="R274" s="2" t="inlineStr"/>
    </row>
    <row r="275" ht="15" customHeight="1">
      <c r="A275" t="inlineStr">
        <is>
          <t>A 39814-2025</t>
        </is>
      </c>
      <c r="B275" s="1" t="n">
        <v>45891.52694444444</v>
      </c>
      <c r="C275" s="1" t="n">
        <v>46168</v>
      </c>
      <c r="D275" t="inlineStr">
        <is>
          <t>GOTLANDS LÄN</t>
        </is>
      </c>
      <c r="E275" t="inlineStr">
        <is>
          <t>GOTLAND</t>
        </is>
      </c>
      <c r="G275" t="n">
        <v>4.5</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46168</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46168</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46168</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46168</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39816-2025</t>
        </is>
      </c>
      <c r="B280" s="1" t="n">
        <v>45891</v>
      </c>
      <c r="C280" s="1" t="n">
        <v>46168</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40103-2025</t>
        </is>
      </c>
      <c r="B281" s="1" t="n">
        <v>45894.4880324074</v>
      </c>
      <c r="C281" s="1" t="n">
        <v>46168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40373-2025</t>
        </is>
      </c>
      <c r="B282" s="1" t="n">
        <v>45895.51821759259</v>
      </c>
      <c r="C282" s="1" t="n">
        <v>46168</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46168</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46168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69112-2021</t>
        </is>
      </c>
      <c r="B285" s="1" t="n">
        <v>44530</v>
      </c>
      <c r="C285" s="1" t="n">
        <v>46168</v>
      </c>
      <c r="D285" t="inlineStr">
        <is>
          <t>GOTLANDS LÄN</t>
        </is>
      </c>
      <c r="E285" t="inlineStr">
        <is>
          <t>GOTLAND</t>
        </is>
      </c>
      <c r="G285" t="n">
        <v>4.2</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46168</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7638-2025</t>
        </is>
      </c>
      <c r="B287" s="1" t="n">
        <v>45705.77306712963</v>
      </c>
      <c r="C287" s="1" t="n">
        <v>46168</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50482-2024</t>
        </is>
      </c>
      <c r="B288" s="1" t="n">
        <v>45601.48114583334</v>
      </c>
      <c r="C288" s="1" t="n">
        <v>46168</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46168</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1394-2023</t>
        </is>
      </c>
      <c r="B290" s="1" t="n">
        <v>44936.72997685185</v>
      </c>
      <c r="C290" s="1" t="n">
        <v>46168</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46168</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29207-2025</t>
        </is>
      </c>
      <c r="B292" s="1" t="n">
        <v>45823</v>
      </c>
      <c r="C292" s="1" t="n">
        <v>46168</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41435-2025</t>
        </is>
      </c>
      <c r="B293" s="1" t="n">
        <v>45901.39974537037</v>
      </c>
      <c r="C293" s="1" t="n">
        <v>46168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58230-2024</t>
        </is>
      </c>
      <c r="B294" s="1" t="n">
        <v>45632.51625</v>
      </c>
      <c r="C294" s="1" t="n">
        <v>46168</v>
      </c>
      <c r="D294" t="inlineStr">
        <is>
          <t>GOTLANDS LÄN</t>
        </is>
      </c>
      <c r="E294" t="inlineStr">
        <is>
          <t>GOTLAND</t>
        </is>
      </c>
      <c r="G294" t="n">
        <v>7.3</v>
      </c>
      <c r="H294" t="n">
        <v>0</v>
      </c>
      <c r="I294" t="n">
        <v>0</v>
      </c>
      <c r="J294" t="n">
        <v>0</v>
      </c>
      <c r="K294" t="n">
        <v>0</v>
      </c>
      <c r="L294" t="n">
        <v>0</v>
      </c>
      <c r="M294" t="n">
        <v>0</v>
      </c>
      <c r="N294" t="n">
        <v>0</v>
      </c>
      <c r="O294" t="n">
        <v>0</v>
      </c>
      <c r="P294" t="n">
        <v>0</v>
      </c>
      <c r="Q294" t="n">
        <v>0</v>
      </c>
      <c r="R294" s="2" t="inlineStr"/>
    </row>
    <row r="295" ht="15" customHeight="1">
      <c r="A295" t="inlineStr">
        <is>
          <t>A 1462-2025</t>
        </is>
      </c>
      <c r="B295" s="1" t="n">
        <v>45670.36319444444</v>
      </c>
      <c r="C295" s="1" t="n">
        <v>46168</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41551-2025</t>
        </is>
      </c>
      <c r="B296" s="1" t="n">
        <v>45901.58854166666</v>
      </c>
      <c r="C296" s="1" t="n">
        <v>46168</v>
      </c>
      <c r="D296" t="inlineStr">
        <is>
          <t>GOTLANDS LÄN</t>
        </is>
      </c>
      <c r="E296" t="inlineStr">
        <is>
          <t>GOTLAND</t>
        </is>
      </c>
      <c r="G296" t="n">
        <v>5.6</v>
      </c>
      <c r="H296" t="n">
        <v>0</v>
      </c>
      <c r="I296" t="n">
        <v>0</v>
      </c>
      <c r="J296" t="n">
        <v>0</v>
      </c>
      <c r="K296" t="n">
        <v>0</v>
      </c>
      <c r="L296" t="n">
        <v>0</v>
      </c>
      <c r="M296" t="n">
        <v>0</v>
      </c>
      <c r="N296" t="n">
        <v>0</v>
      </c>
      <c r="O296" t="n">
        <v>0</v>
      </c>
      <c r="P296" t="n">
        <v>0</v>
      </c>
      <c r="Q296" t="n">
        <v>0</v>
      </c>
      <c r="R296" s="2" t="inlineStr"/>
    </row>
    <row r="297" ht="15" customHeight="1">
      <c r="A297" t="inlineStr">
        <is>
          <t>A 30061-2025</t>
        </is>
      </c>
      <c r="B297" s="1" t="n">
        <v>45826.61488425926</v>
      </c>
      <c r="C297" s="1" t="n">
        <v>46168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25129-2023</t>
        </is>
      </c>
      <c r="B298" s="1" t="n">
        <v>45086.44261574074</v>
      </c>
      <c r="C298" s="1" t="n">
        <v>46168</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46168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58160-2024</t>
        </is>
      </c>
      <c r="B300" s="1" t="n">
        <v>45632.44927083333</v>
      </c>
      <c r="C300" s="1" t="n">
        <v>46168</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46168</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24966-2023</t>
        </is>
      </c>
      <c r="B302" s="1" t="n">
        <v>45085</v>
      </c>
      <c r="C302" s="1" t="n">
        <v>46168</v>
      </c>
      <c r="D302" t="inlineStr">
        <is>
          <t>GOTLANDS LÄN</t>
        </is>
      </c>
      <c r="E302" t="inlineStr">
        <is>
          <t>GOTLAND</t>
        </is>
      </c>
      <c r="G302" t="n">
        <v>7</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46168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46168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46189-2022</t>
        </is>
      </c>
      <c r="B305" s="1" t="n">
        <v>44847</v>
      </c>
      <c r="C305" s="1" t="n">
        <v>46168</v>
      </c>
      <c r="D305" t="inlineStr">
        <is>
          <t>GOTLANDS LÄN</t>
        </is>
      </c>
      <c r="E305" t="inlineStr">
        <is>
          <t>GOTLAND</t>
        </is>
      </c>
      <c r="G305" t="n">
        <v>0.4</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46168</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46168</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42608-2025</t>
        </is>
      </c>
      <c r="B308" s="1" t="n">
        <v>45905</v>
      </c>
      <c r="C308" s="1" t="n">
        <v>46168</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16373-2025</t>
        </is>
      </c>
      <c r="B309" s="1" t="n">
        <v>45751</v>
      </c>
      <c r="C309" s="1" t="n">
        <v>46168</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47762-2023</t>
        </is>
      </c>
      <c r="B310" s="1" t="n">
        <v>45203.86256944444</v>
      </c>
      <c r="C310" s="1" t="n">
        <v>46168</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32379-2025</t>
        </is>
      </c>
      <c r="B311" s="1" t="n">
        <v>45837</v>
      </c>
      <c r="C311" s="1" t="n">
        <v>46168</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46545-2024</t>
        </is>
      </c>
      <c r="B312" s="1" t="n">
        <v>45582.65831018519</v>
      </c>
      <c r="C312" s="1" t="n">
        <v>46168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32467-2025</t>
        </is>
      </c>
      <c r="B313" s="1" t="n">
        <v>45838.42111111111</v>
      </c>
      <c r="C313" s="1" t="n">
        <v>46168</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46168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60086-2022</t>
        </is>
      </c>
      <c r="B315" s="1" t="n">
        <v>44909</v>
      </c>
      <c r="C315" s="1" t="n">
        <v>46168</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16109-2025</t>
        </is>
      </c>
      <c r="B316" s="1" t="n">
        <v>45750</v>
      </c>
      <c r="C316" s="1" t="n">
        <v>46168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28480-2023</t>
        </is>
      </c>
      <c r="B317" s="1" t="n">
        <v>45103</v>
      </c>
      <c r="C317" s="1" t="n">
        <v>46168</v>
      </c>
      <c r="D317" t="inlineStr">
        <is>
          <t>GOTLANDS LÄN</t>
        </is>
      </c>
      <c r="E317" t="inlineStr">
        <is>
          <t>GOTLAND</t>
        </is>
      </c>
      <c r="G317" t="n">
        <v>5.7</v>
      </c>
      <c r="H317" t="n">
        <v>0</v>
      </c>
      <c r="I317" t="n">
        <v>0</v>
      </c>
      <c r="J317" t="n">
        <v>0</v>
      </c>
      <c r="K317" t="n">
        <v>0</v>
      </c>
      <c r="L317" t="n">
        <v>0</v>
      </c>
      <c r="M317" t="n">
        <v>0</v>
      </c>
      <c r="N317" t="n">
        <v>0</v>
      </c>
      <c r="O317" t="n">
        <v>0</v>
      </c>
      <c r="P317" t="n">
        <v>0</v>
      </c>
      <c r="Q317" t="n">
        <v>0</v>
      </c>
      <c r="R317" s="2" t="inlineStr"/>
    </row>
    <row r="318" ht="15" customHeight="1">
      <c r="A318" t="inlineStr">
        <is>
          <t>A 28485-2023</t>
        </is>
      </c>
      <c r="B318" s="1" t="n">
        <v>45103.43731481482</v>
      </c>
      <c r="C318" s="1" t="n">
        <v>46168</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62915-2021</t>
        </is>
      </c>
      <c r="B319" s="1" t="n">
        <v>44504</v>
      </c>
      <c r="C319" s="1" t="n">
        <v>46168</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22031-2024</t>
        </is>
      </c>
      <c r="B320" s="1" t="n">
        <v>45443.60075231481</v>
      </c>
      <c r="C320" s="1" t="n">
        <v>46168</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46168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44410-2025</t>
        </is>
      </c>
      <c r="B322" s="1" t="n">
        <v>45916.53699074074</v>
      </c>
      <c r="C322" s="1" t="n">
        <v>46168</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44949-2023</t>
        </is>
      </c>
      <c r="B323" s="1" t="n">
        <v>45190.69520833333</v>
      </c>
      <c r="C323" s="1" t="n">
        <v>46168</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46168</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33007-2025</t>
        </is>
      </c>
      <c r="B325" s="1" t="n">
        <v>45840</v>
      </c>
      <c r="C325" s="1" t="n">
        <v>46168</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44405-2025</t>
        </is>
      </c>
      <c r="B326" s="1" t="n">
        <v>45916.52405092592</v>
      </c>
      <c r="C326" s="1" t="n">
        <v>46168</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49314-2024</t>
        </is>
      </c>
      <c r="B327" s="1" t="n">
        <v>45595.55893518519</v>
      </c>
      <c r="C327" s="1" t="n">
        <v>46168</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46168</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46168</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3964-2024</t>
        </is>
      </c>
      <c r="B330" s="1" t="n">
        <v>45322</v>
      </c>
      <c r="C330" s="1" t="n">
        <v>46168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45084-2024</t>
        </is>
      </c>
      <c r="B331" s="1" t="n">
        <v>45575</v>
      </c>
      <c r="C331" s="1" t="n">
        <v>46168</v>
      </c>
      <c r="D331" t="inlineStr">
        <is>
          <t>GOTLANDS LÄN</t>
        </is>
      </c>
      <c r="E331" t="inlineStr">
        <is>
          <t>GOTLAND</t>
        </is>
      </c>
      <c r="G331" t="n">
        <v>6.8</v>
      </c>
      <c r="H331" t="n">
        <v>0</v>
      </c>
      <c r="I331" t="n">
        <v>0</v>
      </c>
      <c r="J331" t="n">
        <v>0</v>
      </c>
      <c r="K331" t="n">
        <v>0</v>
      </c>
      <c r="L331" t="n">
        <v>0</v>
      </c>
      <c r="M331" t="n">
        <v>0</v>
      </c>
      <c r="N331" t="n">
        <v>0</v>
      </c>
      <c r="O331" t="n">
        <v>0</v>
      </c>
      <c r="P331" t="n">
        <v>0</v>
      </c>
      <c r="Q331" t="n">
        <v>0</v>
      </c>
      <c r="R331" s="2" t="inlineStr"/>
    </row>
    <row r="332" ht="15" customHeight="1">
      <c r="A332" t="inlineStr">
        <is>
          <t>A 15413-2025</t>
        </is>
      </c>
      <c r="B332" s="1" t="n">
        <v>45747.451875</v>
      </c>
      <c r="C332" s="1" t="n">
        <v>46168</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35123-2025</t>
        </is>
      </c>
      <c r="B333" s="1" t="n">
        <v>45852.614375</v>
      </c>
      <c r="C333" s="1" t="n">
        <v>46168</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35096-2025</t>
        </is>
      </c>
      <c r="B334" s="1" t="n">
        <v>45852.54356481481</v>
      </c>
      <c r="C334" s="1" t="n">
        <v>46168</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30104-2025</t>
        </is>
      </c>
      <c r="B335" s="1" t="n">
        <v>45826.68806712963</v>
      </c>
      <c r="C335" s="1" t="n">
        <v>46168</v>
      </c>
      <c r="D335" t="inlineStr">
        <is>
          <t>GOTLANDS LÄN</t>
        </is>
      </c>
      <c r="E335" t="inlineStr">
        <is>
          <t>GOTLAND</t>
        </is>
      </c>
      <c r="G335" t="n">
        <v>15.4</v>
      </c>
      <c r="H335" t="n">
        <v>0</v>
      </c>
      <c r="I335" t="n">
        <v>0</v>
      </c>
      <c r="J335" t="n">
        <v>0</v>
      </c>
      <c r="K335" t="n">
        <v>0</v>
      </c>
      <c r="L335" t="n">
        <v>0</v>
      </c>
      <c r="M335" t="n">
        <v>0</v>
      </c>
      <c r="N335" t="n">
        <v>0</v>
      </c>
      <c r="O335" t="n">
        <v>0</v>
      </c>
      <c r="P335" t="n">
        <v>0</v>
      </c>
      <c r="Q335" t="n">
        <v>0</v>
      </c>
      <c r="R335" s="2" t="inlineStr"/>
    </row>
    <row r="336" ht="15" customHeight="1">
      <c r="A336" t="inlineStr">
        <is>
          <t>A 35290-2025</t>
        </is>
      </c>
      <c r="B336" s="1" t="n">
        <v>45854.38502314815</v>
      </c>
      <c r="C336" s="1" t="n">
        <v>46168</v>
      </c>
      <c r="D336" t="inlineStr">
        <is>
          <t>GOTLANDS LÄN</t>
        </is>
      </c>
      <c r="E336" t="inlineStr">
        <is>
          <t>GOTLAND</t>
        </is>
      </c>
      <c r="G336" t="n">
        <v>5.4</v>
      </c>
      <c r="H336" t="n">
        <v>0</v>
      </c>
      <c r="I336" t="n">
        <v>0</v>
      </c>
      <c r="J336" t="n">
        <v>0</v>
      </c>
      <c r="K336" t="n">
        <v>0</v>
      </c>
      <c r="L336" t="n">
        <v>0</v>
      </c>
      <c r="M336" t="n">
        <v>0</v>
      </c>
      <c r="N336" t="n">
        <v>0</v>
      </c>
      <c r="O336" t="n">
        <v>0</v>
      </c>
      <c r="P336" t="n">
        <v>0</v>
      </c>
      <c r="Q336" t="n">
        <v>0</v>
      </c>
      <c r="R336" s="2" t="inlineStr"/>
    </row>
    <row r="337" ht="15" customHeight="1">
      <c r="A337" t="inlineStr">
        <is>
          <t>A 26391-2025</t>
        </is>
      </c>
      <c r="B337" s="1" t="n">
        <v>45806</v>
      </c>
      <c r="C337" s="1" t="n">
        <v>46168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46168</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35537-2025</t>
        </is>
      </c>
      <c r="B339" s="1" t="n">
        <v>45856</v>
      </c>
      <c r="C339" s="1" t="n">
        <v>46168</v>
      </c>
      <c r="D339" t="inlineStr">
        <is>
          <t>GOTLANDS LÄN</t>
        </is>
      </c>
      <c r="E339" t="inlineStr">
        <is>
          <t>GOTLAND</t>
        </is>
      </c>
      <c r="G339" t="n">
        <v>16.8</v>
      </c>
      <c r="H339" t="n">
        <v>0</v>
      </c>
      <c r="I339" t="n">
        <v>0</v>
      </c>
      <c r="J339" t="n">
        <v>0</v>
      </c>
      <c r="K339" t="n">
        <v>0</v>
      </c>
      <c r="L339" t="n">
        <v>0</v>
      </c>
      <c r="M339" t="n">
        <v>0</v>
      </c>
      <c r="N339" t="n">
        <v>0</v>
      </c>
      <c r="O339" t="n">
        <v>0</v>
      </c>
      <c r="P339" t="n">
        <v>0</v>
      </c>
      <c r="Q339" t="n">
        <v>0</v>
      </c>
      <c r="R339" s="2" t="inlineStr"/>
    </row>
    <row r="340" ht="15" customHeight="1">
      <c r="A340" t="inlineStr">
        <is>
          <t>A 5217-2023</t>
        </is>
      </c>
      <c r="B340" s="1" t="n">
        <v>44959.39582175926</v>
      </c>
      <c r="C340" s="1" t="n">
        <v>46168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48503-2023</t>
        </is>
      </c>
      <c r="B341" s="1" t="n">
        <v>45207</v>
      </c>
      <c r="C341" s="1" t="n">
        <v>46168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46836-2025</t>
        </is>
      </c>
      <c r="B342" s="1" t="n">
        <v>45928.31511574074</v>
      </c>
      <c r="C342" s="1" t="n">
        <v>46168</v>
      </c>
      <c r="D342" t="inlineStr">
        <is>
          <t>GOTLANDS LÄN</t>
        </is>
      </c>
      <c r="E342" t="inlineStr">
        <is>
          <t>GOTLAND</t>
        </is>
      </c>
      <c r="G342" t="n">
        <v>2.8</v>
      </c>
      <c r="H342" t="n">
        <v>0</v>
      </c>
      <c r="I342" t="n">
        <v>0</v>
      </c>
      <c r="J342" t="n">
        <v>0</v>
      </c>
      <c r="K342" t="n">
        <v>0</v>
      </c>
      <c r="L342" t="n">
        <v>0</v>
      </c>
      <c r="M342" t="n">
        <v>0</v>
      </c>
      <c r="N342" t="n">
        <v>0</v>
      </c>
      <c r="O342" t="n">
        <v>0</v>
      </c>
      <c r="P342" t="n">
        <v>0</v>
      </c>
      <c r="Q342" t="n">
        <v>0</v>
      </c>
      <c r="R342" s="2" t="inlineStr"/>
    </row>
    <row r="343" ht="15" customHeight="1">
      <c r="A343" t="inlineStr">
        <is>
          <t>A 1677-2023</t>
        </is>
      </c>
      <c r="B343" s="1" t="n">
        <v>44938</v>
      </c>
      <c r="C343" s="1" t="n">
        <v>46168</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15216-2025</t>
        </is>
      </c>
      <c r="B344" s="1" t="n">
        <v>45744</v>
      </c>
      <c r="C344" s="1" t="n">
        <v>46168</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65901-2021</t>
        </is>
      </c>
      <c r="B345" s="1" t="n">
        <v>44516</v>
      </c>
      <c r="C345" s="1" t="n">
        <v>46168</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43790-2024</t>
        </is>
      </c>
      <c r="B346" s="1" t="n">
        <v>45571</v>
      </c>
      <c r="C346" s="1" t="n">
        <v>46168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45244-2024</t>
        </is>
      </c>
      <c r="B347" s="1" t="n">
        <v>45576</v>
      </c>
      <c r="C347" s="1" t="n">
        <v>46168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15001-2025</t>
        </is>
      </c>
      <c r="B348" s="1" t="n">
        <v>45743</v>
      </c>
      <c r="C348" s="1" t="n">
        <v>46168</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30488-2025</t>
        </is>
      </c>
      <c r="B349" s="1" t="n">
        <v>45830</v>
      </c>
      <c r="C349" s="1" t="n">
        <v>46168</v>
      </c>
      <c r="D349" t="inlineStr">
        <is>
          <t>GOTLANDS LÄN</t>
        </is>
      </c>
      <c r="E349" t="inlineStr">
        <is>
          <t>GOTLAND</t>
        </is>
      </c>
      <c r="F349" t="inlineStr">
        <is>
          <t>Kyrkan</t>
        </is>
      </c>
      <c r="G349" t="n">
        <v>3.9</v>
      </c>
      <c r="H349" t="n">
        <v>0</v>
      </c>
      <c r="I349" t="n">
        <v>0</v>
      </c>
      <c r="J349" t="n">
        <v>0</v>
      </c>
      <c r="K349" t="n">
        <v>0</v>
      </c>
      <c r="L349" t="n">
        <v>0</v>
      </c>
      <c r="M349" t="n">
        <v>0</v>
      </c>
      <c r="N349" t="n">
        <v>0</v>
      </c>
      <c r="O349" t="n">
        <v>0</v>
      </c>
      <c r="P349" t="n">
        <v>0</v>
      </c>
      <c r="Q349" t="n">
        <v>0</v>
      </c>
      <c r="R349" s="2" t="inlineStr"/>
    </row>
    <row r="350" ht="15" customHeight="1">
      <c r="A350" t="inlineStr">
        <is>
          <t>A 17847-2025</t>
        </is>
      </c>
      <c r="B350" s="1" t="n">
        <v>45758</v>
      </c>
      <c r="C350" s="1" t="n">
        <v>46168</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18742-2025</t>
        </is>
      </c>
      <c r="B351" s="1" t="n">
        <v>45763</v>
      </c>
      <c r="C351" s="1" t="n">
        <v>46168</v>
      </c>
      <c r="D351" t="inlineStr">
        <is>
          <t>GOTLANDS LÄN</t>
        </is>
      </c>
      <c r="E351" t="inlineStr">
        <is>
          <t>GOTLAND</t>
        </is>
      </c>
      <c r="G351" t="n">
        <v>3.4</v>
      </c>
      <c r="H351" t="n">
        <v>0</v>
      </c>
      <c r="I351" t="n">
        <v>0</v>
      </c>
      <c r="J351" t="n">
        <v>0</v>
      </c>
      <c r="K351" t="n">
        <v>0</v>
      </c>
      <c r="L351" t="n">
        <v>0</v>
      </c>
      <c r="M351" t="n">
        <v>0</v>
      </c>
      <c r="N351" t="n">
        <v>0</v>
      </c>
      <c r="O351" t="n">
        <v>0</v>
      </c>
      <c r="P351" t="n">
        <v>0</v>
      </c>
      <c r="Q351" t="n">
        <v>0</v>
      </c>
      <c r="R351" s="2" t="inlineStr"/>
    </row>
    <row r="352" ht="15" customHeight="1">
      <c r="A352" t="inlineStr">
        <is>
          <t>A 35129-2025</t>
        </is>
      </c>
      <c r="B352" s="1" t="n">
        <v>45852.63224537037</v>
      </c>
      <c r="C352" s="1" t="n">
        <v>46168</v>
      </c>
      <c r="D352" t="inlineStr">
        <is>
          <t>GOTLANDS LÄN</t>
        </is>
      </c>
      <c r="E352" t="inlineStr">
        <is>
          <t>GOTLAND</t>
        </is>
      </c>
      <c r="G352" t="n">
        <v>3.2</v>
      </c>
      <c r="H352" t="n">
        <v>0</v>
      </c>
      <c r="I352" t="n">
        <v>0</v>
      </c>
      <c r="J352" t="n">
        <v>0</v>
      </c>
      <c r="K352" t="n">
        <v>0</v>
      </c>
      <c r="L352" t="n">
        <v>0</v>
      </c>
      <c r="M352" t="n">
        <v>0</v>
      </c>
      <c r="N352" t="n">
        <v>0</v>
      </c>
      <c r="O352" t="n">
        <v>0</v>
      </c>
      <c r="P352" t="n">
        <v>0</v>
      </c>
      <c r="Q352" t="n">
        <v>0</v>
      </c>
      <c r="R352" s="2" t="inlineStr"/>
    </row>
    <row r="353" ht="15" customHeight="1">
      <c r="A353" t="inlineStr">
        <is>
          <t>A 8260-2023</t>
        </is>
      </c>
      <c r="B353" s="1" t="n">
        <v>44974.61608796296</v>
      </c>
      <c r="C353" s="1" t="n">
        <v>46168</v>
      </c>
      <c r="D353" t="inlineStr">
        <is>
          <t>GOTLANDS LÄN</t>
        </is>
      </c>
      <c r="E353" t="inlineStr">
        <is>
          <t>GOTLAND</t>
        </is>
      </c>
      <c r="G353" t="n">
        <v>2.9</v>
      </c>
      <c r="H353" t="n">
        <v>0</v>
      </c>
      <c r="I353" t="n">
        <v>0</v>
      </c>
      <c r="J353" t="n">
        <v>0</v>
      </c>
      <c r="K353" t="n">
        <v>0</v>
      </c>
      <c r="L353" t="n">
        <v>0</v>
      </c>
      <c r="M353" t="n">
        <v>0</v>
      </c>
      <c r="N353" t="n">
        <v>0</v>
      </c>
      <c r="O353" t="n">
        <v>0</v>
      </c>
      <c r="P353" t="n">
        <v>0</v>
      </c>
      <c r="Q353" t="n">
        <v>0</v>
      </c>
      <c r="R353" s="2" t="inlineStr"/>
    </row>
    <row r="354" ht="15" customHeight="1">
      <c r="A354" t="inlineStr">
        <is>
          <t>A 64969-2023</t>
        </is>
      </c>
      <c r="B354" s="1" t="n">
        <v>45284.54009259259</v>
      </c>
      <c r="C354" s="1" t="n">
        <v>46168</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44649-2021</t>
        </is>
      </c>
      <c r="B355" s="1" t="n">
        <v>44437</v>
      </c>
      <c r="C355" s="1" t="n">
        <v>46168</v>
      </c>
      <c r="D355" t="inlineStr">
        <is>
          <t>GOTLANDS LÄN</t>
        </is>
      </c>
      <c r="E355" t="inlineStr">
        <is>
          <t>GOTLAND</t>
        </is>
      </c>
      <c r="G355" t="n">
        <v>8.1</v>
      </c>
      <c r="H355" t="n">
        <v>0</v>
      </c>
      <c r="I355" t="n">
        <v>0</v>
      </c>
      <c r="J355" t="n">
        <v>0</v>
      </c>
      <c r="K355" t="n">
        <v>0</v>
      </c>
      <c r="L355" t="n">
        <v>0</v>
      </c>
      <c r="M355" t="n">
        <v>0</v>
      </c>
      <c r="N355" t="n">
        <v>0</v>
      </c>
      <c r="O355" t="n">
        <v>0</v>
      </c>
      <c r="P355" t="n">
        <v>0</v>
      </c>
      <c r="Q355" t="n">
        <v>0</v>
      </c>
      <c r="R355" s="2" t="inlineStr"/>
    </row>
    <row r="356" ht="15" customHeight="1">
      <c r="A356" t="inlineStr">
        <is>
          <t>A 9947-2024</t>
        </is>
      </c>
      <c r="B356" s="1" t="n">
        <v>45363</v>
      </c>
      <c r="C356" s="1" t="n">
        <v>46168</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48843-2024</t>
        </is>
      </c>
      <c r="B357" s="1" t="n">
        <v>45593</v>
      </c>
      <c r="C357" s="1" t="n">
        <v>46168</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17541-2024</t>
        </is>
      </c>
      <c r="B358" s="1" t="n">
        <v>45415</v>
      </c>
      <c r="C358" s="1" t="n">
        <v>46168</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17682-2024</t>
        </is>
      </c>
      <c r="B359" s="1" t="n">
        <v>45418.42966435185</v>
      </c>
      <c r="C359" s="1" t="n">
        <v>46168</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57522-2022</t>
        </is>
      </c>
      <c r="B360" s="1" t="n">
        <v>44896</v>
      </c>
      <c r="C360" s="1" t="n">
        <v>46168</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47637-2025</t>
        </is>
      </c>
      <c r="B361" s="1" t="n">
        <v>45931.49753472222</v>
      </c>
      <c r="C361" s="1" t="n">
        <v>46168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2241-2025</t>
        </is>
      </c>
      <c r="B362" s="1" t="n">
        <v>45673.48710648148</v>
      </c>
      <c r="C362" s="1" t="n">
        <v>46168</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27593-2023</t>
        </is>
      </c>
      <c r="B363" s="1" t="n">
        <v>45097</v>
      </c>
      <c r="C363" s="1" t="n">
        <v>46168</v>
      </c>
      <c r="D363" t="inlineStr">
        <is>
          <t>GOTLANDS LÄN</t>
        </is>
      </c>
      <c r="E363" t="inlineStr">
        <is>
          <t>GOTLAND</t>
        </is>
      </c>
      <c r="G363" t="n">
        <v>3.1</v>
      </c>
      <c r="H363" t="n">
        <v>0</v>
      </c>
      <c r="I363" t="n">
        <v>0</v>
      </c>
      <c r="J363" t="n">
        <v>0</v>
      </c>
      <c r="K363" t="n">
        <v>0</v>
      </c>
      <c r="L363" t="n">
        <v>0</v>
      </c>
      <c r="M363" t="n">
        <v>0</v>
      </c>
      <c r="N363" t="n">
        <v>0</v>
      </c>
      <c r="O363" t="n">
        <v>0</v>
      </c>
      <c r="P363" t="n">
        <v>0</v>
      </c>
      <c r="Q363" t="n">
        <v>0</v>
      </c>
      <c r="R363" s="2" t="inlineStr"/>
    </row>
    <row r="364" ht="15" customHeight="1">
      <c r="A364" t="inlineStr">
        <is>
          <t>A 15434-2024</t>
        </is>
      </c>
      <c r="B364" s="1" t="n">
        <v>45401.38836805556</v>
      </c>
      <c r="C364" s="1" t="n">
        <v>46168</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32378-2025</t>
        </is>
      </c>
      <c r="B365" s="1" t="n">
        <v>45837</v>
      </c>
      <c r="C365" s="1" t="n">
        <v>46168</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5943-2024</t>
        </is>
      </c>
      <c r="B366" s="1" t="n">
        <v>45336</v>
      </c>
      <c r="C366" s="1" t="n">
        <v>46168</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35550-2025</t>
        </is>
      </c>
      <c r="B367" s="1" t="n">
        <v>45856.49324074074</v>
      </c>
      <c r="C367" s="1" t="n">
        <v>46168</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54073-2022</t>
        </is>
      </c>
      <c r="B368" s="1" t="n">
        <v>44881.50380787037</v>
      </c>
      <c r="C368" s="1" t="n">
        <v>46168</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16361-2024</t>
        </is>
      </c>
      <c r="B369" s="1" t="n">
        <v>45407</v>
      </c>
      <c r="C369" s="1" t="n">
        <v>46168</v>
      </c>
      <c r="D369" t="inlineStr">
        <is>
          <t>GOTLANDS LÄN</t>
        </is>
      </c>
      <c r="E369" t="inlineStr">
        <is>
          <t>GOTLAND</t>
        </is>
      </c>
      <c r="G369" t="n">
        <v>6</v>
      </c>
      <c r="H369" t="n">
        <v>0</v>
      </c>
      <c r="I369" t="n">
        <v>0</v>
      </c>
      <c r="J369" t="n">
        <v>0</v>
      </c>
      <c r="K369" t="n">
        <v>0</v>
      </c>
      <c r="L369" t="n">
        <v>0</v>
      </c>
      <c r="M369" t="n">
        <v>0</v>
      </c>
      <c r="N369" t="n">
        <v>0</v>
      </c>
      <c r="O369" t="n">
        <v>0</v>
      </c>
      <c r="P369" t="n">
        <v>0</v>
      </c>
      <c r="Q369" t="n">
        <v>0</v>
      </c>
      <c r="R369" s="2" t="inlineStr"/>
    </row>
    <row r="370" ht="15" customHeight="1">
      <c r="A370" t="inlineStr">
        <is>
          <t>A 41038-2023</t>
        </is>
      </c>
      <c r="B370" s="1" t="n">
        <v>45173.60959490741</v>
      </c>
      <c r="C370" s="1" t="n">
        <v>46168</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46168</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46168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47578-2025</t>
        </is>
      </c>
      <c r="B373" s="1" t="n">
        <v>45931</v>
      </c>
      <c r="C373" s="1" t="n">
        <v>46168</v>
      </c>
      <c r="D373" t="inlineStr">
        <is>
          <t>GOTLANDS LÄN</t>
        </is>
      </c>
      <c r="E373" t="inlineStr">
        <is>
          <t>GOTLAND</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17343-2025</t>
        </is>
      </c>
      <c r="B374" s="1" t="n">
        <v>45756.6687037037</v>
      </c>
      <c r="C374" s="1" t="n">
        <v>46168</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46168</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46168</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46168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46168</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46168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46168</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14427-2024</t>
        </is>
      </c>
      <c r="B381" s="1" t="n">
        <v>45394</v>
      </c>
      <c r="C381" s="1" t="n">
        <v>46168</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46168</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33011-2025</t>
        </is>
      </c>
      <c r="B383" s="1" t="n">
        <v>45840</v>
      </c>
      <c r="C383" s="1" t="n">
        <v>46168</v>
      </c>
      <c r="D383" t="inlineStr">
        <is>
          <t>GOTLANDS LÄN</t>
        </is>
      </c>
      <c r="E383" t="inlineStr">
        <is>
          <t>GOTLAND</t>
        </is>
      </c>
      <c r="G383" t="n">
        <v>1.7</v>
      </c>
      <c r="H383" t="n">
        <v>0</v>
      </c>
      <c r="I383" t="n">
        <v>0</v>
      </c>
      <c r="J383" t="n">
        <v>0</v>
      </c>
      <c r="K383" t="n">
        <v>0</v>
      </c>
      <c r="L383" t="n">
        <v>0</v>
      </c>
      <c r="M383" t="n">
        <v>0</v>
      </c>
      <c r="N383" t="n">
        <v>0</v>
      </c>
      <c r="O383" t="n">
        <v>0</v>
      </c>
      <c r="P383" t="n">
        <v>0</v>
      </c>
      <c r="Q383" t="n">
        <v>0</v>
      </c>
      <c r="R383" s="2" t="inlineStr"/>
    </row>
    <row r="384" ht="15" customHeight="1">
      <c r="A384" t="inlineStr">
        <is>
          <t>A 50421-2025</t>
        </is>
      </c>
      <c r="B384" s="1" t="n">
        <v>45944.66049768519</v>
      </c>
      <c r="C384" s="1" t="n">
        <v>46168</v>
      </c>
      <c r="D384" t="inlineStr">
        <is>
          <t>GOTLANDS LÄN</t>
        </is>
      </c>
      <c r="E384" t="inlineStr">
        <is>
          <t>GOTLAND</t>
        </is>
      </c>
      <c r="G384" t="n">
        <v>3.9</v>
      </c>
      <c r="H384" t="n">
        <v>0</v>
      </c>
      <c r="I384" t="n">
        <v>0</v>
      </c>
      <c r="J384" t="n">
        <v>0</v>
      </c>
      <c r="K384" t="n">
        <v>0</v>
      </c>
      <c r="L384" t="n">
        <v>0</v>
      </c>
      <c r="M384" t="n">
        <v>0</v>
      </c>
      <c r="N384" t="n">
        <v>0</v>
      </c>
      <c r="O384" t="n">
        <v>0</v>
      </c>
      <c r="P384" t="n">
        <v>0</v>
      </c>
      <c r="Q384" t="n">
        <v>0</v>
      </c>
      <c r="R384" s="2" t="inlineStr"/>
    </row>
    <row r="385" ht="15" customHeight="1">
      <c r="A385" t="inlineStr">
        <is>
          <t>A 31802-2024</t>
        </is>
      </c>
      <c r="B385" s="1" t="n">
        <v>45509</v>
      </c>
      <c r="C385" s="1" t="n">
        <v>46168</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50431-2025</t>
        </is>
      </c>
      <c r="B386" s="1" t="n">
        <v>45944.68453703704</v>
      </c>
      <c r="C386" s="1" t="n">
        <v>46168</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50928-2025</t>
        </is>
      </c>
      <c r="B387" s="1" t="n">
        <v>45946.67896990741</v>
      </c>
      <c r="C387" s="1" t="n">
        <v>46168</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8036-2022</t>
        </is>
      </c>
      <c r="B388" s="1" t="n">
        <v>44609.44362268518</v>
      </c>
      <c r="C388" s="1" t="n">
        <v>46168</v>
      </c>
      <c r="D388" t="inlineStr">
        <is>
          <t>GOTLANDS LÄN</t>
        </is>
      </c>
      <c r="E388" t="inlineStr">
        <is>
          <t>GOTLAND</t>
        </is>
      </c>
      <c r="G388" t="n">
        <v>6.1</v>
      </c>
      <c r="H388" t="n">
        <v>0</v>
      </c>
      <c r="I388" t="n">
        <v>0</v>
      </c>
      <c r="J388" t="n">
        <v>0</v>
      </c>
      <c r="K388" t="n">
        <v>0</v>
      </c>
      <c r="L388" t="n">
        <v>0</v>
      </c>
      <c r="M388" t="n">
        <v>0</v>
      </c>
      <c r="N388" t="n">
        <v>0</v>
      </c>
      <c r="O388" t="n">
        <v>0</v>
      </c>
      <c r="P388" t="n">
        <v>0</v>
      </c>
      <c r="Q388" t="n">
        <v>0</v>
      </c>
      <c r="R388" s="2" t="inlineStr"/>
    </row>
    <row r="389" ht="15" customHeight="1">
      <c r="A389" t="inlineStr">
        <is>
          <t>A 12846-2025</t>
        </is>
      </c>
      <c r="B389" s="1" t="n">
        <v>45733.65049768519</v>
      </c>
      <c r="C389" s="1" t="n">
        <v>46168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36-2026</t>
        </is>
      </c>
      <c r="B390" s="1" t="n">
        <v>46024.38886574074</v>
      </c>
      <c r="C390" s="1" t="n">
        <v>46168</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46949-2024</t>
        </is>
      </c>
      <c r="B391" s="1" t="n">
        <v>45585</v>
      </c>
      <c r="C391" s="1" t="n">
        <v>46168</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10650-2022</t>
        </is>
      </c>
      <c r="B392" s="1" t="n">
        <v>44624.57945601852</v>
      </c>
      <c r="C392" s="1" t="n">
        <v>46168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51262-2025</t>
        </is>
      </c>
      <c r="B393" s="1" t="n">
        <v>45949.49872685185</v>
      </c>
      <c r="C393" s="1" t="n">
        <v>46168</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1355-2026</t>
        </is>
      </c>
      <c r="B394" s="1" t="n">
        <v>46031.59909722222</v>
      </c>
      <c r="C394" s="1" t="n">
        <v>46168</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46168</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30365-2024</t>
        </is>
      </c>
      <c r="B396" s="1" t="n">
        <v>45491.3716087963</v>
      </c>
      <c r="C396" s="1" t="n">
        <v>46168</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1898-2026</t>
        </is>
      </c>
      <c r="B397" s="1" t="n">
        <v>46035.52024305556</v>
      </c>
      <c r="C397" s="1" t="n">
        <v>46168</v>
      </c>
      <c r="D397" t="inlineStr">
        <is>
          <t>GOTLANDS LÄN</t>
        </is>
      </c>
      <c r="E397" t="inlineStr">
        <is>
          <t>GOTLAND</t>
        </is>
      </c>
      <c r="G397" t="n">
        <v>3.7</v>
      </c>
      <c r="H397" t="n">
        <v>0</v>
      </c>
      <c r="I397" t="n">
        <v>0</v>
      </c>
      <c r="J397" t="n">
        <v>0</v>
      </c>
      <c r="K397" t="n">
        <v>0</v>
      </c>
      <c r="L397" t="n">
        <v>0</v>
      </c>
      <c r="M397" t="n">
        <v>0</v>
      </c>
      <c r="N397" t="n">
        <v>0</v>
      </c>
      <c r="O397" t="n">
        <v>0</v>
      </c>
      <c r="P397" t="n">
        <v>0</v>
      </c>
      <c r="Q397" t="n">
        <v>0</v>
      </c>
      <c r="R397" s="2" t="inlineStr"/>
    </row>
    <row r="398" ht="15" customHeight="1">
      <c r="A398" t="inlineStr">
        <is>
          <t>A 11634-2024</t>
        </is>
      </c>
      <c r="B398" s="1" t="n">
        <v>45373</v>
      </c>
      <c r="C398" s="1" t="n">
        <v>46168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1351-2025</t>
        </is>
      </c>
      <c r="B399" s="1" t="n">
        <v>45667.62246527777</v>
      </c>
      <c r="C399" s="1" t="n">
        <v>46168</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39496-2022</t>
        </is>
      </c>
      <c r="B400" s="1" t="n">
        <v>44818</v>
      </c>
      <c r="C400" s="1" t="n">
        <v>46168</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46168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2415-2026</t>
        </is>
      </c>
      <c r="B402" s="1" t="n">
        <v>46036.76203703704</v>
      </c>
      <c r="C402" s="1" t="n">
        <v>46168</v>
      </c>
      <c r="D402" t="inlineStr">
        <is>
          <t>GOTLANDS LÄN</t>
        </is>
      </c>
      <c r="E402" t="inlineStr">
        <is>
          <t>GOTLAND</t>
        </is>
      </c>
      <c r="G402" t="n">
        <v>6.9</v>
      </c>
      <c r="H402" t="n">
        <v>0</v>
      </c>
      <c r="I402" t="n">
        <v>0</v>
      </c>
      <c r="J402" t="n">
        <v>0</v>
      </c>
      <c r="K402" t="n">
        <v>0</v>
      </c>
      <c r="L402" t="n">
        <v>0</v>
      </c>
      <c r="M402" t="n">
        <v>0</v>
      </c>
      <c r="N402" t="n">
        <v>0</v>
      </c>
      <c r="O402" t="n">
        <v>0</v>
      </c>
      <c r="P402" t="n">
        <v>0</v>
      </c>
      <c r="Q402" t="n">
        <v>0</v>
      </c>
      <c r="R402" s="2" t="inlineStr"/>
    </row>
    <row r="403" ht="15" customHeight="1">
      <c r="A403" t="inlineStr">
        <is>
          <t>A 49874-2024</t>
        </is>
      </c>
      <c r="B403" s="1" t="n">
        <v>45597.49274305555</v>
      </c>
      <c r="C403" s="1" t="n">
        <v>46168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1681-2023</t>
        </is>
      </c>
      <c r="B404" s="1" t="n">
        <v>44938.39715277778</v>
      </c>
      <c r="C404" s="1" t="n">
        <v>46168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46400-2023</t>
        </is>
      </c>
      <c r="B405" s="1" t="n">
        <v>45197.49290509259</v>
      </c>
      <c r="C405" s="1" t="n">
        <v>46168</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9875-2025</t>
        </is>
      </c>
      <c r="B406" s="1" t="n">
        <v>45716</v>
      </c>
      <c r="C406" s="1" t="n">
        <v>46168</v>
      </c>
      <c r="D406" t="inlineStr">
        <is>
          <t>GOTLANDS LÄN</t>
        </is>
      </c>
      <c r="E406" t="inlineStr">
        <is>
          <t>GOTLAND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46168</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3253-2026</t>
        </is>
      </c>
      <c r="B408" s="1" t="n">
        <v>46041.58902777778</v>
      </c>
      <c r="C408" s="1" t="n">
        <v>46168</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53577-2025</t>
        </is>
      </c>
      <c r="B409" s="1" t="n">
        <v>45960.42224537037</v>
      </c>
      <c r="C409" s="1" t="n">
        <v>46168</v>
      </c>
      <c r="D409" t="inlineStr">
        <is>
          <t>GOTLANDS LÄN</t>
        </is>
      </c>
      <c r="E409" t="inlineStr">
        <is>
          <t>GOTLAND</t>
        </is>
      </c>
      <c r="F409" t="inlineStr">
        <is>
          <t>Övriga Aktiebolag</t>
        </is>
      </c>
      <c r="G409" t="n">
        <v>3.3</v>
      </c>
      <c r="H409" t="n">
        <v>0</v>
      </c>
      <c r="I409" t="n">
        <v>0</v>
      </c>
      <c r="J409" t="n">
        <v>0</v>
      </c>
      <c r="K409" t="n">
        <v>0</v>
      </c>
      <c r="L409" t="n">
        <v>0</v>
      </c>
      <c r="M409" t="n">
        <v>0</v>
      </c>
      <c r="N409" t="n">
        <v>0</v>
      </c>
      <c r="O409" t="n">
        <v>0</v>
      </c>
      <c r="P409" t="n">
        <v>0</v>
      </c>
      <c r="Q409" t="n">
        <v>0</v>
      </c>
      <c r="R409" s="2" t="inlineStr"/>
    </row>
    <row r="410" ht="15" customHeight="1">
      <c r="A410" t="inlineStr">
        <is>
          <t>A 21164-2024</t>
        </is>
      </c>
      <c r="B410" s="1" t="n">
        <v>45440</v>
      </c>
      <c r="C410" s="1" t="n">
        <v>46168</v>
      </c>
      <c r="D410" t="inlineStr">
        <is>
          <t>GOTLANDS LÄN</t>
        </is>
      </c>
      <c r="E410" t="inlineStr">
        <is>
          <t>GOTLAND</t>
        </is>
      </c>
      <c r="G410" t="n">
        <v>6.3</v>
      </c>
      <c r="H410" t="n">
        <v>0</v>
      </c>
      <c r="I410" t="n">
        <v>0</v>
      </c>
      <c r="J410" t="n">
        <v>0</v>
      </c>
      <c r="K410" t="n">
        <v>0</v>
      </c>
      <c r="L410" t="n">
        <v>0</v>
      </c>
      <c r="M410" t="n">
        <v>0</v>
      </c>
      <c r="N410" t="n">
        <v>0</v>
      </c>
      <c r="O410" t="n">
        <v>0</v>
      </c>
      <c r="P410" t="n">
        <v>0</v>
      </c>
      <c r="Q410" t="n">
        <v>0</v>
      </c>
      <c r="R410" s="2" t="inlineStr"/>
    </row>
    <row r="411" ht="15" customHeight="1">
      <c r="A411" t="inlineStr">
        <is>
          <t>A 8045-2022</t>
        </is>
      </c>
      <c r="B411" s="1" t="n">
        <v>44609</v>
      </c>
      <c r="C411" s="1" t="n">
        <v>46168</v>
      </c>
      <c r="D411" t="inlineStr">
        <is>
          <t>GOTLANDS LÄN</t>
        </is>
      </c>
      <c r="E411" t="inlineStr">
        <is>
          <t>GOTLAND</t>
        </is>
      </c>
      <c r="G411" t="n">
        <v>7</v>
      </c>
      <c r="H411" t="n">
        <v>0</v>
      </c>
      <c r="I411" t="n">
        <v>0</v>
      </c>
      <c r="J411" t="n">
        <v>0</v>
      </c>
      <c r="K411" t="n">
        <v>0</v>
      </c>
      <c r="L411" t="n">
        <v>0</v>
      </c>
      <c r="M411" t="n">
        <v>0</v>
      </c>
      <c r="N411" t="n">
        <v>0</v>
      </c>
      <c r="O411" t="n">
        <v>0</v>
      </c>
      <c r="P411" t="n">
        <v>0</v>
      </c>
      <c r="Q411" t="n">
        <v>0</v>
      </c>
      <c r="R411" s="2" t="inlineStr"/>
    </row>
    <row r="412" ht="15" customHeight="1">
      <c r="A412" t="inlineStr">
        <is>
          <t>A 4646-2026</t>
        </is>
      </c>
      <c r="B412" s="1" t="n">
        <v>46048.40357638889</v>
      </c>
      <c r="C412" s="1" t="n">
        <v>46168</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6099-2024</t>
        </is>
      </c>
      <c r="B413" s="1" t="n">
        <v>45337</v>
      </c>
      <c r="C413" s="1" t="n">
        <v>46168</v>
      </c>
      <c r="D413" t="inlineStr">
        <is>
          <t>GOTLANDS LÄN</t>
        </is>
      </c>
      <c r="E413" t="inlineStr">
        <is>
          <t>GOTLAND</t>
        </is>
      </c>
      <c r="G413" t="n">
        <v>12.6</v>
      </c>
      <c r="H413" t="n">
        <v>0</v>
      </c>
      <c r="I413" t="n">
        <v>0</v>
      </c>
      <c r="J413" t="n">
        <v>0</v>
      </c>
      <c r="K413" t="n">
        <v>0</v>
      </c>
      <c r="L413" t="n">
        <v>0</v>
      </c>
      <c r="M413" t="n">
        <v>0</v>
      </c>
      <c r="N413" t="n">
        <v>0</v>
      </c>
      <c r="O413" t="n">
        <v>0</v>
      </c>
      <c r="P413" t="n">
        <v>0</v>
      </c>
      <c r="Q413" t="n">
        <v>0</v>
      </c>
      <c r="R413" s="2" t="inlineStr"/>
    </row>
    <row r="414" ht="15" customHeight="1">
      <c r="A414" t="inlineStr">
        <is>
          <t>A 22897-2023</t>
        </is>
      </c>
      <c r="B414" s="1" t="n">
        <v>45072.55239583334</v>
      </c>
      <c r="C414" s="1" t="n">
        <v>46168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1839-2026</t>
        </is>
      </c>
      <c r="B415" s="1" t="n">
        <v>46035.3942824074</v>
      </c>
      <c r="C415" s="1" t="n">
        <v>46168</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4634-2026</t>
        </is>
      </c>
      <c r="B416" s="1" t="n">
        <v>46048.39304398148</v>
      </c>
      <c r="C416" s="1" t="n">
        <v>46168</v>
      </c>
      <c r="D416" t="inlineStr">
        <is>
          <t>GOTLANDS LÄN</t>
        </is>
      </c>
      <c r="E416" t="inlineStr">
        <is>
          <t>GOTLAND</t>
        </is>
      </c>
      <c r="G416" t="n">
        <v>7.8</v>
      </c>
      <c r="H416" t="n">
        <v>0</v>
      </c>
      <c r="I416" t="n">
        <v>0</v>
      </c>
      <c r="J416" t="n">
        <v>0</v>
      </c>
      <c r="K416" t="n">
        <v>0</v>
      </c>
      <c r="L416" t="n">
        <v>0</v>
      </c>
      <c r="M416" t="n">
        <v>0</v>
      </c>
      <c r="N416" t="n">
        <v>0</v>
      </c>
      <c r="O416" t="n">
        <v>0</v>
      </c>
      <c r="P416" t="n">
        <v>0</v>
      </c>
      <c r="Q416" t="n">
        <v>0</v>
      </c>
      <c r="R416" s="2" t="inlineStr"/>
    </row>
    <row r="417" ht="15" customHeight="1">
      <c r="A417" t="inlineStr">
        <is>
          <t>A 4670-2026</t>
        </is>
      </c>
      <c r="B417" s="1" t="n">
        <v>46048.41733796296</v>
      </c>
      <c r="C417" s="1" t="n">
        <v>46168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61897-2024</t>
        </is>
      </c>
      <c r="B418" s="1" t="n">
        <v>45652.75685185185</v>
      </c>
      <c r="C418" s="1" t="n">
        <v>46168</v>
      </c>
      <c r="D418" t="inlineStr">
        <is>
          <t>GOTLANDS LÄN</t>
        </is>
      </c>
      <c r="E418" t="inlineStr">
        <is>
          <t>GOTLAND</t>
        </is>
      </c>
      <c r="G418" t="n">
        <v>6.4</v>
      </c>
      <c r="H418" t="n">
        <v>0</v>
      </c>
      <c r="I418" t="n">
        <v>0</v>
      </c>
      <c r="J418" t="n">
        <v>0</v>
      </c>
      <c r="K418" t="n">
        <v>0</v>
      </c>
      <c r="L418" t="n">
        <v>0</v>
      </c>
      <c r="M418" t="n">
        <v>0</v>
      </c>
      <c r="N418" t="n">
        <v>0</v>
      </c>
      <c r="O418" t="n">
        <v>0</v>
      </c>
      <c r="P418" t="n">
        <v>0</v>
      </c>
      <c r="Q418" t="n">
        <v>0</v>
      </c>
      <c r="R418" s="2" t="inlineStr"/>
    </row>
    <row r="419" ht="15" customHeight="1">
      <c r="A419" t="inlineStr">
        <is>
          <t>A 49962-2023</t>
        </is>
      </c>
      <c r="B419" s="1" t="n">
        <v>45215.38775462963</v>
      </c>
      <c r="C419" s="1" t="n">
        <v>46168</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1273-2023</t>
        </is>
      </c>
      <c r="B420" s="1" t="n">
        <v>44936</v>
      </c>
      <c r="C420" s="1" t="n">
        <v>46168</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20165-2022</t>
        </is>
      </c>
      <c r="B421" s="1" t="n">
        <v>44698.49854166667</v>
      </c>
      <c r="C421" s="1" t="n">
        <v>46168</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40294-2022</t>
        </is>
      </c>
      <c r="B422" s="1" t="n">
        <v>44821</v>
      </c>
      <c r="C422" s="1" t="n">
        <v>46168</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12032-2025</t>
        </is>
      </c>
      <c r="B423" s="1" t="n">
        <v>45728.64472222222</v>
      </c>
      <c r="C423" s="1" t="n">
        <v>46168</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58780-2024</t>
        </is>
      </c>
      <c r="B424" s="1" t="n">
        <v>45635.84113425926</v>
      </c>
      <c r="C424" s="1" t="n">
        <v>46168</v>
      </c>
      <c r="D424" t="inlineStr">
        <is>
          <t>GOTLANDS LÄN</t>
        </is>
      </c>
      <c r="E424" t="inlineStr">
        <is>
          <t>GOTLAND</t>
        </is>
      </c>
      <c r="G424" t="n">
        <v>2.6</v>
      </c>
      <c r="H424" t="n">
        <v>0</v>
      </c>
      <c r="I424" t="n">
        <v>0</v>
      </c>
      <c r="J424" t="n">
        <v>0</v>
      </c>
      <c r="K424" t="n">
        <v>0</v>
      </c>
      <c r="L424" t="n">
        <v>0</v>
      </c>
      <c r="M424" t="n">
        <v>0</v>
      </c>
      <c r="N424" t="n">
        <v>0</v>
      </c>
      <c r="O424" t="n">
        <v>0</v>
      </c>
      <c r="P424" t="n">
        <v>0</v>
      </c>
      <c r="Q424" t="n">
        <v>0</v>
      </c>
      <c r="R424" s="2" t="inlineStr"/>
    </row>
    <row r="425" ht="15" customHeight="1">
      <c r="A425" t="inlineStr">
        <is>
          <t>A 38787-2023</t>
        </is>
      </c>
      <c r="B425" s="1" t="n">
        <v>45163</v>
      </c>
      <c r="C425" s="1" t="n">
        <v>46168</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6218-2026</t>
        </is>
      </c>
      <c r="B426" s="1" t="n">
        <v>46055.42859953704</v>
      </c>
      <c r="C426" s="1" t="n">
        <v>46168</v>
      </c>
      <c r="D426" t="inlineStr">
        <is>
          <t>GOTLANDS LÄN</t>
        </is>
      </c>
      <c r="E426" t="inlineStr">
        <is>
          <t>GOTLAND</t>
        </is>
      </c>
      <c r="G426" t="n">
        <v>4.3</v>
      </c>
      <c r="H426" t="n">
        <v>0</v>
      </c>
      <c r="I426" t="n">
        <v>0</v>
      </c>
      <c r="J426" t="n">
        <v>0</v>
      </c>
      <c r="K426" t="n">
        <v>0</v>
      </c>
      <c r="L426" t="n">
        <v>0</v>
      </c>
      <c r="M426" t="n">
        <v>0</v>
      </c>
      <c r="N426" t="n">
        <v>0</v>
      </c>
      <c r="O426" t="n">
        <v>0</v>
      </c>
      <c r="P426" t="n">
        <v>0</v>
      </c>
      <c r="Q426" t="n">
        <v>0</v>
      </c>
      <c r="R426" s="2" t="inlineStr"/>
    </row>
    <row r="427" ht="15" customHeight="1">
      <c r="A427" t="inlineStr">
        <is>
          <t>A 43231-2023</t>
        </is>
      </c>
      <c r="B427" s="1" t="n">
        <v>45183.47025462963</v>
      </c>
      <c r="C427" s="1" t="n">
        <v>46168</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45692-2023</t>
        </is>
      </c>
      <c r="B428" s="1" t="n">
        <v>45195</v>
      </c>
      <c r="C428" s="1" t="n">
        <v>46168</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17532-2024</t>
        </is>
      </c>
      <c r="B429" s="1" t="n">
        <v>45415</v>
      </c>
      <c r="C429" s="1" t="n">
        <v>46168</v>
      </c>
      <c r="D429" t="inlineStr">
        <is>
          <t>GOTLANDS LÄN</t>
        </is>
      </c>
      <c r="E429" t="inlineStr">
        <is>
          <t>GOTLAND</t>
        </is>
      </c>
      <c r="G429" t="n">
        <v>4.3</v>
      </c>
      <c r="H429" t="n">
        <v>0</v>
      </c>
      <c r="I429" t="n">
        <v>0</v>
      </c>
      <c r="J429" t="n">
        <v>0</v>
      </c>
      <c r="K429" t="n">
        <v>0</v>
      </c>
      <c r="L429" t="n">
        <v>0</v>
      </c>
      <c r="M429" t="n">
        <v>0</v>
      </c>
      <c r="N429" t="n">
        <v>0</v>
      </c>
      <c r="O429" t="n">
        <v>0</v>
      </c>
      <c r="P429" t="n">
        <v>0</v>
      </c>
      <c r="Q429" t="n">
        <v>0</v>
      </c>
      <c r="R429" s="2" t="inlineStr"/>
    </row>
    <row r="430" ht="15" customHeight="1">
      <c r="A430" t="inlineStr">
        <is>
          <t>A 6207-2026</t>
        </is>
      </c>
      <c r="B430" s="1" t="n">
        <v>46055.42083333333</v>
      </c>
      <c r="C430" s="1" t="n">
        <v>46168</v>
      </c>
      <c r="D430" t="inlineStr">
        <is>
          <t>GOTLANDS LÄN</t>
        </is>
      </c>
      <c r="E430" t="inlineStr">
        <is>
          <t>GOTLAND</t>
        </is>
      </c>
      <c r="G430" t="n">
        <v>7.6</v>
      </c>
      <c r="H430" t="n">
        <v>0</v>
      </c>
      <c r="I430" t="n">
        <v>0</v>
      </c>
      <c r="J430" t="n">
        <v>0</v>
      </c>
      <c r="K430" t="n">
        <v>0</v>
      </c>
      <c r="L430" t="n">
        <v>0</v>
      </c>
      <c r="M430" t="n">
        <v>0</v>
      </c>
      <c r="N430" t="n">
        <v>0</v>
      </c>
      <c r="O430" t="n">
        <v>0</v>
      </c>
      <c r="P430" t="n">
        <v>0</v>
      </c>
      <c r="Q430" t="n">
        <v>0</v>
      </c>
      <c r="R430" s="2" t="inlineStr"/>
    </row>
    <row r="431" ht="15" customHeight="1">
      <c r="A431" t="inlineStr">
        <is>
          <t>A 33876-2024</t>
        </is>
      </c>
      <c r="B431" s="1" t="n">
        <v>45521.87988425926</v>
      </c>
      <c r="C431" s="1" t="n">
        <v>46168</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46168</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6959-2026</t>
        </is>
      </c>
      <c r="B433" s="1" t="n">
        <v>46057.580625</v>
      </c>
      <c r="C433" s="1" t="n">
        <v>46168</v>
      </c>
      <c r="D433" t="inlineStr">
        <is>
          <t>GOTLANDS LÄN</t>
        </is>
      </c>
      <c r="E433" t="inlineStr">
        <is>
          <t>GOTLAND</t>
        </is>
      </c>
      <c r="F433" t="inlineStr">
        <is>
          <t>Kyrkan</t>
        </is>
      </c>
      <c r="G433" t="n">
        <v>1.2</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46168</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46168</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6960-2026</t>
        </is>
      </c>
      <c r="B436" s="1" t="n">
        <v>46057.58105324074</v>
      </c>
      <c r="C436" s="1" t="n">
        <v>46168</v>
      </c>
      <c r="D436" t="inlineStr">
        <is>
          <t>GOTLANDS LÄN</t>
        </is>
      </c>
      <c r="E436" t="inlineStr">
        <is>
          <t>GOTLAND</t>
        </is>
      </c>
      <c r="F436" t="inlineStr">
        <is>
          <t>Kyrkan</t>
        </is>
      </c>
      <c r="G436" t="n">
        <v>2.4</v>
      </c>
      <c r="H436" t="n">
        <v>0</v>
      </c>
      <c r="I436" t="n">
        <v>0</v>
      </c>
      <c r="J436" t="n">
        <v>0</v>
      </c>
      <c r="K436" t="n">
        <v>0</v>
      </c>
      <c r="L436" t="n">
        <v>0</v>
      </c>
      <c r="M436" t="n">
        <v>0</v>
      </c>
      <c r="N436" t="n">
        <v>0</v>
      </c>
      <c r="O436" t="n">
        <v>0</v>
      </c>
      <c r="P436" t="n">
        <v>0</v>
      </c>
      <c r="Q436" t="n">
        <v>0</v>
      </c>
      <c r="R436" s="2" t="inlineStr"/>
    </row>
    <row r="437" ht="15" customHeight="1">
      <c r="A437" t="inlineStr">
        <is>
          <t>A 7625-2026</t>
        </is>
      </c>
      <c r="B437" s="1" t="n">
        <v>46062.35135416667</v>
      </c>
      <c r="C437" s="1" t="n">
        <v>46168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7627-2026</t>
        </is>
      </c>
      <c r="B438" s="1" t="n">
        <v>46062.35465277778</v>
      </c>
      <c r="C438" s="1" t="n">
        <v>46168</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63105-2025</t>
        </is>
      </c>
      <c r="B439" s="1" t="n">
        <v>46009</v>
      </c>
      <c r="C439" s="1" t="n">
        <v>46168</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20225-2025</t>
        </is>
      </c>
      <c r="B440" s="1" t="n">
        <v>45772.65802083333</v>
      </c>
      <c r="C440" s="1" t="n">
        <v>46168</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883-2025</t>
        </is>
      </c>
      <c r="B441" s="1" t="n">
        <v>45665</v>
      </c>
      <c r="C441" s="1" t="n">
        <v>46168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28285-2024</t>
        </is>
      </c>
      <c r="B442" s="1" t="n">
        <v>45477</v>
      </c>
      <c r="C442" s="1" t="n">
        <v>46168</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2135-2026</t>
        </is>
      </c>
      <c r="B443" s="1" t="n">
        <v>46036</v>
      </c>
      <c r="C443" s="1" t="n">
        <v>46168</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2134-2026</t>
        </is>
      </c>
      <c r="B444" s="1" t="n">
        <v>46036</v>
      </c>
      <c r="C444" s="1" t="n">
        <v>46168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61100-2022</t>
        </is>
      </c>
      <c r="B445" s="1" t="n">
        <v>44915</v>
      </c>
      <c r="C445" s="1" t="n">
        <v>46168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46168</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17144-2025</t>
        </is>
      </c>
      <c r="B447" s="1" t="n">
        <v>45755.9499537037</v>
      </c>
      <c r="C447" s="1" t="n">
        <v>46168</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53561-2025</t>
        </is>
      </c>
      <c r="B448" s="1" t="n">
        <v>45960.4059375</v>
      </c>
      <c r="C448" s="1" t="n">
        <v>46168</v>
      </c>
      <c r="D448" t="inlineStr">
        <is>
          <t>GOTLANDS LÄN</t>
        </is>
      </c>
      <c r="E448" t="inlineStr">
        <is>
          <t>GOTLAND</t>
        </is>
      </c>
      <c r="F448" t="inlineStr">
        <is>
          <t>Övriga Aktiebolag</t>
        </is>
      </c>
      <c r="G448" t="n">
        <v>2.4</v>
      </c>
      <c r="H448" t="n">
        <v>0</v>
      </c>
      <c r="I448" t="n">
        <v>0</v>
      </c>
      <c r="J448" t="n">
        <v>0</v>
      </c>
      <c r="K448" t="n">
        <v>0</v>
      </c>
      <c r="L448" t="n">
        <v>0</v>
      </c>
      <c r="M448" t="n">
        <v>0</v>
      </c>
      <c r="N448" t="n">
        <v>0</v>
      </c>
      <c r="O448" t="n">
        <v>0</v>
      </c>
      <c r="P448" t="n">
        <v>0</v>
      </c>
      <c r="Q448" t="n">
        <v>0</v>
      </c>
      <c r="R448" s="2" t="inlineStr"/>
    </row>
    <row r="449" ht="15" customHeight="1">
      <c r="A449" t="inlineStr">
        <is>
          <t>A 61682-2024</t>
        </is>
      </c>
      <c r="B449" s="1" t="n">
        <v>45647.48824074074</v>
      </c>
      <c r="C449" s="1" t="n">
        <v>46168</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53587-2025</t>
        </is>
      </c>
      <c r="B450" s="1" t="n">
        <v>45960.43681712963</v>
      </c>
      <c r="C450" s="1" t="n">
        <v>46168</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59197-2025</t>
        </is>
      </c>
      <c r="B451" s="1" t="n">
        <v>45988.59846064815</v>
      </c>
      <c r="C451" s="1" t="n">
        <v>46168</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9504-2026</t>
        </is>
      </c>
      <c r="B452" s="1" t="n">
        <v>46071.57730324074</v>
      </c>
      <c r="C452" s="1" t="n">
        <v>46168</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9518-2026</t>
        </is>
      </c>
      <c r="B453" s="1" t="n">
        <v>46071.59653935185</v>
      </c>
      <c r="C453" s="1" t="n">
        <v>46168</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9519-2026</t>
        </is>
      </c>
      <c r="B454" s="1" t="n">
        <v>46071.59820601852</v>
      </c>
      <c r="C454" s="1" t="n">
        <v>46168</v>
      </c>
      <c r="D454" t="inlineStr">
        <is>
          <t>GOTLANDS LÄN</t>
        </is>
      </c>
      <c r="E454" t="inlineStr">
        <is>
          <t>GOTLAND</t>
        </is>
      </c>
      <c r="G454" t="n">
        <v>4</v>
      </c>
      <c r="H454" t="n">
        <v>0</v>
      </c>
      <c r="I454" t="n">
        <v>0</v>
      </c>
      <c r="J454" t="n">
        <v>0</v>
      </c>
      <c r="K454" t="n">
        <v>0</v>
      </c>
      <c r="L454" t="n">
        <v>0</v>
      </c>
      <c r="M454" t="n">
        <v>0</v>
      </c>
      <c r="N454" t="n">
        <v>0</v>
      </c>
      <c r="O454" t="n">
        <v>0</v>
      </c>
      <c r="P454" t="n">
        <v>0</v>
      </c>
      <c r="Q454" t="n">
        <v>0</v>
      </c>
      <c r="R454" s="2" t="inlineStr"/>
    </row>
    <row r="455" ht="15" customHeight="1">
      <c r="A455" t="inlineStr">
        <is>
          <t>A 9540-2026</t>
        </is>
      </c>
      <c r="B455" s="1" t="n">
        <v>46071.61961805556</v>
      </c>
      <c r="C455" s="1" t="n">
        <v>46168</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9521-2026</t>
        </is>
      </c>
      <c r="B456" s="1" t="n">
        <v>46071.59969907408</v>
      </c>
      <c r="C456" s="1" t="n">
        <v>46168</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9524-2026</t>
        </is>
      </c>
      <c r="B457" s="1" t="n">
        <v>46071.60108796296</v>
      </c>
      <c r="C457" s="1" t="n">
        <v>46168</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9543-2026</t>
        </is>
      </c>
      <c r="B458" s="1" t="n">
        <v>46071.62486111111</v>
      </c>
      <c r="C458" s="1" t="n">
        <v>46168</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56009-2024</t>
        </is>
      </c>
      <c r="B459" s="1" t="n">
        <v>45623.80864583333</v>
      </c>
      <c r="C459" s="1" t="n">
        <v>46168</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42338-2023</t>
        </is>
      </c>
      <c r="B460" s="1" t="n">
        <v>45180</v>
      </c>
      <c r="C460" s="1" t="n">
        <v>46168</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10486-2026</t>
        </is>
      </c>
      <c r="B461" s="1" t="n">
        <v>46077.51425925926</v>
      </c>
      <c r="C461" s="1" t="n">
        <v>46168</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36319-2025</t>
        </is>
      </c>
      <c r="B462" s="1" t="n">
        <v>45868</v>
      </c>
      <c r="C462" s="1" t="n">
        <v>46168</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9901-2026</t>
        </is>
      </c>
      <c r="B463" s="1" t="n">
        <v>46073.40391203704</v>
      </c>
      <c r="C463" s="1" t="n">
        <v>46168</v>
      </c>
      <c r="D463" t="inlineStr">
        <is>
          <t>GOTLANDS LÄN</t>
        </is>
      </c>
      <c r="E463" t="inlineStr">
        <is>
          <t>GOTLAND</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10284-2026</t>
        </is>
      </c>
      <c r="B464" s="1" t="n">
        <v>46076</v>
      </c>
      <c r="C464" s="1" t="n">
        <v>46168</v>
      </c>
      <c r="D464" t="inlineStr">
        <is>
          <t>GOTLANDS LÄN</t>
        </is>
      </c>
      <c r="E464" t="inlineStr">
        <is>
          <t>GOTLAND</t>
        </is>
      </c>
      <c r="G464" t="n">
        <v>5.2</v>
      </c>
      <c r="H464" t="n">
        <v>0</v>
      </c>
      <c r="I464" t="n">
        <v>0</v>
      </c>
      <c r="J464" t="n">
        <v>0</v>
      </c>
      <c r="K464" t="n">
        <v>0</v>
      </c>
      <c r="L464" t="n">
        <v>0</v>
      </c>
      <c r="M464" t="n">
        <v>0</v>
      </c>
      <c r="N464" t="n">
        <v>0</v>
      </c>
      <c r="O464" t="n">
        <v>0</v>
      </c>
      <c r="P464" t="n">
        <v>0</v>
      </c>
      <c r="Q464" t="n">
        <v>0</v>
      </c>
      <c r="R464" s="2" t="inlineStr"/>
    </row>
    <row r="465" ht="15" customHeight="1">
      <c r="A465" t="inlineStr">
        <is>
          <t>A 60384-2025</t>
        </is>
      </c>
      <c r="B465" s="1" t="n">
        <v>45995</v>
      </c>
      <c r="C465" s="1" t="n">
        <v>46168</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581-2023</t>
        </is>
      </c>
      <c r="B466" s="1" t="n">
        <v>44930</v>
      </c>
      <c r="C466" s="1" t="n">
        <v>46168</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61386-2023</t>
        </is>
      </c>
      <c r="B467" s="1" t="n">
        <v>45264</v>
      </c>
      <c r="C467" s="1" t="n">
        <v>46168</v>
      </c>
      <c r="D467" t="inlineStr">
        <is>
          <t>GOTLANDS LÄN</t>
        </is>
      </c>
      <c r="E467" t="inlineStr">
        <is>
          <t>GOTLAND</t>
        </is>
      </c>
      <c r="G467" t="n">
        <v>0.7</v>
      </c>
      <c r="H467" t="n">
        <v>0</v>
      </c>
      <c r="I467" t="n">
        <v>0</v>
      </c>
      <c r="J467" t="n">
        <v>0</v>
      </c>
      <c r="K467" t="n">
        <v>0</v>
      </c>
      <c r="L467" t="n">
        <v>0</v>
      </c>
      <c r="M467" t="n">
        <v>0</v>
      </c>
      <c r="N467" t="n">
        <v>0</v>
      </c>
      <c r="O467" t="n">
        <v>0</v>
      </c>
      <c r="P467" t="n">
        <v>0</v>
      </c>
      <c r="Q467" t="n">
        <v>0</v>
      </c>
      <c r="R467" s="2" t="inlineStr"/>
    </row>
    <row r="468" ht="15" customHeight="1">
      <c r="A468" t="inlineStr">
        <is>
          <t>A 11424-2026</t>
        </is>
      </c>
      <c r="B468" s="1" t="n">
        <v>46083.48068287037</v>
      </c>
      <c r="C468" s="1" t="n">
        <v>46168</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11414-2026</t>
        </is>
      </c>
      <c r="B469" s="1" t="n">
        <v>46083.46336805556</v>
      </c>
      <c r="C469" s="1" t="n">
        <v>46168</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873-2024</t>
        </is>
      </c>
      <c r="B470" s="1" t="n">
        <v>45301</v>
      </c>
      <c r="C470" s="1" t="n">
        <v>46168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49411-2023</t>
        </is>
      </c>
      <c r="B471" s="1" t="n">
        <v>45205</v>
      </c>
      <c r="C471" s="1" t="n">
        <v>46168</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54584-2025</t>
        </is>
      </c>
      <c r="B472" s="1" t="n">
        <v>45965.71788194445</v>
      </c>
      <c r="C472" s="1" t="n">
        <v>46168</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46168</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22275-2023</t>
        </is>
      </c>
      <c r="B474" s="1" t="n">
        <v>45070.39875</v>
      </c>
      <c r="C474" s="1" t="n">
        <v>46168</v>
      </c>
      <c r="D474" t="inlineStr">
        <is>
          <t>GOTLANDS LÄN</t>
        </is>
      </c>
      <c r="E474" t="inlineStr">
        <is>
          <t>GOTLAND</t>
        </is>
      </c>
      <c r="G474" t="n">
        <v>7.2</v>
      </c>
      <c r="H474" t="n">
        <v>0</v>
      </c>
      <c r="I474" t="n">
        <v>0</v>
      </c>
      <c r="J474" t="n">
        <v>0</v>
      </c>
      <c r="K474" t="n">
        <v>0</v>
      </c>
      <c r="L474" t="n">
        <v>0</v>
      </c>
      <c r="M474" t="n">
        <v>0</v>
      </c>
      <c r="N474" t="n">
        <v>0</v>
      </c>
      <c r="O474" t="n">
        <v>0</v>
      </c>
      <c r="P474" t="n">
        <v>0</v>
      </c>
      <c r="Q474" t="n">
        <v>0</v>
      </c>
      <c r="R474" s="2" t="inlineStr"/>
    </row>
    <row r="475" ht="15" customHeight="1">
      <c r="A475" t="inlineStr">
        <is>
          <t>A 12322-2025</t>
        </is>
      </c>
      <c r="B475" s="1" t="n">
        <v>45730</v>
      </c>
      <c r="C475" s="1" t="n">
        <v>46168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14797-2024</t>
        </is>
      </c>
      <c r="B476" s="1" t="n">
        <v>45397.87030092593</v>
      </c>
      <c r="C476" s="1" t="n">
        <v>46168</v>
      </c>
      <c r="D476" t="inlineStr">
        <is>
          <t>GOTLANDS LÄN</t>
        </is>
      </c>
      <c r="E476" t="inlineStr">
        <is>
          <t>GOTLAND</t>
        </is>
      </c>
      <c r="G476" t="n">
        <v>8.1</v>
      </c>
      <c r="H476" t="n">
        <v>0</v>
      </c>
      <c r="I476" t="n">
        <v>0</v>
      </c>
      <c r="J476" t="n">
        <v>0</v>
      </c>
      <c r="K476" t="n">
        <v>0</v>
      </c>
      <c r="L476" t="n">
        <v>0</v>
      </c>
      <c r="M476" t="n">
        <v>0</v>
      </c>
      <c r="N476" t="n">
        <v>0</v>
      </c>
      <c r="O476" t="n">
        <v>0</v>
      </c>
      <c r="P476" t="n">
        <v>0</v>
      </c>
      <c r="Q476" t="n">
        <v>0</v>
      </c>
      <c r="R476" s="2" t="inlineStr"/>
    </row>
    <row r="477" ht="15" customHeight="1">
      <c r="A477" t="inlineStr">
        <is>
          <t>A 999-2024</t>
        </is>
      </c>
      <c r="B477" s="1" t="n">
        <v>45301</v>
      </c>
      <c r="C477" s="1" t="n">
        <v>46168</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61596-2023</t>
        </is>
      </c>
      <c r="B478" s="1" t="n">
        <v>45265</v>
      </c>
      <c r="C478" s="1" t="n">
        <v>46168</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14638-2025</t>
        </is>
      </c>
      <c r="B479" s="1" t="n">
        <v>45742</v>
      </c>
      <c r="C479" s="1" t="n">
        <v>46168</v>
      </c>
      <c r="D479" t="inlineStr">
        <is>
          <t>GOTLANDS LÄN</t>
        </is>
      </c>
      <c r="E479" t="inlineStr">
        <is>
          <t>GOTLAND</t>
        </is>
      </c>
      <c r="G479" t="n">
        <v>13.4</v>
      </c>
      <c r="H479" t="n">
        <v>0</v>
      </c>
      <c r="I479" t="n">
        <v>0</v>
      </c>
      <c r="J479" t="n">
        <v>0</v>
      </c>
      <c r="K479" t="n">
        <v>0</v>
      </c>
      <c r="L479" t="n">
        <v>0</v>
      </c>
      <c r="M479" t="n">
        <v>0</v>
      </c>
      <c r="N479" t="n">
        <v>0</v>
      </c>
      <c r="O479" t="n">
        <v>0</v>
      </c>
      <c r="P479" t="n">
        <v>0</v>
      </c>
      <c r="Q479" t="n">
        <v>0</v>
      </c>
      <c r="R479" s="2" t="inlineStr"/>
    </row>
    <row r="480" ht="15" customHeight="1">
      <c r="A480" t="inlineStr">
        <is>
          <t>A 11982-2026</t>
        </is>
      </c>
      <c r="B480" s="1" t="n">
        <v>46085.6434375</v>
      </c>
      <c r="C480" s="1" t="n">
        <v>46168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62066-2025</t>
        </is>
      </c>
      <c r="B481" s="1" t="n">
        <v>46006.34738425926</v>
      </c>
      <c r="C481" s="1" t="n">
        <v>46168</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60675-2021</t>
        </is>
      </c>
      <c r="B482" s="1" t="n">
        <v>44496.64855324074</v>
      </c>
      <c r="C482" s="1" t="n">
        <v>46168</v>
      </c>
      <c r="D482" t="inlineStr">
        <is>
          <t>GOTLANDS LÄN</t>
        </is>
      </c>
      <c r="E482" t="inlineStr">
        <is>
          <t>GOTLAND</t>
        </is>
      </c>
      <c r="G482" t="n">
        <v>4.6</v>
      </c>
      <c r="H482" t="n">
        <v>0</v>
      </c>
      <c r="I482" t="n">
        <v>0</v>
      </c>
      <c r="J482" t="n">
        <v>0</v>
      </c>
      <c r="K482" t="n">
        <v>0</v>
      </c>
      <c r="L482" t="n">
        <v>0</v>
      </c>
      <c r="M482" t="n">
        <v>0</v>
      </c>
      <c r="N482" t="n">
        <v>0</v>
      </c>
      <c r="O482" t="n">
        <v>0</v>
      </c>
      <c r="P482" t="n">
        <v>0</v>
      </c>
      <c r="Q482" t="n">
        <v>0</v>
      </c>
      <c r="R482" s="2" t="inlineStr"/>
    </row>
    <row r="483" ht="15" customHeight="1">
      <c r="A483" t="inlineStr">
        <is>
          <t>A 37728-2024</t>
        </is>
      </c>
      <c r="B483" s="1" t="n">
        <v>45541</v>
      </c>
      <c r="C483" s="1" t="n">
        <v>46168</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18804-2026</t>
        </is>
      </c>
      <c r="B484" s="1" t="n">
        <v>46128.62366898148</v>
      </c>
      <c r="C484" s="1" t="n">
        <v>46168</v>
      </c>
      <c r="D484" t="inlineStr">
        <is>
          <t>GOTLANDS LÄN</t>
        </is>
      </c>
      <c r="E484" t="inlineStr">
        <is>
          <t>GOTLAND</t>
        </is>
      </c>
      <c r="F484" t="inlineStr">
        <is>
          <t>Kyrkan</t>
        </is>
      </c>
      <c r="G484" t="n">
        <v>2.6</v>
      </c>
      <c r="H484" t="n">
        <v>0</v>
      </c>
      <c r="I484" t="n">
        <v>0</v>
      </c>
      <c r="J484" t="n">
        <v>0</v>
      </c>
      <c r="K484" t="n">
        <v>0</v>
      </c>
      <c r="L484" t="n">
        <v>0</v>
      </c>
      <c r="M484" t="n">
        <v>0</v>
      </c>
      <c r="N484" t="n">
        <v>0</v>
      </c>
      <c r="O484" t="n">
        <v>0</v>
      </c>
      <c r="P484" t="n">
        <v>0</v>
      </c>
      <c r="Q484" t="n">
        <v>0</v>
      </c>
      <c r="R484" s="2" t="inlineStr"/>
    </row>
    <row r="485" ht="15" customHeight="1">
      <c r="A485" t="inlineStr">
        <is>
          <t>A 12135-2026</t>
        </is>
      </c>
      <c r="B485" s="1" t="n">
        <v>46086</v>
      </c>
      <c r="C485" s="1" t="n">
        <v>46168</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46168</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58388-2022</t>
        </is>
      </c>
      <c r="B487" s="1" t="n">
        <v>44894</v>
      </c>
      <c r="C487" s="1" t="n">
        <v>46168</v>
      </c>
      <c r="D487" t="inlineStr">
        <is>
          <t>GOTLANDS LÄN</t>
        </is>
      </c>
      <c r="E487" t="inlineStr">
        <is>
          <t>GOTLAND</t>
        </is>
      </c>
      <c r="F487" t="inlineStr">
        <is>
          <t>Övriga statliga verk och myndigheter</t>
        </is>
      </c>
      <c r="G487" t="n">
        <v>3.1</v>
      </c>
      <c r="H487" t="n">
        <v>0</v>
      </c>
      <c r="I487" t="n">
        <v>0</v>
      </c>
      <c r="J487" t="n">
        <v>0</v>
      </c>
      <c r="K487" t="n">
        <v>0</v>
      </c>
      <c r="L487" t="n">
        <v>0</v>
      </c>
      <c r="M487" t="n">
        <v>0</v>
      </c>
      <c r="N487" t="n">
        <v>0</v>
      </c>
      <c r="O487" t="n">
        <v>0</v>
      </c>
      <c r="P487" t="n">
        <v>0</v>
      </c>
      <c r="Q487" t="n">
        <v>0</v>
      </c>
      <c r="R487" s="2" t="inlineStr"/>
    </row>
    <row r="488" ht="15" customHeight="1">
      <c r="A488" t="inlineStr">
        <is>
          <t>A 42201-2023</t>
        </is>
      </c>
      <c r="B488" s="1" t="n">
        <v>45179</v>
      </c>
      <c r="C488" s="1" t="n">
        <v>46168</v>
      </c>
      <c r="D488" t="inlineStr">
        <is>
          <t>GOTLANDS LÄN</t>
        </is>
      </c>
      <c r="E488" t="inlineStr">
        <is>
          <t>GOTLAND</t>
        </is>
      </c>
      <c r="G488" t="n">
        <v>11.9</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46168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19322-2026</t>
        </is>
      </c>
      <c r="B490" s="1" t="n">
        <v>46129</v>
      </c>
      <c r="C490" s="1" t="n">
        <v>46168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54074-2022</t>
        </is>
      </c>
      <c r="B491" s="1" t="n">
        <v>44881</v>
      </c>
      <c r="C491" s="1" t="n">
        <v>46168</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65249-2023</t>
        </is>
      </c>
      <c r="B492" s="1" t="n">
        <v>45290</v>
      </c>
      <c r="C492" s="1" t="n">
        <v>46168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46168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21792-2024</t>
        </is>
      </c>
      <c r="B494" s="1" t="n">
        <v>45442.64326388889</v>
      </c>
      <c r="C494" s="1" t="n">
        <v>46168</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13910-2025</t>
        </is>
      </c>
      <c r="B495" s="1" t="n">
        <v>45737</v>
      </c>
      <c r="C495" s="1" t="n">
        <v>46168</v>
      </c>
      <c r="D495" t="inlineStr">
        <is>
          <t>GOTLANDS LÄN</t>
        </is>
      </c>
      <c r="E495" t="inlineStr">
        <is>
          <t>GOTLAND</t>
        </is>
      </c>
      <c r="F495" t="inlineStr">
        <is>
          <t>Kommuner</t>
        </is>
      </c>
      <c r="G495" t="n">
        <v>3.2</v>
      </c>
      <c r="H495" t="n">
        <v>0</v>
      </c>
      <c r="I495" t="n">
        <v>0</v>
      </c>
      <c r="J495" t="n">
        <v>0</v>
      </c>
      <c r="K495" t="n">
        <v>0</v>
      </c>
      <c r="L495" t="n">
        <v>0</v>
      </c>
      <c r="M495" t="n">
        <v>0</v>
      </c>
      <c r="N495" t="n">
        <v>0</v>
      </c>
      <c r="O495" t="n">
        <v>0</v>
      </c>
      <c r="P495" t="n">
        <v>0</v>
      </c>
      <c r="Q495" t="n">
        <v>0</v>
      </c>
      <c r="R495" s="2" t="inlineStr"/>
    </row>
    <row r="496" ht="15" customHeight="1">
      <c r="A496" t="inlineStr">
        <is>
          <t>A 62754-2025</t>
        </is>
      </c>
      <c r="B496" s="1" t="n">
        <v>46008</v>
      </c>
      <c r="C496" s="1" t="n">
        <v>46168</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38649-2025</t>
        </is>
      </c>
      <c r="B497" s="1" t="n">
        <v>45884</v>
      </c>
      <c r="C497" s="1" t="n">
        <v>46168</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61078-2025</t>
        </is>
      </c>
      <c r="B498" s="1" t="n">
        <v>46000</v>
      </c>
      <c r="C498" s="1" t="n">
        <v>46168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44682.82622685185</v>
      </c>
      <c r="C499" s="1" t="n">
        <v>46168</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46168</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63000-2025</t>
        </is>
      </c>
      <c r="B501" s="1" t="n">
        <v>46009</v>
      </c>
      <c r="C501" s="1" t="n">
        <v>46168</v>
      </c>
      <c r="D501" t="inlineStr">
        <is>
          <t>GOTLANDS LÄN</t>
        </is>
      </c>
      <c r="E501" t="inlineStr">
        <is>
          <t>GOTLAND</t>
        </is>
      </c>
      <c r="F501" t="inlineStr">
        <is>
          <t>Övriga Aktiebolag</t>
        </is>
      </c>
      <c r="G501" t="n">
        <v>1.7</v>
      </c>
      <c r="H501" t="n">
        <v>0</v>
      </c>
      <c r="I501" t="n">
        <v>0</v>
      </c>
      <c r="J501" t="n">
        <v>0</v>
      </c>
      <c r="K501" t="n">
        <v>0</v>
      </c>
      <c r="L501" t="n">
        <v>0</v>
      </c>
      <c r="M501" t="n">
        <v>0</v>
      </c>
      <c r="N501" t="n">
        <v>0</v>
      </c>
      <c r="O501" t="n">
        <v>0</v>
      </c>
      <c r="P501" t="n">
        <v>0</v>
      </c>
      <c r="Q501" t="n">
        <v>0</v>
      </c>
      <c r="R501" s="2" t="inlineStr"/>
    </row>
    <row r="502" ht="15" customHeight="1">
      <c r="A502" t="inlineStr">
        <is>
          <t>A 13486-2026</t>
        </is>
      </c>
      <c r="B502" s="1" t="n">
        <v>46094</v>
      </c>
      <c r="C502" s="1" t="n">
        <v>46168</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17688-2024</t>
        </is>
      </c>
      <c r="B503" s="1" t="n">
        <v>45418.43575231481</v>
      </c>
      <c r="C503" s="1" t="n">
        <v>46168</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62751-2025</t>
        </is>
      </c>
      <c r="B504" s="1" t="n">
        <v>46008</v>
      </c>
      <c r="C504" s="1" t="n">
        <v>46168</v>
      </c>
      <c r="D504" t="inlineStr">
        <is>
          <t>GOTLANDS LÄN</t>
        </is>
      </c>
      <c r="E504" t="inlineStr">
        <is>
          <t>GOTLAND</t>
        </is>
      </c>
      <c r="F504" t="inlineStr">
        <is>
          <t>Övriga Aktiebolag</t>
        </is>
      </c>
      <c r="G504" t="n">
        <v>7.8</v>
      </c>
      <c r="H504" t="n">
        <v>0</v>
      </c>
      <c r="I504" t="n">
        <v>0</v>
      </c>
      <c r="J504" t="n">
        <v>0</v>
      </c>
      <c r="K504" t="n">
        <v>0</v>
      </c>
      <c r="L504" t="n">
        <v>0</v>
      </c>
      <c r="M504" t="n">
        <v>0</v>
      </c>
      <c r="N504" t="n">
        <v>0</v>
      </c>
      <c r="O504" t="n">
        <v>0</v>
      </c>
      <c r="P504" t="n">
        <v>0</v>
      </c>
      <c r="Q504" t="n">
        <v>0</v>
      </c>
      <c r="R504" s="2" t="inlineStr"/>
    </row>
    <row r="505" ht="15" customHeight="1">
      <c r="A505" t="inlineStr">
        <is>
          <t>A 11874-2024</t>
        </is>
      </c>
      <c r="B505" s="1" t="n">
        <v>45376.46956018519</v>
      </c>
      <c r="C505" s="1" t="n">
        <v>46168</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46168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46168</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7837-2024</t>
        </is>
      </c>
      <c r="B508" s="1" t="n">
        <v>45349.83787037037</v>
      </c>
      <c r="C508" s="1" t="n">
        <v>46168</v>
      </c>
      <c r="D508" t="inlineStr">
        <is>
          <t>GOTLANDS LÄN</t>
        </is>
      </c>
      <c r="E508" t="inlineStr">
        <is>
          <t>GOTLAND</t>
        </is>
      </c>
      <c r="G508" t="n">
        <v>5</v>
      </c>
      <c r="H508" t="n">
        <v>0</v>
      </c>
      <c r="I508" t="n">
        <v>0</v>
      </c>
      <c r="J508" t="n">
        <v>0</v>
      </c>
      <c r="K508" t="n">
        <v>0</v>
      </c>
      <c r="L508" t="n">
        <v>0</v>
      </c>
      <c r="M508" t="n">
        <v>0</v>
      </c>
      <c r="N508" t="n">
        <v>0</v>
      </c>
      <c r="O508" t="n">
        <v>0</v>
      </c>
      <c r="P508" t="n">
        <v>0</v>
      </c>
      <c r="Q508" t="n">
        <v>0</v>
      </c>
      <c r="R508" s="2" t="inlineStr"/>
    </row>
    <row r="509" ht="15" customHeight="1">
      <c r="A509" t="inlineStr">
        <is>
          <t>A 64555-2023</t>
        </is>
      </c>
      <c r="B509" s="1" t="n">
        <v>45281</v>
      </c>
      <c r="C509" s="1" t="n">
        <v>46168</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64831-2023</t>
        </is>
      </c>
      <c r="B510" s="1" t="n">
        <v>45282.44924768519</v>
      </c>
      <c r="C510" s="1" t="n">
        <v>46168</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999-2023</t>
        </is>
      </c>
      <c r="B511" s="1" t="n">
        <v>44935</v>
      </c>
      <c r="C511" s="1" t="n">
        <v>46168</v>
      </c>
      <c r="D511" t="inlineStr">
        <is>
          <t>GOTLANDS LÄN</t>
        </is>
      </c>
      <c r="E511" t="inlineStr">
        <is>
          <t>GOTLAND</t>
        </is>
      </c>
      <c r="G511" t="n">
        <v>4.7</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46168</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4568-2025</t>
        </is>
      </c>
      <c r="B513" s="1" t="n">
        <v>45687</v>
      </c>
      <c r="C513" s="1" t="n">
        <v>46168</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4377-2023</t>
        </is>
      </c>
      <c r="B514" s="1" t="n">
        <v>44955.5502662037</v>
      </c>
      <c r="C514" s="1" t="n">
        <v>46168</v>
      </c>
      <c r="D514" t="inlineStr">
        <is>
          <t>GOTLANDS LÄN</t>
        </is>
      </c>
      <c r="E514" t="inlineStr">
        <is>
          <t>GOTLAND</t>
        </is>
      </c>
      <c r="F514" t="inlineStr">
        <is>
          <t>Kyrkan</t>
        </is>
      </c>
      <c r="G514" t="n">
        <v>0.6</v>
      </c>
      <c r="H514" t="n">
        <v>0</v>
      </c>
      <c r="I514" t="n">
        <v>0</v>
      </c>
      <c r="J514" t="n">
        <v>0</v>
      </c>
      <c r="K514" t="n">
        <v>0</v>
      </c>
      <c r="L514" t="n">
        <v>0</v>
      </c>
      <c r="M514" t="n">
        <v>0</v>
      </c>
      <c r="N514" t="n">
        <v>0</v>
      </c>
      <c r="O514" t="n">
        <v>0</v>
      </c>
      <c r="P514" t="n">
        <v>0</v>
      </c>
      <c r="Q514" t="n">
        <v>0</v>
      </c>
      <c r="R514" s="2" t="inlineStr"/>
    </row>
    <row r="515" ht="15" customHeight="1">
      <c r="A515" t="inlineStr">
        <is>
          <t>A 4387-2023</t>
        </is>
      </c>
      <c r="B515" s="1" t="n">
        <v>44955.73359953704</v>
      </c>
      <c r="C515" s="1" t="n">
        <v>46168</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46168</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46168</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14840-2026</t>
        </is>
      </c>
      <c r="B518" s="1" t="n">
        <v>46104.39498842593</v>
      </c>
      <c r="C518" s="1" t="n">
        <v>46168</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46168</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35512-2023</t>
        </is>
      </c>
      <c r="B520" s="1" t="n">
        <v>45147.25623842593</v>
      </c>
      <c r="C520" s="1" t="n">
        <v>46168</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5905-2024</t>
        </is>
      </c>
      <c r="B521" s="1" t="n">
        <v>45335.88993055555</v>
      </c>
      <c r="C521" s="1" t="n">
        <v>46168</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46389-2021</t>
        </is>
      </c>
      <c r="B522" s="1" t="n">
        <v>44443</v>
      </c>
      <c r="C522" s="1" t="n">
        <v>46168</v>
      </c>
      <c r="D522" t="inlineStr">
        <is>
          <t>GOTLANDS LÄN</t>
        </is>
      </c>
      <c r="E522" t="inlineStr">
        <is>
          <t>GOTLAND</t>
        </is>
      </c>
      <c r="F522" t="inlineStr">
        <is>
          <t>Kyrkan</t>
        </is>
      </c>
      <c r="G522" t="n">
        <v>2.1</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46168</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46168</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1291-2023</t>
        </is>
      </c>
      <c r="B525" s="1" t="n">
        <v>44936.47561342592</v>
      </c>
      <c r="C525" s="1" t="n">
        <v>46168</v>
      </c>
      <c r="D525" t="inlineStr">
        <is>
          <t>GOTLANDS LÄN</t>
        </is>
      </c>
      <c r="E525" t="inlineStr">
        <is>
          <t>GOTLAND</t>
        </is>
      </c>
      <c r="G525" t="n">
        <v>7.4</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46168</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18918-2025</t>
        </is>
      </c>
      <c r="B527" s="1" t="n">
        <v>45764</v>
      </c>
      <c r="C527" s="1" t="n">
        <v>46168</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46168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21396-2026</t>
        </is>
      </c>
      <c r="B529" s="1" t="n">
        <v>46148.30710648148</v>
      </c>
      <c r="C529" s="1" t="n">
        <v>46168</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57652-2023</t>
        </is>
      </c>
      <c r="B530" s="1" t="n">
        <v>45246</v>
      </c>
      <c r="C530" s="1" t="n">
        <v>46168</v>
      </c>
      <c r="D530" t="inlineStr">
        <is>
          <t>GOTLANDS LÄN</t>
        </is>
      </c>
      <c r="E530" t="inlineStr">
        <is>
          <t>GOTLAND</t>
        </is>
      </c>
      <c r="G530" t="n">
        <v>7.2</v>
      </c>
      <c r="H530" t="n">
        <v>0</v>
      </c>
      <c r="I530" t="n">
        <v>0</v>
      </c>
      <c r="J530" t="n">
        <v>0</v>
      </c>
      <c r="K530" t="n">
        <v>0</v>
      </c>
      <c r="L530" t="n">
        <v>0</v>
      </c>
      <c r="M530" t="n">
        <v>0</v>
      </c>
      <c r="N530" t="n">
        <v>0</v>
      </c>
      <c r="O530" t="n">
        <v>0</v>
      </c>
      <c r="P530" t="n">
        <v>0</v>
      </c>
      <c r="Q530" t="n">
        <v>0</v>
      </c>
      <c r="R530" s="2" t="inlineStr"/>
    </row>
    <row r="531" ht="15" customHeight="1">
      <c r="A531" t="inlineStr">
        <is>
          <t>A 10655-2023</t>
        </is>
      </c>
      <c r="B531" s="1" t="n">
        <v>44988.49543981482</v>
      </c>
      <c r="C531" s="1" t="n">
        <v>46168</v>
      </c>
      <c r="D531" t="inlineStr">
        <is>
          <t>GOTLANDS LÄN</t>
        </is>
      </c>
      <c r="E531" t="inlineStr">
        <is>
          <t>GOTLAND</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4662-2026</t>
        </is>
      </c>
      <c r="B532" s="1" t="n">
        <v>46048.40949074074</v>
      </c>
      <c r="C532" s="1" t="n">
        <v>46168</v>
      </c>
      <c r="D532" t="inlineStr">
        <is>
          <t>GOTLANDS LÄN</t>
        </is>
      </c>
      <c r="E532" t="inlineStr">
        <is>
          <t>GOTLAND</t>
        </is>
      </c>
      <c r="G532" t="n">
        <v>7.6</v>
      </c>
      <c r="H532" t="n">
        <v>0</v>
      </c>
      <c r="I532" t="n">
        <v>0</v>
      </c>
      <c r="J532" t="n">
        <v>0</v>
      </c>
      <c r="K532" t="n">
        <v>0</v>
      </c>
      <c r="L532" t="n">
        <v>0</v>
      </c>
      <c r="M532" t="n">
        <v>0</v>
      </c>
      <c r="N532" t="n">
        <v>0</v>
      </c>
      <c r="O532" t="n">
        <v>0</v>
      </c>
      <c r="P532" t="n">
        <v>0</v>
      </c>
      <c r="Q532" t="n">
        <v>0</v>
      </c>
      <c r="R532" s="2" t="inlineStr"/>
    </row>
    <row r="533" ht="15" customHeight="1">
      <c r="A533" t="inlineStr">
        <is>
          <t>A 2719-2023</t>
        </is>
      </c>
      <c r="B533" s="1" t="n">
        <v>44944.55361111111</v>
      </c>
      <c r="C533" s="1" t="n">
        <v>46168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26891-2024</t>
        </is>
      </c>
      <c r="B534" s="1" t="n">
        <v>45470.65540509259</v>
      </c>
      <c r="C534" s="1" t="n">
        <v>46168</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49315-2024</t>
        </is>
      </c>
      <c r="B535" s="1" t="n">
        <v>45595</v>
      </c>
      <c r="C535" s="1" t="n">
        <v>46168</v>
      </c>
      <c r="D535" t="inlineStr">
        <is>
          <t>GOTLANDS LÄN</t>
        </is>
      </c>
      <c r="E535" t="inlineStr">
        <is>
          <t>GOTLAND</t>
        </is>
      </c>
      <c r="G535" t="n">
        <v>1.5</v>
      </c>
      <c r="H535" t="n">
        <v>0</v>
      </c>
      <c r="I535" t="n">
        <v>0</v>
      </c>
      <c r="J535" t="n">
        <v>0</v>
      </c>
      <c r="K535" t="n">
        <v>0</v>
      </c>
      <c r="L535" t="n">
        <v>0</v>
      </c>
      <c r="M535" t="n">
        <v>0</v>
      </c>
      <c r="N535" t="n">
        <v>0</v>
      </c>
      <c r="O535" t="n">
        <v>0</v>
      </c>
      <c r="P535" t="n">
        <v>0</v>
      </c>
      <c r="Q535" t="n">
        <v>0</v>
      </c>
      <c r="R535" s="2" t="inlineStr"/>
    </row>
    <row r="536" ht="15" customHeight="1">
      <c r="A536" t="inlineStr">
        <is>
          <t>A 42007-2023</t>
        </is>
      </c>
      <c r="B536" s="1" t="n">
        <v>45177</v>
      </c>
      <c r="C536" s="1" t="n">
        <v>46168</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9887-2025</t>
        </is>
      </c>
      <c r="B537" s="1" t="n">
        <v>45716</v>
      </c>
      <c r="C537" s="1" t="n">
        <v>46168</v>
      </c>
      <c r="D537" t="inlineStr">
        <is>
          <t>GOTLANDS LÄN</t>
        </is>
      </c>
      <c r="E537" t="inlineStr">
        <is>
          <t>GOTLAND</t>
        </is>
      </c>
      <c r="G537" t="n">
        <v>7.5</v>
      </c>
      <c r="H537" t="n">
        <v>0</v>
      </c>
      <c r="I537" t="n">
        <v>0</v>
      </c>
      <c r="J537" t="n">
        <v>0</v>
      </c>
      <c r="K537" t="n">
        <v>0</v>
      </c>
      <c r="L537" t="n">
        <v>0</v>
      </c>
      <c r="M537" t="n">
        <v>0</v>
      </c>
      <c r="N537" t="n">
        <v>0</v>
      </c>
      <c r="O537" t="n">
        <v>0</v>
      </c>
      <c r="P537" t="n">
        <v>0</v>
      </c>
      <c r="Q537" t="n">
        <v>0</v>
      </c>
      <c r="R537" s="2" t="inlineStr"/>
    </row>
    <row r="538" ht="15" customHeight="1">
      <c r="A538" t="inlineStr">
        <is>
          <t>A 45106-2024</t>
        </is>
      </c>
      <c r="B538" s="1" t="n">
        <v>45575</v>
      </c>
      <c r="C538" s="1" t="n">
        <v>46168</v>
      </c>
      <c r="D538" t="inlineStr">
        <is>
          <t>GOTLANDS LÄN</t>
        </is>
      </c>
      <c r="E538" t="inlineStr">
        <is>
          <t>GOTLAND</t>
        </is>
      </c>
      <c r="G538" t="n">
        <v>10</v>
      </c>
      <c r="H538" t="n">
        <v>0</v>
      </c>
      <c r="I538" t="n">
        <v>0</v>
      </c>
      <c r="J538" t="n">
        <v>0</v>
      </c>
      <c r="K538" t="n">
        <v>0</v>
      </c>
      <c r="L538" t="n">
        <v>0</v>
      </c>
      <c r="M538" t="n">
        <v>0</v>
      </c>
      <c r="N538" t="n">
        <v>0</v>
      </c>
      <c r="O538" t="n">
        <v>0</v>
      </c>
      <c r="P538" t="n">
        <v>0</v>
      </c>
      <c r="Q538" t="n">
        <v>0</v>
      </c>
      <c r="R538" s="2" t="inlineStr"/>
    </row>
    <row r="539" ht="15" customHeight="1">
      <c r="A539" t="inlineStr">
        <is>
          <t>A 45112-2024</t>
        </is>
      </c>
      <c r="B539" s="1" t="n">
        <v>45575</v>
      </c>
      <c r="C539" s="1" t="n">
        <v>46168</v>
      </c>
      <c r="D539" t="inlineStr">
        <is>
          <t>GOTLANDS LÄN</t>
        </is>
      </c>
      <c r="E539" t="inlineStr">
        <is>
          <t>GOTLAND</t>
        </is>
      </c>
      <c r="G539" t="n">
        <v>5.1</v>
      </c>
      <c r="H539" t="n">
        <v>0</v>
      </c>
      <c r="I539" t="n">
        <v>0</v>
      </c>
      <c r="J539" t="n">
        <v>0</v>
      </c>
      <c r="K539" t="n">
        <v>0</v>
      </c>
      <c r="L539" t="n">
        <v>0</v>
      </c>
      <c r="M539" t="n">
        <v>0</v>
      </c>
      <c r="N539" t="n">
        <v>0</v>
      </c>
      <c r="O539" t="n">
        <v>0</v>
      </c>
      <c r="P539" t="n">
        <v>0</v>
      </c>
      <c r="Q539" t="n">
        <v>0</v>
      </c>
      <c r="R539" s="2" t="inlineStr"/>
    </row>
    <row r="540" ht="15" customHeight="1">
      <c r="A540" t="inlineStr">
        <is>
          <t>A 4639-2026</t>
        </is>
      </c>
      <c r="B540" s="1" t="n">
        <v>46048.39880787037</v>
      </c>
      <c r="C540" s="1" t="n">
        <v>46168</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38165-2023</t>
        </is>
      </c>
      <c r="B541" s="1" t="n">
        <v>45161</v>
      </c>
      <c r="C541" s="1" t="n">
        <v>46168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46168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1854-2026</t>
        </is>
      </c>
      <c r="B543" s="1" t="n">
        <v>46035.4171875</v>
      </c>
      <c r="C543" s="1" t="n">
        <v>46168</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27596-2023</t>
        </is>
      </c>
      <c r="B544" s="1" t="n">
        <v>45097</v>
      </c>
      <c r="C544" s="1" t="n">
        <v>46168</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3150-2025</t>
        </is>
      </c>
      <c r="B545" s="1" t="n">
        <v>45679.28974537037</v>
      </c>
      <c r="C545" s="1" t="n">
        <v>46168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24825-2024</t>
        </is>
      </c>
      <c r="B546" s="1" t="n">
        <v>45461</v>
      </c>
      <c r="C546" s="1" t="n">
        <v>46168</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6696-2023</t>
        </is>
      </c>
      <c r="B547" s="1" t="n">
        <v>44966.66425925926</v>
      </c>
      <c r="C547" s="1" t="n">
        <v>46168</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22351-2026</t>
        </is>
      </c>
      <c r="B548" s="1" t="n">
        <v>46154.58350694444</v>
      </c>
      <c r="C548" s="1" t="n">
        <v>46168</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46168</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22275-2026</t>
        </is>
      </c>
      <c r="B550" s="1" t="n">
        <v>46154.41924768518</v>
      </c>
      <c r="C550" s="1" t="n">
        <v>46168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22348-2026</t>
        </is>
      </c>
      <c r="B551" s="1" t="n">
        <v>46154.58071759259</v>
      </c>
      <c r="C551" s="1" t="n">
        <v>46168</v>
      </c>
      <c r="D551" t="inlineStr">
        <is>
          <t>GOTLANDS LÄN</t>
        </is>
      </c>
      <c r="E551" t="inlineStr">
        <is>
          <t>GOTLAND</t>
        </is>
      </c>
      <c r="G551" t="n">
        <v>3.3</v>
      </c>
      <c r="H551" t="n">
        <v>0</v>
      </c>
      <c r="I551" t="n">
        <v>0</v>
      </c>
      <c r="J551" t="n">
        <v>0</v>
      </c>
      <c r="K551" t="n">
        <v>0</v>
      </c>
      <c r="L551" t="n">
        <v>0</v>
      </c>
      <c r="M551" t="n">
        <v>0</v>
      </c>
      <c r="N551" t="n">
        <v>0</v>
      </c>
      <c r="O551" t="n">
        <v>0</v>
      </c>
      <c r="P551" t="n">
        <v>0</v>
      </c>
      <c r="Q551" t="n">
        <v>0</v>
      </c>
      <c r="R551" s="2" t="inlineStr"/>
    </row>
    <row r="552" ht="15" customHeight="1">
      <c r="A552" t="inlineStr">
        <is>
          <t>A 7635-2025</t>
        </is>
      </c>
      <c r="B552" s="1" t="n">
        <v>45705</v>
      </c>
      <c r="C552" s="1" t="n">
        <v>46168</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7636-2025</t>
        </is>
      </c>
      <c r="B553" s="1" t="n">
        <v>45705.7687962963</v>
      </c>
      <c r="C553" s="1" t="n">
        <v>46168</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7639-2025</t>
        </is>
      </c>
      <c r="B554" s="1" t="n">
        <v>45705.77465277778</v>
      </c>
      <c r="C554" s="1" t="n">
        <v>46168</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21247-2022</t>
        </is>
      </c>
      <c r="B555" s="1" t="n">
        <v>44705.38832175926</v>
      </c>
      <c r="C555" s="1" t="n">
        <v>46168</v>
      </c>
      <c r="D555" t="inlineStr">
        <is>
          <t>GOTLANDS LÄN</t>
        </is>
      </c>
      <c r="E555" t="inlineStr">
        <is>
          <t>GOTLAND</t>
        </is>
      </c>
      <c r="G555" t="n">
        <v>16.2</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44929.87122685185</v>
      </c>
      <c r="C556" s="1" t="n">
        <v>46168</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2714-2023</t>
        </is>
      </c>
      <c r="B557" s="1" t="n">
        <v>44944.54896990741</v>
      </c>
      <c r="C557" s="1" t="n">
        <v>46168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4421-2024</t>
        </is>
      </c>
      <c r="B558" s="1" t="n">
        <v>45327.45173611111</v>
      </c>
      <c r="C558" s="1" t="n">
        <v>46168</v>
      </c>
      <c r="D558" t="inlineStr">
        <is>
          <t>GOTLANDS LÄN</t>
        </is>
      </c>
      <c r="E558" t="inlineStr">
        <is>
          <t>GOTLAND</t>
        </is>
      </c>
      <c r="G558" t="n">
        <v>5.1</v>
      </c>
      <c r="H558" t="n">
        <v>0</v>
      </c>
      <c r="I558" t="n">
        <v>0</v>
      </c>
      <c r="J558" t="n">
        <v>0</v>
      </c>
      <c r="K558" t="n">
        <v>0</v>
      </c>
      <c r="L558" t="n">
        <v>0</v>
      </c>
      <c r="M558" t="n">
        <v>0</v>
      </c>
      <c r="N558" t="n">
        <v>0</v>
      </c>
      <c r="O558" t="n">
        <v>0</v>
      </c>
      <c r="P558" t="n">
        <v>0</v>
      </c>
      <c r="Q558" t="n">
        <v>0</v>
      </c>
      <c r="R558" s="2" t="inlineStr"/>
    </row>
    <row r="559" ht="15" customHeight="1">
      <c r="A559" t="inlineStr">
        <is>
          <t>A 20356-2022</t>
        </is>
      </c>
      <c r="B559" s="1" t="n">
        <v>44699</v>
      </c>
      <c r="C559" s="1" t="n">
        <v>46168</v>
      </c>
      <c r="D559" t="inlineStr">
        <is>
          <t>GOTLANDS LÄN</t>
        </is>
      </c>
      <c r="E559" t="inlineStr">
        <is>
          <t>GOTLAND</t>
        </is>
      </c>
      <c r="F559" t="inlineStr">
        <is>
          <t>Övriga Aktiebolag</t>
        </is>
      </c>
      <c r="G559" t="n">
        <v>4.4</v>
      </c>
      <c r="H559" t="n">
        <v>0</v>
      </c>
      <c r="I559" t="n">
        <v>0</v>
      </c>
      <c r="J559" t="n">
        <v>0</v>
      </c>
      <c r="K559" t="n">
        <v>0</v>
      </c>
      <c r="L559" t="n">
        <v>0</v>
      </c>
      <c r="M559" t="n">
        <v>0</v>
      </c>
      <c r="N559" t="n">
        <v>0</v>
      </c>
      <c r="O559" t="n">
        <v>0</v>
      </c>
      <c r="P559" t="n">
        <v>0</v>
      </c>
      <c r="Q559" t="n">
        <v>0</v>
      </c>
      <c r="R559" s="2" t="inlineStr"/>
    </row>
    <row r="560" ht="15" customHeight="1">
      <c r="A560" t="inlineStr">
        <is>
          <t>A 48734-2022</t>
        </is>
      </c>
      <c r="B560" s="1" t="n">
        <v>44855</v>
      </c>
      <c r="C560" s="1" t="n">
        <v>46168</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14141-2024</t>
        </is>
      </c>
      <c r="B561" s="1" t="n">
        <v>45392.85193287037</v>
      </c>
      <c r="C561" s="1" t="n">
        <v>46168</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46168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17000-2026</t>
        </is>
      </c>
      <c r="B563" s="1" t="n">
        <v>46114.42690972222</v>
      </c>
      <c r="C563" s="1" t="n">
        <v>46168</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46168</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46168</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29809-2022</t>
        </is>
      </c>
      <c r="B566" s="1" t="n">
        <v>44755.8713425926</v>
      </c>
      <c r="C566" s="1" t="n">
        <v>46168</v>
      </c>
      <c r="D566" t="inlineStr">
        <is>
          <t>GOTLANDS LÄN</t>
        </is>
      </c>
      <c r="E566" t="inlineStr">
        <is>
          <t>GOTLAND</t>
        </is>
      </c>
      <c r="G566" t="n">
        <v>11.5</v>
      </c>
      <c r="H566" t="n">
        <v>0</v>
      </c>
      <c r="I566" t="n">
        <v>0</v>
      </c>
      <c r="J566" t="n">
        <v>0</v>
      </c>
      <c r="K566" t="n">
        <v>0</v>
      </c>
      <c r="L566" t="n">
        <v>0</v>
      </c>
      <c r="M566" t="n">
        <v>0</v>
      </c>
      <c r="N566" t="n">
        <v>0</v>
      </c>
      <c r="O566" t="n">
        <v>0</v>
      </c>
      <c r="P566" t="n">
        <v>0</v>
      </c>
      <c r="Q566" t="n">
        <v>0</v>
      </c>
      <c r="R566" s="2" t="inlineStr"/>
    </row>
    <row r="567" ht="15" customHeight="1">
      <c r="A567" t="inlineStr">
        <is>
          <t>A 22887-2026</t>
        </is>
      </c>
      <c r="B567" s="1" t="n">
        <v>46160.47591435185</v>
      </c>
      <c r="C567" s="1" t="n">
        <v>46168</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57534-2022</t>
        </is>
      </c>
      <c r="B568" s="1" t="n">
        <v>44896</v>
      </c>
      <c r="C568" s="1" t="n">
        <v>46168</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25866-2022</t>
        </is>
      </c>
      <c r="B569" s="1" t="n">
        <v>44733</v>
      </c>
      <c r="C569" s="1" t="n">
        <v>46168</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43229-2023</t>
        </is>
      </c>
      <c r="B570" s="1" t="n">
        <v>45183.46704861111</v>
      </c>
      <c r="C570" s="1" t="n">
        <v>46168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1175-2025</t>
        </is>
      </c>
      <c r="B571" s="1" t="n">
        <v>45667.34449074074</v>
      </c>
      <c r="C571" s="1" t="n">
        <v>46168</v>
      </c>
      <c r="D571" t="inlineStr">
        <is>
          <t>GOTLANDS LÄN</t>
        </is>
      </c>
      <c r="E571" t="inlineStr">
        <is>
          <t>GOTLAND</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23103-2026</t>
        </is>
      </c>
      <c r="B572" s="1" t="n">
        <v>46161.57108796296</v>
      </c>
      <c r="C572" s="1" t="n">
        <v>46168</v>
      </c>
      <c r="D572" t="inlineStr">
        <is>
          <t>GOTLANDS LÄN</t>
        </is>
      </c>
      <c r="E572" t="inlineStr">
        <is>
          <t>GOTLAND</t>
        </is>
      </c>
      <c r="G572" t="n">
        <v>2.3</v>
      </c>
      <c r="H572" t="n">
        <v>0</v>
      </c>
      <c r="I572" t="n">
        <v>0</v>
      </c>
      <c r="J572" t="n">
        <v>0</v>
      </c>
      <c r="K572" t="n">
        <v>0</v>
      </c>
      <c r="L572" t="n">
        <v>0</v>
      </c>
      <c r="M572" t="n">
        <v>0</v>
      </c>
      <c r="N572" t="n">
        <v>0</v>
      </c>
      <c r="O572" t="n">
        <v>0</v>
      </c>
      <c r="P572" t="n">
        <v>0</v>
      </c>
      <c r="Q572" t="n">
        <v>0</v>
      </c>
      <c r="R572" s="2" t="inlineStr"/>
    </row>
    <row r="573" ht="15" customHeight="1">
      <c r="A573" t="inlineStr">
        <is>
          <t>A 27095-2022</t>
        </is>
      </c>
      <c r="B573" s="1" t="n">
        <v>44741</v>
      </c>
      <c r="C573" s="1" t="n">
        <v>46168</v>
      </c>
      <c r="D573" t="inlineStr">
        <is>
          <t>GOTLANDS LÄN</t>
        </is>
      </c>
      <c r="E573" t="inlineStr">
        <is>
          <t>GOTLAND</t>
        </is>
      </c>
      <c r="F573" t="inlineStr">
        <is>
          <t>Övriga Aktiebolag</t>
        </is>
      </c>
      <c r="G573" t="n">
        <v>2.9</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46168</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5863-2026</t>
        </is>
      </c>
      <c r="B575" s="1" t="n">
        <v>46052</v>
      </c>
      <c r="C575" s="1" t="n">
        <v>46168</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63152-2025</t>
        </is>
      </c>
      <c r="B576" s="1" t="n">
        <v>46010</v>
      </c>
      <c r="C576" s="1" t="n">
        <v>46168</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62836-2025</t>
        </is>
      </c>
      <c r="B577" s="1" t="n">
        <v>46008</v>
      </c>
      <c r="C577" s="1" t="n">
        <v>46168</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23978-2023</t>
        </is>
      </c>
      <c r="B578" s="1" t="n">
        <v>45078</v>
      </c>
      <c r="C578" s="1" t="n">
        <v>46168</v>
      </c>
      <c r="D578" t="inlineStr">
        <is>
          <t>GOTLANDS LÄN</t>
        </is>
      </c>
      <c r="E578" t="inlineStr">
        <is>
          <t>GOTLAND</t>
        </is>
      </c>
      <c r="F578" t="inlineStr">
        <is>
          <t>Naturvårdsverket</t>
        </is>
      </c>
      <c r="G578" t="n">
        <v>1.7</v>
      </c>
      <c r="H578" t="n">
        <v>0</v>
      </c>
      <c r="I578" t="n">
        <v>0</v>
      </c>
      <c r="J578" t="n">
        <v>0</v>
      </c>
      <c r="K578" t="n">
        <v>0</v>
      </c>
      <c r="L578" t="n">
        <v>0</v>
      </c>
      <c r="M578" t="n">
        <v>0</v>
      </c>
      <c r="N578" t="n">
        <v>0</v>
      </c>
      <c r="O578" t="n">
        <v>0</v>
      </c>
      <c r="P578" t="n">
        <v>0</v>
      </c>
      <c r="Q578" t="n">
        <v>0</v>
      </c>
      <c r="R578" s="2" t="inlineStr"/>
    </row>
    <row r="579" ht="15" customHeight="1">
      <c r="A579" t="inlineStr">
        <is>
          <t>A 34407-2023</t>
        </is>
      </c>
      <c r="B579" s="1" t="n">
        <v>45132</v>
      </c>
      <c r="C579" s="1" t="n">
        <v>46168</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11013-2024</t>
        </is>
      </c>
      <c r="B580" s="1" t="n">
        <v>45370</v>
      </c>
      <c r="C580" s="1" t="n">
        <v>46168</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27694-2024</t>
        </is>
      </c>
      <c r="B581" s="1" t="n">
        <v>45475</v>
      </c>
      <c r="C581" s="1" t="n">
        <v>46168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15083-2025</t>
        </is>
      </c>
      <c r="B582" s="1" t="n">
        <v>45743</v>
      </c>
      <c r="C582" s="1" t="n">
        <v>46168</v>
      </c>
      <c r="D582" t="inlineStr">
        <is>
          <t>GOTLANDS LÄN</t>
        </is>
      </c>
      <c r="E582" t="inlineStr">
        <is>
          <t>GOTLAND</t>
        </is>
      </c>
      <c r="G582" t="n">
        <v>2.3</v>
      </c>
      <c r="H582" t="n">
        <v>0</v>
      </c>
      <c r="I582" t="n">
        <v>0</v>
      </c>
      <c r="J582" t="n">
        <v>0</v>
      </c>
      <c r="K582" t="n">
        <v>0</v>
      </c>
      <c r="L582" t="n">
        <v>0</v>
      </c>
      <c r="M582" t="n">
        <v>0</v>
      </c>
      <c r="N582" t="n">
        <v>0</v>
      </c>
      <c r="O582" t="n">
        <v>0</v>
      </c>
      <c r="P582" t="n">
        <v>0</v>
      </c>
      <c r="Q582" t="n">
        <v>0</v>
      </c>
      <c r="R582" s="2" t="inlineStr"/>
    </row>
    <row r="583" ht="15" customHeight="1">
      <c r="A583" t="inlineStr">
        <is>
          <t>A 13037-2025</t>
        </is>
      </c>
      <c r="B583" s="1" t="n">
        <v>45734</v>
      </c>
      <c r="C583" s="1" t="n">
        <v>46168</v>
      </c>
      <c r="D583" t="inlineStr">
        <is>
          <t>GOTLANDS LÄN</t>
        </is>
      </c>
      <c r="E583" t="inlineStr">
        <is>
          <t>GOTLAND</t>
        </is>
      </c>
      <c r="G583" t="n">
        <v>9.5</v>
      </c>
      <c r="H583" t="n">
        <v>0</v>
      </c>
      <c r="I583" t="n">
        <v>0</v>
      </c>
      <c r="J583" t="n">
        <v>0</v>
      </c>
      <c r="K583" t="n">
        <v>0</v>
      </c>
      <c r="L583" t="n">
        <v>0</v>
      </c>
      <c r="M583" t="n">
        <v>0</v>
      </c>
      <c r="N583" t="n">
        <v>0</v>
      </c>
      <c r="O583" t="n">
        <v>0</v>
      </c>
      <c r="P583" t="n">
        <v>0</v>
      </c>
      <c r="Q583" t="n">
        <v>0</v>
      </c>
      <c r="R583" s="2" t="inlineStr"/>
    </row>
    <row r="584" ht="15" customHeight="1">
      <c r="A584" t="inlineStr">
        <is>
          <t>A 57685-2022</t>
        </is>
      </c>
      <c r="B584" s="1" t="n">
        <v>44897.4777662037</v>
      </c>
      <c r="C584" s="1" t="n">
        <v>46168</v>
      </c>
      <c r="D584" t="inlineStr">
        <is>
          <t>GOTLANDS LÄN</t>
        </is>
      </c>
      <c r="E584" t="inlineStr">
        <is>
          <t>GOTLAND</t>
        </is>
      </c>
      <c r="G584" t="n">
        <v>3.7</v>
      </c>
      <c r="H584" t="n">
        <v>0</v>
      </c>
      <c r="I584" t="n">
        <v>0</v>
      </c>
      <c r="J584" t="n">
        <v>0</v>
      </c>
      <c r="K584" t="n">
        <v>0</v>
      </c>
      <c r="L584" t="n">
        <v>0</v>
      </c>
      <c r="M584" t="n">
        <v>0</v>
      </c>
      <c r="N584" t="n">
        <v>0</v>
      </c>
      <c r="O584" t="n">
        <v>0</v>
      </c>
      <c r="P584" t="n">
        <v>0</v>
      </c>
      <c r="Q584" t="n">
        <v>0</v>
      </c>
      <c r="R584" s="2" t="inlineStr"/>
    </row>
    <row r="585" ht="15" customHeight="1">
      <c r="A585" t="inlineStr">
        <is>
          <t>A 23504-2026</t>
        </is>
      </c>
      <c r="B585" s="1" t="n">
        <v>46163.45875</v>
      </c>
      <c r="C585" s="1" t="n">
        <v>46168</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458-2023</t>
        </is>
      </c>
      <c r="B586" s="1" t="n">
        <v>44929</v>
      </c>
      <c r="C586" s="1" t="n">
        <v>46168</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30815-2023</t>
        </is>
      </c>
      <c r="B587" s="1" t="n">
        <v>45112</v>
      </c>
      <c r="C587" s="1" t="n">
        <v>46168</v>
      </c>
      <c r="D587" t="inlineStr">
        <is>
          <t>GOTLANDS LÄN</t>
        </is>
      </c>
      <c r="E587" t="inlineStr">
        <is>
          <t>GOTLAND</t>
        </is>
      </c>
      <c r="G587" t="n">
        <v>6</v>
      </c>
      <c r="H587" t="n">
        <v>0</v>
      </c>
      <c r="I587" t="n">
        <v>0</v>
      </c>
      <c r="J587" t="n">
        <v>0</v>
      </c>
      <c r="K587" t="n">
        <v>0</v>
      </c>
      <c r="L587" t="n">
        <v>0</v>
      </c>
      <c r="M587" t="n">
        <v>0</v>
      </c>
      <c r="N587" t="n">
        <v>0</v>
      </c>
      <c r="O587" t="n">
        <v>0</v>
      </c>
      <c r="P587" t="n">
        <v>0</v>
      </c>
      <c r="Q587" t="n">
        <v>0</v>
      </c>
      <c r="R587" s="2" t="inlineStr"/>
    </row>
    <row r="588" ht="15" customHeight="1">
      <c r="A588" t="inlineStr">
        <is>
          <t>A 44228-2022</t>
        </is>
      </c>
      <c r="B588" s="1" t="n">
        <v>44839.51599537037</v>
      </c>
      <c r="C588" s="1" t="n">
        <v>46168</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58132-2023</t>
        </is>
      </c>
      <c r="B589" s="1" t="n">
        <v>45250</v>
      </c>
      <c r="C589" s="1" t="n">
        <v>46168</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44968.32108796296</v>
      </c>
      <c r="C590" s="1" t="n">
        <v>46168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46168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23516-2023</t>
        </is>
      </c>
      <c r="B592" s="1" t="n">
        <v>45076.93391203704</v>
      </c>
      <c r="C592" s="1" t="n">
        <v>46168</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49884-2023</t>
        </is>
      </c>
      <c r="B593" s="1" t="n">
        <v>45213</v>
      </c>
      <c r="C593" s="1" t="n">
        <v>46168</v>
      </c>
      <c r="D593" t="inlineStr">
        <is>
          <t>GOTLANDS LÄN</t>
        </is>
      </c>
      <c r="E593" t="inlineStr">
        <is>
          <t>GOTLAND</t>
        </is>
      </c>
      <c r="G593" t="n">
        <v>8.9</v>
      </c>
      <c r="H593" t="n">
        <v>0</v>
      </c>
      <c r="I593" t="n">
        <v>0</v>
      </c>
      <c r="J593" t="n">
        <v>0</v>
      </c>
      <c r="K593" t="n">
        <v>0</v>
      </c>
      <c r="L593" t="n">
        <v>0</v>
      </c>
      <c r="M593" t="n">
        <v>0</v>
      </c>
      <c r="N593" t="n">
        <v>0</v>
      </c>
      <c r="O593" t="n">
        <v>0</v>
      </c>
      <c r="P593" t="n">
        <v>0</v>
      </c>
      <c r="Q593" t="n">
        <v>0</v>
      </c>
      <c r="R593" s="2" t="inlineStr"/>
    </row>
    <row r="594" ht="15" customHeight="1">
      <c r="A594" t="inlineStr">
        <is>
          <t>A 64660-2023</t>
        </is>
      </c>
      <c r="B594" s="1" t="n">
        <v>45281.60122685185</v>
      </c>
      <c r="C594" s="1" t="n">
        <v>46168</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62674-2025</t>
        </is>
      </c>
      <c r="B595" s="1" t="n">
        <v>46008</v>
      </c>
      <c r="C595" s="1" t="n">
        <v>46168</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63763-2023</t>
        </is>
      </c>
      <c r="B596" s="1" t="n">
        <v>45278.33944444444</v>
      </c>
      <c r="C596" s="1" t="n">
        <v>46168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46168</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46168</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46168</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63229-2021</t>
        </is>
      </c>
      <c r="B600" s="1" t="n">
        <v>44508.34518518519</v>
      </c>
      <c r="C600" s="1" t="n">
        <v>46168</v>
      </c>
      <c r="D600" t="inlineStr">
        <is>
          <t>GOTLANDS LÄN</t>
        </is>
      </c>
      <c r="E600" t="inlineStr">
        <is>
          <t>GOTLAND</t>
        </is>
      </c>
      <c r="F600" t="inlineStr">
        <is>
          <t>Kyrkan</t>
        </is>
      </c>
      <c r="G600" t="n">
        <v>3.8</v>
      </c>
      <c r="H600" t="n">
        <v>0</v>
      </c>
      <c r="I600" t="n">
        <v>0</v>
      </c>
      <c r="J600" t="n">
        <v>0</v>
      </c>
      <c r="K600" t="n">
        <v>0</v>
      </c>
      <c r="L600" t="n">
        <v>0</v>
      </c>
      <c r="M600" t="n">
        <v>0</v>
      </c>
      <c r="N600" t="n">
        <v>0</v>
      </c>
      <c r="O600" t="n">
        <v>0</v>
      </c>
      <c r="P600" t="n">
        <v>0</v>
      </c>
      <c r="Q600" t="n">
        <v>0</v>
      </c>
      <c r="R600" s="2" t="inlineStr"/>
    </row>
    <row r="601" ht="15" customHeight="1">
      <c r="A601" t="inlineStr">
        <is>
          <t>A 46375-2024</t>
        </is>
      </c>
      <c r="B601" s="1" t="n">
        <v>45582</v>
      </c>
      <c r="C601" s="1" t="n">
        <v>46168</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22704-2023</t>
        </is>
      </c>
      <c r="B602" s="1" t="n">
        <v>45071</v>
      </c>
      <c r="C602" s="1" t="n">
        <v>46168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28425-2023</t>
        </is>
      </c>
      <c r="B603" s="1" t="n">
        <v>45102</v>
      </c>
      <c r="C603" s="1" t="n">
        <v>46168</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58476-2022</t>
        </is>
      </c>
      <c r="B604" s="1" t="n">
        <v>44902</v>
      </c>
      <c r="C604" s="1" t="n">
        <v>46168</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43200-2023</t>
        </is>
      </c>
      <c r="B605" s="1" t="n">
        <v>45183</v>
      </c>
      <c r="C605" s="1" t="n">
        <v>46168</v>
      </c>
      <c r="D605" t="inlineStr">
        <is>
          <t>GOTLANDS LÄN</t>
        </is>
      </c>
      <c r="E605" t="inlineStr">
        <is>
          <t>GOTLAND</t>
        </is>
      </c>
      <c r="G605" t="n">
        <v>0.5</v>
      </c>
      <c r="H605" t="n">
        <v>0</v>
      </c>
      <c r="I605" t="n">
        <v>0</v>
      </c>
      <c r="J605" t="n">
        <v>0</v>
      </c>
      <c r="K605" t="n">
        <v>0</v>
      </c>
      <c r="L605" t="n">
        <v>0</v>
      </c>
      <c r="M605" t="n">
        <v>0</v>
      </c>
      <c r="N605" t="n">
        <v>0</v>
      </c>
      <c r="O605" t="n">
        <v>0</v>
      </c>
      <c r="P605" t="n">
        <v>0</v>
      </c>
      <c r="Q605" t="n">
        <v>0</v>
      </c>
      <c r="R605" s="2" t="inlineStr"/>
    </row>
    <row r="606" ht="15" customHeight="1">
      <c r="A606" t="inlineStr">
        <is>
          <t>A 43223-2023</t>
        </is>
      </c>
      <c r="B606" s="1" t="n">
        <v>45183.45642361111</v>
      </c>
      <c r="C606" s="1" t="n">
        <v>46168</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12327-2025</t>
        </is>
      </c>
      <c r="B607" s="1" t="n">
        <v>45730</v>
      </c>
      <c r="C607" s="1" t="n">
        <v>46168</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3431-2025</t>
        </is>
      </c>
      <c r="B608" s="1" t="n">
        <v>45680.42935185185</v>
      </c>
      <c r="C608" s="1" t="n">
        <v>46168</v>
      </c>
      <c r="D608" t="inlineStr">
        <is>
          <t>GOTLANDS LÄN</t>
        </is>
      </c>
      <c r="E608" t="inlineStr">
        <is>
          <t>GOTLAND</t>
        </is>
      </c>
      <c r="G608" t="n">
        <v>4.8</v>
      </c>
      <c r="H608" t="n">
        <v>0</v>
      </c>
      <c r="I608" t="n">
        <v>0</v>
      </c>
      <c r="J608" t="n">
        <v>0</v>
      </c>
      <c r="K608" t="n">
        <v>0</v>
      </c>
      <c r="L608" t="n">
        <v>0</v>
      </c>
      <c r="M608" t="n">
        <v>0</v>
      </c>
      <c r="N608" t="n">
        <v>0</v>
      </c>
      <c r="O608" t="n">
        <v>0</v>
      </c>
      <c r="P608" t="n">
        <v>0</v>
      </c>
      <c r="Q608" t="n">
        <v>0</v>
      </c>
      <c r="R608" s="2" t="inlineStr"/>
    </row>
    <row r="609" ht="15" customHeight="1">
      <c r="A609" t="inlineStr">
        <is>
          <t>A 12209-2024</t>
        </is>
      </c>
      <c r="B609" s="1" t="n">
        <v>45378</v>
      </c>
      <c r="C609" s="1" t="n">
        <v>46168</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12210-2024</t>
        </is>
      </c>
      <c r="B610" s="1" t="n">
        <v>45378</v>
      </c>
      <c r="C610" s="1" t="n">
        <v>46168</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1364-2025</t>
        </is>
      </c>
      <c r="B611" s="1" t="n">
        <v>45667.63929398148</v>
      </c>
      <c r="C611" s="1" t="n">
        <v>46168</v>
      </c>
      <c r="D611" t="inlineStr">
        <is>
          <t>GOTLANDS LÄN</t>
        </is>
      </c>
      <c r="E611" t="inlineStr">
        <is>
          <t>GOTLAND</t>
        </is>
      </c>
      <c r="G611" t="n">
        <v>1.2</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46168</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1734-2025</t>
        </is>
      </c>
      <c r="B613" s="1" t="n">
        <v>45671.3840625</v>
      </c>
      <c r="C613" s="1" t="n">
        <v>46168</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2180-2025</t>
        </is>
      </c>
      <c r="B614" s="1" t="n">
        <v>45673</v>
      </c>
      <c r="C614" s="1" t="n">
        <v>46168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15436-2025</t>
        </is>
      </c>
      <c r="B615" s="1" t="n">
        <v>45747.47462962963</v>
      </c>
      <c r="C615" s="1" t="n">
        <v>46168</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46168</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49257-2024</t>
        </is>
      </c>
      <c r="B617" s="1" t="n">
        <v>45595.47627314815</v>
      </c>
      <c r="C617" s="1" t="n">
        <v>46168</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37202-2024</t>
        </is>
      </c>
      <c r="B618" s="1" t="n">
        <v>45539.67310185185</v>
      </c>
      <c r="C618" s="1" t="n">
        <v>46168</v>
      </c>
      <c r="D618" t="inlineStr">
        <is>
          <t>GOTLANDS LÄN</t>
        </is>
      </c>
      <c r="E618" t="inlineStr">
        <is>
          <t>GOTLAND</t>
        </is>
      </c>
      <c r="G618" t="n">
        <v>0.3</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45000.43310185185</v>
      </c>
      <c r="C619" s="1" t="n">
        <v>46168</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2125-2025</t>
        </is>
      </c>
      <c r="B620" s="1" t="n">
        <v>45672.64940972222</v>
      </c>
      <c r="C620" s="1" t="n">
        <v>46168</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46168</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12155-2023</t>
        </is>
      </c>
      <c r="B622" s="1" t="n">
        <v>44998.49106481481</v>
      </c>
      <c r="C622" s="1" t="n">
        <v>46168</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457-2023</t>
        </is>
      </c>
      <c r="B623" s="1" t="n">
        <v>44929.87238425926</v>
      </c>
      <c r="C623" s="1" t="n">
        <v>46168</v>
      </c>
      <c r="D623" t="inlineStr">
        <is>
          <t>GOTLANDS LÄN</t>
        </is>
      </c>
      <c r="E623" t="inlineStr">
        <is>
          <t>GOTLAND</t>
        </is>
      </c>
      <c r="G623" t="n">
        <v>2.4</v>
      </c>
      <c r="H623" t="n">
        <v>0</v>
      </c>
      <c r="I623" t="n">
        <v>0</v>
      </c>
      <c r="J623" t="n">
        <v>0</v>
      </c>
      <c r="K623" t="n">
        <v>0</v>
      </c>
      <c r="L623" t="n">
        <v>0</v>
      </c>
      <c r="M623" t="n">
        <v>0</v>
      </c>
      <c r="N623" t="n">
        <v>0</v>
      </c>
      <c r="O623" t="n">
        <v>0</v>
      </c>
      <c r="P623" t="n">
        <v>0</v>
      </c>
      <c r="Q623" t="n">
        <v>0</v>
      </c>
      <c r="R623" s="2" t="inlineStr"/>
    </row>
    <row r="624" ht="15" customHeight="1">
      <c r="A624" t="inlineStr">
        <is>
          <t>A 459-2023</t>
        </is>
      </c>
      <c r="B624" s="1" t="n">
        <v>44929.87423611111</v>
      </c>
      <c r="C624" s="1" t="n">
        <v>46168</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38234-2023</t>
        </is>
      </c>
      <c r="B625" s="1" t="n">
        <v>45161.56663194444</v>
      </c>
      <c r="C625" s="1" t="n">
        <v>46168</v>
      </c>
      <c r="D625" t="inlineStr">
        <is>
          <t>GOTLANDS LÄN</t>
        </is>
      </c>
      <c r="E625" t="inlineStr">
        <is>
          <t>GOTLAND</t>
        </is>
      </c>
      <c r="G625" t="n">
        <v>1.3</v>
      </c>
      <c r="H625" t="n">
        <v>0</v>
      </c>
      <c r="I625" t="n">
        <v>0</v>
      </c>
      <c r="J625" t="n">
        <v>0</v>
      </c>
      <c r="K625" t="n">
        <v>0</v>
      </c>
      <c r="L625" t="n">
        <v>0</v>
      </c>
      <c r="M625" t="n">
        <v>0</v>
      </c>
      <c r="N625" t="n">
        <v>0</v>
      </c>
      <c r="O625" t="n">
        <v>0</v>
      </c>
      <c r="P625" t="n">
        <v>0</v>
      </c>
      <c r="Q625" t="n">
        <v>0</v>
      </c>
      <c r="R625" s="2" t="inlineStr"/>
    </row>
    <row r="626" ht="15" customHeight="1">
      <c r="A626" t="inlineStr">
        <is>
          <t>A 50744-2024</t>
        </is>
      </c>
      <c r="B626" s="1" t="n">
        <v>45602.4187037037</v>
      </c>
      <c r="C626" s="1" t="n">
        <v>46168</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53934-2024</t>
        </is>
      </c>
      <c r="B627" s="1" t="n">
        <v>45615</v>
      </c>
      <c r="C627" s="1" t="n">
        <v>46168</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2774-2024</t>
        </is>
      </c>
      <c r="B628" s="1" t="n">
        <v>45314.62375</v>
      </c>
      <c r="C628" s="1" t="n">
        <v>46168</v>
      </c>
      <c r="D628" t="inlineStr">
        <is>
          <t>GOTLANDS LÄN</t>
        </is>
      </c>
      <c r="E628" t="inlineStr">
        <is>
          <t>GOTLAND</t>
        </is>
      </c>
      <c r="G628" t="n">
        <v>1</v>
      </c>
      <c r="H628" t="n">
        <v>0</v>
      </c>
      <c r="I628" t="n">
        <v>0</v>
      </c>
      <c r="J628" t="n">
        <v>0</v>
      </c>
      <c r="K628" t="n">
        <v>0</v>
      </c>
      <c r="L628" t="n">
        <v>0</v>
      </c>
      <c r="M628" t="n">
        <v>0</v>
      </c>
      <c r="N628" t="n">
        <v>0</v>
      </c>
      <c r="O628" t="n">
        <v>0</v>
      </c>
      <c r="P628" t="n">
        <v>0</v>
      </c>
      <c r="Q628" t="n">
        <v>0</v>
      </c>
      <c r="R628" s="2" t="inlineStr"/>
    </row>
    <row r="629" ht="15" customHeight="1">
      <c r="A629" t="inlineStr">
        <is>
          <t>A 60709-2023</t>
        </is>
      </c>
      <c r="B629" s="1" t="n">
        <v>45260</v>
      </c>
      <c r="C629" s="1" t="n">
        <v>46168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64208-2021</t>
        </is>
      </c>
      <c r="B630" s="1" t="n">
        <v>44510</v>
      </c>
      <c r="C630" s="1" t="n">
        <v>46168</v>
      </c>
      <c r="D630" t="inlineStr">
        <is>
          <t>GOTLANDS LÄN</t>
        </is>
      </c>
      <c r="E630" t="inlineStr">
        <is>
          <t>GOTLAND</t>
        </is>
      </c>
      <c r="G630" t="n">
        <v>4.7</v>
      </c>
      <c r="H630" t="n">
        <v>0</v>
      </c>
      <c r="I630" t="n">
        <v>0</v>
      </c>
      <c r="J630" t="n">
        <v>0</v>
      </c>
      <c r="K630" t="n">
        <v>0</v>
      </c>
      <c r="L630" t="n">
        <v>0</v>
      </c>
      <c r="M630" t="n">
        <v>0</v>
      </c>
      <c r="N630" t="n">
        <v>0</v>
      </c>
      <c r="O630" t="n">
        <v>0</v>
      </c>
      <c r="P630" t="n">
        <v>0</v>
      </c>
      <c r="Q630" t="n">
        <v>0</v>
      </c>
      <c r="R630" s="2" t="inlineStr"/>
    </row>
    <row r="631" ht="15" customHeight="1">
      <c r="A631" t="inlineStr">
        <is>
          <t>A 39764-2022</t>
        </is>
      </c>
      <c r="B631" s="1" t="n">
        <v>44819</v>
      </c>
      <c r="C631" s="1" t="n">
        <v>46168</v>
      </c>
      <c r="D631" t="inlineStr">
        <is>
          <t>GOTLANDS LÄN</t>
        </is>
      </c>
      <c r="E631" t="inlineStr">
        <is>
          <t>GOTLAND</t>
        </is>
      </c>
      <c r="F631" t="inlineStr">
        <is>
          <t>Kyrkan</t>
        </is>
      </c>
      <c r="G631" t="n">
        <v>3.7</v>
      </c>
      <c r="H631" t="n">
        <v>0</v>
      </c>
      <c r="I631" t="n">
        <v>0</v>
      </c>
      <c r="J631" t="n">
        <v>0</v>
      </c>
      <c r="K631" t="n">
        <v>0</v>
      </c>
      <c r="L631" t="n">
        <v>0</v>
      </c>
      <c r="M631" t="n">
        <v>0</v>
      </c>
      <c r="N631" t="n">
        <v>0</v>
      </c>
      <c r="O631" t="n">
        <v>0</v>
      </c>
      <c r="P631" t="n">
        <v>0</v>
      </c>
      <c r="Q631" t="n">
        <v>0</v>
      </c>
      <c r="R631" s="2" t="inlineStr"/>
    </row>
    <row r="632" ht="15" customHeight="1">
      <c r="A632" t="inlineStr">
        <is>
          <t>A 58211-2024</t>
        </is>
      </c>
      <c r="B632" s="1" t="n">
        <v>45632.49292824074</v>
      </c>
      <c r="C632" s="1" t="n">
        <v>46168</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30956-2024</t>
        </is>
      </c>
      <c r="B633" s="1" t="n">
        <v>45499.42527777778</v>
      </c>
      <c r="C633" s="1" t="n">
        <v>46168</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30892-2024</t>
        </is>
      </c>
      <c r="B634" s="1" t="n">
        <v>45491</v>
      </c>
      <c r="C634" s="1" t="n">
        <v>46168</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14635-2023</t>
        </is>
      </c>
      <c r="B635" s="1" t="n">
        <v>45013.69365740741</v>
      </c>
      <c r="C635" s="1" t="n">
        <v>46168</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59469-2024</t>
        </is>
      </c>
      <c r="B636" s="1" t="n">
        <v>45638</v>
      </c>
      <c r="C636" s="1" t="n">
        <v>46168</v>
      </c>
      <c r="D636" t="inlineStr">
        <is>
          <t>GOTLANDS LÄN</t>
        </is>
      </c>
      <c r="E636" t="inlineStr">
        <is>
          <t>GOTLAND</t>
        </is>
      </c>
      <c r="G636" t="n">
        <v>0.4</v>
      </c>
      <c r="H636" t="n">
        <v>0</v>
      </c>
      <c r="I636" t="n">
        <v>0</v>
      </c>
      <c r="J636" t="n">
        <v>0</v>
      </c>
      <c r="K636" t="n">
        <v>0</v>
      </c>
      <c r="L636" t="n">
        <v>0</v>
      </c>
      <c r="M636" t="n">
        <v>0</v>
      </c>
      <c r="N636" t="n">
        <v>0</v>
      </c>
      <c r="O636" t="n">
        <v>0</v>
      </c>
      <c r="P636" t="n">
        <v>0</v>
      </c>
      <c r="Q636" t="n">
        <v>0</v>
      </c>
      <c r="R636" s="2" t="inlineStr"/>
    </row>
    <row r="637" ht="15" customHeight="1">
      <c r="A637" t="inlineStr">
        <is>
          <t>A 7858-2025</t>
        </is>
      </c>
      <c r="B637" s="1" t="n">
        <v>45706.68633101852</v>
      </c>
      <c r="C637" s="1" t="n">
        <v>46168</v>
      </c>
      <c r="D637" t="inlineStr">
        <is>
          <t>GOTLANDS LÄN</t>
        </is>
      </c>
      <c r="E637" t="inlineStr">
        <is>
          <t>GOTLAND</t>
        </is>
      </c>
      <c r="G637" t="n">
        <v>3</v>
      </c>
      <c r="H637" t="n">
        <v>0</v>
      </c>
      <c r="I637" t="n">
        <v>0</v>
      </c>
      <c r="J637" t="n">
        <v>0</v>
      </c>
      <c r="K637" t="n">
        <v>0</v>
      </c>
      <c r="L637" t="n">
        <v>0</v>
      </c>
      <c r="M637" t="n">
        <v>0</v>
      </c>
      <c r="N637" t="n">
        <v>0</v>
      </c>
      <c r="O637" t="n">
        <v>0</v>
      </c>
      <c r="P637" t="n">
        <v>0</v>
      </c>
      <c r="Q637" t="n">
        <v>0</v>
      </c>
      <c r="R637" s="2" t="inlineStr"/>
    </row>
    <row r="638" ht="15" customHeight="1">
      <c r="A638" t="inlineStr">
        <is>
          <t>A 53935-2024</t>
        </is>
      </c>
      <c r="B638" s="1" t="n">
        <v>45615</v>
      </c>
      <c r="C638" s="1" t="n">
        <v>46168</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18223-2025</t>
        </is>
      </c>
      <c r="B639" s="1" t="n">
        <v>45761</v>
      </c>
      <c r="C639" s="1" t="n">
        <v>46168</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4420-2025</t>
        </is>
      </c>
      <c r="B640" s="1" t="n">
        <v>45686.47157407407</v>
      </c>
      <c r="C640" s="1" t="n">
        <v>46168</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5891-2025</t>
        </is>
      </c>
      <c r="B641" s="1" t="n">
        <v>45695.38327546296</v>
      </c>
      <c r="C641" s="1" t="n">
        <v>46168</v>
      </c>
      <c r="D641" t="inlineStr">
        <is>
          <t>GOTLANDS LÄN</t>
        </is>
      </c>
      <c r="E641" t="inlineStr">
        <is>
          <t>GOTLAND</t>
        </is>
      </c>
      <c r="G641" t="n">
        <v>0.8</v>
      </c>
      <c r="H641" t="n">
        <v>0</v>
      </c>
      <c r="I641" t="n">
        <v>0</v>
      </c>
      <c r="J641" t="n">
        <v>0</v>
      </c>
      <c r="K641" t="n">
        <v>0</v>
      </c>
      <c r="L641" t="n">
        <v>0</v>
      </c>
      <c r="M641" t="n">
        <v>0</v>
      </c>
      <c r="N641" t="n">
        <v>0</v>
      </c>
      <c r="O641" t="n">
        <v>0</v>
      </c>
      <c r="P641" t="n">
        <v>0</v>
      </c>
      <c r="Q641" t="n">
        <v>0</v>
      </c>
      <c r="R641" s="2" t="inlineStr"/>
    </row>
    <row r="642" ht="15" customHeight="1">
      <c r="A642" t="inlineStr">
        <is>
          <t>A 7835-2024</t>
        </is>
      </c>
      <c r="B642" s="1" t="n">
        <v>45349.83138888889</v>
      </c>
      <c r="C642" s="1" t="n">
        <v>46168</v>
      </c>
      <c r="D642" t="inlineStr">
        <is>
          <t>GOTLANDS LÄN</t>
        </is>
      </c>
      <c r="E642" t="inlineStr">
        <is>
          <t>GOTLAND</t>
        </is>
      </c>
      <c r="G642" t="n">
        <v>3.8</v>
      </c>
      <c r="H642" t="n">
        <v>0</v>
      </c>
      <c r="I642" t="n">
        <v>0</v>
      </c>
      <c r="J642" t="n">
        <v>0</v>
      </c>
      <c r="K642" t="n">
        <v>0</v>
      </c>
      <c r="L642" t="n">
        <v>0</v>
      </c>
      <c r="M642" t="n">
        <v>0</v>
      </c>
      <c r="N642" t="n">
        <v>0</v>
      </c>
      <c r="O642" t="n">
        <v>0</v>
      </c>
      <c r="P642" t="n">
        <v>0</v>
      </c>
      <c r="Q642" t="n">
        <v>0</v>
      </c>
      <c r="R642" s="2" t="inlineStr"/>
    </row>
    <row r="643" ht="15" customHeight="1">
      <c r="A643" t="inlineStr">
        <is>
          <t>A 20794-2025</t>
        </is>
      </c>
      <c r="B643" s="1" t="n">
        <v>45776</v>
      </c>
      <c r="C643" s="1" t="n">
        <v>46168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20805-2025</t>
        </is>
      </c>
      <c r="B644" s="1" t="n">
        <v>45776</v>
      </c>
      <c r="C644" s="1" t="n">
        <v>46168</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21389-2025</t>
        </is>
      </c>
      <c r="B645" s="1" t="n">
        <v>45782</v>
      </c>
      <c r="C645" s="1" t="n">
        <v>46168</v>
      </c>
      <c r="D645" t="inlineStr">
        <is>
          <t>GOTLANDS LÄN</t>
        </is>
      </c>
      <c r="E645" t="inlineStr">
        <is>
          <t>GOTLAND</t>
        </is>
      </c>
      <c r="G645" t="n">
        <v>4.1</v>
      </c>
      <c r="H645" t="n">
        <v>0</v>
      </c>
      <c r="I645" t="n">
        <v>0</v>
      </c>
      <c r="J645" t="n">
        <v>0</v>
      </c>
      <c r="K645" t="n">
        <v>0</v>
      </c>
      <c r="L645" t="n">
        <v>0</v>
      </c>
      <c r="M645" t="n">
        <v>0</v>
      </c>
      <c r="N645" t="n">
        <v>0</v>
      </c>
      <c r="O645" t="n">
        <v>0</v>
      </c>
      <c r="P645" t="n">
        <v>0</v>
      </c>
      <c r="Q645" t="n">
        <v>0</v>
      </c>
      <c r="R645" s="2" t="inlineStr"/>
    </row>
    <row r="646">
      <c r="A646" t="inlineStr">
        <is>
          <t>A 21651-2025</t>
        </is>
      </c>
      <c r="B646" s="1" t="n">
        <v>45783</v>
      </c>
      <c r="C646" s="1" t="n">
        <v>46168</v>
      </c>
      <c r="D646" t="inlineStr">
        <is>
          <t>GOTLANDS LÄN</t>
        </is>
      </c>
      <c r="E646" t="inlineStr">
        <is>
          <t>GOTLAND</t>
        </is>
      </c>
      <c r="G646" t="n">
        <v>4.2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2026-05-26T10:54:27Z</dcterms:created>
  <dcterms:modified xmlns:dcterms="http://purl.org/dc/terms/" xmlns:xsi="http://www.w3.org/2001/XMLSchema-instance" xsi:type="dcterms:W3CDTF">2026-05-26T10:54:28Z</dcterms:modified>
</cp:coreProperties>
</file>