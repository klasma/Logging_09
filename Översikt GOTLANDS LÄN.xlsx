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9921-2023</t>
        </is>
      </c>
      <c r="B2" s="1" t="n">
        <v>44985</v>
      </c>
      <c r="C2" s="1" t="n">
        <v>45294</v>
      </c>
      <c r="D2" t="inlineStr">
        <is>
          <t>GOTLANDS LÄN</t>
        </is>
      </c>
      <c r="E2" t="inlineStr">
        <is>
          <t>GOTLAND</t>
        </is>
      </c>
      <c r="F2" t="inlineStr">
        <is>
          <t>Kyrkan</t>
        </is>
      </c>
      <c r="G2" t="n">
        <v>16.3</v>
      </c>
      <c r="H2" t="n">
        <v>4</v>
      </c>
      <c r="I2" t="n">
        <v>14</v>
      </c>
      <c r="J2" t="n">
        <v>8</v>
      </c>
      <c r="K2" t="n">
        <v>9</v>
      </c>
      <c r="L2" t="n">
        <v>0</v>
      </c>
      <c r="M2" t="n">
        <v>0</v>
      </c>
      <c r="N2" t="n">
        <v>0</v>
      </c>
      <c r="O2" t="n">
        <v>17</v>
      </c>
      <c r="P2" t="n">
        <v>9</v>
      </c>
      <c r="Q2" t="n">
        <v>33</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row>
    <row r="3" ht="15" customHeight="1">
      <c r="A3" t="inlineStr">
        <is>
          <t>A 14450-2023</t>
        </is>
      </c>
      <c r="B3" s="1" t="n">
        <v>45012</v>
      </c>
      <c r="C3" s="1" t="n">
        <v>45294</v>
      </c>
      <c r="D3" t="inlineStr">
        <is>
          <t>GOTLANDS LÄN</t>
        </is>
      </c>
      <c r="E3" t="inlineStr">
        <is>
          <t>GOTLAND</t>
        </is>
      </c>
      <c r="G3" t="n">
        <v>11.6</v>
      </c>
      <c r="H3" t="n">
        <v>1</v>
      </c>
      <c r="I3" t="n">
        <v>13</v>
      </c>
      <c r="J3" t="n">
        <v>5</v>
      </c>
      <c r="K3" t="n">
        <v>5</v>
      </c>
      <c r="L3" t="n">
        <v>0</v>
      </c>
      <c r="M3" t="n">
        <v>0</v>
      </c>
      <c r="N3" t="n">
        <v>0</v>
      </c>
      <c r="O3" t="n">
        <v>10</v>
      </c>
      <c r="P3" t="n">
        <v>5</v>
      </c>
      <c r="Q3" t="n">
        <v>23</v>
      </c>
      <c r="R3"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1702-2023</t>
        </is>
      </c>
      <c r="B4" s="1" t="n">
        <v>44938</v>
      </c>
      <c r="C4" s="1" t="n">
        <v>45294</v>
      </c>
      <c r="D4" t="inlineStr">
        <is>
          <t>GOTLANDS LÄN</t>
        </is>
      </c>
      <c r="E4" t="inlineStr">
        <is>
          <t>GOTLAND</t>
        </is>
      </c>
      <c r="G4" t="n">
        <v>3.7</v>
      </c>
      <c r="H4" t="n">
        <v>3</v>
      </c>
      <c r="I4" t="n">
        <v>9</v>
      </c>
      <c r="J4" t="n">
        <v>3</v>
      </c>
      <c r="K4" t="n">
        <v>3</v>
      </c>
      <c r="L4" t="n">
        <v>0</v>
      </c>
      <c r="M4" t="n">
        <v>0</v>
      </c>
      <c r="N4" t="n">
        <v>0</v>
      </c>
      <c r="O4" t="n">
        <v>6</v>
      </c>
      <c r="P4" t="n">
        <v>3</v>
      </c>
      <c r="Q4" t="n">
        <v>18</v>
      </c>
      <c r="R4"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4">
        <f>HYPERLINK("https://klasma.github.io/Logging_0980/artfynd/A 1702-2023 artfynd.xlsx", "A 1702-2023")</f>
        <v/>
      </c>
      <c r="T4">
        <f>HYPERLINK("https://klasma.github.io/Logging_0980/kartor/A 1702-2023 karta.png", "A 1702-2023")</f>
        <v/>
      </c>
      <c r="V4">
        <f>HYPERLINK("https://klasma.github.io/Logging_0980/klagomål/A 1702-2023 FSC-klagomål.docx", "A 1702-2023")</f>
        <v/>
      </c>
      <c r="W4">
        <f>HYPERLINK("https://klasma.github.io/Logging_0980/klagomålsmail/A 1702-2023 FSC-klagomål mail.docx", "A 1702-2023")</f>
        <v/>
      </c>
      <c r="X4">
        <f>HYPERLINK("https://klasma.github.io/Logging_0980/tillsyn/A 1702-2023 tillsynsbegäran.docx", "A 1702-2023")</f>
        <v/>
      </c>
      <c r="Y4">
        <f>HYPERLINK("https://klasma.github.io/Logging_0980/tillsynsmail/A 1702-2023 tillsynsbegäran mail.docx", "A 1702-2023")</f>
        <v/>
      </c>
    </row>
    <row r="5" ht="15" customHeight="1">
      <c r="A5" t="inlineStr">
        <is>
          <t>A 1684-2023</t>
        </is>
      </c>
      <c r="B5" s="1" t="n">
        <v>44938</v>
      </c>
      <c r="C5" s="1" t="n">
        <v>45294</v>
      </c>
      <c r="D5" t="inlineStr">
        <is>
          <t>GOTLANDS LÄN</t>
        </is>
      </c>
      <c r="E5" t="inlineStr">
        <is>
          <t>GOTLAND</t>
        </is>
      </c>
      <c r="G5" t="n">
        <v>23.3</v>
      </c>
      <c r="H5" t="n">
        <v>2</v>
      </c>
      <c r="I5" t="n">
        <v>8</v>
      </c>
      <c r="J5" t="n">
        <v>3</v>
      </c>
      <c r="K5" t="n">
        <v>1</v>
      </c>
      <c r="L5" t="n">
        <v>1</v>
      </c>
      <c r="M5" t="n">
        <v>2</v>
      </c>
      <c r="N5" t="n">
        <v>0</v>
      </c>
      <c r="O5" t="n">
        <v>7</v>
      </c>
      <c r="P5" t="n">
        <v>4</v>
      </c>
      <c r="Q5" t="n">
        <v>17</v>
      </c>
      <c r="R5" s="2" t="inlineStr">
        <is>
          <t>Cinnoberfläck
Frostfläck
Ädellav
Mörk kraterlav
Loppstarr
Mjölmusseron
Odörspindling
Anisspindling
Besk kastanjemusseron
Havstulpanlav
Kattfotslav
Korallblylav
Murgröna
Rikfruktig blemlav
Västlig hakmossa
Brudsporre
Kärrknipprot</t>
        </is>
      </c>
      <c r="S5">
        <f>HYPERLINK("https://klasma.github.io/Logging_0980/artfynd/A 1684-2023 artfynd.xlsx", "A 1684-2023")</f>
        <v/>
      </c>
      <c r="T5">
        <f>HYPERLINK("https://klasma.github.io/Logging_0980/kartor/A 1684-2023 karta.png", "A 1684-2023")</f>
        <v/>
      </c>
      <c r="V5">
        <f>HYPERLINK("https://klasma.github.io/Logging_0980/klagomål/A 1684-2023 FSC-klagomål.docx", "A 1684-2023")</f>
        <v/>
      </c>
      <c r="W5">
        <f>HYPERLINK("https://klasma.github.io/Logging_0980/klagomålsmail/A 1684-2023 FSC-klagomål mail.docx", "A 1684-2023")</f>
        <v/>
      </c>
      <c r="X5">
        <f>HYPERLINK("https://klasma.github.io/Logging_0980/tillsyn/A 1684-2023 tillsynsbegäran.docx", "A 1684-2023")</f>
        <v/>
      </c>
      <c r="Y5">
        <f>HYPERLINK("https://klasma.github.io/Logging_0980/tillsynsmail/A 1684-2023 tillsynsbegäran mail.docx", "A 1684-2023")</f>
        <v/>
      </c>
    </row>
    <row r="6" ht="15" customHeight="1">
      <c r="A6" t="inlineStr">
        <is>
          <t>A 1836-2023</t>
        </is>
      </c>
      <c r="B6" s="1" t="n">
        <v>44938</v>
      </c>
      <c r="C6" s="1" t="n">
        <v>45294</v>
      </c>
      <c r="D6" t="inlineStr">
        <is>
          <t>GOTLANDS LÄN</t>
        </is>
      </c>
      <c r="E6" t="inlineStr">
        <is>
          <t>GOTLAND</t>
        </is>
      </c>
      <c r="G6" t="n">
        <v>14.3</v>
      </c>
      <c r="H6" t="n">
        <v>0</v>
      </c>
      <c r="I6" t="n">
        <v>7</v>
      </c>
      <c r="J6" t="n">
        <v>4</v>
      </c>
      <c r="K6" t="n">
        <v>5</v>
      </c>
      <c r="L6" t="n">
        <v>1</v>
      </c>
      <c r="M6" t="n">
        <v>0</v>
      </c>
      <c r="N6" t="n">
        <v>0</v>
      </c>
      <c r="O6" t="n">
        <v>10</v>
      </c>
      <c r="P6" t="n">
        <v>6</v>
      </c>
      <c r="Q6" t="n">
        <v>17</v>
      </c>
      <c r="R6"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row>
    <row r="7" ht="15" customHeight="1">
      <c r="A7" t="inlineStr">
        <is>
          <t>A 58474-2022</t>
        </is>
      </c>
      <c r="B7" s="1" t="n">
        <v>44902</v>
      </c>
      <c r="C7" s="1" t="n">
        <v>45294</v>
      </c>
      <c r="D7" t="inlineStr">
        <is>
          <t>GOTLANDS LÄN</t>
        </is>
      </c>
      <c r="E7" t="inlineStr">
        <is>
          <t>GOTLAND</t>
        </is>
      </c>
      <c r="G7" t="n">
        <v>10.3</v>
      </c>
      <c r="H7" t="n">
        <v>1</v>
      </c>
      <c r="I7" t="n">
        <v>9</v>
      </c>
      <c r="J7" t="n">
        <v>2</v>
      </c>
      <c r="K7" t="n">
        <v>2</v>
      </c>
      <c r="L7" t="n">
        <v>1</v>
      </c>
      <c r="M7" t="n">
        <v>0</v>
      </c>
      <c r="N7" t="n">
        <v>0</v>
      </c>
      <c r="O7" t="n">
        <v>5</v>
      </c>
      <c r="P7" t="n">
        <v>3</v>
      </c>
      <c r="Q7" t="n">
        <v>15</v>
      </c>
      <c r="R7" s="2" t="inlineStr">
        <is>
          <t>Ädellav
Mörk kraterlav
Skogskorn
Flattoppad klubbsvamp
Odörspindling
Anisspindling
Diskvaxskivling
Havstulpanlav
Murgröna
Rikfruktig blemlav
Rödgul trumpetsvamp
Skuggsprötmossa
Svavelriska
Västlig hakmossa
Fläcknycklar</t>
        </is>
      </c>
      <c r="S7">
        <f>HYPERLINK("https://klasma.github.io/Logging_0980/artfynd/A 58474-2022 artfynd.xlsx", "A 58474-2022")</f>
        <v/>
      </c>
      <c r="T7">
        <f>HYPERLINK("https://klasma.github.io/Logging_0980/kartor/A 58474-2022 karta.png", "A 58474-2022")</f>
        <v/>
      </c>
      <c r="V7">
        <f>HYPERLINK("https://klasma.github.io/Logging_0980/klagomål/A 58474-2022 FSC-klagomål.docx", "A 58474-2022")</f>
        <v/>
      </c>
      <c r="W7">
        <f>HYPERLINK("https://klasma.github.io/Logging_0980/klagomålsmail/A 58474-2022 FSC-klagomål mail.docx", "A 58474-2022")</f>
        <v/>
      </c>
      <c r="X7">
        <f>HYPERLINK("https://klasma.github.io/Logging_0980/tillsyn/A 58474-2022 tillsynsbegäran.docx", "A 58474-2022")</f>
        <v/>
      </c>
      <c r="Y7">
        <f>HYPERLINK("https://klasma.github.io/Logging_0980/tillsynsmail/A 58474-2022 tillsynsbegäran mail.docx", "A 58474-2022")</f>
        <v/>
      </c>
    </row>
    <row r="8" ht="15" customHeight="1">
      <c r="A8" t="inlineStr">
        <is>
          <t>A 24202-2023</t>
        </is>
      </c>
      <c r="B8" s="1" t="n">
        <v>45079</v>
      </c>
      <c r="C8" s="1" t="n">
        <v>45294</v>
      </c>
      <c r="D8" t="inlineStr">
        <is>
          <t>GOTLANDS LÄN</t>
        </is>
      </c>
      <c r="E8" t="inlineStr">
        <is>
          <t>GOTLAND</t>
        </is>
      </c>
      <c r="G8" t="n">
        <v>2.5</v>
      </c>
      <c r="H8" t="n">
        <v>0</v>
      </c>
      <c r="I8" t="n">
        <v>10</v>
      </c>
      <c r="J8" t="n">
        <v>2</v>
      </c>
      <c r="K8" t="n">
        <v>3</v>
      </c>
      <c r="L8" t="n">
        <v>0</v>
      </c>
      <c r="M8" t="n">
        <v>0</v>
      </c>
      <c r="N8" t="n">
        <v>0</v>
      </c>
      <c r="O8" t="n">
        <v>5</v>
      </c>
      <c r="P8" t="n">
        <v>3</v>
      </c>
      <c r="Q8" t="n">
        <v>15</v>
      </c>
      <c r="R8"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8">
        <f>HYPERLINK("https://klasma.github.io/Logging_0980/artfynd/A 24202-2023 artfynd.xlsx", "A 24202-2023")</f>
        <v/>
      </c>
      <c r="T8">
        <f>HYPERLINK("https://klasma.github.io/Logging_0980/kartor/A 24202-2023 karta.png", "A 24202-2023")</f>
        <v/>
      </c>
      <c r="V8">
        <f>HYPERLINK("https://klasma.github.io/Logging_0980/klagomål/A 24202-2023 FSC-klagomål.docx", "A 24202-2023")</f>
        <v/>
      </c>
      <c r="W8">
        <f>HYPERLINK("https://klasma.github.io/Logging_0980/klagomålsmail/A 24202-2023 FSC-klagomål mail.docx", "A 24202-2023")</f>
        <v/>
      </c>
      <c r="X8">
        <f>HYPERLINK("https://klasma.github.io/Logging_0980/tillsyn/A 24202-2023 tillsynsbegäran.docx", "A 24202-2023")</f>
        <v/>
      </c>
      <c r="Y8">
        <f>HYPERLINK("https://klasma.github.io/Logging_0980/tillsynsmail/A 24202-2023 tillsynsbegäran mail.docx", "A 24202-2023")</f>
        <v/>
      </c>
    </row>
    <row r="9" ht="15" customHeight="1">
      <c r="A9" t="inlineStr">
        <is>
          <t>A 25779-2022</t>
        </is>
      </c>
      <c r="B9" s="1" t="n">
        <v>44733</v>
      </c>
      <c r="C9" s="1" t="n">
        <v>45294</v>
      </c>
      <c r="D9" t="inlineStr">
        <is>
          <t>GOTLANDS LÄN</t>
        </is>
      </c>
      <c r="E9" t="inlineStr">
        <is>
          <t>GOTLAND</t>
        </is>
      </c>
      <c r="G9" t="n">
        <v>12.6</v>
      </c>
      <c r="H9" t="n">
        <v>4</v>
      </c>
      <c r="I9" t="n">
        <v>8</v>
      </c>
      <c r="J9" t="n">
        <v>3</v>
      </c>
      <c r="K9" t="n">
        <v>3</v>
      </c>
      <c r="L9" t="n">
        <v>0</v>
      </c>
      <c r="M9" t="n">
        <v>0</v>
      </c>
      <c r="N9" t="n">
        <v>0</v>
      </c>
      <c r="O9" t="n">
        <v>6</v>
      </c>
      <c r="P9" t="n">
        <v>3</v>
      </c>
      <c r="Q9" t="n">
        <v>14</v>
      </c>
      <c r="R9" s="2" t="inlineStr">
        <is>
          <t>Duvspindling
Knärot
Ruttaggsvamp
Jordtistel
Odörspindling
Svart taggsvamp
Nästrot
Rödgul trumpetsvamp
Skogsknipprot
Strimspindling
Strävlosta
Svavelriska
Vit skogslilja
Zontaggsvamp</t>
        </is>
      </c>
      <c r="S9">
        <f>HYPERLINK("https://klasma.github.io/Logging_0980/artfynd/A 25779-2022 artfynd.xlsx", "A 25779-2022")</f>
        <v/>
      </c>
      <c r="T9">
        <f>HYPERLINK("https://klasma.github.io/Logging_0980/kartor/A 25779-2022 karta.png", "A 25779-2022")</f>
        <v/>
      </c>
      <c r="U9">
        <f>HYPERLINK("https://klasma.github.io/Logging_0980/knärot/A 25779-2022 karta knärot.png", "A 25779-2022")</f>
        <v/>
      </c>
      <c r="V9">
        <f>HYPERLINK("https://klasma.github.io/Logging_0980/klagomål/A 25779-2022 FSC-klagomål.docx", "A 25779-2022")</f>
        <v/>
      </c>
      <c r="W9">
        <f>HYPERLINK("https://klasma.github.io/Logging_0980/klagomålsmail/A 25779-2022 FSC-klagomål mail.docx", "A 25779-2022")</f>
        <v/>
      </c>
      <c r="X9">
        <f>HYPERLINK("https://klasma.github.io/Logging_0980/tillsyn/A 25779-2022 tillsynsbegäran.docx", "A 25779-2022")</f>
        <v/>
      </c>
      <c r="Y9">
        <f>HYPERLINK("https://klasma.github.io/Logging_0980/tillsynsmail/A 25779-2022 tillsynsbegäran mail.docx", "A 25779-2022")</f>
        <v/>
      </c>
    </row>
    <row r="10" ht="15" customHeight="1">
      <c r="A10" t="inlineStr">
        <is>
          <t>A 569-2023</t>
        </is>
      </c>
      <c r="B10" s="1" t="n">
        <v>44930</v>
      </c>
      <c r="C10" s="1" t="n">
        <v>45294</v>
      </c>
      <c r="D10" t="inlineStr">
        <is>
          <t>GOTLANDS LÄN</t>
        </is>
      </c>
      <c r="E10" t="inlineStr">
        <is>
          <t>GOTLAND</t>
        </is>
      </c>
      <c r="G10" t="n">
        <v>12.8</v>
      </c>
      <c r="H10" t="n">
        <v>1</v>
      </c>
      <c r="I10" t="n">
        <v>5</v>
      </c>
      <c r="J10" t="n">
        <v>4</v>
      </c>
      <c r="K10" t="n">
        <v>5</v>
      </c>
      <c r="L10" t="n">
        <v>0</v>
      </c>
      <c r="M10" t="n">
        <v>0</v>
      </c>
      <c r="N10" t="n">
        <v>0</v>
      </c>
      <c r="O10" t="n">
        <v>9</v>
      </c>
      <c r="P10" t="n">
        <v>5</v>
      </c>
      <c r="Q10" t="n">
        <v>14</v>
      </c>
      <c r="R10"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61664-2023</t>
        </is>
      </c>
      <c r="B11" s="1" t="n">
        <v>45265</v>
      </c>
      <c r="C11" s="1" t="n">
        <v>45294</v>
      </c>
      <c r="D11" t="inlineStr">
        <is>
          <t>GOTLANDS LÄN</t>
        </is>
      </c>
      <c r="E11" t="inlineStr">
        <is>
          <t>GOTLAND</t>
        </is>
      </c>
      <c r="G11" t="n">
        <v>13.3</v>
      </c>
      <c r="H11" t="n">
        <v>0</v>
      </c>
      <c r="I11" t="n">
        <v>6</v>
      </c>
      <c r="J11" t="n">
        <v>1</v>
      </c>
      <c r="K11" t="n">
        <v>7</v>
      </c>
      <c r="L11" t="n">
        <v>0</v>
      </c>
      <c r="M11" t="n">
        <v>0</v>
      </c>
      <c r="N11" t="n">
        <v>0</v>
      </c>
      <c r="O11" t="n">
        <v>8</v>
      </c>
      <c r="P11" t="n">
        <v>7</v>
      </c>
      <c r="Q11" t="n">
        <v>14</v>
      </c>
      <c r="R11" s="2" t="inlineStr">
        <is>
          <t>Duvspindling
Gulsträngad fagerspindling
Klenodspindling
Mörkfjällig olivspindling
Svartgrön spindling
Tvillingspindling
Vit taggsvamp
Odörspindling
Blå slemspindling
Blåmossa
Kornknutmossa
Olivspindling
Strimspindling
Svavelriska</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35141-2022</t>
        </is>
      </c>
      <c r="B12" s="1" t="n">
        <v>44797</v>
      </c>
      <c r="C12" s="1" t="n">
        <v>45294</v>
      </c>
      <c r="D12" t="inlineStr">
        <is>
          <t>GOTLANDS LÄN</t>
        </is>
      </c>
      <c r="E12" t="inlineStr">
        <is>
          <t>GOTLAND</t>
        </is>
      </c>
      <c r="G12" t="n">
        <v>1.8</v>
      </c>
      <c r="H12" t="n">
        <v>0</v>
      </c>
      <c r="I12" t="n">
        <v>7</v>
      </c>
      <c r="J12" t="n">
        <v>3</v>
      </c>
      <c r="K12" t="n">
        <v>3</v>
      </c>
      <c r="L12" t="n">
        <v>0</v>
      </c>
      <c r="M12" t="n">
        <v>0</v>
      </c>
      <c r="N12" t="n">
        <v>0</v>
      </c>
      <c r="O12" t="n">
        <v>6</v>
      </c>
      <c r="P12" t="n">
        <v>3</v>
      </c>
      <c r="Q12" t="n">
        <v>13</v>
      </c>
      <c r="R12" s="2" t="inlineStr">
        <is>
          <t>Dvärgfjällskivling
Svartgrön spindling
Violettfläckig spindling
Bittermusseron
Flattoppad klubbsvamp
Odörspindling
Anisspindling
Fransig jordstjärna
Kambräken
Olivspindling
Rödgul trumpetsvamp
Svavelriska
Vågbandad barkbock</t>
        </is>
      </c>
      <c r="S12">
        <f>HYPERLINK("https://klasma.github.io/Logging_0980/artfynd/A 35141-2022 artfynd.xlsx", "A 35141-2022")</f>
        <v/>
      </c>
      <c r="T12">
        <f>HYPERLINK("https://klasma.github.io/Logging_0980/kartor/A 35141-2022 karta.png", "A 35141-2022")</f>
        <v/>
      </c>
      <c r="V12">
        <f>HYPERLINK("https://klasma.github.io/Logging_0980/klagomål/A 35141-2022 FSC-klagomål.docx", "A 35141-2022")</f>
        <v/>
      </c>
      <c r="W12">
        <f>HYPERLINK("https://klasma.github.io/Logging_0980/klagomålsmail/A 35141-2022 FSC-klagomål mail.docx", "A 35141-2022")</f>
        <v/>
      </c>
      <c r="X12">
        <f>HYPERLINK("https://klasma.github.io/Logging_0980/tillsyn/A 35141-2022 tillsynsbegäran.docx", "A 35141-2022")</f>
        <v/>
      </c>
      <c r="Y12">
        <f>HYPERLINK("https://klasma.github.io/Logging_0980/tillsynsmail/A 35141-2022 tillsynsbegäran mail.docx", "A 35141-2022")</f>
        <v/>
      </c>
    </row>
    <row r="13" ht="15" customHeight="1">
      <c r="A13" t="inlineStr">
        <is>
          <t>A 44928-2022</t>
        </is>
      </c>
      <c r="B13" s="1" t="n">
        <v>44841</v>
      </c>
      <c r="C13" s="1" t="n">
        <v>45294</v>
      </c>
      <c r="D13" t="inlineStr">
        <is>
          <t>GOTLANDS LÄN</t>
        </is>
      </c>
      <c r="E13" t="inlineStr">
        <is>
          <t>GOTLAND</t>
        </is>
      </c>
      <c r="G13" t="n">
        <v>3.7</v>
      </c>
      <c r="H13" t="n">
        <v>1</v>
      </c>
      <c r="I13" t="n">
        <v>6</v>
      </c>
      <c r="J13" t="n">
        <v>3</v>
      </c>
      <c r="K13" t="n">
        <v>2</v>
      </c>
      <c r="L13" t="n">
        <v>1</v>
      </c>
      <c r="M13" t="n">
        <v>0</v>
      </c>
      <c r="N13" t="n">
        <v>0</v>
      </c>
      <c r="O13" t="n">
        <v>7</v>
      </c>
      <c r="P13" t="n">
        <v>3</v>
      </c>
      <c r="Q13" t="n">
        <v>13</v>
      </c>
      <c r="R13" s="2" t="inlineStr">
        <is>
          <t>Barkkvastmossa
Gulsträngad fagerspindling
Tvillingspindling
Odörspindling
Puderspindling
Ängsstarr
Frostig asplav
Anisspindling
Axag
Blå slemspindling
Kattfotslav
Kärrlilja
Svavelriska</t>
        </is>
      </c>
      <c r="S13">
        <f>HYPERLINK("https://klasma.github.io/Logging_0980/artfynd/A 44928-2022 artfynd.xlsx", "A 44928-2022")</f>
        <v/>
      </c>
      <c r="T13">
        <f>HYPERLINK("https://klasma.github.io/Logging_0980/kartor/A 44928-2022 karta.png", "A 44928-2022")</f>
        <v/>
      </c>
      <c r="V13">
        <f>HYPERLINK("https://klasma.github.io/Logging_0980/klagomål/A 44928-2022 FSC-klagomål.docx", "A 44928-2022")</f>
        <v/>
      </c>
      <c r="W13">
        <f>HYPERLINK("https://klasma.github.io/Logging_0980/klagomålsmail/A 44928-2022 FSC-klagomål mail.docx", "A 44928-2022")</f>
        <v/>
      </c>
      <c r="X13">
        <f>HYPERLINK("https://klasma.github.io/Logging_0980/tillsyn/A 44928-2022 tillsynsbegäran.docx", "A 44928-2022")</f>
        <v/>
      </c>
      <c r="Y13">
        <f>HYPERLINK("https://klasma.github.io/Logging_0980/tillsynsmail/A 44928-2022 tillsynsbegäran mail.docx", "A 44928-2022")</f>
        <v/>
      </c>
    </row>
    <row r="14" ht="15" customHeight="1">
      <c r="A14" t="inlineStr">
        <is>
          <t>A 2804-2023</t>
        </is>
      </c>
      <c r="B14" s="1" t="n">
        <v>44944</v>
      </c>
      <c r="C14" s="1" t="n">
        <v>45294</v>
      </c>
      <c r="D14" t="inlineStr">
        <is>
          <t>GOTLANDS LÄN</t>
        </is>
      </c>
      <c r="E14" t="inlineStr">
        <is>
          <t>GOTLAND</t>
        </is>
      </c>
      <c r="G14" t="n">
        <v>7.6</v>
      </c>
      <c r="H14" t="n">
        <v>2</v>
      </c>
      <c r="I14" t="n">
        <v>4</v>
      </c>
      <c r="J14" t="n">
        <v>4</v>
      </c>
      <c r="K14" t="n">
        <v>3</v>
      </c>
      <c r="L14" t="n">
        <v>0</v>
      </c>
      <c r="M14" t="n">
        <v>0</v>
      </c>
      <c r="N14" t="n">
        <v>0</v>
      </c>
      <c r="O14" t="n">
        <v>7</v>
      </c>
      <c r="P14" t="n">
        <v>3</v>
      </c>
      <c r="Q14" t="n">
        <v>13</v>
      </c>
      <c r="R14" s="2" t="inlineStr">
        <is>
          <t>Granrotspindling
Narrspindling
Violettfläckig spindling
Ekticka
Granticka
Oxtungssvamp
Svinrot
Blå slemspindling
Fransig jordstjärna
Rödgul trumpetsvamp
Svavelriska
Sankt pers nycklar
Blåsippa</t>
        </is>
      </c>
      <c r="S14">
        <f>HYPERLINK("https://klasma.github.io/Logging_0980/artfynd/A 2804-2023 artfynd.xlsx", "A 2804-2023")</f>
        <v/>
      </c>
      <c r="T14">
        <f>HYPERLINK("https://klasma.github.io/Logging_0980/kartor/A 2804-2023 karta.png", "A 2804-2023")</f>
        <v/>
      </c>
      <c r="V14">
        <f>HYPERLINK("https://klasma.github.io/Logging_0980/klagomål/A 2804-2023 FSC-klagomål.docx", "A 2804-2023")</f>
        <v/>
      </c>
      <c r="W14">
        <f>HYPERLINK("https://klasma.github.io/Logging_0980/klagomålsmail/A 2804-2023 FSC-klagomål mail.docx", "A 2804-2023")</f>
        <v/>
      </c>
      <c r="X14">
        <f>HYPERLINK("https://klasma.github.io/Logging_0980/tillsyn/A 2804-2023 tillsynsbegäran.docx", "A 2804-2023")</f>
        <v/>
      </c>
      <c r="Y14">
        <f>HYPERLINK("https://klasma.github.io/Logging_0980/tillsynsmail/A 2804-2023 tillsynsbegäran mail.docx", "A 2804-2023")</f>
        <v/>
      </c>
    </row>
    <row r="15" ht="15" customHeight="1">
      <c r="A15" t="inlineStr">
        <is>
          <t>A 53920-2023</t>
        </is>
      </c>
      <c r="B15" s="1" t="n">
        <v>45231</v>
      </c>
      <c r="C15" s="1" t="n">
        <v>45294</v>
      </c>
      <c r="D15" t="inlineStr">
        <is>
          <t>GOTLANDS LÄN</t>
        </is>
      </c>
      <c r="E15" t="inlineStr">
        <is>
          <t>GOTLAND</t>
        </is>
      </c>
      <c r="G15" t="n">
        <v>11.4</v>
      </c>
      <c r="H15" t="n">
        <v>0</v>
      </c>
      <c r="I15" t="n">
        <v>6</v>
      </c>
      <c r="J15" t="n">
        <v>1</v>
      </c>
      <c r="K15" t="n">
        <v>6</v>
      </c>
      <c r="L15" t="n">
        <v>0</v>
      </c>
      <c r="M15" t="n">
        <v>0</v>
      </c>
      <c r="N15" t="n">
        <v>0</v>
      </c>
      <c r="O15" t="n">
        <v>7</v>
      </c>
      <c r="P15" t="n">
        <v>6</v>
      </c>
      <c r="Q15" t="n">
        <v>13</v>
      </c>
      <c r="R15" s="2" t="inlineStr">
        <is>
          <t>Duvspindling
Granrotspindling
Gulsträngad fagerspindling
Svartgrön spindling
Tvillingspindling
Vit taggsvamp
Odörspindling
Anisspindling
Blå slemspindling
Diskvaxskivling
Olivspindling
Rödfläckig zontaggsvamp
Trådticka</t>
        </is>
      </c>
      <c r="S15">
        <f>HYPERLINK("https://klasma.github.io/Logging_0980/artfynd/A 53920-2023 artfynd.xlsx", "A 53920-2023")</f>
        <v/>
      </c>
      <c r="T15">
        <f>HYPERLINK("https://klasma.github.io/Logging_0980/kartor/A 53920-2023 karta.png", "A 53920-2023")</f>
        <v/>
      </c>
      <c r="V15">
        <f>HYPERLINK("https://klasma.github.io/Logging_0980/klagomål/A 53920-2023 FSC-klagomål.docx", "A 53920-2023")</f>
        <v/>
      </c>
      <c r="W15">
        <f>HYPERLINK("https://klasma.github.io/Logging_0980/klagomålsmail/A 53920-2023 FSC-klagomål mail.docx", "A 53920-2023")</f>
        <v/>
      </c>
      <c r="X15">
        <f>HYPERLINK("https://klasma.github.io/Logging_0980/tillsyn/A 53920-2023 tillsynsbegäran.docx", "A 53920-2023")</f>
        <v/>
      </c>
      <c r="Y15">
        <f>HYPERLINK("https://klasma.github.io/Logging_0980/tillsynsmail/A 53920-2023 tillsynsbegäran mail.docx", "A 53920-2023")</f>
        <v/>
      </c>
    </row>
    <row r="16" ht="15" customHeight="1">
      <c r="A16" t="inlineStr">
        <is>
          <t>A 12841-2020</t>
        </is>
      </c>
      <c r="B16" s="1" t="n">
        <v>43899</v>
      </c>
      <c r="C16" s="1" t="n">
        <v>45294</v>
      </c>
      <c r="D16" t="inlineStr">
        <is>
          <t>GOTLANDS LÄN</t>
        </is>
      </c>
      <c r="E16" t="inlineStr">
        <is>
          <t>GOTLAND</t>
        </is>
      </c>
      <c r="G16" t="n">
        <v>6.4</v>
      </c>
      <c r="H16" t="n">
        <v>0</v>
      </c>
      <c r="I16" t="n">
        <v>4</v>
      </c>
      <c r="J16" t="n">
        <v>2</v>
      </c>
      <c r="K16" t="n">
        <v>6</v>
      </c>
      <c r="L16" t="n">
        <v>0</v>
      </c>
      <c r="M16" t="n">
        <v>0</v>
      </c>
      <c r="N16" t="n">
        <v>0</v>
      </c>
      <c r="O16" t="n">
        <v>8</v>
      </c>
      <c r="P16" t="n">
        <v>6</v>
      </c>
      <c r="Q16" t="n">
        <v>12</v>
      </c>
      <c r="R16" s="2" t="inlineStr">
        <is>
          <t>Bullspindling
Duvspindling
Granrotspindling
Kopparspindling
Svartgrön spindling
Vit taggsvamp
Odörspindling
Orange taggsvamp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25218-2021</t>
        </is>
      </c>
      <c r="B17" s="1" t="n">
        <v>44342</v>
      </c>
      <c r="C17" s="1" t="n">
        <v>45294</v>
      </c>
      <c r="D17" t="inlineStr">
        <is>
          <t>GOTLANDS LÄN</t>
        </is>
      </c>
      <c r="E17" t="inlineStr">
        <is>
          <t>GOTLAND</t>
        </is>
      </c>
      <c r="G17" t="n">
        <v>7.6</v>
      </c>
      <c r="H17" t="n">
        <v>1</v>
      </c>
      <c r="I17" t="n">
        <v>4</v>
      </c>
      <c r="J17" t="n">
        <v>2</v>
      </c>
      <c r="K17" t="n">
        <v>4</v>
      </c>
      <c r="L17" t="n">
        <v>1</v>
      </c>
      <c r="M17" t="n">
        <v>1</v>
      </c>
      <c r="N17" t="n">
        <v>0</v>
      </c>
      <c r="O17" t="n">
        <v>8</v>
      </c>
      <c r="P17" t="n">
        <v>6</v>
      </c>
      <c r="Q17" t="n">
        <v>12</v>
      </c>
      <c r="R17" s="2" t="inlineStr">
        <is>
          <t>Mörk lundlav
Ädellav
Almlav
Klosterlav
Mörk kraterlav
Rosa lundlav
Duvhök
Rosa skärelav
Hasselsopp
Lönnlav
Rikfruktig blemlav
Slät lönnlav</t>
        </is>
      </c>
      <c r="S17">
        <f>HYPERLINK("https://klasma.github.io/Logging_0980/artfynd/A 25218-2021 artfynd.xlsx", "A 25218-2021")</f>
        <v/>
      </c>
      <c r="T17">
        <f>HYPERLINK("https://klasma.github.io/Logging_0980/kartor/A 25218-2021 karta.png", "A 25218-2021")</f>
        <v/>
      </c>
      <c r="V17">
        <f>HYPERLINK("https://klasma.github.io/Logging_0980/klagomål/A 25218-2021 FSC-klagomål.docx", "A 25218-2021")</f>
        <v/>
      </c>
      <c r="W17">
        <f>HYPERLINK("https://klasma.github.io/Logging_0980/klagomålsmail/A 25218-2021 FSC-klagomål mail.docx", "A 25218-2021")</f>
        <v/>
      </c>
      <c r="X17">
        <f>HYPERLINK("https://klasma.github.io/Logging_0980/tillsyn/A 25218-2021 tillsynsbegäran.docx", "A 25218-2021")</f>
        <v/>
      </c>
      <c r="Y17">
        <f>HYPERLINK("https://klasma.github.io/Logging_0980/tillsynsmail/A 25218-2021 tillsynsbegäran mail.docx", "A 25218-2021")</f>
        <v/>
      </c>
    </row>
    <row r="18" ht="15" customHeight="1">
      <c r="A18" t="inlineStr">
        <is>
          <t>A 3324-2023</t>
        </is>
      </c>
      <c r="B18" s="1" t="n">
        <v>44949</v>
      </c>
      <c r="C18" s="1" t="n">
        <v>45294</v>
      </c>
      <c r="D18" t="inlineStr">
        <is>
          <t>GOTLANDS LÄN</t>
        </is>
      </c>
      <c r="E18" t="inlineStr">
        <is>
          <t>GOTLAND</t>
        </is>
      </c>
      <c r="G18" t="n">
        <v>6.2</v>
      </c>
      <c r="H18" t="n">
        <v>0</v>
      </c>
      <c r="I18" t="n">
        <v>4</v>
      </c>
      <c r="J18" t="n">
        <v>2</v>
      </c>
      <c r="K18" t="n">
        <v>6</v>
      </c>
      <c r="L18" t="n">
        <v>0</v>
      </c>
      <c r="M18" t="n">
        <v>0</v>
      </c>
      <c r="N18" t="n">
        <v>0</v>
      </c>
      <c r="O18" t="n">
        <v>8</v>
      </c>
      <c r="P18" t="n">
        <v>6</v>
      </c>
      <c r="Q18" t="n">
        <v>12</v>
      </c>
      <c r="R18" s="2" t="inlineStr">
        <is>
          <t>Blåfotad fagerspindling
Duvspindling
Granrotspindling
Gulsträngad fagerspindling
Svartgrön spindling
Tvillingspindling
Odörspindling
Äggspindling
Anisspindling
Blå slemspindling
Olivspindling
Rödgul trumpetsvamp</t>
        </is>
      </c>
      <c r="S18">
        <f>HYPERLINK("https://klasma.github.io/Logging_0980/artfynd/A 3324-2023 artfynd.xlsx", "A 3324-2023")</f>
        <v/>
      </c>
      <c r="T18">
        <f>HYPERLINK("https://klasma.github.io/Logging_0980/kartor/A 3324-2023 karta.png", "A 3324-2023")</f>
        <v/>
      </c>
      <c r="V18">
        <f>HYPERLINK("https://klasma.github.io/Logging_0980/klagomål/A 3324-2023 FSC-klagomål.docx", "A 3324-2023")</f>
        <v/>
      </c>
      <c r="W18">
        <f>HYPERLINK("https://klasma.github.io/Logging_0980/klagomålsmail/A 3324-2023 FSC-klagomål mail.docx", "A 3324-2023")</f>
        <v/>
      </c>
      <c r="X18">
        <f>HYPERLINK("https://klasma.github.io/Logging_0980/tillsyn/A 3324-2023 tillsynsbegäran.docx", "A 3324-2023")</f>
        <v/>
      </c>
      <c r="Y18">
        <f>HYPERLINK("https://klasma.github.io/Logging_0980/tillsynsmail/A 3324-2023 tillsynsbegäran mail.docx", "A 3324-2023")</f>
        <v/>
      </c>
    </row>
    <row r="19" ht="15" customHeight="1">
      <c r="A19" t="inlineStr">
        <is>
          <t>A 25252-2021</t>
        </is>
      </c>
      <c r="B19" s="1" t="n">
        <v>44342</v>
      </c>
      <c r="C19" s="1" t="n">
        <v>45294</v>
      </c>
      <c r="D19" t="inlineStr">
        <is>
          <t>GOTLANDS LÄN</t>
        </is>
      </c>
      <c r="E19" t="inlineStr">
        <is>
          <t>GOTLAND</t>
        </is>
      </c>
      <c r="G19" t="n">
        <v>4.3</v>
      </c>
      <c r="H19" t="n">
        <v>0</v>
      </c>
      <c r="I19" t="n">
        <v>2</v>
      </c>
      <c r="J19" t="n">
        <v>3</v>
      </c>
      <c r="K19" t="n">
        <v>5</v>
      </c>
      <c r="L19" t="n">
        <v>0</v>
      </c>
      <c r="M19" t="n">
        <v>0</v>
      </c>
      <c r="N19" t="n">
        <v>0</v>
      </c>
      <c r="O19" t="n">
        <v>9</v>
      </c>
      <c r="P19" t="n">
        <v>5</v>
      </c>
      <c r="Q19" t="n">
        <v>11</v>
      </c>
      <c r="R19" s="2" t="inlineStr">
        <is>
          <t>Granrotspindling
Gulsträngad fagerspindling
Narrspindling
Svartgrön spindling
Vit taggsvamp
Flattoppad klubbsvamp
Odörspindling
Orange taggsvamp
Trollspindling
Blå slemspindling
Fransig jordstjärna</t>
        </is>
      </c>
      <c r="S19">
        <f>HYPERLINK("https://klasma.github.io/Logging_0980/artfynd/A 25252-2021 artfynd.xlsx", "A 25252-2021")</f>
        <v/>
      </c>
      <c r="T19">
        <f>HYPERLINK("https://klasma.github.io/Logging_0980/kartor/A 25252-2021 karta.png", "A 25252-2021")</f>
        <v/>
      </c>
      <c r="V19">
        <f>HYPERLINK("https://klasma.github.io/Logging_0980/klagomål/A 25252-2021 FSC-klagomål.docx", "A 25252-2021")</f>
        <v/>
      </c>
      <c r="W19">
        <f>HYPERLINK("https://klasma.github.io/Logging_0980/klagomålsmail/A 25252-2021 FSC-klagomål mail.docx", "A 25252-2021")</f>
        <v/>
      </c>
      <c r="X19">
        <f>HYPERLINK("https://klasma.github.io/Logging_0980/tillsyn/A 25252-2021 tillsynsbegäran.docx", "A 25252-2021")</f>
        <v/>
      </c>
      <c r="Y19">
        <f>HYPERLINK("https://klasma.github.io/Logging_0980/tillsynsmail/A 25252-2021 tillsynsbegäran mail.docx", "A 25252-2021")</f>
        <v/>
      </c>
    </row>
    <row r="20" ht="15" customHeight="1">
      <c r="A20" t="inlineStr">
        <is>
          <t>A 62551-2022</t>
        </is>
      </c>
      <c r="B20" s="1" t="n">
        <v>44924</v>
      </c>
      <c r="C20" s="1" t="n">
        <v>45294</v>
      </c>
      <c r="D20" t="inlineStr">
        <is>
          <t>GOTLANDS LÄN</t>
        </is>
      </c>
      <c r="E20" t="inlineStr">
        <is>
          <t>GOTLAND</t>
        </is>
      </c>
      <c r="G20" t="n">
        <v>7.9</v>
      </c>
      <c r="H20" t="n">
        <v>0</v>
      </c>
      <c r="I20" t="n">
        <v>7</v>
      </c>
      <c r="J20" t="n">
        <v>2</v>
      </c>
      <c r="K20" t="n">
        <v>2</v>
      </c>
      <c r="L20" t="n">
        <v>0</v>
      </c>
      <c r="M20" t="n">
        <v>0</v>
      </c>
      <c r="N20" t="n">
        <v>0</v>
      </c>
      <c r="O20" t="n">
        <v>4</v>
      </c>
      <c r="P20" t="n">
        <v>2</v>
      </c>
      <c r="Q20" t="n">
        <v>11</v>
      </c>
      <c r="R20" s="2" t="inlineStr">
        <is>
          <t>Granrotspindling
Svartgrön spindling
Odörspindling
Äggspindling
Anisspindling
Blomkålssvamp
Blå slemspindling
Diskvaxskivling
Fransig jordstjärna
Kryddspindling
Rödgul trumpetsvamp</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43201-2023</t>
        </is>
      </c>
      <c r="B21" s="1" t="n">
        <v>45183</v>
      </c>
      <c r="C21" s="1" t="n">
        <v>45294</v>
      </c>
      <c r="D21" t="inlineStr">
        <is>
          <t>GOTLANDS LÄN</t>
        </is>
      </c>
      <c r="E21" t="inlineStr">
        <is>
          <t>GOTLAND</t>
        </is>
      </c>
      <c r="G21" t="n">
        <v>5.6</v>
      </c>
      <c r="H21" t="n">
        <v>0</v>
      </c>
      <c r="I21" t="n">
        <v>4</v>
      </c>
      <c r="J21" t="n">
        <v>2</v>
      </c>
      <c r="K21" t="n">
        <v>3</v>
      </c>
      <c r="L21" t="n">
        <v>1</v>
      </c>
      <c r="M21" t="n">
        <v>1</v>
      </c>
      <c r="N21" t="n">
        <v>0</v>
      </c>
      <c r="O21" t="n">
        <v>7</v>
      </c>
      <c r="P21" t="n">
        <v>5</v>
      </c>
      <c r="Q21" t="n">
        <v>11</v>
      </c>
      <c r="R21" s="2" t="inlineStr">
        <is>
          <t>Mörk lundlav
Norsk belonia
Almlav
Blek kraterlav
Mörk kraterlav
Lunglav
Skuggorangelav
Lönnlav
Rostfläck
Slät lönnlav
Vitskivlav</t>
        </is>
      </c>
      <c r="S21">
        <f>HYPERLINK("https://klasma.github.io/Logging_0980/artfynd/A 43201-2023 artfynd.xlsx", "A 43201-2023")</f>
        <v/>
      </c>
      <c r="T21">
        <f>HYPERLINK("https://klasma.github.io/Logging_0980/kartor/A 43201-2023 karta.png", "A 43201-2023")</f>
        <v/>
      </c>
      <c r="V21">
        <f>HYPERLINK("https://klasma.github.io/Logging_0980/klagomål/A 43201-2023 FSC-klagomål.docx", "A 43201-2023")</f>
        <v/>
      </c>
      <c r="W21">
        <f>HYPERLINK("https://klasma.github.io/Logging_0980/klagomålsmail/A 43201-2023 FSC-klagomål mail.docx", "A 43201-2023")</f>
        <v/>
      </c>
      <c r="X21">
        <f>HYPERLINK("https://klasma.github.io/Logging_0980/tillsyn/A 43201-2023 tillsynsbegäran.docx", "A 43201-2023")</f>
        <v/>
      </c>
      <c r="Y21">
        <f>HYPERLINK("https://klasma.github.io/Logging_0980/tillsynsmail/A 43201-2023 tillsynsbegäran mail.docx", "A 43201-2023")</f>
        <v/>
      </c>
    </row>
    <row r="22" ht="15" customHeight="1">
      <c r="A22" t="inlineStr">
        <is>
          <t>A 61697-2023</t>
        </is>
      </c>
      <c r="B22" s="1" t="n">
        <v>45265</v>
      </c>
      <c r="C22" s="1" t="n">
        <v>45294</v>
      </c>
      <c r="D22" t="inlineStr">
        <is>
          <t>GOTLANDS LÄN</t>
        </is>
      </c>
      <c r="E22" t="inlineStr">
        <is>
          <t>GOTLAND</t>
        </is>
      </c>
      <c r="G22" t="n">
        <v>8.699999999999999</v>
      </c>
      <c r="H22" t="n">
        <v>0</v>
      </c>
      <c r="I22" t="n">
        <v>1</v>
      </c>
      <c r="J22" t="n">
        <v>3</v>
      </c>
      <c r="K22" t="n">
        <v>7</v>
      </c>
      <c r="L22" t="n">
        <v>0</v>
      </c>
      <c r="M22" t="n">
        <v>0</v>
      </c>
      <c r="N22" t="n">
        <v>0</v>
      </c>
      <c r="O22" t="n">
        <v>10</v>
      </c>
      <c r="P22" t="n">
        <v>7</v>
      </c>
      <c r="Q22" t="n">
        <v>11</v>
      </c>
      <c r="R22" s="2" t="inlineStr">
        <is>
          <t>Duvspindling
Granrotspindling
Gulsträngad fagerspindling
Läderdoftande fingersvamp
Svartgrön spindling
Tallkejsarspindling
Violettrandad spindling
Gulfotad denisespindling
Odörspindling
Säfferot
Anisspindling</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922-2023</t>
        </is>
      </c>
      <c r="B23" s="1" t="n">
        <v>44932</v>
      </c>
      <c r="C23" s="1" t="n">
        <v>45294</v>
      </c>
      <c r="D23" t="inlineStr">
        <is>
          <t>GOTLANDS LÄN</t>
        </is>
      </c>
      <c r="E23" t="inlineStr">
        <is>
          <t>GOTLAND</t>
        </is>
      </c>
      <c r="G23" t="n">
        <v>6.9</v>
      </c>
      <c r="H23" t="n">
        <v>2</v>
      </c>
      <c r="I23" t="n">
        <v>5</v>
      </c>
      <c r="J23" t="n">
        <v>3</v>
      </c>
      <c r="K23" t="n">
        <v>2</v>
      </c>
      <c r="L23" t="n">
        <v>0</v>
      </c>
      <c r="M23" t="n">
        <v>0</v>
      </c>
      <c r="N23" t="n">
        <v>0</v>
      </c>
      <c r="O23" t="n">
        <v>5</v>
      </c>
      <c r="P23" t="n">
        <v>2</v>
      </c>
      <c r="Q23" t="n">
        <v>10</v>
      </c>
      <c r="R23" s="2" t="inlineStr">
        <is>
          <t>Läderdoftande fingersvamp
Tvillingspindling
Bredbrämad bastardsvärmare
Dårgräsfjäril
Odörspindling
Anisspindling
Olivspindling
Rödgul trumpetsvamp
Skogsknipprot
Svavelriska</t>
        </is>
      </c>
      <c r="S23">
        <f>HYPERLINK("https://klasma.github.io/Logging_0980/artfynd/A 922-2023 artfynd.xlsx", "A 922-2023")</f>
        <v/>
      </c>
      <c r="T23">
        <f>HYPERLINK("https://klasma.github.io/Logging_0980/kartor/A 922-2023 karta.png", "A 922-2023")</f>
        <v/>
      </c>
      <c r="V23">
        <f>HYPERLINK("https://klasma.github.io/Logging_0980/klagomål/A 922-2023 FSC-klagomål.docx", "A 922-2023")</f>
        <v/>
      </c>
      <c r="W23">
        <f>HYPERLINK("https://klasma.github.io/Logging_0980/klagomålsmail/A 922-2023 FSC-klagomål mail.docx", "A 922-2023")</f>
        <v/>
      </c>
      <c r="X23">
        <f>HYPERLINK("https://klasma.github.io/Logging_0980/tillsyn/A 922-2023 tillsynsbegäran.docx", "A 922-2023")</f>
        <v/>
      </c>
      <c r="Y23">
        <f>HYPERLINK("https://klasma.github.io/Logging_0980/tillsynsmail/A 922-2023 tillsynsbegäran mail.docx", "A 922-2023")</f>
        <v/>
      </c>
    </row>
    <row r="24" ht="15" customHeight="1">
      <c r="A24" t="inlineStr">
        <is>
          <t>A 51841-2018</t>
        </is>
      </c>
      <c r="B24" s="1" t="n">
        <v>43384</v>
      </c>
      <c r="C24" s="1" t="n">
        <v>45294</v>
      </c>
      <c r="D24" t="inlineStr">
        <is>
          <t>GOTLANDS LÄN</t>
        </is>
      </c>
      <c r="E24" t="inlineStr">
        <is>
          <t>GOTLAND</t>
        </is>
      </c>
      <c r="G24" t="n">
        <v>12.5</v>
      </c>
      <c r="H24" t="n">
        <v>0</v>
      </c>
      <c r="I24" t="n">
        <v>3</v>
      </c>
      <c r="J24" t="n">
        <v>1</v>
      </c>
      <c r="K24" t="n">
        <v>5</v>
      </c>
      <c r="L24" t="n">
        <v>0</v>
      </c>
      <c r="M24" t="n">
        <v>0</v>
      </c>
      <c r="N24" t="n">
        <v>0</v>
      </c>
      <c r="O24" t="n">
        <v>6</v>
      </c>
      <c r="P24" t="n">
        <v>5</v>
      </c>
      <c r="Q24" t="n">
        <v>9</v>
      </c>
      <c r="R24" s="2" t="inlineStr">
        <is>
          <t>Blyspindling agg.
Narrspindling
Stor odörspindling
Tvillingspindling
Vit taggsvamp
Svartkämpsjordloppa
Anisspindling
Blåmossa
Kattfotslav</t>
        </is>
      </c>
      <c r="S24">
        <f>HYPERLINK("https://klasma.github.io/Logging_0980/artfynd/A 51841-2018 artfynd.xlsx", "A 51841-2018")</f>
        <v/>
      </c>
      <c r="T24">
        <f>HYPERLINK("https://klasma.github.io/Logging_0980/kartor/A 51841-2018 karta.png", "A 51841-2018")</f>
        <v/>
      </c>
      <c r="V24">
        <f>HYPERLINK("https://klasma.github.io/Logging_0980/klagomål/A 51841-2018 FSC-klagomål.docx", "A 51841-2018")</f>
        <v/>
      </c>
      <c r="W24">
        <f>HYPERLINK("https://klasma.github.io/Logging_0980/klagomålsmail/A 51841-2018 FSC-klagomål mail.docx", "A 51841-2018")</f>
        <v/>
      </c>
      <c r="X24">
        <f>HYPERLINK("https://klasma.github.io/Logging_0980/tillsyn/A 51841-2018 tillsynsbegäran.docx", "A 51841-2018")</f>
        <v/>
      </c>
      <c r="Y24">
        <f>HYPERLINK("https://klasma.github.io/Logging_0980/tillsynsmail/A 51841-2018 tillsynsbegäran mail.docx", "A 51841-2018")</f>
        <v/>
      </c>
    </row>
    <row r="25" ht="15" customHeight="1">
      <c r="A25" t="inlineStr">
        <is>
          <t>A 53103-2021</t>
        </is>
      </c>
      <c r="B25" s="1" t="n">
        <v>44467</v>
      </c>
      <c r="C25" s="1" t="n">
        <v>45294</v>
      </c>
      <c r="D25" t="inlineStr">
        <is>
          <t>GOTLANDS LÄN</t>
        </is>
      </c>
      <c r="E25" t="inlineStr">
        <is>
          <t>GOTLAND</t>
        </is>
      </c>
      <c r="G25" t="n">
        <v>5.3</v>
      </c>
      <c r="H25" t="n">
        <v>4</v>
      </c>
      <c r="I25" t="n">
        <v>5</v>
      </c>
      <c r="J25" t="n">
        <v>2</v>
      </c>
      <c r="K25" t="n">
        <v>0</v>
      </c>
      <c r="L25" t="n">
        <v>0</v>
      </c>
      <c r="M25" t="n">
        <v>0</v>
      </c>
      <c r="N25" t="n">
        <v>0</v>
      </c>
      <c r="O25" t="n">
        <v>2</v>
      </c>
      <c r="P25" t="n">
        <v>0</v>
      </c>
      <c r="Q25" t="n">
        <v>9</v>
      </c>
      <c r="R25" s="2" t="inlineStr">
        <is>
          <t>Grönsångare
Sandviol
Björksplintborre
Blåmossa
Granbarkgnagare
Kattfotslav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row>
    <row r="26" ht="15" customHeight="1">
      <c r="A26" t="inlineStr">
        <is>
          <t>A 8915-2023</t>
        </is>
      </c>
      <c r="B26" s="1" t="n">
        <v>44973</v>
      </c>
      <c r="C26" s="1" t="n">
        <v>45294</v>
      </c>
      <c r="D26" t="inlineStr">
        <is>
          <t>GOTLANDS LÄN</t>
        </is>
      </c>
      <c r="E26" t="inlineStr">
        <is>
          <t>GOTLAND</t>
        </is>
      </c>
      <c r="G26" t="n">
        <v>3.3</v>
      </c>
      <c r="H26" t="n">
        <v>0</v>
      </c>
      <c r="I26" t="n">
        <v>3</v>
      </c>
      <c r="J26" t="n">
        <v>3</v>
      </c>
      <c r="K26" t="n">
        <v>3</v>
      </c>
      <c r="L26" t="n">
        <v>0</v>
      </c>
      <c r="M26" t="n">
        <v>0</v>
      </c>
      <c r="N26" t="n">
        <v>0</v>
      </c>
      <c r="O26" t="n">
        <v>6</v>
      </c>
      <c r="P26" t="n">
        <v>3</v>
      </c>
      <c r="Q26" t="n">
        <v>9</v>
      </c>
      <c r="R26" s="2" t="inlineStr">
        <is>
          <t>Gul lammticka
Lammticka
Tvillingspindling
Mjölsvärting
Odörspindling
Svart taggsvamp
Blå slemspindling
Fransig jordstjärna
Skarp dropptaggsvamp</t>
        </is>
      </c>
      <c r="S26">
        <f>HYPERLINK("https://klasma.github.io/Logging_0980/artfynd/A 8915-2023 artfynd.xlsx", "A 8915-2023")</f>
        <v/>
      </c>
      <c r="T26">
        <f>HYPERLINK("https://klasma.github.io/Logging_0980/kartor/A 8915-2023 karta.png", "A 8915-2023")</f>
        <v/>
      </c>
      <c r="V26">
        <f>HYPERLINK("https://klasma.github.io/Logging_0980/klagomål/A 8915-2023 FSC-klagomål.docx", "A 8915-2023")</f>
        <v/>
      </c>
      <c r="W26">
        <f>HYPERLINK("https://klasma.github.io/Logging_0980/klagomålsmail/A 8915-2023 FSC-klagomål mail.docx", "A 8915-2023")</f>
        <v/>
      </c>
      <c r="X26">
        <f>HYPERLINK("https://klasma.github.io/Logging_0980/tillsyn/A 8915-2023 tillsynsbegäran.docx", "A 8915-2023")</f>
        <v/>
      </c>
      <c r="Y26">
        <f>HYPERLINK("https://klasma.github.io/Logging_0980/tillsynsmail/A 8915-2023 tillsynsbegäran mail.docx", "A 8915-2023")</f>
        <v/>
      </c>
    </row>
    <row r="27" ht="15" customHeight="1">
      <c r="A27" t="inlineStr">
        <is>
          <t>A 64683-2023</t>
        </is>
      </c>
      <c r="B27" s="1" t="n">
        <v>45281</v>
      </c>
      <c r="C27" s="1" t="n">
        <v>45294</v>
      </c>
      <c r="D27" t="inlineStr">
        <is>
          <t>GOTLANDS LÄN</t>
        </is>
      </c>
      <c r="E27" t="inlineStr">
        <is>
          <t>GOTLAND</t>
        </is>
      </c>
      <c r="G27" t="n">
        <v>6.3</v>
      </c>
      <c r="H27" t="n">
        <v>0</v>
      </c>
      <c r="I27" t="n">
        <v>6</v>
      </c>
      <c r="J27" t="n">
        <v>1</v>
      </c>
      <c r="K27" t="n">
        <v>2</v>
      </c>
      <c r="L27" t="n">
        <v>0</v>
      </c>
      <c r="M27" t="n">
        <v>0</v>
      </c>
      <c r="N27" t="n">
        <v>0</v>
      </c>
      <c r="O27" t="n">
        <v>3</v>
      </c>
      <c r="P27" t="n">
        <v>2</v>
      </c>
      <c r="Q27" t="n">
        <v>9</v>
      </c>
      <c r="R27" s="2" t="inlineStr">
        <is>
          <t>Gulsträngad fagerspindling
Violettfläckig spindling
Odörspindling
Anisspindling
Blå slemspindling
Grönpyrola
Olivspindling
Rödgul trumpetsvamp
Rökmusseron</t>
        </is>
      </c>
      <c r="S27">
        <f>HYPERLINK("https://klasma.github.io/Logging_0980/artfynd/A 64683-2023 artfynd.xlsx", "A 64683-2023")</f>
        <v/>
      </c>
      <c r="T27">
        <f>HYPERLINK("https://klasma.github.io/Logging_0980/kartor/A 64683-2023 karta.png", "A 64683-2023")</f>
        <v/>
      </c>
      <c r="V27">
        <f>HYPERLINK("https://klasma.github.io/Logging_0980/klagomål/A 64683-2023 FSC-klagomål.docx", "A 64683-2023")</f>
        <v/>
      </c>
      <c r="W27">
        <f>HYPERLINK("https://klasma.github.io/Logging_0980/klagomålsmail/A 64683-2023 FSC-klagomål mail.docx", "A 64683-2023")</f>
        <v/>
      </c>
      <c r="X27">
        <f>HYPERLINK("https://klasma.github.io/Logging_0980/tillsyn/A 64683-2023 tillsynsbegäran.docx", "A 64683-2023")</f>
        <v/>
      </c>
      <c r="Y27">
        <f>HYPERLINK("https://klasma.github.io/Logging_0980/tillsynsmail/A 64683-2023 tillsynsbegäran mail.docx", "A 64683-2023")</f>
        <v/>
      </c>
    </row>
    <row r="28" ht="15" customHeight="1">
      <c r="A28" t="inlineStr">
        <is>
          <t>A 58504-2018</t>
        </is>
      </c>
      <c r="B28" s="1" t="n">
        <v>43409</v>
      </c>
      <c r="C28" s="1" t="n">
        <v>45294</v>
      </c>
      <c r="D28" t="inlineStr">
        <is>
          <t>GOTLANDS LÄN</t>
        </is>
      </c>
      <c r="E28" t="inlineStr">
        <is>
          <t>GOTLAND</t>
        </is>
      </c>
      <c r="G28" t="n">
        <v>7.9</v>
      </c>
      <c r="H28" t="n">
        <v>5</v>
      </c>
      <c r="I28" t="n">
        <v>2</v>
      </c>
      <c r="J28" t="n">
        <v>3</v>
      </c>
      <c r="K28" t="n">
        <v>0</v>
      </c>
      <c r="L28" t="n">
        <v>0</v>
      </c>
      <c r="M28" t="n">
        <v>0</v>
      </c>
      <c r="N28" t="n">
        <v>0</v>
      </c>
      <c r="O28" t="n">
        <v>3</v>
      </c>
      <c r="P28" t="n">
        <v>0</v>
      </c>
      <c r="Q28" t="n">
        <v>8</v>
      </c>
      <c r="R28" s="2" t="inlineStr">
        <is>
          <t>Buskskvätta
Luktsporre
Majviva
Axag
Kärrlilja
Brudsporre
Kärrknipprot
Blåsippa</t>
        </is>
      </c>
      <c r="S28">
        <f>HYPERLINK("https://klasma.github.io/Logging_0980/artfynd/A 58504-2018 artfynd.xlsx", "A 58504-2018")</f>
        <v/>
      </c>
      <c r="T28">
        <f>HYPERLINK("https://klasma.github.io/Logging_0980/kartor/A 58504-2018 karta.png", "A 58504-2018")</f>
        <v/>
      </c>
      <c r="V28">
        <f>HYPERLINK("https://klasma.github.io/Logging_0980/klagomål/A 58504-2018 FSC-klagomål.docx", "A 58504-2018")</f>
        <v/>
      </c>
      <c r="W28">
        <f>HYPERLINK("https://klasma.github.io/Logging_0980/klagomålsmail/A 58504-2018 FSC-klagomål mail.docx", "A 58504-2018")</f>
        <v/>
      </c>
      <c r="X28">
        <f>HYPERLINK("https://klasma.github.io/Logging_0980/tillsyn/A 58504-2018 tillsynsbegäran.docx", "A 58504-2018")</f>
        <v/>
      </c>
      <c r="Y28">
        <f>HYPERLINK("https://klasma.github.io/Logging_0980/tillsynsmail/A 58504-2018 tillsynsbegäran mail.docx", "A 58504-2018")</f>
        <v/>
      </c>
    </row>
    <row r="29" ht="15" customHeight="1">
      <c r="A29" t="inlineStr">
        <is>
          <t>A 455-2020</t>
        </is>
      </c>
      <c r="B29" s="1" t="n">
        <v>43837</v>
      </c>
      <c r="C29" s="1" t="n">
        <v>45294</v>
      </c>
      <c r="D29" t="inlineStr">
        <is>
          <t>GOTLANDS LÄN</t>
        </is>
      </c>
      <c r="E29" t="inlineStr">
        <is>
          <t>GOTLAND</t>
        </is>
      </c>
      <c r="G29" t="n">
        <v>7.9</v>
      </c>
      <c r="H29" t="n">
        <v>0</v>
      </c>
      <c r="I29" t="n">
        <v>4</v>
      </c>
      <c r="J29" t="n">
        <v>2</v>
      </c>
      <c r="K29" t="n">
        <v>2</v>
      </c>
      <c r="L29" t="n">
        <v>0</v>
      </c>
      <c r="M29" t="n">
        <v>0</v>
      </c>
      <c r="N29" t="n">
        <v>0</v>
      </c>
      <c r="O29" t="n">
        <v>4</v>
      </c>
      <c r="P29" t="n">
        <v>2</v>
      </c>
      <c r="Q29" t="n">
        <v>8</v>
      </c>
      <c r="R29" s="2" t="inlineStr">
        <is>
          <t>Duvspindling
Violettfläckig spindling
Odörspindling
Äggspindling
Anisspindling
Blå slemspindling
Fjällig taggsvamp s.str.
Svavelriska</t>
        </is>
      </c>
      <c r="S29">
        <f>HYPERLINK("https://klasma.github.io/Logging_0980/artfynd/A 455-2020 artfynd.xlsx", "A 455-2020")</f>
        <v/>
      </c>
      <c r="T29">
        <f>HYPERLINK("https://klasma.github.io/Logging_0980/kartor/A 455-2020 karta.png", "A 455-2020")</f>
        <v/>
      </c>
      <c r="V29">
        <f>HYPERLINK("https://klasma.github.io/Logging_0980/klagomål/A 455-2020 FSC-klagomål.docx", "A 455-2020")</f>
        <v/>
      </c>
      <c r="W29">
        <f>HYPERLINK("https://klasma.github.io/Logging_0980/klagomålsmail/A 455-2020 FSC-klagomål mail.docx", "A 455-2020")</f>
        <v/>
      </c>
      <c r="X29">
        <f>HYPERLINK("https://klasma.github.io/Logging_0980/tillsyn/A 455-2020 tillsynsbegäran.docx", "A 455-2020")</f>
        <v/>
      </c>
      <c r="Y29">
        <f>HYPERLINK("https://klasma.github.io/Logging_0980/tillsynsmail/A 455-2020 tillsynsbegäran mail.docx", "A 455-2020")</f>
        <v/>
      </c>
    </row>
    <row r="30" ht="15" customHeight="1">
      <c r="A30" t="inlineStr">
        <is>
          <t>A 10699-2020</t>
        </is>
      </c>
      <c r="B30" s="1" t="n">
        <v>43888</v>
      </c>
      <c r="C30" s="1" t="n">
        <v>45294</v>
      </c>
      <c r="D30" t="inlineStr">
        <is>
          <t>GOTLANDS LÄN</t>
        </is>
      </c>
      <c r="E30" t="inlineStr">
        <is>
          <t>GOTLAND</t>
        </is>
      </c>
      <c r="F30" t="inlineStr">
        <is>
          <t>Övriga statliga verk och myndigheter</t>
        </is>
      </c>
      <c r="G30" t="n">
        <v>51.4</v>
      </c>
      <c r="H30" t="n">
        <v>6</v>
      </c>
      <c r="I30" t="n">
        <v>3</v>
      </c>
      <c r="J30" t="n">
        <v>3</v>
      </c>
      <c r="K30" t="n">
        <v>0</v>
      </c>
      <c r="L30" t="n">
        <v>0</v>
      </c>
      <c r="M30" t="n">
        <v>0</v>
      </c>
      <c r="N30" t="n">
        <v>0</v>
      </c>
      <c r="O30" t="n">
        <v>3</v>
      </c>
      <c r="P30" t="n">
        <v>0</v>
      </c>
      <c r="Q30" t="n">
        <v>8</v>
      </c>
      <c r="R30" s="2" t="inlineStr">
        <is>
          <t>Luktsporre
Röd skogslilja
Småtörel
Anisspindling
Nästrot
Purpurknipprot
Fläcknycklar
Kärrknipprot</t>
        </is>
      </c>
      <c r="S30">
        <f>HYPERLINK("https://klasma.github.io/Logging_0980/artfynd/A 10699-2020 artfynd.xlsx", "A 10699-2020")</f>
        <v/>
      </c>
      <c r="T30">
        <f>HYPERLINK("https://klasma.github.io/Logging_0980/kartor/A 10699-2020 karta.png", "A 10699-2020")</f>
        <v/>
      </c>
      <c r="V30">
        <f>HYPERLINK("https://klasma.github.io/Logging_0980/klagomål/A 10699-2020 FSC-klagomål.docx", "A 10699-2020")</f>
        <v/>
      </c>
      <c r="W30">
        <f>HYPERLINK("https://klasma.github.io/Logging_0980/klagomålsmail/A 10699-2020 FSC-klagomål mail.docx", "A 10699-2020")</f>
        <v/>
      </c>
      <c r="X30">
        <f>HYPERLINK("https://klasma.github.io/Logging_0980/tillsyn/A 10699-2020 tillsynsbegäran.docx", "A 10699-2020")</f>
        <v/>
      </c>
      <c r="Y30">
        <f>HYPERLINK("https://klasma.github.io/Logging_0980/tillsynsmail/A 10699-2020 tillsynsbegäran mail.docx", "A 10699-2020")</f>
        <v/>
      </c>
    </row>
    <row r="31" ht="15" customHeight="1">
      <c r="A31" t="inlineStr">
        <is>
          <t>A 21371-2020</t>
        </is>
      </c>
      <c r="B31" s="1" t="n">
        <v>43955</v>
      </c>
      <c r="C31" s="1" t="n">
        <v>45294</v>
      </c>
      <c r="D31" t="inlineStr">
        <is>
          <t>GOTLANDS LÄN</t>
        </is>
      </c>
      <c r="E31" t="inlineStr">
        <is>
          <t>GOTLAND</t>
        </is>
      </c>
      <c r="G31" t="n">
        <v>2</v>
      </c>
      <c r="H31" t="n">
        <v>0</v>
      </c>
      <c r="I31" t="n">
        <v>5</v>
      </c>
      <c r="J31" t="n">
        <v>0</v>
      </c>
      <c r="K31" t="n">
        <v>3</v>
      </c>
      <c r="L31" t="n">
        <v>0</v>
      </c>
      <c r="M31" t="n">
        <v>0</v>
      </c>
      <c r="N31" t="n">
        <v>0</v>
      </c>
      <c r="O31" t="n">
        <v>3</v>
      </c>
      <c r="P31" t="n">
        <v>3</v>
      </c>
      <c r="Q31" t="n">
        <v>8</v>
      </c>
      <c r="R31" s="2" t="inlineStr">
        <is>
          <t>Gulsträngad fagerspindling
Mörkfjällig olivspindling
Violettfläckig spindling
Anisspindling
Blå slemspindling
Fjällig taggsvamp s.str.
Kryddspindling
Olivspindling</t>
        </is>
      </c>
      <c r="S31">
        <f>HYPERLINK("https://klasma.github.io/Logging_0980/artfynd/A 21371-2020 artfynd.xlsx", "A 21371-2020")</f>
        <v/>
      </c>
      <c r="T31">
        <f>HYPERLINK("https://klasma.github.io/Logging_0980/kartor/A 21371-2020 karta.png", "A 21371-2020")</f>
        <v/>
      </c>
      <c r="V31">
        <f>HYPERLINK("https://klasma.github.io/Logging_0980/klagomål/A 21371-2020 FSC-klagomål.docx", "A 21371-2020")</f>
        <v/>
      </c>
      <c r="W31">
        <f>HYPERLINK("https://klasma.github.io/Logging_0980/klagomålsmail/A 21371-2020 FSC-klagomål mail.docx", "A 21371-2020")</f>
        <v/>
      </c>
      <c r="X31">
        <f>HYPERLINK("https://klasma.github.io/Logging_0980/tillsyn/A 21371-2020 tillsynsbegäran.docx", "A 21371-2020")</f>
        <v/>
      </c>
      <c r="Y31">
        <f>HYPERLINK("https://klasma.github.io/Logging_0980/tillsynsmail/A 21371-2020 tillsynsbegäran mail.docx", "A 21371-2020")</f>
        <v/>
      </c>
    </row>
    <row r="32" ht="15" customHeight="1">
      <c r="A32" t="inlineStr">
        <is>
          <t>A 1769-2022</t>
        </is>
      </c>
      <c r="B32" s="1" t="n">
        <v>44574</v>
      </c>
      <c r="C32" s="1" t="n">
        <v>45294</v>
      </c>
      <c r="D32" t="inlineStr">
        <is>
          <t>GOTLANDS LÄN</t>
        </is>
      </c>
      <c r="E32" t="inlineStr">
        <is>
          <t>GOTLAND</t>
        </is>
      </c>
      <c r="G32" t="n">
        <v>31.3</v>
      </c>
      <c r="H32" t="n">
        <v>5</v>
      </c>
      <c r="I32" t="n">
        <v>1</v>
      </c>
      <c r="J32" t="n">
        <v>3</v>
      </c>
      <c r="K32" t="n">
        <v>0</v>
      </c>
      <c r="L32" t="n">
        <v>0</v>
      </c>
      <c r="M32" t="n">
        <v>0</v>
      </c>
      <c r="N32" t="n">
        <v>0</v>
      </c>
      <c r="O32" t="n">
        <v>3</v>
      </c>
      <c r="P32" t="n">
        <v>0</v>
      </c>
      <c r="Q32" t="n">
        <v>8</v>
      </c>
      <c r="R32" s="2" t="inlineStr">
        <is>
          <t>Loppstarr
Majviva
Ängsstarr
Flugblomster
Brudsporre
Dactylorhiza incarnata subsp. incarnata
Grönvit nattviol
Kärrknipprot</t>
        </is>
      </c>
      <c r="S32">
        <f>HYPERLINK("https://klasma.github.io/Logging_0980/artfynd/A 1769-2022 artfynd.xlsx", "A 1769-2022")</f>
        <v/>
      </c>
      <c r="T32">
        <f>HYPERLINK("https://klasma.github.io/Logging_0980/kartor/A 1769-2022 karta.png", "A 1769-2022")</f>
        <v/>
      </c>
      <c r="V32">
        <f>HYPERLINK("https://klasma.github.io/Logging_0980/klagomål/A 1769-2022 FSC-klagomål.docx", "A 1769-2022")</f>
        <v/>
      </c>
      <c r="W32">
        <f>HYPERLINK("https://klasma.github.io/Logging_0980/klagomålsmail/A 1769-2022 FSC-klagomål mail.docx", "A 1769-2022")</f>
        <v/>
      </c>
      <c r="X32">
        <f>HYPERLINK("https://klasma.github.io/Logging_0980/tillsyn/A 1769-2022 tillsynsbegäran.docx", "A 1769-2022")</f>
        <v/>
      </c>
      <c r="Y32">
        <f>HYPERLINK("https://klasma.github.io/Logging_0980/tillsynsmail/A 1769-2022 tillsynsbegäran mail.docx", "A 1769-2022")</f>
        <v/>
      </c>
    </row>
    <row r="33" ht="15" customHeight="1">
      <c r="A33" t="inlineStr">
        <is>
          <t>A 22318-2022</t>
        </is>
      </c>
      <c r="B33" s="1" t="n">
        <v>44712</v>
      </c>
      <c r="C33" s="1" t="n">
        <v>45294</v>
      </c>
      <c r="D33" t="inlineStr">
        <is>
          <t>GOTLANDS LÄN</t>
        </is>
      </c>
      <c r="E33" t="inlineStr">
        <is>
          <t>GOTLAND</t>
        </is>
      </c>
      <c r="G33" t="n">
        <v>3</v>
      </c>
      <c r="H33" t="n">
        <v>0</v>
      </c>
      <c r="I33" t="n">
        <v>4</v>
      </c>
      <c r="J33" t="n">
        <v>2</v>
      </c>
      <c r="K33" t="n">
        <v>2</v>
      </c>
      <c r="L33" t="n">
        <v>0</v>
      </c>
      <c r="M33" t="n">
        <v>0</v>
      </c>
      <c r="N33" t="n">
        <v>0</v>
      </c>
      <c r="O33" t="n">
        <v>4</v>
      </c>
      <c r="P33" t="n">
        <v>2</v>
      </c>
      <c r="Q33" t="n">
        <v>8</v>
      </c>
      <c r="R33" s="2" t="inlineStr">
        <is>
          <t>Duvspindling
Mörk kraterlav
Odörspindling
Svinrot
Anisspindling
Blå slemspindling
Rödgul trumpetsvamp
Svavelriska</t>
        </is>
      </c>
      <c r="S33">
        <f>HYPERLINK("https://klasma.github.io/Logging_0980/artfynd/A 22318-2022 artfynd.xlsx", "A 22318-2022")</f>
        <v/>
      </c>
      <c r="T33">
        <f>HYPERLINK("https://klasma.github.io/Logging_0980/kartor/A 22318-2022 karta.png", "A 22318-2022")</f>
        <v/>
      </c>
      <c r="V33">
        <f>HYPERLINK("https://klasma.github.io/Logging_0980/klagomål/A 22318-2022 FSC-klagomål.docx", "A 22318-2022")</f>
        <v/>
      </c>
      <c r="W33">
        <f>HYPERLINK("https://klasma.github.io/Logging_0980/klagomålsmail/A 22318-2022 FSC-klagomål mail.docx", "A 22318-2022")</f>
        <v/>
      </c>
      <c r="X33">
        <f>HYPERLINK("https://klasma.github.io/Logging_0980/tillsyn/A 22318-2022 tillsynsbegäran.docx", "A 22318-2022")</f>
        <v/>
      </c>
      <c r="Y33">
        <f>HYPERLINK("https://klasma.github.io/Logging_0980/tillsynsmail/A 22318-2022 tillsynsbegäran mail.docx", "A 22318-2022")</f>
        <v/>
      </c>
    </row>
    <row r="34" ht="15" customHeight="1">
      <c r="A34" t="inlineStr">
        <is>
          <t>A 7039-2023</t>
        </is>
      </c>
      <c r="B34" s="1" t="n">
        <v>44968</v>
      </c>
      <c r="C34" s="1" t="n">
        <v>45294</v>
      </c>
      <c r="D34" t="inlineStr">
        <is>
          <t>GOTLANDS LÄN</t>
        </is>
      </c>
      <c r="E34" t="inlineStr">
        <is>
          <t>GOTLAND</t>
        </is>
      </c>
      <c r="G34" t="n">
        <v>2.9</v>
      </c>
      <c r="H34" t="n">
        <v>1</v>
      </c>
      <c r="I34" t="n">
        <v>3</v>
      </c>
      <c r="J34" t="n">
        <v>1</v>
      </c>
      <c r="K34" t="n">
        <v>1</v>
      </c>
      <c r="L34" t="n">
        <v>1</v>
      </c>
      <c r="M34" t="n">
        <v>1</v>
      </c>
      <c r="N34" t="n">
        <v>0</v>
      </c>
      <c r="O34" t="n">
        <v>5</v>
      </c>
      <c r="P34" t="n">
        <v>3</v>
      </c>
      <c r="Q34" t="n">
        <v>8</v>
      </c>
      <c r="R34" s="2" t="inlineStr">
        <is>
          <t>Stor blanklav
Ädellav
Mörk kraterlav
Dårgräsfjäril
Frostig asplav
Havstulpanlav
Klippfrullania
Stubbspretmossa</t>
        </is>
      </c>
      <c r="S34">
        <f>HYPERLINK("https://klasma.github.io/Logging_0980/artfynd/A 7039-2023 artfynd.xlsx", "A 7039-2023")</f>
        <v/>
      </c>
      <c r="T34">
        <f>HYPERLINK("https://klasma.github.io/Logging_0980/kartor/A 7039-2023 karta.png", "A 7039-2023")</f>
        <v/>
      </c>
      <c r="V34">
        <f>HYPERLINK("https://klasma.github.io/Logging_0980/klagomål/A 7039-2023 FSC-klagomål.docx", "A 7039-2023")</f>
        <v/>
      </c>
      <c r="W34">
        <f>HYPERLINK("https://klasma.github.io/Logging_0980/klagomålsmail/A 7039-2023 FSC-klagomål mail.docx", "A 7039-2023")</f>
        <v/>
      </c>
      <c r="X34">
        <f>HYPERLINK("https://klasma.github.io/Logging_0980/tillsyn/A 7039-2023 tillsynsbegäran.docx", "A 7039-2023")</f>
        <v/>
      </c>
      <c r="Y34">
        <f>HYPERLINK("https://klasma.github.io/Logging_0980/tillsynsmail/A 7039-2023 tillsynsbegäran mail.docx", "A 7039-2023")</f>
        <v/>
      </c>
    </row>
    <row r="35" ht="15" customHeight="1">
      <c r="A35" t="inlineStr">
        <is>
          <t>A 54797-2023</t>
        </is>
      </c>
      <c r="B35" s="1" t="n">
        <v>45236</v>
      </c>
      <c r="C35" s="1" t="n">
        <v>45294</v>
      </c>
      <c r="D35" t="inlineStr">
        <is>
          <t>GOTLANDS LÄN</t>
        </is>
      </c>
      <c r="E35" t="inlineStr">
        <is>
          <t>GOTLAND</t>
        </is>
      </c>
      <c r="G35" t="n">
        <v>4.2</v>
      </c>
      <c r="H35" t="n">
        <v>1</v>
      </c>
      <c r="I35" t="n">
        <v>4</v>
      </c>
      <c r="J35" t="n">
        <v>3</v>
      </c>
      <c r="K35" t="n">
        <v>0</v>
      </c>
      <c r="L35" t="n">
        <v>0</v>
      </c>
      <c r="M35" t="n">
        <v>0</v>
      </c>
      <c r="N35" t="n">
        <v>0</v>
      </c>
      <c r="O35" t="n">
        <v>3</v>
      </c>
      <c r="P35" t="n">
        <v>0</v>
      </c>
      <c r="Q35" t="n">
        <v>8</v>
      </c>
      <c r="R35" s="2" t="inlineStr">
        <is>
          <t>Gulfotad denisespindling
Odörspindling
Svinrot
Anisspindling
Blåmossa
Kattfotslav
Rödgul trumpetsvamp
Sankt pers nycklar</t>
        </is>
      </c>
      <c r="S35">
        <f>HYPERLINK("https://klasma.github.io/Logging_0980/artfynd/A 54797-2023 artfynd.xlsx", "A 54797-2023")</f>
        <v/>
      </c>
      <c r="T35">
        <f>HYPERLINK("https://klasma.github.io/Logging_0980/kartor/A 54797-2023 karta.png", "A 54797-2023")</f>
        <v/>
      </c>
      <c r="V35">
        <f>HYPERLINK("https://klasma.github.io/Logging_0980/klagomål/A 54797-2023 FSC-klagomål.docx", "A 54797-2023")</f>
        <v/>
      </c>
      <c r="W35">
        <f>HYPERLINK("https://klasma.github.io/Logging_0980/klagomålsmail/A 54797-2023 FSC-klagomål mail.docx", "A 54797-2023")</f>
        <v/>
      </c>
      <c r="X35">
        <f>HYPERLINK("https://klasma.github.io/Logging_0980/tillsyn/A 54797-2023 tillsynsbegäran.docx", "A 54797-2023")</f>
        <v/>
      </c>
      <c r="Y35">
        <f>HYPERLINK("https://klasma.github.io/Logging_0980/tillsynsmail/A 54797-2023 tillsynsbegäran mail.docx", "A 54797-2023")</f>
        <v/>
      </c>
    </row>
    <row r="36" ht="15" customHeight="1">
      <c r="A36" t="inlineStr">
        <is>
          <t>A 17551-2019</t>
        </is>
      </c>
      <c r="B36" s="1" t="n">
        <v>43553</v>
      </c>
      <c r="C36" s="1" t="n">
        <v>45294</v>
      </c>
      <c r="D36" t="inlineStr">
        <is>
          <t>GOTLANDS LÄN</t>
        </is>
      </c>
      <c r="E36" t="inlineStr">
        <is>
          <t>GOTLAND</t>
        </is>
      </c>
      <c r="G36" t="n">
        <v>6.2</v>
      </c>
      <c r="H36" t="n">
        <v>0</v>
      </c>
      <c r="I36" t="n">
        <v>2</v>
      </c>
      <c r="J36" t="n">
        <v>1</v>
      </c>
      <c r="K36" t="n">
        <v>4</v>
      </c>
      <c r="L36" t="n">
        <v>0</v>
      </c>
      <c r="M36" t="n">
        <v>0</v>
      </c>
      <c r="N36" t="n">
        <v>0</v>
      </c>
      <c r="O36" t="n">
        <v>5</v>
      </c>
      <c r="P36" t="n">
        <v>4</v>
      </c>
      <c r="Q36" t="n">
        <v>7</v>
      </c>
      <c r="R36" s="2" t="inlineStr">
        <is>
          <t>Duvspindling
Gul lammticka
Svartgrön spindling
Violettfläckig spindling
Kandelabersvamp
Blå slemspindling
Svavelriska</t>
        </is>
      </c>
      <c r="S36">
        <f>HYPERLINK("https://klasma.github.io/Logging_0980/artfynd/A 17551-2019 artfynd.xlsx", "A 17551-2019")</f>
        <v/>
      </c>
      <c r="T36">
        <f>HYPERLINK("https://klasma.github.io/Logging_0980/kartor/A 17551-2019 karta.png", "A 17551-2019")</f>
        <v/>
      </c>
      <c r="V36">
        <f>HYPERLINK("https://klasma.github.io/Logging_0980/klagomål/A 17551-2019 FSC-klagomål.docx", "A 17551-2019")</f>
        <v/>
      </c>
      <c r="W36">
        <f>HYPERLINK("https://klasma.github.io/Logging_0980/klagomålsmail/A 17551-2019 FSC-klagomål mail.docx", "A 17551-2019")</f>
        <v/>
      </c>
      <c r="X36">
        <f>HYPERLINK("https://klasma.github.io/Logging_0980/tillsyn/A 17551-2019 tillsynsbegäran.docx", "A 17551-2019")</f>
        <v/>
      </c>
      <c r="Y36">
        <f>HYPERLINK("https://klasma.github.io/Logging_0980/tillsynsmail/A 17551-2019 tillsynsbegäran mail.docx", "A 17551-2019")</f>
        <v/>
      </c>
    </row>
    <row r="37" ht="15" customHeight="1">
      <c r="A37" t="inlineStr">
        <is>
          <t>A 13990-2020</t>
        </is>
      </c>
      <c r="B37" s="1" t="n">
        <v>43906</v>
      </c>
      <c r="C37" s="1" t="n">
        <v>45294</v>
      </c>
      <c r="D37" t="inlineStr">
        <is>
          <t>GOTLANDS LÄN</t>
        </is>
      </c>
      <c r="E37" t="inlineStr">
        <is>
          <t>GOTLAND</t>
        </is>
      </c>
      <c r="F37" t="inlineStr">
        <is>
          <t>Övriga Aktiebolag</t>
        </is>
      </c>
      <c r="G37" t="n">
        <v>2.3</v>
      </c>
      <c r="H37" t="n">
        <v>1</v>
      </c>
      <c r="I37" t="n">
        <v>3</v>
      </c>
      <c r="J37" t="n">
        <v>1</v>
      </c>
      <c r="K37" t="n">
        <v>1</v>
      </c>
      <c r="L37" t="n">
        <v>2</v>
      </c>
      <c r="M37" t="n">
        <v>0</v>
      </c>
      <c r="N37" t="n">
        <v>0</v>
      </c>
      <c r="O37" t="n">
        <v>4</v>
      </c>
      <c r="P37" t="n">
        <v>3</v>
      </c>
      <c r="Q37" t="n">
        <v>7</v>
      </c>
      <c r="R37" s="2" t="inlineStr">
        <is>
          <t>Norsk belonia
Ädellav
Gulbrunt nejlikfly
Lordithon pulchellus
Dorcatoma dresdensis
Nästrot
Rikfruktig blemlav</t>
        </is>
      </c>
      <c r="S37">
        <f>HYPERLINK("https://klasma.github.io/Logging_0980/artfynd/A 13990-2020 artfynd.xlsx", "A 13990-2020")</f>
        <v/>
      </c>
      <c r="T37">
        <f>HYPERLINK("https://klasma.github.io/Logging_0980/kartor/A 13990-2020 karta.png", "A 13990-2020")</f>
        <v/>
      </c>
      <c r="V37">
        <f>HYPERLINK("https://klasma.github.io/Logging_0980/klagomål/A 13990-2020 FSC-klagomål.docx", "A 13990-2020")</f>
        <v/>
      </c>
      <c r="W37">
        <f>HYPERLINK("https://klasma.github.io/Logging_0980/klagomålsmail/A 13990-2020 FSC-klagomål mail.docx", "A 13990-2020")</f>
        <v/>
      </c>
      <c r="X37">
        <f>HYPERLINK("https://klasma.github.io/Logging_0980/tillsyn/A 13990-2020 tillsynsbegäran.docx", "A 13990-2020")</f>
        <v/>
      </c>
      <c r="Y37">
        <f>HYPERLINK("https://klasma.github.io/Logging_0980/tillsynsmail/A 13990-2020 tillsynsbegäran mail.docx", "A 13990-2020")</f>
        <v/>
      </c>
    </row>
    <row r="38" ht="15" customHeight="1">
      <c r="A38" t="inlineStr">
        <is>
          <t>A 25887-2020</t>
        </is>
      </c>
      <c r="B38" s="1" t="n">
        <v>43984</v>
      </c>
      <c r="C38" s="1" t="n">
        <v>45294</v>
      </c>
      <c r="D38" t="inlineStr">
        <is>
          <t>GOTLANDS LÄN</t>
        </is>
      </c>
      <c r="E38" t="inlineStr">
        <is>
          <t>GOTLAND</t>
        </is>
      </c>
      <c r="G38" t="n">
        <v>4.7</v>
      </c>
      <c r="H38" t="n">
        <v>1</v>
      </c>
      <c r="I38" t="n">
        <v>4</v>
      </c>
      <c r="J38" t="n">
        <v>1</v>
      </c>
      <c r="K38" t="n">
        <v>2</v>
      </c>
      <c r="L38" t="n">
        <v>0</v>
      </c>
      <c r="M38" t="n">
        <v>0</v>
      </c>
      <c r="N38" t="n">
        <v>0</v>
      </c>
      <c r="O38" t="n">
        <v>3</v>
      </c>
      <c r="P38" t="n">
        <v>2</v>
      </c>
      <c r="Q38" t="n">
        <v>7</v>
      </c>
      <c r="R38" s="2" t="inlineStr">
        <is>
          <t>Pluggtrattskivling
Svartgrön spindling
Odörspindling
Anisspindling
Blå slemspindling
Fjällig taggsvamp s.str.
Nästrot</t>
        </is>
      </c>
      <c r="S38">
        <f>HYPERLINK("https://klasma.github.io/Logging_0980/artfynd/A 25887-2020 artfynd.xlsx", "A 25887-2020")</f>
        <v/>
      </c>
      <c r="T38">
        <f>HYPERLINK("https://klasma.github.io/Logging_0980/kartor/A 25887-2020 karta.png", "A 25887-2020")</f>
        <v/>
      </c>
      <c r="V38">
        <f>HYPERLINK("https://klasma.github.io/Logging_0980/klagomål/A 25887-2020 FSC-klagomål.docx", "A 25887-2020")</f>
        <v/>
      </c>
      <c r="W38">
        <f>HYPERLINK("https://klasma.github.io/Logging_0980/klagomålsmail/A 25887-2020 FSC-klagomål mail.docx", "A 25887-2020")</f>
        <v/>
      </c>
      <c r="X38">
        <f>HYPERLINK("https://klasma.github.io/Logging_0980/tillsyn/A 25887-2020 tillsynsbegäran.docx", "A 25887-2020")</f>
        <v/>
      </c>
      <c r="Y38">
        <f>HYPERLINK("https://klasma.github.io/Logging_0980/tillsynsmail/A 25887-2020 tillsynsbegäran mail.docx", "A 25887-2020")</f>
        <v/>
      </c>
    </row>
    <row r="39" ht="15" customHeight="1">
      <c r="A39" t="inlineStr">
        <is>
          <t>A 62132-2023</t>
        </is>
      </c>
      <c r="B39" s="1" t="n">
        <v>45267</v>
      </c>
      <c r="C39" s="1" t="n">
        <v>45294</v>
      </c>
      <c r="D39" t="inlineStr">
        <is>
          <t>GOTLANDS LÄN</t>
        </is>
      </c>
      <c r="E39" t="inlineStr">
        <is>
          <t>GOTLAND</t>
        </is>
      </c>
      <c r="G39" t="n">
        <v>13.9</v>
      </c>
      <c r="H39" t="n">
        <v>2</v>
      </c>
      <c r="I39" t="n">
        <v>4</v>
      </c>
      <c r="J39" t="n">
        <v>2</v>
      </c>
      <c r="K39" t="n">
        <v>1</v>
      </c>
      <c r="L39" t="n">
        <v>0</v>
      </c>
      <c r="M39" t="n">
        <v>0</v>
      </c>
      <c r="N39" t="n">
        <v>0</v>
      </c>
      <c r="O39" t="n">
        <v>3</v>
      </c>
      <c r="P39" t="n">
        <v>1</v>
      </c>
      <c r="Q39" t="n">
        <v>7</v>
      </c>
      <c r="R39" s="2" t="inlineStr">
        <is>
          <t>Vit taggsvamp
Dårgräsfjäril
Jordtistel
Blå slemspindling
Blåmossa
Mindre märgborre
Nästrot</t>
        </is>
      </c>
      <c r="S39">
        <f>HYPERLINK("https://klasma.github.io/Logging_0980/artfynd/A 62132-2023 artfynd.xlsx", "A 62132-2023")</f>
        <v/>
      </c>
      <c r="T39">
        <f>HYPERLINK("https://klasma.github.io/Logging_0980/kartor/A 62132-2023 karta.png", "A 62132-2023")</f>
        <v/>
      </c>
      <c r="V39">
        <f>HYPERLINK("https://klasma.github.io/Logging_0980/klagomål/A 62132-2023 FSC-klagomål.docx", "A 62132-2023")</f>
        <v/>
      </c>
      <c r="W39">
        <f>HYPERLINK("https://klasma.github.io/Logging_0980/klagomålsmail/A 62132-2023 FSC-klagomål mail.docx", "A 62132-2023")</f>
        <v/>
      </c>
      <c r="X39">
        <f>HYPERLINK("https://klasma.github.io/Logging_0980/tillsyn/A 62132-2023 tillsynsbegäran.docx", "A 62132-2023")</f>
        <v/>
      </c>
      <c r="Y39">
        <f>HYPERLINK("https://klasma.github.io/Logging_0980/tillsynsmail/A 62132-2023 tillsynsbegäran mail.docx", "A 62132-2023")</f>
        <v/>
      </c>
    </row>
    <row r="40" ht="15" customHeight="1">
      <c r="A40" t="inlineStr">
        <is>
          <t>A 4508-2019</t>
        </is>
      </c>
      <c r="B40" s="1" t="n">
        <v>43486</v>
      </c>
      <c r="C40" s="1" t="n">
        <v>45294</v>
      </c>
      <c r="D40" t="inlineStr">
        <is>
          <t>GOTLANDS LÄN</t>
        </is>
      </c>
      <c r="E40" t="inlineStr">
        <is>
          <t>GOTLAND</t>
        </is>
      </c>
      <c r="G40" t="n">
        <v>4.2</v>
      </c>
      <c r="H40" t="n">
        <v>0</v>
      </c>
      <c r="I40" t="n">
        <v>6</v>
      </c>
      <c r="J40" t="n">
        <v>0</v>
      </c>
      <c r="K40" t="n">
        <v>0</v>
      </c>
      <c r="L40" t="n">
        <v>0</v>
      </c>
      <c r="M40" t="n">
        <v>0</v>
      </c>
      <c r="N40" t="n">
        <v>0</v>
      </c>
      <c r="O40" t="n">
        <v>0</v>
      </c>
      <c r="P40" t="n">
        <v>0</v>
      </c>
      <c r="Q40" t="n">
        <v>6</v>
      </c>
      <c r="R40" s="2" t="inlineStr">
        <is>
          <t>Anisspindling
Blå slemspindling
Fransig jordstjärna
Havstulpanlav
Rödgul trumpetsvamp
Sotlav</t>
        </is>
      </c>
      <c r="S40">
        <f>HYPERLINK("https://klasma.github.io/Logging_0980/artfynd/A 4508-2019 artfynd.xlsx", "A 4508-2019")</f>
        <v/>
      </c>
      <c r="T40">
        <f>HYPERLINK("https://klasma.github.io/Logging_0980/kartor/A 4508-2019 karta.png", "A 4508-2019")</f>
        <v/>
      </c>
      <c r="V40">
        <f>HYPERLINK("https://klasma.github.io/Logging_0980/klagomål/A 4508-2019 FSC-klagomål.docx", "A 4508-2019")</f>
        <v/>
      </c>
      <c r="W40">
        <f>HYPERLINK("https://klasma.github.io/Logging_0980/klagomålsmail/A 4508-2019 FSC-klagomål mail.docx", "A 4508-2019")</f>
        <v/>
      </c>
      <c r="X40">
        <f>HYPERLINK("https://klasma.github.io/Logging_0980/tillsyn/A 4508-2019 tillsynsbegäran.docx", "A 4508-2019")</f>
        <v/>
      </c>
      <c r="Y40">
        <f>HYPERLINK("https://klasma.github.io/Logging_0980/tillsynsmail/A 4508-2019 tillsynsbegäran mail.docx", "A 4508-2019")</f>
        <v/>
      </c>
    </row>
    <row r="41" ht="15" customHeight="1">
      <c r="A41" t="inlineStr">
        <is>
          <t>A 6379-2019</t>
        </is>
      </c>
      <c r="B41" s="1" t="n">
        <v>43493</v>
      </c>
      <c r="C41" s="1" t="n">
        <v>45294</v>
      </c>
      <c r="D41" t="inlineStr">
        <is>
          <t>GOTLANDS LÄN</t>
        </is>
      </c>
      <c r="E41" t="inlineStr">
        <is>
          <t>GOTLAND</t>
        </is>
      </c>
      <c r="G41" t="n">
        <v>3.5</v>
      </c>
      <c r="H41" t="n">
        <v>0</v>
      </c>
      <c r="I41" t="n">
        <v>4</v>
      </c>
      <c r="J41" t="n">
        <v>0</v>
      </c>
      <c r="K41" t="n">
        <v>2</v>
      </c>
      <c r="L41" t="n">
        <v>0</v>
      </c>
      <c r="M41" t="n">
        <v>0</v>
      </c>
      <c r="N41" t="n">
        <v>0</v>
      </c>
      <c r="O41" t="n">
        <v>2</v>
      </c>
      <c r="P41" t="n">
        <v>2</v>
      </c>
      <c r="Q41" t="n">
        <v>6</v>
      </c>
      <c r="R41" s="2" t="inlineStr">
        <is>
          <t>Gotlandsmåra
Mörkfjällig olivspindling
Blomkålssvamp
Fjällig taggsvamp s.str.
Grovticka
Tjockfotad fingersvamp</t>
        </is>
      </c>
      <c r="S41">
        <f>HYPERLINK("https://klasma.github.io/Logging_0980/artfynd/A 6379-2019 artfynd.xlsx", "A 6379-2019")</f>
        <v/>
      </c>
      <c r="T41">
        <f>HYPERLINK("https://klasma.github.io/Logging_0980/kartor/A 6379-2019 karta.png", "A 6379-2019")</f>
        <v/>
      </c>
      <c r="V41">
        <f>HYPERLINK("https://klasma.github.io/Logging_0980/klagomål/A 6379-2019 FSC-klagomål.docx", "A 6379-2019")</f>
        <v/>
      </c>
      <c r="W41">
        <f>HYPERLINK("https://klasma.github.io/Logging_0980/klagomålsmail/A 6379-2019 FSC-klagomål mail.docx", "A 6379-2019")</f>
        <v/>
      </c>
      <c r="X41">
        <f>HYPERLINK("https://klasma.github.io/Logging_0980/tillsyn/A 6379-2019 tillsynsbegäran.docx", "A 6379-2019")</f>
        <v/>
      </c>
      <c r="Y41">
        <f>HYPERLINK("https://klasma.github.io/Logging_0980/tillsynsmail/A 6379-2019 tillsynsbegäran mail.docx", "A 6379-2019")</f>
        <v/>
      </c>
    </row>
    <row r="42" ht="15" customHeight="1">
      <c r="A42" t="inlineStr">
        <is>
          <t>A 65819-2020</t>
        </is>
      </c>
      <c r="B42" s="1" t="n">
        <v>44174</v>
      </c>
      <c r="C42" s="1" t="n">
        <v>45294</v>
      </c>
      <c r="D42" t="inlineStr">
        <is>
          <t>GOTLANDS LÄN</t>
        </is>
      </c>
      <c r="E42" t="inlineStr">
        <is>
          <t>GOTLAND</t>
        </is>
      </c>
      <c r="G42" t="n">
        <v>4.3</v>
      </c>
      <c r="H42" t="n">
        <v>1</v>
      </c>
      <c r="I42" t="n">
        <v>3</v>
      </c>
      <c r="J42" t="n">
        <v>1</v>
      </c>
      <c r="K42" t="n">
        <v>2</v>
      </c>
      <c r="L42" t="n">
        <v>0</v>
      </c>
      <c r="M42" t="n">
        <v>0</v>
      </c>
      <c r="N42" t="n">
        <v>0</v>
      </c>
      <c r="O42" t="n">
        <v>3</v>
      </c>
      <c r="P42" t="n">
        <v>2</v>
      </c>
      <c r="Q42" t="n">
        <v>6</v>
      </c>
      <c r="R42" s="2" t="inlineStr">
        <is>
          <t>Tallvaxskivling
Vit taggsvamp
Skugglosta
Blå slemspindling
Kattfotslav
Nästrot</t>
        </is>
      </c>
      <c r="S42">
        <f>HYPERLINK("https://klasma.github.io/Logging_0980/artfynd/A 65819-2020 artfynd.xlsx", "A 65819-2020")</f>
        <v/>
      </c>
      <c r="T42">
        <f>HYPERLINK("https://klasma.github.io/Logging_0980/kartor/A 65819-2020 karta.png", "A 65819-2020")</f>
        <v/>
      </c>
      <c r="V42">
        <f>HYPERLINK("https://klasma.github.io/Logging_0980/klagomål/A 65819-2020 FSC-klagomål.docx", "A 65819-2020")</f>
        <v/>
      </c>
      <c r="W42">
        <f>HYPERLINK("https://klasma.github.io/Logging_0980/klagomålsmail/A 65819-2020 FSC-klagomål mail.docx", "A 65819-2020")</f>
        <v/>
      </c>
      <c r="X42">
        <f>HYPERLINK("https://klasma.github.io/Logging_0980/tillsyn/A 65819-2020 tillsynsbegäran.docx", "A 65819-2020")</f>
        <v/>
      </c>
      <c r="Y42">
        <f>HYPERLINK("https://klasma.github.io/Logging_0980/tillsynsmail/A 65819-2020 tillsynsbegäran mail.docx", "A 65819-2020")</f>
        <v/>
      </c>
    </row>
    <row r="43" ht="15" customHeight="1">
      <c r="A43" t="inlineStr">
        <is>
          <t>A 25205-2021</t>
        </is>
      </c>
      <c r="B43" s="1" t="n">
        <v>44342</v>
      </c>
      <c r="C43" s="1" t="n">
        <v>45294</v>
      </c>
      <c r="D43" t="inlineStr">
        <is>
          <t>GOTLANDS LÄN</t>
        </is>
      </c>
      <c r="E43" t="inlineStr">
        <is>
          <t>GOTLAND</t>
        </is>
      </c>
      <c r="G43" t="n">
        <v>2.8</v>
      </c>
      <c r="H43" t="n">
        <v>0</v>
      </c>
      <c r="I43" t="n">
        <v>4</v>
      </c>
      <c r="J43" t="n">
        <v>0</v>
      </c>
      <c r="K43" t="n">
        <v>1</v>
      </c>
      <c r="L43" t="n">
        <v>1</v>
      </c>
      <c r="M43" t="n">
        <v>0</v>
      </c>
      <c r="N43" t="n">
        <v>0</v>
      </c>
      <c r="O43" t="n">
        <v>2</v>
      </c>
      <c r="P43" t="n">
        <v>2</v>
      </c>
      <c r="Q43" t="n">
        <v>6</v>
      </c>
      <c r="R43" s="2" t="inlineStr">
        <is>
          <t>Ädellav
Mörk kraterlav
Hasselticka
Lönnlav
Rikfruktig blemlav
Slät lönnlav</t>
        </is>
      </c>
      <c r="S43">
        <f>HYPERLINK("https://klasma.github.io/Logging_0980/artfynd/A 25205-2021 artfynd.xlsx", "A 25205-2021")</f>
        <v/>
      </c>
      <c r="T43">
        <f>HYPERLINK("https://klasma.github.io/Logging_0980/kartor/A 25205-2021 karta.png", "A 25205-2021")</f>
        <v/>
      </c>
      <c r="V43">
        <f>HYPERLINK("https://klasma.github.io/Logging_0980/klagomål/A 25205-2021 FSC-klagomål.docx", "A 25205-2021")</f>
        <v/>
      </c>
      <c r="W43">
        <f>HYPERLINK("https://klasma.github.io/Logging_0980/klagomålsmail/A 25205-2021 FSC-klagomål mail.docx", "A 25205-2021")</f>
        <v/>
      </c>
      <c r="X43">
        <f>HYPERLINK("https://klasma.github.io/Logging_0980/tillsyn/A 25205-2021 tillsynsbegäran.docx", "A 25205-2021")</f>
        <v/>
      </c>
      <c r="Y43">
        <f>HYPERLINK("https://klasma.github.io/Logging_0980/tillsynsmail/A 25205-2021 tillsynsbegäran mail.docx", "A 25205-2021")</f>
        <v/>
      </c>
    </row>
    <row r="44" ht="15" customHeight="1">
      <c r="A44" t="inlineStr">
        <is>
          <t>A 63872-2021</t>
        </is>
      </c>
      <c r="B44" s="1" t="n">
        <v>44509</v>
      </c>
      <c r="C44" s="1" t="n">
        <v>45294</v>
      </c>
      <c r="D44" t="inlineStr">
        <is>
          <t>GOTLANDS LÄN</t>
        </is>
      </c>
      <c r="E44" t="inlineStr">
        <is>
          <t>GOTLAND</t>
        </is>
      </c>
      <c r="G44" t="n">
        <v>20.5</v>
      </c>
      <c r="H44" t="n">
        <v>1</v>
      </c>
      <c r="I44" t="n">
        <v>0</v>
      </c>
      <c r="J44" t="n">
        <v>1</v>
      </c>
      <c r="K44" t="n">
        <v>4</v>
      </c>
      <c r="L44" t="n">
        <v>0</v>
      </c>
      <c r="M44" t="n">
        <v>0</v>
      </c>
      <c r="N44" t="n">
        <v>0</v>
      </c>
      <c r="O44" t="n">
        <v>5</v>
      </c>
      <c r="P44" t="n">
        <v>4</v>
      </c>
      <c r="Q44" t="n">
        <v>6</v>
      </c>
      <c r="R44" s="2" t="inlineStr">
        <is>
          <t>Duvspindling
Gulsträngad fagerspindling
Svartgrön spindling
Tallpraktspindling
Lundvaxskivling
Sankt pers nycklar</t>
        </is>
      </c>
      <c r="S44">
        <f>HYPERLINK("https://klasma.github.io/Logging_0980/artfynd/A 63872-2021 artfynd.xlsx", "A 63872-2021")</f>
        <v/>
      </c>
      <c r="T44">
        <f>HYPERLINK("https://klasma.github.io/Logging_0980/kartor/A 63872-2021 karta.png", "A 63872-2021")</f>
        <v/>
      </c>
      <c r="V44">
        <f>HYPERLINK("https://klasma.github.io/Logging_0980/klagomål/A 63872-2021 FSC-klagomål.docx", "A 63872-2021")</f>
        <v/>
      </c>
      <c r="W44">
        <f>HYPERLINK("https://klasma.github.io/Logging_0980/klagomålsmail/A 63872-2021 FSC-klagomål mail.docx", "A 63872-2021")</f>
        <v/>
      </c>
      <c r="X44">
        <f>HYPERLINK("https://klasma.github.io/Logging_0980/tillsyn/A 63872-2021 tillsynsbegäran.docx", "A 63872-2021")</f>
        <v/>
      </c>
      <c r="Y44">
        <f>HYPERLINK("https://klasma.github.io/Logging_0980/tillsynsmail/A 63872-2021 tillsynsbegäran mail.docx", "A 63872-2021")</f>
        <v/>
      </c>
    </row>
    <row r="45" ht="15" customHeight="1">
      <c r="A45" t="inlineStr">
        <is>
          <t>A 44916-2022</t>
        </is>
      </c>
      <c r="B45" s="1" t="n">
        <v>44841</v>
      </c>
      <c r="C45" s="1" t="n">
        <v>45294</v>
      </c>
      <c r="D45" t="inlineStr">
        <is>
          <t>GOTLANDS LÄN</t>
        </is>
      </c>
      <c r="E45" t="inlineStr">
        <is>
          <t>GOTLAND</t>
        </is>
      </c>
      <c r="G45" t="n">
        <v>13.7</v>
      </c>
      <c r="H45" t="n">
        <v>0</v>
      </c>
      <c r="I45" t="n">
        <v>4</v>
      </c>
      <c r="J45" t="n">
        <v>1</v>
      </c>
      <c r="K45" t="n">
        <v>1</v>
      </c>
      <c r="L45" t="n">
        <v>0</v>
      </c>
      <c r="M45" t="n">
        <v>0</v>
      </c>
      <c r="N45" t="n">
        <v>0</v>
      </c>
      <c r="O45" t="n">
        <v>2</v>
      </c>
      <c r="P45" t="n">
        <v>1</v>
      </c>
      <c r="Q45" t="n">
        <v>6</v>
      </c>
      <c r="R45" s="2" t="inlineStr">
        <is>
          <t>Granrotspindling
Odörspindling
Anisspindling
Blå slemspindling
Kattfotslav
Olivspindling</t>
        </is>
      </c>
      <c r="S45">
        <f>HYPERLINK("https://klasma.github.io/Logging_0980/artfynd/A 44916-2022 artfynd.xlsx", "A 44916-2022")</f>
        <v/>
      </c>
      <c r="T45">
        <f>HYPERLINK("https://klasma.github.io/Logging_0980/kartor/A 44916-2022 karta.png", "A 44916-2022")</f>
        <v/>
      </c>
      <c r="V45">
        <f>HYPERLINK("https://klasma.github.io/Logging_0980/klagomål/A 44916-2022 FSC-klagomål.docx", "A 44916-2022")</f>
        <v/>
      </c>
      <c r="W45">
        <f>HYPERLINK("https://klasma.github.io/Logging_0980/klagomålsmail/A 44916-2022 FSC-klagomål mail.docx", "A 44916-2022")</f>
        <v/>
      </c>
      <c r="X45">
        <f>HYPERLINK("https://klasma.github.io/Logging_0980/tillsyn/A 44916-2022 tillsynsbegäran.docx", "A 44916-2022")</f>
        <v/>
      </c>
      <c r="Y45">
        <f>HYPERLINK("https://klasma.github.io/Logging_0980/tillsynsmail/A 44916-2022 tillsynsbegäran mail.docx", "A 44916-2022")</f>
        <v/>
      </c>
    </row>
    <row r="46" ht="15" customHeight="1">
      <c r="A46" t="inlineStr">
        <is>
          <t>A 59865-2022</t>
        </is>
      </c>
      <c r="B46" s="1" t="n">
        <v>44908</v>
      </c>
      <c r="C46" s="1" t="n">
        <v>45294</v>
      </c>
      <c r="D46" t="inlineStr">
        <is>
          <t>GOTLANDS LÄN</t>
        </is>
      </c>
      <c r="E46" t="inlineStr">
        <is>
          <t>GOTLAND</t>
        </is>
      </c>
      <c r="G46" t="n">
        <v>2.7</v>
      </c>
      <c r="H46" t="n">
        <v>0</v>
      </c>
      <c r="I46" t="n">
        <v>2</v>
      </c>
      <c r="J46" t="n">
        <v>2</v>
      </c>
      <c r="K46" t="n">
        <v>2</v>
      </c>
      <c r="L46" t="n">
        <v>0</v>
      </c>
      <c r="M46" t="n">
        <v>0</v>
      </c>
      <c r="N46" t="n">
        <v>0</v>
      </c>
      <c r="O46" t="n">
        <v>4</v>
      </c>
      <c r="P46" t="n">
        <v>2</v>
      </c>
      <c r="Q46" t="n">
        <v>6</v>
      </c>
      <c r="R46" s="2" t="inlineStr">
        <is>
          <t>Granrotspindling
Svartgrön spindling
Doftskinn
Gulfotad denisespindling
Blå slemspindling
Svavelriska</t>
        </is>
      </c>
      <c r="S46">
        <f>HYPERLINK("https://klasma.github.io/Logging_0980/artfynd/A 59865-2022 artfynd.xlsx", "A 59865-2022")</f>
        <v/>
      </c>
      <c r="T46">
        <f>HYPERLINK("https://klasma.github.io/Logging_0980/kartor/A 59865-2022 karta.png", "A 59865-2022")</f>
        <v/>
      </c>
      <c r="V46">
        <f>HYPERLINK("https://klasma.github.io/Logging_0980/klagomål/A 59865-2022 FSC-klagomål.docx", "A 59865-2022")</f>
        <v/>
      </c>
      <c r="W46">
        <f>HYPERLINK("https://klasma.github.io/Logging_0980/klagomålsmail/A 59865-2022 FSC-klagomål mail.docx", "A 59865-2022")</f>
        <v/>
      </c>
      <c r="X46">
        <f>HYPERLINK("https://klasma.github.io/Logging_0980/tillsyn/A 59865-2022 tillsynsbegäran.docx", "A 59865-2022")</f>
        <v/>
      </c>
      <c r="Y46">
        <f>HYPERLINK("https://klasma.github.io/Logging_0980/tillsynsmail/A 59865-2022 tillsynsbegäran mail.docx", "A 59865-2022")</f>
        <v/>
      </c>
    </row>
    <row r="47" ht="15" customHeight="1">
      <c r="A47" t="inlineStr">
        <is>
          <t>A 2649-2023</t>
        </is>
      </c>
      <c r="B47" s="1" t="n">
        <v>44943</v>
      </c>
      <c r="C47" s="1" t="n">
        <v>45294</v>
      </c>
      <c r="D47" t="inlineStr">
        <is>
          <t>GOTLANDS LÄN</t>
        </is>
      </c>
      <c r="E47" t="inlineStr">
        <is>
          <t>GOTLAND</t>
        </is>
      </c>
      <c r="G47" t="n">
        <v>2.6</v>
      </c>
      <c r="H47" t="n">
        <v>0</v>
      </c>
      <c r="I47" t="n">
        <v>1</v>
      </c>
      <c r="J47" t="n">
        <v>0</v>
      </c>
      <c r="K47" t="n">
        <v>5</v>
      </c>
      <c r="L47" t="n">
        <v>0</v>
      </c>
      <c r="M47" t="n">
        <v>0</v>
      </c>
      <c r="N47" t="n">
        <v>0</v>
      </c>
      <c r="O47" t="n">
        <v>5</v>
      </c>
      <c r="P47" t="n">
        <v>5</v>
      </c>
      <c r="Q47" t="n">
        <v>6</v>
      </c>
      <c r="R47" s="2" t="inlineStr">
        <is>
          <t>Duvspindling
Granrotspindling
Gul lammticka
Gulsträngad fagerspindling
Violettfläckig spindling
Anisspindling</t>
        </is>
      </c>
      <c r="S47">
        <f>HYPERLINK("https://klasma.github.io/Logging_0980/artfynd/A 2649-2023 artfynd.xlsx", "A 2649-2023")</f>
        <v/>
      </c>
      <c r="T47">
        <f>HYPERLINK("https://klasma.github.io/Logging_0980/kartor/A 2649-2023 karta.png", "A 2649-2023")</f>
        <v/>
      </c>
      <c r="V47">
        <f>HYPERLINK("https://klasma.github.io/Logging_0980/klagomål/A 2649-2023 FSC-klagomål.docx", "A 2649-2023")</f>
        <v/>
      </c>
      <c r="W47">
        <f>HYPERLINK("https://klasma.github.io/Logging_0980/klagomålsmail/A 2649-2023 FSC-klagomål mail.docx", "A 2649-2023")</f>
        <v/>
      </c>
      <c r="X47">
        <f>HYPERLINK("https://klasma.github.io/Logging_0980/tillsyn/A 2649-2023 tillsynsbegäran.docx", "A 2649-2023")</f>
        <v/>
      </c>
      <c r="Y47">
        <f>HYPERLINK("https://klasma.github.io/Logging_0980/tillsynsmail/A 2649-2023 tillsynsbegäran mail.docx", "A 2649-2023")</f>
        <v/>
      </c>
    </row>
    <row r="48" ht="15" customHeight="1">
      <c r="A48" t="inlineStr">
        <is>
          <t>A 7038-2023</t>
        </is>
      </c>
      <c r="B48" s="1" t="n">
        <v>44968</v>
      </c>
      <c r="C48" s="1" t="n">
        <v>45294</v>
      </c>
      <c r="D48" t="inlineStr">
        <is>
          <t>GOTLANDS LÄN</t>
        </is>
      </c>
      <c r="E48" t="inlineStr">
        <is>
          <t>GOTLAND</t>
        </is>
      </c>
      <c r="G48" t="n">
        <v>5.2</v>
      </c>
      <c r="H48" t="n">
        <v>1</v>
      </c>
      <c r="I48" t="n">
        <v>1</v>
      </c>
      <c r="J48" t="n">
        <v>1</v>
      </c>
      <c r="K48" t="n">
        <v>0</v>
      </c>
      <c r="L48" t="n">
        <v>2</v>
      </c>
      <c r="M48" t="n">
        <v>0</v>
      </c>
      <c r="N48" t="n">
        <v>0</v>
      </c>
      <c r="O48" t="n">
        <v>5</v>
      </c>
      <c r="P48" t="n">
        <v>2</v>
      </c>
      <c r="Q48" t="n">
        <v>6</v>
      </c>
      <c r="R48" s="2" t="inlineStr">
        <is>
          <t>Liten ädellav
Ädellav
Dårgräsfjäril
Blemlavsklotter
Frostig asplav
Havstulpanlav</t>
        </is>
      </c>
      <c r="S48">
        <f>HYPERLINK("https://klasma.github.io/Logging_0980/artfynd/A 7038-2023 artfynd.xlsx", "A 7038-2023")</f>
        <v/>
      </c>
      <c r="T48">
        <f>HYPERLINK("https://klasma.github.io/Logging_0980/kartor/A 7038-2023 karta.png", "A 7038-2023")</f>
        <v/>
      </c>
      <c r="V48">
        <f>HYPERLINK("https://klasma.github.io/Logging_0980/klagomål/A 7038-2023 FSC-klagomål.docx", "A 7038-2023")</f>
        <v/>
      </c>
      <c r="W48">
        <f>HYPERLINK("https://klasma.github.io/Logging_0980/klagomålsmail/A 7038-2023 FSC-klagomål mail.docx", "A 7038-2023")</f>
        <v/>
      </c>
      <c r="X48">
        <f>HYPERLINK("https://klasma.github.io/Logging_0980/tillsyn/A 7038-2023 tillsynsbegäran.docx", "A 7038-2023")</f>
        <v/>
      </c>
      <c r="Y48">
        <f>HYPERLINK("https://klasma.github.io/Logging_0980/tillsynsmail/A 7038-2023 tillsynsbegäran mail.docx", "A 7038-2023")</f>
        <v/>
      </c>
    </row>
    <row r="49" ht="15" customHeight="1">
      <c r="A49" t="inlineStr">
        <is>
          <t>A 43199-2023</t>
        </is>
      </c>
      <c r="B49" s="1" t="n">
        <v>45183</v>
      </c>
      <c r="C49" s="1" t="n">
        <v>45294</v>
      </c>
      <c r="D49" t="inlineStr">
        <is>
          <t>GOTLANDS LÄN</t>
        </is>
      </c>
      <c r="E49" t="inlineStr">
        <is>
          <t>GOTLAND</t>
        </is>
      </c>
      <c r="G49" t="n">
        <v>3.8</v>
      </c>
      <c r="H49" t="n">
        <v>2</v>
      </c>
      <c r="I49" t="n">
        <v>4</v>
      </c>
      <c r="J49" t="n">
        <v>0</v>
      </c>
      <c r="K49" t="n">
        <v>1</v>
      </c>
      <c r="L49" t="n">
        <v>1</v>
      </c>
      <c r="M49" t="n">
        <v>0</v>
      </c>
      <c r="N49" t="n">
        <v>0</v>
      </c>
      <c r="O49" t="n">
        <v>2</v>
      </c>
      <c r="P49" t="n">
        <v>2</v>
      </c>
      <c r="Q49" t="n">
        <v>6</v>
      </c>
      <c r="R49" s="2" t="inlineStr">
        <is>
          <t>Ask
Gotlandsmåra
Nästrot
Skogsknipprot
Sårläka
Underviol</t>
        </is>
      </c>
      <c r="S49">
        <f>HYPERLINK("https://klasma.github.io/Logging_0980/artfynd/A 43199-2023 artfynd.xlsx", "A 43199-2023")</f>
        <v/>
      </c>
      <c r="T49">
        <f>HYPERLINK("https://klasma.github.io/Logging_0980/kartor/A 43199-2023 karta.png", "A 43199-2023")</f>
        <v/>
      </c>
      <c r="V49">
        <f>HYPERLINK("https://klasma.github.io/Logging_0980/klagomål/A 43199-2023 FSC-klagomål.docx", "A 43199-2023")</f>
        <v/>
      </c>
      <c r="W49">
        <f>HYPERLINK("https://klasma.github.io/Logging_0980/klagomålsmail/A 43199-2023 FSC-klagomål mail.docx", "A 43199-2023")</f>
        <v/>
      </c>
      <c r="X49">
        <f>HYPERLINK("https://klasma.github.io/Logging_0980/tillsyn/A 43199-2023 tillsynsbegäran.docx", "A 43199-2023")</f>
        <v/>
      </c>
      <c r="Y49">
        <f>HYPERLINK("https://klasma.github.io/Logging_0980/tillsynsmail/A 43199-2023 tillsynsbegäran mail.docx", "A 43199-2023")</f>
        <v/>
      </c>
    </row>
    <row r="50" ht="15" customHeight="1">
      <c r="A50" t="inlineStr">
        <is>
          <t>A 45695-2023</t>
        </is>
      </c>
      <c r="B50" s="1" t="n">
        <v>45195</v>
      </c>
      <c r="C50" s="1" t="n">
        <v>45294</v>
      </c>
      <c r="D50" t="inlineStr">
        <is>
          <t>GOTLANDS LÄN</t>
        </is>
      </c>
      <c r="E50" t="inlineStr">
        <is>
          <t>GOTLAND</t>
        </is>
      </c>
      <c r="G50" t="n">
        <v>20.3</v>
      </c>
      <c r="H50" t="n">
        <v>2</v>
      </c>
      <c r="I50" t="n">
        <v>1</v>
      </c>
      <c r="J50" t="n">
        <v>3</v>
      </c>
      <c r="K50" t="n">
        <v>0</v>
      </c>
      <c r="L50" t="n">
        <v>0</v>
      </c>
      <c r="M50" t="n">
        <v>0</v>
      </c>
      <c r="N50" t="n">
        <v>0</v>
      </c>
      <c r="O50" t="n">
        <v>3</v>
      </c>
      <c r="P50" t="n">
        <v>0</v>
      </c>
      <c r="Q50" t="n">
        <v>6</v>
      </c>
      <c r="R50" s="2" t="inlineStr">
        <is>
          <t>Loppstarr
Majviva
Svinrot
Axag
Brudsporre
Kärrknipprot</t>
        </is>
      </c>
      <c r="S50">
        <f>HYPERLINK("https://klasma.github.io/Logging_0980/artfynd/A 45695-2023 artfynd.xlsx", "A 45695-2023")</f>
        <v/>
      </c>
      <c r="T50">
        <f>HYPERLINK("https://klasma.github.io/Logging_0980/kartor/A 45695-2023 karta.png", "A 45695-2023")</f>
        <v/>
      </c>
      <c r="V50">
        <f>HYPERLINK("https://klasma.github.io/Logging_0980/klagomål/A 45695-2023 FSC-klagomål.docx", "A 45695-2023")</f>
        <v/>
      </c>
      <c r="W50">
        <f>HYPERLINK("https://klasma.github.io/Logging_0980/klagomålsmail/A 45695-2023 FSC-klagomål mail.docx", "A 45695-2023")</f>
        <v/>
      </c>
      <c r="X50">
        <f>HYPERLINK("https://klasma.github.io/Logging_0980/tillsyn/A 45695-2023 tillsynsbegäran.docx", "A 45695-2023")</f>
        <v/>
      </c>
      <c r="Y50">
        <f>HYPERLINK("https://klasma.github.io/Logging_0980/tillsynsmail/A 45695-2023 tillsynsbegäran mail.docx", "A 45695-2023")</f>
        <v/>
      </c>
    </row>
    <row r="51" ht="15" customHeight="1">
      <c r="A51" t="inlineStr">
        <is>
          <t>A 54527-2023</t>
        </is>
      </c>
      <c r="B51" s="1" t="n">
        <v>45233</v>
      </c>
      <c r="C51" s="1" t="n">
        <v>45294</v>
      </c>
      <c r="D51" t="inlineStr">
        <is>
          <t>GOTLANDS LÄN</t>
        </is>
      </c>
      <c r="E51" t="inlineStr">
        <is>
          <t>GOTLAND</t>
        </is>
      </c>
      <c r="G51" t="n">
        <v>28.5</v>
      </c>
      <c r="H51" t="n">
        <v>1</v>
      </c>
      <c r="I51" t="n">
        <v>0</v>
      </c>
      <c r="J51" t="n">
        <v>5</v>
      </c>
      <c r="K51" t="n">
        <v>0</v>
      </c>
      <c r="L51" t="n">
        <v>0</v>
      </c>
      <c r="M51" t="n">
        <v>0</v>
      </c>
      <c r="N51" t="n">
        <v>0</v>
      </c>
      <c r="O51" t="n">
        <v>5</v>
      </c>
      <c r="P51" t="n">
        <v>0</v>
      </c>
      <c r="Q51" t="n">
        <v>6</v>
      </c>
      <c r="R51" s="2" t="inlineStr">
        <is>
          <t>Backstarr
Backtimjan
Jordtistel
Sexfläckig bastardsvärmare
Solvända
Brudsporre</t>
        </is>
      </c>
      <c r="S51">
        <f>HYPERLINK("https://klasma.github.io/Logging_0980/artfynd/A 54527-2023 artfynd.xlsx", "A 54527-2023")</f>
        <v/>
      </c>
      <c r="T51">
        <f>HYPERLINK("https://klasma.github.io/Logging_0980/kartor/A 54527-2023 karta.png", "A 54527-2023")</f>
        <v/>
      </c>
      <c r="V51">
        <f>HYPERLINK("https://klasma.github.io/Logging_0980/klagomål/A 54527-2023 FSC-klagomål.docx", "A 54527-2023")</f>
        <v/>
      </c>
      <c r="W51">
        <f>HYPERLINK("https://klasma.github.io/Logging_0980/klagomålsmail/A 54527-2023 FSC-klagomål mail.docx", "A 54527-2023")</f>
        <v/>
      </c>
      <c r="X51">
        <f>HYPERLINK("https://klasma.github.io/Logging_0980/tillsyn/A 54527-2023 tillsynsbegäran.docx", "A 54527-2023")</f>
        <v/>
      </c>
      <c r="Y51">
        <f>HYPERLINK("https://klasma.github.io/Logging_0980/tillsynsmail/A 54527-2023 tillsynsbegäran mail.docx", "A 54527-2023")</f>
        <v/>
      </c>
    </row>
    <row r="52" ht="15" customHeight="1">
      <c r="A52" t="inlineStr">
        <is>
          <t>A 64658-2023</t>
        </is>
      </c>
      <c r="B52" s="1" t="n">
        <v>45281</v>
      </c>
      <c r="C52" s="1" t="n">
        <v>45294</v>
      </c>
      <c r="D52" t="inlineStr">
        <is>
          <t>GOTLANDS LÄN</t>
        </is>
      </c>
      <c r="E52" t="inlineStr">
        <is>
          <t>GOTLAND</t>
        </is>
      </c>
      <c r="G52" t="n">
        <v>9.699999999999999</v>
      </c>
      <c r="H52" t="n">
        <v>1</v>
      </c>
      <c r="I52" t="n">
        <v>2</v>
      </c>
      <c r="J52" t="n">
        <v>0</v>
      </c>
      <c r="K52" t="n">
        <v>3</v>
      </c>
      <c r="L52" t="n">
        <v>1</v>
      </c>
      <c r="M52" t="n">
        <v>0</v>
      </c>
      <c r="N52" t="n">
        <v>0</v>
      </c>
      <c r="O52" t="n">
        <v>4</v>
      </c>
      <c r="P52" t="n">
        <v>4</v>
      </c>
      <c r="Q52" t="n">
        <v>6</v>
      </c>
      <c r="R52" s="2" t="inlineStr">
        <is>
          <t>Ädellav
Blek kraterlav
Garderönn
Västlig njurlav
Strävlosta
Underviol</t>
        </is>
      </c>
      <c r="S52">
        <f>HYPERLINK("https://klasma.github.io/Logging_0980/artfynd/A 64658-2023 artfynd.xlsx", "A 64658-2023")</f>
        <v/>
      </c>
      <c r="T52">
        <f>HYPERLINK("https://klasma.github.io/Logging_0980/kartor/A 64658-2023 karta.png", "A 64658-2023")</f>
        <v/>
      </c>
      <c r="V52">
        <f>HYPERLINK("https://klasma.github.io/Logging_0980/klagomål/A 64658-2023 FSC-klagomål.docx", "A 64658-2023")</f>
        <v/>
      </c>
      <c r="W52">
        <f>HYPERLINK("https://klasma.github.io/Logging_0980/klagomålsmail/A 64658-2023 FSC-klagomål mail.docx", "A 64658-2023")</f>
        <v/>
      </c>
      <c r="X52">
        <f>HYPERLINK("https://klasma.github.io/Logging_0980/tillsyn/A 64658-2023 tillsynsbegäran.docx", "A 64658-2023")</f>
        <v/>
      </c>
      <c r="Y52">
        <f>HYPERLINK("https://klasma.github.io/Logging_0980/tillsynsmail/A 64658-2023 tillsynsbegäran mail.docx", "A 64658-2023")</f>
        <v/>
      </c>
    </row>
    <row r="53" ht="15" customHeight="1">
      <c r="A53" t="inlineStr">
        <is>
          <t>A 38183-2019</t>
        </is>
      </c>
      <c r="B53" s="1" t="n">
        <v>43684</v>
      </c>
      <c r="C53" s="1" t="n">
        <v>45294</v>
      </c>
      <c r="D53" t="inlineStr">
        <is>
          <t>GOTLANDS LÄN</t>
        </is>
      </c>
      <c r="E53" t="inlineStr">
        <is>
          <t>GOTLAND</t>
        </is>
      </c>
      <c r="G53" t="n">
        <v>2.1</v>
      </c>
      <c r="H53" t="n">
        <v>0</v>
      </c>
      <c r="I53" t="n">
        <v>2</v>
      </c>
      <c r="J53" t="n">
        <v>0</v>
      </c>
      <c r="K53" t="n">
        <v>3</v>
      </c>
      <c r="L53" t="n">
        <v>0</v>
      </c>
      <c r="M53" t="n">
        <v>0</v>
      </c>
      <c r="N53" t="n">
        <v>0</v>
      </c>
      <c r="O53" t="n">
        <v>3</v>
      </c>
      <c r="P53" t="n">
        <v>3</v>
      </c>
      <c r="Q53" t="n">
        <v>5</v>
      </c>
      <c r="R53" s="2" t="inlineStr">
        <is>
          <t>Bullspindling
Gulsträngad fagerspindling
Skogskorn
Anisspindling
Myskmadra</t>
        </is>
      </c>
      <c r="S53">
        <f>HYPERLINK("https://klasma.github.io/Logging_0980/artfynd/A 38183-2019 artfynd.xlsx", "A 38183-2019")</f>
        <v/>
      </c>
      <c r="T53">
        <f>HYPERLINK("https://klasma.github.io/Logging_0980/kartor/A 38183-2019 karta.png", "A 38183-2019")</f>
        <v/>
      </c>
      <c r="V53">
        <f>HYPERLINK("https://klasma.github.io/Logging_0980/klagomål/A 38183-2019 FSC-klagomål.docx", "A 38183-2019")</f>
        <v/>
      </c>
      <c r="W53">
        <f>HYPERLINK("https://klasma.github.io/Logging_0980/klagomålsmail/A 38183-2019 FSC-klagomål mail.docx", "A 38183-2019")</f>
        <v/>
      </c>
      <c r="X53">
        <f>HYPERLINK("https://klasma.github.io/Logging_0980/tillsyn/A 38183-2019 tillsynsbegäran.docx", "A 38183-2019")</f>
        <v/>
      </c>
      <c r="Y53">
        <f>HYPERLINK("https://klasma.github.io/Logging_0980/tillsynsmail/A 38183-2019 tillsynsbegäran mail.docx", "A 38183-2019")</f>
        <v/>
      </c>
    </row>
    <row r="54" ht="15" customHeight="1">
      <c r="A54" t="inlineStr">
        <is>
          <t>A 62991-2019</t>
        </is>
      </c>
      <c r="B54" s="1" t="n">
        <v>43790</v>
      </c>
      <c r="C54" s="1" t="n">
        <v>45294</v>
      </c>
      <c r="D54" t="inlineStr">
        <is>
          <t>GOTLANDS LÄN</t>
        </is>
      </c>
      <c r="E54" t="inlineStr">
        <is>
          <t>GOTLAND</t>
        </is>
      </c>
      <c r="G54" t="n">
        <v>3.9</v>
      </c>
      <c r="H54" t="n">
        <v>0</v>
      </c>
      <c r="I54" t="n">
        <v>2</v>
      </c>
      <c r="J54" t="n">
        <v>3</v>
      </c>
      <c r="K54" t="n">
        <v>0</v>
      </c>
      <c r="L54" t="n">
        <v>0</v>
      </c>
      <c r="M54" t="n">
        <v>0</v>
      </c>
      <c r="N54" t="n">
        <v>0</v>
      </c>
      <c r="O54" t="n">
        <v>3</v>
      </c>
      <c r="P54" t="n">
        <v>0</v>
      </c>
      <c r="Q54" t="n">
        <v>5</v>
      </c>
      <c r="R54" s="2" t="inlineStr">
        <is>
          <t>Reliktbock
Smedbock
Tallticka
Blodticka
Mindre märgborre</t>
        </is>
      </c>
      <c r="S54">
        <f>HYPERLINK("https://klasma.github.io/Logging_0980/artfynd/A 62991-2019 artfynd.xlsx", "A 62991-2019")</f>
        <v/>
      </c>
      <c r="T54">
        <f>HYPERLINK("https://klasma.github.io/Logging_0980/kartor/A 62991-2019 karta.png", "A 62991-2019")</f>
        <v/>
      </c>
      <c r="V54">
        <f>HYPERLINK("https://klasma.github.io/Logging_0980/klagomål/A 62991-2019 FSC-klagomål.docx", "A 62991-2019")</f>
        <v/>
      </c>
      <c r="W54">
        <f>HYPERLINK("https://klasma.github.io/Logging_0980/klagomålsmail/A 62991-2019 FSC-klagomål mail.docx", "A 62991-2019")</f>
        <v/>
      </c>
      <c r="X54">
        <f>HYPERLINK("https://klasma.github.io/Logging_0980/tillsyn/A 62991-2019 tillsynsbegäran.docx", "A 62991-2019")</f>
        <v/>
      </c>
      <c r="Y54">
        <f>HYPERLINK("https://klasma.github.io/Logging_0980/tillsynsmail/A 62991-2019 tillsynsbegäran mail.docx", "A 62991-2019")</f>
        <v/>
      </c>
    </row>
    <row r="55" ht="15" customHeight="1">
      <c r="A55" t="inlineStr">
        <is>
          <t>A 7648-2020</t>
        </is>
      </c>
      <c r="B55" s="1" t="n">
        <v>43872</v>
      </c>
      <c r="C55" s="1" t="n">
        <v>45294</v>
      </c>
      <c r="D55" t="inlineStr">
        <is>
          <t>GOTLANDS LÄN</t>
        </is>
      </c>
      <c r="E55" t="inlineStr">
        <is>
          <t>GOTLAND</t>
        </is>
      </c>
      <c r="F55" t="inlineStr">
        <is>
          <t>Kyrkan</t>
        </is>
      </c>
      <c r="G55" t="n">
        <v>4.2</v>
      </c>
      <c r="H55" t="n">
        <v>0</v>
      </c>
      <c r="I55" t="n">
        <v>3</v>
      </c>
      <c r="J55" t="n">
        <v>1</v>
      </c>
      <c r="K55" t="n">
        <v>0</v>
      </c>
      <c r="L55" t="n">
        <v>1</v>
      </c>
      <c r="M55" t="n">
        <v>0</v>
      </c>
      <c r="N55" t="n">
        <v>0</v>
      </c>
      <c r="O55" t="n">
        <v>2</v>
      </c>
      <c r="P55" t="n">
        <v>1</v>
      </c>
      <c r="Q55" t="n">
        <v>5</v>
      </c>
      <c r="R55" s="2" t="inlineStr">
        <is>
          <t>Ädellav
Orangepudrad klotterlav
Kornig nållav
Rikfruktig blemlav
Slät lönnlav</t>
        </is>
      </c>
      <c r="S55">
        <f>HYPERLINK("https://klasma.github.io/Logging_0980/artfynd/A 7648-2020 artfynd.xlsx", "A 7648-2020")</f>
        <v/>
      </c>
      <c r="T55">
        <f>HYPERLINK("https://klasma.github.io/Logging_0980/kartor/A 7648-2020 karta.png", "A 7648-2020")</f>
        <v/>
      </c>
      <c r="V55">
        <f>HYPERLINK("https://klasma.github.io/Logging_0980/klagomål/A 7648-2020 FSC-klagomål.docx", "A 7648-2020")</f>
        <v/>
      </c>
      <c r="W55">
        <f>HYPERLINK("https://klasma.github.io/Logging_0980/klagomålsmail/A 7648-2020 FSC-klagomål mail.docx", "A 7648-2020")</f>
        <v/>
      </c>
      <c r="X55">
        <f>HYPERLINK("https://klasma.github.io/Logging_0980/tillsyn/A 7648-2020 tillsynsbegäran.docx", "A 7648-2020")</f>
        <v/>
      </c>
      <c r="Y55">
        <f>HYPERLINK("https://klasma.github.io/Logging_0980/tillsynsmail/A 7648-2020 tillsynsbegäran mail.docx", "A 7648-2020")</f>
        <v/>
      </c>
    </row>
    <row r="56" ht="15" customHeight="1">
      <c r="A56" t="inlineStr">
        <is>
          <t>A 22317-2022</t>
        </is>
      </c>
      <c r="B56" s="1" t="n">
        <v>44712</v>
      </c>
      <c r="C56" s="1" t="n">
        <v>45294</v>
      </c>
      <c r="D56" t="inlineStr">
        <is>
          <t>GOTLANDS LÄN</t>
        </is>
      </c>
      <c r="E56" t="inlineStr">
        <is>
          <t>GOTLAND</t>
        </is>
      </c>
      <c r="G56" t="n">
        <v>2</v>
      </c>
      <c r="H56" t="n">
        <v>0</v>
      </c>
      <c r="I56" t="n">
        <v>4</v>
      </c>
      <c r="J56" t="n">
        <v>1</v>
      </c>
      <c r="K56" t="n">
        <v>0</v>
      </c>
      <c r="L56" t="n">
        <v>0</v>
      </c>
      <c r="M56" t="n">
        <v>0</v>
      </c>
      <c r="N56" t="n">
        <v>0</v>
      </c>
      <c r="O56" t="n">
        <v>1</v>
      </c>
      <c r="P56" t="n">
        <v>0</v>
      </c>
      <c r="Q56" t="n">
        <v>5</v>
      </c>
      <c r="R56" s="2" t="inlineStr">
        <is>
          <t>Odörspindling
Anisspindling
Blå slemspindling
Kattfotslav
Svavelriska</t>
        </is>
      </c>
      <c r="S56">
        <f>HYPERLINK("https://klasma.github.io/Logging_0980/artfynd/A 22317-2022 artfynd.xlsx", "A 22317-2022")</f>
        <v/>
      </c>
      <c r="T56">
        <f>HYPERLINK("https://klasma.github.io/Logging_0980/kartor/A 22317-2022 karta.png", "A 22317-2022")</f>
        <v/>
      </c>
      <c r="V56">
        <f>HYPERLINK("https://klasma.github.io/Logging_0980/klagomål/A 22317-2022 FSC-klagomål.docx", "A 22317-2022")</f>
        <v/>
      </c>
      <c r="W56">
        <f>HYPERLINK("https://klasma.github.io/Logging_0980/klagomålsmail/A 22317-2022 FSC-klagomål mail.docx", "A 22317-2022")</f>
        <v/>
      </c>
      <c r="X56">
        <f>HYPERLINK("https://klasma.github.io/Logging_0980/tillsyn/A 22317-2022 tillsynsbegäran.docx", "A 22317-2022")</f>
        <v/>
      </c>
      <c r="Y56">
        <f>HYPERLINK("https://klasma.github.io/Logging_0980/tillsynsmail/A 22317-2022 tillsynsbegäran mail.docx", "A 22317-2022")</f>
        <v/>
      </c>
    </row>
    <row r="57" ht="15" customHeight="1">
      <c r="A57" t="inlineStr">
        <is>
          <t>A 39471-2022</t>
        </is>
      </c>
      <c r="B57" s="1" t="n">
        <v>44818</v>
      </c>
      <c r="C57" s="1" t="n">
        <v>45294</v>
      </c>
      <c r="D57" t="inlineStr">
        <is>
          <t>GOTLANDS LÄN</t>
        </is>
      </c>
      <c r="E57" t="inlineStr">
        <is>
          <t>GOTLAND</t>
        </is>
      </c>
      <c r="G57" t="n">
        <v>4.6</v>
      </c>
      <c r="H57" t="n">
        <v>0</v>
      </c>
      <c r="I57" t="n">
        <v>3</v>
      </c>
      <c r="J57" t="n">
        <v>1</v>
      </c>
      <c r="K57" t="n">
        <v>1</v>
      </c>
      <c r="L57" t="n">
        <v>0</v>
      </c>
      <c r="M57" t="n">
        <v>0</v>
      </c>
      <c r="N57" t="n">
        <v>0</v>
      </c>
      <c r="O57" t="n">
        <v>2</v>
      </c>
      <c r="P57" t="n">
        <v>1</v>
      </c>
      <c r="Q57" t="n">
        <v>5</v>
      </c>
      <c r="R57" s="2" t="inlineStr">
        <is>
          <t>Duvspindling
Odörspindling
Anisspindling
Blå slemspindling
Svavelriska</t>
        </is>
      </c>
      <c r="S57">
        <f>HYPERLINK("https://klasma.github.io/Logging_0980/artfynd/A 39471-2022 artfynd.xlsx", "A 39471-2022")</f>
        <v/>
      </c>
      <c r="T57">
        <f>HYPERLINK("https://klasma.github.io/Logging_0980/kartor/A 39471-2022 karta.png", "A 39471-2022")</f>
        <v/>
      </c>
      <c r="V57">
        <f>HYPERLINK("https://klasma.github.io/Logging_0980/klagomål/A 39471-2022 FSC-klagomål.docx", "A 39471-2022")</f>
        <v/>
      </c>
      <c r="W57">
        <f>HYPERLINK("https://klasma.github.io/Logging_0980/klagomålsmail/A 39471-2022 FSC-klagomål mail.docx", "A 39471-2022")</f>
        <v/>
      </c>
      <c r="X57">
        <f>HYPERLINK("https://klasma.github.io/Logging_0980/tillsyn/A 39471-2022 tillsynsbegäran.docx", "A 39471-2022")</f>
        <v/>
      </c>
      <c r="Y57">
        <f>HYPERLINK("https://klasma.github.io/Logging_0980/tillsynsmail/A 39471-2022 tillsynsbegäran mail.docx", "A 39471-2022")</f>
        <v/>
      </c>
    </row>
    <row r="58" ht="15" customHeight="1">
      <c r="A58" t="inlineStr">
        <is>
          <t>A 44944-2022</t>
        </is>
      </c>
      <c r="B58" s="1" t="n">
        <v>44841</v>
      </c>
      <c r="C58" s="1" t="n">
        <v>45294</v>
      </c>
      <c r="D58" t="inlineStr">
        <is>
          <t>GOTLANDS LÄN</t>
        </is>
      </c>
      <c r="E58" t="inlineStr">
        <is>
          <t>GOTLAND</t>
        </is>
      </c>
      <c r="G58" t="n">
        <v>2.8</v>
      </c>
      <c r="H58" t="n">
        <v>0</v>
      </c>
      <c r="I58" t="n">
        <v>3</v>
      </c>
      <c r="J58" t="n">
        <v>2</v>
      </c>
      <c r="K58" t="n">
        <v>0</v>
      </c>
      <c r="L58" t="n">
        <v>0</v>
      </c>
      <c r="M58" t="n">
        <v>0</v>
      </c>
      <c r="N58" t="n">
        <v>0</v>
      </c>
      <c r="O58" t="n">
        <v>2</v>
      </c>
      <c r="P58" t="n">
        <v>0</v>
      </c>
      <c r="Q58" t="n">
        <v>5</v>
      </c>
      <c r="R58" s="2" t="inlineStr">
        <is>
          <t>Gulfotad denisespindling
Odörspindling
Anisspindling
Fjällig taggsvamp s.str.
Rödgul trumpetsvamp</t>
        </is>
      </c>
      <c r="S58">
        <f>HYPERLINK("https://klasma.github.io/Logging_0980/artfynd/A 44944-2022 artfynd.xlsx", "A 44944-2022")</f>
        <v/>
      </c>
      <c r="T58">
        <f>HYPERLINK("https://klasma.github.io/Logging_0980/kartor/A 44944-2022 karta.png", "A 44944-2022")</f>
        <v/>
      </c>
      <c r="V58">
        <f>HYPERLINK("https://klasma.github.io/Logging_0980/klagomål/A 44944-2022 FSC-klagomål.docx", "A 44944-2022")</f>
        <v/>
      </c>
      <c r="W58">
        <f>HYPERLINK("https://klasma.github.io/Logging_0980/klagomålsmail/A 44944-2022 FSC-klagomål mail.docx", "A 44944-2022")</f>
        <v/>
      </c>
      <c r="X58">
        <f>HYPERLINK("https://klasma.github.io/Logging_0980/tillsyn/A 44944-2022 tillsynsbegäran.docx", "A 44944-2022")</f>
        <v/>
      </c>
      <c r="Y58">
        <f>HYPERLINK("https://klasma.github.io/Logging_0980/tillsynsmail/A 44944-2022 tillsynsbegäran mail.docx", "A 44944-2022")</f>
        <v/>
      </c>
    </row>
    <row r="59" ht="15" customHeight="1">
      <c r="A59" t="inlineStr">
        <is>
          <t>A 54055-2022</t>
        </is>
      </c>
      <c r="B59" s="1" t="n">
        <v>44881</v>
      </c>
      <c r="C59" s="1" t="n">
        <v>45294</v>
      </c>
      <c r="D59" t="inlineStr">
        <is>
          <t>GOTLANDS LÄN</t>
        </is>
      </c>
      <c r="E59" t="inlineStr">
        <is>
          <t>GOTLAND</t>
        </is>
      </c>
      <c r="G59" t="n">
        <v>4.6</v>
      </c>
      <c r="H59" t="n">
        <v>0</v>
      </c>
      <c r="I59" t="n">
        <v>3</v>
      </c>
      <c r="J59" t="n">
        <v>1</v>
      </c>
      <c r="K59" t="n">
        <v>1</v>
      </c>
      <c r="L59" t="n">
        <v>0</v>
      </c>
      <c r="M59" t="n">
        <v>0</v>
      </c>
      <c r="N59" t="n">
        <v>0</v>
      </c>
      <c r="O59" t="n">
        <v>2</v>
      </c>
      <c r="P59" t="n">
        <v>1</v>
      </c>
      <c r="Q59" t="n">
        <v>5</v>
      </c>
      <c r="R59" s="2" t="inlineStr">
        <is>
          <t>Duvspindling
Odörspindling
Diskvaxskivling
Kryddspindling
Olivspindling</t>
        </is>
      </c>
      <c r="S59">
        <f>HYPERLINK("https://klasma.github.io/Logging_0980/artfynd/A 54055-2022 artfynd.xlsx", "A 54055-2022")</f>
        <v/>
      </c>
      <c r="T59">
        <f>HYPERLINK("https://klasma.github.io/Logging_0980/kartor/A 54055-2022 karta.png", "A 54055-2022")</f>
        <v/>
      </c>
      <c r="V59">
        <f>HYPERLINK("https://klasma.github.io/Logging_0980/klagomål/A 54055-2022 FSC-klagomål.docx", "A 54055-2022")</f>
        <v/>
      </c>
      <c r="W59">
        <f>HYPERLINK("https://klasma.github.io/Logging_0980/klagomålsmail/A 54055-2022 FSC-klagomål mail.docx", "A 54055-2022")</f>
        <v/>
      </c>
      <c r="X59">
        <f>HYPERLINK("https://klasma.github.io/Logging_0980/tillsyn/A 54055-2022 tillsynsbegäran.docx", "A 54055-2022")</f>
        <v/>
      </c>
      <c r="Y59">
        <f>HYPERLINK("https://klasma.github.io/Logging_0980/tillsynsmail/A 54055-2022 tillsynsbegäran mail.docx", "A 54055-2022")</f>
        <v/>
      </c>
    </row>
    <row r="60" ht="15" customHeight="1">
      <c r="A60" t="inlineStr">
        <is>
          <t>A 2085-2023</t>
        </is>
      </c>
      <c r="B60" s="1" t="n">
        <v>44939</v>
      </c>
      <c r="C60" s="1" t="n">
        <v>45294</v>
      </c>
      <c r="D60" t="inlineStr">
        <is>
          <t>GOTLANDS LÄN</t>
        </is>
      </c>
      <c r="E60" t="inlineStr">
        <is>
          <t>GOTLAND</t>
        </is>
      </c>
      <c r="G60" t="n">
        <v>0.9</v>
      </c>
      <c r="H60" t="n">
        <v>1</v>
      </c>
      <c r="I60" t="n">
        <v>5</v>
      </c>
      <c r="J60" t="n">
        <v>0</v>
      </c>
      <c r="K60" t="n">
        <v>0</v>
      </c>
      <c r="L60" t="n">
        <v>0</v>
      </c>
      <c r="M60" t="n">
        <v>0</v>
      </c>
      <c r="N60" t="n">
        <v>0</v>
      </c>
      <c r="O60" t="n">
        <v>0</v>
      </c>
      <c r="P60" t="n">
        <v>0</v>
      </c>
      <c r="Q60" t="n">
        <v>5</v>
      </c>
      <c r="R60" s="2" t="inlineStr">
        <is>
          <t>Blå slemspindling
Blåmossa
Kattfotslav
Skogsknipprot
Vågbandad barkbock</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row>
    <row r="61" ht="15" customHeight="1">
      <c r="A61" t="inlineStr">
        <is>
          <t>A 48749-2023</t>
        </is>
      </c>
      <c r="B61" s="1" t="n">
        <v>45208</v>
      </c>
      <c r="C61" s="1" t="n">
        <v>45294</v>
      </c>
      <c r="D61" t="inlineStr">
        <is>
          <t>GOTLANDS LÄN</t>
        </is>
      </c>
      <c r="E61" t="inlineStr">
        <is>
          <t>GOTLAND</t>
        </is>
      </c>
      <c r="G61" t="n">
        <v>6.8</v>
      </c>
      <c r="H61" t="n">
        <v>2</v>
      </c>
      <c r="I61" t="n">
        <v>2</v>
      </c>
      <c r="J61" t="n">
        <v>2</v>
      </c>
      <c r="K61" t="n">
        <v>1</v>
      </c>
      <c r="L61" t="n">
        <v>0</v>
      </c>
      <c r="M61" t="n">
        <v>0</v>
      </c>
      <c r="N61" t="n">
        <v>0</v>
      </c>
      <c r="O61" t="n">
        <v>3</v>
      </c>
      <c r="P61" t="n">
        <v>1</v>
      </c>
      <c r="Q61" t="n">
        <v>5</v>
      </c>
      <c r="R61" s="2" t="inlineStr">
        <is>
          <t>Garderönn
Axveronika
Backtimjan
Murgröna
Skogsknipprot</t>
        </is>
      </c>
      <c r="S61">
        <f>HYPERLINK("https://klasma.github.io/Logging_0980/artfynd/A 48749-2023 artfynd.xlsx", "A 48749-2023")</f>
        <v/>
      </c>
      <c r="T61">
        <f>HYPERLINK("https://klasma.github.io/Logging_0980/kartor/A 48749-2023 karta.png", "A 48749-2023")</f>
        <v/>
      </c>
      <c r="V61">
        <f>HYPERLINK("https://klasma.github.io/Logging_0980/klagomål/A 48749-2023 FSC-klagomål.docx", "A 48749-2023")</f>
        <v/>
      </c>
      <c r="W61">
        <f>HYPERLINK("https://klasma.github.io/Logging_0980/klagomålsmail/A 48749-2023 FSC-klagomål mail.docx", "A 48749-2023")</f>
        <v/>
      </c>
      <c r="X61">
        <f>HYPERLINK("https://klasma.github.io/Logging_0980/tillsyn/A 48749-2023 tillsynsbegäran.docx", "A 48749-2023")</f>
        <v/>
      </c>
      <c r="Y61">
        <f>HYPERLINK("https://klasma.github.io/Logging_0980/tillsynsmail/A 48749-2023 tillsynsbegäran mail.docx", "A 48749-2023")</f>
        <v/>
      </c>
    </row>
    <row r="62" ht="15" customHeight="1">
      <c r="A62" t="inlineStr">
        <is>
          <t>A 63319-2018</t>
        </is>
      </c>
      <c r="B62" s="1" t="n">
        <v>43427</v>
      </c>
      <c r="C62" s="1" t="n">
        <v>45294</v>
      </c>
      <c r="D62" t="inlineStr">
        <is>
          <t>GOTLANDS LÄN</t>
        </is>
      </c>
      <c r="E62" t="inlineStr">
        <is>
          <t>GOTLAND</t>
        </is>
      </c>
      <c r="G62" t="n">
        <v>2.9</v>
      </c>
      <c r="H62" t="n">
        <v>0</v>
      </c>
      <c r="I62" t="n">
        <v>2</v>
      </c>
      <c r="J62" t="n">
        <v>1</v>
      </c>
      <c r="K62" t="n">
        <v>1</v>
      </c>
      <c r="L62" t="n">
        <v>0</v>
      </c>
      <c r="M62" t="n">
        <v>0</v>
      </c>
      <c r="N62" t="n">
        <v>0</v>
      </c>
      <c r="O62" t="n">
        <v>2</v>
      </c>
      <c r="P62" t="n">
        <v>1</v>
      </c>
      <c r="Q62" t="n">
        <v>4</v>
      </c>
      <c r="R62" s="2" t="inlineStr">
        <is>
          <t>Stor odörspindling
Odörspindling
Anisspindling
Blå slemspindling</t>
        </is>
      </c>
      <c r="S62">
        <f>HYPERLINK("https://klasma.github.io/Logging_0980/artfynd/A 63319-2018 artfynd.xlsx", "A 63319-2018")</f>
        <v/>
      </c>
      <c r="T62">
        <f>HYPERLINK("https://klasma.github.io/Logging_0980/kartor/A 63319-2018 karta.png", "A 63319-2018")</f>
        <v/>
      </c>
      <c r="V62">
        <f>HYPERLINK("https://klasma.github.io/Logging_0980/klagomål/A 63319-2018 FSC-klagomål.docx", "A 63319-2018")</f>
        <v/>
      </c>
      <c r="W62">
        <f>HYPERLINK("https://klasma.github.io/Logging_0980/klagomålsmail/A 63319-2018 FSC-klagomål mail.docx", "A 63319-2018")</f>
        <v/>
      </c>
      <c r="X62">
        <f>HYPERLINK("https://klasma.github.io/Logging_0980/tillsyn/A 63319-2018 tillsynsbegäran.docx", "A 63319-2018")</f>
        <v/>
      </c>
      <c r="Y62">
        <f>HYPERLINK("https://klasma.github.io/Logging_0980/tillsynsmail/A 63319-2018 tillsynsbegäran mail.docx", "A 63319-2018")</f>
        <v/>
      </c>
    </row>
    <row r="63" ht="15" customHeight="1">
      <c r="A63" t="inlineStr">
        <is>
          <t>A 8246-2019</t>
        </is>
      </c>
      <c r="B63" s="1" t="n">
        <v>43501</v>
      </c>
      <c r="C63" s="1" t="n">
        <v>45294</v>
      </c>
      <c r="D63" t="inlineStr">
        <is>
          <t>GOTLANDS LÄN</t>
        </is>
      </c>
      <c r="E63" t="inlineStr">
        <is>
          <t>GOTLAND</t>
        </is>
      </c>
      <c r="G63" t="n">
        <v>6.6</v>
      </c>
      <c r="H63" t="n">
        <v>0</v>
      </c>
      <c r="I63" t="n">
        <v>4</v>
      </c>
      <c r="J63" t="n">
        <v>0</v>
      </c>
      <c r="K63" t="n">
        <v>0</v>
      </c>
      <c r="L63" t="n">
        <v>0</v>
      </c>
      <c r="M63" t="n">
        <v>0</v>
      </c>
      <c r="N63" t="n">
        <v>0</v>
      </c>
      <c r="O63" t="n">
        <v>0</v>
      </c>
      <c r="P63" t="n">
        <v>0</v>
      </c>
      <c r="Q63" t="n">
        <v>4</v>
      </c>
      <c r="R63" s="2" t="inlineStr">
        <is>
          <t>Blåmossa
Granbarkgnagare
Kattfotslav
Stor revmossa</t>
        </is>
      </c>
      <c r="S63">
        <f>HYPERLINK("https://klasma.github.io/Logging_0980/artfynd/A 8246-2019 artfynd.xlsx", "A 8246-2019")</f>
        <v/>
      </c>
      <c r="T63">
        <f>HYPERLINK("https://klasma.github.io/Logging_0980/kartor/A 8246-2019 karta.png", "A 8246-2019")</f>
        <v/>
      </c>
      <c r="V63">
        <f>HYPERLINK("https://klasma.github.io/Logging_0980/klagomål/A 8246-2019 FSC-klagomål.docx", "A 8246-2019")</f>
        <v/>
      </c>
      <c r="W63">
        <f>HYPERLINK("https://klasma.github.io/Logging_0980/klagomålsmail/A 8246-2019 FSC-klagomål mail.docx", "A 8246-2019")</f>
        <v/>
      </c>
      <c r="X63">
        <f>HYPERLINK("https://klasma.github.io/Logging_0980/tillsyn/A 8246-2019 tillsynsbegäran.docx", "A 8246-2019")</f>
        <v/>
      </c>
      <c r="Y63">
        <f>HYPERLINK("https://klasma.github.io/Logging_0980/tillsynsmail/A 8246-2019 tillsynsbegäran mail.docx", "A 8246-2019")</f>
        <v/>
      </c>
    </row>
    <row r="64" ht="15" customHeight="1">
      <c r="A64" t="inlineStr">
        <is>
          <t>A 21537-2019</t>
        </is>
      </c>
      <c r="B64" s="1" t="n">
        <v>43580</v>
      </c>
      <c r="C64" s="1" t="n">
        <v>45294</v>
      </c>
      <c r="D64" t="inlineStr">
        <is>
          <t>GOTLANDS LÄN</t>
        </is>
      </c>
      <c r="E64" t="inlineStr">
        <is>
          <t>GOTLAND</t>
        </is>
      </c>
      <c r="G64" t="n">
        <v>5.3</v>
      </c>
      <c r="H64" t="n">
        <v>1</v>
      </c>
      <c r="I64" t="n">
        <v>4</v>
      </c>
      <c r="J64" t="n">
        <v>0</v>
      </c>
      <c r="K64" t="n">
        <v>0</v>
      </c>
      <c r="L64" t="n">
        <v>0</v>
      </c>
      <c r="M64" t="n">
        <v>0</v>
      </c>
      <c r="N64" t="n">
        <v>0</v>
      </c>
      <c r="O64" t="n">
        <v>0</v>
      </c>
      <c r="P64" t="n">
        <v>0</v>
      </c>
      <c r="Q64" t="n">
        <v>4</v>
      </c>
      <c r="R64" s="2" t="inlineStr">
        <is>
          <t>Blåmossa
Granbarkgnagare
Kattfotslav
Tvåblad</t>
        </is>
      </c>
      <c r="S64">
        <f>HYPERLINK("https://klasma.github.io/Logging_0980/artfynd/A 21537-2019 artfynd.xlsx", "A 21537-2019")</f>
        <v/>
      </c>
      <c r="T64">
        <f>HYPERLINK("https://klasma.github.io/Logging_0980/kartor/A 21537-2019 karta.png", "A 21537-2019")</f>
        <v/>
      </c>
      <c r="V64">
        <f>HYPERLINK("https://klasma.github.io/Logging_0980/klagomål/A 21537-2019 FSC-klagomål.docx", "A 21537-2019")</f>
        <v/>
      </c>
      <c r="W64">
        <f>HYPERLINK("https://klasma.github.io/Logging_0980/klagomålsmail/A 21537-2019 FSC-klagomål mail.docx", "A 21537-2019")</f>
        <v/>
      </c>
      <c r="X64">
        <f>HYPERLINK("https://klasma.github.io/Logging_0980/tillsyn/A 21537-2019 tillsynsbegäran.docx", "A 21537-2019")</f>
        <v/>
      </c>
      <c r="Y64">
        <f>HYPERLINK("https://klasma.github.io/Logging_0980/tillsynsmail/A 21537-2019 tillsynsbegäran mail.docx", "A 21537-2019")</f>
        <v/>
      </c>
    </row>
    <row r="65" ht="15" customHeight="1">
      <c r="A65" t="inlineStr">
        <is>
          <t>A 39839-2019</t>
        </is>
      </c>
      <c r="B65" s="1" t="n">
        <v>43689</v>
      </c>
      <c r="C65" s="1" t="n">
        <v>45294</v>
      </c>
      <c r="D65" t="inlineStr">
        <is>
          <t>GOTLANDS LÄN</t>
        </is>
      </c>
      <c r="E65" t="inlineStr">
        <is>
          <t>GOTLAND</t>
        </is>
      </c>
      <c r="G65" t="n">
        <v>18.9</v>
      </c>
      <c r="H65" t="n">
        <v>1</v>
      </c>
      <c r="I65" t="n">
        <v>1</v>
      </c>
      <c r="J65" t="n">
        <v>3</v>
      </c>
      <c r="K65" t="n">
        <v>0</v>
      </c>
      <c r="L65" t="n">
        <v>0</v>
      </c>
      <c r="M65" t="n">
        <v>0</v>
      </c>
      <c r="N65" t="n">
        <v>0</v>
      </c>
      <c r="O65" t="n">
        <v>3</v>
      </c>
      <c r="P65" t="n">
        <v>0</v>
      </c>
      <c r="Q65" t="n">
        <v>4</v>
      </c>
      <c r="R65" s="2" t="inlineStr">
        <is>
          <t>Apollofjäril
Hårig blombock
Sexfläckig bastardsvärmare
Åttafläckig praktbagge</t>
        </is>
      </c>
      <c r="S65">
        <f>HYPERLINK("https://klasma.github.io/Logging_0980/artfynd/A 39839-2019 artfynd.xlsx", "A 39839-2019")</f>
        <v/>
      </c>
      <c r="T65">
        <f>HYPERLINK("https://klasma.github.io/Logging_0980/kartor/A 39839-2019 karta.png", "A 39839-2019")</f>
        <v/>
      </c>
      <c r="V65">
        <f>HYPERLINK("https://klasma.github.io/Logging_0980/klagomål/A 39839-2019 FSC-klagomål.docx", "A 39839-2019")</f>
        <v/>
      </c>
      <c r="W65">
        <f>HYPERLINK("https://klasma.github.io/Logging_0980/klagomålsmail/A 39839-2019 FSC-klagomål mail.docx", "A 39839-2019")</f>
        <v/>
      </c>
      <c r="X65">
        <f>HYPERLINK("https://klasma.github.io/Logging_0980/tillsyn/A 39839-2019 tillsynsbegäran.docx", "A 39839-2019")</f>
        <v/>
      </c>
      <c r="Y65">
        <f>HYPERLINK("https://klasma.github.io/Logging_0980/tillsynsmail/A 39839-2019 tillsynsbegäran mail.docx", "A 39839-2019")</f>
        <v/>
      </c>
    </row>
    <row r="66" ht="15" customHeight="1">
      <c r="A66" t="inlineStr">
        <is>
          <t>A 64378-2020</t>
        </is>
      </c>
      <c r="B66" s="1" t="n">
        <v>44168</v>
      </c>
      <c r="C66" s="1" t="n">
        <v>45294</v>
      </c>
      <c r="D66" t="inlineStr">
        <is>
          <t>GOTLANDS LÄN</t>
        </is>
      </c>
      <c r="E66" t="inlineStr">
        <is>
          <t>GOTLAND</t>
        </is>
      </c>
      <c r="G66" t="n">
        <v>2.1</v>
      </c>
      <c r="H66" t="n">
        <v>0</v>
      </c>
      <c r="I66" t="n">
        <v>1</v>
      </c>
      <c r="J66" t="n">
        <v>0</v>
      </c>
      <c r="K66" t="n">
        <v>2</v>
      </c>
      <c r="L66" t="n">
        <v>1</v>
      </c>
      <c r="M66" t="n">
        <v>0</v>
      </c>
      <c r="N66" t="n">
        <v>0</v>
      </c>
      <c r="O66" t="n">
        <v>3</v>
      </c>
      <c r="P66" t="n">
        <v>3</v>
      </c>
      <c r="Q66" t="n">
        <v>4</v>
      </c>
      <c r="R66" s="2" t="inlineStr">
        <is>
          <t>Sienamusseron
Bitter taggsvamp
Duvspindling
Fjällig taggsvamp s.str.</t>
        </is>
      </c>
      <c r="S66">
        <f>HYPERLINK("https://klasma.github.io/Logging_0980/artfynd/A 64378-2020 artfynd.xlsx", "A 64378-2020")</f>
        <v/>
      </c>
      <c r="T66">
        <f>HYPERLINK("https://klasma.github.io/Logging_0980/kartor/A 64378-2020 karta.png", "A 64378-2020")</f>
        <v/>
      </c>
      <c r="V66">
        <f>HYPERLINK("https://klasma.github.io/Logging_0980/klagomål/A 64378-2020 FSC-klagomål.docx", "A 64378-2020")</f>
        <v/>
      </c>
      <c r="W66">
        <f>HYPERLINK("https://klasma.github.io/Logging_0980/klagomålsmail/A 64378-2020 FSC-klagomål mail.docx", "A 64378-2020")</f>
        <v/>
      </c>
      <c r="X66">
        <f>HYPERLINK("https://klasma.github.io/Logging_0980/tillsyn/A 64378-2020 tillsynsbegäran.docx", "A 64378-2020")</f>
        <v/>
      </c>
      <c r="Y66">
        <f>HYPERLINK("https://klasma.github.io/Logging_0980/tillsynsmail/A 64378-2020 tillsynsbegäran mail.docx", "A 64378-2020")</f>
        <v/>
      </c>
    </row>
    <row r="67" ht="15" customHeight="1">
      <c r="A67" t="inlineStr">
        <is>
          <t>A 2223-2021</t>
        </is>
      </c>
      <c r="B67" s="1" t="n">
        <v>44211</v>
      </c>
      <c r="C67" s="1" t="n">
        <v>45294</v>
      </c>
      <c r="D67" t="inlineStr">
        <is>
          <t>GOTLANDS LÄN</t>
        </is>
      </c>
      <c r="E67" t="inlineStr">
        <is>
          <t>GOTLAND</t>
        </is>
      </c>
      <c r="G67" t="n">
        <v>2.2</v>
      </c>
      <c r="H67" t="n">
        <v>2</v>
      </c>
      <c r="I67" t="n">
        <v>4</v>
      </c>
      <c r="J67" t="n">
        <v>0</v>
      </c>
      <c r="K67" t="n">
        <v>0</v>
      </c>
      <c r="L67" t="n">
        <v>0</v>
      </c>
      <c r="M67" t="n">
        <v>0</v>
      </c>
      <c r="N67" t="n">
        <v>0</v>
      </c>
      <c r="O67" t="n">
        <v>0</v>
      </c>
      <c r="P67" t="n">
        <v>0</v>
      </c>
      <c r="Q67" t="n">
        <v>4</v>
      </c>
      <c r="R67" s="2" t="inlineStr">
        <is>
          <t>Blåmossa
Granbarkgnagare
Nästrot
Tvåblad</t>
        </is>
      </c>
      <c r="S67">
        <f>HYPERLINK("https://klasma.github.io/Logging_0980/artfynd/A 2223-2021 artfynd.xlsx", "A 2223-2021")</f>
        <v/>
      </c>
      <c r="T67">
        <f>HYPERLINK("https://klasma.github.io/Logging_0980/kartor/A 2223-2021 karta.png", "A 2223-2021")</f>
        <v/>
      </c>
      <c r="V67">
        <f>HYPERLINK("https://klasma.github.io/Logging_0980/klagomål/A 2223-2021 FSC-klagomål.docx", "A 2223-2021")</f>
        <v/>
      </c>
      <c r="W67">
        <f>HYPERLINK("https://klasma.github.io/Logging_0980/klagomålsmail/A 2223-2021 FSC-klagomål mail.docx", "A 2223-2021")</f>
        <v/>
      </c>
      <c r="X67">
        <f>HYPERLINK("https://klasma.github.io/Logging_0980/tillsyn/A 2223-2021 tillsynsbegäran.docx", "A 2223-2021")</f>
        <v/>
      </c>
      <c r="Y67">
        <f>HYPERLINK("https://klasma.github.io/Logging_0980/tillsynsmail/A 2223-2021 tillsynsbegäran mail.docx", "A 2223-2021")</f>
        <v/>
      </c>
    </row>
    <row r="68" ht="15" customHeight="1">
      <c r="A68" t="inlineStr">
        <is>
          <t>A 29331-2021</t>
        </is>
      </c>
      <c r="B68" s="1" t="n">
        <v>44361</v>
      </c>
      <c r="C68" s="1" t="n">
        <v>45294</v>
      </c>
      <c r="D68" t="inlineStr">
        <is>
          <t>GOTLANDS LÄN</t>
        </is>
      </c>
      <c r="E68" t="inlineStr">
        <is>
          <t>GOTLAND</t>
        </is>
      </c>
      <c r="G68" t="n">
        <v>3.7</v>
      </c>
      <c r="H68" t="n">
        <v>1</v>
      </c>
      <c r="I68" t="n">
        <v>4</v>
      </c>
      <c r="J68" t="n">
        <v>0</v>
      </c>
      <c r="K68" t="n">
        <v>0</v>
      </c>
      <c r="L68" t="n">
        <v>0</v>
      </c>
      <c r="M68" t="n">
        <v>0</v>
      </c>
      <c r="N68" t="n">
        <v>0</v>
      </c>
      <c r="O68" t="n">
        <v>0</v>
      </c>
      <c r="P68" t="n">
        <v>0</v>
      </c>
      <c r="Q68" t="n">
        <v>4</v>
      </c>
      <c r="R68" s="2" t="inlineStr">
        <is>
          <t>Blåmossa
Granbarkgnagare
Kattfotslav
Tvåblad</t>
        </is>
      </c>
      <c r="S68">
        <f>HYPERLINK("https://klasma.github.io/Logging_0980/artfynd/A 29331-2021 artfynd.xlsx", "A 29331-2021")</f>
        <v/>
      </c>
      <c r="T68">
        <f>HYPERLINK("https://klasma.github.io/Logging_0980/kartor/A 29331-2021 karta.png", "A 29331-2021")</f>
        <v/>
      </c>
      <c r="V68">
        <f>HYPERLINK("https://klasma.github.io/Logging_0980/klagomål/A 29331-2021 FSC-klagomål.docx", "A 29331-2021")</f>
        <v/>
      </c>
      <c r="W68">
        <f>HYPERLINK("https://klasma.github.io/Logging_0980/klagomålsmail/A 29331-2021 FSC-klagomål mail.docx", "A 29331-2021")</f>
        <v/>
      </c>
      <c r="X68">
        <f>HYPERLINK("https://klasma.github.io/Logging_0980/tillsyn/A 29331-2021 tillsynsbegäran.docx", "A 29331-2021")</f>
        <v/>
      </c>
      <c r="Y68">
        <f>HYPERLINK("https://klasma.github.io/Logging_0980/tillsynsmail/A 29331-2021 tillsynsbegäran mail.docx", "A 29331-2021")</f>
        <v/>
      </c>
    </row>
    <row r="69" ht="15" customHeight="1">
      <c r="A69" t="inlineStr">
        <is>
          <t>A 44933-2022</t>
        </is>
      </c>
      <c r="B69" s="1" t="n">
        <v>44841</v>
      </c>
      <c r="C69" s="1" t="n">
        <v>45294</v>
      </c>
      <c r="D69" t="inlineStr">
        <is>
          <t>GOTLANDS LÄN</t>
        </is>
      </c>
      <c r="E69" t="inlineStr">
        <is>
          <t>GOTLAND</t>
        </is>
      </c>
      <c r="G69" t="n">
        <v>4.5</v>
      </c>
      <c r="H69" t="n">
        <v>1</v>
      </c>
      <c r="I69" t="n">
        <v>2</v>
      </c>
      <c r="J69" t="n">
        <v>2</v>
      </c>
      <c r="K69" t="n">
        <v>0</v>
      </c>
      <c r="L69" t="n">
        <v>0</v>
      </c>
      <c r="M69" t="n">
        <v>0</v>
      </c>
      <c r="N69" t="n">
        <v>0</v>
      </c>
      <c r="O69" t="n">
        <v>2</v>
      </c>
      <c r="P69" t="n">
        <v>0</v>
      </c>
      <c r="Q69" t="n">
        <v>4</v>
      </c>
      <c r="R69" s="2" t="inlineStr">
        <is>
          <t>Ekvaxskivling
Odörspindling
Skarp dropptaggsvamp
Skogsknipprot</t>
        </is>
      </c>
      <c r="S69">
        <f>HYPERLINK("https://klasma.github.io/Logging_0980/artfynd/A 44933-2022 artfynd.xlsx", "A 44933-2022")</f>
        <v/>
      </c>
      <c r="T69">
        <f>HYPERLINK("https://klasma.github.io/Logging_0980/kartor/A 44933-2022 karta.png", "A 44933-2022")</f>
        <v/>
      </c>
      <c r="V69">
        <f>HYPERLINK("https://klasma.github.io/Logging_0980/klagomål/A 44933-2022 FSC-klagomål.docx", "A 44933-2022")</f>
        <v/>
      </c>
      <c r="W69">
        <f>HYPERLINK("https://klasma.github.io/Logging_0980/klagomålsmail/A 44933-2022 FSC-klagomål mail.docx", "A 44933-2022")</f>
        <v/>
      </c>
      <c r="X69">
        <f>HYPERLINK("https://klasma.github.io/Logging_0980/tillsyn/A 44933-2022 tillsynsbegäran.docx", "A 44933-2022")</f>
        <v/>
      </c>
      <c r="Y69">
        <f>HYPERLINK("https://klasma.github.io/Logging_0980/tillsynsmail/A 44933-2022 tillsynsbegäran mail.docx", "A 44933-2022")</f>
        <v/>
      </c>
    </row>
    <row r="70" ht="15" customHeight="1">
      <c r="A70" t="inlineStr">
        <is>
          <t>A 47526-2022</t>
        </is>
      </c>
      <c r="B70" s="1" t="n">
        <v>44853</v>
      </c>
      <c r="C70" s="1" t="n">
        <v>45294</v>
      </c>
      <c r="D70" t="inlineStr">
        <is>
          <t>GOTLANDS LÄN</t>
        </is>
      </c>
      <c r="E70" t="inlineStr">
        <is>
          <t>GOTLAND</t>
        </is>
      </c>
      <c r="G70" t="n">
        <v>9.800000000000001</v>
      </c>
      <c r="H70" t="n">
        <v>3</v>
      </c>
      <c r="I70" t="n">
        <v>0</v>
      </c>
      <c r="J70" t="n">
        <v>2</v>
      </c>
      <c r="K70" t="n">
        <v>0</v>
      </c>
      <c r="L70" t="n">
        <v>0</v>
      </c>
      <c r="M70" t="n">
        <v>0</v>
      </c>
      <c r="N70" t="n">
        <v>0</v>
      </c>
      <c r="O70" t="n">
        <v>2</v>
      </c>
      <c r="P70" t="n">
        <v>0</v>
      </c>
      <c r="Q70" t="n">
        <v>4</v>
      </c>
      <c r="R70" s="2" t="inlineStr">
        <is>
          <t>Dårgräsfjäril
Svinrot
Sankt pers nycklar
Blåsippa</t>
        </is>
      </c>
      <c r="S70">
        <f>HYPERLINK("https://klasma.github.io/Logging_0980/artfynd/A 47526-2022 artfynd.xlsx", "A 47526-2022")</f>
        <v/>
      </c>
      <c r="T70">
        <f>HYPERLINK("https://klasma.github.io/Logging_0980/kartor/A 47526-2022 karta.png", "A 47526-2022")</f>
        <v/>
      </c>
      <c r="V70">
        <f>HYPERLINK("https://klasma.github.io/Logging_0980/klagomål/A 47526-2022 FSC-klagomål.docx", "A 47526-2022")</f>
        <v/>
      </c>
      <c r="W70">
        <f>HYPERLINK("https://klasma.github.io/Logging_0980/klagomålsmail/A 47526-2022 FSC-klagomål mail.docx", "A 47526-2022")</f>
        <v/>
      </c>
      <c r="X70">
        <f>HYPERLINK("https://klasma.github.io/Logging_0980/tillsyn/A 47526-2022 tillsynsbegäran.docx", "A 47526-2022")</f>
        <v/>
      </c>
      <c r="Y70">
        <f>HYPERLINK("https://klasma.github.io/Logging_0980/tillsynsmail/A 47526-2022 tillsynsbegäran mail.docx", "A 47526-2022")</f>
        <v/>
      </c>
    </row>
    <row r="71" ht="15" customHeight="1">
      <c r="A71" t="inlineStr">
        <is>
          <t>A 186-2023</t>
        </is>
      </c>
      <c r="B71" s="1" t="n">
        <v>44928</v>
      </c>
      <c r="C71" s="1" t="n">
        <v>45294</v>
      </c>
      <c r="D71" t="inlineStr">
        <is>
          <t>GOTLANDS LÄN</t>
        </is>
      </c>
      <c r="E71" t="inlineStr">
        <is>
          <t>GOTLAND</t>
        </is>
      </c>
      <c r="G71" t="n">
        <v>2.2</v>
      </c>
      <c r="H71" t="n">
        <v>2</v>
      </c>
      <c r="I71" t="n">
        <v>2</v>
      </c>
      <c r="J71" t="n">
        <v>0</v>
      </c>
      <c r="K71" t="n">
        <v>2</v>
      </c>
      <c r="L71" t="n">
        <v>0</v>
      </c>
      <c r="M71" t="n">
        <v>0</v>
      </c>
      <c r="N71" t="n">
        <v>0</v>
      </c>
      <c r="O71" t="n">
        <v>2</v>
      </c>
      <c r="P71" t="n">
        <v>2</v>
      </c>
      <c r="Q71" t="n">
        <v>4</v>
      </c>
      <c r="R71" s="2" t="inlineStr">
        <is>
          <t>Svartgrön spindling
Vit taggsvamp
Nästrot
Skogsknipprot</t>
        </is>
      </c>
      <c r="S71">
        <f>HYPERLINK("https://klasma.github.io/Logging_0980/artfynd/A 186-2023 artfynd.xlsx", "A 186-2023")</f>
        <v/>
      </c>
      <c r="T71">
        <f>HYPERLINK("https://klasma.github.io/Logging_0980/kartor/A 186-2023 karta.png", "A 186-2023")</f>
        <v/>
      </c>
      <c r="V71">
        <f>HYPERLINK("https://klasma.github.io/Logging_0980/klagomål/A 186-2023 FSC-klagomål.docx", "A 186-2023")</f>
        <v/>
      </c>
      <c r="W71">
        <f>HYPERLINK("https://klasma.github.io/Logging_0980/klagomålsmail/A 186-2023 FSC-klagomål mail.docx", "A 186-2023")</f>
        <v/>
      </c>
      <c r="X71">
        <f>HYPERLINK("https://klasma.github.io/Logging_0980/tillsyn/A 186-2023 tillsynsbegäran.docx", "A 186-2023")</f>
        <v/>
      </c>
      <c r="Y71">
        <f>HYPERLINK("https://klasma.github.io/Logging_0980/tillsynsmail/A 186-2023 tillsynsbegäran mail.docx", "A 186-2023")</f>
        <v/>
      </c>
    </row>
    <row r="72" ht="15" customHeight="1">
      <c r="A72" t="inlineStr">
        <is>
          <t>A 445-2023</t>
        </is>
      </c>
      <c r="B72" s="1" t="n">
        <v>44929</v>
      </c>
      <c r="C72" s="1" t="n">
        <v>45294</v>
      </c>
      <c r="D72" t="inlineStr">
        <is>
          <t>GOTLANDS LÄN</t>
        </is>
      </c>
      <c r="E72" t="inlineStr">
        <is>
          <t>GOTLAND</t>
        </is>
      </c>
      <c r="G72" t="n">
        <v>4.9</v>
      </c>
      <c r="H72" t="n">
        <v>0</v>
      </c>
      <c r="I72" t="n">
        <v>1</v>
      </c>
      <c r="J72" t="n">
        <v>1</v>
      </c>
      <c r="K72" t="n">
        <v>2</v>
      </c>
      <c r="L72" t="n">
        <v>0</v>
      </c>
      <c r="M72" t="n">
        <v>0</v>
      </c>
      <c r="N72" t="n">
        <v>0</v>
      </c>
      <c r="O72" t="n">
        <v>3</v>
      </c>
      <c r="P72" t="n">
        <v>2</v>
      </c>
      <c r="Q72" t="n">
        <v>4</v>
      </c>
      <c r="R72" s="2" t="inlineStr">
        <is>
          <t>Granrotspindling
Taggfingersvamp
Jordtistel
Rödgul trumpetsvamp</t>
        </is>
      </c>
      <c r="S72">
        <f>HYPERLINK("https://klasma.github.io/Logging_0980/artfynd/A 445-2023 artfynd.xlsx", "A 445-2023")</f>
        <v/>
      </c>
      <c r="T72">
        <f>HYPERLINK("https://klasma.github.io/Logging_0980/kartor/A 445-2023 karta.png", "A 445-2023")</f>
        <v/>
      </c>
      <c r="V72">
        <f>HYPERLINK("https://klasma.github.io/Logging_0980/klagomål/A 445-2023 FSC-klagomål.docx", "A 445-2023")</f>
        <v/>
      </c>
      <c r="W72">
        <f>HYPERLINK("https://klasma.github.io/Logging_0980/klagomålsmail/A 445-2023 FSC-klagomål mail.docx", "A 445-2023")</f>
        <v/>
      </c>
      <c r="X72">
        <f>HYPERLINK("https://klasma.github.io/Logging_0980/tillsyn/A 445-2023 tillsynsbegäran.docx", "A 445-2023")</f>
        <v/>
      </c>
      <c r="Y72">
        <f>HYPERLINK("https://klasma.github.io/Logging_0980/tillsynsmail/A 445-2023 tillsynsbegäran mail.docx", "A 445-2023")</f>
        <v/>
      </c>
    </row>
    <row r="73" ht="15" customHeight="1">
      <c r="A73" t="inlineStr">
        <is>
          <t>A 584-2023</t>
        </is>
      </c>
      <c r="B73" s="1" t="n">
        <v>44930</v>
      </c>
      <c r="C73" s="1" t="n">
        <v>45294</v>
      </c>
      <c r="D73" t="inlineStr">
        <is>
          <t>GOTLANDS LÄN</t>
        </is>
      </c>
      <c r="E73" t="inlineStr">
        <is>
          <t>GOTLAND</t>
        </is>
      </c>
      <c r="G73" t="n">
        <v>27.2</v>
      </c>
      <c r="H73" t="n">
        <v>0</v>
      </c>
      <c r="I73" t="n">
        <v>2</v>
      </c>
      <c r="J73" t="n">
        <v>1</v>
      </c>
      <c r="K73" t="n">
        <v>1</v>
      </c>
      <c r="L73" t="n">
        <v>0</v>
      </c>
      <c r="M73" t="n">
        <v>0</v>
      </c>
      <c r="N73" t="n">
        <v>0</v>
      </c>
      <c r="O73" t="n">
        <v>2</v>
      </c>
      <c r="P73" t="n">
        <v>1</v>
      </c>
      <c r="Q73" t="n">
        <v>4</v>
      </c>
      <c r="R73" s="2" t="inlineStr">
        <is>
          <t>Granrotspindling
Gulfotad denisespindling
Rödgul trumpetsvamp
Vågbandad barkbock</t>
        </is>
      </c>
      <c r="S73">
        <f>HYPERLINK("https://klasma.github.io/Logging_0980/artfynd/A 584-2023 artfynd.xlsx", "A 584-2023")</f>
        <v/>
      </c>
      <c r="T73">
        <f>HYPERLINK("https://klasma.github.io/Logging_0980/kartor/A 584-2023 karta.png", "A 584-2023")</f>
        <v/>
      </c>
      <c r="V73">
        <f>HYPERLINK("https://klasma.github.io/Logging_0980/klagomål/A 584-2023 FSC-klagomål.docx", "A 584-2023")</f>
        <v/>
      </c>
      <c r="W73">
        <f>HYPERLINK("https://klasma.github.io/Logging_0980/klagomålsmail/A 584-2023 FSC-klagomål mail.docx", "A 584-2023")</f>
        <v/>
      </c>
      <c r="X73">
        <f>HYPERLINK("https://klasma.github.io/Logging_0980/tillsyn/A 584-2023 tillsynsbegäran.docx", "A 584-2023")</f>
        <v/>
      </c>
      <c r="Y73">
        <f>HYPERLINK("https://klasma.github.io/Logging_0980/tillsynsmail/A 584-2023 tillsynsbegäran mail.docx", "A 584-2023")</f>
        <v/>
      </c>
    </row>
    <row r="74" ht="15" customHeight="1">
      <c r="A74" t="inlineStr">
        <is>
          <t>A 6159-2023</t>
        </is>
      </c>
      <c r="B74" s="1" t="n">
        <v>44964</v>
      </c>
      <c r="C74" s="1" t="n">
        <v>45294</v>
      </c>
      <c r="D74" t="inlineStr">
        <is>
          <t>GOTLANDS LÄN</t>
        </is>
      </c>
      <c r="E74" t="inlineStr">
        <is>
          <t>GOTLAND</t>
        </is>
      </c>
      <c r="G74" t="n">
        <v>2</v>
      </c>
      <c r="H74" t="n">
        <v>0</v>
      </c>
      <c r="I74" t="n">
        <v>2</v>
      </c>
      <c r="J74" t="n">
        <v>2</v>
      </c>
      <c r="K74" t="n">
        <v>0</v>
      </c>
      <c r="L74" t="n">
        <v>0</v>
      </c>
      <c r="M74" t="n">
        <v>0</v>
      </c>
      <c r="N74" t="n">
        <v>0</v>
      </c>
      <c r="O74" t="n">
        <v>2</v>
      </c>
      <c r="P74" t="n">
        <v>0</v>
      </c>
      <c r="Q74" t="n">
        <v>4</v>
      </c>
      <c r="R74" s="2" t="inlineStr">
        <is>
          <t>Dofttaggsvamp
Odörspindling
Anisspindling
Olivspindling</t>
        </is>
      </c>
      <c r="S74">
        <f>HYPERLINK("https://klasma.github.io/Logging_0980/artfynd/A 6159-2023 artfynd.xlsx", "A 6159-2023")</f>
        <v/>
      </c>
      <c r="T74">
        <f>HYPERLINK("https://klasma.github.io/Logging_0980/kartor/A 6159-2023 karta.png", "A 6159-2023")</f>
        <v/>
      </c>
      <c r="V74">
        <f>HYPERLINK("https://klasma.github.io/Logging_0980/klagomål/A 6159-2023 FSC-klagomål.docx", "A 6159-2023")</f>
        <v/>
      </c>
      <c r="W74">
        <f>HYPERLINK("https://klasma.github.io/Logging_0980/klagomålsmail/A 6159-2023 FSC-klagomål mail.docx", "A 6159-2023")</f>
        <v/>
      </c>
      <c r="X74">
        <f>HYPERLINK("https://klasma.github.io/Logging_0980/tillsyn/A 6159-2023 tillsynsbegäran.docx", "A 6159-2023")</f>
        <v/>
      </c>
      <c r="Y74">
        <f>HYPERLINK("https://klasma.github.io/Logging_0980/tillsynsmail/A 6159-2023 tillsynsbegäran mail.docx", "A 6159-2023")</f>
        <v/>
      </c>
    </row>
    <row r="75" ht="15" customHeight="1">
      <c r="A75" t="inlineStr">
        <is>
          <t>A 43197-2023</t>
        </is>
      </c>
      <c r="B75" s="1" t="n">
        <v>45183</v>
      </c>
      <c r="C75" s="1" t="n">
        <v>45294</v>
      </c>
      <c r="D75" t="inlineStr">
        <is>
          <t>GOTLANDS LÄN</t>
        </is>
      </c>
      <c r="E75" t="inlineStr">
        <is>
          <t>GOTLAND</t>
        </is>
      </c>
      <c r="G75" t="n">
        <v>3.7</v>
      </c>
      <c r="H75" t="n">
        <v>2</v>
      </c>
      <c r="I75" t="n">
        <v>1</v>
      </c>
      <c r="J75" t="n">
        <v>1</v>
      </c>
      <c r="K75" t="n">
        <v>1</v>
      </c>
      <c r="L75" t="n">
        <v>0</v>
      </c>
      <c r="M75" t="n">
        <v>0</v>
      </c>
      <c r="N75" t="n">
        <v>0</v>
      </c>
      <c r="O75" t="n">
        <v>2</v>
      </c>
      <c r="P75" t="n">
        <v>1</v>
      </c>
      <c r="Q75" t="n">
        <v>4</v>
      </c>
      <c r="R75" s="2" t="inlineStr">
        <is>
          <t>Allékantlav
Svinrot
Skogsknipprot
Revlummer</t>
        </is>
      </c>
      <c r="S75">
        <f>HYPERLINK("https://klasma.github.io/Logging_0980/artfynd/A 43197-2023 artfynd.xlsx", "A 43197-2023")</f>
        <v/>
      </c>
      <c r="T75">
        <f>HYPERLINK("https://klasma.github.io/Logging_0980/kartor/A 43197-2023 karta.png", "A 43197-2023")</f>
        <v/>
      </c>
      <c r="V75">
        <f>HYPERLINK("https://klasma.github.io/Logging_0980/klagomål/A 43197-2023 FSC-klagomål.docx", "A 43197-2023")</f>
        <v/>
      </c>
      <c r="W75">
        <f>HYPERLINK("https://klasma.github.io/Logging_0980/klagomålsmail/A 43197-2023 FSC-klagomål mail.docx", "A 43197-2023")</f>
        <v/>
      </c>
      <c r="X75">
        <f>HYPERLINK("https://klasma.github.io/Logging_0980/tillsyn/A 43197-2023 tillsynsbegäran.docx", "A 43197-2023")</f>
        <v/>
      </c>
      <c r="Y75">
        <f>HYPERLINK("https://klasma.github.io/Logging_0980/tillsynsmail/A 43197-2023 tillsynsbegäran mail.docx", "A 43197-2023")</f>
        <v/>
      </c>
    </row>
    <row r="76" ht="15" customHeight="1">
      <c r="A76" t="inlineStr">
        <is>
          <t>A 45682-2023</t>
        </is>
      </c>
      <c r="B76" s="1" t="n">
        <v>45195</v>
      </c>
      <c r="C76" s="1" t="n">
        <v>45294</v>
      </c>
      <c r="D76" t="inlineStr">
        <is>
          <t>GOTLANDS LÄN</t>
        </is>
      </c>
      <c r="E76" t="inlineStr">
        <is>
          <t>GOTLAND</t>
        </is>
      </c>
      <c r="G76" t="n">
        <v>13.9</v>
      </c>
      <c r="H76" t="n">
        <v>2</v>
      </c>
      <c r="I76" t="n">
        <v>2</v>
      </c>
      <c r="J76" t="n">
        <v>1</v>
      </c>
      <c r="K76" t="n">
        <v>0</v>
      </c>
      <c r="L76" t="n">
        <v>0</v>
      </c>
      <c r="M76" t="n">
        <v>0</v>
      </c>
      <c r="N76" t="n">
        <v>0</v>
      </c>
      <c r="O76" t="n">
        <v>1</v>
      </c>
      <c r="P76" t="n">
        <v>0</v>
      </c>
      <c r="Q76" t="n">
        <v>4</v>
      </c>
      <c r="R76" s="2" t="inlineStr">
        <is>
          <t>Loppstarr
Flugblomster
Kalktallört
Dactylorhiza incarnata subsp. incarnata</t>
        </is>
      </c>
      <c r="S76">
        <f>HYPERLINK("https://klasma.github.io/Logging_0980/artfynd/A 45682-2023 artfynd.xlsx", "A 45682-2023")</f>
        <v/>
      </c>
      <c r="T76">
        <f>HYPERLINK("https://klasma.github.io/Logging_0980/kartor/A 45682-2023 karta.png", "A 45682-2023")</f>
        <v/>
      </c>
      <c r="V76">
        <f>HYPERLINK("https://klasma.github.io/Logging_0980/klagomål/A 45682-2023 FSC-klagomål.docx", "A 45682-2023")</f>
        <v/>
      </c>
      <c r="W76">
        <f>HYPERLINK("https://klasma.github.io/Logging_0980/klagomålsmail/A 45682-2023 FSC-klagomål mail.docx", "A 45682-2023")</f>
        <v/>
      </c>
      <c r="X76">
        <f>HYPERLINK("https://klasma.github.io/Logging_0980/tillsyn/A 45682-2023 tillsynsbegäran.docx", "A 45682-2023")</f>
        <v/>
      </c>
      <c r="Y76">
        <f>HYPERLINK("https://klasma.github.io/Logging_0980/tillsynsmail/A 45682-2023 tillsynsbegäran mail.docx", "A 45682-2023")</f>
        <v/>
      </c>
    </row>
    <row r="77" ht="15" customHeight="1">
      <c r="A77" t="inlineStr">
        <is>
          <t>A 52322-2018</t>
        </is>
      </c>
      <c r="B77" s="1" t="n">
        <v>43388</v>
      </c>
      <c r="C77" s="1" t="n">
        <v>45294</v>
      </c>
      <c r="D77" t="inlineStr">
        <is>
          <t>GOTLANDS LÄN</t>
        </is>
      </c>
      <c r="E77" t="inlineStr">
        <is>
          <t>GOTLAND</t>
        </is>
      </c>
      <c r="G77" t="n">
        <v>2.7</v>
      </c>
      <c r="H77" t="n">
        <v>0</v>
      </c>
      <c r="I77" t="n">
        <v>3</v>
      </c>
      <c r="J77" t="n">
        <v>0</v>
      </c>
      <c r="K77" t="n">
        <v>0</v>
      </c>
      <c r="L77" t="n">
        <v>0</v>
      </c>
      <c r="M77" t="n">
        <v>0</v>
      </c>
      <c r="N77" t="n">
        <v>0</v>
      </c>
      <c r="O77" t="n">
        <v>0</v>
      </c>
      <c r="P77" t="n">
        <v>0</v>
      </c>
      <c r="Q77" t="n">
        <v>3</v>
      </c>
      <c r="R77" s="2" t="inlineStr">
        <is>
          <t>Fjällig taggsvamp s.str.
Rödgul trumpetsvamp
Svavelriska</t>
        </is>
      </c>
      <c r="S77">
        <f>HYPERLINK("https://klasma.github.io/Logging_0980/artfynd/A 52322-2018 artfynd.xlsx", "A 52322-2018")</f>
        <v/>
      </c>
      <c r="T77">
        <f>HYPERLINK("https://klasma.github.io/Logging_0980/kartor/A 52322-2018 karta.png", "A 52322-2018")</f>
        <v/>
      </c>
      <c r="V77">
        <f>HYPERLINK("https://klasma.github.io/Logging_0980/klagomål/A 52322-2018 FSC-klagomål.docx", "A 52322-2018")</f>
        <v/>
      </c>
      <c r="W77">
        <f>HYPERLINK("https://klasma.github.io/Logging_0980/klagomålsmail/A 52322-2018 FSC-klagomål mail.docx", "A 52322-2018")</f>
        <v/>
      </c>
      <c r="X77">
        <f>HYPERLINK("https://klasma.github.io/Logging_0980/tillsyn/A 52322-2018 tillsynsbegäran.docx", "A 52322-2018")</f>
        <v/>
      </c>
      <c r="Y77">
        <f>HYPERLINK("https://klasma.github.io/Logging_0980/tillsynsmail/A 52322-2018 tillsynsbegäran mail.docx", "A 52322-2018")</f>
        <v/>
      </c>
    </row>
    <row r="78" ht="15" customHeight="1">
      <c r="A78" t="inlineStr">
        <is>
          <t>A 1878-2019</t>
        </is>
      </c>
      <c r="B78" s="1" t="n">
        <v>43474</v>
      </c>
      <c r="C78" s="1" t="n">
        <v>45294</v>
      </c>
      <c r="D78" t="inlineStr">
        <is>
          <t>GOTLANDS LÄN</t>
        </is>
      </c>
      <c r="E78" t="inlineStr">
        <is>
          <t>GOTLAND</t>
        </is>
      </c>
      <c r="G78" t="n">
        <v>8.6</v>
      </c>
      <c r="H78" t="n">
        <v>1</v>
      </c>
      <c r="I78" t="n">
        <v>0</v>
      </c>
      <c r="J78" t="n">
        <v>2</v>
      </c>
      <c r="K78" t="n">
        <v>0</v>
      </c>
      <c r="L78" t="n">
        <v>0</v>
      </c>
      <c r="M78" t="n">
        <v>0</v>
      </c>
      <c r="N78" t="n">
        <v>0</v>
      </c>
      <c r="O78" t="n">
        <v>2</v>
      </c>
      <c r="P78" t="n">
        <v>0</v>
      </c>
      <c r="Q78" t="n">
        <v>3</v>
      </c>
      <c r="R78" s="2" t="inlineStr">
        <is>
          <t>Jordtistel
Slåtterfibbla
Nattviol × grönvit nattviol</t>
        </is>
      </c>
      <c r="S78">
        <f>HYPERLINK("https://klasma.github.io/Logging_0980/artfynd/A 1878-2019 artfynd.xlsx", "A 1878-2019")</f>
        <v/>
      </c>
      <c r="T78">
        <f>HYPERLINK("https://klasma.github.io/Logging_0980/kartor/A 1878-2019 karta.png", "A 1878-2019")</f>
        <v/>
      </c>
      <c r="V78">
        <f>HYPERLINK("https://klasma.github.io/Logging_0980/klagomål/A 1878-2019 FSC-klagomål.docx", "A 1878-2019")</f>
        <v/>
      </c>
      <c r="W78">
        <f>HYPERLINK("https://klasma.github.io/Logging_0980/klagomålsmail/A 1878-2019 FSC-klagomål mail.docx", "A 1878-2019")</f>
        <v/>
      </c>
      <c r="X78">
        <f>HYPERLINK("https://klasma.github.io/Logging_0980/tillsyn/A 1878-2019 tillsynsbegäran.docx", "A 1878-2019")</f>
        <v/>
      </c>
      <c r="Y78">
        <f>HYPERLINK("https://klasma.github.io/Logging_0980/tillsynsmail/A 1878-2019 tillsynsbegäran mail.docx", "A 1878-2019")</f>
        <v/>
      </c>
    </row>
    <row r="79" ht="15" customHeight="1">
      <c r="A79" t="inlineStr">
        <is>
          <t>A 4045-2019</t>
        </is>
      </c>
      <c r="B79" s="1" t="n">
        <v>43482</v>
      </c>
      <c r="C79" s="1" t="n">
        <v>45294</v>
      </c>
      <c r="D79" t="inlineStr">
        <is>
          <t>GOTLANDS LÄN</t>
        </is>
      </c>
      <c r="E79" t="inlineStr">
        <is>
          <t>GOTLAND</t>
        </is>
      </c>
      <c r="G79" t="n">
        <v>13.9</v>
      </c>
      <c r="H79" t="n">
        <v>1</v>
      </c>
      <c r="I79" t="n">
        <v>0</v>
      </c>
      <c r="J79" t="n">
        <v>1</v>
      </c>
      <c r="K79" t="n">
        <v>1</v>
      </c>
      <c r="L79" t="n">
        <v>1</v>
      </c>
      <c r="M79" t="n">
        <v>0</v>
      </c>
      <c r="N79" t="n">
        <v>0</v>
      </c>
      <c r="O79" t="n">
        <v>3</v>
      </c>
      <c r="P79" t="n">
        <v>2</v>
      </c>
      <c r="Q79" t="n">
        <v>3</v>
      </c>
      <c r="R79" s="2" t="inlineStr">
        <is>
          <t>Ryl
Knärot
Tallticka</t>
        </is>
      </c>
      <c r="S79">
        <f>HYPERLINK("https://klasma.github.io/Logging_0980/artfynd/A 4045-2019 artfynd.xlsx", "A 4045-2019")</f>
        <v/>
      </c>
      <c r="T79">
        <f>HYPERLINK("https://klasma.github.io/Logging_0980/kartor/A 4045-2019 karta.png", "A 4045-2019")</f>
        <v/>
      </c>
      <c r="U79">
        <f>HYPERLINK("https://klasma.github.io/Logging_0980/knärot/A 4045-2019 karta knärot.png", "A 4045-2019")</f>
        <v/>
      </c>
      <c r="V79">
        <f>HYPERLINK("https://klasma.github.io/Logging_0980/klagomål/A 4045-2019 FSC-klagomål.docx", "A 4045-2019")</f>
        <v/>
      </c>
      <c r="W79">
        <f>HYPERLINK("https://klasma.github.io/Logging_0980/klagomålsmail/A 4045-2019 FSC-klagomål mail.docx", "A 4045-2019")</f>
        <v/>
      </c>
      <c r="X79">
        <f>HYPERLINK("https://klasma.github.io/Logging_0980/tillsyn/A 4045-2019 tillsynsbegäran.docx", "A 4045-2019")</f>
        <v/>
      </c>
      <c r="Y79">
        <f>HYPERLINK("https://klasma.github.io/Logging_0980/tillsynsmail/A 4045-2019 tillsynsbegäran mail.docx", "A 4045-2019")</f>
        <v/>
      </c>
    </row>
    <row r="80" ht="15" customHeight="1">
      <c r="A80" t="inlineStr">
        <is>
          <t>A 21897-2019</t>
        </is>
      </c>
      <c r="B80" s="1" t="n">
        <v>43584</v>
      </c>
      <c r="C80" s="1" t="n">
        <v>45294</v>
      </c>
      <c r="D80" t="inlineStr">
        <is>
          <t>GOTLANDS LÄN</t>
        </is>
      </c>
      <c r="E80" t="inlineStr">
        <is>
          <t>GOTLAND</t>
        </is>
      </c>
      <c r="G80" t="n">
        <v>7.4</v>
      </c>
      <c r="H80" t="n">
        <v>3</v>
      </c>
      <c r="I80" t="n">
        <v>1</v>
      </c>
      <c r="J80" t="n">
        <v>0</v>
      </c>
      <c r="K80" t="n">
        <v>0</v>
      </c>
      <c r="L80" t="n">
        <v>0</v>
      </c>
      <c r="M80" t="n">
        <v>0</v>
      </c>
      <c r="N80" t="n">
        <v>0</v>
      </c>
      <c r="O80" t="n">
        <v>0</v>
      </c>
      <c r="P80" t="n">
        <v>0</v>
      </c>
      <c r="Q80" t="n">
        <v>3</v>
      </c>
      <c r="R80" s="2" t="inlineStr">
        <is>
          <t>Korallrot
Nattviol
Lopplummer</t>
        </is>
      </c>
      <c r="S80">
        <f>HYPERLINK("https://klasma.github.io/Logging_0980/artfynd/A 21897-2019 artfynd.xlsx", "A 21897-2019")</f>
        <v/>
      </c>
      <c r="T80">
        <f>HYPERLINK("https://klasma.github.io/Logging_0980/kartor/A 21897-2019 karta.png", "A 21897-2019")</f>
        <v/>
      </c>
      <c r="V80">
        <f>HYPERLINK("https://klasma.github.io/Logging_0980/klagomål/A 21897-2019 FSC-klagomål.docx", "A 21897-2019")</f>
        <v/>
      </c>
      <c r="W80">
        <f>HYPERLINK("https://klasma.github.io/Logging_0980/klagomålsmail/A 21897-2019 FSC-klagomål mail.docx", "A 21897-2019")</f>
        <v/>
      </c>
      <c r="X80">
        <f>HYPERLINK("https://klasma.github.io/Logging_0980/tillsyn/A 21897-2019 tillsynsbegäran.docx", "A 21897-2019")</f>
        <v/>
      </c>
      <c r="Y80">
        <f>HYPERLINK("https://klasma.github.io/Logging_0980/tillsynsmail/A 21897-2019 tillsynsbegäran mail.docx", "A 21897-2019")</f>
        <v/>
      </c>
    </row>
    <row r="81" ht="15" customHeight="1">
      <c r="A81" t="inlineStr">
        <is>
          <t>A 66053-2019</t>
        </is>
      </c>
      <c r="B81" s="1" t="n">
        <v>43806</v>
      </c>
      <c r="C81" s="1" t="n">
        <v>45294</v>
      </c>
      <c r="D81" t="inlineStr">
        <is>
          <t>GOTLANDS LÄN</t>
        </is>
      </c>
      <c r="E81" t="inlineStr">
        <is>
          <t>GOTLAND</t>
        </is>
      </c>
      <c r="G81" t="n">
        <v>58.6</v>
      </c>
      <c r="H81" t="n">
        <v>2</v>
      </c>
      <c r="I81" t="n">
        <v>0</v>
      </c>
      <c r="J81" t="n">
        <v>1</v>
      </c>
      <c r="K81" t="n">
        <v>2</v>
      </c>
      <c r="L81" t="n">
        <v>0</v>
      </c>
      <c r="M81" t="n">
        <v>0</v>
      </c>
      <c r="N81" t="n">
        <v>0</v>
      </c>
      <c r="O81" t="n">
        <v>3</v>
      </c>
      <c r="P81" t="n">
        <v>2</v>
      </c>
      <c r="Q81" t="n">
        <v>3</v>
      </c>
      <c r="R81" s="2" t="inlineStr">
        <is>
          <t>Falsk guldskivlav
Garderönn
Apollofjäril</t>
        </is>
      </c>
      <c r="S81">
        <f>HYPERLINK("https://klasma.github.io/Logging_0980/artfynd/A 66053-2019 artfynd.xlsx", "A 66053-2019")</f>
        <v/>
      </c>
      <c r="T81">
        <f>HYPERLINK("https://klasma.github.io/Logging_0980/kartor/A 66053-2019 karta.png", "A 66053-2019")</f>
        <v/>
      </c>
      <c r="V81">
        <f>HYPERLINK("https://klasma.github.io/Logging_0980/klagomål/A 66053-2019 FSC-klagomål.docx", "A 66053-2019")</f>
        <v/>
      </c>
      <c r="W81">
        <f>HYPERLINK("https://klasma.github.io/Logging_0980/klagomålsmail/A 66053-2019 FSC-klagomål mail.docx", "A 66053-2019")</f>
        <v/>
      </c>
      <c r="X81">
        <f>HYPERLINK("https://klasma.github.io/Logging_0980/tillsyn/A 66053-2019 tillsynsbegäran.docx", "A 66053-2019")</f>
        <v/>
      </c>
      <c r="Y81">
        <f>HYPERLINK("https://klasma.github.io/Logging_0980/tillsynsmail/A 66053-2019 tillsynsbegäran mail.docx", "A 66053-2019")</f>
        <v/>
      </c>
    </row>
    <row r="82" ht="15" customHeight="1">
      <c r="A82" t="inlineStr">
        <is>
          <t>A 3218-2020</t>
        </is>
      </c>
      <c r="B82" s="1" t="n">
        <v>43851</v>
      </c>
      <c r="C82" s="1" t="n">
        <v>45294</v>
      </c>
      <c r="D82" t="inlineStr">
        <is>
          <t>GOTLANDS LÄN</t>
        </is>
      </c>
      <c r="E82" t="inlineStr">
        <is>
          <t>GOTLAND</t>
        </is>
      </c>
      <c r="G82" t="n">
        <v>7.8</v>
      </c>
      <c r="H82" t="n">
        <v>3</v>
      </c>
      <c r="I82" t="n">
        <v>0</v>
      </c>
      <c r="J82" t="n">
        <v>0</v>
      </c>
      <c r="K82" t="n">
        <v>0</v>
      </c>
      <c r="L82" t="n">
        <v>0</v>
      </c>
      <c r="M82" t="n">
        <v>0</v>
      </c>
      <c r="N82" t="n">
        <v>0</v>
      </c>
      <c r="O82" t="n">
        <v>0</v>
      </c>
      <c r="P82" t="n">
        <v>0</v>
      </c>
      <c r="Q82" t="n">
        <v>3</v>
      </c>
      <c r="R82" s="2" t="inlineStr">
        <is>
          <t>Åkergroda
Mindre vattensalamander
Vanlig padda</t>
        </is>
      </c>
      <c r="S82">
        <f>HYPERLINK("https://klasma.github.io/Logging_0980/artfynd/A 3218-2020 artfynd.xlsx", "A 3218-2020")</f>
        <v/>
      </c>
      <c r="T82">
        <f>HYPERLINK("https://klasma.github.io/Logging_0980/kartor/A 3218-2020 karta.png", "A 3218-2020")</f>
        <v/>
      </c>
      <c r="V82">
        <f>HYPERLINK("https://klasma.github.io/Logging_0980/klagomål/A 3218-2020 FSC-klagomål.docx", "A 3218-2020")</f>
        <v/>
      </c>
      <c r="W82">
        <f>HYPERLINK("https://klasma.github.io/Logging_0980/klagomålsmail/A 3218-2020 FSC-klagomål mail.docx", "A 3218-2020")</f>
        <v/>
      </c>
      <c r="X82">
        <f>HYPERLINK("https://klasma.github.io/Logging_0980/tillsyn/A 3218-2020 tillsynsbegäran.docx", "A 3218-2020")</f>
        <v/>
      </c>
      <c r="Y82">
        <f>HYPERLINK("https://klasma.github.io/Logging_0980/tillsynsmail/A 3218-2020 tillsynsbegäran mail.docx", "A 3218-2020")</f>
        <v/>
      </c>
    </row>
    <row r="83" ht="15" customHeight="1">
      <c r="A83" t="inlineStr">
        <is>
          <t>A 7156-2020</t>
        </is>
      </c>
      <c r="B83" s="1" t="n">
        <v>43870</v>
      </c>
      <c r="C83" s="1" t="n">
        <v>45294</v>
      </c>
      <c r="D83" t="inlineStr">
        <is>
          <t>GOTLANDS LÄN</t>
        </is>
      </c>
      <c r="E83" t="inlineStr">
        <is>
          <t>GOTLAND</t>
        </is>
      </c>
      <c r="G83" t="n">
        <v>1.5</v>
      </c>
      <c r="H83" t="n">
        <v>1</v>
      </c>
      <c r="I83" t="n">
        <v>0</v>
      </c>
      <c r="J83" t="n">
        <v>2</v>
      </c>
      <c r="K83" t="n">
        <v>0</v>
      </c>
      <c r="L83" t="n">
        <v>0</v>
      </c>
      <c r="M83" t="n">
        <v>0</v>
      </c>
      <c r="N83" t="n">
        <v>0</v>
      </c>
      <c r="O83" t="n">
        <v>2</v>
      </c>
      <c r="P83" t="n">
        <v>0</v>
      </c>
      <c r="Q83" t="n">
        <v>3</v>
      </c>
      <c r="R83" s="2" t="inlineStr">
        <is>
          <t>Bolmört
Solvända
Sankt pers nycklar</t>
        </is>
      </c>
      <c r="S83">
        <f>HYPERLINK("https://klasma.github.io/Logging_0980/artfynd/A 7156-2020 artfynd.xlsx", "A 7156-2020")</f>
        <v/>
      </c>
      <c r="T83">
        <f>HYPERLINK("https://klasma.github.io/Logging_0980/kartor/A 7156-2020 karta.png", "A 7156-2020")</f>
        <v/>
      </c>
      <c r="V83">
        <f>HYPERLINK("https://klasma.github.io/Logging_0980/klagomål/A 7156-2020 FSC-klagomål.docx", "A 7156-2020")</f>
        <v/>
      </c>
      <c r="W83">
        <f>HYPERLINK("https://klasma.github.io/Logging_0980/klagomålsmail/A 7156-2020 FSC-klagomål mail.docx", "A 7156-2020")</f>
        <v/>
      </c>
      <c r="X83">
        <f>HYPERLINK("https://klasma.github.io/Logging_0980/tillsyn/A 7156-2020 tillsynsbegäran.docx", "A 7156-2020")</f>
        <v/>
      </c>
      <c r="Y83">
        <f>HYPERLINK("https://klasma.github.io/Logging_0980/tillsynsmail/A 7156-2020 tillsynsbegäran mail.docx", "A 7156-2020")</f>
        <v/>
      </c>
    </row>
    <row r="84" ht="15" customHeight="1">
      <c r="A84" t="inlineStr">
        <is>
          <t>A 10707-2020</t>
        </is>
      </c>
      <c r="B84" s="1" t="n">
        <v>43888</v>
      </c>
      <c r="C84" s="1" t="n">
        <v>45294</v>
      </c>
      <c r="D84" t="inlineStr">
        <is>
          <t>GOTLANDS LÄN</t>
        </is>
      </c>
      <c r="E84" t="inlineStr">
        <is>
          <t>GOTLAND</t>
        </is>
      </c>
      <c r="F84" t="inlineStr">
        <is>
          <t>Övriga statliga verk och myndigheter</t>
        </is>
      </c>
      <c r="G84" t="n">
        <v>27.7</v>
      </c>
      <c r="H84" t="n">
        <v>0</v>
      </c>
      <c r="I84" t="n">
        <v>0</v>
      </c>
      <c r="J84" t="n">
        <v>3</v>
      </c>
      <c r="K84" t="n">
        <v>0</v>
      </c>
      <c r="L84" t="n">
        <v>0</v>
      </c>
      <c r="M84" t="n">
        <v>0</v>
      </c>
      <c r="N84" t="n">
        <v>0</v>
      </c>
      <c r="O84" t="n">
        <v>3</v>
      </c>
      <c r="P84" t="n">
        <v>0</v>
      </c>
      <c r="Q84" t="n">
        <v>3</v>
      </c>
      <c r="R84" s="2" t="inlineStr">
        <is>
          <t>Grådådra
Mindre blåvinge
Ängsnätfjäril</t>
        </is>
      </c>
      <c r="S84">
        <f>HYPERLINK("https://klasma.github.io/Logging_0980/artfynd/A 10707-2020 artfynd.xlsx", "A 10707-2020")</f>
        <v/>
      </c>
      <c r="T84">
        <f>HYPERLINK("https://klasma.github.io/Logging_0980/kartor/A 10707-2020 karta.png", "A 10707-2020")</f>
        <v/>
      </c>
      <c r="V84">
        <f>HYPERLINK("https://klasma.github.io/Logging_0980/klagomål/A 10707-2020 FSC-klagomål.docx", "A 10707-2020")</f>
        <v/>
      </c>
      <c r="W84">
        <f>HYPERLINK("https://klasma.github.io/Logging_0980/klagomålsmail/A 10707-2020 FSC-klagomål mail.docx", "A 10707-2020")</f>
        <v/>
      </c>
      <c r="X84">
        <f>HYPERLINK("https://klasma.github.io/Logging_0980/tillsyn/A 10707-2020 tillsynsbegäran.docx", "A 10707-2020")</f>
        <v/>
      </c>
      <c r="Y84">
        <f>HYPERLINK("https://klasma.github.io/Logging_0980/tillsynsmail/A 10707-2020 tillsynsbegäran mail.docx", "A 10707-2020")</f>
        <v/>
      </c>
    </row>
    <row r="85" ht="15" customHeight="1">
      <c r="A85" t="inlineStr">
        <is>
          <t>A 55029-2020</t>
        </is>
      </c>
      <c r="B85" s="1" t="n">
        <v>44130</v>
      </c>
      <c r="C85" s="1" t="n">
        <v>45294</v>
      </c>
      <c r="D85" t="inlineStr">
        <is>
          <t>GOTLANDS LÄN</t>
        </is>
      </c>
      <c r="E85" t="inlineStr">
        <is>
          <t>GOTLAND</t>
        </is>
      </c>
      <c r="G85" t="n">
        <v>6.9</v>
      </c>
      <c r="H85" t="n">
        <v>1</v>
      </c>
      <c r="I85" t="n">
        <v>2</v>
      </c>
      <c r="J85" t="n">
        <v>1</v>
      </c>
      <c r="K85" t="n">
        <v>0</v>
      </c>
      <c r="L85" t="n">
        <v>0</v>
      </c>
      <c r="M85" t="n">
        <v>0</v>
      </c>
      <c r="N85" t="n">
        <v>0</v>
      </c>
      <c r="O85" t="n">
        <v>1</v>
      </c>
      <c r="P85" t="n">
        <v>0</v>
      </c>
      <c r="Q85" t="n">
        <v>3</v>
      </c>
      <c r="R85" s="2" t="inlineStr">
        <is>
          <t>Dårgräsfjäril
Anisspindling
Granbarkgnagare</t>
        </is>
      </c>
      <c r="S85">
        <f>HYPERLINK("https://klasma.github.io/Logging_0980/artfynd/A 55029-2020 artfynd.xlsx", "A 55029-2020")</f>
        <v/>
      </c>
      <c r="T85">
        <f>HYPERLINK("https://klasma.github.io/Logging_0980/kartor/A 55029-2020 karta.png", "A 55029-2020")</f>
        <v/>
      </c>
      <c r="V85">
        <f>HYPERLINK("https://klasma.github.io/Logging_0980/klagomål/A 55029-2020 FSC-klagomål.docx", "A 55029-2020")</f>
        <v/>
      </c>
      <c r="W85">
        <f>HYPERLINK("https://klasma.github.io/Logging_0980/klagomålsmail/A 55029-2020 FSC-klagomål mail.docx", "A 55029-2020")</f>
        <v/>
      </c>
      <c r="X85">
        <f>HYPERLINK("https://klasma.github.io/Logging_0980/tillsyn/A 55029-2020 tillsynsbegäran.docx", "A 55029-2020")</f>
        <v/>
      </c>
      <c r="Y85">
        <f>HYPERLINK("https://klasma.github.io/Logging_0980/tillsynsmail/A 55029-2020 tillsynsbegäran mail.docx", "A 55029-2020")</f>
        <v/>
      </c>
    </row>
    <row r="86" ht="15" customHeight="1">
      <c r="A86" t="inlineStr">
        <is>
          <t>A 62326-2020</t>
        </is>
      </c>
      <c r="B86" s="1" t="n">
        <v>44160</v>
      </c>
      <c r="C86" s="1" t="n">
        <v>45294</v>
      </c>
      <c r="D86" t="inlineStr">
        <is>
          <t>GOTLANDS LÄN</t>
        </is>
      </c>
      <c r="E86" t="inlineStr">
        <is>
          <t>GOTLAND</t>
        </is>
      </c>
      <c r="G86" t="n">
        <v>7.4</v>
      </c>
      <c r="H86" t="n">
        <v>1</v>
      </c>
      <c r="I86" t="n">
        <v>3</v>
      </c>
      <c r="J86" t="n">
        <v>0</v>
      </c>
      <c r="K86" t="n">
        <v>0</v>
      </c>
      <c r="L86" t="n">
        <v>0</v>
      </c>
      <c r="M86" t="n">
        <v>0</v>
      </c>
      <c r="N86" t="n">
        <v>0</v>
      </c>
      <c r="O86" t="n">
        <v>0</v>
      </c>
      <c r="P86" t="n">
        <v>0</v>
      </c>
      <c r="Q86" t="n">
        <v>3</v>
      </c>
      <c r="R86" s="2" t="inlineStr">
        <is>
          <t>Anisspindling
Blåmossa
Skogsknipprot</t>
        </is>
      </c>
      <c r="S86">
        <f>HYPERLINK("https://klasma.github.io/Logging_0980/artfynd/A 62326-2020 artfynd.xlsx", "A 62326-2020")</f>
        <v/>
      </c>
      <c r="T86">
        <f>HYPERLINK("https://klasma.github.io/Logging_0980/kartor/A 62326-2020 karta.png", "A 62326-2020")</f>
        <v/>
      </c>
      <c r="V86">
        <f>HYPERLINK("https://klasma.github.io/Logging_0980/klagomål/A 62326-2020 FSC-klagomål.docx", "A 62326-2020")</f>
        <v/>
      </c>
      <c r="W86">
        <f>HYPERLINK("https://klasma.github.io/Logging_0980/klagomålsmail/A 62326-2020 FSC-klagomål mail.docx", "A 62326-2020")</f>
        <v/>
      </c>
      <c r="X86">
        <f>HYPERLINK("https://klasma.github.io/Logging_0980/tillsyn/A 62326-2020 tillsynsbegäran.docx", "A 62326-2020")</f>
        <v/>
      </c>
      <c r="Y86">
        <f>HYPERLINK("https://klasma.github.io/Logging_0980/tillsynsmail/A 62326-2020 tillsynsbegäran mail.docx", "A 62326-2020")</f>
        <v/>
      </c>
    </row>
    <row r="87" ht="15" customHeight="1">
      <c r="A87" t="inlineStr">
        <is>
          <t>A 2332-2021</t>
        </is>
      </c>
      <c r="B87" s="1" t="n">
        <v>44214</v>
      </c>
      <c r="C87" s="1" t="n">
        <v>45294</v>
      </c>
      <c r="D87" t="inlineStr">
        <is>
          <t>GOTLANDS LÄN</t>
        </is>
      </c>
      <c r="E87" t="inlineStr">
        <is>
          <t>GOTLAND</t>
        </is>
      </c>
      <c r="G87" t="n">
        <v>2.3</v>
      </c>
      <c r="H87" t="n">
        <v>2</v>
      </c>
      <c r="I87" t="n">
        <v>0</v>
      </c>
      <c r="J87" t="n">
        <v>1</v>
      </c>
      <c r="K87" t="n">
        <v>0</v>
      </c>
      <c r="L87" t="n">
        <v>0</v>
      </c>
      <c r="M87" t="n">
        <v>0</v>
      </c>
      <c r="N87" t="n">
        <v>0</v>
      </c>
      <c r="O87" t="n">
        <v>1</v>
      </c>
      <c r="P87" t="n">
        <v>0</v>
      </c>
      <c r="Q87" t="n">
        <v>3</v>
      </c>
      <c r="R87" s="2" t="inlineStr">
        <is>
          <t>Korpnopping
Sankt pers nycklar
Blåsippa</t>
        </is>
      </c>
      <c r="S87">
        <f>HYPERLINK("https://klasma.github.io/Logging_0980/artfynd/A 2332-2021 artfynd.xlsx", "A 2332-2021")</f>
        <v/>
      </c>
      <c r="T87">
        <f>HYPERLINK("https://klasma.github.io/Logging_0980/kartor/A 2332-2021 karta.png", "A 2332-2021")</f>
        <v/>
      </c>
      <c r="V87">
        <f>HYPERLINK("https://klasma.github.io/Logging_0980/klagomål/A 2332-2021 FSC-klagomål.docx", "A 2332-2021")</f>
        <v/>
      </c>
      <c r="W87">
        <f>HYPERLINK("https://klasma.github.io/Logging_0980/klagomålsmail/A 2332-2021 FSC-klagomål mail.docx", "A 2332-2021")</f>
        <v/>
      </c>
      <c r="X87">
        <f>HYPERLINK("https://klasma.github.io/Logging_0980/tillsyn/A 2332-2021 tillsynsbegäran.docx", "A 2332-2021")</f>
        <v/>
      </c>
      <c r="Y87">
        <f>HYPERLINK("https://klasma.github.io/Logging_0980/tillsynsmail/A 2332-2021 tillsynsbegäran mail.docx", "A 2332-2021")</f>
        <v/>
      </c>
    </row>
    <row r="88" ht="15" customHeight="1">
      <c r="A88" t="inlineStr">
        <is>
          <t>A 12519-2021</t>
        </is>
      </c>
      <c r="B88" s="1" t="n">
        <v>44269</v>
      </c>
      <c r="C88" s="1" t="n">
        <v>45294</v>
      </c>
      <c r="D88" t="inlineStr">
        <is>
          <t>GOTLANDS LÄN</t>
        </is>
      </c>
      <c r="E88" t="inlineStr">
        <is>
          <t>GOTLAND</t>
        </is>
      </c>
      <c r="F88" t="inlineStr">
        <is>
          <t>Kyrkan</t>
        </is>
      </c>
      <c r="G88" t="n">
        <v>3.4</v>
      </c>
      <c r="H88" t="n">
        <v>0</v>
      </c>
      <c r="I88" t="n">
        <v>2</v>
      </c>
      <c r="J88" t="n">
        <v>1</v>
      </c>
      <c r="K88" t="n">
        <v>0</v>
      </c>
      <c r="L88" t="n">
        <v>0</v>
      </c>
      <c r="M88" t="n">
        <v>0</v>
      </c>
      <c r="N88" t="n">
        <v>0</v>
      </c>
      <c r="O88" t="n">
        <v>1</v>
      </c>
      <c r="P88" t="n">
        <v>0</v>
      </c>
      <c r="Q88" t="n">
        <v>3</v>
      </c>
      <c r="R88" s="2" t="inlineStr">
        <is>
          <t>Loppstarr
Rödgul trumpetsvamp
Vågbandad barkbock</t>
        </is>
      </c>
      <c r="S88">
        <f>HYPERLINK("https://klasma.github.io/Logging_0980/artfynd/A 12519-2021 artfynd.xlsx", "A 12519-2021")</f>
        <v/>
      </c>
      <c r="T88">
        <f>HYPERLINK("https://klasma.github.io/Logging_0980/kartor/A 12519-2021 karta.png", "A 12519-2021")</f>
        <v/>
      </c>
      <c r="V88">
        <f>HYPERLINK("https://klasma.github.io/Logging_0980/klagomål/A 12519-2021 FSC-klagomål.docx", "A 12519-2021")</f>
        <v/>
      </c>
      <c r="W88">
        <f>HYPERLINK("https://klasma.github.io/Logging_0980/klagomålsmail/A 12519-2021 FSC-klagomål mail.docx", "A 12519-2021")</f>
        <v/>
      </c>
      <c r="X88">
        <f>HYPERLINK("https://klasma.github.io/Logging_0980/tillsyn/A 12519-2021 tillsynsbegäran.docx", "A 12519-2021")</f>
        <v/>
      </c>
      <c r="Y88">
        <f>HYPERLINK("https://klasma.github.io/Logging_0980/tillsynsmail/A 12519-2021 tillsynsbegäran mail.docx", "A 12519-2021")</f>
        <v/>
      </c>
    </row>
    <row r="89" ht="15" customHeight="1">
      <c r="A89" t="inlineStr">
        <is>
          <t>A 32666-2021</t>
        </is>
      </c>
      <c r="B89" s="1" t="n">
        <v>44375</v>
      </c>
      <c r="C89" s="1" t="n">
        <v>45294</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32718-2021</t>
        </is>
      </c>
      <c r="B90" s="1" t="n">
        <v>44375</v>
      </c>
      <c r="C90" s="1" t="n">
        <v>45294</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44323-2021</t>
        </is>
      </c>
      <c r="B91" s="1" t="n">
        <v>44434</v>
      </c>
      <c r="C91" s="1" t="n">
        <v>45294</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53552-2021</t>
        </is>
      </c>
      <c r="B92" s="1" t="n">
        <v>44468</v>
      </c>
      <c r="C92" s="1" t="n">
        <v>45294</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58821-2021</t>
        </is>
      </c>
      <c r="B93" s="1" t="n">
        <v>44489</v>
      </c>
      <c r="C93" s="1" t="n">
        <v>45294</v>
      </c>
      <c r="D93" t="inlineStr">
        <is>
          <t>GOTLANDS LÄN</t>
        </is>
      </c>
      <c r="E93" t="inlineStr">
        <is>
          <t>GOTLAND</t>
        </is>
      </c>
      <c r="G93" t="n">
        <v>2.5</v>
      </c>
      <c r="H93" t="n">
        <v>3</v>
      </c>
      <c r="I93" t="n">
        <v>1</v>
      </c>
      <c r="J93" t="n">
        <v>2</v>
      </c>
      <c r="K93" t="n">
        <v>0</v>
      </c>
      <c r="L93" t="n">
        <v>0</v>
      </c>
      <c r="M93" t="n">
        <v>0</v>
      </c>
      <c r="N93" t="n">
        <v>0</v>
      </c>
      <c r="O93" t="n">
        <v>2</v>
      </c>
      <c r="P93" t="n">
        <v>0</v>
      </c>
      <c r="Q93" t="n">
        <v>3</v>
      </c>
      <c r="R93" s="2" t="inlineStr">
        <is>
          <t>Apollofjäril
Svartfläckig blåvinge
Nästrot</t>
        </is>
      </c>
      <c r="S93">
        <f>HYPERLINK("https://klasma.github.io/Logging_0980/artfynd/A 58821-2021 artfynd.xlsx", "A 58821-2021")</f>
        <v/>
      </c>
      <c r="T93">
        <f>HYPERLINK("https://klasma.github.io/Logging_0980/kartor/A 58821-2021 karta.png", "A 58821-2021")</f>
        <v/>
      </c>
      <c r="V93">
        <f>HYPERLINK("https://klasma.github.io/Logging_0980/klagomål/A 58821-2021 FSC-klagomål.docx", "A 58821-2021")</f>
        <v/>
      </c>
      <c r="W93">
        <f>HYPERLINK("https://klasma.github.io/Logging_0980/klagomålsmail/A 58821-2021 FSC-klagomål mail.docx", "A 58821-2021")</f>
        <v/>
      </c>
      <c r="X93">
        <f>HYPERLINK("https://klasma.github.io/Logging_0980/tillsyn/A 58821-2021 tillsynsbegäran.docx", "A 58821-2021")</f>
        <v/>
      </c>
      <c r="Y93">
        <f>HYPERLINK("https://klasma.github.io/Logging_0980/tillsynsmail/A 58821-2021 tillsynsbegäran mail.docx", "A 58821-2021")</f>
        <v/>
      </c>
    </row>
    <row r="94" ht="15" customHeight="1">
      <c r="A94" t="inlineStr">
        <is>
          <t>A 13499-2022</t>
        </is>
      </c>
      <c r="B94" s="1" t="n">
        <v>44647</v>
      </c>
      <c r="C94" s="1" t="n">
        <v>45294</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row>
    <row r="95" ht="15" customHeight="1">
      <c r="A95" t="inlineStr">
        <is>
          <t>A 43013-2022</t>
        </is>
      </c>
      <c r="B95" s="1" t="n">
        <v>44833</v>
      </c>
      <c r="C95" s="1" t="n">
        <v>45294</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43074-2022</t>
        </is>
      </c>
      <c r="B96" s="1" t="n">
        <v>44833</v>
      </c>
      <c r="C96" s="1" t="n">
        <v>45294</v>
      </c>
      <c r="D96" t="inlineStr">
        <is>
          <t>GOTLANDS LÄN</t>
        </is>
      </c>
      <c r="E96" t="inlineStr">
        <is>
          <t>GOTLAND</t>
        </is>
      </c>
      <c r="G96" t="n">
        <v>10.6</v>
      </c>
      <c r="H96" t="n">
        <v>1</v>
      </c>
      <c r="I96" t="n">
        <v>1</v>
      </c>
      <c r="J96" t="n">
        <v>1</v>
      </c>
      <c r="K96" t="n">
        <v>1</v>
      </c>
      <c r="L96" t="n">
        <v>0</v>
      </c>
      <c r="M96" t="n">
        <v>0</v>
      </c>
      <c r="N96" t="n">
        <v>0</v>
      </c>
      <c r="O96" t="n">
        <v>2</v>
      </c>
      <c r="P96" t="n">
        <v>1</v>
      </c>
      <c r="Q96" t="n">
        <v>3</v>
      </c>
      <c r="R96" s="2" t="inlineStr">
        <is>
          <t>Väddnätfjäril
Skugglosta
Strävlosta</t>
        </is>
      </c>
      <c r="S96">
        <f>HYPERLINK("https://klasma.github.io/Logging_0980/artfynd/A 43074-2022 artfynd.xlsx", "A 43074-2022")</f>
        <v/>
      </c>
      <c r="T96">
        <f>HYPERLINK("https://klasma.github.io/Logging_0980/kartor/A 43074-2022 karta.png", "A 43074-2022")</f>
        <v/>
      </c>
      <c r="V96">
        <f>HYPERLINK("https://klasma.github.io/Logging_0980/klagomål/A 43074-2022 FSC-klagomål.docx", "A 43074-2022")</f>
        <v/>
      </c>
      <c r="W96">
        <f>HYPERLINK("https://klasma.github.io/Logging_0980/klagomålsmail/A 43074-2022 FSC-klagomål mail.docx", "A 43074-2022")</f>
        <v/>
      </c>
      <c r="X96">
        <f>HYPERLINK("https://klasma.github.io/Logging_0980/tillsyn/A 43074-2022 tillsynsbegäran.docx", "A 43074-2022")</f>
        <v/>
      </c>
      <c r="Y96">
        <f>HYPERLINK("https://klasma.github.io/Logging_0980/tillsynsmail/A 43074-2022 tillsynsbegäran mail.docx", "A 43074-2022")</f>
        <v/>
      </c>
    </row>
    <row r="97" ht="15" customHeight="1">
      <c r="A97" t="inlineStr">
        <is>
          <t>A 44913-2022</t>
        </is>
      </c>
      <c r="B97" s="1" t="n">
        <v>44841</v>
      </c>
      <c r="C97" s="1" t="n">
        <v>45294</v>
      </c>
      <c r="D97" t="inlineStr">
        <is>
          <t>GOTLANDS LÄN</t>
        </is>
      </c>
      <c r="E97" t="inlineStr">
        <is>
          <t>GOTLAND</t>
        </is>
      </c>
      <c r="G97" t="n">
        <v>8.800000000000001</v>
      </c>
      <c r="H97" t="n">
        <v>1</v>
      </c>
      <c r="I97" t="n">
        <v>1</v>
      </c>
      <c r="J97" t="n">
        <v>1</v>
      </c>
      <c r="K97" t="n">
        <v>0</v>
      </c>
      <c r="L97" t="n">
        <v>0</v>
      </c>
      <c r="M97" t="n">
        <v>0</v>
      </c>
      <c r="N97" t="n">
        <v>0</v>
      </c>
      <c r="O97" t="n">
        <v>1</v>
      </c>
      <c r="P97" t="n">
        <v>0</v>
      </c>
      <c r="Q97" t="n">
        <v>3</v>
      </c>
      <c r="R97" s="2" t="inlineStr">
        <is>
          <t>Odörspindling
Granbarkgnagare
Kärrknipprot</t>
        </is>
      </c>
      <c r="S97">
        <f>HYPERLINK("https://klasma.github.io/Logging_0980/artfynd/A 44913-2022 artfynd.xlsx", "A 44913-2022")</f>
        <v/>
      </c>
      <c r="T97">
        <f>HYPERLINK("https://klasma.github.io/Logging_0980/kartor/A 44913-2022 karta.png", "A 44913-2022")</f>
        <v/>
      </c>
      <c r="V97">
        <f>HYPERLINK("https://klasma.github.io/Logging_0980/klagomål/A 44913-2022 FSC-klagomål.docx", "A 44913-2022")</f>
        <v/>
      </c>
      <c r="W97">
        <f>HYPERLINK("https://klasma.github.io/Logging_0980/klagomålsmail/A 44913-2022 FSC-klagomål mail.docx", "A 44913-2022")</f>
        <v/>
      </c>
      <c r="X97">
        <f>HYPERLINK("https://klasma.github.io/Logging_0980/tillsyn/A 44913-2022 tillsynsbegäran.docx", "A 44913-2022")</f>
        <v/>
      </c>
      <c r="Y97">
        <f>HYPERLINK("https://klasma.github.io/Logging_0980/tillsynsmail/A 44913-2022 tillsynsbegäran mail.docx", "A 44913-2022")</f>
        <v/>
      </c>
    </row>
    <row r="98" ht="15" customHeight="1">
      <c r="A98" t="inlineStr">
        <is>
          <t>A 1971-2023</t>
        </is>
      </c>
      <c r="B98" s="1" t="n">
        <v>44939</v>
      </c>
      <c r="C98" s="1" t="n">
        <v>45294</v>
      </c>
      <c r="D98" t="inlineStr">
        <is>
          <t>GOTLANDS LÄN</t>
        </is>
      </c>
      <c r="E98" t="inlineStr">
        <is>
          <t>GOTLAND</t>
        </is>
      </c>
      <c r="G98" t="n">
        <v>5.5</v>
      </c>
      <c r="H98" t="n">
        <v>0</v>
      </c>
      <c r="I98" t="n">
        <v>2</v>
      </c>
      <c r="J98" t="n">
        <v>0</v>
      </c>
      <c r="K98" t="n">
        <v>1</v>
      </c>
      <c r="L98" t="n">
        <v>0</v>
      </c>
      <c r="M98" t="n">
        <v>0</v>
      </c>
      <c r="N98" t="n">
        <v>0</v>
      </c>
      <c r="O98" t="n">
        <v>1</v>
      </c>
      <c r="P98" t="n">
        <v>1</v>
      </c>
      <c r="Q98" t="n">
        <v>3</v>
      </c>
      <c r="R98" s="2" t="inlineStr">
        <is>
          <t>Gulsträngad fagerspindling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17982-2023</t>
        </is>
      </c>
      <c r="B99" s="1" t="n">
        <v>45040</v>
      </c>
      <c r="C99" s="1" t="n">
        <v>45294</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27041-2023</t>
        </is>
      </c>
      <c r="B100" s="1" t="n">
        <v>45095</v>
      </c>
      <c r="C100" s="1" t="n">
        <v>45294</v>
      </c>
      <c r="D100" t="inlineStr">
        <is>
          <t>GOTLANDS LÄN</t>
        </is>
      </c>
      <c r="E100" t="inlineStr">
        <is>
          <t>GOTLAND</t>
        </is>
      </c>
      <c r="G100" t="n">
        <v>5.3</v>
      </c>
      <c r="H100" t="n">
        <v>0</v>
      </c>
      <c r="I100" t="n">
        <v>2</v>
      </c>
      <c r="J100" t="n">
        <v>1</v>
      </c>
      <c r="K100" t="n">
        <v>0</v>
      </c>
      <c r="L100" t="n">
        <v>0</v>
      </c>
      <c r="M100" t="n">
        <v>0</v>
      </c>
      <c r="N100" t="n">
        <v>0</v>
      </c>
      <c r="O100" t="n">
        <v>1</v>
      </c>
      <c r="P100" t="n">
        <v>0</v>
      </c>
      <c r="Q100" t="n">
        <v>3</v>
      </c>
      <c r="R100" s="2" t="inlineStr">
        <is>
          <t>Odörspindling
Anisspindling
Besk kastanjemusseron</t>
        </is>
      </c>
      <c r="S100">
        <f>HYPERLINK("https://klasma.github.io/Logging_0980/artfynd/A 27041-2023 artfynd.xlsx", "A 27041-2023")</f>
        <v/>
      </c>
      <c r="T100">
        <f>HYPERLINK("https://klasma.github.io/Logging_0980/kartor/A 27041-2023 karta.png", "A 27041-2023")</f>
        <v/>
      </c>
      <c r="V100">
        <f>HYPERLINK("https://klasma.github.io/Logging_0980/klagomål/A 27041-2023 FSC-klagomål.docx", "A 27041-2023")</f>
        <v/>
      </c>
      <c r="W100">
        <f>HYPERLINK("https://klasma.github.io/Logging_0980/klagomålsmail/A 27041-2023 FSC-klagomål mail.docx", "A 27041-2023")</f>
        <v/>
      </c>
      <c r="X100">
        <f>HYPERLINK("https://klasma.github.io/Logging_0980/tillsyn/A 27041-2023 tillsynsbegäran.docx", "A 27041-2023")</f>
        <v/>
      </c>
      <c r="Y100">
        <f>HYPERLINK("https://klasma.github.io/Logging_0980/tillsynsmail/A 27041-2023 tillsynsbegäran mail.docx", "A 27041-2023")</f>
        <v/>
      </c>
    </row>
    <row r="101" ht="15" customHeight="1">
      <c r="A101" t="inlineStr">
        <is>
          <t>A 40678-2018</t>
        </is>
      </c>
      <c r="B101" s="1" t="n">
        <v>43346</v>
      </c>
      <c r="C101" s="1" t="n">
        <v>45294</v>
      </c>
      <c r="D101" t="inlineStr">
        <is>
          <t>GOTLANDS LÄN</t>
        </is>
      </c>
      <c r="E101" t="inlineStr">
        <is>
          <t>GOTLAND</t>
        </is>
      </c>
      <c r="G101" t="n">
        <v>1.6</v>
      </c>
      <c r="H101" t="n">
        <v>1</v>
      </c>
      <c r="I101" t="n">
        <v>2</v>
      </c>
      <c r="J101" t="n">
        <v>0</v>
      </c>
      <c r="K101" t="n">
        <v>0</v>
      </c>
      <c r="L101" t="n">
        <v>0</v>
      </c>
      <c r="M101" t="n">
        <v>0</v>
      </c>
      <c r="N101" t="n">
        <v>0</v>
      </c>
      <c r="O101" t="n">
        <v>0</v>
      </c>
      <c r="P101" t="n">
        <v>0</v>
      </c>
      <c r="Q101" t="n">
        <v>2</v>
      </c>
      <c r="R101" s="2" t="inlineStr">
        <is>
          <t>Kattfotslav
Tvåblad</t>
        </is>
      </c>
      <c r="S101">
        <f>HYPERLINK("https://klasma.github.io/Logging_0980/artfynd/A 40678-2018 artfynd.xlsx", "A 40678-2018")</f>
        <v/>
      </c>
      <c r="T101">
        <f>HYPERLINK("https://klasma.github.io/Logging_0980/kartor/A 40678-2018 karta.png", "A 40678-2018")</f>
        <v/>
      </c>
      <c r="V101">
        <f>HYPERLINK("https://klasma.github.io/Logging_0980/klagomål/A 40678-2018 FSC-klagomål.docx", "A 40678-2018")</f>
        <v/>
      </c>
      <c r="W101">
        <f>HYPERLINK("https://klasma.github.io/Logging_0980/klagomålsmail/A 40678-2018 FSC-klagomål mail.docx", "A 40678-2018")</f>
        <v/>
      </c>
      <c r="X101">
        <f>HYPERLINK("https://klasma.github.io/Logging_0980/tillsyn/A 40678-2018 tillsynsbegäran.docx", "A 40678-2018")</f>
        <v/>
      </c>
      <c r="Y101">
        <f>HYPERLINK("https://klasma.github.io/Logging_0980/tillsynsmail/A 40678-2018 tillsynsbegäran mail.docx", "A 40678-2018")</f>
        <v/>
      </c>
    </row>
    <row r="102" ht="15" customHeight="1">
      <c r="A102" t="inlineStr">
        <is>
          <t>A 13891-2019</t>
        </is>
      </c>
      <c r="B102" s="1" t="n">
        <v>43531</v>
      </c>
      <c r="C102" s="1" t="n">
        <v>45294</v>
      </c>
      <c r="D102" t="inlineStr">
        <is>
          <t>GOTLANDS LÄN</t>
        </is>
      </c>
      <c r="E102" t="inlineStr">
        <is>
          <t>GOTLAND</t>
        </is>
      </c>
      <c r="G102" t="n">
        <v>14.5</v>
      </c>
      <c r="H102" t="n">
        <v>0</v>
      </c>
      <c r="I102" t="n">
        <v>1</v>
      </c>
      <c r="J102" t="n">
        <v>1</v>
      </c>
      <c r="K102" t="n">
        <v>0</v>
      </c>
      <c r="L102" t="n">
        <v>0</v>
      </c>
      <c r="M102" t="n">
        <v>0</v>
      </c>
      <c r="N102" t="n">
        <v>0</v>
      </c>
      <c r="O102" t="n">
        <v>1</v>
      </c>
      <c r="P102" t="n">
        <v>0</v>
      </c>
      <c r="Q102" t="n">
        <v>2</v>
      </c>
      <c r="R102" s="2" t="inlineStr">
        <is>
          <t>Tallticka
Blåmossa</t>
        </is>
      </c>
      <c r="S102">
        <f>HYPERLINK("https://klasma.github.io/Logging_0980/artfynd/A 13891-2019 artfynd.xlsx", "A 13891-2019")</f>
        <v/>
      </c>
      <c r="T102">
        <f>HYPERLINK("https://klasma.github.io/Logging_0980/kartor/A 13891-2019 karta.png", "A 13891-2019")</f>
        <v/>
      </c>
      <c r="V102">
        <f>HYPERLINK("https://klasma.github.io/Logging_0980/klagomål/A 13891-2019 FSC-klagomål.docx", "A 13891-2019")</f>
        <v/>
      </c>
      <c r="W102">
        <f>HYPERLINK("https://klasma.github.io/Logging_0980/klagomålsmail/A 13891-2019 FSC-klagomål mail.docx", "A 13891-2019")</f>
        <v/>
      </c>
      <c r="X102">
        <f>HYPERLINK("https://klasma.github.io/Logging_0980/tillsyn/A 13891-2019 tillsynsbegäran.docx", "A 13891-2019")</f>
        <v/>
      </c>
      <c r="Y102">
        <f>HYPERLINK("https://klasma.github.io/Logging_0980/tillsynsmail/A 13891-2019 tillsynsbegäran mail.docx", "A 13891-2019")</f>
        <v/>
      </c>
    </row>
    <row r="103" ht="15" customHeight="1">
      <c r="A103" t="inlineStr">
        <is>
          <t>A 32969-2019</t>
        </is>
      </c>
      <c r="B103" s="1" t="n">
        <v>43648</v>
      </c>
      <c r="C103" s="1" t="n">
        <v>45294</v>
      </c>
      <c r="D103" t="inlineStr">
        <is>
          <t>GOTLANDS LÄN</t>
        </is>
      </c>
      <c r="E103" t="inlineStr">
        <is>
          <t>GOTLAND</t>
        </is>
      </c>
      <c r="G103" t="n">
        <v>5.1</v>
      </c>
      <c r="H103" t="n">
        <v>0</v>
      </c>
      <c r="I103" t="n">
        <v>1</v>
      </c>
      <c r="J103" t="n">
        <v>1</v>
      </c>
      <c r="K103" t="n">
        <v>0</v>
      </c>
      <c r="L103" t="n">
        <v>0</v>
      </c>
      <c r="M103" t="n">
        <v>0</v>
      </c>
      <c r="N103" t="n">
        <v>0</v>
      </c>
      <c r="O103" t="n">
        <v>1</v>
      </c>
      <c r="P103" t="n">
        <v>0</v>
      </c>
      <c r="Q103" t="n">
        <v>2</v>
      </c>
      <c r="R103" s="2" t="inlineStr">
        <is>
          <t>Odörspindling
Anisspindling</t>
        </is>
      </c>
      <c r="S103">
        <f>HYPERLINK("https://klasma.github.io/Logging_0980/artfynd/A 32969-2019 artfynd.xlsx", "A 32969-2019")</f>
        <v/>
      </c>
      <c r="T103">
        <f>HYPERLINK("https://klasma.github.io/Logging_0980/kartor/A 32969-2019 karta.png", "A 32969-2019")</f>
        <v/>
      </c>
      <c r="V103">
        <f>HYPERLINK("https://klasma.github.io/Logging_0980/klagomål/A 32969-2019 FSC-klagomål.docx", "A 32969-2019")</f>
        <v/>
      </c>
      <c r="W103">
        <f>HYPERLINK("https://klasma.github.io/Logging_0980/klagomålsmail/A 32969-2019 FSC-klagomål mail.docx", "A 32969-2019")</f>
        <v/>
      </c>
      <c r="X103">
        <f>HYPERLINK("https://klasma.github.io/Logging_0980/tillsyn/A 32969-2019 tillsynsbegäran.docx", "A 32969-2019")</f>
        <v/>
      </c>
      <c r="Y103">
        <f>HYPERLINK("https://klasma.github.io/Logging_0980/tillsynsmail/A 32969-2019 tillsynsbegäran mail.docx", "A 32969-2019")</f>
        <v/>
      </c>
    </row>
    <row r="104" ht="15" customHeight="1">
      <c r="A104" t="inlineStr">
        <is>
          <t>A 32966-2019</t>
        </is>
      </c>
      <c r="B104" s="1" t="n">
        <v>43648</v>
      </c>
      <c r="C104" s="1" t="n">
        <v>45294</v>
      </c>
      <c r="D104" t="inlineStr">
        <is>
          <t>GOTLANDS LÄN</t>
        </is>
      </c>
      <c r="E104" t="inlineStr">
        <is>
          <t>GOTLAND</t>
        </is>
      </c>
      <c r="G104" t="n">
        <v>4</v>
      </c>
      <c r="H104" t="n">
        <v>1</v>
      </c>
      <c r="I104" t="n">
        <v>1</v>
      </c>
      <c r="J104" t="n">
        <v>0</v>
      </c>
      <c r="K104" t="n">
        <v>0</v>
      </c>
      <c r="L104" t="n">
        <v>0</v>
      </c>
      <c r="M104" t="n">
        <v>0</v>
      </c>
      <c r="N104" t="n">
        <v>0</v>
      </c>
      <c r="O104" t="n">
        <v>0</v>
      </c>
      <c r="P104" t="n">
        <v>0</v>
      </c>
      <c r="Q104" t="n">
        <v>2</v>
      </c>
      <c r="R104" s="2" t="inlineStr">
        <is>
          <t>Kattfotslav
Blåsippa</t>
        </is>
      </c>
      <c r="S104">
        <f>HYPERLINK("https://klasma.github.io/Logging_0980/artfynd/A 32966-2019 artfynd.xlsx", "A 32966-2019")</f>
        <v/>
      </c>
      <c r="T104">
        <f>HYPERLINK("https://klasma.github.io/Logging_0980/kartor/A 32966-2019 karta.png", "A 32966-2019")</f>
        <v/>
      </c>
      <c r="V104">
        <f>HYPERLINK("https://klasma.github.io/Logging_0980/klagomål/A 32966-2019 FSC-klagomål.docx", "A 32966-2019")</f>
        <v/>
      </c>
      <c r="W104">
        <f>HYPERLINK("https://klasma.github.io/Logging_0980/klagomålsmail/A 32966-2019 FSC-klagomål mail.docx", "A 32966-2019")</f>
        <v/>
      </c>
      <c r="X104">
        <f>HYPERLINK("https://klasma.github.io/Logging_0980/tillsyn/A 32966-2019 tillsynsbegäran.docx", "A 32966-2019")</f>
        <v/>
      </c>
      <c r="Y104">
        <f>HYPERLINK("https://klasma.github.io/Logging_0980/tillsynsmail/A 32966-2019 tillsynsbegäran mail.docx", "A 32966-2019")</f>
        <v/>
      </c>
    </row>
    <row r="105" ht="15" customHeight="1">
      <c r="A105" t="inlineStr">
        <is>
          <t>A 43304-2019</t>
        </is>
      </c>
      <c r="B105" s="1" t="n">
        <v>43706</v>
      </c>
      <c r="C105" s="1" t="n">
        <v>45294</v>
      </c>
      <c r="D105" t="inlineStr">
        <is>
          <t>GOTLANDS LÄN</t>
        </is>
      </c>
      <c r="E105" t="inlineStr">
        <is>
          <t>GOTLAND</t>
        </is>
      </c>
      <c r="G105" t="n">
        <v>3.2</v>
      </c>
      <c r="H105" t="n">
        <v>2</v>
      </c>
      <c r="I105" t="n">
        <v>1</v>
      </c>
      <c r="J105" t="n">
        <v>0</v>
      </c>
      <c r="K105" t="n">
        <v>0</v>
      </c>
      <c r="L105" t="n">
        <v>0</v>
      </c>
      <c r="M105" t="n">
        <v>0</v>
      </c>
      <c r="N105" t="n">
        <v>0</v>
      </c>
      <c r="O105" t="n">
        <v>0</v>
      </c>
      <c r="P105" t="n">
        <v>0</v>
      </c>
      <c r="Q105" t="n">
        <v>2</v>
      </c>
      <c r="R105" s="2" t="inlineStr">
        <is>
          <t>Skogsknipprot
Blåsippa</t>
        </is>
      </c>
      <c r="S105">
        <f>HYPERLINK("https://klasma.github.io/Logging_0980/artfynd/A 43304-2019 artfynd.xlsx", "A 43304-2019")</f>
        <v/>
      </c>
      <c r="T105">
        <f>HYPERLINK("https://klasma.github.io/Logging_0980/kartor/A 43304-2019 karta.png", "A 43304-2019")</f>
        <v/>
      </c>
      <c r="V105">
        <f>HYPERLINK("https://klasma.github.io/Logging_0980/klagomål/A 43304-2019 FSC-klagomål.docx", "A 43304-2019")</f>
        <v/>
      </c>
      <c r="W105">
        <f>HYPERLINK("https://klasma.github.io/Logging_0980/klagomålsmail/A 43304-2019 FSC-klagomål mail.docx", "A 43304-2019")</f>
        <v/>
      </c>
      <c r="X105">
        <f>HYPERLINK("https://klasma.github.io/Logging_0980/tillsyn/A 43304-2019 tillsynsbegäran.docx", "A 43304-2019")</f>
        <v/>
      </c>
      <c r="Y105">
        <f>HYPERLINK("https://klasma.github.io/Logging_0980/tillsynsmail/A 43304-2019 tillsynsbegäran mail.docx", "A 43304-2019")</f>
        <v/>
      </c>
    </row>
    <row r="106" ht="15" customHeight="1">
      <c r="A106" t="inlineStr">
        <is>
          <t>A 4812-2020</t>
        </is>
      </c>
      <c r="B106" s="1" t="n">
        <v>43852</v>
      </c>
      <c r="C106" s="1" t="n">
        <v>45294</v>
      </c>
      <c r="D106" t="inlineStr">
        <is>
          <t>GOTLANDS LÄN</t>
        </is>
      </c>
      <c r="E106" t="inlineStr">
        <is>
          <t>GOTLAND</t>
        </is>
      </c>
      <c r="G106" t="n">
        <v>3.9</v>
      </c>
      <c r="H106" t="n">
        <v>1</v>
      </c>
      <c r="I106" t="n">
        <v>1</v>
      </c>
      <c r="J106" t="n">
        <v>0</v>
      </c>
      <c r="K106" t="n">
        <v>1</v>
      </c>
      <c r="L106" t="n">
        <v>0</v>
      </c>
      <c r="M106" t="n">
        <v>0</v>
      </c>
      <c r="N106" t="n">
        <v>0</v>
      </c>
      <c r="O106" t="n">
        <v>1</v>
      </c>
      <c r="P106" t="n">
        <v>1</v>
      </c>
      <c r="Q106" t="n">
        <v>2</v>
      </c>
      <c r="R106" s="2" t="inlineStr">
        <is>
          <t>Gotlandsmåra
Nästrot</t>
        </is>
      </c>
      <c r="S106">
        <f>HYPERLINK("https://klasma.github.io/Logging_0980/artfynd/A 4812-2020 artfynd.xlsx", "A 4812-2020")</f>
        <v/>
      </c>
      <c r="T106">
        <f>HYPERLINK("https://klasma.github.io/Logging_0980/kartor/A 4812-2020 karta.png", "A 4812-2020")</f>
        <v/>
      </c>
      <c r="V106">
        <f>HYPERLINK("https://klasma.github.io/Logging_0980/klagomål/A 4812-2020 FSC-klagomål.docx", "A 4812-2020")</f>
        <v/>
      </c>
      <c r="W106">
        <f>HYPERLINK("https://klasma.github.io/Logging_0980/klagomålsmail/A 4812-2020 FSC-klagomål mail.docx", "A 4812-2020")</f>
        <v/>
      </c>
      <c r="X106">
        <f>HYPERLINK("https://klasma.github.io/Logging_0980/tillsyn/A 4812-2020 tillsynsbegäran.docx", "A 4812-2020")</f>
        <v/>
      </c>
      <c r="Y106">
        <f>HYPERLINK("https://klasma.github.io/Logging_0980/tillsynsmail/A 4812-2020 tillsynsbegäran mail.docx", "A 4812-2020")</f>
        <v/>
      </c>
    </row>
    <row r="107" ht="15" customHeight="1">
      <c r="A107" t="inlineStr">
        <is>
          <t>A 40879-2020</t>
        </is>
      </c>
      <c r="B107" s="1" t="n">
        <v>44070</v>
      </c>
      <c r="C107" s="1" t="n">
        <v>45294</v>
      </c>
      <c r="D107" t="inlineStr">
        <is>
          <t>GOTLANDS LÄN</t>
        </is>
      </c>
      <c r="E107" t="inlineStr">
        <is>
          <t>GOTLAND</t>
        </is>
      </c>
      <c r="G107" t="n">
        <v>6.4</v>
      </c>
      <c r="H107" t="n">
        <v>0</v>
      </c>
      <c r="I107" t="n">
        <v>1</v>
      </c>
      <c r="J107" t="n">
        <v>1</v>
      </c>
      <c r="K107" t="n">
        <v>0</v>
      </c>
      <c r="L107" t="n">
        <v>0</v>
      </c>
      <c r="M107" t="n">
        <v>0</v>
      </c>
      <c r="N107" t="n">
        <v>0</v>
      </c>
      <c r="O107" t="n">
        <v>1</v>
      </c>
      <c r="P107" t="n">
        <v>0</v>
      </c>
      <c r="Q107" t="n">
        <v>2</v>
      </c>
      <c r="R107" s="2" t="inlineStr">
        <is>
          <t>Odörspindling
Olivspindling</t>
        </is>
      </c>
      <c r="S107">
        <f>HYPERLINK("https://klasma.github.io/Logging_0980/artfynd/A 40879-2020 artfynd.xlsx", "A 40879-2020")</f>
        <v/>
      </c>
      <c r="T107">
        <f>HYPERLINK("https://klasma.github.io/Logging_0980/kartor/A 40879-2020 karta.png", "A 40879-2020")</f>
        <v/>
      </c>
      <c r="V107">
        <f>HYPERLINK("https://klasma.github.io/Logging_0980/klagomål/A 40879-2020 FSC-klagomål.docx", "A 40879-2020")</f>
        <v/>
      </c>
      <c r="W107">
        <f>HYPERLINK("https://klasma.github.io/Logging_0980/klagomålsmail/A 40879-2020 FSC-klagomål mail.docx", "A 40879-2020")</f>
        <v/>
      </c>
      <c r="X107">
        <f>HYPERLINK("https://klasma.github.io/Logging_0980/tillsyn/A 40879-2020 tillsynsbegäran.docx", "A 40879-2020")</f>
        <v/>
      </c>
      <c r="Y107">
        <f>HYPERLINK("https://klasma.github.io/Logging_0980/tillsynsmail/A 40879-2020 tillsynsbegäran mail.docx", "A 40879-2020")</f>
        <v/>
      </c>
    </row>
    <row r="108" ht="15" customHeight="1">
      <c r="A108" t="inlineStr">
        <is>
          <t>A 43321-2020</t>
        </is>
      </c>
      <c r="B108" s="1" t="n">
        <v>44081</v>
      </c>
      <c r="C108" s="1" t="n">
        <v>45294</v>
      </c>
      <c r="D108" t="inlineStr">
        <is>
          <t>GOTLANDS LÄN</t>
        </is>
      </c>
      <c r="E108" t="inlineStr">
        <is>
          <t>GOTLAND</t>
        </is>
      </c>
      <c r="G108" t="n">
        <v>10</v>
      </c>
      <c r="H108" t="n">
        <v>1</v>
      </c>
      <c r="I108" t="n">
        <v>0</v>
      </c>
      <c r="J108" t="n">
        <v>2</v>
      </c>
      <c r="K108" t="n">
        <v>0</v>
      </c>
      <c r="L108" t="n">
        <v>0</v>
      </c>
      <c r="M108" t="n">
        <v>0</v>
      </c>
      <c r="N108" t="n">
        <v>0</v>
      </c>
      <c r="O108" t="n">
        <v>2</v>
      </c>
      <c r="P108" t="n">
        <v>0</v>
      </c>
      <c r="Q108" t="n">
        <v>2</v>
      </c>
      <c r="R108" s="2" t="inlineStr">
        <is>
          <t>Buskskvätta
Ängsnätfjäril</t>
        </is>
      </c>
      <c r="S108">
        <f>HYPERLINK("https://klasma.github.io/Logging_0980/artfynd/A 43321-2020 artfynd.xlsx", "A 43321-2020")</f>
        <v/>
      </c>
      <c r="T108">
        <f>HYPERLINK("https://klasma.github.io/Logging_0980/kartor/A 43321-2020 karta.png", "A 43321-2020")</f>
        <v/>
      </c>
      <c r="V108">
        <f>HYPERLINK("https://klasma.github.io/Logging_0980/klagomål/A 43321-2020 FSC-klagomål.docx", "A 43321-2020")</f>
        <v/>
      </c>
      <c r="W108">
        <f>HYPERLINK("https://klasma.github.io/Logging_0980/klagomålsmail/A 43321-2020 FSC-klagomål mail.docx", "A 43321-2020")</f>
        <v/>
      </c>
      <c r="X108">
        <f>HYPERLINK("https://klasma.github.io/Logging_0980/tillsyn/A 43321-2020 tillsynsbegäran.docx", "A 43321-2020")</f>
        <v/>
      </c>
      <c r="Y108">
        <f>HYPERLINK("https://klasma.github.io/Logging_0980/tillsynsmail/A 43321-2020 tillsynsbegäran mail.docx", "A 43321-2020")</f>
        <v/>
      </c>
    </row>
    <row r="109" ht="15" customHeight="1">
      <c r="A109" t="inlineStr">
        <is>
          <t>A 58701-2020</t>
        </is>
      </c>
      <c r="B109" s="1" t="n">
        <v>44146</v>
      </c>
      <c r="C109" s="1" t="n">
        <v>45294</v>
      </c>
      <c r="D109" t="inlineStr">
        <is>
          <t>GOTLANDS LÄN</t>
        </is>
      </c>
      <c r="E109" t="inlineStr">
        <is>
          <t>GOTLAND</t>
        </is>
      </c>
      <c r="G109" t="n">
        <v>5.5</v>
      </c>
      <c r="H109" t="n">
        <v>0</v>
      </c>
      <c r="I109" t="n">
        <v>0</v>
      </c>
      <c r="J109" t="n">
        <v>1</v>
      </c>
      <c r="K109" t="n">
        <v>1</v>
      </c>
      <c r="L109" t="n">
        <v>0</v>
      </c>
      <c r="M109" t="n">
        <v>0</v>
      </c>
      <c r="N109" t="n">
        <v>0</v>
      </c>
      <c r="O109" t="n">
        <v>2</v>
      </c>
      <c r="P109" t="n">
        <v>1</v>
      </c>
      <c r="Q109" t="n">
        <v>2</v>
      </c>
      <c r="R109" s="2" t="inlineStr">
        <is>
          <t>Vit taggsvamp
Odörspindling</t>
        </is>
      </c>
      <c r="S109">
        <f>HYPERLINK("https://klasma.github.io/Logging_0980/artfynd/A 58701-2020 artfynd.xlsx", "A 58701-2020")</f>
        <v/>
      </c>
      <c r="T109">
        <f>HYPERLINK("https://klasma.github.io/Logging_0980/kartor/A 58701-2020 karta.png", "A 58701-2020")</f>
        <v/>
      </c>
      <c r="V109">
        <f>HYPERLINK("https://klasma.github.io/Logging_0980/klagomål/A 58701-2020 FSC-klagomål.docx", "A 58701-2020")</f>
        <v/>
      </c>
      <c r="W109">
        <f>HYPERLINK("https://klasma.github.io/Logging_0980/klagomålsmail/A 58701-2020 FSC-klagomål mail.docx", "A 58701-2020")</f>
        <v/>
      </c>
      <c r="X109">
        <f>HYPERLINK("https://klasma.github.io/Logging_0980/tillsyn/A 58701-2020 tillsynsbegäran.docx", "A 58701-2020")</f>
        <v/>
      </c>
      <c r="Y109">
        <f>HYPERLINK("https://klasma.github.io/Logging_0980/tillsynsmail/A 58701-2020 tillsynsbegäran mail.docx", "A 58701-2020")</f>
        <v/>
      </c>
    </row>
    <row r="110" ht="15" customHeight="1">
      <c r="A110" t="inlineStr">
        <is>
          <t>A 64263-2020</t>
        </is>
      </c>
      <c r="B110" s="1" t="n">
        <v>44168</v>
      </c>
      <c r="C110" s="1" t="n">
        <v>45294</v>
      </c>
      <c r="D110" t="inlineStr">
        <is>
          <t>GOTLANDS LÄN</t>
        </is>
      </c>
      <c r="E110" t="inlineStr">
        <is>
          <t>GOTLAND</t>
        </is>
      </c>
      <c r="G110" t="n">
        <v>10.9</v>
      </c>
      <c r="H110" t="n">
        <v>1</v>
      </c>
      <c r="I110" t="n">
        <v>0</v>
      </c>
      <c r="J110" t="n">
        <v>2</v>
      </c>
      <c r="K110" t="n">
        <v>0</v>
      </c>
      <c r="L110" t="n">
        <v>0</v>
      </c>
      <c r="M110" t="n">
        <v>0</v>
      </c>
      <c r="N110" t="n">
        <v>0</v>
      </c>
      <c r="O110" t="n">
        <v>2</v>
      </c>
      <c r="P110" t="n">
        <v>0</v>
      </c>
      <c r="Q110" t="n">
        <v>2</v>
      </c>
      <c r="R110" s="2" t="inlineStr">
        <is>
          <t>Mindre hackspett
Ullticka</t>
        </is>
      </c>
      <c r="S110">
        <f>HYPERLINK("https://klasma.github.io/Logging_0980/artfynd/A 64263-2020 artfynd.xlsx", "A 64263-2020")</f>
        <v/>
      </c>
      <c r="T110">
        <f>HYPERLINK("https://klasma.github.io/Logging_0980/kartor/A 64263-2020 karta.png", "A 64263-2020")</f>
        <v/>
      </c>
      <c r="V110">
        <f>HYPERLINK("https://klasma.github.io/Logging_0980/klagomål/A 64263-2020 FSC-klagomål.docx", "A 64263-2020")</f>
        <v/>
      </c>
      <c r="W110">
        <f>HYPERLINK("https://klasma.github.io/Logging_0980/klagomålsmail/A 64263-2020 FSC-klagomål mail.docx", "A 64263-2020")</f>
        <v/>
      </c>
      <c r="X110">
        <f>HYPERLINK("https://klasma.github.io/Logging_0980/tillsyn/A 64263-2020 tillsynsbegäran.docx", "A 64263-2020")</f>
        <v/>
      </c>
      <c r="Y110">
        <f>HYPERLINK("https://klasma.github.io/Logging_0980/tillsynsmail/A 64263-2020 tillsynsbegäran mail.docx", "A 64263-2020")</f>
        <v/>
      </c>
    </row>
    <row r="111" ht="15" customHeight="1">
      <c r="A111" t="inlineStr">
        <is>
          <t>A 9930-2021</t>
        </is>
      </c>
      <c r="B111" s="1" t="n">
        <v>44252</v>
      </c>
      <c r="C111" s="1" t="n">
        <v>45294</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16429-2021</t>
        </is>
      </c>
      <c r="B112" s="1" t="n">
        <v>44293</v>
      </c>
      <c r="C112" s="1" t="n">
        <v>45294</v>
      </c>
      <c r="D112" t="inlineStr">
        <is>
          <t>GOTLANDS LÄN</t>
        </is>
      </c>
      <c r="E112" t="inlineStr">
        <is>
          <t>GOTLAND</t>
        </is>
      </c>
      <c r="G112" t="n">
        <v>3.4</v>
      </c>
      <c r="H112" t="n">
        <v>0</v>
      </c>
      <c r="I112" t="n">
        <v>0</v>
      </c>
      <c r="J112" t="n">
        <v>1</v>
      </c>
      <c r="K112" t="n">
        <v>1</v>
      </c>
      <c r="L112" t="n">
        <v>0</v>
      </c>
      <c r="M112" t="n">
        <v>0</v>
      </c>
      <c r="N112" t="n">
        <v>0</v>
      </c>
      <c r="O112" t="n">
        <v>2</v>
      </c>
      <c r="P112" t="n">
        <v>1</v>
      </c>
      <c r="Q112" t="n">
        <v>2</v>
      </c>
      <c r="R112" s="2" t="inlineStr">
        <is>
          <t>Gotlandsmåra
Barrviolspindling</t>
        </is>
      </c>
      <c r="S112">
        <f>HYPERLINK("https://klasma.github.io/Logging_0980/artfynd/A 16429-2021 artfynd.xlsx", "A 16429-2021")</f>
        <v/>
      </c>
      <c r="T112">
        <f>HYPERLINK("https://klasma.github.io/Logging_0980/kartor/A 16429-2021 karta.png", "A 16429-2021")</f>
        <v/>
      </c>
      <c r="V112">
        <f>HYPERLINK("https://klasma.github.io/Logging_0980/klagomål/A 16429-2021 FSC-klagomål.docx", "A 16429-2021")</f>
        <v/>
      </c>
      <c r="W112">
        <f>HYPERLINK("https://klasma.github.io/Logging_0980/klagomålsmail/A 16429-2021 FSC-klagomål mail.docx", "A 16429-2021")</f>
        <v/>
      </c>
      <c r="X112">
        <f>HYPERLINK("https://klasma.github.io/Logging_0980/tillsyn/A 16429-2021 tillsynsbegäran.docx", "A 16429-2021")</f>
        <v/>
      </c>
      <c r="Y112">
        <f>HYPERLINK("https://klasma.github.io/Logging_0980/tillsynsmail/A 16429-2021 tillsynsbegäran mail.docx", "A 16429-2021")</f>
        <v/>
      </c>
    </row>
    <row r="113" ht="15" customHeight="1">
      <c r="A113" t="inlineStr">
        <is>
          <t>A 29870-2021</t>
        </is>
      </c>
      <c r="B113" s="1" t="n">
        <v>44362</v>
      </c>
      <c r="C113" s="1" t="n">
        <v>45294</v>
      </c>
      <c r="D113" t="inlineStr">
        <is>
          <t>GOTLANDS LÄN</t>
        </is>
      </c>
      <c r="E113" t="inlineStr">
        <is>
          <t>GOTLAND</t>
        </is>
      </c>
      <c r="G113" t="n">
        <v>2.4</v>
      </c>
      <c r="H113" t="n">
        <v>0</v>
      </c>
      <c r="I113" t="n">
        <v>1</v>
      </c>
      <c r="J113" t="n">
        <v>0</v>
      </c>
      <c r="K113" t="n">
        <v>1</v>
      </c>
      <c r="L113" t="n">
        <v>0</v>
      </c>
      <c r="M113" t="n">
        <v>0</v>
      </c>
      <c r="N113" t="n">
        <v>0</v>
      </c>
      <c r="O113" t="n">
        <v>1</v>
      </c>
      <c r="P113" t="n">
        <v>1</v>
      </c>
      <c r="Q113" t="n">
        <v>2</v>
      </c>
      <c r="R113" s="2" t="inlineStr">
        <is>
          <t>Blåfotad fagerspindling
Olivspindling</t>
        </is>
      </c>
      <c r="S113">
        <f>HYPERLINK("https://klasma.github.io/Logging_0980/artfynd/A 29870-2021 artfynd.xlsx", "A 29870-2021")</f>
        <v/>
      </c>
      <c r="T113">
        <f>HYPERLINK("https://klasma.github.io/Logging_0980/kartor/A 29870-2021 karta.png", "A 29870-2021")</f>
        <v/>
      </c>
      <c r="V113">
        <f>HYPERLINK("https://klasma.github.io/Logging_0980/klagomål/A 29870-2021 FSC-klagomål.docx", "A 29870-2021")</f>
        <v/>
      </c>
      <c r="W113">
        <f>HYPERLINK("https://klasma.github.io/Logging_0980/klagomålsmail/A 29870-2021 FSC-klagomål mail.docx", "A 29870-2021")</f>
        <v/>
      </c>
      <c r="X113">
        <f>HYPERLINK("https://klasma.github.io/Logging_0980/tillsyn/A 29870-2021 tillsynsbegäran.docx", "A 29870-2021")</f>
        <v/>
      </c>
      <c r="Y113">
        <f>HYPERLINK("https://klasma.github.io/Logging_0980/tillsynsmail/A 29870-2021 tillsynsbegäran mail.docx", "A 29870-2021")</f>
        <v/>
      </c>
    </row>
    <row r="114" ht="15" customHeight="1">
      <c r="A114" t="inlineStr">
        <is>
          <t>A 60665-2021</t>
        </is>
      </c>
      <c r="B114" s="1" t="n">
        <v>44496</v>
      </c>
      <c r="C114" s="1" t="n">
        <v>45294</v>
      </c>
      <c r="D114" t="inlineStr">
        <is>
          <t>GOTLANDS LÄN</t>
        </is>
      </c>
      <c r="E114" t="inlineStr">
        <is>
          <t>GOTLAND</t>
        </is>
      </c>
      <c r="G114" t="n">
        <v>1.6</v>
      </c>
      <c r="H114" t="n">
        <v>0</v>
      </c>
      <c r="I114" t="n">
        <v>0</v>
      </c>
      <c r="J114" t="n">
        <v>0</v>
      </c>
      <c r="K114" t="n">
        <v>1</v>
      </c>
      <c r="L114" t="n">
        <v>1</v>
      </c>
      <c r="M114" t="n">
        <v>0</v>
      </c>
      <c r="N114" t="n">
        <v>0</v>
      </c>
      <c r="O114" t="n">
        <v>2</v>
      </c>
      <c r="P114" t="n">
        <v>2</v>
      </c>
      <c r="Q114" t="n">
        <v>2</v>
      </c>
      <c r="R114" s="2" t="inlineStr">
        <is>
          <t>Ädellav
Skogskorn</t>
        </is>
      </c>
      <c r="S114">
        <f>HYPERLINK("https://klasma.github.io/Logging_0980/artfynd/A 60665-2021 artfynd.xlsx", "A 60665-2021")</f>
        <v/>
      </c>
      <c r="T114">
        <f>HYPERLINK("https://klasma.github.io/Logging_0980/kartor/A 60665-2021 karta.png", "A 60665-2021")</f>
        <v/>
      </c>
      <c r="V114">
        <f>HYPERLINK("https://klasma.github.io/Logging_0980/klagomål/A 60665-2021 FSC-klagomål.docx", "A 60665-2021")</f>
        <v/>
      </c>
      <c r="W114">
        <f>HYPERLINK("https://klasma.github.io/Logging_0980/klagomålsmail/A 60665-2021 FSC-klagomål mail.docx", "A 60665-2021")</f>
        <v/>
      </c>
      <c r="X114">
        <f>HYPERLINK("https://klasma.github.io/Logging_0980/tillsyn/A 60665-2021 tillsynsbegäran.docx", "A 60665-2021")</f>
        <v/>
      </c>
      <c r="Y114">
        <f>HYPERLINK("https://klasma.github.io/Logging_0980/tillsynsmail/A 60665-2021 tillsynsbegäran mail.docx", "A 60665-2021")</f>
        <v/>
      </c>
    </row>
    <row r="115" ht="15" customHeight="1">
      <c r="A115" t="inlineStr">
        <is>
          <t>A 73144-2021</t>
        </is>
      </c>
      <c r="B115" s="1" t="n">
        <v>44550</v>
      </c>
      <c r="C115" s="1" t="n">
        <v>45294</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7070-2022</t>
        </is>
      </c>
      <c r="B116" s="1" t="n">
        <v>44603</v>
      </c>
      <c r="C116" s="1" t="n">
        <v>45294</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19175-2022</t>
        </is>
      </c>
      <c r="B117" s="1" t="n">
        <v>44691</v>
      </c>
      <c r="C117" s="1" t="n">
        <v>45294</v>
      </c>
      <c r="D117" t="inlineStr">
        <is>
          <t>GOTLANDS LÄN</t>
        </is>
      </c>
      <c r="E117" t="inlineStr">
        <is>
          <t>GOTLAND</t>
        </is>
      </c>
      <c r="G117" t="n">
        <v>8.5</v>
      </c>
      <c r="H117" t="n">
        <v>1</v>
      </c>
      <c r="I117" t="n">
        <v>0</v>
      </c>
      <c r="J117" t="n">
        <v>2</v>
      </c>
      <c r="K117" t="n">
        <v>0</v>
      </c>
      <c r="L117" t="n">
        <v>0</v>
      </c>
      <c r="M117" t="n">
        <v>0</v>
      </c>
      <c r="N117" t="n">
        <v>0</v>
      </c>
      <c r="O117" t="n">
        <v>2</v>
      </c>
      <c r="P117" t="n">
        <v>0</v>
      </c>
      <c r="Q117" t="n">
        <v>2</v>
      </c>
      <c r="R117" s="2" t="inlineStr">
        <is>
          <t>Jordtistel
Spillkråka</t>
        </is>
      </c>
      <c r="S117">
        <f>HYPERLINK("https://klasma.github.io/Logging_0980/artfynd/A 19175-2022 artfynd.xlsx", "A 19175-2022")</f>
        <v/>
      </c>
      <c r="T117">
        <f>HYPERLINK("https://klasma.github.io/Logging_0980/kartor/A 19175-2022 karta.png", "A 19175-2022")</f>
        <v/>
      </c>
      <c r="V117">
        <f>HYPERLINK("https://klasma.github.io/Logging_0980/klagomål/A 19175-2022 FSC-klagomål.docx", "A 19175-2022")</f>
        <v/>
      </c>
      <c r="W117">
        <f>HYPERLINK("https://klasma.github.io/Logging_0980/klagomålsmail/A 19175-2022 FSC-klagomål mail.docx", "A 19175-2022")</f>
        <v/>
      </c>
      <c r="X117">
        <f>HYPERLINK("https://klasma.github.io/Logging_0980/tillsyn/A 19175-2022 tillsynsbegäran.docx", "A 19175-2022")</f>
        <v/>
      </c>
      <c r="Y117">
        <f>HYPERLINK("https://klasma.github.io/Logging_0980/tillsynsmail/A 19175-2022 tillsynsbegäran mail.docx", "A 19175-2022")</f>
        <v/>
      </c>
    </row>
    <row r="118" ht="15" customHeight="1">
      <c r="A118" t="inlineStr">
        <is>
          <t>A 20218-2022</t>
        </is>
      </c>
      <c r="B118" s="1" t="n">
        <v>44698</v>
      </c>
      <c r="C118" s="1" t="n">
        <v>45294</v>
      </c>
      <c r="D118" t="inlineStr">
        <is>
          <t>GOTLANDS LÄN</t>
        </is>
      </c>
      <c r="E118" t="inlineStr">
        <is>
          <t>GOTLAND</t>
        </is>
      </c>
      <c r="G118" t="n">
        <v>4.3</v>
      </c>
      <c r="H118" t="n">
        <v>0</v>
      </c>
      <c r="I118" t="n">
        <v>1</v>
      </c>
      <c r="J118" t="n">
        <v>1</v>
      </c>
      <c r="K118" t="n">
        <v>0</v>
      </c>
      <c r="L118" t="n">
        <v>0</v>
      </c>
      <c r="M118" t="n">
        <v>0</v>
      </c>
      <c r="N118" t="n">
        <v>0</v>
      </c>
      <c r="O118" t="n">
        <v>1</v>
      </c>
      <c r="P118" t="n">
        <v>0</v>
      </c>
      <c r="Q118" t="n">
        <v>2</v>
      </c>
      <c r="R118" s="2" t="inlineStr">
        <is>
          <t>Flattoppad klubbsvamp
Rödgul trumpetsvamp</t>
        </is>
      </c>
      <c r="S118">
        <f>HYPERLINK("https://klasma.github.io/Logging_0980/artfynd/A 20218-2022 artfynd.xlsx", "A 20218-2022")</f>
        <v/>
      </c>
      <c r="T118">
        <f>HYPERLINK("https://klasma.github.io/Logging_0980/kartor/A 20218-2022 karta.png", "A 20218-2022")</f>
        <v/>
      </c>
      <c r="V118">
        <f>HYPERLINK("https://klasma.github.io/Logging_0980/klagomål/A 20218-2022 FSC-klagomål.docx", "A 20218-2022")</f>
        <v/>
      </c>
      <c r="W118">
        <f>HYPERLINK("https://klasma.github.io/Logging_0980/klagomålsmail/A 20218-2022 FSC-klagomål mail.docx", "A 20218-2022")</f>
        <v/>
      </c>
      <c r="X118">
        <f>HYPERLINK("https://klasma.github.io/Logging_0980/tillsyn/A 20218-2022 tillsynsbegäran.docx", "A 20218-2022")</f>
        <v/>
      </c>
      <c r="Y118">
        <f>HYPERLINK("https://klasma.github.io/Logging_0980/tillsynsmail/A 20218-2022 tillsynsbegäran mail.docx", "A 20218-2022")</f>
        <v/>
      </c>
    </row>
    <row r="119" ht="15" customHeight="1">
      <c r="A119" t="inlineStr">
        <is>
          <t>A 48126-2022</t>
        </is>
      </c>
      <c r="B119" s="1" t="n">
        <v>44857</v>
      </c>
      <c r="C119" s="1" t="n">
        <v>45294</v>
      </c>
      <c r="D119" t="inlineStr">
        <is>
          <t>GOTLANDS LÄN</t>
        </is>
      </c>
      <c r="E119" t="inlineStr">
        <is>
          <t>GOTLAND</t>
        </is>
      </c>
      <c r="G119" t="n">
        <v>9.800000000000001</v>
      </c>
      <c r="H119" t="n">
        <v>1</v>
      </c>
      <c r="I119" t="n">
        <v>0</v>
      </c>
      <c r="J119" t="n">
        <v>2</v>
      </c>
      <c r="K119" t="n">
        <v>0</v>
      </c>
      <c r="L119" t="n">
        <v>0</v>
      </c>
      <c r="M119" t="n">
        <v>0</v>
      </c>
      <c r="N119" t="n">
        <v>0</v>
      </c>
      <c r="O119" t="n">
        <v>2</v>
      </c>
      <c r="P119" t="n">
        <v>0</v>
      </c>
      <c r="Q119" t="n">
        <v>2</v>
      </c>
      <c r="R119" s="2" t="inlineStr">
        <is>
          <t>Jordtistel
Spillkråka</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row>
    <row r="120" ht="15" customHeight="1">
      <c r="A120" t="inlineStr">
        <is>
          <t>A 3779-2023</t>
        </is>
      </c>
      <c r="B120" s="1" t="n">
        <v>44951</v>
      </c>
      <c r="C120" s="1" t="n">
        <v>45294</v>
      </c>
      <c r="D120" t="inlineStr">
        <is>
          <t>GOTLANDS LÄN</t>
        </is>
      </c>
      <c r="E120" t="inlineStr">
        <is>
          <t>GOTLAND</t>
        </is>
      </c>
      <c r="G120" t="n">
        <v>5.2</v>
      </c>
      <c r="H120" t="n">
        <v>0</v>
      </c>
      <c r="I120" t="n">
        <v>2</v>
      </c>
      <c r="J120" t="n">
        <v>0</v>
      </c>
      <c r="K120" t="n">
        <v>0</v>
      </c>
      <c r="L120" t="n">
        <v>0</v>
      </c>
      <c r="M120" t="n">
        <v>0</v>
      </c>
      <c r="N120" t="n">
        <v>0</v>
      </c>
      <c r="O120" t="n">
        <v>0</v>
      </c>
      <c r="P120" t="n">
        <v>0</v>
      </c>
      <c r="Q120" t="n">
        <v>2</v>
      </c>
      <c r="R120" s="2" t="inlineStr">
        <is>
          <t>Blå slemspindling
Olivspindling</t>
        </is>
      </c>
      <c r="S120">
        <f>HYPERLINK("https://klasma.github.io/Logging_0980/artfynd/A 3779-2023 artfynd.xlsx", "A 3779-2023")</f>
        <v/>
      </c>
      <c r="T120">
        <f>HYPERLINK("https://klasma.github.io/Logging_0980/kartor/A 3779-2023 karta.png", "A 3779-2023")</f>
        <v/>
      </c>
      <c r="V120">
        <f>HYPERLINK("https://klasma.github.io/Logging_0980/klagomål/A 3779-2023 FSC-klagomål.docx", "A 3779-2023")</f>
        <v/>
      </c>
      <c r="W120">
        <f>HYPERLINK("https://klasma.github.io/Logging_0980/klagomålsmail/A 3779-2023 FSC-klagomål mail.docx", "A 3779-2023")</f>
        <v/>
      </c>
      <c r="X120">
        <f>HYPERLINK("https://klasma.github.io/Logging_0980/tillsyn/A 3779-2023 tillsynsbegäran.docx", "A 3779-2023")</f>
        <v/>
      </c>
      <c r="Y120">
        <f>HYPERLINK("https://klasma.github.io/Logging_0980/tillsynsmail/A 3779-2023 tillsynsbegäran mail.docx", "A 3779-2023")</f>
        <v/>
      </c>
    </row>
    <row r="121" ht="15" customHeight="1">
      <c r="A121" t="inlineStr">
        <is>
          <t>A 35028-2023</t>
        </is>
      </c>
      <c r="B121" s="1" t="n">
        <v>45145</v>
      </c>
      <c r="C121" s="1" t="n">
        <v>45294</v>
      </c>
      <c r="D121" t="inlineStr">
        <is>
          <t>GOTLANDS LÄN</t>
        </is>
      </c>
      <c r="E121" t="inlineStr">
        <is>
          <t>GOTLAND</t>
        </is>
      </c>
      <c r="G121" t="n">
        <v>1.1</v>
      </c>
      <c r="H121" t="n">
        <v>0</v>
      </c>
      <c r="I121" t="n">
        <v>1</v>
      </c>
      <c r="J121" t="n">
        <v>0</v>
      </c>
      <c r="K121" t="n">
        <v>1</v>
      </c>
      <c r="L121" t="n">
        <v>0</v>
      </c>
      <c r="M121" t="n">
        <v>0</v>
      </c>
      <c r="N121" t="n">
        <v>0</v>
      </c>
      <c r="O121" t="n">
        <v>1</v>
      </c>
      <c r="P121" t="n">
        <v>1</v>
      </c>
      <c r="Q121" t="n">
        <v>2</v>
      </c>
      <c r="R121" s="2" t="inlineStr">
        <is>
          <t>Tät korallorangelav
Guldlockmossa</t>
        </is>
      </c>
      <c r="S121">
        <f>HYPERLINK("https://klasma.github.io/Logging_0980/artfynd/A 35028-2023 artfynd.xlsx", "A 35028-2023")</f>
        <v/>
      </c>
      <c r="T121">
        <f>HYPERLINK("https://klasma.github.io/Logging_0980/kartor/A 35028-2023 karta.png", "A 35028-2023")</f>
        <v/>
      </c>
      <c r="V121">
        <f>HYPERLINK("https://klasma.github.io/Logging_0980/klagomål/A 35028-2023 FSC-klagomål.docx", "A 35028-2023")</f>
        <v/>
      </c>
      <c r="W121">
        <f>HYPERLINK("https://klasma.github.io/Logging_0980/klagomålsmail/A 35028-2023 FSC-klagomål mail.docx", "A 35028-2023")</f>
        <v/>
      </c>
      <c r="X121">
        <f>HYPERLINK("https://klasma.github.io/Logging_0980/tillsyn/A 35028-2023 tillsynsbegäran.docx", "A 35028-2023")</f>
        <v/>
      </c>
      <c r="Y121">
        <f>HYPERLINK("https://klasma.github.io/Logging_0980/tillsynsmail/A 35028-2023 tillsynsbegäran mail.docx", "A 35028-2023")</f>
        <v/>
      </c>
    </row>
    <row r="122" ht="15" customHeight="1">
      <c r="A122" t="inlineStr">
        <is>
          <t>A 35029-2023</t>
        </is>
      </c>
      <c r="B122" s="1" t="n">
        <v>45145</v>
      </c>
      <c r="C122" s="1" t="n">
        <v>45294</v>
      </c>
      <c r="D122" t="inlineStr">
        <is>
          <t>GOTLANDS LÄN</t>
        </is>
      </c>
      <c r="E122" t="inlineStr">
        <is>
          <t>GOTLAND</t>
        </is>
      </c>
      <c r="G122" t="n">
        <v>1.7</v>
      </c>
      <c r="H122" t="n">
        <v>0</v>
      </c>
      <c r="I122" t="n">
        <v>1</v>
      </c>
      <c r="J122" t="n">
        <v>1</v>
      </c>
      <c r="K122" t="n">
        <v>0</v>
      </c>
      <c r="L122" t="n">
        <v>0</v>
      </c>
      <c r="M122" t="n">
        <v>0</v>
      </c>
      <c r="N122" t="n">
        <v>0</v>
      </c>
      <c r="O122" t="n">
        <v>1</v>
      </c>
      <c r="P122" t="n">
        <v>0</v>
      </c>
      <c r="Q122" t="n">
        <v>2</v>
      </c>
      <c r="R122" s="2" t="inlineStr">
        <is>
          <t>Odörspindling
Anisspindling</t>
        </is>
      </c>
      <c r="S122">
        <f>HYPERLINK("https://klasma.github.io/Logging_0980/artfynd/A 35029-2023 artfynd.xlsx", "A 35029-2023")</f>
        <v/>
      </c>
      <c r="T122">
        <f>HYPERLINK("https://klasma.github.io/Logging_0980/kartor/A 35029-2023 karta.png", "A 35029-2023")</f>
        <v/>
      </c>
      <c r="V122">
        <f>HYPERLINK("https://klasma.github.io/Logging_0980/klagomål/A 35029-2023 FSC-klagomål.docx", "A 35029-2023")</f>
        <v/>
      </c>
      <c r="W122">
        <f>HYPERLINK("https://klasma.github.io/Logging_0980/klagomålsmail/A 35029-2023 FSC-klagomål mail.docx", "A 35029-2023")</f>
        <v/>
      </c>
      <c r="X122">
        <f>HYPERLINK("https://klasma.github.io/Logging_0980/tillsyn/A 35029-2023 tillsynsbegäran.docx", "A 35029-2023")</f>
        <v/>
      </c>
      <c r="Y122">
        <f>HYPERLINK("https://klasma.github.io/Logging_0980/tillsynsmail/A 35029-2023 tillsynsbegäran mail.docx", "A 35029-2023")</f>
        <v/>
      </c>
    </row>
    <row r="123" ht="15" customHeight="1">
      <c r="A123" t="inlineStr">
        <is>
          <t>A 39430-2023</t>
        </is>
      </c>
      <c r="B123" s="1" t="n">
        <v>45166</v>
      </c>
      <c r="C123" s="1" t="n">
        <v>45294</v>
      </c>
      <c r="D123" t="inlineStr">
        <is>
          <t>GOTLANDS LÄN</t>
        </is>
      </c>
      <c r="E123" t="inlineStr">
        <is>
          <t>GOTLAND</t>
        </is>
      </c>
      <c r="G123" t="n">
        <v>2.3</v>
      </c>
      <c r="H123" t="n">
        <v>0</v>
      </c>
      <c r="I123" t="n">
        <v>1</v>
      </c>
      <c r="J123" t="n">
        <v>1</v>
      </c>
      <c r="K123" t="n">
        <v>0</v>
      </c>
      <c r="L123" t="n">
        <v>0</v>
      </c>
      <c r="M123" t="n">
        <v>0</v>
      </c>
      <c r="N123" t="n">
        <v>0</v>
      </c>
      <c r="O123" t="n">
        <v>1</v>
      </c>
      <c r="P123" t="n">
        <v>0</v>
      </c>
      <c r="Q123" t="n">
        <v>2</v>
      </c>
      <c r="R123" s="2" t="inlineStr">
        <is>
          <t>Odörspindling
Anisspindling</t>
        </is>
      </c>
      <c r="S123">
        <f>HYPERLINK("https://klasma.github.io/Logging_0980/artfynd/A 39430-2023 artfynd.xlsx", "A 39430-2023")</f>
        <v/>
      </c>
      <c r="T123">
        <f>HYPERLINK("https://klasma.github.io/Logging_0980/kartor/A 39430-2023 karta.png", "A 39430-2023")</f>
        <v/>
      </c>
      <c r="V123">
        <f>HYPERLINK("https://klasma.github.io/Logging_0980/klagomål/A 39430-2023 FSC-klagomål.docx", "A 39430-2023")</f>
        <v/>
      </c>
      <c r="W123">
        <f>HYPERLINK("https://klasma.github.io/Logging_0980/klagomålsmail/A 39430-2023 FSC-klagomål mail.docx", "A 39430-2023")</f>
        <v/>
      </c>
      <c r="X123">
        <f>HYPERLINK("https://klasma.github.io/Logging_0980/tillsyn/A 39430-2023 tillsynsbegäran.docx", "A 39430-2023")</f>
        <v/>
      </c>
      <c r="Y123">
        <f>HYPERLINK("https://klasma.github.io/Logging_0980/tillsynsmail/A 39430-2023 tillsynsbegäran mail.docx", "A 39430-2023")</f>
        <v/>
      </c>
    </row>
    <row r="124" ht="15" customHeight="1">
      <c r="A124" t="inlineStr">
        <is>
          <t>A 39376-2023</t>
        </is>
      </c>
      <c r="B124" s="1" t="n">
        <v>45166</v>
      </c>
      <c r="C124" s="1" t="n">
        <v>45294</v>
      </c>
      <c r="D124" t="inlineStr">
        <is>
          <t>GOTLANDS LÄN</t>
        </is>
      </c>
      <c r="E124" t="inlineStr">
        <is>
          <t>GOTLAND</t>
        </is>
      </c>
      <c r="G124" t="n">
        <v>9.199999999999999</v>
      </c>
      <c r="H124" t="n">
        <v>0</v>
      </c>
      <c r="I124" t="n">
        <v>0</v>
      </c>
      <c r="J124" t="n">
        <v>2</v>
      </c>
      <c r="K124" t="n">
        <v>0</v>
      </c>
      <c r="L124" t="n">
        <v>0</v>
      </c>
      <c r="M124" t="n">
        <v>0</v>
      </c>
      <c r="N124" t="n">
        <v>0</v>
      </c>
      <c r="O124" t="n">
        <v>2</v>
      </c>
      <c r="P124" t="n">
        <v>0</v>
      </c>
      <c r="Q124" t="n">
        <v>2</v>
      </c>
      <c r="R124" s="2" t="inlineStr">
        <is>
          <t>Flattoppad klubbsvamp
Äggspindling</t>
        </is>
      </c>
      <c r="S124">
        <f>HYPERLINK("https://klasma.github.io/Logging_0980/artfynd/A 39376-2023 artfynd.xlsx", "A 39376-2023")</f>
        <v/>
      </c>
      <c r="T124">
        <f>HYPERLINK("https://klasma.github.io/Logging_0980/kartor/A 39376-2023 karta.png", "A 39376-2023")</f>
        <v/>
      </c>
      <c r="V124">
        <f>HYPERLINK("https://klasma.github.io/Logging_0980/klagomål/A 39376-2023 FSC-klagomål.docx", "A 39376-2023")</f>
        <v/>
      </c>
      <c r="W124">
        <f>HYPERLINK("https://klasma.github.io/Logging_0980/klagomålsmail/A 39376-2023 FSC-klagomål mail.docx", "A 39376-2023")</f>
        <v/>
      </c>
      <c r="X124">
        <f>HYPERLINK("https://klasma.github.io/Logging_0980/tillsyn/A 39376-2023 tillsynsbegäran.docx", "A 39376-2023")</f>
        <v/>
      </c>
      <c r="Y124">
        <f>HYPERLINK("https://klasma.github.io/Logging_0980/tillsynsmail/A 39376-2023 tillsynsbegäran mail.docx", "A 39376-2023")</f>
        <v/>
      </c>
    </row>
    <row r="125" ht="15" customHeight="1">
      <c r="A125" t="inlineStr">
        <is>
          <t>A 39425-2023</t>
        </is>
      </c>
      <c r="B125" s="1" t="n">
        <v>45166</v>
      </c>
      <c r="C125" s="1" t="n">
        <v>45294</v>
      </c>
      <c r="D125" t="inlineStr">
        <is>
          <t>GOTLANDS LÄN</t>
        </is>
      </c>
      <c r="E125" t="inlineStr">
        <is>
          <t>GOTLAND</t>
        </is>
      </c>
      <c r="G125" t="n">
        <v>3.9</v>
      </c>
      <c r="H125" t="n">
        <v>1</v>
      </c>
      <c r="I125" t="n">
        <v>0</v>
      </c>
      <c r="J125" t="n">
        <v>0</v>
      </c>
      <c r="K125" t="n">
        <v>2</v>
      </c>
      <c r="L125" t="n">
        <v>0</v>
      </c>
      <c r="M125" t="n">
        <v>0</v>
      </c>
      <c r="N125" t="n">
        <v>0</v>
      </c>
      <c r="O125" t="n">
        <v>2</v>
      </c>
      <c r="P125" t="n">
        <v>2</v>
      </c>
      <c r="Q125" t="n">
        <v>2</v>
      </c>
      <c r="R125" s="2" t="inlineStr">
        <is>
          <t>Knärot
Violgubbe</t>
        </is>
      </c>
      <c r="S125">
        <f>HYPERLINK("https://klasma.github.io/Logging_0980/artfynd/A 39425-2023 artfynd.xlsx", "A 39425-2023")</f>
        <v/>
      </c>
      <c r="T125">
        <f>HYPERLINK("https://klasma.github.io/Logging_0980/kartor/A 39425-2023 karta.png", "A 39425-2023")</f>
        <v/>
      </c>
      <c r="U125">
        <f>HYPERLINK("https://klasma.github.io/Logging_0980/knärot/A 39425-2023 karta knärot.png", "A 39425-2023")</f>
        <v/>
      </c>
      <c r="V125">
        <f>HYPERLINK("https://klasma.github.io/Logging_0980/klagomål/A 39425-2023 FSC-klagomål.docx", "A 39425-2023")</f>
        <v/>
      </c>
      <c r="W125">
        <f>HYPERLINK("https://klasma.github.io/Logging_0980/klagomålsmail/A 39425-2023 FSC-klagomål mail.docx", "A 39425-2023")</f>
        <v/>
      </c>
      <c r="X125">
        <f>HYPERLINK("https://klasma.github.io/Logging_0980/tillsyn/A 39425-2023 tillsynsbegäran.docx", "A 39425-2023")</f>
        <v/>
      </c>
      <c r="Y125">
        <f>HYPERLINK("https://klasma.github.io/Logging_0980/tillsynsmail/A 39425-2023 tillsynsbegäran mail.docx", "A 39425-2023")</f>
        <v/>
      </c>
    </row>
    <row r="126" ht="15" customHeight="1">
      <c r="A126" t="inlineStr">
        <is>
          <t>A 39749-2023</t>
        </is>
      </c>
      <c r="B126" s="1" t="n">
        <v>45167</v>
      </c>
      <c r="C126" s="1" t="n">
        <v>45294</v>
      </c>
      <c r="D126" t="inlineStr">
        <is>
          <t>GOTLANDS LÄN</t>
        </is>
      </c>
      <c r="E126" t="inlineStr">
        <is>
          <t>GOTLAND</t>
        </is>
      </c>
      <c r="G126" t="n">
        <v>8.300000000000001</v>
      </c>
      <c r="H126" t="n">
        <v>0</v>
      </c>
      <c r="I126" t="n">
        <v>1</v>
      </c>
      <c r="J126" t="n">
        <v>1</v>
      </c>
      <c r="K126" t="n">
        <v>0</v>
      </c>
      <c r="L126" t="n">
        <v>0</v>
      </c>
      <c r="M126" t="n">
        <v>0</v>
      </c>
      <c r="N126" t="n">
        <v>0</v>
      </c>
      <c r="O126" t="n">
        <v>1</v>
      </c>
      <c r="P126" t="n">
        <v>0</v>
      </c>
      <c r="Q126" t="n">
        <v>2</v>
      </c>
      <c r="R126" s="2" t="inlineStr">
        <is>
          <t>Majviva
Axag</t>
        </is>
      </c>
      <c r="S126">
        <f>HYPERLINK("https://klasma.github.io/Logging_0980/artfynd/A 39749-2023 artfynd.xlsx", "A 39749-2023")</f>
        <v/>
      </c>
      <c r="T126">
        <f>HYPERLINK("https://klasma.github.io/Logging_0980/kartor/A 39749-2023 karta.png", "A 39749-2023")</f>
        <v/>
      </c>
      <c r="V126">
        <f>HYPERLINK("https://klasma.github.io/Logging_0980/klagomål/A 39749-2023 FSC-klagomål.docx", "A 39749-2023")</f>
        <v/>
      </c>
      <c r="W126">
        <f>HYPERLINK("https://klasma.github.io/Logging_0980/klagomålsmail/A 39749-2023 FSC-klagomål mail.docx", "A 39749-2023")</f>
        <v/>
      </c>
      <c r="X126">
        <f>HYPERLINK("https://klasma.github.io/Logging_0980/tillsyn/A 39749-2023 tillsynsbegäran.docx", "A 39749-2023")</f>
        <v/>
      </c>
      <c r="Y126">
        <f>HYPERLINK("https://klasma.github.io/Logging_0980/tillsynsmail/A 39749-2023 tillsynsbegäran mail.docx", "A 39749-2023")</f>
        <v/>
      </c>
    </row>
    <row r="127" ht="15" customHeight="1">
      <c r="A127" t="inlineStr">
        <is>
          <t>A 54523-2023</t>
        </is>
      </c>
      <c r="B127" s="1" t="n">
        <v>45233</v>
      </c>
      <c r="C127" s="1" t="n">
        <v>45294</v>
      </c>
      <c r="D127" t="inlineStr">
        <is>
          <t>GOTLANDS LÄN</t>
        </is>
      </c>
      <c r="E127" t="inlineStr">
        <is>
          <t>GOTLAND</t>
        </is>
      </c>
      <c r="G127" t="n">
        <v>3.7</v>
      </c>
      <c r="H127" t="n">
        <v>0</v>
      </c>
      <c r="I127" t="n">
        <v>0</v>
      </c>
      <c r="J127" t="n">
        <v>1</v>
      </c>
      <c r="K127" t="n">
        <v>1</v>
      </c>
      <c r="L127" t="n">
        <v>0</v>
      </c>
      <c r="M127" t="n">
        <v>0</v>
      </c>
      <c r="N127" t="n">
        <v>0</v>
      </c>
      <c r="O127" t="n">
        <v>2</v>
      </c>
      <c r="P127" t="n">
        <v>1</v>
      </c>
      <c r="Q127" t="n">
        <v>2</v>
      </c>
      <c r="R127" s="2" t="inlineStr">
        <is>
          <t>Sommarklynne
Åkerkulla</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41816-2018</t>
        </is>
      </c>
      <c r="B128" s="1" t="n">
        <v>43350</v>
      </c>
      <c r="C128" s="1" t="n">
        <v>45294</v>
      </c>
      <c r="D128" t="inlineStr">
        <is>
          <t>GOTLANDS LÄN</t>
        </is>
      </c>
      <c r="E128" t="inlineStr">
        <is>
          <t>GOTLAND</t>
        </is>
      </c>
      <c r="F128" t="inlineStr">
        <is>
          <t>Kyrkan</t>
        </is>
      </c>
      <c r="G128" t="n">
        <v>13.5</v>
      </c>
      <c r="H128" t="n">
        <v>1</v>
      </c>
      <c r="I128" t="n">
        <v>0</v>
      </c>
      <c r="J128" t="n">
        <v>1</v>
      </c>
      <c r="K128" t="n">
        <v>0</v>
      </c>
      <c r="L128" t="n">
        <v>0</v>
      </c>
      <c r="M128" t="n">
        <v>0</v>
      </c>
      <c r="N128" t="n">
        <v>0</v>
      </c>
      <c r="O128" t="n">
        <v>1</v>
      </c>
      <c r="P128" t="n">
        <v>0</v>
      </c>
      <c r="Q128" t="n">
        <v>1</v>
      </c>
      <c r="R128" s="2" t="inlineStr">
        <is>
          <t>Dårgräsfjäril</t>
        </is>
      </c>
      <c r="S128">
        <f>HYPERLINK("https://klasma.github.io/Logging_0980/artfynd/A 41816-2018 artfynd.xlsx", "A 41816-2018")</f>
        <v/>
      </c>
      <c r="T128">
        <f>HYPERLINK("https://klasma.github.io/Logging_0980/kartor/A 41816-2018 karta.png", "A 41816-2018")</f>
        <v/>
      </c>
      <c r="V128">
        <f>HYPERLINK("https://klasma.github.io/Logging_0980/klagomål/A 41816-2018 FSC-klagomål.docx", "A 41816-2018")</f>
        <v/>
      </c>
      <c r="W128">
        <f>HYPERLINK("https://klasma.github.io/Logging_0980/klagomålsmail/A 41816-2018 FSC-klagomål mail.docx", "A 41816-2018")</f>
        <v/>
      </c>
      <c r="X128">
        <f>HYPERLINK("https://klasma.github.io/Logging_0980/tillsyn/A 41816-2018 tillsynsbegäran.docx", "A 41816-2018")</f>
        <v/>
      </c>
      <c r="Y128">
        <f>HYPERLINK("https://klasma.github.io/Logging_0980/tillsynsmail/A 41816-2018 tillsynsbegäran mail.docx", "A 41816-2018")</f>
        <v/>
      </c>
    </row>
    <row r="129" ht="15" customHeight="1">
      <c r="A129" t="inlineStr">
        <is>
          <t>A 60102-2018</t>
        </is>
      </c>
      <c r="B129" s="1" t="n">
        <v>43412</v>
      </c>
      <c r="C129" s="1" t="n">
        <v>45294</v>
      </c>
      <c r="D129" t="inlineStr">
        <is>
          <t>GOTLANDS LÄN</t>
        </is>
      </c>
      <c r="E129" t="inlineStr">
        <is>
          <t>GOTLAND</t>
        </is>
      </c>
      <c r="G129" t="n">
        <v>5</v>
      </c>
      <c r="H129" t="n">
        <v>0</v>
      </c>
      <c r="I129" t="n">
        <v>1</v>
      </c>
      <c r="J129" t="n">
        <v>0</v>
      </c>
      <c r="K129" t="n">
        <v>0</v>
      </c>
      <c r="L129" t="n">
        <v>0</v>
      </c>
      <c r="M129" t="n">
        <v>0</v>
      </c>
      <c r="N129" t="n">
        <v>0</v>
      </c>
      <c r="O129" t="n">
        <v>0</v>
      </c>
      <c r="P129" t="n">
        <v>0</v>
      </c>
      <c r="Q129" t="n">
        <v>1</v>
      </c>
      <c r="R129" s="2" t="inlineStr">
        <is>
          <t>Fransig jordstjärna</t>
        </is>
      </c>
      <c r="S129">
        <f>HYPERLINK("https://klasma.github.io/Logging_0980/artfynd/A 60102-2018 artfynd.xlsx", "A 60102-2018")</f>
        <v/>
      </c>
      <c r="T129">
        <f>HYPERLINK("https://klasma.github.io/Logging_0980/kartor/A 60102-2018 karta.png", "A 60102-2018")</f>
        <v/>
      </c>
      <c r="V129">
        <f>HYPERLINK("https://klasma.github.io/Logging_0980/klagomål/A 60102-2018 FSC-klagomål.docx", "A 60102-2018")</f>
        <v/>
      </c>
      <c r="W129">
        <f>HYPERLINK("https://klasma.github.io/Logging_0980/klagomålsmail/A 60102-2018 FSC-klagomål mail.docx", "A 60102-2018")</f>
        <v/>
      </c>
      <c r="X129">
        <f>HYPERLINK("https://klasma.github.io/Logging_0980/tillsyn/A 60102-2018 tillsynsbegäran.docx", "A 60102-2018")</f>
        <v/>
      </c>
      <c r="Y129">
        <f>HYPERLINK("https://klasma.github.io/Logging_0980/tillsynsmail/A 60102-2018 tillsynsbegäran mail.docx", "A 60102-2018")</f>
        <v/>
      </c>
    </row>
    <row r="130" ht="15" customHeight="1">
      <c r="A130" t="inlineStr">
        <is>
          <t>A 72440-2018</t>
        </is>
      </c>
      <c r="B130" s="1" t="n">
        <v>43461</v>
      </c>
      <c r="C130" s="1" t="n">
        <v>45294</v>
      </c>
      <c r="D130" t="inlineStr">
        <is>
          <t>GOTLANDS LÄN</t>
        </is>
      </c>
      <c r="E130" t="inlineStr">
        <is>
          <t>GOTLAND</t>
        </is>
      </c>
      <c r="F130" t="inlineStr">
        <is>
          <t>Kyrkan</t>
        </is>
      </c>
      <c r="G130" t="n">
        <v>6.7</v>
      </c>
      <c r="H130" t="n">
        <v>0</v>
      </c>
      <c r="I130" t="n">
        <v>1</v>
      </c>
      <c r="J130" t="n">
        <v>0</v>
      </c>
      <c r="K130" t="n">
        <v>0</v>
      </c>
      <c r="L130" t="n">
        <v>0</v>
      </c>
      <c r="M130" t="n">
        <v>0</v>
      </c>
      <c r="N130" t="n">
        <v>0</v>
      </c>
      <c r="O130" t="n">
        <v>0</v>
      </c>
      <c r="P130" t="n">
        <v>0</v>
      </c>
      <c r="Q130" t="n">
        <v>1</v>
      </c>
      <c r="R130" s="2" t="inlineStr">
        <is>
          <t>Fransig jordstjärna</t>
        </is>
      </c>
      <c r="S130">
        <f>HYPERLINK("https://klasma.github.io/Logging_0980/artfynd/A 72440-2018 artfynd.xlsx", "A 72440-2018")</f>
        <v/>
      </c>
      <c r="T130">
        <f>HYPERLINK("https://klasma.github.io/Logging_0980/kartor/A 72440-2018 karta.png", "A 72440-2018")</f>
        <v/>
      </c>
      <c r="V130">
        <f>HYPERLINK("https://klasma.github.io/Logging_0980/klagomål/A 72440-2018 FSC-klagomål.docx", "A 72440-2018")</f>
        <v/>
      </c>
      <c r="W130">
        <f>HYPERLINK("https://klasma.github.io/Logging_0980/klagomålsmail/A 72440-2018 FSC-klagomål mail.docx", "A 72440-2018")</f>
        <v/>
      </c>
      <c r="X130">
        <f>HYPERLINK("https://klasma.github.io/Logging_0980/tillsyn/A 72440-2018 tillsynsbegäran.docx", "A 72440-2018")</f>
        <v/>
      </c>
      <c r="Y130">
        <f>HYPERLINK("https://klasma.github.io/Logging_0980/tillsynsmail/A 72440-2018 tillsynsbegäran mail.docx", "A 72440-2018")</f>
        <v/>
      </c>
    </row>
    <row r="131" ht="15" customHeight="1">
      <c r="A131" t="inlineStr">
        <is>
          <t>A 72562-2018</t>
        </is>
      </c>
      <c r="B131" s="1" t="n">
        <v>43462</v>
      </c>
      <c r="C131" s="1" t="n">
        <v>45294</v>
      </c>
      <c r="D131" t="inlineStr">
        <is>
          <t>GOTLANDS LÄN</t>
        </is>
      </c>
      <c r="E131" t="inlineStr">
        <is>
          <t>GOTLAND</t>
        </is>
      </c>
      <c r="F131" t="inlineStr">
        <is>
          <t>Kyrkan</t>
        </is>
      </c>
      <c r="G131" t="n">
        <v>3.9</v>
      </c>
      <c r="H131" t="n">
        <v>0</v>
      </c>
      <c r="I131" t="n">
        <v>1</v>
      </c>
      <c r="J131" t="n">
        <v>0</v>
      </c>
      <c r="K131" t="n">
        <v>0</v>
      </c>
      <c r="L131" t="n">
        <v>0</v>
      </c>
      <c r="M131" t="n">
        <v>0</v>
      </c>
      <c r="N131" t="n">
        <v>0</v>
      </c>
      <c r="O131" t="n">
        <v>0</v>
      </c>
      <c r="P131" t="n">
        <v>0</v>
      </c>
      <c r="Q131" t="n">
        <v>1</v>
      </c>
      <c r="R131" s="2" t="inlineStr">
        <is>
          <t>Strävlosta</t>
        </is>
      </c>
      <c r="S131">
        <f>HYPERLINK("https://klasma.github.io/Logging_0980/artfynd/A 72562-2018 artfynd.xlsx", "A 72562-2018")</f>
        <v/>
      </c>
      <c r="T131">
        <f>HYPERLINK("https://klasma.github.io/Logging_0980/kartor/A 72562-2018 karta.png", "A 72562-2018")</f>
        <v/>
      </c>
      <c r="V131">
        <f>HYPERLINK("https://klasma.github.io/Logging_0980/klagomål/A 72562-2018 FSC-klagomål.docx", "A 72562-2018")</f>
        <v/>
      </c>
      <c r="W131">
        <f>HYPERLINK("https://klasma.github.io/Logging_0980/klagomålsmail/A 72562-2018 FSC-klagomål mail.docx", "A 72562-2018")</f>
        <v/>
      </c>
      <c r="X131">
        <f>HYPERLINK("https://klasma.github.io/Logging_0980/tillsyn/A 72562-2018 tillsynsbegäran.docx", "A 72562-2018")</f>
        <v/>
      </c>
      <c r="Y131">
        <f>HYPERLINK("https://klasma.github.io/Logging_0980/tillsynsmail/A 72562-2018 tillsynsbegäran mail.docx", "A 72562-2018")</f>
        <v/>
      </c>
    </row>
    <row r="132" ht="15" customHeight="1">
      <c r="A132" t="inlineStr">
        <is>
          <t>A 4490-2019</t>
        </is>
      </c>
      <c r="B132" s="1" t="n">
        <v>43486</v>
      </c>
      <c r="C132" s="1" t="n">
        <v>45294</v>
      </c>
      <c r="D132" t="inlineStr">
        <is>
          <t>GOTLANDS LÄN</t>
        </is>
      </c>
      <c r="E132" t="inlineStr">
        <is>
          <t>GOTLAND</t>
        </is>
      </c>
      <c r="G132" t="n">
        <v>3.6</v>
      </c>
      <c r="H132" t="n">
        <v>1</v>
      </c>
      <c r="I132" t="n">
        <v>0</v>
      </c>
      <c r="J132" t="n">
        <v>0</v>
      </c>
      <c r="K132" t="n">
        <v>1</v>
      </c>
      <c r="L132" t="n">
        <v>0</v>
      </c>
      <c r="M132" t="n">
        <v>0</v>
      </c>
      <c r="N132" t="n">
        <v>0</v>
      </c>
      <c r="O132" t="n">
        <v>1</v>
      </c>
      <c r="P132" t="n">
        <v>1</v>
      </c>
      <c r="Q132" t="n">
        <v>1</v>
      </c>
      <c r="R132" s="2" t="inlineStr">
        <is>
          <t>Garderönn</t>
        </is>
      </c>
      <c r="S132">
        <f>HYPERLINK("https://klasma.github.io/Logging_0980/artfynd/A 4490-2019 artfynd.xlsx", "A 4490-2019")</f>
        <v/>
      </c>
      <c r="T132">
        <f>HYPERLINK("https://klasma.github.io/Logging_0980/kartor/A 4490-2019 karta.png", "A 4490-2019")</f>
        <v/>
      </c>
      <c r="V132">
        <f>HYPERLINK("https://klasma.github.io/Logging_0980/klagomål/A 4490-2019 FSC-klagomål.docx", "A 4490-2019")</f>
        <v/>
      </c>
      <c r="W132">
        <f>HYPERLINK("https://klasma.github.io/Logging_0980/klagomålsmail/A 4490-2019 FSC-klagomål mail.docx", "A 4490-2019")</f>
        <v/>
      </c>
      <c r="X132">
        <f>HYPERLINK("https://klasma.github.io/Logging_0980/tillsyn/A 4490-2019 tillsynsbegäran.docx", "A 4490-2019")</f>
        <v/>
      </c>
      <c r="Y132">
        <f>HYPERLINK("https://klasma.github.io/Logging_0980/tillsynsmail/A 4490-2019 tillsynsbegäran mail.docx", "A 4490-2019")</f>
        <v/>
      </c>
    </row>
    <row r="133" ht="15" customHeight="1">
      <c r="A133" t="inlineStr">
        <is>
          <t>A 5460-2019</t>
        </is>
      </c>
      <c r="B133" s="1" t="n">
        <v>43488</v>
      </c>
      <c r="C133" s="1" t="n">
        <v>45294</v>
      </c>
      <c r="D133" t="inlineStr">
        <is>
          <t>GOTLANDS LÄN</t>
        </is>
      </c>
      <c r="E133" t="inlineStr">
        <is>
          <t>GOTLAND</t>
        </is>
      </c>
      <c r="G133" t="n">
        <v>7.7</v>
      </c>
      <c r="H133" t="n">
        <v>0</v>
      </c>
      <c r="I133" t="n">
        <v>1</v>
      </c>
      <c r="J133" t="n">
        <v>0</v>
      </c>
      <c r="K133" t="n">
        <v>0</v>
      </c>
      <c r="L133" t="n">
        <v>0</v>
      </c>
      <c r="M133" t="n">
        <v>0</v>
      </c>
      <c r="N133" t="n">
        <v>0</v>
      </c>
      <c r="O133" t="n">
        <v>0</v>
      </c>
      <c r="P133" t="n">
        <v>0</v>
      </c>
      <c r="Q133" t="n">
        <v>1</v>
      </c>
      <c r="R133" s="2" t="inlineStr">
        <is>
          <t>Vågbandad barkbock</t>
        </is>
      </c>
      <c r="S133">
        <f>HYPERLINK("https://klasma.github.io/Logging_0980/artfynd/A 5460-2019 artfynd.xlsx", "A 5460-2019")</f>
        <v/>
      </c>
      <c r="T133">
        <f>HYPERLINK("https://klasma.github.io/Logging_0980/kartor/A 5460-2019 karta.png", "A 5460-2019")</f>
        <v/>
      </c>
      <c r="V133">
        <f>HYPERLINK("https://klasma.github.io/Logging_0980/klagomål/A 5460-2019 FSC-klagomål.docx", "A 5460-2019")</f>
        <v/>
      </c>
      <c r="W133">
        <f>HYPERLINK("https://klasma.github.io/Logging_0980/klagomålsmail/A 5460-2019 FSC-klagomål mail.docx", "A 5460-2019")</f>
        <v/>
      </c>
      <c r="X133">
        <f>HYPERLINK("https://klasma.github.io/Logging_0980/tillsyn/A 5460-2019 tillsynsbegäran.docx", "A 5460-2019")</f>
        <v/>
      </c>
      <c r="Y133">
        <f>HYPERLINK("https://klasma.github.io/Logging_0980/tillsynsmail/A 5460-2019 tillsynsbegäran mail.docx", "A 5460-2019")</f>
        <v/>
      </c>
    </row>
    <row r="134" ht="15" customHeight="1">
      <c r="A134" t="inlineStr">
        <is>
          <t>A 8589-2019</t>
        </is>
      </c>
      <c r="B134" s="1" t="n">
        <v>43502</v>
      </c>
      <c r="C134" s="1" t="n">
        <v>45294</v>
      </c>
      <c r="D134" t="inlineStr">
        <is>
          <t>GOTLANDS LÄN</t>
        </is>
      </c>
      <c r="E134" t="inlineStr">
        <is>
          <t>GOTLAND</t>
        </is>
      </c>
      <c r="G134" t="n">
        <v>7.8</v>
      </c>
      <c r="H134" t="n">
        <v>1</v>
      </c>
      <c r="I134" t="n">
        <v>1</v>
      </c>
      <c r="J134" t="n">
        <v>0</v>
      </c>
      <c r="K134" t="n">
        <v>0</v>
      </c>
      <c r="L134" t="n">
        <v>0</v>
      </c>
      <c r="M134" t="n">
        <v>0</v>
      </c>
      <c r="N134" t="n">
        <v>0</v>
      </c>
      <c r="O134" t="n">
        <v>0</v>
      </c>
      <c r="P134" t="n">
        <v>0</v>
      </c>
      <c r="Q134" t="n">
        <v>1</v>
      </c>
      <c r="R134" s="2" t="inlineStr">
        <is>
          <t>Nästrot</t>
        </is>
      </c>
      <c r="S134">
        <f>HYPERLINK("https://klasma.github.io/Logging_0980/artfynd/A 8589-2019 artfynd.xlsx", "A 8589-2019")</f>
        <v/>
      </c>
      <c r="T134">
        <f>HYPERLINK("https://klasma.github.io/Logging_0980/kartor/A 8589-2019 karta.png", "A 8589-2019")</f>
        <v/>
      </c>
      <c r="V134">
        <f>HYPERLINK("https://klasma.github.io/Logging_0980/klagomål/A 8589-2019 FSC-klagomål.docx", "A 8589-2019")</f>
        <v/>
      </c>
      <c r="W134">
        <f>HYPERLINK("https://klasma.github.io/Logging_0980/klagomålsmail/A 8589-2019 FSC-klagomål mail.docx", "A 8589-2019")</f>
        <v/>
      </c>
      <c r="X134">
        <f>HYPERLINK("https://klasma.github.io/Logging_0980/tillsyn/A 8589-2019 tillsynsbegäran.docx", "A 8589-2019")</f>
        <v/>
      </c>
      <c r="Y134">
        <f>HYPERLINK("https://klasma.github.io/Logging_0980/tillsynsmail/A 8589-2019 tillsynsbegäran mail.docx", "A 8589-2019")</f>
        <v/>
      </c>
    </row>
    <row r="135" ht="15" customHeight="1">
      <c r="A135" t="inlineStr">
        <is>
          <t>A 13893-2019</t>
        </is>
      </c>
      <c r="B135" s="1" t="n">
        <v>43531</v>
      </c>
      <c r="C135" s="1" t="n">
        <v>45294</v>
      </c>
      <c r="D135" t="inlineStr">
        <is>
          <t>GOTLANDS LÄN</t>
        </is>
      </c>
      <c r="E135" t="inlineStr">
        <is>
          <t>GOTLAND</t>
        </is>
      </c>
      <c r="G135" t="n">
        <v>10.3</v>
      </c>
      <c r="H135" t="n">
        <v>0</v>
      </c>
      <c r="I135" t="n">
        <v>1</v>
      </c>
      <c r="J135" t="n">
        <v>0</v>
      </c>
      <c r="K135" t="n">
        <v>0</v>
      </c>
      <c r="L135" t="n">
        <v>0</v>
      </c>
      <c r="M135" t="n">
        <v>0</v>
      </c>
      <c r="N135" t="n">
        <v>0</v>
      </c>
      <c r="O135" t="n">
        <v>0</v>
      </c>
      <c r="P135" t="n">
        <v>0</v>
      </c>
      <c r="Q135" t="n">
        <v>1</v>
      </c>
      <c r="R135" s="2" t="inlineStr">
        <is>
          <t>Tibast</t>
        </is>
      </c>
      <c r="S135">
        <f>HYPERLINK("https://klasma.github.io/Logging_0980/artfynd/A 13893-2019 artfynd.xlsx", "A 13893-2019")</f>
        <v/>
      </c>
      <c r="T135">
        <f>HYPERLINK("https://klasma.github.io/Logging_0980/kartor/A 13893-2019 karta.png", "A 13893-2019")</f>
        <v/>
      </c>
      <c r="V135">
        <f>HYPERLINK("https://klasma.github.io/Logging_0980/klagomål/A 13893-2019 FSC-klagomål.docx", "A 13893-2019")</f>
        <v/>
      </c>
      <c r="W135">
        <f>HYPERLINK("https://klasma.github.io/Logging_0980/klagomålsmail/A 13893-2019 FSC-klagomål mail.docx", "A 13893-2019")</f>
        <v/>
      </c>
      <c r="X135">
        <f>HYPERLINK("https://klasma.github.io/Logging_0980/tillsyn/A 13893-2019 tillsynsbegäran.docx", "A 13893-2019")</f>
        <v/>
      </c>
      <c r="Y135">
        <f>HYPERLINK("https://klasma.github.io/Logging_0980/tillsynsmail/A 13893-2019 tillsynsbegäran mail.docx", "A 13893-2019")</f>
        <v/>
      </c>
    </row>
    <row r="136" ht="15" customHeight="1">
      <c r="A136" t="inlineStr">
        <is>
          <t>A 16510-2019</t>
        </is>
      </c>
      <c r="B136" s="1" t="n">
        <v>43546</v>
      </c>
      <c r="C136" s="1" t="n">
        <v>45294</v>
      </c>
      <c r="D136" t="inlineStr">
        <is>
          <t>GOTLANDS LÄN</t>
        </is>
      </c>
      <c r="E136" t="inlineStr">
        <is>
          <t>GOTLAND</t>
        </is>
      </c>
      <c r="G136" t="n">
        <v>6.6</v>
      </c>
      <c r="H136" t="n">
        <v>0</v>
      </c>
      <c r="I136" t="n">
        <v>0</v>
      </c>
      <c r="J136" t="n">
        <v>0</v>
      </c>
      <c r="K136" t="n">
        <v>1</v>
      </c>
      <c r="L136" t="n">
        <v>0</v>
      </c>
      <c r="M136" t="n">
        <v>0</v>
      </c>
      <c r="N136" t="n">
        <v>0</v>
      </c>
      <c r="O136" t="n">
        <v>1</v>
      </c>
      <c r="P136" t="n">
        <v>1</v>
      </c>
      <c r="Q136" t="n">
        <v>1</v>
      </c>
      <c r="R136" s="2" t="inlineStr">
        <is>
          <t>Oxhorndyvel</t>
        </is>
      </c>
      <c r="S136">
        <f>HYPERLINK("https://klasma.github.io/Logging_0980/artfynd/A 16510-2019 artfynd.xlsx", "A 16510-2019")</f>
        <v/>
      </c>
      <c r="T136">
        <f>HYPERLINK("https://klasma.github.io/Logging_0980/kartor/A 16510-2019 karta.png", "A 16510-2019")</f>
        <v/>
      </c>
      <c r="V136">
        <f>HYPERLINK("https://klasma.github.io/Logging_0980/klagomål/A 16510-2019 FSC-klagomål.docx", "A 16510-2019")</f>
        <v/>
      </c>
      <c r="W136">
        <f>HYPERLINK("https://klasma.github.io/Logging_0980/klagomålsmail/A 16510-2019 FSC-klagomål mail.docx", "A 16510-2019")</f>
        <v/>
      </c>
      <c r="X136">
        <f>HYPERLINK("https://klasma.github.io/Logging_0980/tillsyn/A 16510-2019 tillsynsbegäran.docx", "A 16510-2019")</f>
        <v/>
      </c>
      <c r="Y136">
        <f>HYPERLINK("https://klasma.github.io/Logging_0980/tillsynsmail/A 16510-2019 tillsynsbegäran mail.docx", "A 16510-2019")</f>
        <v/>
      </c>
    </row>
    <row r="137" ht="15" customHeight="1">
      <c r="A137" t="inlineStr">
        <is>
          <t>A 18223-2019</t>
        </is>
      </c>
      <c r="B137" s="1" t="n">
        <v>43558</v>
      </c>
      <c r="C137" s="1" t="n">
        <v>45294</v>
      </c>
      <c r="D137" t="inlineStr">
        <is>
          <t>GOTLANDS LÄN</t>
        </is>
      </c>
      <c r="E137" t="inlineStr">
        <is>
          <t>GOTLAND</t>
        </is>
      </c>
      <c r="G137" t="n">
        <v>1.1</v>
      </c>
      <c r="H137" t="n">
        <v>1</v>
      </c>
      <c r="I137" t="n">
        <v>0</v>
      </c>
      <c r="J137" t="n">
        <v>1</v>
      </c>
      <c r="K137" t="n">
        <v>0</v>
      </c>
      <c r="L137" t="n">
        <v>0</v>
      </c>
      <c r="M137" t="n">
        <v>0</v>
      </c>
      <c r="N137" t="n">
        <v>0</v>
      </c>
      <c r="O137" t="n">
        <v>1</v>
      </c>
      <c r="P137" t="n">
        <v>0</v>
      </c>
      <c r="Q137" t="n">
        <v>1</v>
      </c>
      <c r="R137" s="2" t="inlineStr">
        <is>
          <t>Dårgräsfjäril</t>
        </is>
      </c>
      <c r="S137">
        <f>HYPERLINK("https://klasma.github.io/Logging_0980/artfynd/A 18223-2019 artfynd.xlsx", "A 18223-2019")</f>
        <v/>
      </c>
      <c r="T137">
        <f>HYPERLINK("https://klasma.github.io/Logging_0980/kartor/A 18223-2019 karta.png", "A 18223-2019")</f>
        <v/>
      </c>
      <c r="V137">
        <f>HYPERLINK("https://klasma.github.io/Logging_0980/klagomål/A 18223-2019 FSC-klagomål.docx", "A 18223-2019")</f>
        <v/>
      </c>
      <c r="W137">
        <f>HYPERLINK("https://klasma.github.io/Logging_0980/klagomålsmail/A 18223-2019 FSC-klagomål mail.docx", "A 18223-2019")</f>
        <v/>
      </c>
      <c r="X137">
        <f>HYPERLINK("https://klasma.github.io/Logging_0980/tillsyn/A 18223-2019 tillsynsbegäran.docx", "A 18223-2019")</f>
        <v/>
      </c>
      <c r="Y137">
        <f>HYPERLINK("https://klasma.github.io/Logging_0980/tillsynsmail/A 18223-2019 tillsynsbegäran mail.docx", "A 18223-2019")</f>
        <v/>
      </c>
    </row>
    <row r="138" ht="15" customHeight="1">
      <c r="A138" t="inlineStr">
        <is>
          <t>A 23016-2019</t>
        </is>
      </c>
      <c r="B138" s="1" t="n">
        <v>43591</v>
      </c>
      <c r="C138" s="1" t="n">
        <v>45294</v>
      </c>
      <c r="D138" t="inlineStr">
        <is>
          <t>GOTLANDS LÄN</t>
        </is>
      </c>
      <c r="E138" t="inlineStr">
        <is>
          <t>GOTLAND</t>
        </is>
      </c>
      <c r="G138" t="n">
        <v>7.9</v>
      </c>
      <c r="H138" t="n">
        <v>1</v>
      </c>
      <c r="I138" t="n">
        <v>0</v>
      </c>
      <c r="J138" t="n">
        <v>0</v>
      </c>
      <c r="K138" t="n">
        <v>0</v>
      </c>
      <c r="L138" t="n">
        <v>0</v>
      </c>
      <c r="M138" t="n">
        <v>0</v>
      </c>
      <c r="N138" t="n">
        <v>0</v>
      </c>
      <c r="O138" t="n">
        <v>0</v>
      </c>
      <c r="P138" t="n">
        <v>0</v>
      </c>
      <c r="Q138" t="n">
        <v>1</v>
      </c>
      <c r="R138" s="2" t="inlineStr">
        <is>
          <t>Lopplummer</t>
        </is>
      </c>
      <c r="S138">
        <f>HYPERLINK("https://klasma.github.io/Logging_0980/artfynd/A 23016-2019 artfynd.xlsx", "A 23016-2019")</f>
        <v/>
      </c>
      <c r="T138">
        <f>HYPERLINK("https://klasma.github.io/Logging_0980/kartor/A 23016-2019 karta.png", "A 23016-2019")</f>
        <v/>
      </c>
      <c r="V138">
        <f>HYPERLINK("https://klasma.github.io/Logging_0980/klagomål/A 23016-2019 FSC-klagomål.docx", "A 23016-2019")</f>
        <v/>
      </c>
      <c r="W138">
        <f>HYPERLINK("https://klasma.github.io/Logging_0980/klagomålsmail/A 23016-2019 FSC-klagomål mail.docx", "A 23016-2019")</f>
        <v/>
      </c>
      <c r="X138">
        <f>HYPERLINK("https://klasma.github.io/Logging_0980/tillsyn/A 23016-2019 tillsynsbegäran.docx", "A 23016-2019")</f>
        <v/>
      </c>
      <c r="Y138">
        <f>HYPERLINK("https://klasma.github.io/Logging_0980/tillsynsmail/A 23016-2019 tillsynsbegäran mail.docx", "A 23016-2019")</f>
        <v/>
      </c>
    </row>
    <row r="139" ht="15" customHeight="1">
      <c r="A139" t="inlineStr">
        <is>
          <t>A 32963-2019</t>
        </is>
      </c>
      <c r="B139" s="1" t="n">
        <v>43648</v>
      </c>
      <c r="C139" s="1" t="n">
        <v>45294</v>
      </c>
      <c r="D139" t="inlineStr">
        <is>
          <t>GOTLANDS LÄN</t>
        </is>
      </c>
      <c r="E139" t="inlineStr">
        <is>
          <t>GOTLAND</t>
        </is>
      </c>
      <c r="G139" t="n">
        <v>5.8</v>
      </c>
      <c r="H139" t="n">
        <v>0</v>
      </c>
      <c r="I139" t="n">
        <v>0</v>
      </c>
      <c r="J139" t="n">
        <v>1</v>
      </c>
      <c r="K139" t="n">
        <v>0</v>
      </c>
      <c r="L139" t="n">
        <v>0</v>
      </c>
      <c r="M139" t="n">
        <v>0</v>
      </c>
      <c r="N139" t="n">
        <v>0</v>
      </c>
      <c r="O139" t="n">
        <v>1</v>
      </c>
      <c r="P139" t="n">
        <v>0</v>
      </c>
      <c r="Q139" t="n">
        <v>1</v>
      </c>
      <c r="R139" s="2" t="inlineStr">
        <is>
          <t>Mindre blåvinge</t>
        </is>
      </c>
      <c r="S139">
        <f>HYPERLINK("https://klasma.github.io/Logging_0980/artfynd/A 32963-2019 artfynd.xlsx", "A 32963-2019")</f>
        <v/>
      </c>
      <c r="T139">
        <f>HYPERLINK("https://klasma.github.io/Logging_0980/kartor/A 32963-2019 karta.png", "A 32963-2019")</f>
        <v/>
      </c>
      <c r="V139">
        <f>HYPERLINK("https://klasma.github.io/Logging_0980/klagomål/A 32963-2019 FSC-klagomål.docx", "A 32963-2019")</f>
        <v/>
      </c>
      <c r="W139">
        <f>HYPERLINK("https://klasma.github.io/Logging_0980/klagomålsmail/A 32963-2019 FSC-klagomål mail.docx", "A 32963-2019")</f>
        <v/>
      </c>
      <c r="X139">
        <f>HYPERLINK("https://klasma.github.io/Logging_0980/tillsyn/A 32963-2019 tillsynsbegäran.docx", "A 32963-2019")</f>
        <v/>
      </c>
      <c r="Y139">
        <f>HYPERLINK("https://klasma.github.io/Logging_0980/tillsynsmail/A 32963-2019 tillsynsbegäran mail.docx", "A 32963-2019")</f>
        <v/>
      </c>
    </row>
    <row r="140" ht="15" customHeight="1">
      <c r="A140" t="inlineStr">
        <is>
          <t>A 48584-2019</t>
        </is>
      </c>
      <c r="B140" s="1" t="n">
        <v>43727</v>
      </c>
      <c r="C140" s="1" t="n">
        <v>45294</v>
      </c>
      <c r="D140" t="inlineStr">
        <is>
          <t>GOTLANDS LÄN</t>
        </is>
      </c>
      <c r="E140" t="inlineStr">
        <is>
          <t>GOTLAND</t>
        </is>
      </c>
      <c r="G140" t="n">
        <v>4.4</v>
      </c>
      <c r="H140" t="n">
        <v>0</v>
      </c>
      <c r="I140" t="n">
        <v>1</v>
      </c>
      <c r="J140" t="n">
        <v>0</v>
      </c>
      <c r="K140" t="n">
        <v>0</v>
      </c>
      <c r="L140" t="n">
        <v>0</v>
      </c>
      <c r="M140" t="n">
        <v>0</v>
      </c>
      <c r="N140" t="n">
        <v>0</v>
      </c>
      <c r="O140" t="n">
        <v>0</v>
      </c>
      <c r="P140" t="n">
        <v>0</v>
      </c>
      <c r="Q140" t="n">
        <v>1</v>
      </c>
      <c r="R140" s="2" t="inlineStr">
        <is>
          <t>Scharlakansskål</t>
        </is>
      </c>
      <c r="S140">
        <f>HYPERLINK("https://klasma.github.io/Logging_0980/artfynd/A 48584-2019 artfynd.xlsx", "A 48584-2019")</f>
        <v/>
      </c>
      <c r="T140">
        <f>HYPERLINK("https://klasma.github.io/Logging_0980/kartor/A 48584-2019 karta.png", "A 48584-2019")</f>
        <v/>
      </c>
      <c r="V140">
        <f>HYPERLINK("https://klasma.github.io/Logging_0980/klagomål/A 48584-2019 FSC-klagomål.docx", "A 48584-2019")</f>
        <v/>
      </c>
      <c r="W140">
        <f>HYPERLINK("https://klasma.github.io/Logging_0980/klagomålsmail/A 48584-2019 FSC-klagomål mail.docx", "A 48584-2019")</f>
        <v/>
      </c>
      <c r="X140">
        <f>HYPERLINK("https://klasma.github.io/Logging_0980/tillsyn/A 48584-2019 tillsynsbegäran.docx", "A 48584-2019")</f>
        <v/>
      </c>
      <c r="Y140">
        <f>HYPERLINK("https://klasma.github.io/Logging_0980/tillsynsmail/A 48584-2019 tillsynsbegäran mail.docx", "A 48584-2019")</f>
        <v/>
      </c>
    </row>
    <row r="141" ht="15" customHeight="1">
      <c r="A141" t="inlineStr">
        <is>
          <t>A 68988-2019</t>
        </is>
      </c>
      <c r="B141" s="1" t="n">
        <v>43826</v>
      </c>
      <c r="C141" s="1" t="n">
        <v>45294</v>
      </c>
      <c r="D141" t="inlineStr">
        <is>
          <t>GOTLANDS LÄN</t>
        </is>
      </c>
      <c r="E141" t="inlineStr">
        <is>
          <t>GOTLAND</t>
        </is>
      </c>
      <c r="F141" t="inlineStr">
        <is>
          <t>Kyrkan</t>
        </is>
      </c>
      <c r="G141" t="n">
        <v>4.6</v>
      </c>
      <c r="H141" t="n">
        <v>0</v>
      </c>
      <c r="I141" t="n">
        <v>1</v>
      </c>
      <c r="J141" t="n">
        <v>0</v>
      </c>
      <c r="K141" t="n">
        <v>0</v>
      </c>
      <c r="L141" t="n">
        <v>0</v>
      </c>
      <c r="M141" t="n">
        <v>0</v>
      </c>
      <c r="N141" t="n">
        <v>0</v>
      </c>
      <c r="O141" t="n">
        <v>0</v>
      </c>
      <c r="P141" t="n">
        <v>0</v>
      </c>
      <c r="Q141" t="n">
        <v>1</v>
      </c>
      <c r="R141" s="2" t="inlineStr">
        <is>
          <t>Kattfotslav</t>
        </is>
      </c>
      <c r="S141">
        <f>HYPERLINK("https://klasma.github.io/Logging_0980/artfynd/A 68988-2019 artfynd.xlsx", "A 68988-2019")</f>
        <v/>
      </c>
      <c r="T141">
        <f>HYPERLINK("https://klasma.github.io/Logging_0980/kartor/A 68988-2019 karta.png", "A 68988-2019")</f>
        <v/>
      </c>
      <c r="V141">
        <f>HYPERLINK("https://klasma.github.io/Logging_0980/klagomål/A 68988-2019 FSC-klagomål.docx", "A 68988-2019")</f>
        <v/>
      </c>
      <c r="W141">
        <f>HYPERLINK("https://klasma.github.io/Logging_0980/klagomålsmail/A 68988-2019 FSC-klagomål mail.docx", "A 68988-2019")</f>
        <v/>
      </c>
      <c r="X141">
        <f>HYPERLINK("https://klasma.github.io/Logging_0980/tillsyn/A 68988-2019 tillsynsbegäran.docx", "A 68988-2019")</f>
        <v/>
      </c>
      <c r="Y141">
        <f>HYPERLINK("https://klasma.github.io/Logging_0980/tillsynsmail/A 68988-2019 tillsynsbegäran mail.docx", "A 68988-2019")</f>
        <v/>
      </c>
    </row>
    <row r="142" ht="15" customHeight="1">
      <c r="A142" t="inlineStr">
        <is>
          <t>A 14010-2020</t>
        </is>
      </c>
      <c r="B142" s="1" t="n">
        <v>43899</v>
      </c>
      <c r="C142" s="1" t="n">
        <v>45294</v>
      </c>
      <c r="D142" t="inlineStr">
        <is>
          <t>GOTLANDS LÄN</t>
        </is>
      </c>
      <c r="E142" t="inlineStr">
        <is>
          <t>GOTLAND</t>
        </is>
      </c>
      <c r="G142" t="n">
        <v>0.6</v>
      </c>
      <c r="H142" t="n">
        <v>1</v>
      </c>
      <c r="I142" t="n">
        <v>0</v>
      </c>
      <c r="J142" t="n">
        <v>1</v>
      </c>
      <c r="K142" t="n">
        <v>0</v>
      </c>
      <c r="L142" t="n">
        <v>0</v>
      </c>
      <c r="M142" t="n">
        <v>0</v>
      </c>
      <c r="N142" t="n">
        <v>0</v>
      </c>
      <c r="O142" t="n">
        <v>1</v>
      </c>
      <c r="P142" t="n">
        <v>0</v>
      </c>
      <c r="Q142" t="n">
        <v>1</v>
      </c>
      <c r="R142" s="2" t="inlineStr">
        <is>
          <t>Gulsparv</t>
        </is>
      </c>
      <c r="S142">
        <f>HYPERLINK("https://klasma.github.io/Logging_0980/artfynd/A 14010-2020 artfynd.xlsx", "A 14010-2020")</f>
        <v/>
      </c>
      <c r="T142">
        <f>HYPERLINK("https://klasma.github.io/Logging_0980/kartor/A 14010-2020 karta.png", "A 14010-2020")</f>
        <v/>
      </c>
      <c r="V142">
        <f>HYPERLINK("https://klasma.github.io/Logging_0980/klagomål/A 14010-2020 FSC-klagomål.docx", "A 14010-2020")</f>
        <v/>
      </c>
      <c r="W142">
        <f>HYPERLINK("https://klasma.github.io/Logging_0980/klagomålsmail/A 14010-2020 FSC-klagomål mail.docx", "A 14010-2020")</f>
        <v/>
      </c>
      <c r="X142">
        <f>HYPERLINK("https://klasma.github.io/Logging_0980/tillsyn/A 14010-2020 tillsynsbegäran.docx", "A 14010-2020")</f>
        <v/>
      </c>
      <c r="Y142">
        <f>HYPERLINK("https://klasma.github.io/Logging_0980/tillsynsmail/A 14010-2020 tillsynsbegäran mail.docx", "A 14010-2020")</f>
        <v/>
      </c>
    </row>
    <row r="143" ht="15" customHeight="1">
      <c r="A143" t="inlineStr">
        <is>
          <t>A 16786-2020</t>
        </is>
      </c>
      <c r="B143" s="1" t="n">
        <v>43913</v>
      </c>
      <c r="C143" s="1" t="n">
        <v>45294</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Skarp dropptaggsvamp</t>
        </is>
      </c>
      <c r="S143">
        <f>HYPERLINK("https://klasma.github.io/Logging_0980/artfynd/A 16786-2020 artfynd.xlsx", "A 16786-2020")</f>
        <v/>
      </c>
      <c r="T143">
        <f>HYPERLINK("https://klasma.github.io/Logging_0980/kartor/A 16786-2020 karta.png", "A 16786-2020")</f>
        <v/>
      </c>
      <c r="V143">
        <f>HYPERLINK("https://klasma.github.io/Logging_0980/klagomål/A 16786-2020 FSC-klagomål.docx", "A 16786-2020")</f>
        <v/>
      </c>
      <c r="W143">
        <f>HYPERLINK("https://klasma.github.io/Logging_0980/klagomålsmail/A 16786-2020 FSC-klagomål mail.docx", "A 16786-2020")</f>
        <v/>
      </c>
      <c r="X143">
        <f>HYPERLINK("https://klasma.github.io/Logging_0980/tillsyn/A 16786-2020 tillsynsbegäran.docx", "A 16786-2020")</f>
        <v/>
      </c>
      <c r="Y143">
        <f>HYPERLINK("https://klasma.github.io/Logging_0980/tillsynsmail/A 16786-2020 tillsynsbegäran mail.docx", "A 16786-2020")</f>
        <v/>
      </c>
    </row>
    <row r="144" ht="15" customHeight="1">
      <c r="A144" t="inlineStr">
        <is>
          <t>A 21753-2020</t>
        </is>
      </c>
      <c r="B144" s="1" t="n">
        <v>43957</v>
      </c>
      <c r="C144" s="1" t="n">
        <v>45294</v>
      </c>
      <c r="D144" t="inlineStr">
        <is>
          <t>GOTLANDS LÄN</t>
        </is>
      </c>
      <c r="E144" t="inlineStr">
        <is>
          <t>GOTLAND</t>
        </is>
      </c>
      <c r="G144" t="n">
        <v>3.5</v>
      </c>
      <c r="H144" t="n">
        <v>0</v>
      </c>
      <c r="I144" t="n">
        <v>0</v>
      </c>
      <c r="J144" t="n">
        <v>0</v>
      </c>
      <c r="K144" t="n">
        <v>0</v>
      </c>
      <c r="L144" t="n">
        <v>0</v>
      </c>
      <c r="M144" t="n">
        <v>1</v>
      </c>
      <c r="N144" t="n">
        <v>0</v>
      </c>
      <c r="O144" t="n">
        <v>1</v>
      </c>
      <c r="P144" t="n">
        <v>1</v>
      </c>
      <c r="Q144" t="n">
        <v>1</v>
      </c>
      <c r="R144" s="2" t="inlineStr">
        <is>
          <t>Skogsalm</t>
        </is>
      </c>
      <c r="S144">
        <f>HYPERLINK("https://klasma.github.io/Logging_0980/artfynd/A 21753-2020 artfynd.xlsx", "A 21753-2020")</f>
        <v/>
      </c>
      <c r="T144">
        <f>HYPERLINK("https://klasma.github.io/Logging_0980/kartor/A 21753-2020 karta.png", "A 21753-2020")</f>
        <v/>
      </c>
      <c r="V144">
        <f>HYPERLINK("https://klasma.github.io/Logging_0980/klagomål/A 21753-2020 FSC-klagomål.docx", "A 21753-2020")</f>
        <v/>
      </c>
      <c r="W144">
        <f>HYPERLINK("https://klasma.github.io/Logging_0980/klagomålsmail/A 21753-2020 FSC-klagomål mail.docx", "A 21753-2020")</f>
        <v/>
      </c>
      <c r="X144">
        <f>HYPERLINK("https://klasma.github.io/Logging_0980/tillsyn/A 21753-2020 tillsynsbegäran.docx", "A 21753-2020")</f>
        <v/>
      </c>
      <c r="Y144">
        <f>HYPERLINK("https://klasma.github.io/Logging_0980/tillsynsmail/A 21753-2020 tillsynsbegäran mail.docx", "A 21753-2020")</f>
        <v/>
      </c>
    </row>
    <row r="145" ht="15" customHeight="1">
      <c r="A145" t="inlineStr">
        <is>
          <t>A 22628-2020</t>
        </is>
      </c>
      <c r="B145" s="1" t="n">
        <v>43963</v>
      </c>
      <c r="C145" s="1" t="n">
        <v>45294</v>
      </c>
      <c r="D145" t="inlineStr">
        <is>
          <t>GOTLANDS LÄN</t>
        </is>
      </c>
      <c r="E145" t="inlineStr">
        <is>
          <t>GOTLAND</t>
        </is>
      </c>
      <c r="G145" t="n">
        <v>4.3</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22628-2020 artfynd.xlsx", "A 22628-2020")</f>
        <v/>
      </c>
      <c r="T145">
        <f>HYPERLINK("https://klasma.github.io/Logging_0980/kartor/A 22628-2020 karta.png", "A 22628-2020")</f>
        <v/>
      </c>
      <c r="V145">
        <f>HYPERLINK("https://klasma.github.io/Logging_0980/klagomål/A 22628-2020 FSC-klagomål.docx", "A 22628-2020")</f>
        <v/>
      </c>
      <c r="W145">
        <f>HYPERLINK("https://klasma.github.io/Logging_0980/klagomålsmail/A 22628-2020 FSC-klagomål mail.docx", "A 22628-2020")</f>
        <v/>
      </c>
      <c r="X145">
        <f>HYPERLINK("https://klasma.github.io/Logging_0980/tillsyn/A 22628-2020 tillsynsbegäran.docx", "A 22628-2020")</f>
        <v/>
      </c>
      <c r="Y145">
        <f>HYPERLINK("https://klasma.github.io/Logging_0980/tillsynsmail/A 22628-2020 tillsynsbegäran mail.docx", "A 22628-2020")</f>
        <v/>
      </c>
    </row>
    <row r="146" ht="15" customHeight="1">
      <c r="A146" t="inlineStr">
        <is>
          <t>A 39999-2020</t>
        </is>
      </c>
      <c r="B146" s="1" t="n">
        <v>44067</v>
      </c>
      <c r="C146" s="1" t="n">
        <v>45294</v>
      </c>
      <c r="D146" t="inlineStr">
        <is>
          <t>GOTLANDS LÄN</t>
        </is>
      </c>
      <c r="E146" t="inlineStr">
        <is>
          <t>GOTLAND</t>
        </is>
      </c>
      <c r="G146" t="n">
        <v>1.8</v>
      </c>
      <c r="H146" t="n">
        <v>0</v>
      </c>
      <c r="I146" t="n">
        <v>1</v>
      </c>
      <c r="J146" t="n">
        <v>0</v>
      </c>
      <c r="K146" t="n">
        <v>0</v>
      </c>
      <c r="L146" t="n">
        <v>0</v>
      </c>
      <c r="M146" t="n">
        <v>0</v>
      </c>
      <c r="N146" t="n">
        <v>0</v>
      </c>
      <c r="O146" t="n">
        <v>0</v>
      </c>
      <c r="P146" t="n">
        <v>0</v>
      </c>
      <c r="Q146" t="n">
        <v>1</v>
      </c>
      <c r="R146" s="2" t="inlineStr">
        <is>
          <t>Strävlosta</t>
        </is>
      </c>
      <c r="S146">
        <f>HYPERLINK("https://klasma.github.io/Logging_0980/artfynd/A 39999-2020 artfynd.xlsx", "A 39999-2020")</f>
        <v/>
      </c>
      <c r="T146">
        <f>HYPERLINK("https://klasma.github.io/Logging_0980/kartor/A 39999-2020 karta.png", "A 39999-2020")</f>
        <v/>
      </c>
      <c r="V146">
        <f>HYPERLINK("https://klasma.github.io/Logging_0980/klagomål/A 39999-2020 FSC-klagomål.docx", "A 39999-2020")</f>
        <v/>
      </c>
      <c r="W146">
        <f>HYPERLINK("https://klasma.github.io/Logging_0980/klagomålsmail/A 39999-2020 FSC-klagomål mail.docx", "A 39999-2020")</f>
        <v/>
      </c>
      <c r="X146">
        <f>HYPERLINK("https://klasma.github.io/Logging_0980/tillsyn/A 39999-2020 tillsynsbegäran.docx", "A 39999-2020")</f>
        <v/>
      </c>
      <c r="Y146">
        <f>HYPERLINK("https://klasma.github.io/Logging_0980/tillsynsmail/A 39999-2020 tillsynsbegäran mail.docx", "A 39999-2020")</f>
        <v/>
      </c>
    </row>
    <row r="147" ht="15" customHeight="1">
      <c r="A147" t="inlineStr">
        <is>
          <t>A 40266-2020</t>
        </is>
      </c>
      <c r="B147" s="1" t="n">
        <v>44068</v>
      </c>
      <c r="C147" s="1" t="n">
        <v>45294</v>
      </c>
      <c r="D147" t="inlineStr">
        <is>
          <t>GOTLANDS LÄN</t>
        </is>
      </c>
      <c r="E147" t="inlineStr">
        <is>
          <t>GOTLAND</t>
        </is>
      </c>
      <c r="F147" t="inlineStr">
        <is>
          <t>Kyrkan</t>
        </is>
      </c>
      <c r="G147" t="n">
        <v>1.3</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40266-2020 artfynd.xlsx", "A 40266-2020")</f>
        <v/>
      </c>
      <c r="T147">
        <f>HYPERLINK("https://klasma.github.io/Logging_0980/kartor/A 40266-2020 karta.png", "A 40266-2020")</f>
        <v/>
      </c>
      <c r="V147">
        <f>HYPERLINK("https://klasma.github.io/Logging_0980/klagomål/A 40266-2020 FSC-klagomål.docx", "A 40266-2020")</f>
        <v/>
      </c>
      <c r="W147">
        <f>HYPERLINK("https://klasma.github.io/Logging_0980/klagomålsmail/A 40266-2020 FSC-klagomål mail.docx", "A 40266-2020")</f>
        <v/>
      </c>
      <c r="X147">
        <f>HYPERLINK("https://klasma.github.io/Logging_0980/tillsyn/A 40266-2020 tillsynsbegäran.docx", "A 40266-2020")</f>
        <v/>
      </c>
      <c r="Y147">
        <f>HYPERLINK("https://klasma.github.io/Logging_0980/tillsynsmail/A 40266-2020 tillsynsbegäran mail.docx", "A 40266-2020")</f>
        <v/>
      </c>
    </row>
    <row r="148" ht="15" customHeight="1">
      <c r="A148" t="inlineStr">
        <is>
          <t>A 41065-2020</t>
        </is>
      </c>
      <c r="B148" s="1" t="n">
        <v>44069</v>
      </c>
      <c r="C148" s="1" t="n">
        <v>45294</v>
      </c>
      <c r="D148" t="inlineStr">
        <is>
          <t>GOTLANDS LÄN</t>
        </is>
      </c>
      <c r="E148" t="inlineStr">
        <is>
          <t>GOTLAND</t>
        </is>
      </c>
      <c r="G148" t="n">
        <v>12</v>
      </c>
      <c r="H148" t="n">
        <v>0</v>
      </c>
      <c r="I148" t="n">
        <v>1</v>
      </c>
      <c r="J148" t="n">
        <v>0</v>
      </c>
      <c r="K148" t="n">
        <v>0</v>
      </c>
      <c r="L148" t="n">
        <v>0</v>
      </c>
      <c r="M148" t="n">
        <v>0</v>
      </c>
      <c r="N148" t="n">
        <v>0</v>
      </c>
      <c r="O148" t="n">
        <v>0</v>
      </c>
      <c r="P148" t="n">
        <v>0</v>
      </c>
      <c r="Q148" t="n">
        <v>1</v>
      </c>
      <c r="R148" s="2" t="inlineStr">
        <is>
          <t>Myskmadra</t>
        </is>
      </c>
      <c r="S148">
        <f>HYPERLINK("https://klasma.github.io/Logging_0980/artfynd/A 41065-2020 artfynd.xlsx", "A 41065-2020")</f>
        <v/>
      </c>
      <c r="T148">
        <f>HYPERLINK("https://klasma.github.io/Logging_0980/kartor/A 41065-2020 karta.png", "A 41065-2020")</f>
        <v/>
      </c>
      <c r="V148">
        <f>HYPERLINK("https://klasma.github.io/Logging_0980/klagomål/A 41065-2020 FSC-klagomål.docx", "A 41065-2020")</f>
        <v/>
      </c>
      <c r="W148">
        <f>HYPERLINK("https://klasma.github.io/Logging_0980/klagomålsmail/A 41065-2020 FSC-klagomål mail.docx", "A 41065-2020")</f>
        <v/>
      </c>
      <c r="X148">
        <f>HYPERLINK("https://klasma.github.io/Logging_0980/tillsyn/A 41065-2020 tillsynsbegäran.docx", "A 41065-2020")</f>
        <v/>
      </c>
      <c r="Y148">
        <f>HYPERLINK("https://klasma.github.io/Logging_0980/tillsynsmail/A 41065-2020 tillsynsbegäran mail.docx", "A 41065-2020")</f>
        <v/>
      </c>
    </row>
    <row r="149" ht="15" customHeight="1">
      <c r="A149" t="inlineStr">
        <is>
          <t>A 45924-2020</t>
        </is>
      </c>
      <c r="B149" s="1" t="n">
        <v>44088</v>
      </c>
      <c r="C149" s="1" t="n">
        <v>45294</v>
      </c>
      <c r="D149" t="inlineStr">
        <is>
          <t>GOTLANDS LÄN</t>
        </is>
      </c>
      <c r="E149" t="inlineStr">
        <is>
          <t>GOTLAND</t>
        </is>
      </c>
      <c r="G149" t="n">
        <v>15</v>
      </c>
      <c r="H149" t="n">
        <v>0</v>
      </c>
      <c r="I149" t="n">
        <v>1</v>
      </c>
      <c r="J149" t="n">
        <v>0</v>
      </c>
      <c r="K149" t="n">
        <v>0</v>
      </c>
      <c r="L149" t="n">
        <v>0</v>
      </c>
      <c r="M149" t="n">
        <v>0</v>
      </c>
      <c r="N149" t="n">
        <v>0</v>
      </c>
      <c r="O149" t="n">
        <v>0</v>
      </c>
      <c r="P149" t="n">
        <v>0</v>
      </c>
      <c r="Q149" t="n">
        <v>1</v>
      </c>
      <c r="R149" s="2" t="inlineStr">
        <is>
          <t>Myskmadra</t>
        </is>
      </c>
      <c r="S149">
        <f>HYPERLINK("https://klasma.github.io/Logging_0980/artfynd/A 45924-2020 artfynd.xlsx", "A 45924-2020")</f>
        <v/>
      </c>
      <c r="T149">
        <f>HYPERLINK("https://klasma.github.io/Logging_0980/kartor/A 45924-2020 karta.png", "A 45924-2020")</f>
        <v/>
      </c>
      <c r="V149">
        <f>HYPERLINK("https://klasma.github.io/Logging_0980/klagomål/A 45924-2020 FSC-klagomål.docx", "A 45924-2020")</f>
        <v/>
      </c>
      <c r="W149">
        <f>HYPERLINK("https://klasma.github.io/Logging_0980/klagomålsmail/A 45924-2020 FSC-klagomål mail.docx", "A 45924-2020")</f>
        <v/>
      </c>
      <c r="X149">
        <f>HYPERLINK("https://klasma.github.io/Logging_0980/tillsyn/A 45924-2020 tillsynsbegäran.docx", "A 45924-2020")</f>
        <v/>
      </c>
      <c r="Y149">
        <f>HYPERLINK("https://klasma.github.io/Logging_0980/tillsynsmail/A 45924-2020 tillsynsbegäran mail.docx", "A 45924-2020")</f>
        <v/>
      </c>
    </row>
    <row r="150" ht="15" customHeight="1">
      <c r="A150" t="inlineStr">
        <is>
          <t>A 63299-2020</t>
        </is>
      </c>
      <c r="B150" s="1" t="n">
        <v>44165</v>
      </c>
      <c r="C150" s="1" t="n">
        <v>45294</v>
      </c>
      <c r="D150" t="inlineStr">
        <is>
          <t>GOTLANDS LÄN</t>
        </is>
      </c>
      <c r="E150" t="inlineStr">
        <is>
          <t>GOTLAND</t>
        </is>
      </c>
      <c r="G150" t="n">
        <v>12.9</v>
      </c>
      <c r="H150" t="n">
        <v>1</v>
      </c>
      <c r="I150" t="n">
        <v>0</v>
      </c>
      <c r="J150" t="n">
        <v>1</v>
      </c>
      <c r="K150" t="n">
        <v>0</v>
      </c>
      <c r="L150" t="n">
        <v>0</v>
      </c>
      <c r="M150" t="n">
        <v>0</v>
      </c>
      <c r="N150" t="n">
        <v>0</v>
      </c>
      <c r="O150" t="n">
        <v>1</v>
      </c>
      <c r="P150" t="n">
        <v>0</v>
      </c>
      <c r="Q150" t="n">
        <v>1</v>
      </c>
      <c r="R150" s="2" t="inlineStr">
        <is>
          <t>Svartfläckig blåvinge</t>
        </is>
      </c>
      <c r="S150">
        <f>HYPERLINK("https://klasma.github.io/Logging_0980/artfynd/A 63299-2020 artfynd.xlsx", "A 63299-2020")</f>
        <v/>
      </c>
      <c r="T150">
        <f>HYPERLINK("https://klasma.github.io/Logging_0980/kartor/A 63299-2020 karta.png", "A 63299-2020")</f>
        <v/>
      </c>
      <c r="V150">
        <f>HYPERLINK("https://klasma.github.io/Logging_0980/klagomål/A 63299-2020 FSC-klagomål.docx", "A 63299-2020")</f>
        <v/>
      </c>
      <c r="W150">
        <f>HYPERLINK("https://klasma.github.io/Logging_0980/klagomålsmail/A 63299-2020 FSC-klagomål mail.docx", "A 63299-2020")</f>
        <v/>
      </c>
      <c r="X150">
        <f>HYPERLINK("https://klasma.github.io/Logging_0980/tillsyn/A 63299-2020 tillsynsbegäran.docx", "A 63299-2020")</f>
        <v/>
      </c>
      <c r="Y150">
        <f>HYPERLINK("https://klasma.github.io/Logging_0980/tillsynsmail/A 63299-2020 tillsynsbegäran mail.docx", "A 63299-2020")</f>
        <v/>
      </c>
    </row>
    <row r="151" ht="15" customHeight="1">
      <c r="A151" t="inlineStr">
        <is>
          <t>A 24-2021</t>
        </is>
      </c>
      <c r="B151" s="1" t="n">
        <v>44197</v>
      </c>
      <c r="C151" s="1" t="n">
        <v>45294</v>
      </c>
      <c r="D151" t="inlineStr">
        <is>
          <t>GOTLANDS LÄN</t>
        </is>
      </c>
      <c r="E151" t="inlineStr">
        <is>
          <t>GOTLAND</t>
        </is>
      </c>
      <c r="F151" t="inlineStr">
        <is>
          <t>Kyrkan</t>
        </is>
      </c>
      <c r="G151" t="n">
        <v>1.7</v>
      </c>
      <c r="H151" t="n">
        <v>0</v>
      </c>
      <c r="I151" t="n">
        <v>1</v>
      </c>
      <c r="J151" t="n">
        <v>0</v>
      </c>
      <c r="K151" t="n">
        <v>0</v>
      </c>
      <c r="L151" t="n">
        <v>0</v>
      </c>
      <c r="M151" t="n">
        <v>0</v>
      </c>
      <c r="N151" t="n">
        <v>0</v>
      </c>
      <c r="O151" t="n">
        <v>0</v>
      </c>
      <c r="P151" t="n">
        <v>0</v>
      </c>
      <c r="Q151" t="n">
        <v>1</v>
      </c>
      <c r="R151" s="2" t="inlineStr">
        <is>
          <t>Svavelriska</t>
        </is>
      </c>
      <c r="S151">
        <f>HYPERLINK("https://klasma.github.io/Logging_0980/artfynd/A 24-2021 artfynd.xlsx", "A 24-2021")</f>
        <v/>
      </c>
      <c r="T151">
        <f>HYPERLINK("https://klasma.github.io/Logging_0980/kartor/A 24-2021 karta.png", "A 24-2021")</f>
        <v/>
      </c>
      <c r="V151">
        <f>HYPERLINK("https://klasma.github.io/Logging_0980/klagomål/A 24-2021 FSC-klagomål.docx", "A 24-2021")</f>
        <v/>
      </c>
      <c r="W151">
        <f>HYPERLINK("https://klasma.github.io/Logging_0980/klagomålsmail/A 24-2021 FSC-klagomål mail.docx", "A 24-2021")</f>
        <v/>
      </c>
      <c r="X151">
        <f>HYPERLINK("https://klasma.github.io/Logging_0980/tillsyn/A 24-2021 tillsynsbegäran.docx", "A 24-2021")</f>
        <v/>
      </c>
      <c r="Y151">
        <f>HYPERLINK("https://klasma.github.io/Logging_0980/tillsynsmail/A 24-2021 tillsynsbegäran mail.docx", "A 24-2021")</f>
        <v/>
      </c>
    </row>
    <row r="152" ht="15" customHeight="1">
      <c r="A152" t="inlineStr">
        <is>
          <t>A 7485-2021</t>
        </is>
      </c>
      <c r="B152" s="1" t="n">
        <v>44238</v>
      </c>
      <c r="C152" s="1" t="n">
        <v>45294</v>
      </c>
      <c r="D152" t="inlineStr">
        <is>
          <t>GOTLANDS LÄN</t>
        </is>
      </c>
      <c r="E152" t="inlineStr">
        <is>
          <t>GOTLAND</t>
        </is>
      </c>
      <c r="G152" t="n">
        <v>2.9</v>
      </c>
      <c r="H152" t="n">
        <v>1</v>
      </c>
      <c r="I152" t="n">
        <v>0</v>
      </c>
      <c r="J152" t="n">
        <v>1</v>
      </c>
      <c r="K152" t="n">
        <v>0</v>
      </c>
      <c r="L152" t="n">
        <v>0</v>
      </c>
      <c r="M152" t="n">
        <v>0</v>
      </c>
      <c r="N152" t="n">
        <v>0</v>
      </c>
      <c r="O152" t="n">
        <v>1</v>
      </c>
      <c r="P152" t="n">
        <v>0</v>
      </c>
      <c r="Q152" t="n">
        <v>1</v>
      </c>
      <c r="R152" s="2" t="inlineStr">
        <is>
          <t>Spillkråka</t>
        </is>
      </c>
      <c r="S152">
        <f>HYPERLINK("https://klasma.github.io/Logging_0980/artfynd/A 7485-2021 artfynd.xlsx", "A 7485-2021")</f>
        <v/>
      </c>
      <c r="T152">
        <f>HYPERLINK("https://klasma.github.io/Logging_0980/kartor/A 7485-2021 karta.png", "A 7485-2021")</f>
        <v/>
      </c>
      <c r="V152">
        <f>HYPERLINK("https://klasma.github.io/Logging_0980/klagomål/A 7485-2021 FSC-klagomål.docx", "A 7485-2021")</f>
        <v/>
      </c>
      <c r="W152">
        <f>HYPERLINK("https://klasma.github.io/Logging_0980/klagomålsmail/A 7485-2021 FSC-klagomål mail.docx", "A 7485-2021")</f>
        <v/>
      </c>
      <c r="X152">
        <f>HYPERLINK("https://klasma.github.io/Logging_0980/tillsyn/A 7485-2021 tillsynsbegäran.docx", "A 7485-2021")</f>
        <v/>
      </c>
      <c r="Y152">
        <f>HYPERLINK("https://klasma.github.io/Logging_0980/tillsynsmail/A 7485-2021 tillsynsbegäran mail.docx", "A 7485-2021")</f>
        <v/>
      </c>
    </row>
    <row r="153" ht="15" customHeight="1">
      <c r="A153" t="inlineStr">
        <is>
          <t>A 13939-2021</t>
        </is>
      </c>
      <c r="B153" s="1" t="n">
        <v>44277</v>
      </c>
      <c r="C153" s="1" t="n">
        <v>45294</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17723-2021</t>
        </is>
      </c>
      <c r="B154" s="1" t="n">
        <v>44300</v>
      </c>
      <c r="C154" s="1" t="n">
        <v>45294</v>
      </c>
      <c r="D154" t="inlineStr">
        <is>
          <t>GOTLANDS LÄN</t>
        </is>
      </c>
      <c r="E154" t="inlineStr">
        <is>
          <t>GOTLAND</t>
        </is>
      </c>
      <c r="G154" t="n">
        <v>1.5</v>
      </c>
      <c r="H154" t="n">
        <v>1</v>
      </c>
      <c r="I154" t="n">
        <v>1</v>
      </c>
      <c r="J154" t="n">
        <v>0</v>
      </c>
      <c r="K154" t="n">
        <v>0</v>
      </c>
      <c r="L154" t="n">
        <v>0</v>
      </c>
      <c r="M154" t="n">
        <v>0</v>
      </c>
      <c r="N154" t="n">
        <v>0</v>
      </c>
      <c r="O154" t="n">
        <v>0</v>
      </c>
      <c r="P154" t="n">
        <v>0</v>
      </c>
      <c r="Q154" t="n">
        <v>1</v>
      </c>
      <c r="R154" s="2" t="inlineStr">
        <is>
          <t>Vit skogslilja</t>
        </is>
      </c>
      <c r="S154">
        <f>HYPERLINK("https://klasma.github.io/Logging_0980/artfynd/A 17723-2021 artfynd.xlsx", "A 17723-2021")</f>
        <v/>
      </c>
      <c r="T154">
        <f>HYPERLINK("https://klasma.github.io/Logging_0980/kartor/A 17723-2021 karta.png", "A 17723-2021")</f>
        <v/>
      </c>
      <c r="V154">
        <f>HYPERLINK("https://klasma.github.io/Logging_0980/klagomål/A 17723-2021 FSC-klagomål.docx", "A 17723-2021")</f>
        <v/>
      </c>
      <c r="W154">
        <f>HYPERLINK("https://klasma.github.io/Logging_0980/klagomålsmail/A 17723-2021 FSC-klagomål mail.docx", "A 17723-2021")</f>
        <v/>
      </c>
      <c r="X154">
        <f>HYPERLINK("https://klasma.github.io/Logging_0980/tillsyn/A 17723-2021 tillsynsbegäran.docx", "A 17723-2021")</f>
        <v/>
      </c>
      <c r="Y154">
        <f>HYPERLINK("https://klasma.github.io/Logging_0980/tillsynsmail/A 17723-2021 tillsynsbegäran mail.docx", "A 17723-2021")</f>
        <v/>
      </c>
    </row>
    <row r="155" ht="15" customHeight="1">
      <c r="A155" t="inlineStr">
        <is>
          <t>A 29951-2021</t>
        </is>
      </c>
      <c r="B155" s="1" t="n">
        <v>44362</v>
      </c>
      <c r="C155" s="1" t="n">
        <v>45294</v>
      </c>
      <c r="D155" t="inlineStr">
        <is>
          <t>GOTLANDS LÄN</t>
        </is>
      </c>
      <c r="E155" t="inlineStr">
        <is>
          <t>GOTLAND</t>
        </is>
      </c>
      <c r="G155" t="n">
        <v>3.4</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29951-2021 artfynd.xlsx", "A 29951-2021")</f>
        <v/>
      </c>
      <c r="T155">
        <f>HYPERLINK("https://klasma.github.io/Logging_0980/kartor/A 29951-2021 karta.png", "A 29951-2021")</f>
        <v/>
      </c>
      <c r="V155">
        <f>HYPERLINK("https://klasma.github.io/Logging_0980/klagomål/A 29951-2021 FSC-klagomål.docx", "A 29951-2021")</f>
        <v/>
      </c>
      <c r="W155">
        <f>HYPERLINK("https://klasma.github.io/Logging_0980/klagomålsmail/A 29951-2021 FSC-klagomål mail.docx", "A 29951-2021")</f>
        <v/>
      </c>
      <c r="X155">
        <f>HYPERLINK("https://klasma.github.io/Logging_0980/tillsyn/A 29951-2021 tillsynsbegäran.docx", "A 29951-2021")</f>
        <v/>
      </c>
      <c r="Y155">
        <f>HYPERLINK("https://klasma.github.io/Logging_0980/tillsynsmail/A 29951-2021 tillsynsbegäran mail.docx", "A 29951-2021")</f>
        <v/>
      </c>
    </row>
    <row r="156" ht="15" customHeight="1">
      <c r="A156" t="inlineStr">
        <is>
          <t>A 35467-2021</t>
        </is>
      </c>
      <c r="B156" s="1" t="n">
        <v>44385</v>
      </c>
      <c r="C156" s="1" t="n">
        <v>45294</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44308-2021</t>
        </is>
      </c>
      <c r="B157" s="1" t="n">
        <v>44434</v>
      </c>
      <c r="C157" s="1" t="n">
        <v>45294</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47411-2021</t>
        </is>
      </c>
      <c r="B158" s="1" t="n">
        <v>44447</v>
      </c>
      <c r="C158" s="1" t="n">
        <v>45294</v>
      </c>
      <c r="D158" t="inlineStr">
        <is>
          <t>GOTLANDS LÄN</t>
        </is>
      </c>
      <c r="E158" t="inlineStr">
        <is>
          <t>GOTLAND</t>
        </is>
      </c>
      <c r="G158" t="n">
        <v>2.7</v>
      </c>
      <c r="H158" t="n">
        <v>1</v>
      </c>
      <c r="I158" t="n">
        <v>0</v>
      </c>
      <c r="J158" t="n">
        <v>0</v>
      </c>
      <c r="K158" t="n">
        <v>0</v>
      </c>
      <c r="L158" t="n">
        <v>0</v>
      </c>
      <c r="M158" t="n">
        <v>0</v>
      </c>
      <c r="N158" t="n">
        <v>0</v>
      </c>
      <c r="O158" t="n">
        <v>0</v>
      </c>
      <c r="P158" t="n">
        <v>0</v>
      </c>
      <c r="Q158" t="n">
        <v>1</v>
      </c>
      <c r="R158" s="2" t="inlineStr">
        <is>
          <t>Revlummer</t>
        </is>
      </c>
      <c r="S158">
        <f>HYPERLINK("https://klasma.github.io/Logging_0980/artfynd/A 47411-2021 artfynd.xlsx", "A 47411-2021")</f>
        <v/>
      </c>
      <c r="T158">
        <f>HYPERLINK("https://klasma.github.io/Logging_0980/kartor/A 47411-2021 karta.png", "A 47411-2021")</f>
        <v/>
      </c>
      <c r="V158">
        <f>HYPERLINK("https://klasma.github.io/Logging_0980/klagomål/A 47411-2021 FSC-klagomål.docx", "A 47411-2021")</f>
        <v/>
      </c>
      <c r="W158">
        <f>HYPERLINK("https://klasma.github.io/Logging_0980/klagomålsmail/A 47411-2021 FSC-klagomål mail.docx", "A 47411-2021")</f>
        <v/>
      </c>
      <c r="X158">
        <f>HYPERLINK("https://klasma.github.io/Logging_0980/tillsyn/A 47411-2021 tillsynsbegäran.docx", "A 47411-2021")</f>
        <v/>
      </c>
      <c r="Y158">
        <f>HYPERLINK("https://klasma.github.io/Logging_0980/tillsynsmail/A 47411-2021 tillsynsbegäran mail.docx", "A 47411-2021")</f>
        <v/>
      </c>
    </row>
    <row r="159" ht="15" customHeight="1">
      <c r="A159" t="inlineStr">
        <is>
          <t>A 51737-2021</t>
        </is>
      </c>
      <c r="B159" s="1" t="n">
        <v>44462</v>
      </c>
      <c r="C159" s="1" t="n">
        <v>45294</v>
      </c>
      <c r="D159" t="inlineStr">
        <is>
          <t>GOTLANDS LÄN</t>
        </is>
      </c>
      <c r="E159" t="inlineStr">
        <is>
          <t>GOTLAND</t>
        </is>
      </c>
      <c r="G159" t="n">
        <v>8.6</v>
      </c>
      <c r="H159" t="n">
        <v>0</v>
      </c>
      <c r="I159" t="n">
        <v>1</v>
      </c>
      <c r="J159" t="n">
        <v>0</v>
      </c>
      <c r="K159" t="n">
        <v>0</v>
      </c>
      <c r="L159" t="n">
        <v>0</v>
      </c>
      <c r="M159" t="n">
        <v>0</v>
      </c>
      <c r="N159" t="n">
        <v>0</v>
      </c>
      <c r="O159" t="n">
        <v>0</v>
      </c>
      <c r="P159" t="n">
        <v>0</v>
      </c>
      <c r="Q159" t="n">
        <v>1</v>
      </c>
      <c r="R159" s="2" t="inlineStr">
        <is>
          <t>Kambräken</t>
        </is>
      </c>
      <c r="S159">
        <f>HYPERLINK("https://klasma.github.io/Logging_0980/artfynd/A 51737-2021 artfynd.xlsx", "A 51737-2021")</f>
        <v/>
      </c>
      <c r="T159">
        <f>HYPERLINK("https://klasma.github.io/Logging_0980/kartor/A 51737-2021 karta.png", "A 51737-2021")</f>
        <v/>
      </c>
      <c r="V159">
        <f>HYPERLINK("https://klasma.github.io/Logging_0980/klagomål/A 51737-2021 FSC-klagomål.docx", "A 51737-2021")</f>
        <v/>
      </c>
      <c r="W159">
        <f>HYPERLINK("https://klasma.github.io/Logging_0980/klagomålsmail/A 51737-2021 FSC-klagomål mail.docx", "A 51737-2021")</f>
        <v/>
      </c>
      <c r="X159">
        <f>HYPERLINK("https://klasma.github.io/Logging_0980/tillsyn/A 51737-2021 tillsynsbegäran.docx", "A 51737-2021")</f>
        <v/>
      </c>
      <c r="Y159">
        <f>HYPERLINK("https://klasma.github.io/Logging_0980/tillsynsmail/A 51737-2021 tillsynsbegäran mail.docx", "A 51737-2021")</f>
        <v/>
      </c>
    </row>
    <row r="160" ht="15" customHeight="1">
      <c r="A160" t="inlineStr">
        <is>
          <t>A 63576-2021</t>
        </is>
      </c>
      <c r="B160" s="1" t="n">
        <v>44508</v>
      </c>
      <c r="C160" s="1" t="n">
        <v>45294</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45294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65927-2021</t>
        </is>
      </c>
      <c r="B162" s="1" t="n">
        <v>44516</v>
      </c>
      <c r="C162" s="1" t="n">
        <v>45294</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66091-2021</t>
        </is>
      </c>
      <c r="B163" s="1" t="n">
        <v>44517</v>
      </c>
      <c r="C163" s="1" t="n">
        <v>45294</v>
      </c>
      <c r="D163" t="inlineStr">
        <is>
          <t>GOTLANDS LÄN</t>
        </is>
      </c>
      <c r="E163" t="inlineStr">
        <is>
          <t>GOTLAND</t>
        </is>
      </c>
      <c r="G163" t="n">
        <v>11.7</v>
      </c>
      <c r="H163" t="n">
        <v>1</v>
      </c>
      <c r="I163" t="n">
        <v>0</v>
      </c>
      <c r="J163" t="n">
        <v>0</v>
      </c>
      <c r="K163" t="n">
        <v>0</v>
      </c>
      <c r="L163" t="n">
        <v>0</v>
      </c>
      <c r="M163" t="n">
        <v>0</v>
      </c>
      <c r="N163" t="n">
        <v>0</v>
      </c>
      <c r="O163" t="n">
        <v>0</v>
      </c>
      <c r="P163" t="n">
        <v>0</v>
      </c>
      <c r="Q163" t="n">
        <v>1</v>
      </c>
      <c r="R163" s="2" t="inlineStr">
        <is>
          <t>Pärluggla</t>
        </is>
      </c>
      <c r="S163">
        <f>HYPERLINK("https://klasma.github.io/Logging_0980/artfynd/A 66091-2021 artfynd.xlsx", "A 66091-2021")</f>
        <v/>
      </c>
      <c r="T163">
        <f>HYPERLINK("https://klasma.github.io/Logging_0980/kartor/A 66091-2021 karta.png", "A 66091-2021")</f>
        <v/>
      </c>
      <c r="V163">
        <f>HYPERLINK("https://klasma.github.io/Logging_0980/klagomål/A 66091-2021 FSC-klagomål.docx", "A 66091-2021")</f>
        <v/>
      </c>
      <c r="W163">
        <f>HYPERLINK("https://klasma.github.io/Logging_0980/klagomålsmail/A 66091-2021 FSC-klagomål mail.docx", "A 66091-2021")</f>
        <v/>
      </c>
      <c r="X163">
        <f>HYPERLINK("https://klasma.github.io/Logging_0980/tillsyn/A 66091-2021 tillsynsbegäran.docx", "A 66091-2021")</f>
        <v/>
      </c>
      <c r="Y163">
        <f>HYPERLINK("https://klasma.github.io/Logging_0980/tillsynsmail/A 66091-2021 tillsynsbegäran mail.docx", "A 66091-2021")</f>
        <v/>
      </c>
    </row>
    <row r="164" ht="15" customHeight="1">
      <c r="A164" t="inlineStr">
        <is>
          <t>A 24245-2022</t>
        </is>
      </c>
      <c r="B164" s="1" t="n">
        <v>44725</v>
      </c>
      <c r="C164" s="1" t="n">
        <v>45294</v>
      </c>
      <c r="D164" t="inlineStr">
        <is>
          <t>GOTLANDS LÄN</t>
        </is>
      </c>
      <c r="E164" t="inlineStr">
        <is>
          <t>GOTLAND</t>
        </is>
      </c>
      <c r="G164" t="n">
        <v>4.9</v>
      </c>
      <c r="H164" t="n">
        <v>0</v>
      </c>
      <c r="I164" t="n">
        <v>0</v>
      </c>
      <c r="J164" t="n">
        <v>0</v>
      </c>
      <c r="K164" t="n">
        <v>0</v>
      </c>
      <c r="L164" t="n">
        <v>1</v>
      </c>
      <c r="M164" t="n">
        <v>0</v>
      </c>
      <c r="N164" t="n">
        <v>0</v>
      </c>
      <c r="O164" t="n">
        <v>1</v>
      </c>
      <c r="P164" t="n">
        <v>1</v>
      </c>
      <c r="Q164" t="n">
        <v>1</v>
      </c>
      <c r="R164" s="2" t="inlineStr">
        <is>
          <t>Slät taggsvamp</t>
        </is>
      </c>
      <c r="S164">
        <f>HYPERLINK("https://klasma.github.io/Logging_0980/artfynd/A 24245-2022 artfynd.xlsx", "A 24245-2022")</f>
        <v/>
      </c>
      <c r="T164">
        <f>HYPERLINK("https://klasma.github.io/Logging_0980/kartor/A 24245-2022 karta.png", "A 24245-2022")</f>
        <v/>
      </c>
      <c r="V164">
        <f>HYPERLINK("https://klasma.github.io/Logging_0980/klagomål/A 24245-2022 FSC-klagomål.docx", "A 24245-2022")</f>
        <v/>
      </c>
      <c r="W164">
        <f>HYPERLINK("https://klasma.github.io/Logging_0980/klagomålsmail/A 24245-2022 FSC-klagomål mail.docx", "A 24245-2022")</f>
        <v/>
      </c>
      <c r="X164">
        <f>HYPERLINK("https://klasma.github.io/Logging_0980/tillsyn/A 24245-2022 tillsynsbegäran.docx", "A 24245-2022")</f>
        <v/>
      </c>
      <c r="Y164">
        <f>HYPERLINK("https://klasma.github.io/Logging_0980/tillsynsmail/A 24245-2022 tillsynsbegäran mail.docx", "A 24245-2022")</f>
        <v/>
      </c>
    </row>
    <row r="165" ht="15" customHeight="1">
      <c r="A165" t="inlineStr">
        <is>
          <t>A 25783-2022</t>
        </is>
      </c>
      <c r="B165" s="1" t="n">
        <v>44733</v>
      </c>
      <c r="C165" s="1" t="n">
        <v>45294</v>
      </c>
      <c r="D165" t="inlineStr">
        <is>
          <t>GOTLANDS LÄN</t>
        </is>
      </c>
      <c r="E165" t="inlineStr">
        <is>
          <t>GOTLAND</t>
        </is>
      </c>
      <c r="G165" t="n">
        <v>1</v>
      </c>
      <c r="H165" t="n">
        <v>1</v>
      </c>
      <c r="I165" t="n">
        <v>1</v>
      </c>
      <c r="J165" t="n">
        <v>0</v>
      </c>
      <c r="K165" t="n">
        <v>0</v>
      </c>
      <c r="L165" t="n">
        <v>0</v>
      </c>
      <c r="M165" t="n">
        <v>0</v>
      </c>
      <c r="N165" t="n">
        <v>0</v>
      </c>
      <c r="O165" t="n">
        <v>0</v>
      </c>
      <c r="P165" t="n">
        <v>0</v>
      </c>
      <c r="Q165" t="n">
        <v>1</v>
      </c>
      <c r="R165" s="2" t="inlineStr">
        <is>
          <t>Vit skogslilja</t>
        </is>
      </c>
      <c r="S165">
        <f>HYPERLINK("https://klasma.github.io/Logging_0980/artfynd/A 25783-2022 artfynd.xlsx", "A 25783-2022")</f>
        <v/>
      </c>
      <c r="T165">
        <f>HYPERLINK("https://klasma.github.io/Logging_0980/kartor/A 25783-2022 karta.png", "A 25783-2022")</f>
        <v/>
      </c>
      <c r="V165">
        <f>HYPERLINK("https://klasma.github.io/Logging_0980/klagomål/A 25783-2022 FSC-klagomål.docx", "A 25783-2022")</f>
        <v/>
      </c>
      <c r="W165">
        <f>HYPERLINK("https://klasma.github.io/Logging_0980/klagomålsmail/A 25783-2022 FSC-klagomål mail.docx", "A 25783-2022")</f>
        <v/>
      </c>
      <c r="X165">
        <f>HYPERLINK("https://klasma.github.io/Logging_0980/tillsyn/A 25783-2022 tillsynsbegäran.docx", "A 25783-2022")</f>
        <v/>
      </c>
      <c r="Y165">
        <f>HYPERLINK("https://klasma.github.io/Logging_0980/tillsynsmail/A 25783-2022 tillsynsbegäran mail.docx", "A 25783-2022")</f>
        <v/>
      </c>
    </row>
    <row r="166" ht="15" customHeight="1">
      <c r="A166" t="inlineStr">
        <is>
          <t>A 27814-2022</t>
        </is>
      </c>
      <c r="B166" s="1" t="n">
        <v>44743</v>
      </c>
      <c r="C166" s="1" t="n">
        <v>45294</v>
      </c>
      <c r="D166" t="inlineStr">
        <is>
          <t>GOTLANDS LÄN</t>
        </is>
      </c>
      <c r="E166" t="inlineStr">
        <is>
          <t>GOTLAND</t>
        </is>
      </c>
      <c r="G166" t="n">
        <v>25</v>
      </c>
      <c r="H166" t="n">
        <v>1</v>
      </c>
      <c r="I166" t="n">
        <v>0</v>
      </c>
      <c r="J166" t="n">
        <v>0</v>
      </c>
      <c r="K166" t="n">
        <v>0</v>
      </c>
      <c r="L166" t="n">
        <v>0</v>
      </c>
      <c r="M166" t="n">
        <v>0</v>
      </c>
      <c r="N166" t="n">
        <v>0</v>
      </c>
      <c r="O166" t="n">
        <v>0</v>
      </c>
      <c r="P166" t="n">
        <v>0</v>
      </c>
      <c r="Q166" t="n">
        <v>1</v>
      </c>
      <c r="R166" s="2" t="inlineStr">
        <is>
          <t>Mindre vattensalamander</t>
        </is>
      </c>
      <c r="S166">
        <f>HYPERLINK("https://klasma.github.io/Logging_0980/artfynd/A 27814-2022 artfynd.xlsx", "A 27814-2022")</f>
        <v/>
      </c>
      <c r="T166">
        <f>HYPERLINK("https://klasma.github.io/Logging_0980/kartor/A 27814-2022 karta.png", "A 27814-2022")</f>
        <v/>
      </c>
      <c r="V166">
        <f>HYPERLINK("https://klasma.github.io/Logging_0980/klagomål/A 27814-2022 FSC-klagomål.docx", "A 27814-2022")</f>
        <v/>
      </c>
      <c r="W166">
        <f>HYPERLINK("https://klasma.github.io/Logging_0980/klagomålsmail/A 27814-2022 FSC-klagomål mail.docx", "A 27814-2022")</f>
        <v/>
      </c>
      <c r="X166">
        <f>HYPERLINK("https://klasma.github.io/Logging_0980/tillsyn/A 27814-2022 tillsynsbegäran.docx", "A 27814-2022")</f>
        <v/>
      </c>
      <c r="Y166">
        <f>HYPERLINK("https://klasma.github.io/Logging_0980/tillsynsmail/A 27814-2022 tillsynsbegäran mail.docx", "A 27814-2022")</f>
        <v/>
      </c>
    </row>
    <row r="167" ht="15" customHeight="1">
      <c r="A167" t="inlineStr">
        <is>
          <t>A 44095-2022</t>
        </is>
      </c>
      <c r="B167" s="1" t="n">
        <v>44839</v>
      </c>
      <c r="C167" s="1" t="n">
        <v>45294</v>
      </c>
      <c r="D167" t="inlineStr">
        <is>
          <t>GOTLANDS LÄN</t>
        </is>
      </c>
      <c r="E167" t="inlineStr">
        <is>
          <t>GOTLAND</t>
        </is>
      </c>
      <c r="G167" t="n">
        <v>9</v>
      </c>
      <c r="H167" t="n">
        <v>0</v>
      </c>
      <c r="I167" t="n">
        <v>1</v>
      </c>
      <c r="J167" t="n">
        <v>0</v>
      </c>
      <c r="K167" t="n">
        <v>0</v>
      </c>
      <c r="L167" t="n">
        <v>0</v>
      </c>
      <c r="M167" t="n">
        <v>0</v>
      </c>
      <c r="N167" t="n">
        <v>0</v>
      </c>
      <c r="O167" t="n">
        <v>0</v>
      </c>
      <c r="P167" t="n">
        <v>0</v>
      </c>
      <c r="Q167" t="n">
        <v>1</v>
      </c>
      <c r="R167" s="2" t="inlineStr">
        <is>
          <t>Strävlosta</t>
        </is>
      </c>
      <c r="S167">
        <f>HYPERLINK("https://klasma.github.io/Logging_0980/artfynd/A 44095-2022 artfynd.xlsx", "A 44095-2022")</f>
        <v/>
      </c>
      <c r="T167">
        <f>HYPERLINK("https://klasma.github.io/Logging_0980/kartor/A 44095-2022 karta.png", "A 44095-2022")</f>
        <v/>
      </c>
      <c r="V167">
        <f>HYPERLINK("https://klasma.github.io/Logging_0980/klagomål/A 44095-2022 FSC-klagomål.docx", "A 44095-2022")</f>
        <v/>
      </c>
      <c r="W167">
        <f>HYPERLINK("https://klasma.github.io/Logging_0980/klagomålsmail/A 44095-2022 FSC-klagomål mail.docx", "A 44095-2022")</f>
        <v/>
      </c>
      <c r="X167">
        <f>HYPERLINK("https://klasma.github.io/Logging_0980/tillsyn/A 44095-2022 tillsynsbegäran.docx", "A 44095-2022")</f>
        <v/>
      </c>
      <c r="Y167">
        <f>HYPERLINK("https://klasma.github.io/Logging_0980/tillsynsmail/A 44095-2022 tillsynsbegäran mail.docx", "A 44095-2022")</f>
        <v/>
      </c>
    </row>
    <row r="168" ht="15" customHeight="1">
      <c r="A168" t="inlineStr">
        <is>
          <t>A 44088-2022</t>
        </is>
      </c>
      <c r="B168" s="1" t="n">
        <v>44839</v>
      </c>
      <c r="C168" s="1" t="n">
        <v>45294</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62552-2022</t>
        </is>
      </c>
      <c r="B169" s="1" t="n">
        <v>44924</v>
      </c>
      <c r="C169" s="1" t="n">
        <v>45294</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447-2023</t>
        </is>
      </c>
      <c r="B170" s="1" t="n">
        <v>44929</v>
      </c>
      <c r="C170" s="1" t="n">
        <v>45294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446-2023</t>
        </is>
      </c>
      <c r="B171" s="1" t="n">
        <v>44929</v>
      </c>
      <c r="C171" s="1" t="n">
        <v>45294</v>
      </c>
      <c r="D171" t="inlineStr">
        <is>
          <t>GOTLANDS LÄN</t>
        </is>
      </c>
      <c r="E171" t="inlineStr">
        <is>
          <t>GOTLAND</t>
        </is>
      </c>
      <c r="G171" t="n">
        <v>7.1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446-2023 artfynd.xlsx", "A 446-2023")</f>
        <v/>
      </c>
      <c r="T171">
        <f>HYPERLINK("https://klasma.github.io/Logging_0980/kartor/A 446-2023 karta.png", "A 446-2023")</f>
        <v/>
      </c>
      <c r="V171">
        <f>HYPERLINK("https://klasma.github.io/Logging_0980/klagomål/A 446-2023 FSC-klagomål.docx", "A 446-2023")</f>
        <v/>
      </c>
      <c r="W171">
        <f>HYPERLINK("https://klasma.github.io/Logging_0980/klagomålsmail/A 446-2023 FSC-klagomål mail.docx", "A 446-2023")</f>
        <v/>
      </c>
      <c r="X171">
        <f>HYPERLINK("https://klasma.github.io/Logging_0980/tillsyn/A 446-2023 tillsynsbegäran.docx", "A 446-2023")</f>
        <v/>
      </c>
      <c r="Y171">
        <f>HYPERLINK("https://klasma.github.io/Logging_0980/tillsynsmail/A 446-2023 tillsynsbegäran mail.docx", "A 446-2023")</f>
        <v/>
      </c>
    </row>
    <row r="172" ht="15" customHeight="1">
      <c r="A172" t="inlineStr">
        <is>
          <t>A 947-2023</t>
        </is>
      </c>
      <c r="B172" s="1" t="n">
        <v>44934</v>
      </c>
      <c r="C172" s="1" t="n">
        <v>45294</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2213-2023</t>
        </is>
      </c>
      <c r="B173" s="1" t="n">
        <v>44942</v>
      </c>
      <c r="C173" s="1" t="n">
        <v>45294</v>
      </c>
      <c r="D173" t="inlineStr">
        <is>
          <t>GOTLANDS LÄN</t>
        </is>
      </c>
      <c r="E173" t="inlineStr">
        <is>
          <t>GOTLAND</t>
        </is>
      </c>
      <c r="G173" t="n">
        <v>2.7</v>
      </c>
      <c r="H173" t="n">
        <v>0</v>
      </c>
      <c r="I173" t="n">
        <v>0</v>
      </c>
      <c r="J173" t="n">
        <v>1</v>
      </c>
      <c r="K173" t="n">
        <v>0</v>
      </c>
      <c r="L173" t="n">
        <v>0</v>
      </c>
      <c r="M173" t="n">
        <v>0</v>
      </c>
      <c r="N173" t="n">
        <v>0</v>
      </c>
      <c r="O173" t="n">
        <v>1</v>
      </c>
      <c r="P173" t="n">
        <v>0</v>
      </c>
      <c r="Q173" t="n">
        <v>1</v>
      </c>
      <c r="R173" s="2" t="inlineStr">
        <is>
          <t>Odörspindling</t>
        </is>
      </c>
      <c r="S173">
        <f>HYPERLINK("https://klasma.github.io/Logging_0980/artfynd/A 2213-2023 artfynd.xlsx", "A 2213-2023")</f>
        <v/>
      </c>
      <c r="T173">
        <f>HYPERLINK("https://klasma.github.io/Logging_0980/kartor/A 2213-2023 karta.png", "A 2213-2023")</f>
        <v/>
      </c>
      <c r="V173">
        <f>HYPERLINK("https://klasma.github.io/Logging_0980/klagomål/A 2213-2023 FSC-klagomål.docx", "A 2213-2023")</f>
        <v/>
      </c>
      <c r="W173">
        <f>HYPERLINK("https://klasma.github.io/Logging_0980/klagomålsmail/A 2213-2023 FSC-klagomål mail.docx", "A 2213-2023")</f>
        <v/>
      </c>
      <c r="X173">
        <f>HYPERLINK("https://klasma.github.io/Logging_0980/tillsyn/A 2213-2023 tillsynsbegäran.docx", "A 2213-2023")</f>
        <v/>
      </c>
      <c r="Y173">
        <f>HYPERLINK("https://klasma.github.io/Logging_0980/tillsynsmail/A 2213-2023 tillsynsbegäran mail.docx", "A 2213-2023")</f>
        <v/>
      </c>
    </row>
    <row r="174" ht="15" customHeight="1">
      <c r="A174" t="inlineStr">
        <is>
          <t>A 10995-2023</t>
        </is>
      </c>
      <c r="B174" s="1" t="n">
        <v>44986</v>
      </c>
      <c r="C174" s="1" t="n">
        <v>45294</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15212-2023</t>
        </is>
      </c>
      <c r="B175" s="1" t="n">
        <v>45019</v>
      </c>
      <c r="C175" s="1" t="n">
        <v>45294</v>
      </c>
      <c r="D175" t="inlineStr">
        <is>
          <t>GOTLANDS LÄN</t>
        </is>
      </c>
      <c r="E175" t="inlineStr">
        <is>
          <t>GOTLAND</t>
        </is>
      </c>
      <c r="G175" t="n">
        <v>3.1</v>
      </c>
      <c r="H175" t="n">
        <v>0</v>
      </c>
      <c r="I175" t="n">
        <v>0</v>
      </c>
      <c r="J175" t="n">
        <v>1</v>
      </c>
      <c r="K175" t="n">
        <v>0</v>
      </c>
      <c r="L175" t="n">
        <v>0</v>
      </c>
      <c r="M175" t="n">
        <v>0</v>
      </c>
      <c r="N175" t="n">
        <v>0</v>
      </c>
      <c r="O175" t="n">
        <v>1</v>
      </c>
      <c r="P175" t="n">
        <v>0</v>
      </c>
      <c r="Q175" t="n">
        <v>1</v>
      </c>
      <c r="R175" s="2" t="inlineStr">
        <is>
          <t>Grådådra</t>
        </is>
      </c>
      <c r="S175">
        <f>HYPERLINK("https://klasma.github.io/Logging_0980/artfynd/A 15212-2023 artfynd.xlsx", "A 15212-2023")</f>
        <v/>
      </c>
      <c r="T175">
        <f>HYPERLINK("https://klasma.github.io/Logging_0980/kartor/A 15212-2023 karta.png", "A 15212-2023")</f>
        <v/>
      </c>
      <c r="V175">
        <f>HYPERLINK("https://klasma.github.io/Logging_0980/klagomål/A 15212-2023 FSC-klagomål.docx", "A 15212-2023")</f>
        <v/>
      </c>
      <c r="W175">
        <f>HYPERLINK("https://klasma.github.io/Logging_0980/klagomålsmail/A 15212-2023 FSC-klagomål mail.docx", "A 15212-2023")</f>
        <v/>
      </c>
      <c r="X175">
        <f>HYPERLINK("https://klasma.github.io/Logging_0980/tillsyn/A 15212-2023 tillsynsbegäran.docx", "A 15212-2023")</f>
        <v/>
      </c>
      <c r="Y175">
        <f>HYPERLINK("https://klasma.github.io/Logging_0980/tillsynsmail/A 15212-2023 tillsynsbegäran mail.docx", "A 15212-2023")</f>
        <v/>
      </c>
    </row>
    <row r="176" ht="15" customHeight="1">
      <c r="A176" t="inlineStr">
        <is>
          <t>A 22782-2023</t>
        </is>
      </c>
      <c r="B176" s="1" t="n">
        <v>45072</v>
      </c>
      <c r="C176" s="1" t="n">
        <v>45294</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24007-2023</t>
        </is>
      </c>
      <c r="B177" s="1" t="n">
        <v>45078</v>
      </c>
      <c r="C177" s="1" t="n">
        <v>45294</v>
      </c>
      <c r="D177" t="inlineStr">
        <is>
          <t>GOTLANDS LÄN</t>
        </is>
      </c>
      <c r="E177" t="inlineStr">
        <is>
          <t>GOTLAND</t>
        </is>
      </c>
      <c r="F177" t="inlineStr">
        <is>
          <t>Naturvårdsverket</t>
        </is>
      </c>
      <c r="G177" t="n">
        <v>2.5</v>
      </c>
      <c r="H177" t="n">
        <v>1</v>
      </c>
      <c r="I177" t="n">
        <v>1</v>
      </c>
      <c r="J177" t="n">
        <v>0</v>
      </c>
      <c r="K177" t="n">
        <v>0</v>
      </c>
      <c r="L177" t="n">
        <v>0</v>
      </c>
      <c r="M177" t="n">
        <v>0</v>
      </c>
      <c r="N177" t="n">
        <v>0</v>
      </c>
      <c r="O177" t="n">
        <v>0</v>
      </c>
      <c r="P177" t="n">
        <v>0</v>
      </c>
      <c r="Q177" t="n">
        <v>1</v>
      </c>
      <c r="R177" s="2" t="inlineStr">
        <is>
          <t>Nästrot</t>
        </is>
      </c>
      <c r="S177">
        <f>HYPERLINK("https://klasma.github.io/Logging_0980/artfynd/A 24007-2023 artfynd.xlsx", "A 24007-2023")</f>
        <v/>
      </c>
      <c r="T177">
        <f>HYPERLINK("https://klasma.github.io/Logging_0980/kartor/A 24007-2023 karta.png", "A 24007-2023")</f>
        <v/>
      </c>
      <c r="V177">
        <f>HYPERLINK("https://klasma.github.io/Logging_0980/klagomål/A 24007-2023 FSC-klagomål.docx", "A 24007-2023")</f>
        <v/>
      </c>
      <c r="W177">
        <f>HYPERLINK("https://klasma.github.io/Logging_0980/klagomålsmail/A 24007-2023 FSC-klagomål mail.docx", "A 24007-2023")</f>
        <v/>
      </c>
      <c r="X177">
        <f>HYPERLINK("https://klasma.github.io/Logging_0980/tillsyn/A 24007-2023 tillsynsbegäran.docx", "A 24007-2023")</f>
        <v/>
      </c>
      <c r="Y177">
        <f>HYPERLINK("https://klasma.github.io/Logging_0980/tillsynsmail/A 24007-2023 tillsynsbegäran mail.docx", "A 24007-2023")</f>
        <v/>
      </c>
    </row>
    <row r="178" ht="15" customHeight="1">
      <c r="A178" t="inlineStr">
        <is>
          <t>A 27589-2023</t>
        </is>
      </c>
      <c r="B178" s="1" t="n">
        <v>45097</v>
      </c>
      <c r="C178" s="1" t="n">
        <v>45294</v>
      </c>
      <c r="D178" t="inlineStr">
        <is>
          <t>GOTLANDS LÄN</t>
        </is>
      </c>
      <c r="E178" t="inlineStr">
        <is>
          <t>GOTLAND</t>
        </is>
      </c>
      <c r="G178" t="n">
        <v>5.4</v>
      </c>
      <c r="H178" t="n">
        <v>0</v>
      </c>
      <c r="I178" t="n">
        <v>0</v>
      </c>
      <c r="J178" t="n">
        <v>0</v>
      </c>
      <c r="K178" t="n">
        <v>0</v>
      </c>
      <c r="L178" t="n">
        <v>0</v>
      </c>
      <c r="M178" t="n">
        <v>1</v>
      </c>
      <c r="N178" t="n">
        <v>0</v>
      </c>
      <c r="O178" t="n">
        <v>1</v>
      </c>
      <c r="P178" t="n">
        <v>1</v>
      </c>
      <c r="Q178" t="n">
        <v>1</v>
      </c>
      <c r="R178" s="2" t="inlineStr">
        <is>
          <t>Skogsalm</t>
        </is>
      </c>
      <c r="S178">
        <f>HYPERLINK("https://klasma.github.io/Logging_0980/artfynd/A 27589-2023 artfynd.xlsx", "A 27589-2023")</f>
        <v/>
      </c>
      <c r="T178">
        <f>HYPERLINK("https://klasma.github.io/Logging_0980/kartor/A 27589-2023 karta.png", "A 27589-2023")</f>
        <v/>
      </c>
      <c r="V178">
        <f>HYPERLINK("https://klasma.github.io/Logging_0980/klagomål/A 27589-2023 FSC-klagomål.docx", "A 27589-2023")</f>
        <v/>
      </c>
      <c r="W178">
        <f>HYPERLINK("https://klasma.github.io/Logging_0980/klagomålsmail/A 27589-2023 FSC-klagomål mail.docx", "A 27589-2023")</f>
        <v/>
      </c>
      <c r="X178">
        <f>HYPERLINK("https://klasma.github.io/Logging_0980/tillsyn/A 27589-2023 tillsynsbegäran.docx", "A 27589-2023")</f>
        <v/>
      </c>
      <c r="Y178">
        <f>HYPERLINK("https://klasma.github.io/Logging_0980/tillsynsmail/A 27589-2023 tillsynsbegäran mail.docx", "A 27589-2023")</f>
        <v/>
      </c>
    </row>
    <row r="179" ht="15" customHeight="1">
      <c r="A179" t="inlineStr">
        <is>
          <t>A 28546-2023</t>
        </is>
      </c>
      <c r="B179" s="1" t="n">
        <v>45103</v>
      </c>
      <c r="C179" s="1" t="n">
        <v>45294</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28546-2023 artfynd.xlsx", "A 28546-2023")</f>
        <v/>
      </c>
      <c r="T179">
        <f>HYPERLINK("https://klasma.github.io/Logging_0980/kartor/A 28546-2023 karta.png", "A 28546-2023")</f>
        <v/>
      </c>
      <c r="V179">
        <f>HYPERLINK("https://klasma.github.io/Logging_0980/klagomål/A 28546-2023 FSC-klagomål.docx", "A 28546-2023")</f>
        <v/>
      </c>
      <c r="W179">
        <f>HYPERLINK("https://klasma.github.io/Logging_0980/klagomålsmail/A 28546-2023 FSC-klagomål mail.docx", "A 28546-2023")</f>
        <v/>
      </c>
      <c r="X179">
        <f>HYPERLINK("https://klasma.github.io/Logging_0980/tillsyn/A 28546-2023 tillsynsbegäran.docx", "A 28546-2023")</f>
        <v/>
      </c>
      <c r="Y179">
        <f>HYPERLINK("https://klasma.github.io/Logging_0980/tillsynsmail/A 28546-2023 tillsynsbegäran mail.docx", "A 28546-2023")</f>
        <v/>
      </c>
    </row>
    <row r="180" ht="15" customHeight="1">
      <c r="A180" t="inlineStr">
        <is>
          <t>A 35615-2023</t>
        </is>
      </c>
      <c r="B180" s="1" t="n">
        <v>45147</v>
      </c>
      <c r="C180" s="1" t="n">
        <v>45294</v>
      </c>
      <c r="D180" t="inlineStr">
        <is>
          <t>GOTLANDS LÄN</t>
        </is>
      </c>
      <c r="E180" t="inlineStr">
        <is>
          <t>GOTLAND</t>
        </is>
      </c>
      <c r="G180" t="n">
        <v>6.1</v>
      </c>
      <c r="H180" t="n">
        <v>0</v>
      </c>
      <c r="I180" t="n">
        <v>0</v>
      </c>
      <c r="J180" t="n">
        <v>1</v>
      </c>
      <c r="K180" t="n">
        <v>0</v>
      </c>
      <c r="L180" t="n">
        <v>0</v>
      </c>
      <c r="M180" t="n">
        <v>0</v>
      </c>
      <c r="N180" t="n">
        <v>0</v>
      </c>
      <c r="O180" t="n">
        <v>1</v>
      </c>
      <c r="P180" t="n">
        <v>0</v>
      </c>
      <c r="Q180" t="n">
        <v>1</v>
      </c>
      <c r="R180" s="2" t="inlineStr">
        <is>
          <t>Åkerranunkel</t>
        </is>
      </c>
      <c r="S180">
        <f>HYPERLINK("https://klasma.github.io/Logging_0980/artfynd/A 35615-2023 artfynd.xlsx", "A 35615-2023")</f>
        <v/>
      </c>
      <c r="T180">
        <f>HYPERLINK("https://klasma.github.io/Logging_0980/kartor/A 35615-2023 karta.png", "A 35615-2023")</f>
        <v/>
      </c>
      <c r="V180">
        <f>HYPERLINK("https://klasma.github.io/Logging_0980/klagomål/A 35615-2023 FSC-klagomål.docx", "A 35615-2023")</f>
        <v/>
      </c>
      <c r="W180">
        <f>HYPERLINK("https://klasma.github.io/Logging_0980/klagomålsmail/A 35615-2023 FSC-klagomål mail.docx", "A 35615-2023")</f>
        <v/>
      </c>
      <c r="X180">
        <f>HYPERLINK("https://klasma.github.io/Logging_0980/tillsyn/A 35615-2023 tillsynsbegäran.docx", "A 35615-2023")</f>
        <v/>
      </c>
      <c r="Y180">
        <f>HYPERLINK("https://klasma.github.io/Logging_0980/tillsynsmail/A 35615-2023 tillsynsbegäran mail.docx", "A 35615-2023")</f>
        <v/>
      </c>
    </row>
    <row r="181" ht="15" customHeight="1">
      <c r="A181" t="inlineStr">
        <is>
          <t>A 37584-2023</t>
        </is>
      </c>
      <c r="B181" s="1" t="n">
        <v>45159</v>
      </c>
      <c r="C181" s="1" t="n">
        <v>45294</v>
      </c>
      <c r="D181" t="inlineStr">
        <is>
          <t>GOTLANDS LÄN</t>
        </is>
      </c>
      <c r="E181" t="inlineStr">
        <is>
          <t>GOTLAND</t>
        </is>
      </c>
      <c r="G181" t="n">
        <v>5.4</v>
      </c>
      <c r="H181" t="n">
        <v>0</v>
      </c>
      <c r="I181" t="n">
        <v>1</v>
      </c>
      <c r="J181" t="n">
        <v>0</v>
      </c>
      <c r="K181" t="n">
        <v>0</v>
      </c>
      <c r="L181" t="n">
        <v>0</v>
      </c>
      <c r="M181" t="n">
        <v>0</v>
      </c>
      <c r="N181" t="n">
        <v>0</v>
      </c>
      <c r="O181" t="n">
        <v>0</v>
      </c>
      <c r="P181" t="n">
        <v>0</v>
      </c>
      <c r="Q181" t="n">
        <v>1</v>
      </c>
      <c r="R181" s="2" t="inlineStr">
        <is>
          <t>Myskmadra</t>
        </is>
      </c>
      <c r="S181">
        <f>HYPERLINK("https://klasma.github.io/Logging_0980/artfynd/A 37584-2023 artfynd.xlsx", "A 37584-2023")</f>
        <v/>
      </c>
      <c r="T181">
        <f>HYPERLINK("https://klasma.github.io/Logging_0980/kartor/A 37584-2023 karta.png", "A 37584-2023")</f>
        <v/>
      </c>
      <c r="V181">
        <f>HYPERLINK("https://klasma.github.io/Logging_0980/klagomål/A 37584-2023 FSC-klagomål.docx", "A 37584-2023")</f>
        <v/>
      </c>
      <c r="W181">
        <f>HYPERLINK("https://klasma.github.io/Logging_0980/klagomålsmail/A 37584-2023 FSC-klagomål mail.docx", "A 37584-2023")</f>
        <v/>
      </c>
      <c r="X181">
        <f>HYPERLINK("https://klasma.github.io/Logging_0980/tillsyn/A 37584-2023 tillsynsbegäran.docx", "A 37584-2023")</f>
        <v/>
      </c>
      <c r="Y181">
        <f>HYPERLINK("https://klasma.github.io/Logging_0980/tillsynsmail/A 37584-2023 tillsynsbegäran mail.docx", "A 37584-2023")</f>
        <v/>
      </c>
    </row>
    <row r="182" ht="15" customHeight="1">
      <c r="A182" t="inlineStr">
        <is>
          <t>A 42939-2023</t>
        </is>
      </c>
      <c r="B182" s="1" t="n">
        <v>45182</v>
      </c>
      <c r="C182" s="1" t="n">
        <v>45294</v>
      </c>
      <c r="D182" t="inlineStr">
        <is>
          <t>GOTLANDS LÄN</t>
        </is>
      </c>
      <c r="E182" t="inlineStr">
        <is>
          <t>GOTLAND</t>
        </is>
      </c>
      <c r="G182" t="n">
        <v>7.5</v>
      </c>
      <c r="H182" t="n">
        <v>0</v>
      </c>
      <c r="I182" t="n">
        <v>0</v>
      </c>
      <c r="J182" t="n">
        <v>0</v>
      </c>
      <c r="K182" t="n">
        <v>1</v>
      </c>
      <c r="L182" t="n">
        <v>0</v>
      </c>
      <c r="M182" t="n">
        <v>0</v>
      </c>
      <c r="N182" t="n">
        <v>0</v>
      </c>
      <c r="O182" t="n">
        <v>1</v>
      </c>
      <c r="P182" t="n">
        <v>1</v>
      </c>
      <c r="Q182" t="n">
        <v>1</v>
      </c>
      <c r="R182" s="2" t="inlineStr">
        <is>
          <t>Skogskorn</t>
        </is>
      </c>
      <c r="S182">
        <f>HYPERLINK("https://klasma.github.io/Logging_0980/artfynd/A 42939-2023 artfynd.xlsx", "A 42939-2023")</f>
        <v/>
      </c>
      <c r="T182">
        <f>HYPERLINK("https://klasma.github.io/Logging_0980/kartor/A 42939-2023 karta.png", "A 42939-2023")</f>
        <v/>
      </c>
      <c r="V182">
        <f>HYPERLINK("https://klasma.github.io/Logging_0980/klagomål/A 42939-2023 FSC-klagomål.docx", "A 42939-2023")</f>
        <v/>
      </c>
      <c r="W182">
        <f>HYPERLINK("https://klasma.github.io/Logging_0980/klagomålsmail/A 42939-2023 FSC-klagomål mail.docx", "A 42939-2023")</f>
        <v/>
      </c>
      <c r="X182">
        <f>HYPERLINK("https://klasma.github.io/Logging_0980/tillsyn/A 42939-2023 tillsynsbegäran.docx", "A 42939-2023")</f>
        <v/>
      </c>
      <c r="Y182">
        <f>HYPERLINK("https://klasma.github.io/Logging_0980/tillsynsmail/A 42939-2023 tillsynsbegäran mail.docx", "A 42939-2023")</f>
        <v/>
      </c>
    </row>
    <row r="183" ht="15" customHeight="1">
      <c r="A183" t="inlineStr">
        <is>
          <t>A 46969-2023</t>
        </is>
      </c>
      <c r="B183" s="1" t="n">
        <v>45195</v>
      </c>
      <c r="C183" s="1" t="n">
        <v>45294</v>
      </c>
      <c r="D183" t="inlineStr">
        <is>
          <t>GOTLANDS LÄN</t>
        </is>
      </c>
      <c r="E183" t="inlineStr">
        <is>
          <t>GOTLAND</t>
        </is>
      </c>
      <c r="G183" t="n">
        <v>7.3</v>
      </c>
      <c r="H183" t="n">
        <v>0</v>
      </c>
      <c r="I183" t="n">
        <v>1</v>
      </c>
      <c r="J183" t="n">
        <v>0</v>
      </c>
      <c r="K183" t="n">
        <v>0</v>
      </c>
      <c r="L183" t="n">
        <v>0</v>
      </c>
      <c r="M183" t="n">
        <v>0</v>
      </c>
      <c r="N183" t="n">
        <v>0</v>
      </c>
      <c r="O183" t="n">
        <v>0</v>
      </c>
      <c r="P183" t="n">
        <v>0</v>
      </c>
      <c r="Q183" t="n">
        <v>1</v>
      </c>
      <c r="R183" s="2" t="inlineStr">
        <is>
          <t>Svavelriska</t>
        </is>
      </c>
      <c r="S183">
        <f>HYPERLINK("https://klasma.github.io/Logging_0980/artfynd/A 46969-2023 artfynd.xlsx", "A 46969-2023")</f>
        <v/>
      </c>
      <c r="T183">
        <f>HYPERLINK("https://klasma.github.io/Logging_0980/kartor/A 46969-2023 karta.png", "A 46969-2023")</f>
        <v/>
      </c>
      <c r="V183">
        <f>HYPERLINK("https://klasma.github.io/Logging_0980/klagomål/A 46969-2023 FSC-klagomål.docx", "A 46969-2023")</f>
        <v/>
      </c>
      <c r="W183">
        <f>HYPERLINK("https://klasma.github.io/Logging_0980/klagomålsmail/A 46969-2023 FSC-klagomål mail.docx", "A 46969-2023")</f>
        <v/>
      </c>
      <c r="X183">
        <f>HYPERLINK("https://klasma.github.io/Logging_0980/tillsyn/A 46969-2023 tillsynsbegäran.docx", "A 46969-2023")</f>
        <v/>
      </c>
      <c r="Y183">
        <f>HYPERLINK("https://klasma.github.io/Logging_0980/tillsynsmail/A 46969-2023 tillsynsbegäran mail.docx", "A 46969-2023")</f>
        <v/>
      </c>
    </row>
    <row r="184" ht="15" customHeight="1">
      <c r="A184" t="inlineStr">
        <is>
          <t>A 49847-2023</t>
        </is>
      </c>
      <c r="B184" s="1" t="n">
        <v>45212</v>
      </c>
      <c r="C184" s="1" t="n">
        <v>45294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53907-2023</t>
        </is>
      </c>
      <c r="B185" s="1" t="n">
        <v>45231</v>
      </c>
      <c r="C185" s="1" t="n">
        <v>45294</v>
      </c>
      <c r="D185" t="inlineStr">
        <is>
          <t>GOTLANDS LÄN</t>
        </is>
      </c>
      <c r="E185" t="inlineStr">
        <is>
          <t>GOTLAND</t>
        </is>
      </c>
      <c r="G185" t="n">
        <v>13.7</v>
      </c>
      <c r="H185" t="n">
        <v>0</v>
      </c>
      <c r="I185" t="n">
        <v>0</v>
      </c>
      <c r="J185" t="n">
        <v>0</v>
      </c>
      <c r="K185" t="n">
        <v>1</v>
      </c>
      <c r="L185" t="n">
        <v>0</v>
      </c>
      <c r="M185" t="n">
        <v>0</v>
      </c>
      <c r="N185" t="n">
        <v>0</v>
      </c>
      <c r="O185" t="n">
        <v>1</v>
      </c>
      <c r="P185" t="n">
        <v>1</v>
      </c>
      <c r="Q185" t="n">
        <v>1</v>
      </c>
      <c r="R185" s="2" t="inlineStr">
        <is>
          <t>Granrotspindling</t>
        </is>
      </c>
      <c r="S185">
        <f>HYPERLINK("https://klasma.github.io/Logging_0980/artfynd/A 53907-2023 artfynd.xlsx", "A 53907-2023")</f>
        <v/>
      </c>
      <c r="T185">
        <f>HYPERLINK("https://klasma.github.io/Logging_0980/kartor/A 53907-2023 karta.png", "A 53907-2023")</f>
        <v/>
      </c>
      <c r="V185">
        <f>HYPERLINK("https://klasma.github.io/Logging_0980/klagomål/A 53907-2023 FSC-klagomål.docx", "A 53907-2023")</f>
        <v/>
      </c>
      <c r="W185">
        <f>HYPERLINK("https://klasma.github.io/Logging_0980/klagomålsmail/A 53907-2023 FSC-klagomål mail.docx", "A 53907-2023")</f>
        <v/>
      </c>
      <c r="X185">
        <f>HYPERLINK("https://klasma.github.io/Logging_0980/tillsyn/A 53907-2023 tillsynsbegäran.docx", "A 53907-2023")</f>
        <v/>
      </c>
      <c r="Y185">
        <f>HYPERLINK("https://klasma.github.io/Logging_0980/tillsynsmail/A 53907-2023 tillsynsbegäran mail.docx", "A 53907-2023")</f>
        <v/>
      </c>
    </row>
    <row r="186" ht="15" customHeight="1">
      <c r="A186" t="inlineStr">
        <is>
          <t>A 56304-2023</t>
        </is>
      </c>
      <c r="B186" s="1" t="n">
        <v>45242</v>
      </c>
      <c r="C186" s="1" t="n">
        <v>45294</v>
      </c>
      <c r="D186" t="inlineStr">
        <is>
          <t>GOTLANDS LÄN</t>
        </is>
      </c>
      <c r="E186" t="inlineStr">
        <is>
          <t>GOTLAND</t>
        </is>
      </c>
      <c r="G186" t="n">
        <v>0.9</v>
      </c>
      <c r="H186" t="n">
        <v>1</v>
      </c>
      <c r="I186" t="n">
        <v>0</v>
      </c>
      <c r="J186" t="n">
        <v>0</v>
      </c>
      <c r="K186" t="n">
        <v>1</v>
      </c>
      <c r="L186" t="n">
        <v>0</v>
      </c>
      <c r="M186" t="n">
        <v>0</v>
      </c>
      <c r="N186" t="n">
        <v>0</v>
      </c>
      <c r="O186" t="n">
        <v>1</v>
      </c>
      <c r="P186" t="n">
        <v>1</v>
      </c>
      <c r="Q186" t="n">
        <v>1</v>
      </c>
      <c r="R186" s="2" t="inlineStr">
        <is>
          <t>Garderönn</t>
        </is>
      </c>
      <c r="S186">
        <f>HYPERLINK("https://klasma.github.io/Logging_0980/artfynd/A 56304-2023 artfynd.xlsx", "A 56304-2023")</f>
        <v/>
      </c>
      <c r="T186">
        <f>HYPERLINK("https://klasma.github.io/Logging_0980/kartor/A 56304-2023 karta.png", "A 56304-2023")</f>
        <v/>
      </c>
      <c r="V186">
        <f>HYPERLINK("https://klasma.github.io/Logging_0980/klagomål/A 56304-2023 FSC-klagomål.docx", "A 56304-2023")</f>
        <v/>
      </c>
      <c r="W186">
        <f>HYPERLINK("https://klasma.github.io/Logging_0980/klagomålsmail/A 56304-2023 FSC-klagomål mail.docx", "A 56304-2023")</f>
        <v/>
      </c>
      <c r="X186">
        <f>HYPERLINK("https://klasma.github.io/Logging_0980/tillsyn/A 56304-2023 tillsynsbegäran.docx", "A 56304-2023")</f>
        <v/>
      </c>
      <c r="Y186">
        <f>HYPERLINK("https://klasma.github.io/Logging_0980/tillsynsmail/A 56304-2023 tillsynsbegäran mail.docx", "A 56304-2023")</f>
        <v/>
      </c>
    </row>
    <row r="187" ht="15" customHeight="1">
      <c r="A187" t="inlineStr">
        <is>
          <t>A 61561-2023</t>
        </is>
      </c>
      <c r="B187" s="1" t="n">
        <v>45265</v>
      </c>
      <c r="C187" s="1" t="n">
        <v>45294</v>
      </c>
      <c r="D187" t="inlineStr">
        <is>
          <t>GOTLANDS LÄN</t>
        </is>
      </c>
      <c r="E187" t="inlineStr">
        <is>
          <t>GOTLAND</t>
        </is>
      </c>
      <c r="G187" t="n">
        <v>7.4</v>
      </c>
      <c r="H187" t="n">
        <v>0</v>
      </c>
      <c r="I187" t="n">
        <v>0</v>
      </c>
      <c r="J187" t="n">
        <v>1</v>
      </c>
      <c r="K187" t="n">
        <v>0</v>
      </c>
      <c r="L187" t="n">
        <v>0</v>
      </c>
      <c r="M187" t="n">
        <v>0</v>
      </c>
      <c r="N187" t="n">
        <v>0</v>
      </c>
      <c r="O187" t="n">
        <v>1</v>
      </c>
      <c r="P187" t="n">
        <v>0</v>
      </c>
      <c r="Q187" t="n">
        <v>1</v>
      </c>
      <c r="R187" s="2" t="inlineStr">
        <is>
          <t>Loppstarr</t>
        </is>
      </c>
      <c r="S187">
        <f>HYPERLINK("https://klasma.github.io/Logging_0980/artfynd/A 61561-2023 artfynd.xlsx", "A 61561-2023")</f>
        <v/>
      </c>
      <c r="T187">
        <f>HYPERLINK("https://klasma.github.io/Logging_0980/kartor/A 61561-2023 karta.png", "A 61561-2023")</f>
        <v/>
      </c>
      <c r="V187">
        <f>HYPERLINK("https://klasma.github.io/Logging_0980/klagomål/A 61561-2023 FSC-klagomål.docx", "A 61561-2023")</f>
        <v/>
      </c>
      <c r="W187">
        <f>HYPERLINK("https://klasma.github.io/Logging_0980/klagomålsmail/A 61561-2023 FSC-klagomål mail.docx", "A 61561-2023")</f>
        <v/>
      </c>
      <c r="X187">
        <f>HYPERLINK("https://klasma.github.io/Logging_0980/tillsyn/A 61561-2023 tillsynsbegäran.docx", "A 61561-2023")</f>
        <v/>
      </c>
      <c r="Y187">
        <f>HYPERLINK("https://klasma.github.io/Logging_0980/tillsynsmail/A 61561-2023 tillsynsbegäran mail.docx", "A 61561-2023")</f>
        <v/>
      </c>
    </row>
    <row r="188" ht="15" customHeight="1">
      <c r="A188" t="inlineStr">
        <is>
          <t>A 61994-2023</t>
        </is>
      </c>
      <c r="B188" s="1" t="n">
        <v>45266</v>
      </c>
      <c r="C188" s="1" t="n">
        <v>45294</v>
      </c>
      <c r="D188" t="inlineStr">
        <is>
          <t>GOTLANDS LÄN</t>
        </is>
      </c>
      <c r="E188" t="inlineStr">
        <is>
          <t>GOTLAND</t>
        </is>
      </c>
      <c r="G188" t="n">
        <v>2.9</v>
      </c>
      <c r="H188" t="n">
        <v>1</v>
      </c>
      <c r="I188" t="n">
        <v>0</v>
      </c>
      <c r="J188" t="n">
        <v>0</v>
      </c>
      <c r="K188" t="n">
        <v>0</v>
      </c>
      <c r="L188" t="n">
        <v>0</v>
      </c>
      <c r="M188" t="n">
        <v>0</v>
      </c>
      <c r="N188" t="n">
        <v>0</v>
      </c>
      <c r="O188" t="n">
        <v>0</v>
      </c>
      <c r="P188" t="n">
        <v>0</v>
      </c>
      <c r="Q188" t="n">
        <v>1</v>
      </c>
      <c r="R188" s="2" t="inlineStr">
        <is>
          <t>Revlummer</t>
        </is>
      </c>
      <c r="S188">
        <f>HYPERLINK("https://klasma.github.io/Logging_0980/artfynd/A 61994-2023 artfynd.xlsx", "A 61994-2023")</f>
        <v/>
      </c>
      <c r="T188">
        <f>HYPERLINK("https://klasma.github.io/Logging_0980/kartor/A 61994-2023 karta.png", "A 61994-2023")</f>
        <v/>
      </c>
      <c r="V188">
        <f>HYPERLINK("https://klasma.github.io/Logging_0980/klagomål/A 61994-2023 FSC-klagomål.docx", "A 61994-2023")</f>
        <v/>
      </c>
      <c r="W188">
        <f>HYPERLINK("https://klasma.github.io/Logging_0980/klagomålsmail/A 61994-2023 FSC-klagomål mail.docx", "A 61994-2023")</f>
        <v/>
      </c>
      <c r="X188">
        <f>HYPERLINK("https://klasma.github.io/Logging_0980/tillsyn/A 61994-2023 tillsynsbegäran.docx", "A 61994-2023")</f>
        <v/>
      </c>
      <c r="Y188">
        <f>HYPERLINK("https://klasma.github.io/Logging_0980/tillsynsmail/A 61994-2023 tillsynsbegäran mail.docx", "A 61994-2023")</f>
        <v/>
      </c>
    </row>
    <row r="189" ht="15" customHeight="1">
      <c r="A189" t="inlineStr">
        <is>
          <t>A 62376-2023</t>
        </is>
      </c>
      <c r="B189" s="1" t="n">
        <v>45268</v>
      </c>
      <c r="C189" s="1" t="n">
        <v>45294</v>
      </c>
      <c r="D189" t="inlineStr">
        <is>
          <t>GOTLANDS LÄN</t>
        </is>
      </c>
      <c r="E189" t="inlineStr">
        <is>
          <t>GOTLAND</t>
        </is>
      </c>
      <c r="G189" t="n">
        <v>4.2</v>
      </c>
      <c r="H189" t="n">
        <v>1</v>
      </c>
      <c r="I189" t="n">
        <v>0</v>
      </c>
      <c r="J189" t="n">
        <v>0</v>
      </c>
      <c r="K189" t="n">
        <v>0</v>
      </c>
      <c r="L189" t="n">
        <v>0</v>
      </c>
      <c r="M189" t="n">
        <v>0</v>
      </c>
      <c r="N189" t="n">
        <v>0</v>
      </c>
      <c r="O189" t="n">
        <v>0</v>
      </c>
      <c r="P189" t="n">
        <v>0</v>
      </c>
      <c r="Q189" t="n">
        <v>1</v>
      </c>
      <c r="R189" s="2" t="inlineStr">
        <is>
          <t>Fläcknycklar</t>
        </is>
      </c>
      <c r="S189">
        <f>HYPERLINK("https://klasma.github.io/Logging_0980/artfynd/A 62376-2023 artfynd.xlsx", "A 62376-2023")</f>
        <v/>
      </c>
      <c r="T189">
        <f>HYPERLINK("https://klasma.github.io/Logging_0980/kartor/A 62376-2023 karta.png", "A 62376-2023")</f>
        <v/>
      </c>
      <c r="V189">
        <f>HYPERLINK("https://klasma.github.io/Logging_0980/klagomål/A 62376-2023 FSC-klagomål.docx", "A 62376-2023")</f>
        <v/>
      </c>
      <c r="W189">
        <f>HYPERLINK("https://klasma.github.io/Logging_0980/klagomålsmail/A 62376-2023 FSC-klagomål mail.docx", "A 62376-2023")</f>
        <v/>
      </c>
      <c r="X189">
        <f>HYPERLINK("https://klasma.github.io/Logging_0980/tillsyn/A 62376-2023 tillsynsbegäran.docx", "A 62376-2023")</f>
        <v/>
      </c>
      <c r="Y189">
        <f>HYPERLINK("https://klasma.github.io/Logging_0980/tillsynsmail/A 62376-2023 tillsynsbegäran mail.docx", "A 62376-2023")</f>
        <v/>
      </c>
    </row>
    <row r="190" ht="15" customHeight="1">
      <c r="A190" t="inlineStr">
        <is>
          <t>A 63515-2023</t>
        </is>
      </c>
      <c r="B190" s="1" t="n">
        <v>45274</v>
      </c>
      <c r="C190" s="1" t="n">
        <v>45294</v>
      </c>
      <c r="D190" t="inlineStr">
        <is>
          <t>GOTLANDS LÄN</t>
        </is>
      </c>
      <c r="E190" t="inlineStr">
        <is>
          <t>GOTLAND</t>
        </is>
      </c>
      <c r="G190" t="n">
        <v>2.1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63515-2023 artfynd.xlsx", "A 63515-2023")</f>
        <v/>
      </c>
      <c r="T190">
        <f>HYPERLINK("https://klasma.github.io/Logging_0980/kartor/A 63515-2023 karta.png", "A 63515-2023")</f>
        <v/>
      </c>
      <c r="V190">
        <f>HYPERLINK("https://klasma.github.io/Logging_0980/klagomål/A 63515-2023 FSC-klagomål.docx", "A 63515-2023")</f>
        <v/>
      </c>
      <c r="W190">
        <f>HYPERLINK("https://klasma.github.io/Logging_0980/klagomålsmail/A 63515-2023 FSC-klagomål mail.docx", "A 63515-2023")</f>
        <v/>
      </c>
      <c r="X190">
        <f>HYPERLINK("https://klasma.github.io/Logging_0980/tillsyn/A 63515-2023 tillsynsbegäran.docx", "A 63515-2023")</f>
        <v/>
      </c>
      <c r="Y190">
        <f>HYPERLINK("https://klasma.github.io/Logging_0980/tillsynsmail/A 63515-2023 tillsynsbegäran mail.docx", "A 63515-2023")</f>
        <v/>
      </c>
    </row>
    <row r="191" ht="15" customHeight="1">
      <c r="A191" t="inlineStr">
        <is>
          <t>A 33912-2018</t>
        </is>
      </c>
      <c r="B191" s="1" t="n">
        <v>43314</v>
      </c>
      <c r="C191" s="1" t="n">
        <v>45294</v>
      </c>
      <c r="D191" t="inlineStr">
        <is>
          <t>GOTLANDS LÄN</t>
        </is>
      </c>
      <c r="E191" t="inlineStr">
        <is>
          <t>GOTLAND</t>
        </is>
      </c>
      <c r="F191" t="inlineStr">
        <is>
          <t>Kyrkan</t>
        </is>
      </c>
      <c r="G191" t="n">
        <v>2.6</v>
      </c>
      <c r="H191" t="n">
        <v>0</v>
      </c>
      <c r="I191" t="n">
        <v>0</v>
      </c>
      <c r="J191" t="n">
        <v>0</v>
      </c>
      <c r="K191" t="n">
        <v>0</v>
      </c>
      <c r="L191" t="n">
        <v>0</v>
      </c>
      <c r="M191" t="n">
        <v>0</v>
      </c>
      <c r="N191" t="n">
        <v>0</v>
      </c>
      <c r="O191" t="n">
        <v>0</v>
      </c>
      <c r="P191" t="n">
        <v>0</v>
      </c>
      <c r="Q191" t="n">
        <v>0</v>
      </c>
      <c r="R191" s="2" t="inlineStr"/>
    </row>
    <row r="192" ht="15" customHeight="1">
      <c r="A192" t="inlineStr">
        <is>
          <t>A 33909-2018</t>
        </is>
      </c>
      <c r="B192" s="1" t="n">
        <v>43314</v>
      </c>
      <c r="C192" s="1" t="n">
        <v>45294</v>
      </c>
      <c r="D192" t="inlineStr">
        <is>
          <t>GOTLANDS LÄN</t>
        </is>
      </c>
      <c r="E192" t="inlineStr">
        <is>
          <t>GOTLAND</t>
        </is>
      </c>
      <c r="F192" t="inlineStr">
        <is>
          <t>Kyrkan</t>
        </is>
      </c>
      <c r="G192" t="n">
        <v>2.8</v>
      </c>
      <c r="H192" t="n">
        <v>0</v>
      </c>
      <c r="I192" t="n">
        <v>0</v>
      </c>
      <c r="J192" t="n">
        <v>0</v>
      </c>
      <c r="K192" t="n">
        <v>0</v>
      </c>
      <c r="L192" t="n">
        <v>0</v>
      </c>
      <c r="M192" t="n">
        <v>0</v>
      </c>
      <c r="N192" t="n">
        <v>0</v>
      </c>
      <c r="O192" t="n">
        <v>0</v>
      </c>
      <c r="P192" t="n">
        <v>0</v>
      </c>
      <c r="Q192" t="n">
        <v>0</v>
      </c>
      <c r="R192" s="2" t="inlineStr"/>
    </row>
    <row r="193" ht="15" customHeight="1">
      <c r="A193" t="inlineStr">
        <is>
          <t>A 34001-2018</t>
        </is>
      </c>
      <c r="B193" s="1" t="n">
        <v>43314</v>
      </c>
      <c r="C193" s="1" t="n">
        <v>45294</v>
      </c>
      <c r="D193" t="inlineStr">
        <is>
          <t>GOTLANDS LÄN</t>
        </is>
      </c>
      <c r="E193" t="inlineStr">
        <is>
          <t>GOTLAND</t>
        </is>
      </c>
      <c r="G193" t="n">
        <v>4</v>
      </c>
      <c r="H193" t="n">
        <v>0</v>
      </c>
      <c r="I193" t="n">
        <v>0</v>
      </c>
      <c r="J193" t="n">
        <v>0</v>
      </c>
      <c r="K193" t="n">
        <v>0</v>
      </c>
      <c r="L193" t="n">
        <v>0</v>
      </c>
      <c r="M193" t="n">
        <v>0</v>
      </c>
      <c r="N193" t="n">
        <v>0</v>
      </c>
      <c r="O193" t="n">
        <v>0</v>
      </c>
      <c r="P193" t="n">
        <v>0</v>
      </c>
      <c r="Q193" t="n">
        <v>0</v>
      </c>
      <c r="R193" s="2" t="inlineStr"/>
    </row>
    <row r="194" ht="15" customHeight="1">
      <c r="A194" t="inlineStr">
        <is>
          <t>A 34207-2018</t>
        </is>
      </c>
      <c r="B194" s="1" t="n">
        <v>43318</v>
      </c>
      <c r="C194" s="1" t="n">
        <v>45294</v>
      </c>
      <c r="D194" t="inlineStr">
        <is>
          <t>GOTLANDS LÄN</t>
        </is>
      </c>
      <c r="E194" t="inlineStr">
        <is>
          <t>GOTLAND</t>
        </is>
      </c>
      <c r="G194" t="n">
        <v>10.2</v>
      </c>
      <c r="H194" t="n">
        <v>0</v>
      </c>
      <c r="I194" t="n">
        <v>0</v>
      </c>
      <c r="J194" t="n">
        <v>0</v>
      </c>
      <c r="K194" t="n">
        <v>0</v>
      </c>
      <c r="L194" t="n">
        <v>0</v>
      </c>
      <c r="M194" t="n">
        <v>0</v>
      </c>
      <c r="N194" t="n">
        <v>0</v>
      </c>
      <c r="O194" t="n">
        <v>0</v>
      </c>
      <c r="P194" t="n">
        <v>0</v>
      </c>
      <c r="Q194" t="n">
        <v>0</v>
      </c>
      <c r="R194" s="2" t="inlineStr"/>
    </row>
    <row r="195" ht="15" customHeight="1">
      <c r="A195" t="inlineStr">
        <is>
          <t>A 35982-2018</t>
        </is>
      </c>
      <c r="B195" s="1" t="n">
        <v>43327</v>
      </c>
      <c r="C195" s="1" t="n">
        <v>45294</v>
      </c>
      <c r="D195" t="inlineStr">
        <is>
          <t>GOTLANDS LÄN</t>
        </is>
      </c>
      <c r="E195" t="inlineStr">
        <is>
          <t>GOTLAND</t>
        </is>
      </c>
      <c r="G195" t="n">
        <v>1.8</v>
      </c>
      <c r="H195" t="n">
        <v>0</v>
      </c>
      <c r="I195" t="n">
        <v>0</v>
      </c>
      <c r="J195" t="n">
        <v>0</v>
      </c>
      <c r="K195" t="n">
        <v>0</v>
      </c>
      <c r="L195" t="n">
        <v>0</v>
      </c>
      <c r="M195" t="n">
        <v>0</v>
      </c>
      <c r="N195" t="n">
        <v>0</v>
      </c>
      <c r="O195" t="n">
        <v>0</v>
      </c>
      <c r="P195" t="n">
        <v>0</v>
      </c>
      <c r="Q195" t="n">
        <v>0</v>
      </c>
      <c r="R195" s="2" t="inlineStr"/>
    </row>
    <row r="196" ht="15" customHeight="1">
      <c r="A196" t="inlineStr">
        <is>
          <t>A 36382-2018</t>
        </is>
      </c>
      <c r="B196" s="1" t="n">
        <v>43328</v>
      </c>
      <c r="C196" s="1" t="n">
        <v>45294</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37717-2018</t>
        </is>
      </c>
      <c r="B197" s="1" t="n">
        <v>43335</v>
      </c>
      <c r="C197" s="1" t="n">
        <v>45294</v>
      </c>
      <c r="D197" t="inlineStr">
        <is>
          <t>GOTLANDS LÄN</t>
        </is>
      </c>
      <c r="E197" t="inlineStr">
        <is>
          <t>GOTLAND</t>
        </is>
      </c>
      <c r="G197" t="n">
        <v>1</v>
      </c>
      <c r="H197" t="n">
        <v>0</v>
      </c>
      <c r="I197" t="n">
        <v>0</v>
      </c>
      <c r="J197" t="n">
        <v>0</v>
      </c>
      <c r="K197" t="n">
        <v>0</v>
      </c>
      <c r="L197" t="n">
        <v>0</v>
      </c>
      <c r="M197" t="n">
        <v>0</v>
      </c>
      <c r="N197" t="n">
        <v>0</v>
      </c>
      <c r="O197" t="n">
        <v>0</v>
      </c>
      <c r="P197" t="n">
        <v>0</v>
      </c>
      <c r="Q197" t="n">
        <v>0</v>
      </c>
      <c r="R197" s="2" t="inlineStr"/>
    </row>
    <row r="198" ht="15" customHeight="1">
      <c r="A198" t="inlineStr">
        <is>
          <t>A 39580-2018</t>
        </is>
      </c>
      <c r="B198" s="1" t="n">
        <v>43341</v>
      </c>
      <c r="C198" s="1" t="n">
        <v>45294</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40674-2018</t>
        </is>
      </c>
      <c r="B199" s="1" t="n">
        <v>43346</v>
      </c>
      <c r="C199" s="1" t="n">
        <v>45294</v>
      </c>
      <c r="D199" t="inlineStr">
        <is>
          <t>GOTLANDS LÄN</t>
        </is>
      </c>
      <c r="E199" t="inlineStr">
        <is>
          <t>GOTLAND</t>
        </is>
      </c>
      <c r="F199" t="inlineStr">
        <is>
          <t>Kyrkan</t>
        </is>
      </c>
      <c r="G199" t="n">
        <v>2.5</v>
      </c>
      <c r="H199" t="n">
        <v>0</v>
      </c>
      <c r="I199" t="n">
        <v>0</v>
      </c>
      <c r="J199" t="n">
        <v>0</v>
      </c>
      <c r="K199" t="n">
        <v>0</v>
      </c>
      <c r="L199" t="n">
        <v>0</v>
      </c>
      <c r="M199" t="n">
        <v>0</v>
      </c>
      <c r="N199" t="n">
        <v>0</v>
      </c>
      <c r="O199" t="n">
        <v>0</v>
      </c>
      <c r="P199" t="n">
        <v>0</v>
      </c>
      <c r="Q199" t="n">
        <v>0</v>
      </c>
      <c r="R199" s="2" t="inlineStr"/>
    </row>
    <row r="200" ht="15" customHeight="1">
      <c r="A200" t="inlineStr">
        <is>
          <t>A 42641-2018</t>
        </is>
      </c>
      <c r="B200" s="1" t="n">
        <v>43354</v>
      </c>
      <c r="C200" s="1" t="n">
        <v>45294</v>
      </c>
      <c r="D200" t="inlineStr">
        <is>
          <t>GOTLANDS LÄN</t>
        </is>
      </c>
      <c r="E200" t="inlineStr">
        <is>
          <t>GOTLAND</t>
        </is>
      </c>
      <c r="G200" t="n">
        <v>3.5</v>
      </c>
      <c r="H200" t="n">
        <v>0</v>
      </c>
      <c r="I200" t="n">
        <v>0</v>
      </c>
      <c r="J200" t="n">
        <v>0</v>
      </c>
      <c r="K200" t="n">
        <v>0</v>
      </c>
      <c r="L200" t="n">
        <v>0</v>
      </c>
      <c r="M200" t="n">
        <v>0</v>
      </c>
      <c r="N200" t="n">
        <v>0</v>
      </c>
      <c r="O200" t="n">
        <v>0</v>
      </c>
      <c r="P200" t="n">
        <v>0</v>
      </c>
      <c r="Q200" t="n">
        <v>0</v>
      </c>
      <c r="R200" s="2" t="inlineStr"/>
    </row>
    <row r="201" ht="15" customHeight="1">
      <c r="A201" t="inlineStr">
        <is>
          <t>A 43221-2018</t>
        </is>
      </c>
      <c r="B201" s="1" t="n">
        <v>43354</v>
      </c>
      <c r="C201" s="1" t="n">
        <v>45294</v>
      </c>
      <c r="D201" t="inlineStr">
        <is>
          <t>GOTLANDS LÄN</t>
        </is>
      </c>
      <c r="E201" t="inlineStr">
        <is>
          <t>GOTLAND</t>
        </is>
      </c>
      <c r="G201" t="n">
        <v>0.9</v>
      </c>
      <c r="H201" t="n">
        <v>0</v>
      </c>
      <c r="I201" t="n">
        <v>0</v>
      </c>
      <c r="J201" t="n">
        <v>0</v>
      </c>
      <c r="K201" t="n">
        <v>0</v>
      </c>
      <c r="L201" t="n">
        <v>0</v>
      </c>
      <c r="M201" t="n">
        <v>0</v>
      </c>
      <c r="N201" t="n">
        <v>0</v>
      </c>
      <c r="O201" t="n">
        <v>0</v>
      </c>
      <c r="P201" t="n">
        <v>0</v>
      </c>
      <c r="Q201" t="n">
        <v>0</v>
      </c>
      <c r="R201" s="2" t="inlineStr"/>
    </row>
    <row r="202" ht="15" customHeight="1">
      <c r="A202" t="inlineStr">
        <is>
          <t>A 42634-2018</t>
        </is>
      </c>
      <c r="B202" s="1" t="n">
        <v>43354</v>
      </c>
      <c r="C202" s="1" t="n">
        <v>45294</v>
      </c>
      <c r="D202" t="inlineStr">
        <is>
          <t>GOTLANDS LÄN</t>
        </is>
      </c>
      <c r="E202" t="inlineStr">
        <is>
          <t>GOTLAND</t>
        </is>
      </c>
      <c r="G202" t="n">
        <v>11.3</v>
      </c>
      <c r="H202" t="n">
        <v>0</v>
      </c>
      <c r="I202" t="n">
        <v>0</v>
      </c>
      <c r="J202" t="n">
        <v>0</v>
      </c>
      <c r="K202" t="n">
        <v>0</v>
      </c>
      <c r="L202" t="n">
        <v>0</v>
      </c>
      <c r="M202" t="n">
        <v>0</v>
      </c>
      <c r="N202" t="n">
        <v>0</v>
      </c>
      <c r="O202" t="n">
        <v>0</v>
      </c>
      <c r="P202" t="n">
        <v>0</v>
      </c>
      <c r="Q202" t="n">
        <v>0</v>
      </c>
      <c r="R202" s="2" t="inlineStr"/>
    </row>
    <row r="203" ht="15" customHeight="1">
      <c r="A203" t="inlineStr">
        <is>
          <t>A 43409-2018</t>
        </is>
      </c>
      <c r="B203" s="1" t="n">
        <v>43356</v>
      </c>
      <c r="C203" s="1" t="n">
        <v>45294</v>
      </c>
      <c r="D203" t="inlineStr">
        <is>
          <t>GOTLANDS LÄN</t>
        </is>
      </c>
      <c r="E203" t="inlineStr">
        <is>
          <t>GOTLAND</t>
        </is>
      </c>
      <c r="G203" t="n">
        <v>3.7</v>
      </c>
      <c r="H203" t="n">
        <v>0</v>
      </c>
      <c r="I203" t="n">
        <v>0</v>
      </c>
      <c r="J203" t="n">
        <v>0</v>
      </c>
      <c r="K203" t="n">
        <v>0</v>
      </c>
      <c r="L203" t="n">
        <v>0</v>
      </c>
      <c r="M203" t="n">
        <v>0</v>
      </c>
      <c r="N203" t="n">
        <v>0</v>
      </c>
      <c r="O203" t="n">
        <v>0</v>
      </c>
      <c r="P203" t="n">
        <v>0</v>
      </c>
      <c r="Q203" t="n">
        <v>0</v>
      </c>
      <c r="R203" s="2" t="inlineStr"/>
    </row>
    <row r="204" ht="15" customHeight="1">
      <c r="A204" t="inlineStr">
        <is>
          <t>A 47092-2018</t>
        </is>
      </c>
      <c r="B204" s="1" t="n">
        <v>43369</v>
      </c>
      <c r="C204" s="1" t="n">
        <v>45294</v>
      </c>
      <c r="D204" t="inlineStr">
        <is>
          <t>GOTLANDS LÄN</t>
        </is>
      </c>
      <c r="E204" t="inlineStr">
        <is>
          <t>GOTLAND</t>
        </is>
      </c>
      <c r="G204" t="n">
        <v>4.5</v>
      </c>
      <c r="H204" t="n">
        <v>0</v>
      </c>
      <c r="I204" t="n">
        <v>0</v>
      </c>
      <c r="J204" t="n">
        <v>0</v>
      </c>
      <c r="K204" t="n">
        <v>0</v>
      </c>
      <c r="L204" t="n">
        <v>0</v>
      </c>
      <c r="M204" t="n">
        <v>0</v>
      </c>
      <c r="N204" t="n">
        <v>0</v>
      </c>
      <c r="O204" t="n">
        <v>0</v>
      </c>
      <c r="P204" t="n">
        <v>0</v>
      </c>
      <c r="Q204" t="n">
        <v>0</v>
      </c>
      <c r="R204" s="2" t="inlineStr"/>
    </row>
    <row r="205" ht="15" customHeight="1">
      <c r="A205" t="inlineStr">
        <is>
          <t>A 51725-2018</t>
        </is>
      </c>
      <c r="B205" s="1" t="n">
        <v>43382</v>
      </c>
      <c r="C205" s="1" t="n">
        <v>45294</v>
      </c>
      <c r="D205" t="inlineStr">
        <is>
          <t>GOTLANDS LÄN</t>
        </is>
      </c>
      <c r="E205" t="inlineStr">
        <is>
          <t>GOTLAND</t>
        </is>
      </c>
      <c r="G205" t="n">
        <v>9</v>
      </c>
      <c r="H205" t="n">
        <v>0</v>
      </c>
      <c r="I205" t="n">
        <v>0</v>
      </c>
      <c r="J205" t="n">
        <v>0</v>
      </c>
      <c r="K205" t="n">
        <v>0</v>
      </c>
      <c r="L205" t="n">
        <v>0</v>
      </c>
      <c r="M205" t="n">
        <v>0</v>
      </c>
      <c r="N205" t="n">
        <v>0</v>
      </c>
      <c r="O205" t="n">
        <v>0</v>
      </c>
      <c r="P205" t="n">
        <v>0</v>
      </c>
      <c r="Q205" t="n">
        <v>0</v>
      </c>
      <c r="R205" s="2" t="inlineStr"/>
    </row>
    <row r="206" ht="15" customHeight="1">
      <c r="A206" t="inlineStr">
        <is>
          <t>A 52308-2018</t>
        </is>
      </c>
      <c r="B206" s="1" t="n">
        <v>43388</v>
      </c>
      <c r="C206" s="1" t="n">
        <v>45294</v>
      </c>
      <c r="D206" t="inlineStr">
        <is>
          <t>GOTLANDS LÄN</t>
        </is>
      </c>
      <c r="E206" t="inlineStr">
        <is>
          <t>GOTLAND</t>
        </is>
      </c>
      <c r="G206" t="n">
        <v>3.3</v>
      </c>
      <c r="H206" t="n">
        <v>0</v>
      </c>
      <c r="I206" t="n">
        <v>0</v>
      </c>
      <c r="J206" t="n">
        <v>0</v>
      </c>
      <c r="K206" t="n">
        <v>0</v>
      </c>
      <c r="L206" t="n">
        <v>0</v>
      </c>
      <c r="M206" t="n">
        <v>0</v>
      </c>
      <c r="N206" t="n">
        <v>0</v>
      </c>
      <c r="O206" t="n">
        <v>0</v>
      </c>
      <c r="P206" t="n">
        <v>0</v>
      </c>
      <c r="Q206" t="n">
        <v>0</v>
      </c>
      <c r="R206" s="2" t="inlineStr"/>
    </row>
    <row r="207" ht="15" customHeight="1">
      <c r="A207" t="inlineStr">
        <is>
          <t>A 52305-2018</t>
        </is>
      </c>
      <c r="B207" s="1" t="n">
        <v>43388</v>
      </c>
      <c r="C207" s="1" t="n">
        <v>45294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53044-2018</t>
        </is>
      </c>
      <c r="B208" s="1" t="n">
        <v>43390</v>
      </c>
      <c r="C208" s="1" t="n">
        <v>45294</v>
      </c>
      <c r="D208" t="inlineStr">
        <is>
          <t>GOTLANDS LÄN</t>
        </is>
      </c>
      <c r="E208" t="inlineStr">
        <is>
          <t>GOTLAND</t>
        </is>
      </c>
      <c r="G208" t="n">
        <v>7.3</v>
      </c>
      <c r="H208" t="n">
        <v>0</v>
      </c>
      <c r="I208" t="n">
        <v>0</v>
      </c>
      <c r="J208" t="n">
        <v>0</v>
      </c>
      <c r="K208" t="n">
        <v>0</v>
      </c>
      <c r="L208" t="n">
        <v>0</v>
      </c>
      <c r="M208" t="n">
        <v>0</v>
      </c>
      <c r="N208" t="n">
        <v>0</v>
      </c>
      <c r="O208" t="n">
        <v>0</v>
      </c>
      <c r="P208" t="n">
        <v>0</v>
      </c>
      <c r="Q208" t="n">
        <v>0</v>
      </c>
      <c r="R208" s="2" t="inlineStr"/>
    </row>
    <row r="209" ht="15" customHeight="1">
      <c r="A209" t="inlineStr">
        <is>
          <t>A 55142-2018</t>
        </is>
      </c>
      <c r="B209" s="1" t="n">
        <v>43396</v>
      </c>
      <c r="C209" s="1" t="n">
        <v>45294</v>
      </c>
      <c r="D209" t="inlineStr">
        <is>
          <t>GOTLANDS LÄN</t>
        </is>
      </c>
      <c r="E209" t="inlineStr">
        <is>
          <t>GOTLAND</t>
        </is>
      </c>
      <c r="G209" t="n">
        <v>5.8</v>
      </c>
      <c r="H209" t="n">
        <v>0</v>
      </c>
      <c r="I209" t="n">
        <v>0</v>
      </c>
      <c r="J209" t="n">
        <v>0</v>
      </c>
      <c r="K209" t="n">
        <v>0</v>
      </c>
      <c r="L209" t="n">
        <v>0</v>
      </c>
      <c r="M209" t="n">
        <v>0</v>
      </c>
      <c r="N209" t="n">
        <v>0</v>
      </c>
      <c r="O209" t="n">
        <v>0</v>
      </c>
      <c r="P209" t="n">
        <v>0</v>
      </c>
      <c r="Q209" t="n">
        <v>0</v>
      </c>
      <c r="R209" s="2" t="inlineStr"/>
    </row>
    <row r="210" ht="15" customHeight="1">
      <c r="A210" t="inlineStr">
        <is>
          <t>A 54851-2018</t>
        </is>
      </c>
      <c r="B210" s="1" t="n">
        <v>43396</v>
      </c>
      <c r="C210" s="1" t="n">
        <v>45294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56472-2018</t>
        </is>
      </c>
      <c r="B211" s="1" t="n">
        <v>43399</v>
      </c>
      <c r="C211" s="1" t="n">
        <v>45294</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56793-2018</t>
        </is>
      </c>
      <c r="B212" s="1" t="n">
        <v>43402</v>
      </c>
      <c r="C212" s="1" t="n">
        <v>45294</v>
      </c>
      <c r="D212" t="inlineStr">
        <is>
          <t>GOTLANDS LÄN</t>
        </is>
      </c>
      <c r="E212" t="inlineStr">
        <is>
          <t>GOTLAND</t>
        </is>
      </c>
      <c r="G212" t="n">
        <v>7.9</v>
      </c>
      <c r="H212" t="n">
        <v>0</v>
      </c>
      <c r="I212" t="n">
        <v>0</v>
      </c>
      <c r="J212" t="n">
        <v>0</v>
      </c>
      <c r="K212" t="n">
        <v>0</v>
      </c>
      <c r="L212" t="n">
        <v>0</v>
      </c>
      <c r="M212" t="n">
        <v>0</v>
      </c>
      <c r="N212" t="n">
        <v>0</v>
      </c>
      <c r="O212" t="n">
        <v>0</v>
      </c>
      <c r="P212" t="n">
        <v>0</v>
      </c>
      <c r="Q212" t="n">
        <v>0</v>
      </c>
      <c r="R212" s="2" t="inlineStr"/>
    </row>
    <row r="213" ht="15" customHeight="1">
      <c r="A213" t="inlineStr">
        <is>
          <t>A 57850-2018</t>
        </is>
      </c>
      <c r="B213" s="1" t="n">
        <v>43405</v>
      </c>
      <c r="C213" s="1" t="n">
        <v>45294</v>
      </c>
      <c r="D213" t="inlineStr">
        <is>
          <t>GOTLANDS LÄN</t>
        </is>
      </c>
      <c r="E213" t="inlineStr">
        <is>
          <t>GOTLAND</t>
        </is>
      </c>
      <c r="G213" t="n">
        <v>12.3</v>
      </c>
      <c r="H213" t="n">
        <v>0</v>
      </c>
      <c r="I213" t="n">
        <v>0</v>
      </c>
      <c r="J213" t="n">
        <v>0</v>
      </c>
      <c r="K213" t="n">
        <v>0</v>
      </c>
      <c r="L213" t="n">
        <v>0</v>
      </c>
      <c r="M213" t="n">
        <v>0</v>
      </c>
      <c r="N213" t="n">
        <v>0</v>
      </c>
      <c r="O213" t="n">
        <v>0</v>
      </c>
      <c r="P213" t="n">
        <v>0</v>
      </c>
      <c r="Q213" t="n">
        <v>0</v>
      </c>
      <c r="R213" s="2" t="inlineStr"/>
    </row>
    <row r="214" ht="15" customHeight="1">
      <c r="A214" t="inlineStr">
        <is>
          <t>A 60371-2018</t>
        </is>
      </c>
      <c r="B214" s="1" t="n">
        <v>43406</v>
      </c>
      <c r="C214" s="1" t="n">
        <v>45294</v>
      </c>
      <c r="D214" t="inlineStr">
        <is>
          <t>GOTLANDS LÄN</t>
        </is>
      </c>
      <c r="E214" t="inlineStr">
        <is>
          <t>GOTLAND</t>
        </is>
      </c>
      <c r="G214" t="n">
        <v>3.6</v>
      </c>
      <c r="H214" t="n">
        <v>0</v>
      </c>
      <c r="I214" t="n">
        <v>0</v>
      </c>
      <c r="J214" t="n">
        <v>0</v>
      </c>
      <c r="K214" t="n">
        <v>0</v>
      </c>
      <c r="L214" t="n">
        <v>0</v>
      </c>
      <c r="M214" t="n">
        <v>0</v>
      </c>
      <c r="N214" t="n">
        <v>0</v>
      </c>
      <c r="O214" t="n">
        <v>0</v>
      </c>
      <c r="P214" t="n">
        <v>0</v>
      </c>
      <c r="Q214" t="n">
        <v>0</v>
      </c>
      <c r="R214" s="2" t="inlineStr"/>
    </row>
    <row r="215" ht="15" customHeight="1">
      <c r="A215" t="inlineStr">
        <is>
          <t>A 60822-2018</t>
        </is>
      </c>
      <c r="B215" s="1" t="n">
        <v>43410</v>
      </c>
      <c r="C215" s="1" t="n">
        <v>45294</v>
      </c>
      <c r="D215" t="inlineStr">
        <is>
          <t>GOTLANDS LÄN</t>
        </is>
      </c>
      <c r="E215" t="inlineStr">
        <is>
          <t>GOTLAND</t>
        </is>
      </c>
      <c r="G215" t="n">
        <v>3.6</v>
      </c>
      <c r="H215" t="n">
        <v>0</v>
      </c>
      <c r="I215" t="n">
        <v>0</v>
      </c>
      <c r="J215" t="n">
        <v>0</v>
      </c>
      <c r="K215" t="n">
        <v>0</v>
      </c>
      <c r="L215" t="n">
        <v>0</v>
      </c>
      <c r="M215" t="n">
        <v>0</v>
      </c>
      <c r="N215" t="n">
        <v>0</v>
      </c>
      <c r="O215" t="n">
        <v>0</v>
      </c>
      <c r="P215" t="n">
        <v>0</v>
      </c>
      <c r="Q215" t="n">
        <v>0</v>
      </c>
      <c r="R215" s="2" t="inlineStr"/>
    </row>
    <row r="216" ht="15" customHeight="1">
      <c r="A216" t="inlineStr">
        <is>
          <t>A 60820-2018</t>
        </is>
      </c>
      <c r="B216" s="1" t="n">
        <v>43410</v>
      </c>
      <c r="C216" s="1" t="n">
        <v>45294</v>
      </c>
      <c r="D216" t="inlineStr">
        <is>
          <t>GOTLANDS LÄN</t>
        </is>
      </c>
      <c r="E216" t="inlineStr">
        <is>
          <t>GOTLAND</t>
        </is>
      </c>
      <c r="G216" t="n">
        <v>2.9</v>
      </c>
      <c r="H216" t="n">
        <v>0</v>
      </c>
      <c r="I216" t="n">
        <v>0</v>
      </c>
      <c r="J216" t="n">
        <v>0</v>
      </c>
      <c r="K216" t="n">
        <v>0</v>
      </c>
      <c r="L216" t="n">
        <v>0</v>
      </c>
      <c r="M216" t="n">
        <v>0</v>
      </c>
      <c r="N216" t="n">
        <v>0</v>
      </c>
      <c r="O216" t="n">
        <v>0</v>
      </c>
      <c r="P216" t="n">
        <v>0</v>
      </c>
      <c r="Q216" t="n">
        <v>0</v>
      </c>
      <c r="R216" s="2" t="inlineStr"/>
    </row>
    <row r="217" ht="15" customHeight="1">
      <c r="A217" t="inlineStr">
        <is>
          <t>A 60095-2018</t>
        </is>
      </c>
      <c r="B217" s="1" t="n">
        <v>43412</v>
      </c>
      <c r="C217" s="1" t="n">
        <v>45294</v>
      </c>
      <c r="D217" t="inlineStr">
        <is>
          <t>GOTLANDS LÄN</t>
        </is>
      </c>
      <c r="E217" t="inlineStr">
        <is>
          <t>GOTLAND</t>
        </is>
      </c>
      <c r="G217" t="n">
        <v>3</v>
      </c>
      <c r="H217" t="n">
        <v>0</v>
      </c>
      <c r="I217" t="n">
        <v>0</v>
      </c>
      <c r="J217" t="n">
        <v>0</v>
      </c>
      <c r="K217" t="n">
        <v>0</v>
      </c>
      <c r="L217" t="n">
        <v>0</v>
      </c>
      <c r="M217" t="n">
        <v>0</v>
      </c>
      <c r="N217" t="n">
        <v>0</v>
      </c>
      <c r="O217" t="n">
        <v>0</v>
      </c>
      <c r="P217" t="n">
        <v>0</v>
      </c>
      <c r="Q217" t="n">
        <v>0</v>
      </c>
      <c r="R217" s="2" t="inlineStr"/>
    </row>
    <row r="218" ht="15" customHeight="1">
      <c r="A218" t="inlineStr">
        <is>
          <t>A 60096-2018</t>
        </is>
      </c>
      <c r="B218" s="1" t="n">
        <v>43412</v>
      </c>
      <c r="C218" s="1" t="n">
        <v>45294</v>
      </c>
      <c r="D218" t="inlineStr">
        <is>
          <t>GOTLANDS LÄN</t>
        </is>
      </c>
      <c r="E218" t="inlineStr">
        <is>
          <t>GOTLAND</t>
        </is>
      </c>
      <c r="G218" t="n">
        <v>3.4</v>
      </c>
      <c r="H218" t="n">
        <v>0</v>
      </c>
      <c r="I218" t="n">
        <v>0</v>
      </c>
      <c r="J218" t="n">
        <v>0</v>
      </c>
      <c r="K218" t="n">
        <v>0</v>
      </c>
      <c r="L218" t="n">
        <v>0</v>
      </c>
      <c r="M218" t="n">
        <v>0</v>
      </c>
      <c r="N218" t="n">
        <v>0</v>
      </c>
      <c r="O218" t="n">
        <v>0</v>
      </c>
      <c r="P218" t="n">
        <v>0</v>
      </c>
      <c r="Q218" t="n">
        <v>0</v>
      </c>
      <c r="R218" s="2" t="inlineStr"/>
    </row>
    <row r="219" ht="15" customHeight="1">
      <c r="A219" t="inlineStr">
        <is>
          <t>A 60076-2018</t>
        </is>
      </c>
      <c r="B219" s="1" t="n">
        <v>43412</v>
      </c>
      <c r="C219" s="1" t="n">
        <v>45294</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59365-2018</t>
        </is>
      </c>
      <c r="B220" s="1" t="n">
        <v>43418</v>
      </c>
      <c r="C220" s="1" t="n">
        <v>45294</v>
      </c>
      <c r="D220" t="inlineStr">
        <is>
          <t>GOTLANDS LÄN</t>
        </is>
      </c>
      <c r="E220" t="inlineStr">
        <is>
          <t>GOTLAND</t>
        </is>
      </c>
      <c r="G220" t="n">
        <v>1</v>
      </c>
      <c r="H220" t="n">
        <v>0</v>
      </c>
      <c r="I220" t="n">
        <v>0</v>
      </c>
      <c r="J220" t="n">
        <v>0</v>
      </c>
      <c r="K220" t="n">
        <v>0</v>
      </c>
      <c r="L220" t="n">
        <v>0</v>
      </c>
      <c r="M220" t="n">
        <v>0</v>
      </c>
      <c r="N220" t="n">
        <v>0</v>
      </c>
      <c r="O220" t="n">
        <v>0</v>
      </c>
      <c r="P220" t="n">
        <v>0</v>
      </c>
      <c r="Q220" t="n">
        <v>0</v>
      </c>
      <c r="R220" s="2" t="inlineStr"/>
    </row>
    <row r="221" ht="15" customHeight="1">
      <c r="A221" t="inlineStr">
        <is>
          <t>A 61018-2018</t>
        </is>
      </c>
      <c r="B221" s="1" t="n">
        <v>43423</v>
      </c>
      <c r="C221" s="1" t="n">
        <v>45294</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62168-2018</t>
        </is>
      </c>
      <c r="B222" s="1" t="n">
        <v>43425</v>
      </c>
      <c r="C222" s="1" t="n">
        <v>45294</v>
      </c>
      <c r="D222" t="inlineStr">
        <is>
          <t>GOTLANDS LÄN</t>
        </is>
      </c>
      <c r="E222" t="inlineStr">
        <is>
          <t>GOTLAND</t>
        </is>
      </c>
      <c r="G222" t="n">
        <v>4</v>
      </c>
      <c r="H222" t="n">
        <v>0</v>
      </c>
      <c r="I222" t="n">
        <v>0</v>
      </c>
      <c r="J222" t="n">
        <v>0</v>
      </c>
      <c r="K222" t="n">
        <v>0</v>
      </c>
      <c r="L222" t="n">
        <v>0</v>
      </c>
      <c r="M222" t="n">
        <v>0</v>
      </c>
      <c r="N222" t="n">
        <v>0</v>
      </c>
      <c r="O222" t="n">
        <v>0</v>
      </c>
      <c r="P222" t="n">
        <v>0</v>
      </c>
      <c r="Q222" t="n">
        <v>0</v>
      </c>
      <c r="R222" s="2" t="inlineStr"/>
    </row>
    <row r="223" ht="15" customHeight="1">
      <c r="A223" t="inlineStr">
        <is>
          <t>A 62578-2018</t>
        </is>
      </c>
      <c r="B223" s="1" t="n">
        <v>43426</v>
      </c>
      <c r="C223" s="1" t="n">
        <v>45294</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63311-2018</t>
        </is>
      </c>
      <c r="B224" s="1" t="n">
        <v>43427</v>
      </c>
      <c r="C224" s="1" t="n">
        <v>45294</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65399-2018</t>
        </is>
      </c>
      <c r="B225" s="1" t="n">
        <v>43432</v>
      </c>
      <c r="C225" s="1" t="n">
        <v>45294</v>
      </c>
      <c r="D225" t="inlineStr">
        <is>
          <t>GOTLANDS LÄN</t>
        </is>
      </c>
      <c r="E225" t="inlineStr">
        <is>
          <t>GOTLAND</t>
        </is>
      </c>
      <c r="G225" t="n">
        <v>5</v>
      </c>
      <c r="H225" t="n">
        <v>0</v>
      </c>
      <c r="I225" t="n">
        <v>0</v>
      </c>
      <c r="J225" t="n">
        <v>0</v>
      </c>
      <c r="K225" t="n">
        <v>0</v>
      </c>
      <c r="L225" t="n">
        <v>0</v>
      </c>
      <c r="M225" t="n">
        <v>0</v>
      </c>
      <c r="N225" t="n">
        <v>0</v>
      </c>
      <c r="O225" t="n">
        <v>0</v>
      </c>
      <c r="P225" t="n">
        <v>0</v>
      </c>
      <c r="Q225" t="n">
        <v>0</v>
      </c>
      <c r="R225" s="2" t="inlineStr"/>
    </row>
    <row r="226" ht="15" customHeight="1">
      <c r="A226" t="inlineStr">
        <is>
          <t>A 68437-2018</t>
        </is>
      </c>
      <c r="B226" s="1" t="n">
        <v>43438</v>
      </c>
      <c r="C226" s="1" t="n">
        <v>45294</v>
      </c>
      <c r="D226" t="inlineStr">
        <is>
          <t>GOTLANDS LÄN</t>
        </is>
      </c>
      <c r="E226" t="inlineStr">
        <is>
          <t>GOTLAND</t>
        </is>
      </c>
      <c r="G226" t="n">
        <v>11.5</v>
      </c>
      <c r="H226" t="n">
        <v>0</v>
      </c>
      <c r="I226" t="n">
        <v>0</v>
      </c>
      <c r="J226" t="n">
        <v>0</v>
      </c>
      <c r="K226" t="n">
        <v>0</v>
      </c>
      <c r="L226" t="n">
        <v>0</v>
      </c>
      <c r="M226" t="n">
        <v>0</v>
      </c>
      <c r="N226" t="n">
        <v>0</v>
      </c>
      <c r="O226" t="n">
        <v>0</v>
      </c>
      <c r="P226" t="n">
        <v>0</v>
      </c>
      <c r="Q226" t="n">
        <v>0</v>
      </c>
      <c r="R226" s="2" t="inlineStr"/>
    </row>
    <row r="227" ht="15" customHeight="1">
      <c r="A227" t="inlineStr">
        <is>
          <t>A 67938-2018</t>
        </is>
      </c>
      <c r="B227" s="1" t="n">
        <v>43440</v>
      </c>
      <c r="C227" s="1" t="n">
        <v>45294</v>
      </c>
      <c r="D227" t="inlineStr">
        <is>
          <t>GOTLANDS LÄN</t>
        </is>
      </c>
      <c r="E227" t="inlineStr">
        <is>
          <t>GOTLAND</t>
        </is>
      </c>
      <c r="G227" t="n">
        <v>0.8</v>
      </c>
      <c r="H227" t="n">
        <v>0</v>
      </c>
      <c r="I227" t="n">
        <v>0</v>
      </c>
      <c r="J227" t="n">
        <v>0</v>
      </c>
      <c r="K227" t="n">
        <v>0</v>
      </c>
      <c r="L227" t="n">
        <v>0</v>
      </c>
      <c r="M227" t="n">
        <v>0</v>
      </c>
      <c r="N227" t="n">
        <v>0</v>
      </c>
      <c r="O227" t="n">
        <v>0</v>
      </c>
      <c r="P227" t="n">
        <v>0</v>
      </c>
      <c r="Q227" t="n">
        <v>0</v>
      </c>
      <c r="R227" s="2" t="inlineStr"/>
    </row>
    <row r="228" ht="15" customHeight="1">
      <c r="A228" t="inlineStr">
        <is>
          <t>A 69073-2018</t>
        </is>
      </c>
      <c r="B228" s="1" t="n">
        <v>43441</v>
      </c>
      <c r="C228" s="1" t="n">
        <v>45294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68495-2018</t>
        </is>
      </c>
      <c r="B229" s="1" t="n">
        <v>43442</v>
      </c>
      <c r="C229" s="1" t="n">
        <v>45294</v>
      </c>
      <c r="D229" t="inlineStr">
        <is>
          <t>GOTLANDS LÄN</t>
        </is>
      </c>
      <c r="E229" t="inlineStr">
        <is>
          <t>GOTLAND</t>
        </is>
      </c>
      <c r="G229" t="n">
        <v>7.6</v>
      </c>
      <c r="H229" t="n">
        <v>0</v>
      </c>
      <c r="I229" t="n">
        <v>0</v>
      </c>
      <c r="J229" t="n">
        <v>0</v>
      </c>
      <c r="K229" t="n">
        <v>0</v>
      </c>
      <c r="L229" t="n">
        <v>0</v>
      </c>
      <c r="M229" t="n">
        <v>0</v>
      </c>
      <c r="N229" t="n">
        <v>0</v>
      </c>
      <c r="O229" t="n">
        <v>0</v>
      </c>
      <c r="P229" t="n">
        <v>0</v>
      </c>
      <c r="Q229" t="n">
        <v>0</v>
      </c>
      <c r="R229" s="2" t="inlineStr"/>
    </row>
    <row r="230" ht="15" customHeight="1">
      <c r="A230" t="inlineStr">
        <is>
          <t>A 70493-2018</t>
        </is>
      </c>
      <c r="B230" s="1" t="n">
        <v>43447</v>
      </c>
      <c r="C230" s="1" t="n">
        <v>45294</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69713-2018</t>
        </is>
      </c>
      <c r="B231" s="1" t="n">
        <v>43447</v>
      </c>
      <c r="C231" s="1" t="n">
        <v>45294</v>
      </c>
      <c r="D231" t="inlineStr">
        <is>
          <t>GOTLANDS LÄN</t>
        </is>
      </c>
      <c r="E231" t="inlineStr">
        <is>
          <t>GOTLAND</t>
        </is>
      </c>
      <c r="G231" t="n">
        <v>16.3</v>
      </c>
      <c r="H231" t="n">
        <v>0</v>
      </c>
      <c r="I231" t="n">
        <v>0</v>
      </c>
      <c r="J231" t="n">
        <v>0</v>
      </c>
      <c r="K231" t="n">
        <v>0</v>
      </c>
      <c r="L231" t="n">
        <v>0</v>
      </c>
      <c r="M231" t="n">
        <v>0</v>
      </c>
      <c r="N231" t="n">
        <v>0</v>
      </c>
      <c r="O231" t="n">
        <v>0</v>
      </c>
      <c r="P231" t="n">
        <v>0</v>
      </c>
      <c r="Q231" t="n">
        <v>0</v>
      </c>
      <c r="R231" s="2" t="inlineStr"/>
    </row>
    <row r="232" ht="15" customHeight="1">
      <c r="A232" t="inlineStr">
        <is>
          <t>A 70561-2018</t>
        </is>
      </c>
      <c r="B232" s="1" t="n">
        <v>43451</v>
      </c>
      <c r="C232" s="1" t="n">
        <v>45294</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70588-2018</t>
        </is>
      </c>
      <c r="B233" s="1" t="n">
        <v>43451</v>
      </c>
      <c r="C233" s="1" t="n">
        <v>45294</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71249-2018</t>
        </is>
      </c>
      <c r="B234" s="1" t="n">
        <v>43453</v>
      </c>
      <c r="C234" s="1" t="n">
        <v>45294</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72457-2018</t>
        </is>
      </c>
      <c r="B235" s="1" t="n">
        <v>43461</v>
      </c>
      <c r="C235" s="1" t="n">
        <v>45294</v>
      </c>
      <c r="D235" t="inlineStr">
        <is>
          <t>GOTLANDS LÄN</t>
        </is>
      </c>
      <c r="E235" t="inlineStr">
        <is>
          <t>GOTLAND</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1456-2019</t>
        </is>
      </c>
      <c r="B236" s="1" t="n">
        <v>43473</v>
      </c>
      <c r="C236" s="1" t="n">
        <v>45294</v>
      </c>
      <c r="D236" t="inlineStr">
        <is>
          <t>GOTLANDS LÄN</t>
        </is>
      </c>
      <c r="E236" t="inlineStr">
        <is>
          <t>GOTLAND</t>
        </is>
      </c>
      <c r="G236" t="n">
        <v>1.6</v>
      </c>
      <c r="H236" t="n">
        <v>0</v>
      </c>
      <c r="I236" t="n">
        <v>0</v>
      </c>
      <c r="J236" t="n">
        <v>0</v>
      </c>
      <c r="K236" t="n">
        <v>0</v>
      </c>
      <c r="L236" t="n">
        <v>0</v>
      </c>
      <c r="M236" t="n">
        <v>0</v>
      </c>
      <c r="N236" t="n">
        <v>0</v>
      </c>
      <c r="O236" t="n">
        <v>0</v>
      </c>
      <c r="P236" t="n">
        <v>0</v>
      </c>
      <c r="Q236" t="n">
        <v>0</v>
      </c>
      <c r="R236" s="2" t="inlineStr"/>
    </row>
    <row r="237" ht="15" customHeight="1">
      <c r="A237" t="inlineStr">
        <is>
          <t>A 1674-2019</t>
        </is>
      </c>
      <c r="B237" s="1" t="n">
        <v>43474</v>
      </c>
      <c r="C237" s="1" t="n">
        <v>45294</v>
      </c>
      <c r="D237" t="inlineStr">
        <is>
          <t>GOTLANDS LÄN</t>
        </is>
      </c>
      <c r="E237" t="inlineStr">
        <is>
          <t>GOTLAND</t>
        </is>
      </c>
      <c r="G237" t="n">
        <v>15.6</v>
      </c>
      <c r="H237" t="n">
        <v>0</v>
      </c>
      <c r="I237" t="n">
        <v>0</v>
      </c>
      <c r="J237" t="n">
        <v>0</v>
      </c>
      <c r="K237" t="n">
        <v>0</v>
      </c>
      <c r="L237" t="n">
        <v>0</v>
      </c>
      <c r="M237" t="n">
        <v>0</v>
      </c>
      <c r="N237" t="n">
        <v>0</v>
      </c>
      <c r="O237" t="n">
        <v>0</v>
      </c>
      <c r="P237" t="n">
        <v>0</v>
      </c>
      <c r="Q237" t="n">
        <v>0</v>
      </c>
      <c r="R237" s="2" t="inlineStr"/>
    </row>
    <row r="238" ht="15" customHeight="1">
      <c r="A238" t="inlineStr">
        <is>
          <t>A 2120-2019</t>
        </is>
      </c>
      <c r="B238" s="1" t="n">
        <v>43475</v>
      </c>
      <c r="C238" s="1" t="n">
        <v>45294</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2152-2019</t>
        </is>
      </c>
      <c r="B239" s="1" t="n">
        <v>43475</v>
      </c>
      <c r="C239" s="1" t="n">
        <v>45294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4196-2019</t>
        </is>
      </c>
      <c r="B240" s="1" t="n">
        <v>43483</v>
      </c>
      <c r="C240" s="1" t="n">
        <v>45294</v>
      </c>
      <c r="D240" t="inlineStr">
        <is>
          <t>GOTLANDS LÄN</t>
        </is>
      </c>
      <c r="E240" t="inlineStr">
        <is>
          <t>GOTLAND</t>
        </is>
      </c>
      <c r="G240" t="n">
        <v>0.8</v>
      </c>
      <c r="H240" t="n">
        <v>0</v>
      </c>
      <c r="I240" t="n">
        <v>0</v>
      </c>
      <c r="J240" t="n">
        <v>0</v>
      </c>
      <c r="K240" t="n">
        <v>0</v>
      </c>
      <c r="L240" t="n">
        <v>0</v>
      </c>
      <c r="M240" t="n">
        <v>0</v>
      </c>
      <c r="N240" t="n">
        <v>0</v>
      </c>
      <c r="O240" t="n">
        <v>0</v>
      </c>
      <c r="P240" t="n">
        <v>0</v>
      </c>
      <c r="Q240" t="n">
        <v>0</v>
      </c>
      <c r="R240" s="2" t="inlineStr"/>
    </row>
    <row r="241" ht="15" customHeight="1">
      <c r="A241" t="inlineStr">
        <is>
          <t>A 4479-2019</t>
        </is>
      </c>
      <c r="B241" s="1" t="n">
        <v>43486</v>
      </c>
      <c r="C241" s="1" t="n">
        <v>45294</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6428-2019</t>
        </is>
      </c>
      <c r="B242" s="1" t="n">
        <v>43486</v>
      </c>
      <c r="C242" s="1" t="n">
        <v>45294</v>
      </c>
      <c r="D242" t="inlineStr">
        <is>
          <t>GOTLANDS LÄN</t>
        </is>
      </c>
      <c r="E242" t="inlineStr">
        <is>
          <t>GOTLAND</t>
        </is>
      </c>
      <c r="G242" t="n">
        <v>4.4</v>
      </c>
      <c r="H242" t="n">
        <v>0</v>
      </c>
      <c r="I242" t="n">
        <v>0</v>
      </c>
      <c r="J242" t="n">
        <v>0</v>
      </c>
      <c r="K242" t="n">
        <v>0</v>
      </c>
      <c r="L242" t="n">
        <v>0</v>
      </c>
      <c r="M242" t="n">
        <v>0</v>
      </c>
      <c r="N242" t="n">
        <v>0</v>
      </c>
      <c r="O242" t="n">
        <v>0</v>
      </c>
      <c r="P242" t="n">
        <v>0</v>
      </c>
      <c r="Q242" t="n">
        <v>0</v>
      </c>
      <c r="R242" s="2" t="inlineStr"/>
    </row>
    <row r="243" ht="15" customHeight="1">
      <c r="A243" t="inlineStr">
        <is>
          <t>A 5511-2019</t>
        </is>
      </c>
      <c r="B243" s="1" t="n">
        <v>43489</v>
      </c>
      <c r="C243" s="1" t="n">
        <v>45294</v>
      </c>
      <c r="D243" t="inlineStr">
        <is>
          <t>GOTLANDS LÄN</t>
        </is>
      </c>
      <c r="E243" t="inlineStr">
        <is>
          <t>GOTLAND</t>
        </is>
      </c>
      <c r="G243" t="n">
        <v>0.2</v>
      </c>
      <c r="H243" t="n">
        <v>0</v>
      </c>
      <c r="I243" t="n">
        <v>0</v>
      </c>
      <c r="J243" t="n">
        <v>0</v>
      </c>
      <c r="K243" t="n">
        <v>0</v>
      </c>
      <c r="L243" t="n">
        <v>0</v>
      </c>
      <c r="M243" t="n">
        <v>0</v>
      </c>
      <c r="N243" t="n">
        <v>0</v>
      </c>
      <c r="O243" t="n">
        <v>0</v>
      </c>
      <c r="P243" t="n">
        <v>0</v>
      </c>
      <c r="Q243" t="n">
        <v>0</v>
      </c>
      <c r="R243" s="2" t="inlineStr"/>
    </row>
    <row r="244" ht="15" customHeight="1">
      <c r="A244" t="inlineStr">
        <is>
          <t>A 6013-2019</t>
        </is>
      </c>
      <c r="B244" s="1" t="n">
        <v>43493</v>
      </c>
      <c r="C244" s="1" t="n">
        <v>45294</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6061-2019</t>
        </is>
      </c>
      <c r="B245" s="1" t="n">
        <v>43493</v>
      </c>
      <c r="C245" s="1" t="n">
        <v>45294</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6116-2019</t>
        </is>
      </c>
      <c r="B246" s="1" t="n">
        <v>43493</v>
      </c>
      <c r="C246" s="1" t="n">
        <v>45294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6382-2019</t>
        </is>
      </c>
      <c r="B247" s="1" t="n">
        <v>43493</v>
      </c>
      <c r="C247" s="1" t="n">
        <v>45294</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6293-2019</t>
        </is>
      </c>
      <c r="B248" s="1" t="n">
        <v>43493</v>
      </c>
      <c r="C248" s="1" t="n">
        <v>45294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8251-2019</t>
        </is>
      </c>
      <c r="B249" s="1" t="n">
        <v>43501</v>
      </c>
      <c r="C249" s="1" t="n">
        <v>45294</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8252-2019</t>
        </is>
      </c>
      <c r="B250" s="1" t="n">
        <v>43501</v>
      </c>
      <c r="C250" s="1" t="n">
        <v>45294</v>
      </c>
      <c r="D250" t="inlineStr">
        <is>
          <t>GOTLANDS LÄN</t>
        </is>
      </c>
      <c r="E250" t="inlineStr">
        <is>
          <t>GOTLAND</t>
        </is>
      </c>
      <c r="G250" t="n">
        <v>5.8</v>
      </c>
      <c r="H250" t="n">
        <v>0</v>
      </c>
      <c r="I250" t="n">
        <v>0</v>
      </c>
      <c r="J250" t="n">
        <v>0</v>
      </c>
      <c r="K250" t="n">
        <v>0</v>
      </c>
      <c r="L250" t="n">
        <v>0</v>
      </c>
      <c r="M250" t="n">
        <v>0</v>
      </c>
      <c r="N250" t="n">
        <v>0</v>
      </c>
      <c r="O250" t="n">
        <v>0</v>
      </c>
      <c r="P250" t="n">
        <v>0</v>
      </c>
      <c r="Q250" t="n">
        <v>0</v>
      </c>
      <c r="R250" s="2" t="inlineStr"/>
    </row>
    <row r="251" ht="15" customHeight="1">
      <c r="A251" t="inlineStr">
        <is>
          <t>A 8576-2019</t>
        </is>
      </c>
      <c r="B251" s="1" t="n">
        <v>43502</v>
      </c>
      <c r="C251" s="1" t="n">
        <v>45294</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8588-2019</t>
        </is>
      </c>
      <c r="B252" s="1" t="n">
        <v>43502</v>
      </c>
      <c r="C252" s="1" t="n">
        <v>45294</v>
      </c>
      <c r="D252" t="inlineStr">
        <is>
          <t>GOTLANDS LÄN</t>
        </is>
      </c>
      <c r="E252" t="inlineStr">
        <is>
          <t>GOTLAND</t>
        </is>
      </c>
      <c r="G252" t="n">
        <v>6.6</v>
      </c>
      <c r="H252" t="n">
        <v>0</v>
      </c>
      <c r="I252" t="n">
        <v>0</v>
      </c>
      <c r="J252" t="n">
        <v>0</v>
      </c>
      <c r="K252" t="n">
        <v>0</v>
      </c>
      <c r="L252" t="n">
        <v>0</v>
      </c>
      <c r="M252" t="n">
        <v>0</v>
      </c>
      <c r="N252" t="n">
        <v>0</v>
      </c>
      <c r="O252" t="n">
        <v>0</v>
      </c>
      <c r="P252" t="n">
        <v>0</v>
      </c>
      <c r="Q252" t="n">
        <v>0</v>
      </c>
      <c r="R252" s="2" t="inlineStr"/>
    </row>
    <row r="253" ht="15" customHeight="1">
      <c r="A253" t="inlineStr">
        <is>
          <t>A 8840-2019</t>
        </is>
      </c>
      <c r="B253" s="1" t="n">
        <v>43503</v>
      </c>
      <c r="C253" s="1" t="n">
        <v>45294</v>
      </c>
      <c r="D253" t="inlineStr">
        <is>
          <t>GOTLANDS LÄN</t>
        </is>
      </c>
      <c r="E253" t="inlineStr">
        <is>
          <t>GOTLAND</t>
        </is>
      </c>
      <c r="G253" t="n">
        <v>3.5</v>
      </c>
      <c r="H253" t="n">
        <v>0</v>
      </c>
      <c r="I253" t="n">
        <v>0</v>
      </c>
      <c r="J253" t="n">
        <v>0</v>
      </c>
      <c r="K253" t="n">
        <v>0</v>
      </c>
      <c r="L253" t="n">
        <v>0</v>
      </c>
      <c r="M253" t="n">
        <v>0</v>
      </c>
      <c r="N253" t="n">
        <v>0</v>
      </c>
      <c r="O253" t="n">
        <v>0</v>
      </c>
      <c r="P253" t="n">
        <v>0</v>
      </c>
      <c r="Q253" t="n">
        <v>0</v>
      </c>
      <c r="R253" s="2" t="inlineStr"/>
    </row>
    <row r="254" ht="15" customHeight="1">
      <c r="A254" t="inlineStr">
        <is>
          <t>A 8853-2019</t>
        </is>
      </c>
      <c r="B254" s="1" t="n">
        <v>43503</v>
      </c>
      <c r="C254" s="1" t="n">
        <v>45294</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8847-2019</t>
        </is>
      </c>
      <c r="B255" s="1" t="n">
        <v>43503</v>
      </c>
      <c r="C255" s="1" t="n">
        <v>45294</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11175-2019</t>
        </is>
      </c>
      <c r="B256" s="1" t="n">
        <v>43516</v>
      </c>
      <c r="C256" s="1" t="n">
        <v>45294</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11441-2019</t>
        </is>
      </c>
      <c r="B257" s="1" t="n">
        <v>43517</v>
      </c>
      <c r="C257" s="1" t="n">
        <v>45294</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12234-2019</t>
        </is>
      </c>
      <c r="B258" s="1" t="n">
        <v>43522</v>
      </c>
      <c r="C258" s="1" t="n">
        <v>45294</v>
      </c>
      <c r="D258" t="inlineStr">
        <is>
          <t>GOTLANDS LÄN</t>
        </is>
      </c>
      <c r="E258" t="inlineStr">
        <is>
          <t>GOTLAND</t>
        </is>
      </c>
      <c r="F258" t="inlineStr">
        <is>
          <t>Kyrkan</t>
        </is>
      </c>
      <c r="G258" t="n">
        <v>10.4</v>
      </c>
      <c r="H258" t="n">
        <v>0</v>
      </c>
      <c r="I258" t="n">
        <v>0</v>
      </c>
      <c r="J258" t="n">
        <v>0</v>
      </c>
      <c r="K258" t="n">
        <v>0</v>
      </c>
      <c r="L258" t="n">
        <v>0</v>
      </c>
      <c r="M258" t="n">
        <v>0</v>
      </c>
      <c r="N258" t="n">
        <v>0</v>
      </c>
      <c r="O258" t="n">
        <v>0</v>
      </c>
      <c r="P258" t="n">
        <v>0</v>
      </c>
      <c r="Q258" t="n">
        <v>0</v>
      </c>
      <c r="R258" s="2" t="inlineStr"/>
    </row>
    <row r="259" ht="15" customHeight="1">
      <c r="A259" t="inlineStr">
        <is>
          <t>A 12560-2019</t>
        </is>
      </c>
      <c r="B259" s="1" t="n">
        <v>43524</v>
      </c>
      <c r="C259" s="1" t="n">
        <v>45294</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14144-2019</t>
        </is>
      </c>
      <c r="B260" s="1" t="n">
        <v>43532</v>
      </c>
      <c r="C260" s="1" t="n">
        <v>45294</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14717-2019</t>
        </is>
      </c>
      <c r="B261" s="1" t="n">
        <v>43535</v>
      </c>
      <c r="C261" s="1" t="n">
        <v>45294</v>
      </c>
      <c r="D261" t="inlineStr">
        <is>
          <t>GOTLANDS LÄN</t>
        </is>
      </c>
      <c r="E261" t="inlineStr">
        <is>
          <t>GOTLAND</t>
        </is>
      </c>
      <c r="G261" t="n">
        <v>6.1</v>
      </c>
      <c r="H261" t="n">
        <v>0</v>
      </c>
      <c r="I261" t="n">
        <v>0</v>
      </c>
      <c r="J261" t="n">
        <v>0</v>
      </c>
      <c r="K261" t="n">
        <v>0</v>
      </c>
      <c r="L261" t="n">
        <v>0</v>
      </c>
      <c r="M261" t="n">
        <v>0</v>
      </c>
      <c r="N261" t="n">
        <v>0</v>
      </c>
      <c r="O261" t="n">
        <v>0</v>
      </c>
      <c r="P261" t="n">
        <v>0</v>
      </c>
      <c r="Q261" t="n">
        <v>0</v>
      </c>
      <c r="R261" s="2" t="inlineStr"/>
    </row>
    <row r="262" ht="15" customHeight="1">
      <c r="A262" t="inlineStr">
        <is>
          <t>A 14356-2019</t>
        </is>
      </c>
      <c r="B262" s="1" t="n">
        <v>43536</v>
      </c>
      <c r="C262" s="1" t="n">
        <v>45294</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14237-2019</t>
        </is>
      </c>
      <c r="B263" s="1" t="n">
        <v>43536</v>
      </c>
      <c r="C263" s="1" t="n">
        <v>45294</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14771-2019</t>
        </is>
      </c>
      <c r="B264" s="1" t="n">
        <v>43537</v>
      </c>
      <c r="C264" s="1" t="n">
        <v>45294</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14960-2019</t>
        </is>
      </c>
      <c r="B265" s="1" t="n">
        <v>43538</v>
      </c>
      <c r="C265" s="1" t="n">
        <v>45294</v>
      </c>
      <c r="D265" t="inlineStr">
        <is>
          <t>GOTLANDS LÄN</t>
        </is>
      </c>
      <c r="E265" t="inlineStr">
        <is>
          <t>GOTLAND</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14830-2019</t>
        </is>
      </c>
      <c r="B266" s="1" t="n">
        <v>43538</v>
      </c>
      <c r="C266" s="1" t="n">
        <v>45294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15947-2019</t>
        </is>
      </c>
      <c r="B267" s="1" t="n">
        <v>43544</v>
      </c>
      <c r="C267" s="1" t="n">
        <v>45294</v>
      </c>
      <c r="D267" t="inlineStr">
        <is>
          <t>GOTLANDS LÄN</t>
        </is>
      </c>
      <c r="E267" t="inlineStr">
        <is>
          <t>GOTLAND</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16436-2019</t>
        </is>
      </c>
      <c r="B268" s="1" t="n">
        <v>43546</v>
      </c>
      <c r="C268" s="1" t="n">
        <v>45294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16590-2019</t>
        </is>
      </c>
      <c r="B269" s="1" t="n">
        <v>43549</v>
      </c>
      <c r="C269" s="1" t="n">
        <v>45294</v>
      </c>
      <c r="D269" t="inlineStr">
        <is>
          <t>GOTLANDS LÄN</t>
        </is>
      </c>
      <c r="E269" t="inlineStr">
        <is>
          <t>GOTLAND</t>
        </is>
      </c>
      <c r="F269" t="inlineStr">
        <is>
          <t>Kyrkan</t>
        </is>
      </c>
      <c r="G269" t="n">
        <v>1.7</v>
      </c>
      <c r="H269" t="n">
        <v>0</v>
      </c>
      <c r="I269" t="n">
        <v>0</v>
      </c>
      <c r="J269" t="n">
        <v>0</v>
      </c>
      <c r="K269" t="n">
        <v>0</v>
      </c>
      <c r="L269" t="n">
        <v>0</v>
      </c>
      <c r="M269" t="n">
        <v>0</v>
      </c>
      <c r="N269" t="n">
        <v>0</v>
      </c>
      <c r="O269" t="n">
        <v>0</v>
      </c>
      <c r="P269" t="n">
        <v>0</v>
      </c>
      <c r="Q269" t="n">
        <v>0</v>
      </c>
      <c r="R269" s="2" t="inlineStr"/>
    </row>
    <row r="270" ht="15" customHeight="1">
      <c r="A270" t="inlineStr">
        <is>
          <t>A 17371-2019</t>
        </is>
      </c>
      <c r="B270" s="1" t="n">
        <v>43552</v>
      </c>
      <c r="C270" s="1" t="n">
        <v>45294</v>
      </c>
      <c r="D270" t="inlineStr">
        <is>
          <t>GOTLANDS LÄN</t>
        </is>
      </c>
      <c r="E270" t="inlineStr">
        <is>
          <t>GOTLAND</t>
        </is>
      </c>
      <c r="G270" t="n">
        <v>3.3</v>
      </c>
      <c r="H270" t="n">
        <v>0</v>
      </c>
      <c r="I270" t="n">
        <v>0</v>
      </c>
      <c r="J270" t="n">
        <v>0</v>
      </c>
      <c r="K270" t="n">
        <v>0</v>
      </c>
      <c r="L270" t="n">
        <v>0</v>
      </c>
      <c r="M270" t="n">
        <v>0</v>
      </c>
      <c r="N270" t="n">
        <v>0</v>
      </c>
      <c r="O270" t="n">
        <v>0</v>
      </c>
      <c r="P270" t="n">
        <v>0</v>
      </c>
      <c r="Q270" t="n">
        <v>0</v>
      </c>
      <c r="R270" s="2" t="inlineStr"/>
    </row>
    <row r="271" ht="15" customHeight="1">
      <c r="A271" t="inlineStr">
        <is>
          <t>A 19159-2019</t>
        </is>
      </c>
      <c r="B271" s="1" t="n">
        <v>43564</v>
      </c>
      <c r="C271" s="1" t="n">
        <v>45294</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45294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45294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45294</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45294</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45294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45294</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45294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45294</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45294</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45294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45294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45294</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45294</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34600-2019</t>
        </is>
      </c>
      <c r="B285" s="1" t="n">
        <v>43647</v>
      </c>
      <c r="C285" s="1" t="n">
        <v>45294</v>
      </c>
      <c r="D285" t="inlineStr">
        <is>
          <t>GOTLANDS LÄN</t>
        </is>
      </c>
      <c r="E285" t="inlineStr">
        <is>
          <t>GOTLAND</t>
        </is>
      </c>
      <c r="F285" t="inlineStr">
        <is>
          <t>Övriga statliga verk och myndigheter</t>
        </is>
      </c>
      <c r="G285" t="n">
        <v>2.3</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45294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32960-2019</t>
        </is>
      </c>
      <c r="B287" s="1" t="n">
        <v>43648</v>
      </c>
      <c r="C287" s="1" t="n">
        <v>45294</v>
      </c>
      <c r="D287" t="inlineStr">
        <is>
          <t>GOTLANDS LÄN</t>
        </is>
      </c>
      <c r="E287" t="inlineStr">
        <is>
          <t>GOTLAND</t>
        </is>
      </c>
      <c r="G287" t="n">
        <v>10.9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45294</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45294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45294</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45294</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45294</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45294</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35282-2019</t>
        </is>
      </c>
      <c r="B294" s="1" t="n">
        <v>43656</v>
      </c>
      <c r="C294" s="1" t="n">
        <v>45294</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45294</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45294</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45294</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45294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45294</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45294</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45294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45294</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45294</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45294</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45294</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45294</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45294</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45294</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45294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45294</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45294</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45294</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45294</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45294</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45294</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45294</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45294</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45294</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45294</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45294</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45294</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45294</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45294</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45294</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334-2020</t>
        </is>
      </c>
      <c r="B325" s="1" t="n">
        <v>43837</v>
      </c>
      <c r="C325" s="1" t="n">
        <v>45294</v>
      </c>
      <c r="D325" t="inlineStr">
        <is>
          <t>GOTLANDS LÄN</t>
        </is>
      </c>
      <c r="E325" t="inlineStr">
        <is>
          <t>GOTLAND</t>
        </is>
      </c>
      <c r="G325" t="n">
        <v>5.3</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45294</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45294</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45294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2536-2020</t>
        </is>
      </c>
      <c r="B329" s="1" t="n">
        <v>43847</v>
      </c>
      <c r="C329" s="1" t="n">
        <v>45294</v>
      </c>
      <c r="D329" t="inlineStr">
        <is>
          <t>GOTLANDS LÄN</t>
        </is>
      </c>
      <c r="E329" t="inlineStr">
        <is>
          <t>GOTLAND</t>
        </is>
      </c>
      <c r="G329" t="n">
        <v>4.2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45294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45294</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45294</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45294</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45294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45294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45294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45294</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45294</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45294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45294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45294</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45294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45294</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45294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45294</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45294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45294</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45294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45294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45294</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45294</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45294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45294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45294</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45294</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45294</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45294</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45294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45294</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45294</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22203-2020</t>
        </is>
      </c>
      <c r="B361" s="1" t="n">
        <v>43962</v>
      </c>
      <c r="C361" s="1" t="n">
        <v>45294</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45294</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45294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45294</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45294</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45294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45294</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45294</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45294</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45294</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45294</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45294</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45294</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45294</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45294</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45294</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45294</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45294</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45294</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45294</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45294</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45294</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45294</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45294</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45294</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45294</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45294</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44958-2020</t>
        </is>
      </c>
      <c r="B388" s="1" t="n">
        <v>44088</v>
      </c>
      <c r="C388" s="1" t="n">
        <v>45294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45294</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45294</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45294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45294</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45294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45294</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45294</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45294</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45294</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45294</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45294</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45294</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45294</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45294</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45294</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45294</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45294</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45294</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45294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45294</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45294</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45294</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45294</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45294</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45294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45294</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45294</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45294</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45294</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45294</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45294</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45294</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45294</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45294</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45294</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45294</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45294</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45294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45294</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45294</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45294</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45294</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45294</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45294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45294</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45294</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45294</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45294</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45294</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45294</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45294</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45294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45294</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45294</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45294</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45294</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45294</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45294</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45294</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41346-2021</t>
        </is>
      </c>
      <c r="B448" s="1" t="n">
        <v>44424</v>
      </c>
      <c r="C448" s="1" t="n">
        <v>45294</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42688-2021</t>
        </is>
      </c>
      <c r="B449" s="1" t="n">
        <v>44428</v>
      </c>
      <c r="C449" s="1" t="n">
        <v>45294</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44304-2021</t>
        </is>
      </c>
      <c r="B450" s="1" t="n">
        <v>44434</v>
      </c>
      <c r="C450" s="1" t="n">
        <v>45294</v>
      </c>
      <c r="D450" t="inlineStr">
        <is>
          <t>GOTLANDS LÄN</t>
        </is>
      </c>
      <c r="E450" t="inlineStr">
        <is>
          <t>GOTLAND</t>
        </is>
      </c>
      <c r="G450" t="n">
        <v>5.8</v>
      </c>
      <c r="H450" t="n">
        <v>0</v>
      </c>
      <c r="I450" t="n">
        <v>0</v>
      </c>
      <c r="J450" t="n">
        <v>0</v>
      </c>
      <c r="K450" t="n">
        <v>0</v>
      </c>
      <c r="L450" t="n">
        <v>0</v>
      </c>
      <c r="M450" t="n">
        <v>0</v>
      </c>
      <c r="N450" t="n">
        <v>0</v>
      </c>
      <c r="O450" t="n">
        <v>0</v>
      </c>
      <c r="P450" t="n">
        <v>0</v>
      </c>
      <c r="Q450" t="n">
        <v>0</v>
      </c>
      <c r="R450" s="2" t="inlineStr"/>
    </row>
    <row r="451" ht="15" customHeight="1">
      <c r="A451" t="inlineStr">
        <is>
          <t>A 44649-2021</t>
        </is>
      </c>
      <c r="B451" s="1" t="n">
        <v>44437</v>
      </c>
      <c r="C451" s="1" t="n">
        <v>45294</v>
      </c>
      <c r="D451" t="inlineStr">
        <is>
          <t>GOTLANDS LÄN</t>
        </is>
      </c>
      <c r="E451" t="inlineStr">
        <is>
          <t>GOTLAND</t>
        </is>
      </c>
      <c r="G451" t="n">
        <v>8.1</v>
      </c>
      <c r="H451" t="n">
        <v>0</v>
      </c>
      <c r="I451" t="n">
        <v>0</v>
      </c>
      <c r="J451" t="n">
        <v>0</v>
      </c>
      <c r="K451" t="n">
        <v>0</v>
      </c>
      <c r="L451" t="n">
        <v>0</v>
      </c>
      <c r="M451" t="n">
        <v>0</v>
      </c>
      <c r="N451" t="n">
        <v>0</v>
      </c>
      <c r="O451" t="n">
        <v>0</v>
      </c>
      <c r="P451" t="n">
        <v>0</v>
      </c>
      <c r="Q451" t="n">
        <v>0</v>
      </c>
      <c r="R451" s="2" t="inlineStr"/>
    </row>
    <row r="452" ht="15" customHeight="1">
      <c r="A452" t="inlineStr">
        <is>
          <t>A 46362-2021</t>
        </is>
      </c>
      <c r="B452" s="1" t="n">
        <v>44442</v>
      </c>
      <c r="C452" s="1" t="n">
        <v>45294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46389-2021</t>
        </is>
      </c>
      <c r="B453" s="1" t="n">
        <v>44443</v>
      </c>
      <c r="C453" s="1" t="n">
        <v>45294</v>
      </c>
      <c r="D453" t="inlineStr">
        <is>
          <t>GOTLANDS LÄN</t>
        </is>
      </c>
      <c r="E453" t="inlineStr">
        <is>
          <t>GOTLAND</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47369-2021</t>
        </is>
      </c>
      <c r="B454" s="1" t="n">
        <v>44447</v>
      </c>
      <c r="C454" s="1" t="n">
        <v>45294</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50892-2021</t>
        </is>
      </c>
      <c r="B455" s="1" t="n">
        <v>44459</v>
      </c>
      <c r="C455" s="1" t="n">
        <v>45294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52892-2021</t>
        </is>
      </c>
      <c r="B456" s="1" t="n">
        <v>44467</v>
      </c>
      <c r="C456" s="1" t="n">
        <v>45294</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53479-2021</t>
        </is>
      </c>
      <c r="B457" s="1" t="n">
        <v>44468</v>
      </c>
      <c r="C457" s="1" t="n">
        <v>45294</v>
      </c>
      <c r="D457" t="inlineStr">
        <is>
          <t>GOTLANDS LÄN</t>
        </is>
      </c>
      <c r="E457" t="inlineStr">
        <is>
          <t>GOTLAND</t>
        </is>
      </c>
      <c r="G457" t="n">
        <v>8</v>
      </c>
      <c r="H457" t="n">
        <v>0</v>
      </c>
      <c r="I457" t="n">
        <v>0</v>
      </c>
      <c r="J457" t="n">
        <v>0</v>
      </c>
      <c r="K457" t="n">
        <v>0</v>
      </c>
      <c r="L457" t="n">
        <v>0</v>
      </c>
      <c r="M457" t="n">
        <v>0</v>
      </c>
      <c r="N457" t="n">
        <v>0</v>
      </c>
      <c r="O457" t="n">
        <v>0</v>
      </c>
      <c r="P457" t="n">
        <v>0</v>
      </c>
      <c r="Q457" t="n">
        <v>0</v>
      </c>
      <c r="R457" s="2" t="inlineStr"/>
    </row>
    <row r="458" ht="15" customHeight="1">
      <c r="A458" t="inlineStr">
        <is>
          <t>A 56951-2021</t>
        </is>
      </c>
      <c r="B458" s="1" t="n">
        <v>44482</v>
      </c>
      <c r="C458" s="1" t="n">
        <v>45294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57219-2021</t>
        </is>
      </c>
      <c r="B459" s="1" t="n">
        <v>44483</v>
      </c>
      <c r="C459" s="1" t="n">
        <v>45294</v>
      </c>
      <c r="D459" t="inlineStr">
        <is>
          <t>GOTLANDS LÄN</t>
        </is>
      </c>
      <c r="E459" t="inlineStr">
        <is>
          <t>GOTLAND</t>
        </is>
      </c>
      <c r="F459" t="inlineStr">
        <is>
          <t>Kyrkan</t>
        </is>
      </c>
      <c r="G459" t="n">
        <v>4</v>
      </c>
      <c r="H459" t="n">
        <v>0</v>
      </c>
      <c r="I459" t="n">
        <v>0</v>
      </c>
      <c r="J459" t="n">
        <v>0</v>
      </c>
      <c r="K459" t="n">
        <v>0</v>
      </c>
      <c r="L459" t="n">
        <v>0</v>
      </c>
      <c r="M459" t="n">
        <v>0</v>
      </c>
      <c r="N459" t="n">
        <v>0</v>
      </c>
      <c r="O459" t="n">
        <v>0</v>
      </c>
      <c r="P459" t="n">
        <v>0</v>
      </c>
      <c r="Q459" t="n">
        <v>0</v>
      </c>
      <c r="R459" s="2" t="inlineStr"/>
    </row>
    <row r="460" ht="15" customHeight="1">
      <c r="A460" t="inlineStr">
        <is>
          <t>A 58224-2021</t>
        </is>
      </c>
      <c r="B460" s="1" t="n">
        <v>44487</v>
      </c>
      <c r="C460" s="1" t="n">
        <v>45294</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58600-2021</t>
        </is>
      </c>
      <c r="B461" s="1" t="n">
        <v>44488</v>
      </c>
      <c r="C461" s="1" t="n">
        <v>45294</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58815-2021</t>
        </is>
      </c>
      <c r="B462" s="1" t="n">
        <v>44489</v>
      </c>
      <c r="C462" s="1" t="n">
        <v>45294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60607-2021</t>
        </is>
      </c>
      <c r="B463" s="1" t="n">
        <v>44496</v>
      </c>
      <c r="C463" s="1" t="n">
        <v>45294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60675-2021</t>
        </is>
      </c>
      <c r="B464" s="1" t="n">
        <v>44496</v>
      </c>
      <c r="C464" s="1" t="n">
        <v>45294</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45294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63229-2021</t>
        </is>
      </c>
      <c r="B466" s="1" t="n">
        <v>44508</v>
      </c>
      <c r="C466" s="1" t="n">
        <v>45294</v>
      </c>
      <c r="D466" t="inlineStr">
        <is>
          <t>GOTLANDS LÄN</t>
        </is>
      </c>
      <c r="E466" t="inlineStr">
        <is>
          <t>GOTLAND</t>
        </is>
      </c>
      <c r="F466" t="inlineStr">
        <is>
          <t>Kyrkan</t>
        </is>
      </c>
      <c r="G466" t="n">
        <v>3.8</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45294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65393-2021</t>
        </is>
      </c>
      <c r="B468" s="1" t="n">
        <v>44515</v>
      </c>
      <c r="C468" s="1" t="n">
        <v>45294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65901-2021</t>
        </is>
      </c>
      <c r="B469" s="1" t="n">
        <v>44516</v>
      </c>
      <c r="C469" s="1" t="n">
        <v>45294</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69112-2021</t>
        </is>
      </c>
      <c r="B470" s="1" t="n">
        <v>44530</v>
      </c>
      <c r="C470" s="1" t="n">
        <v>45294</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70997-2021</t>
        </is>
      </c>
      <c r="B471" s="1" t="n">
        <v>44538</v>
      </c>
      <c r="C471" s="1" t="n">
        <v>45294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71010-2021</t>
        </is>
      </c>
      <c r="B472" s="1" t="n">
        <v>44538</v>
      </c>
      <c r="C472" s="1" t="n">
        <v>45294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71620-2021</t>
        </is>
      </c>
      <c r="B473" s="1" t="n">
        <v>44542</v>
      </c>
      <c r="C473" s="1" t="n">
        <v>45294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72626-2021</t>
        </is>
      </c>
      <c r="B474" s="1" t="n">
        <v>44546</v>
      </c>
      <c r="C474" s="1" t="n">
        <v>45294</v>
      </c>
      <c r="D474" t="inlineStr">
        <is>
          <t>GOTLANDS LÄN</t>
        </is>
      </c>
      <c r="E474" t="inlineStr">
        <is>
          <t>GOTLAND</t>
        </is>
      </c>
      <c r="G474" t="n">
        <v>7.3</v>
      </c>
      <c r="H474" t="n">
        <v>0</v>
      </c>
      <c r="I474" t="n">
        <v>0</v>
      </c>
      <c r="J474" t="n">
        <v>0</v>
      </c>
      <c r="K474" t="n">
        <v>0</v>
      </c>
      <c r="L474" t="n">
        <v>0</v>
      </c>
      <c r="M474" t="n">
        <v>0</v>
      </c>
      <c r="N474" t="n">
        <v>0</v>
      </c>
      <c r="O474" t="n">
        <v>0</v>
      </c>
      <c r="P474" t="n">
        <v>0</v>
      </c>
      <c r="Q474" t="n">
        <v>0</v>
      </c>
      <c r="R474" s="2" t="inlineStr"/>
    </row>
    <row r="475" ht="15" customHeight="1">
      <c r="A475" t="inlineStr">
        <is>
          <t>A 411-2022</t>
        </is>
      </c>
      <c r="B475" s="1" t="n">
        <v>44565</v>
      </c>
      <c r="C475" s="1" t="n">
        <v>45294</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4262-2022</t>
        </is>
      </c>
      <c r="B476" s="1" t="n">
        <v>44588</v>
      </c>
      <c r="C476" s="1" t="n">
        <v>45294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8055-2022</t>
        </is>
      </c>
      <c r="B477" s="1" t="n">
        <v>44609</v>
      </c>
      <c r="C477" s="1" t="n">
        <v>45294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v>
      </c>
      <c r="C478" s="1" t="n">
        <v>45294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45294</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10650-2022</t>
        </is>
      </c>
      <c r="B480" s="1" t="n">
        <v>44624</v>
      </c>
      <c r="C480" s="1" t="n">
        <v>45294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11029-2022</t>
        </is>
      </c>
      <c r="B481" s="1" t="n">
        <v>44628</v>
      </c>
      <c r="C481" s="1" t="n">
        <v>45294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13498-2022</t>
        </is>
      </c>
      <c r="B482" s="1" t="n">
        <v>44647</v>
      </c>
      <c r="C482" s="1" t="n">
        <v>45294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13500-2022</t>
        </is>
      </c>
      <c r="B483" s="1" t="n">
        <v>44647</v>
      </c>
      <c r="C483" s="1" t="n">
        <v>45294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13643-2022</t>
        </is>
      </c>
      <c r="B484" s="1" t="n">
        <v>44648</v>
      </c>
      <c r="C484" s="1" t="n">
        <v>45294</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14413-2022</t>
        </is>
      </c>
      <c r="B485" s="1" t="n">
        <v>44652</v>
      </c>
      <c r="C485" s="1" t="n">
        <v>45294</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15713-2022</t>
        </is>
      </c>
      <c r="B486" s="1" t="n">
        <v>44663</v>
      </c>
      <c r="C486" s="1" t="n">
        <v>45294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15710-2022</t>
        </is>
      </c>
      <c r="B487" s="1" t="n">
        <v>44663</v>
      </c>
      <c r="C487" s="1" t="n">
        <v>45294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16858-2022</t>
        </is>
      </c>
      <c r="B488" s="1" t="n">
        <v>44674</v>
      </c>
      <c r="C488" s="1" t="n">
        <v>45294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17147-2022</t>
        </is>
      </c>
      <c r="B489" s="1" t="n">
        <v>44677</v>
      </c>
      <c r="C489" s="1" t="n">
        <v>45294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17354-2022</t>
        </is>
      </c>
      <c r="B490" s="1" t="n">
        <v>44678</v>
      </c>
      <c r="C490" s="1" t="n">
        <v>45294</v>
      </c>
      <c r="D490" t="inlineStr">
        <is>
          <t>GOTLANDS LÄN</t>
        </is>
      </c>
      <c r="E490" t="inlineStr">
        <is>
          <t>GOTLAND</t>
        </is>
      </c>
      <c r="G490" t="n">
        <v>7.1</v>
      </c>
      <c r="H490" t="n">
        <v>0</v>
      </c>
      <c r="I490" t="n">
        <v>0</v>
      </c>
      <c r="J490" t="n">
        <v>0</v>
      </c>
      <c r="K490" t="n">
        <v>0</v>
      </c>
      <c r="L490" t="n">
        <v>0</v>
      </c>
      <c r="M490" t="n">
        <v>0</v>
      </c>
      <c r="N490" t="n">
        <v>0</v>
      </c>
      <c r="O490" t="n">
        <v>0</v>
      </c>
      <c r="P490" t="n">
        <v>0</v>
      </c>
      <c r="Q490" t="n">
        <v>0</v>
      </c>
      <c r="R490" s="2" t="inlineStr"/>
    </row>
    <row r="491" ht="15" customHeight="1">
      <c r="A491" t="inlineStr">
        <is>
          <t>A 17381-2022</t>
        </is>
      </c>
      <c r="B491" s="1" t="n">
        <v>44678</v>
      </c>
      <c r="C491" s="1" t="n">
        <v>45294</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17780-2022</t>
        </is>
      </c>
      <c r="B492" s="1" t="n">
        <v>44682</v>
      </c>
      <c r="C492" s="1" t="n">
        <v>45294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20165-2022</t>
        </is>
      </c>
      <c r="B493" s="1" t="n">
        <v>44698</v>
      </c>
      <c r="C493" s="1" t="n">
        <v>45294</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20356-2022</t>
        </is>
      </c>
      <c r="B494" s="1" t="n">
        <v>44699</v>
      </c>
      <c r="C494" s="1" t="n">
        <v>45294</v>
      </c>
      <c r="D494" t="inlineStr">
        <is>
          <t>GOTLANDS LÄN</t>
        </is>
      </c>
      <c r="E494" t="inlineStr">
        <is>
          <t>GOTLAND</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20990-2022</t>
        </is>
      </c>
      <c r="B495" s="1" t="n">
        <v>44703</v>
      </c>
      <c r="C495" s="1" t="n">
        <v>45294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20993-2022</t>
        </is>
      </c>
      <c r="B496" s="1" t="n">
        <v>44703</v>
      </c>
      <c r="C496" s="1" t="n">
        <v>45294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21247-2022</t>
        </is>
      </c>
      <c r="B497" s="1" t="n">
        <v>44705</v>
      </c>
      <c r="C497" s="1" t="n">
        <v>45294</v>
      </c>
      <c r="D497" t="inlineStr">
        <is>
          <t>GOTLANDS LÄN</t>
        </is>
      </c>
      <c r="E497" t="inlineStr">
        <is>
          <t>GOTLAND</t>
        </is>
      </c>
      <c r="G497" t="n">
        <v>16.2</v>
      </c>
      <c r="H497" t="n">
        <v>0</v>
      </c>
      <c r="I497" t="n">
        <v>0</v>
      </c>
      <c r="J497" t="n">
        <v>0</v>
      </c>
      <c r="K497" t="n">
        <v>0</v>
      </c>
      <c r="L497" t="n">
        <v>0</v>
      </c>
      <c r="M497" t="n">
        <v>0</v>
      </c>
      <c r="N497" t="n">
        <v>0</v>
      </c>
      <c r="O497" t="n">
        <v>0</v>
      </c>
      <c r="P497" t="n">
        <v>0</v>
      </c>
      <c r="Q497" t="n">
        <v>0</v>
      </c>
      <c r="R497" s="2" t="inlineStr"/>
    </row>
    <row r="498" ht="15" customHeight="1">
      <c r="A498" t="inlineStr">
        <is>
          <t>A 22287-2022</t>
        </is>
      </c>
      <c r="B498" s="1" t="n">
        <v>44712</v>
      </c>
      <c r="C498" s="1" t="n">
        <v>45294</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22498-2022</t>
        </is>
      </c>
      <c r="B499" s="1" t="n">
        <v>44713</v>
      </c>
      <c r="C499" s="1" t="n">
        <v>45294</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22495-2022</t>
        </is>
      </c>
      <c r="B500" s="1" t="n">
        <v>44713</v>
      </c>
      <c r="C500" s="1" t="n">
        <v>45294</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24123-2022</t>
        </is>
      </c>
      <c r="B501" s="1" t="n">
        <v>44725</v>
      </c>
      <c r="C501" s="1" t="n">
        <v>45294</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24235-2022</t>
        </is>
      </c>
      <c r="B502" s="1" t="n">
        <v>44725</v>
      </c>
      <c r="C502" s="1" t="n">
        <v>45294</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25866-2022</t>
        </is>
      </c>
      <c r="B503" s="1" t="n">
        <v>44733</v>
      </c>
      <c r="C503" s="1" t="n">
        <v>45294</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27095-2022</t>
        </is>
      </c>
      <c r="B504" s="1" t="n">
        <v>44741</v>
      </c>
      <c r="C504" s="1" t="n">
        <v>45294</v>
      </c>
      <c r="D504" t="inlineStr">
        <is>
          <t>GOTLANDS LÄN</t>
        </is>
      </c>
      <c r="E504" t="inlineStr">
        <is>
          <t>GOTLAND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27168-2022</t>
        </is>
      </c>
      <c r="B505" s="1" t="n">
        <v>44741</v>
      </c>
      <c r="C505" s="1" t="n">
        <v>45294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45294</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45294</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45294</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45294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45294</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45294</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45294</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45294</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45294</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45294</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45294</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45294</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45294</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45294</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45294</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45294</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45294</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45294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45294</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45294</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45294</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45294</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45294</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45294</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45294</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45294</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45294</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45294</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45294</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45294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45294</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45294</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45294</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45294</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45294</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45294</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45294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45294</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45294</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45294</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45294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45294</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45294</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45294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45294</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45294</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45294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45294</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61796-2022</t>
        </is>
      </c>
      <c r="B554" s="1" t="n">
        <v>44917</v>
      </c>
      <c r="C554" s="1" t="n">
        <v>45294</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45294</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45294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45294</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45294</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45294</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45294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45294</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45294</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45294</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45294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45294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45294</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45294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45294</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45294</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45294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45294</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45294</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45294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45294</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45294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45294</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45294</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45294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45294</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45294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45294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45294</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45294</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45294</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45294</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45294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45294</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45294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45294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45294</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45294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45294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45294</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45294</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45294</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45294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45294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45294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45294</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8265-2023</t>
        </is>
      </c>
      <c r="B600" s="1" t="n">
        <v>44974</v>
      </c>
      <c r="C600" s="1" t="n">
        <v>45294</v>
      </c>
      <c r="D600" t="inlineStr">
        <is>
          <t>GOTLANDS LÄN</t>
        </is>
      </c>
      <c r="E600" t="inlineStr">
        <is>
          <t>GOTLAND</t>
        </is>
      </c>
      <c r="G600" t="n">
        <v>3.3</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45294</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45294</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45294</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45294</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45294</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45294</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45294</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45294</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45294</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45294</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45294</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45294</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45294</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45294</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45294</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45294</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45294</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45294</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45294</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45294</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45294</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45294</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45294</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45294</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45294</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45294</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45294</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45294</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45294</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45294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45294</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45294</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45294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45294</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45294</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45294</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45294</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45294</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45294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45294</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45294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45294</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45294</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45294</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45294</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45294</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27280-2023</t>
        </is>
      </c>
      <c r="B647" s="1" t="n">
        <v>45096</v>
      </c>
      <c r="C647" s="1" t="n">
        <v>45294</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45294</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45294</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45294</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45294</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45294</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45294</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45294</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45294</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45294</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45294</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45294</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45294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45294</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45294</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45294</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45294</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45294</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45294</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45294</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45294</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45294</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45294</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45294</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45294</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45294</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45294</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45294</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45294</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45294</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45294</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45294</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45294</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45294</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45294</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45294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45294</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45294</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45294</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45294</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45294</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45294</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43219-2023</t>
        </is>
      </c>
      <c r="B689" s="1" t="n">
        <v>45183</v>
      </c>
      <c r="C689" s="1" t="n">
        <v>45294</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45294</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45294</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45294</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45294</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45294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45294</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45294</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45294</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45294</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45294</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45294</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45294</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45294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45294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45294</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45294</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45294</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45294</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45294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46527-2023</t>
        </is>
      </c>
      <c r="B709" s="1" t="n">
        <v>45197</v>
      </c>
      <c r="C709" s="1" t="n">
        <v>45294</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45294</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45294</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45294</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45294</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45294</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45294</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45294</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45294</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45294</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45294</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45294</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45294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45294</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45294</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45294</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45294</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45294</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45294</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45294</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45294</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45294</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45294</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45294</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45294</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45294</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45294</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45294</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45294</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45294</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45294</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45294</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45294</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45294</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45294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45294</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45294</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45294</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45294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45294</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61846-2023</t>
        </is>
      </c>
      <c r="B749" s="1" t="n">
        <v>45266</v>
      </c>
      <c r="C749" s="1" t="n">
        <v>45294</v>
      </c>
      <c r="D749" t="inlineStr">
        <is>
          <t>GOTLANDS LÄN</t>
        </is>
      </c>
      <c r="E749" t="inlineStr">
        <is>
          <t>GOTLAND</t>
        </is>
      </c>
      <c r="G749" t="n">
        <v>2.2</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45294</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63301-2023</t>
        </is>
      </c>
      <c r="B751" s="1" t="n">
        <v>45274</v>
      </c>
      <c r="C751" s="1" t="n">
        <v>45294</v>
      </c>
      <c r="D751" t="inlineStr">
        <is>
          <t>GOTLANDS LÄN</t>
        </is>
      </c>
      <c r="E751" t="inlineStr">
        <is>
          <t>GOTLAND</t>
        </is>
      </c>
      <c r="G751" t="n">
        <v>5.3</v>
      </c>
      <c r="H751" t="n">
        <v>0</v>
      </c>
      <c r="I751" t="n">
        <v>0</v>
      </c>
      <c r="J751" t="n">
        <v>0</v>
      </c>
      <c r="K751" t="n">
        <v>0</v>
      </c>
      <c r="L751" t="n">
        <v>0</v>
      </c>
      <c r="M751" t="n">
        <v>0</v>
      </c>
      <c r="N751" t="n">
        <v>0</v>
      </c>
      <c r="O751" t="n">
        <v>0</v>
      </c>
      <c r="P751" t="n">
        <v>0</v>
      </c>
      <c r="Q751" t="n">
        <v>0</v>
      </c>
      <c r="R751" s="2" t="inlineStr"/>
    </row>
    <row r="752" ht="15" customHeight="1">
      <c r="A752" t="inlineStr">
        <is>
          <t>A 63303-2023</t>
        </is>
      </c>
      <c r="B752" s="1" t="n">
        <v>45274</v>
      </c>
      <c r="C752" s="1" t="n">
        <v>45294</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63302-2023</t>
        </is>
      </c>
      <c r="B753" s="1" t="n">
        <v>45274</v>
      </c>
      <c r="C753" s="1" t="n">
        <v>45294</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45294</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63763-2023</t>
        </is>
      </c>
      <c r="B755" s="1" t="n">
        <v>45278</v>
      </c>
      <c r="C755" s="1" t="n">
        <v>45294</v>
      </c>
      <c r="D755" t="inlineStr">
        <is>
          <t>GOTLANDS LÄN</t>
        </is>
      </c>
      <c r="E755" t="inlineStr">
        <is>
          <t>GOTLAND</t>
        </is>
      </c>
      <c r="G755" t="n">
        <v>0.5</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45294</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45294</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64401-2023</t>
        </is>
      </c>
      <c r="B758" s="1" t="n">
        <v>45280</v>
      </c>
      <c r="C758" s="1" t="n">
        <v>45294</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45294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45294</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45294</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45294</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45294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45294</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45294</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45294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c r="A767" t="inlineStr">
        <is>
          <t>A 98-2024</t>
        </is>
      </c>
      <c r="B767" s="1" t="n">
        <v>45293</v>
      </c>
      <c r="C767" s="1" t="n">
        <v>45294</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2024-01-03T09:59:48Z</dcterms:created>
  <dcterms:modified xmlns:dcterms="http://purl.org/dc/terms/" xmlns:xsi="http://www.w3.org/2001/XMLSchema-instance" xsi:type="dcterms:W3CDTF">2024-01-03T09:59:48Z</dcterms:modified>
</cp:coreProperties>
</file>