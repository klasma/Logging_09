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45888</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45888</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45888</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45888</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45888</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45888</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45888</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45888</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45888</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45888</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45888</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45888</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45888</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45888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45888</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45888</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45888</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45888</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45888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45888</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45888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2804-2023</t>
        </is>
      </c>
      <c r="B29" s="1" t="n">
        <v>44944</v>
      </c>
      <c r="C29" s="1" t="n">
        <v>45888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45888</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45888</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45888</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45888</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45888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45888</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45888</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45888</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45888</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45888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45888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45888</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45888</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45888</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45888</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45888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45888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45888</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45888</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45888</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45888</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45888</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45888</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45888</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45888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45888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45888</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45888</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45888</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65819-2020</t>
        </is>
      </c>
      <c r="B62" s="1" t="n">
        <v>44174</v>
      </c>
      <c r="C62" s="1" t="n">
        <v>45888</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45888</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45888</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16823-2024</t>
        </is>
      </c>
      <c r="B65" s="1" t="n">
        <v>45411</v>
      </c>
      <c r="C65" s="1" t="n">
        <v>45888</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45888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45888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45888</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32326-2024</t>
        </is>
      </c>
      <c r="B69" s="1" t="n">
        <v>45512</v>
      </c>
      <c r="C69" s="1" t="n">
        <v>45888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45888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42936-2024</t>
        </is>
      </c>
      <c r="B71" s="1" t="n">
        <v>45567</v>
      </c>
      <c r="C71" s="1" t="n">
        <v>45888</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45888</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45888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45888</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45888</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45888</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56717-2024</t>
        </is>
      </c>
      <c r="B77" s="1" t="n">
        <v>45628.3166550926</v>
      </c>
      <c r="C77" s="1" t="n">
        <v>45888</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186-2023</t>
        </is>
      </c>
      <c r="B78" s="1" t="n">
        <v>44928</v>
      </c>
      <c r="C78" s="1" t="n">
        <v>45888</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54523-2023</t>
        </is>
      </c>
      <c r="B79" s="1" t="n">
        <v>45233</v>
      </c>
      <c r="C79" s="1" t="n">
        <v>45888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45888</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6159-2023</t>
        </is>
      </c>
      <c r="B81" s="1" t="n">
        <v>44964</v>
      </c>
      <c r="C81" s="1" t="n">
        <v>45888</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20833-2024</t>
        </is>
      </c>
      <c r="B82" s="1" t="n">
        <v>45439</v>
      </c>
      <c r="C82" s="1" t="n">
        <v>45888</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43197-2023</t>
        </is>
      </c>
      <c r="B83" s="1" t="n">
        <v>45183</v>
      </c>
      <c r="C83" s="1" t="n">
        <v>45888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5904-2024</t>
        </is>
      </c>
      <c r="B84" s="1" t="n">
        <v>45335</v>
      </c>
      <c r="C84" s="1" t="n">
        <v>45888</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8265-2023</t>
        </is>
      </c>
      <c r="B85" s="1" t="n">
        <v>44974</v>
      </c>
      <c r="C85" s="1" t="n">
        <v>45888</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55029-2020</t>
        </is>
      </c>
      <c r="B86" s="1" t="n">
        <v>44130</v>
      </c>
      <c r="C86" s="1" t="n">
        <v>45888</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45888</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45888</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45888</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45888</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43013-2022</t>
        </is>
      </c>
      <c r="B91" s="1" t="n">
        <v>44833</v>
      </c>
      <c r="C91" s="1" t="n">
        <v>45888</v>
      </c>
      <c r="D91" t="inlineStr">
        <is>
          <t>GOTLANDS LÄN</t>
        </is>
      </c>
      <c r="E91" t="inlineStr">
        <is>
          <t>GOTLAND</t>
        </is>
      </c>
      <c r="G91" t="n">
        <v>9.300000000000001</v>
      </c>
      <c r="H91" t="n">
        <v>0</v>
      </c>
      <c r="I91" t="n">
        <v>2</v>
      </c>
      <c r="J91" t="n">
        <v>0</v>
      </c>
      <c r="K91" t="n">
        <v>1</v>
      </c>
      <c r="L91" t="n">
        <v>0</v>
      </c>
      <c r="M91" t="n">
        <v>0</v>
      </c>
      <c r="N91" t="n">
        <v>0</v>
      </c>
      <c r="O91" t="n">
        <v>1</v>
      </c>
      <c r="P91" t="n">
        <v>1</v>
      </c>
      <c r="Q91" t="n">
        <v>3</v>
      </c>
      <c r="R91" s="2" t="inlineStr">
        <is>
          <t>Violettfläckig spindling
Anisspindling
Blå slemspindling</t>
        </is>
      </c>
      <c r="S91">
        <f>HYPERLINK("https://klasma.github.io/Logging_0980/artfynd/A 43013-2022 artfynd.xlsx", "A 43013-2022")</f>
        <v/>
      </c>
      <c r="T91">
        <f>HYPERLINK("https://klasma.github.io/Logging_0980/kartor/A 43013-2022 karta.png", "A 43013-2022")</f>
        <v/>
      </c>
      <c r="V91">
        <f>HYPERLINK("https://klasma.github.io/Logging_0980/klagomål/A 43013-2022 FSC-klagomål.docx", "A 43013-2022")</f>
        <v/>
      </c>
      <c r="W91">
        <f>HYPERLINK("https://klasma.github.io/Logging_0980/klagomålsmail/A 43013-2022 FSC-klagomål mail.docx", "A 43013-2022")</f>
        <v/>
      </c>
      <c r="X91">
        <f>HYPERLINK("https://klasma.github.io/Logging_0980/tillsyn/A 43013-2022 tillsynsbegäran.docx", "A 43013-2022")</f>
        <v/>
      </c>
      <c r="Y91">
        <f>HYPERLINK("https://klasma.github.io/Logging_0980/tillsynsmail/A 43013-2022 tillsynsbegäran mail.docx", "A 43013-2022")</f>
        <v/>
      </c>
    </row>
    <row r="92" ht="15" customHeight="1">
      <c r="A92" t="inlineStr">
        <is>
          <t>A 2332-2021</t>
        </is>
      </c>
      <c r="B92" s="1" t="n">
        <v>44214</v>
      </c>
      <c r="C92" s="1" t="n">
        <v>45888</v>
      </c>
      <c r="D92" t="inlineStr">
        <is>
          <t>GOTLANDS LÄN</t>
        </is>
      </c>
      <c r="E92" t="inlineStr">
        <is>
          <t>GOTLAND</t>
        </is>
      </c>
      <c r="G92" t="n">
        <v>2.3</v>
      </c>
      <c r="H92" t="n">
        <v>2</v>
      </c>
      <c r="I92" t="n">
        <v>0</v>
      </c>
      <c r="J92" t="n">
        <v>1</v>
      </c>
      <c r="K92" t="n">
        <v>0</v>
      </c>
      <c r="L92" t="n">
        <v>0</v>
      </c>
      <c r="M92" t="n">
        <v>0</v>
      </c>
      <c r="N92" t="n">
        <v>0</v>
      </c>
      <c r="O92" t="n">
        <v>1</v>
      </c>
      <c r="P92" t="n">
        <v>0</v>
      </c>
      <c r="Q92" t="n">
        <v>3</v>
      </c>
      <c r="R92" s="2" t="inlineStr">
        <is>
          <t>Korpnopping
Sankt pers nycklar
Blåsippa</t>
        </is>
      </c>
      <c r="S92">
        <f>HYPERLINK("https://klasma.github.io/Logging_0980/artfynd/A 2332-2021 artfynd.xlsx", "A 2332-2021")</f>
        <v/>
      </c>
      <c r="T92">
        <f>HYPERLINK("https://klasma.github.io/Logging_0980/kartor/A 2332-2021 karta.png", "A 2332-2021")</f>
        <v/>
      </c>
      <c r="V92">
        <f>HYPERLINK("https://klasma.github.io/Logging_0980/klagomål/A 2332-2021 FSC-klagomål.docx", "A 2332-2021")</f>
        <v/>
      </c>
      <c r="W92">
        <f>HYPERLINK("https://klasma.github.io/Logging_0980/klagomålsmail/A 2332-2021 FSC-klagomål mail.docx", "A 2332-2021")</f>
        <v/>
      </c>
      <c r="X92">
        <f>HYPERLINK("https://klasma.github.io/Logging_0980/tillsyn/A 2332-2021 tillsynsbegäran.docx", "A 2332-2021")</f>
        <v/>
      </c>
      <c r="Y92">
        <f>HYPERLINK("https://klasma.github.io/Logging_0980/tillsynsmail/A 2332-2021 tillsynsbegäran mail.docx", "A 2332-2021")</f>
        <v/>
      </c>
    </row>
    <row r="93" ht="15" customHeight="1">
      <c r="A93" t="inlineStr">
        <is>
          <t>A 13499-2022</t>
        </is>
      </c>
      <c r="B93" s="1" t="n">
        <v>44647.79203703703</v>
      </c>
      <c r="C93" s="1" t="n">
        <v>45888</v>
      </c>
      <c r="D93" t="inlineStr">
        <is>
          <t>GOTLANDS LÄN</t>
        </is>
      </c>
      <c r="E93" t="inlineStr">
        <is>
          <t>GOTLAND</t>
        </is>
      </c>
      <c r="G93" t="n">
        <v>6.8</v>
      </c>
      <c r="H93" t="n">
        <v>3</v>
      </c>
      <c r="I93" t="n">
        <v>0</v>
      </c>
      <c r="J93" t="n">
        <v>1</v>
      </c>
      <c r="K93" t="n">
        <v>0</v>
      </c>
      <c r="L93" t="n">
        <v>0</v>
      </c>
      <c r="M93" t="n">
        <v>0</v>
      </c>
      <c r="N93" t="n">
        <v>0</v>
      </c>
      <c r="O93" t="n">
        <v>1</v>
      </c>
      <c r="P93" t="n">
        <v>0</v>
      </c>
      <c r="Q93" t="n">
        <v>3</v>
      </c>
      <c r="R93" s="2" t="inlineStr">
        <is>
          <t>Spillkråka
Sankt pers nycklar
Blåsippa</t>
        </is>
      </c>
      <c r="S93">
        <f>HYPERLINK("https://klasma.github.io/Logging_0980/artfynd/A 13499-2022 artfynd.xlsx", "A 13499-2022")</f>
        <v/>
      </c>
      <c r="T93">
        <f>HYPERLINK("https://klasma.github.io/Logging_0980/kartor/A 13499-2022 karta.png", "A 13499-2022")</f>
        <v/>
      </c>
      <c r="V93">
        <f>HYPERLINK("https://klasma.github.io/Logging_0980/klagomål/A 13499-2022 FSC-klagomål.docx", "A 13499-2022")</f>
        <v/>
      </c>
      <c r="W93">
        <f>HYPERLINK("https://klasma.github.io/Logging_0980/klagomålsmail/A 13499-2022 FSC-klagomål mail.docx", "A 13499-2022")</f>
        <v/>
      </c>
      <c r="X93">
        <f>HYPERLINK("https://klasma.github.io/Logging_0980/tillsyn/A 13499-2022 tillsynsbegäran.docx", "A 13499-2022")</f>
        <v/>
      </c>
      <c r="Y93">
        <f>HYPERLINK("https://klasma.github.io/Logging_0980/tillsynsmail/A 13499-2022 tillsynsbegäran mail.docx", "A 13499-2022")</f>
        <v/>
      </c>
      <c r="Z93">
        <f>HYPERLINK("https://klasma.github.io/Logging_0980/fåglar/A 13499-2022 prioriterade fågelarter.docx", "A 13499-2022")</f>
        <v/>
      </c>
    </row>
    <row r="94" ht="15" customHeight="1">
      <c r="A94" t="inlineStr">
        <is>
          <t>A 5235-2025</t>
        </is>
      </c>
      <c r="B94" s="1" t="n">
        <v>45692.26797453704</v>
      </c>
      <c r="C94" s="1" t="n">
        <v>45888</v>
      </c>
      <c r="D94" t="inlineStr">
        <is>
          <t>GOTLANDS LÄN</t>
        </is>
      </c>
      <c r="E94" t="inlineStr">
        <is>
          <t>GOTLAND</t>
        </is>
      </c>
      <c r="G94" t="n">
        <v>7.6</v>
      </c>
      <c r="H94" t="n">
        <v>1</v>
      </c>
      <c r="I94" t="n">
        <v>2</v>
      </c>
      <c r="J94" t="n">
        <v>1</v>
      </c>
      <c r="K94" t="n">
        <v>0</v>
      </c>
      <c r="L94" t="n">
        <v>0</v>
      </c>
      <c r="M94" t="n">
        <v>0</v>
      </c>
      <c r="N94" t="n">
        <v>0</v>
      </c>
      <c r="O94" t="n">
        <v>1</v>
      </c>
      <c r="P94" t="n">
        <v>0</v>
      </c>
      <c r="Q94" t="n">
        <v>3</v>
      </c>
      <c r="R94" s="2" t="inlineStr">
        <is>
          <t>Svinrot
Blåmossa
Tvåblad</t>
        </is>
      </c>
      <c r="S94">
        <f>HYPERLINK("https://klasma.github.io/Logging_0980/artfynd/A 5235-2025 artfynd.xlsx", "A 5235-2025")</f>
        <v/>
      </c>
      <c r="T94">
        <f>HYPERLINK("https://klasma.github.io/Logging_0980/kartor/A 5235-2025 karta.png", "A 5235-2025")</f>
        <v/>
      </c>
      <c r="V94">
        <f>HYPERLINK("https://klasma.github.io/Logging_0980/klagomål/A 5235-2025 FSC-klagomål.docx", "A 5235-2025")</f>
        <v/>
      </c>
      <c r="W94">
        <f>HYPERLINK("https://klasma.github.io/Logging_0980/klagomålsmail/A 5235-2025 FSC-klagomål mail.docx", "A 5235-2025")</f>
        <v/>
      </c>
      <c r="X94">
        <f>HYPERLINK("https://klasma.github.io/Logging_0980/tillsyn/A 5235-2025 tillsynsbegäran.docx", "A 5235-2025")</f>
        <v/>
      </c>
      <c r="Y94">
        <f>HYPERLINK("https://klasma.github.io/Logging_0980/tillsynsmail/A 5235-2025 tillsynsbegäran mail.docx", "A 5235-2025")</f>
        <v/>
      </c>
    </row>
    <row r="95" ht="15" customHeight="1">
      <c r="A95" t="inlineStr">
        <is>
          <t>A 17982-2023</t>
        </is>
      </c>
      <c r="B95" s="1" t="n">
        <v>45040</v>
      </c>
      <c r="C95" s="1" t="n">
        <v>45888</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53552-2021</t>
        </is>
      </c>
      <c r="B96" s="1" t="n">
        <v>44468</v>
      </c>
      <c r="C96" s="1" t="n">
        <v>45888</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45888</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45888</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45888</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45888</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45888</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45888</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45888</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45888</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45888</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9930-2021</t>
        </is>
      </c>
      <c r="B106" s="1" t="n">
        <v>44252</v>
      </c>
      <c r="C106" s="1" t="n">
        <v>45888</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20218-2022</t>
        </is>
      </c>
      <c r="B107" s="1" t="n">
        <v>44698</v>
      </c>
      <c r="C107" s="1" t="n">
        <v>45888</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45888</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45888</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55649-2024</t>
        </is>
      </c>
      <c r="B110" s="1" t="n">
        <v>45622.63053240741</v>
      </c>
      <c r="C110" s="1" t="n">
        <v>45888</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20838-2024</t>
        </is>
      </c>
      <c r="B111" s="1" t="n">
        <v>45439</v>
      </c>
      <c r="C111" s="1" t="n">
        <v>45888</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43321-2020</t>
        </is>
      </c>
      <c r="B112" s="1" t="n">
        <v>44081</v>
      </c>
      <c r="C112" s="1" t="n">
        <v>45888</v>
      </c>
      <c r="D112" t="inlineStr">
        <is>
          <t>GOTLANDS LÄN</t>
        </is>
      </c>
      <c r="E112" t="inlineStr">
        <is>
          <t>GOTLAND</t>
        </is>
      </c>
      <c r="G112" t="n">
        <v>10</v>
      </c>
      <c r="H112" t="n">
        <v>1</v>
      </c>
      <c r="I112" t="n">
        <v>0</v>
      </c>
      <c r="J112" t="n">
        <v>2</v>
      </c>
      <c r="K112" t="n">
        <v>0</v>
      </c>
      <c r="L112" t="n">
        <v>0</v>
      </c>
      <c r="M112" t="n">
        <v>0</v>
      </c>
      <c r="N112" t="n">
        <v>0</v>
      </c>
      <c r="O112" t="n">
        <v>2</v>
      </c>
      <c r="P112" t="n">
        <v>0</v>
      </c>
      <c r="Q112" t="n">
        <v>2</v>
      </c>
      <c r="R112" s="2" t="inlineStr">
        <is>
          <t>Buskskvätta
Ängsnätfjäril</t>
        </is>
      </c>
      <c r="S112">
        <f>HYPERLINK("https://klasma.github.io/Logging_0980/artfynd/A 43321-2020 artfynd.xlsx", "A 43321-2020")</f>
        <v/>
      </c>
      <c r="T112">
        <f>HYPERLINK("https://klasma.github.io/Logging_0980/kartor/A 43321-2020 karta.png", "A 43321-2020")</f>
        <v/>
      </c>
      <c r="V112">
        <f>HYPERLINK("https://klasma.github.io/Logging_0980/klagomål/A 43321-2020 FSC-klagomål.docx", "A 43321-2020")</f>
        <v/>
      </c>
      <c r="W112">
        <f>HYPERLINK("https://klasma.github.io/Logging_0980/klagomålsmail/A 43321-2020 FSC-klagomål mail.docx", "A 43321-2020")</f>
        <v/>
      </c>
      <c r="X112">
        <f>HYPERLINK("https://klasma.github.io/Logging_0980/tillsyn/A 43321-2020 tillsynsbegäran.docx", "A 43321-2020")</f>
        <v/>
      </c>
      <c r="Y112">
        <f>HYPERLINK("https://klasma.github.io/Logging_0980/tillsynsmail/A 43321-2020 tillsynsbegäran mail.docx", "A 43321-2020")</f>
        <v/>
      </c>
      <c r="Z112">
        <f>HYPERLINK("https://klasma.github.io/Logging_0980/fåglar/A 43321-2020 prioriterade fågelarter.docx", "A 43321-2020")</f>
        <v/>
      </c>
    </row>
    <row r="113" ht="15" customHeight="1">
      <c r="A113" t="inlineStr">
        <is>
          <t>A 58701-2020</t>
        </is>
      </c>
      <c r="B113" s="1" t="n">
        <v>44146</v>
      </c>
      <c r="C113" s="1" t="n">
        <v>45888</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21879-2025</t>
        </is>
      </c>
      <c r="B114" s="1" t="n">
        <v>45784.40533564815</v>
      </c>
      <c r="C114" s="1" t="n">
        <v>45888</v>
      </c>
      <c r="D114" t="inlineStr">
        <is>
          <t>GOTLANDS LÄN</t>
        </is>
      </c>
      <c r="E114" t="inlineStr">
        <is>
          <t>GOTLAND</t>
        </is>
      </c>
      <c r="G114" t="n">
        <v>11.1</v>
      </c>
      <c r="H114" t="n">
        <v>0</v>
      </c>
      <c r="I114" t="n">
        <v>1</v>
      </c>
      <c r="J114" t="n">
        <v>0</v>
      </c>
      <c r="K114" t="n">
        <v>0</v>
      </c>
      <c r="L114" t="n">
        <v>1</v>
      </c>
      <c r="M114" t="n">
        <v>0</v>
      </c>
      <c r="N114" t="n">
        <v>0</v>
      </c>
      <c r="O114" t="n">
        <v>1</v>
      </c>
      <c r="P114" t="n">
        <v>1</v>
      </c>
      <c r="Q114" t="n">
        <v>2</v>
      </c>
      <c r="R114" s="2" t="inlineStr">
        <is>
          <t>Ask
Murgröna</t>
        </is>
      </c>
      <c r="S114">
        <f>HYPERLINK("https://klasma.github.io/Logging_0980/artfynd/A 21879-2025 artfynd.xlsx", "A 21879-2025")</f>
        <v/>
      </c>
      <c r="T114">
        <f>HYPERLINK("https://klasma.github.io/Logging_0980/kartor/A 21879-2025 karta.png", "A 21879-2025")</f>
        <v/>
      </c>
      <c r="V114">
        <f>HYPERLINK("https://klasma.github.io/Logging_0980/klagomål/A 21879-2025 FSC-klagomål.docx", "A 21879-2025")</f>
        <v/>
      </c>
      <c r="W114">
        <f>HYPERLINK("https://klasma.github.io/Logging_0980/klagomålsmail/A 21879-2025 FSC-klagomål mail.docx", "A 21879-2025")</f>
        <v/>
      </c>
      <c r="X114">
        <f>HYPERLINK("https://klasma.github.io/Logging_0980/tillsyn/A 21879-2025 tillsynsbegäran.docx", "A 21879-2025")</f>
        <v/>
      </c>
      <c r="Y114">
        <f>HYPERLINK("https://klasma.github.io/Logging_0980/tillsynsmail/A 21879-2025 tillsynsbegäran mail.docx", "A 21879-2025")</f>
        <v/>
      </c>
    </row>
    <row r="115" ht="15" customHeight="1">
      <c r="A115" t="inlineStr">
        <is>
          <t>A 48126-2022</t>
        </is>
      </c>
      <c r="B115" s="1" t="n">
        <v>44857</v>
      </c>
      <c r="C115" s="1" t="n">
        <v>45888</v>
      </c>
      <c r="D115" t="inlineStr">
        <is>
          <t>GOTLANDS LÄN</t>
        </is>
      </c>
      <c r="E115" t="inlineStr">
        <is>
          <t>GOTLAND</t>
        </is>
      </c>
      <c r="G115" t="n">
        <v>9.800000000000001</v>
      </c>
      <c r="H115" t="n">
        <v>1</v>
      </c>
      <c r="I115" t="n">
        <v>0</v>
      </c>
      <c r="J115" t="n">
        <v>2</v>
      </c>
      <c r="K115" t="n">
        <v>0</v>
      </c>
      <c r="L115" t="n">
        <v>0</v>
      </c>
      <c r="M115" t="n">
        <v>0</v>
      </c>
      <c r="N115" t="n">
        <v>0</v>
      </c>
      <c r="O115" t="n">
        <v>2</v>
      </c>
      <c r="P115" t="n">
        <v>0</v>
      </c>
      <c r="Q115" t="n">
        <v>2</v>
      </c>
      <c r="R115" s="2" t="inlineStr">
        <is>
          <t>Jordtistel
Spillkråka</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7070-2022</t>
        </is>
      </c>
      <c r="B116" s="1" t="n">
        <v>44603</v>
      </c>
      <c r="C116" s="1" t="n">
        <v>45888</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26077-2024</t>
        </is>
      </c>
      <c r="B117" s="1" t="n">
        <v>45467</v>
      </c>
      <c r="C117" s="1" t="n">
        <v>45888</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64263-2020</t>
        </is>
      </c>
      <c r="B118" s="1" t="n">
        <v>44168</v>
      </c>
      <c r="C118" s="1" t="n">
        <v>45888</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45888</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45888</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45888</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45888</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45888</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45888</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45888</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45888</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45888</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45888</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45888</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24245-2022</t>
        </is>
      </c>
      <c r="B130" s="1" t="n">
        <v>44725</v>
      </c>
      <c r="C130" s="1" t="n">
        <v>45888</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447-2023</t>
        </is>
      </c>
      <c r="B131" s="1" t="n">
        <v>44929</v>
      </c>
      <c r="C131" s="1" t="n">
        <v>45888</v>
      </c>
      <c r="D131" t="inlineStr">
        <is>
          <t>GOTLANDS LÄN</t>
        </is>
      </c>
      <c r="E131" t="inlineStr">
        <is>
          <t>GOTLAND</t>
        </is>
      </c>
      <c r="G131" t="n">
        <v>5.1</v>
      </c>
      <c r="H131" t="n">
        <v>0</v>
      </c>
      <c r="I131" t="n">
        <v>0</v>
      </c>
      <c r="J131" t="n">
        <v>1</v>
      </c>
      <c r="K131" t="n">
        <v>0</v>
      </c>
      <c r="L131" t="n">
        <v>0</v>
      </c>
      <c r="M131" t="n">
        <v>0</v>
      </c>
      <c r="N131" t="n">
        <v>0</v>
      </c>
      <c r="O131" t="n">
        <v>1</v>
      </c>
      <c r="P131" t="n">
        <v>0</v>
      </c>
      <c r="Q131" t="n">
        <v>1</v>
      </c>
      <c r="R131" s="2" t="inlineStr">
        <is>
          <t>Äggspindling</t>
        </is>
      </c>
      <c r="S131">
        <f>HYPERLINK("https://klasma.github.io/Logging_0980/artfynd/A 447-2023 artfynd.xlsx", "A 447-2023")</f>
        <v/>
      </c>
      <c r="T131">
        <f>HYPERLINK("https://klasma.github.io/Logging_0980/kartor/A 447-2023 karta.png", "A 447-2023")</f>
        <v/>
      </c>
      <c r="V131">
        <f>HYPERLINK("https://klasma.github.io/Logging_0980/klagomål/A 447-2023 FSC-klagomål.docx", "A 447-2023")</f>
        <v/>
      </c>
      <c r="W131">
        <f>HYPERLINK("https://klasma.github.io/Logging_0980/klagomålsmail/A 447-2023 FSC-klagomål mail.docx", "A 447-2023")</f>
        <v/>
      </c>
      <c r="X131">
        <f>HYPERLINK("https://klasma.github.io/Logging_0980/tillsyn/A 447-2023 tillsynsbegäran.docx", "A 447-2023")</f>
        <v/>
      </c>
      <c r="Y131">
        <f>HYPERLINK("https://klasma.github.io/Logging_0980/tillsynsmail/A 447-2023 tillsynsbegäran mail.docx", "A 447-2023")</f>
        <v/>
      </c>
    </row>
    <row r="132" ht="15" customHeight="1">
      <c r="A132" t="inlineStr">
        <is>
          <t>A 20429-2025</t>
        </is>
      </c>
      <c r="B132" s="1" t="n">
        <v>45775.47728009259</v>
      </c>
      <c r="C132" s="1" t="n">
        <v>45888</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48155-2024</t>
        </is>
      </c>
      <c r="B133" s="1" t="n">
        <v>45589.68863425926</v>
      </c>
      <c r="C133" s="1" t="n">
        <v>45888</v>
      </c>
      <c r="D133" t="inlineStr">
        <is>
          <t>GOTLANDS LÄN</t>
        </is>
      </c>
      <c r="E133" t="inlineStr">
        <is>
          <t>GOTLAND</t>
        </is>
      </c>
      <c r="G133" t="n">
        <v>2.4</v>
      </c>
      <c r="H133" t="n">
        <v>1</v>
      </c>
      <c r="I133" t="n">
        <v>0</v>
      </c>
      <c r="J133" t="n">
        <v>0</v>
      </c>
      <c r="K133" t="n">
        <v>0</v>
      </c>
      <c r="L133" t="n">
        <v>0</v>
      </c>
      <c r="M133" t="n">
        <v>0</v>
      </c>
      <c r="N133" t="n">
        <v>0</v>
      </c>
      <c r="O133" t="n">
        <v>0</v>
      </c>
      <c r="P133" t="n">
        <v>0</v>
      </c>
      <c r="Q133" t="n">
        <v>1</v>
      </c>
      <c r="R133" s="2" t="inlineStr">
        <is>
          <t>Gröngöling</t>
        </is>
      </c>
      <c r="S133">
        <f>HYPERLINK("https://klasma.github.io/Logging_0980/artfynd/A 48155-2024 artfynd.xlsx", "A 48155-2024")</f>
        <v/>
      </c>
      <c r="T133">
        <f>HYPERLINK("https://klasma.github.io/Logging_0980/kartor/A 48155-2024 karta.png", "A 48155-2024")</f>
        <v/>
      </c>
      <c r="V133">
        <f>HYPERLINK("https://klasma.github.io/Logging_0980/klagomål/A 48155-2024 FSC-klagomål.docx", "A 48155-2024")</f>
        <v/>
      </c>
      <c r="W133">
        <f>HYPERLINK("https://klasma.github.io/Logging_0980/klagomålsmail/A 48155-2024 FSC-klagomål mail.docx", "A 48155-2024")</f>
        <v/>
      </c>
      <c r="X133">
        <f>HYPERLINK("https://klasma.github.io/Logging_0980/tillsyn/A 48155-2024 tillsynsbegäran.docx", "A 48155-2024")</f>
        <v/>
      </c>
      <c r="Y133">
        <f>HYPERLINK("https://klasma.github.io/Logging_0980/tillsynsmail/A 48155-2024 tillsynsbegäran mail.docx", "A 48155-2024")</f>
        <v/>
      </c>
      <c r="Z133">
        <f>HYPERLINK("https://klasma.github.io/Logging_0980/fåglar/A 48155-2024 prioriterade fågelarter.docx", "A 48155-2024")</f>
        <v/>
      </c>
    </row>
    <row r="134" ht="15" customHeight="1">
      <c r="A134" t="inlineStr">
        <is>
          <t>A 34809-2024</t>
        </is>
      </c>
      <c r="B134" s="1" t="n">
        <v>45526</v>
      </c>
      <c r="C134" s="1" t="n">
        <v>45888</v>
      </c>
      <c r="D134" t="inlineStr">
        <is>
          <t>GOTLANDS LÄN</t>
        </is>
      </c>
      <c r="E134" t="inlineStr">
        <is>
          <t>GOTLAND</t>
        </is>
      </c>
      <c r="G134" t="n">
        <v>9.9</v>
      </c>
      <c r="H134" t="n">
        <v>1</v>
      </c>
      <c r="I134" t="n">
        <v>0</v>
      </c>
      <c r="J134" t="n">
        <v>1</v>
      </c>
      <c r="K134" t="n">
        <v>0</v>
      </c>
      <c r="L134" t="n">
        <v>0</v>
      </c>
      <c r="M134" t="n">
        <v>0</v>
      </c>
      <c r="N134" t="n">
        <v>0</v>
      </c>
      <c r="O134" t="n">
        <v>1</v>
      </c>
      <c r="P134" t="n">
        <v>0</v>
      </c>
      <c r="Q134" t="n">
        <v>1</v>
      </c>
      <c r="R134" s="2" t="inlineStr">
        <is>
          <t>Brun ögontröst</t>
        </is>
      </c>
      <c r="S134">
        <f>HYPERLINK("https://klasma.github.io/Logging_0980/artfynd/A 34809-2024 artfynd.xlsx", "A 34809-2024")</f>
        <v/>
      </c>
      <c r="T134">
        <f>HYPERLINK("https://klasma.github.io/Logging_0980/kartor/A 34809-2024 karta.png", "A 34809-2024")</f>
        <v/>
      </c>
      <c r="V134">
        <f>HYPERLINK("https://klasma.github.io/Logging_0980/klagomål/A 34809-2024 FSC-klagomål.docx", "A 34809-2024")</f>
        <v/>
      </c>
      <c r="W134">
        <f>HYPERLINK("https://klasma.github.io/Logging_0980/klagomålsmail/A 34809-2024 FSC-klagomål mail.docx", "A 34809-2024")</f>
        <v/>
      </c>
      <c r="X134">
        <f>HYPERLINK("https://klasma.github.io/Logging_0980/tillsyn/A 34809-2024 tillsynsbegäran.docx", "A 34809-2024")</f>
        <v/>
      </c>
      <c r="Y134">
        <f>HYPERLINK("https://klasma.github.io/Logging_0980/tillsynsmail/A 34809-2024 tillsynsbegäran mail.docx", "A 34809-2024")</f>
        <v/>
      </c>
    </row>
    <row r="135" ht="15" customHeight="1">
      <c r="A135" t="inlineStr">
        <is>
          <t>A 10995-2023</t>
        </is>
      </c>
      <c r="B135" s="1" t="n">
        <v>44986</v>
      </c>
      <c r="C135" s="1" t="n">
        <v>45888</v>
      </c>
      <c r="D135" t="inlineStr">
        <is>
          <t>GOTLANDS LÄN</t>
        </is>
      </c>
      <c r="E135" t="inlineStr">
        <is>
          <t>GOTLAND</t>
        </is>
      </c>
      <c r="G135" t="n">
        <v>2.8</v>
      </c>
      <c r="H135" t="n">
        <v>0</v>
      </c>
      <c r="I135" t="n">
        <v>0</v>
      </c>
      <c r="J135" t="n">
        <v>0</v>
      </c>
      <c r="K135" t="n">
        <v>1</v>
      </c>
      <c r="L135" t="n">
        <v>0</v>
      </c>
      <c r="M135" t="n">
        <v>0</v>
      </c>
      <c r="N135" t="n">
        <v>0</v>
      </c>
      <c r="O135" t="n">
        <v>1</v>
      </c>
      <c r="P135" t="n">
        <v>1</v>
      </c>
      <c r="Q135" t="n">
        <v>1</v>
      </c>
      <c r="R135" s="2" t="inlineStr">
        <is>
          <t>Violettfläckig spindling</t>
        </is>
      </c>
      <c r="S135">
        <f>HYPERLINK("https://klasma.github.io/Logging_0980/artfynd/A 10995-2023 artfynd.xlsx", "A 10995-2023")</f>
        <v/>
      </c>
      <c r="T135">
        <f>HYPERLINK("https://klasma.github.io/Logging_0980/kartor/A 10995-2023 karta.png", "A 10995-2023")</f>
        <v/>
      </c>
      <c r="V135">
        <f>HYPERLINK("https://klasma.github.io/Logging_0980/klagomål/A 10995-2023 FSC-klagomål.docx", "A 10995-2023")</f>
        <v/>
      </c>
      <c r="W135">
        <f>HYPERLINK("https://klasma.github.io/Logging_0980/klagomålsmail/A 10995-2023 FSC-klagomål mail.docx", "A 10995-2023")</f>
        <v/>
      </c>
      <c r="X135">
        <f>HYPERLINK("https://klasma.github.io/Logging_0980/tillsyn/A 10995-2023 tillsynsbegäran.docx", "A 10995-2023")</f>
        <v/>
      </c>
      <c r="Y135">
        <f>HYPERLINK("https://klasma.github.io/Logging_0980/tillsynsmail/A 10995-2023 tillsynsbegäran mail.docx", "A 10995-2023")</f>
        <v/>
      </c>
    </row>
    <row r="136" ht="15" customHeight="1">
      <c r="A136" t="inlineStr">
        <is>
          <t>A 44308-2021</t>
        </is>
      </c>
      <c r="B136" s="1" t="n">
        <v>44434</v>
      </c>
      <c r="C136" s="1" t="n">
        <v>45888</v>
      </c>
      <c r="D136" t="inlineStr">
        <is>
          <t>GOTLANDS LÄN</t>
        </is>
      </c>
      <c r="E136" t="inlineStr">
        <is>
          <t>GOTLAND</t>
        </is>
      </c>
      <c r="G136" t="n">
        <v>5.9</v>
      </c>
      <c r="H136" t="n">
        <v>0</v>
      </c>
      <c r="I136" t="n">
        <v>1</v>
      </c>
      <c r="J136" t="n">
        <v>0</v>
      </c>
      <c r="K136" t="n">
        <v>0</v>
      </c>
      <c r="L136" t="n">
        <v>0</v>
      </c>
      <c r="M136" t="n">
        <v>0</v>
      </c>
      <c r="N136" t="n">
        <v>0</v>
      </c>
      <c r="O136" t="n">
        <v>0</v>
      </c>
      <c r="P136" t="n">
        <v>0</v>
      </c>
      <c r="Q136" t="n">
        <v>1</v>
      </c>
      <c r="R136" s="2" t="inlineStr">
        <is>
          <t>Svavelriska</t>
        </is>
      </c>
      <c r="S136">
        <f>HYPERLINK("https://klasma.github.io/Logging_0980/artfynd/A 44308-2021 artfynd.xlsx", "A 44308-2021")</f>
        <v/>
      </c>
      <c r="T136">
        <f>HYPERLINK("https://klasma.github.io/Logging_0980/kartor/A 44308-2021 karta.png", "A 44308-2021")</f>
        <v/>
      </c>
      <c r="V136">
        <f>HYPERLINK("https://klasma.github.io/Logging_0980/klagomål/A 44308-2021 FSC-klagomål.docx", "A 44308-2021")</f>
        <v/>
      </c>
      <c r="W136">
        <f>HYPERLINK("https://klasma.github.io/Logging_0980/klagomålsmail/A 44308-2021 FSC-klagomål mail.docx", "A 44308-2021")</f>
        <v/>
      </c>
      <c r="X136">
        <f>HYPERLINK("https://klasma.github.io/Logging_0980/tillsyn/A 44308-2021 tillsynsbegäran.docx", "A 44308-2021")</f>
        <v/>
      </c>
      <c r="Y136">
        <f>HYPERLINK("https://klasma.github.io/Logging_0980/tillsynsmail/A 44308-2021 tillsynsbegäran mail.docx", "A 44308-2021")</f>
        <v/>
      </c>
    </row>
    <row r="137" ht="15" customHeight="1">
      <c r="A137" t="inlineStr">
        <is>
          <t>A 63576-2021</t>
        </is>
      </c>
      <c r="B137" s="1" t="n">
        <v>44508</v>
      </c>
      <c r="C137" s="1" t="n">
        <v>45888</v>
      </c>
      <c r="D137" t="inlineStr">
        <is>
          <t>GOTLANDS LÄN</t>
        </is>
      </c>
      <c r="E137" t="inlineStr">
        <is>
          <t>GOTLAND</t>
        </is>
      </c>
      <c r="F137" t="inlineStr">
        <is>
          <t>Kyrkan</t>
        </is>
      </c>
      <c r="G137" t="n">
        <v>4.1</v>
      </c>
      <c r="H137" t="n">
        <v>1</v>
      </c>
      <c r="I137" t="n">
        <v>0</v>
      </c>
      <c r="J137" t="n">
        <v>1</v>
      </c>
      <c r="K137" t="n">
        <v>0</v>
      </c>
      <c r="L137" t="n">
        <v>0</v>
      </c>
      <c r="M137" t="n">
        <v>0</v>
      </c>
      <c r="N137" t="n">
        <v>0</v>
      </c>
      <c r="O137" t="n">
        <v>1</v>
      </c>
      <c r="P137" t="n">
        <v>0</v>
      </c>
      <c r="Q137" t="n">
        <v>1</v>
      </c>
      <c r="R137" s="2" t="inlineStr">
        <is>
          <t>Dårgräsfjäril</t>
        </is>
      </c>
      <c r="S137">
        <f>HYPERLINK("https://klasma.github.io/Logging_0980/artfynd/A 63576-2021 artfynd.xlsx", "A 63576-2021")</f>
        <v/>
      </c>
      <c r="T137">
        <f>HYPERLINK("https://klasma.github.io/Logging_0980/kartor/A 63576-2021 karta.png", "A 63576-2021")</f>
        <v/>
      </c>
      <c r="V137">
        <f>HYPERLINK("https://klasma.github.io/Logging_0980/klagomål/A 63576-2021 FSC-klagomål.docx", "A 63576-2021")</f>
        <v/>
      </c>
      <c r="W137">
        <f>HYPERLINK("https://klasma.github.io/Logging_0980/klagomålsmail/A 63576-2021 FSC-klagomål mail.docx", "A 63576-2021")</f>
        <v/>
      </c>
      <c r="X137">
        <f>HYPERLINK("https://klasma.github.io/Logging_0980/tillsyn/A 63576-2021 tillsynsbegäran.docx", "A 63576-2021")</f>
        <v/>
      </c>
      <c r="Y137">
        <f>HYPERLINK("https://klasma.github.io/Logging_0980/tillsynsmail/A 63576-2021 tillsynsbegäran mail.docx", "A 63576-2021")</f>
        <v/>
      </c>
    </row>
    <row r="138" ht="15" customHeight="1">
      <c r="A138" t="inlineStr">
        <is>
          <t>A 12924-2025</t>
        </is>
      </c>
      <c r="B138" s="1" t="n">
        <v>45734</v>
      </c>
      <c r="C138" s="1" t="n">
        <v>45888</v>
      </c>
      <c r="D138" t="inlineStr">
        <is>
          <t>GOTLANDS LÄN</t>
        </is>
      </c>
      <c r="E138" t="inlineStr">
        <is>
          <t>GOTLAND</t>
        </is>
      </c>
      <c r="G138" t="n">
        <v>11.7</v>
      </c>
      <c r="H138" t="n">
        <v>0</v>
      </c>
      <c r="I138" t="n">
        <v>0</v>
      </c>
      <c r="J138" t="n">
        <v>0</v>
      </c>
      <c r="K138" t="n">
        <v>1</v>
      </c>
      <c r="L138" t="n">
        <v>0</v>
      </c>
      <c r="M138" t="n">
        <v>0</v>
      </c>
      <c r="N138" t="n">
        <v>0</v>
      </c>
      <c r="O138" t="n">
        <v>1</v>
      </c>
      <c r="P138" t="n">
        <v>1</v>
      </c>
      <c r="Q138" t="n">
        <v>1</v>
      </c>
      <c r="R138" s="2" t="inlineStr">
        <is>
          <t>Gotlandsmåra</t>
        </is>
      </c>
      <c r="S138">
        <f>HYPERLINK("https://klasma.github.io/Logging_0980/artfynd/A 12924-2025 artfynd.xlsx", "A 12924-2025")</f>
        <v/>
      </c>
      <c r="T138">
        <f>HYPERLINK("https://klasma.github.io/Logging_0980/kartor/A 12924-2025 karta.png", "A 12924-2025")</f>
        <v/>
      </c>
      <c r="V138">
        <f>HYPERLINK("https://klasma.github.io/Logging_0980/klagomål/A 12924-2025 FSC-klagomål.docx", "A 12924-2025")</f>
        <v/>
      </c>
      <c r="W138">
        <f>HYPERLINK("https://klasma.github.io/Logging_0980/klagomålsmail/A 12924-2025 FSC-klagomål mail.docx", "A 12924-2025")</f>
        <v/>
      </c>
      <c r="X138">
        <f>HYPERLINK("https://klasma.github.io/Logging_0980/tillsyn/A 12924-2025 tillsynsbegäran.docx", "A 12924-2025")</f>
        <v/>
      </c>
      <c r="Y138">
        <f>HYPERLINK("https://klasma.github.io/Logging_0980/tillsynsmail/A 12924-2025 tillsynsbegäran mail.docx", "A 12924-2025")</f>
        <v/>
      </c>
    </row>
    <row r="139" ht="15" customHeight="1">
      <c r="A139" t="inlineStr">
        <is>
          <t>A 21466-2025</t>
        </is>
      </c>
      <c r="B139" s="1" t="n">
        <v>45782</v>
      </c>
      <c r="C139" s="1" t="n">
        <v>45888</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49304-2024</t>
        </is>
      </c>
      <c r="B140" s="1" t="n">
        <v>45595.54996527778</v>
      </c>
      <c r="C140" s="1" t="n">
        <v>45888</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46527-2023</t>
        </is>
      </c>
      <c r="B141" s="1" t="n">
        <v>45197</v>
      </c>
      <c r="C141" s="1" t="n">
        <v>45888</v>
      </c>
      <c r="D141" t="inlineStr">
        <is>
          <t>GOTLANDS LÄN</t>
        </is>
      </c>
      <c r="E141" t="inlineStr">
        <is>
          <t>GOTLAND</t>
        </is>
      </c>
      <c r="G141" t="n">
        <v>0.9</v>
      </c>
      <c r="H141" t="n">
        <v>0</v>
      </c>
      <c r="I141" t="n">
        <v>0</v>
      </c>
      <c r="J141" t="n">
        <v>1</v>
      </c>
      <c r="K141" t="n">
        <v>0</v>
      </c>
      <c r="L141" t="n">
        <v>0</v>
      </c>
      <c r="M141" t="n">
        <v>0</v>
      </c>
      <c r="N141" t="n">
        <v>0</v>
      </c>
      <c r="O141" t="n">
        <v>1</v>
      </c>
      <c r="P141" t="n">
        <v>0</v>
      </c>
      <c r="Q141" t="n">
        <v>1</v>
      </c>
      <c r="R141" s="2" t="inlineStr">
        <is>
          <t>Guldgräshoppa</t>
        </is>
      </c>
      <c r="S141">
        <f>HYPERLINK("https://klasma.github.io/Logging_0980/artfynd/A 46527-2023 artfynd.xlsx", "A 46527-2023")</f>
        <v/>
      </c>
      <c r="T141">
        <f>HYPERLINK("https://klasma.github.io/Logging_0980/kartor/A 46527-2023 karta.png", "A 46527-2023")</f>
        <v/>
      </c>
      <c r="V141">
        <f>HYPERLINK("https://klasma.github.io/Logging_0980/klagomål/A 46527-2023 FSC-klagomål.docx", "A 46527-2023")</f>
        <v/>
      </c>
      <c r="W141">
        <f>HYPERLINK("https://klasma.github.io/Logging_0980/klagomålsmail/A 46527-2023 FSC-klagomål mail.docx", "A 46527-2023")</f>
        <v/>
      </c>
      <c r="X141">
        <f>HYPERLINK("https://klasma.github.io/Logging_0980/tillsyn/A 46527-2023 tillsynsbegäran.docx", "A 46527-2023")</f>
        <v/>
      </c>
      <c r="Y141">
        <f>HYPERLINK("https://klasma.github.io/Logging_0980/tillsynsmail/A 46527-2023 tillsynsbegäran mail.docx", "A 46527-2023")</f>
        <v/>
      </c>
    </row>
    <row r="142" ht="15" customHeight="1">
      <c r="A142" t="inlineStr">
        <is>
          <t>A 22782-2023</t>
        </is>
      </c>
      <c r="B142" s="1" t="n">
        <v>45072</v>
      </c>
      <c r="C142" s="1" t="n">
        <v>45888</v>
      </c>
      <c r="D142" t="inlineStr">
        <is>
          <t>GOTLANDS LÄN</t>
        </is>
      </c>
      <c r="E142" t="inlineStr">
        <is>
          <t>GOTLAND</t>
        </is>
      </c>
      <c r="F142" t="inlineStr">
        <is>
          <t>Kyrkan</t>
        </is>
      </c>
      <c r="G142" t="n">
        <v>3.1</v>
      </c>
      <c r="H142" t="n">
        <v>1</v>
      </c>
      <c r="I142" t="n">
        <v>0</v>
      </c>
      <c r="J142" t="n">
        <v>0</v>
      </c>
      <c r="K142" t="n">
        <v>0</v>
      </c>
      <c r="L142" t="n">
        <v>0</v>
      </c>
      <c r="M142" t="n">
        <v>0</v>
      </c>
      <c r="N142" t="n">
        <v>0</v>
      </c>
      <c r="O142" t="n">
        <v>0</v>
      </c>
      <c r="P142" t="n">
        <v>0</v>
      </c>
      <c r="Q142" t="n">
        <v>1</v>
      </c>
      <c r="R142" s="2" t="inlineStr">
        <is>
          <t>Ängsnycklar × skogsnycklar</t>
        </is>
      </c>
      <c r="S142">
        <f>HYPERLINK("https://klasma.github.io/Logging_0980/artfynd/A 22782-2023 artfynd.xlsx", "A 22782-2023")</f>
        <v/>
      </c>
      <c r="T142">
        <f>HYPERLINK("https://klasma.github.io/Logging_0980/kartor/A 22782-2023 karta.png", "A 22782-2023")</f>
        <v/>
      </c>
      <c r="V142">
        <f>HYPERLINK("https://klasma.github.io/Logging_0980/klagomål/A 22782-2023 FSC-klagomål.docx", "A 22782-2023")</f>
        <v/>
      </c>
      <c r="W142">
        <f>HYPERLINK("https://klasma.github.io/Logging_0980/klagomålsmail/A 22782-2023 FSC-klagomål mail.docx", "A 22782-2023")</f>
        <v/>
      </c>
      <c r="X142">
        <f>HYPERLINK("https://klasma.github.io/Logging_0980/tillsyn/A 22782-2023 tillsynsbegäran.docx", "A 22782-2023")</f>
        <v/>
      </c>
      <c r="Y142">
        <f>HYPERLINK("https://klasma.github.io/Logging_0980/tillsynsmail/A 22782-2023 tillsynsbegäran mail.docx", "A 22782-2023")</f>
        <v/>
      </c>
    </row>
    <row r="143" ht="15" customHeight="1">
      <c r="A143" t="inlineStr">
        <is>
          <t>A 17723-2021</t>
        </is>
      </c>
      <c r="B143" s="1" t="n">
        <v>44300</v>
      </c>
      <c r="C143" s="1" t="n">
        <v>45888</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44088-2022</t>
        </is>
      </c>
      <c r="B144" s="1" t="n">
        <v>44839</v>
      </c>
      <c r="C144" s="1" t="n">
        <v>45888</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2213-2023</t>
        </is>
      </c>
      <c r="B145" s="1" t="n">
        <v>44942</v>
      </c>
      <c r="C145" s="1" t="n">
        <v>45888</v>
      </c>
      <c r="D145" t="inlineStr">
        <is>
          <t>GOTLANDS LÄN</t>
        </is>
      </c>
      <c r="E145" t="inlineStr">
        <is>
          <t>GOTLAND</t>
        </is>
      </c>
      <c r="G145" t="n">
        <v>2.7</v>
      </c>
      <c r="H145" t="n">
        <v>0</v>
      </c>
      <c r="I145" t="n">
        <v>0</v>
      </c>
      <c r="J145" t="n">
        <v>1</v>
      </c>
      <c r="K145" t="n">
        <v>0</v>
      </c>
      <c r="L145" t="n">
        <v>0</v>
      </c>
      <c r="M145" t="n">
        <v>0</v>
      </c>
      <c r="N145" t="n">
        <v>0</v>
      </c>
      <c r="O145" t="n">
        <v>1</v>
      </c>
      <c r="P145" t="n">
        <v>0</v>
      </c>
      <c r="Q145" t="n">
        <v>1</v>
      </c>
      <c r="R145" s="2" t="inlineStr">
        <is>
          <t>Odörspindling</t>
        </is>
      </c>
      <c r="S145">
        <f>HYPERLINK("https://klasma.github.io/Logging_0980/artfynd/A 2213-2023 artfynd.xlsx", "A 2213-2023")</f>
        <v/>
      </c>
      <c r="T145">
        <f>HYPERLINK("https://klasma.github.io/Logging_0980/kartor/A 2213-2023 karta.png", "A 2213-2023")</f>
        <v/>
      </c>
      <c r="V145">
        <f>HYPERLINK("https://klasma.github.io/Logging_0980/klagomål/A 2213-2023 FSC-klagomål.docx", "A 2213-2023")</f>
        <v/>
      </c>
      <c r="W145">
        <f>HYPERLINK("https://klasma.github.io/Logging_0980/klagomålsmail/A 2213-2023 FSC-klagomål mail.docx", "A 2213-2023")</f>
        <v/>
      </c>
      <c r="X145">
        <f>HYPERLINK("https://klasma.github.io/Logging_0980/tillsyn/A 2213-2023 tillsynsbegäran.docx", "A 2213-2023")</f>
        <v/>
      </c>
      <c r="Y145">
        <f>HYPERLINK("https://klasma.github.io/Logging_0980/tillsynsmail/A 2213-2023 tillsynsbegäran mail.docx", "A 2213-2023")</f>
        <v/>
      </c>
    </row>
    <row r="146" ht="15" customHeight="1">
      <c r="A146" t="inlineStr">
        <is>
          <t>A 10440-2024</t>
        </is>
      </c>
      <c r="B146" s="1" t="n">
        <v>45366.32818287037</v>
      </c>
      <c r="C146" s="1" t="n">
        <v>45888</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6303-2024</t>
        </is>
      </c>
      <c r="B147" s="1" t="n">
        <v>45338.35376157407</v>
      </c>
      <c r="C147" s="1" t="n">
        <v>45888</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45888</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45888</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25977-2024</t>
        </is>
      </c>
      <c r="B150" s="1" t="n">
        <v>45467.69356481481</v>
      </c>
      <c r="C150" s="1" t="n">
        <v>45888</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8725-2025</t>
        </is>
      </c>
      <c r="B151" s="1" t="n">
        <v>45712</v>
      </c>
      <c r="C151" s="1" t="n">
        <v>45888</v>
      </c>
      <c r="D151" t="inlineStr">
        <is>
          <t>GOTLANDS LÄN</t>
        </is>
      </c>
      <c r="E151" t="inlineStr">
        <is>
          <t>GOTLAND</t>
        </is>
      </c>
      <c r="G151" t="n">
        <v>4.4</v>
      </c>
      <c r="H151" t="n">
        <v>1</v>
      </c>
      <c r="I151" t="n">
        <v>0</v>
      </c>
      <c r="J151" t="n">
        <v>1</v>
      </c>
      <c r="K151" t="n">
        <v>0</v>
      </c>
      <c r="L151" t="n">
        <v>0</v>
      </c>
      <c r="M151" t="n">
        <v>0</v>
      </c>
      <c r="N151" t="n">
        <v>0</v>
      </c>
      <c r="O151" t="n">
        <v>1</v>
      </c>
      <c r="P151" t="n">
        <v>0</v>
      </c>
      <c r="Q151" t="n">
        <v>1</v>
      </c>
      <c r="R151" s="2" t="inlineStr">
        <is>
          <t>Spillkråka</t>
        </is>
      </c>
      <c r="S151">
        <f>HYPERLINK("https://klasma.github.io/Logging_0980/artfynd/A 8725-2025 artfynd.xlsx", "A 8725-2025")</f>
        <v/>
      </c>
      <c r="T151">
        <f>HYPERLINK("https://klasma.github.io/Logging_0980/kartor/A 8725-2025 karta.png", "A 8725-2025")</f>
        <v/>
      </c>
      <c r="V151">
        <f>HYPERLINK("https://klasma.github.io/Logging_0980/klagomål/A 8725-2025 FSC-klagomål.docx", "A 8725-2025")</f>
        <v/>
      </c>
      <c r="W151">
        <f>HYPERLINK("https://klasma.github.io/Logging_0980/klagomålsmail/A 8725-2025 FSC-klagomål mail.docx", "A 8725-2025")</f>
        <v/>
      </c>
      <c r="X151">
        <f>HYPERLINK("https://klasma.github.io/Logging_0980/tillsyn/A 8725-2025 tillsynsbegäran.docx", "A 8725-2025")</f>
        <v/>
      </c>
      <c r="Y151">
        <f>HYPERLINK("https://klasma.github.io/Logging_0980/tillsynsmail/A 8725-2025 tillsynsbegäran mail.docx", "A 8725-2025")</f>
        <v/>
      </c>
      <c r="Z151">
        <f>HYPERLINK("https://klasma.github.io/Logging_0980/fåglar/A 8725-2025 prioriterade fågelarter.docx", "A 8725-2025")</f>
        <v/>
      </c>
    </row>
    <row r="152" ht="15" customHeight="1">
      <c r="A152" t="inlineStr">
        <is>
          <t>A 27589-2023</t>
        </is>
      </c>
      <c r="B152" s="1" t="n">
        <v>45097</v>
      </c>
      <c r="C152" s="1" t="n">
        <v>45888</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26461-2025</t>
        </is>
      </c>
      <c r="B153" s="1" t="n">
        <v>45807.43337962963</v>
      </c>
      <c r="C153" s="1" t="n">
        <v>45888</v>
      </c>
      <c r="D153" t="inlineStr">
        <is>
          <t>GOTLANDS LÄN</t>
        </is>
      </c>
      <c r="E153" t="inlineStr">
        <is>
          <t>GOTLAND</t>
        </is>
      </c>
      <c r="G153" t="n">
        <v>4.1</v>
      </c>
      <c r="H153" t="n">
        <v>0</v>
      </c>
      <c r="I153" t="n">
        <v>0</v>
      </c>
      <c r="J153" t="n">
        <v>0</v>
      </c>
      <c r="K153" t="n">
        <v>1</v>
      </c>
      <c r="L153" t="n">
        <v>0</v>
      </c>
      <c r="M153" t="n">
        <v>0</v>
      </c>
      <c r="N153" t="n">
        <v>0</v>
      </c>
      <c r="O153" t="n">
        <v>1</v>
      </c>
      <c r="P153" t="n">
        <v>1</v>
      </c>
      <c r="Q153" t="n">
        <v>1</v>
      </c>
      <c r="R153" s="2" t="inlineStr">
        <is>
          <t>Gotlandsmåra</t>
        </is>
      </c>
      <c r="S153">
        <f>HYPERLINK("https://klasma.github.io/Logging_0980/artfynd/A 26461-2025 artfynd.xlsx", "A 26461-2025")</f>
        <v/>
      </c>
      <c r="T153">
        <f>HYPERLINK("https://klasma.github.io/Logging_0980/kartor/A 26461-2025 karta.png", "A 26461-2025")</f>
        <v/>
      </c>
      <c r="V153">
        <f>HYPERLINK("https://klasma.github.io/Logging_0980/klagomål/A 26461-2025 FSC-klagomål.docx", "A 26461-2025")</f>
        <v/>
      </c>
      <c r="W153">
        <f>HYPERLINK("https://klasma.github.io/Logging_0980/klagomålsmail/A 26461-2025 FSC-klagomål mail.docx", "A 26461-2025")</f>
        <v/>
      </c>
      <c r="X153">
        <f>HYPERLINK("https://klasma.github.io/Logging_0980/tillsyn/A 26461-2025 tillsynsbegäran.docx", "A 26461-2025")</f>
        <v/>
      </c>
      <c r="Y153">
        <f>HYPERLINK("https://klasma.github.io/Logging_0980/tillsynsmail/A 26461-2025 tillsynsbegäran mail.docx", "A 26461-2025")</f>
        <v/>
      </c>
    </row>
    <row r="154" ht="15" customHeight="1">
      <c r="A154" t="inlineStr">
        <is>
          <t>A 44468-2024</t>
        </is>
      </c>
      <c r="B154" s="1" t="n">
        <v>45574.36651620371</v>
      </c>
      <c r="C154" s="1" t="n">
        <v>45888</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45888</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45888</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61561-2023</t>
        </is>
      </c>
      <c r="B157" s="1" t="n">
        <v>45265</v>
      </c>
      <c r="C157" s="1" t="n">
        <v>45888</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7637-2025</t>
        </is>
      </c>
      <c r="B158" s="1" t="n">
        <v>45705.77181712963</v>
      </c>
      <c r="C158" s="1" t="n">
        <v>45888</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61796-2022</t>
        </is>
      </c>
      <c r="B159" s="1" t="n">
        <v>44917</v>
      </c>
      <c r="C159" s="1" t="n">
        <v>45888</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12324-2025</t>
        </is>
      </c>
      <c r="B160" s="1" t="n">
        <v>45730</v>
      </c>
      <c r="C160" s="1" t="n">
        <v>45888</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44958-2020</t>
        </is>
      </c>
      <c r="B161" s="1" t="n">
        <v>44088</v>
      </c>
      <c r="C161" s="1" t="n">
        <v>45888</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10218-2025</t>
        </is>
      </c>
      <c r="B162" s="1" t="n">
        <v>45720</v>
      </c>
      <c r="C162" s="1" t="n">
        <v>45888</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45888</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45888</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45888</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9862-2024</t>
        </is>
      </c>
      <c r="B166" s="1" t="n">
        <v>45363</v>
      </c>
      <c r="C166" s="1" t="n">
        <v>45888</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45888</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15637-2024</t>
        </is>
      </c>
      <c r="B168" s="1" t="n">
        <v>45403.6684837963</v>
      </c>
      <c r="C168" s="1" t="n">
        <v>45888</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43219-2023</t>
        </is>
      </c>
      <c r="B169" s="1" t="n">
        <v>45183</v>
      </c>
      <c r="C169" s="1" t="n">
        <v>45888</v>
      </c>
      <c r="D169" t="inlineStr">
        <is>
          <t>GOTLANDS LÄN</t>
        </is>
      </c>
      <c r="E169" t="inlineStr">
        <is>
          <t>GOTLAND</t>
        </is>
      </c>
      <c r="G169" t="n">
        <v>3.6</v>
      </c>
      <c r="H169" t="n">
        <v>1</v>
      </c>
      <c r="I169" t="n">
        <v>0</v>
      </c>
      <c r="J169" t="n">
        <v>0</v>
      </c>
      <c r="K169" t="n">
        <v>0</v>
      </c>
      <c r="L169" t="n">
        <v>0</v>
      </c>
      <c r="M169" t="n">
        <v>0</v>
      </c>
      <c r="N169" t="n">
        <v>0</v>
      </c>
      <c r="O169" t="n">
        <v>0</v>
      </c>
      <c r="P169" t="n">
        <v>0</v>
      </c>
      <c r="Q169" t="n">
        <v>1</v>
      </c>
      <c r="R169" s="2" t="inlineStr">
        <is>
          <t>Skogsduva</t>
        </is>
      </c>
      <c r="S169">
        <f>HYPERLINK("https://klasma.github.io/Logging_0980/artfynd/A 43219-2023 artfynd.xlsx", "A 43219-2023")</f>
        <v/>
      </c>
      <c r="T169">
        <f>HYPERLINK("https://klasma.github.io/Logging_0980/kartor/A 43219-2023 karta.png", "A 43219-2023")</f>
        <v/>
      </c>
      <c r="V169">
        <f>HYPERLINK("https://klasma.github.io/Logging_0980/klagomål/A 43219-2023 FSC-klagomål.docx", "A 43219-2023")</f>
        <v/>
      </c>
      <c r="W169">
        <f>HYPERLINK("https://klasma.github.io/Logging_0980/klagomålsmail/A 43219-2023 FSC-klagomål mail.docx", "A 43219-2023")</f>
        <v/>
      </c>
      <c r="X169">
        <f>HYPERLINK("https://klasma.github.io/Logging_0980/tillsyn/A 43219-2023 tillsynsbegäran.docx", "A 43219-2023")</f>
        <v/>
      </c>
      <c r="Y169">
        <f>HYPERLINK("https://klasma.github.io/Logging_0980/tillsynsmail/A 43219-2023 tillsynsbegäran mail.docx", "A 43219-2023")</f>
        <v/>
      </c>
      <c r="Z169">
        <f>HYPERLINK("https://klasma.github.io/Logging_0980/fåglar/A 43219-2023 prioriterade fågelarter.docx", "A 43219-2023")</f>
        <v/>
      </c>
    </row>
    <row r="170" ht="15" customHeight="1">
      <c r="A170" t="inlineStr">
        <is>
          <t>A 63299-2020</t>
        </is>
      </c>
      <c r="B170" s="1" t="n">
        <v>44165</v>
      </c>
      <c r="C170" s="1" t="n">
        <v>45888</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49847-2023</t>
        </is>
      </c>
      <c r="B171" s="1" t="n">
        <v>45212</v>
      </c>
      <c r="C171" s="1" t="n">
        <v>45888</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45888</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36313-2021</t>
        </is>
      </c>
      <c r="B173" s="1" t="n">
        <v>44390</v>
      </c>
      <c r="C173" s="1" t="n">
        <v>45888</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45888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45888</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45888</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45888</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45888</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45888</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45888</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45888</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45888</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45888</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45888</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45888</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45888</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45888</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45888</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45888</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45888</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45888</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45888</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45888</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45888</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45888</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45888</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45888</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45888</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45888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45888</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45888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45888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45888</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45888</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45888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45888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45888</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45888</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45888</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45888</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45888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45888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53641-2020</t>
        </is>
      </c>
      <c r="B231" s="1" t="n">
        <v>44124</v>
      </c>
      <c r="C231" s="1" t="n">
        <v>45888</v>
      </c>
      <c r="D231" t="inlineStr">
        <is>
          <t>GOTLANDS LÄN</t>
        </is>
      </c>
      <c r="E231" t="inlineStr">
        <is>
          <t>GOTLAND</t>
        </is>
      </c>
      <c r="G231" t="n">
        <v>3.2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45888</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17354-2022</t>
        </is>
      </c>
      <c r="B233" s="1" t="n">
        <v>44678</v>
      </c>
      <c r="C233" s="1" t="n">
        <v>45888</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44929.87122685185</v>
      </c>
      <c r="C234" s="1" t="n">
        <v>45888</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45888</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45888</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6153-2024</t>
        </is>
      </c>
      <c r="B237" s="1" t="n">
        <v>45337</v>
      </c>
      <c r="C237" s="1" t="n">
        <v>45888</v>
      </c>
      <c r="D237" t="inlineStr">
        <is>
          <t>GOTLANDS LÄN</t>
        </is>
      </c>
      <c r="E237" t="inlineStr">
        <is>
          <t>GOTLAND</t>
        </is>
      </c>
      <c r="G237" t="n">
        <v>14.2</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45888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45888</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999-2023</t>
        </is>
      </c>
      <c r="B240" s="1" t="n">
        <v>44935</v>
      </c>
      <c r="C240" s="1" t="n">
        <v>45888</v>
      </c>
      <c r="D240" t="inlineStr">
        <is>
          <t>GOTLANDS LÄN</t>
        </is>
      </c>
      <c r="E240" t="inlineStr">
        <is>
          <t>GOTLAND</t>
        </is>
      </c>
      <c r="G240" t="n">
        <v>4.7</v>
      </c>
      <c r="H240" t="n">
        <v>0</v>
      </c>
      <c r="I240" t="n">
        <v>0</v>
      </c>
      <c r="J240" t="n">
        <v>0</v>
      </c>
      <c r="K240" t="n">
        <v>0</v>
      </c>
      <c r="L240" t="n">
        <v>0</v>
      </c>
      <c r="M240" t="n">
        <v>0</v>
      </c>
      <c r="N240" t="n">
        <v>0</v>
      </c>
      <c r="O240" t="n">
        <v>0</v>
      </c>
      <c r="P240" t="n">
        <v>0</v>
      </c>
      <c r="Q240" t="n">
        <v>0</v>
      </c>
      <c r="R240" s="2" t="inlineStr"/>
    </row>
    <row r="241" ht="15" customHeight="1">
      <c r="A241" t="inlineStr">
        <is>
          <t>A 1364-2025</t>
        </is>
      </c>
      <c r="B241" s="1" t="n">
        <v>45667.63929398148</v>
      </c>
      <c r="C241" s="1" t="n">
        <v>45888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2125-2025</t>
        </is>
      </c>
      <c r="B242" s="1" t="n">
        <v>45672.64940972222</v>
      </c>
      <c r="C242" s="1" t="n">
        <v>45888</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45888</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8684-2025</t>
        </is>
      </c>
      <c r="B244" s="1" t="n">
        <v>45712.45605324074</v>
      </c>
      <c r="C244" s="1" t="n">
        <v>45888</v>
      </c>
      <c r="D244" t="inlineStr">
        <is>
          <t>GOTLANDS LÄN</t>
        </is>
      </c>
      <c r="E244" t="inlineStr">
        <is>
          <t>GOTLAND</t>
        </is>
      </c>
      <c r="G244" t="n">
        <v>3.5</v>
      </c>
      <c r="H244" t="n">
        <v>0</v>
      </c>
      <c r="I244" t="n">
        <v>0</v>
      </c>
      <c r="J244" t="n">
        <v>0</v>
      </c>
      <c r="K244" t="n">
        <v>0</v>
      </c>
      <c r="L244" t="n">
        <v>0</v>
      </c>
      <c r="M244" t="n">
        <v>0</v>
      </c>
      <c r="N244" t="n">
        <v>0</v>
      </c>
      <c r="O244" t="n">
        <v>0</v>
      </c>
      <c r="P244" t="n">
        <v>0</v>
      </c>
      <c r="Q244" t="n">
        <v>0</v>
      </c>
      <c r="R244" s="2" t="inlineStr"/>
    </row>
    <row r="245" ht="15" customHeight="1">
      <c r="A245" t="inlineStr">
        <is>
          <t>A 14427-2024</t>
        </is>
      </c>
      <c r="B245" s="1" t="n">
        <v>45394</v>
      </c>
      <c r="C245" s="1" t="n">
        <v>45888</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14141-2024</t>
        </is>
      </c>
      <c r="B246" s="1" t="n">
        <v>45392.85193287037</v>
      </c>
      <c r="C246" s="1" t="n">
        <v>45888</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63229-2021</t>
        </is>
      </c>
      <c r="B247" s="1" t="n">
        <v>44508.34518518519</v>
      </c>
      <c r="C247" s="1" t="n">
        <v>45888</v>
      </c>
      <c r="D247" t="inlineStr">
        <is>
          <t>GOTLANDS LÄN</t>
        </is>
      </c>
      <c r="E247" t="inlineStr">
        <is>
          <t>GOTLAND</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61596-2023</t>
        </is>
      </c>
      <c r="B248" s="1" t="n">
        <v>45265</v>
      </c>
      <c r="C248" s="1" t="n">
        <v>45888</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12155-2023</t>
        </is>
      </c>
      <c r="B249" s="1" t="n">
        <v>44998.49106481481</v>
      </c>
      <c r="C249" s="1" t="n">
        <v>45888</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45888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45888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45888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22883-2024</t>
        </is>
      </c>
      <c r="B253" s="1" t="n">
        <v>45448.66368055555</v>
      </c>
      <c r="C253" s="1" t="n">
        <v>45888</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6108-2025</t>
        </is>
      </c>
      <c r="B254" s="1" t="n">
        <v>45698.29880787037</v>
      </c>
      <c r="C254" s="1" t="n">
        <v>45888</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2774-2024</t>
        </is>
      </c>
      <c r="B255" s="1" t="n">
        <v>45314.62375</v>
      </c>
      <c r="C255" s="1" t="n">
        <v>45888</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18742-2025</t>
        </is>
      </c>
      <c r="B256" s="1" t="n">
        <v>45763</v>
      </c>
      <c r="C256" s="1" t="n">
        <v>45888</v>
      </c>
      <c r="D256" t="inlineStr">
        <is>
          <t>GOTLANDS LÄN</t>
        </is>
      </c>
      <c r="E256" t="inlineStr">
        <is>
          <t>GOTLAND</t>
        </is>
      </c>
      <c r="G256" t="n">
        <v>3.4</v>
      </c>
      <c r="H256" t="n">
        <v>0</v>
      </c>
      <c r="I256" t="n">
        <v>0</v>
      </c>
      <c r="J256" t="n">
        <v>0</v>
      </c>
      <c r="K256" t="n">
        <v>0</v>
      </c>
      <c r="L256" t="n">
        <v>0</v>
      </c>
      <c r="M256" t="n">
        <v>0</v>
      </c>
      <c r="N256" t="n">
        <v>0</v>
      </c>
      <c r="O256" t="n">
        <v>0</v>
      </c>
      <c r="P256" t="n">
        <v>0</v>
      </c>
      <c r="Q256" t="n">
        <v>0</v>
      </c>
      <c r="R256" s="2" t="inlineStr"/>
    </row>
    <row r="257" ht="15" customHeight="1">
      <c r="A257" t="inlineStr">
        <is>
          <t>A 49257-2024</t>
        </is>
      </c>
      <c r="B257" s="1" t="n">
        <v>45595.47627314815</v>
      </c>
      <c r="C257" s="1" t="n">
        <v>45888</v>
      </c>
      <c r="D257" t="inlineStr">
        <is>
          <t>GOTLANDS LÄN</t>
        </is>
      </c>
      <c r="E257" t="inlineStr">
        <is>
          <t>GOTLAND</t>
        </is>
      </c>
      <c r="G257" t="n">
        <v>6.3</v>
      </c>
      <c r="H257" t="n">
        <v>0</v>
      </c>
      <c r="I257" t="n">
        <v>0</v>
      </c>
      <c r="J257" t="n">
        <v>0</v>
      </c>
      <c r="K257" t="n">
        <v>0</v>
      </c>
      <c r="L257" t="n">
        <v>0</v>
      </c>
      <c r="M257" t="n">
        <v>0</v>
      </c>
      <c r="N257" t="n">
        <v>0</v>
      </c>
      <c r="O257" t="n">
        <v>0</v>
      </c>
      <c r="P257" t="n">
        <v>0</v>
      </c>
      <c r="Q257" t="n">
        <v>0</v>
      </c>
      <c r="R257" s="2" t="inlineStr"/>
    </row>
    <row r="258" ht="15" customHeight="1">
      <c r="A258" t="inlineStr">
        <is>
          <t>A 49315-2024</t>
        </is>
      </c>
      <c r="B258" s="1" t="n">
        <v>45595</v>
      </c>
      <c r="C258" s="1" t="n">
        <v>45888</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9947-2024</t>
        </is>
      </c>
      <c r="B259" s="1" t="n">
        <v>45363</v>
      </c>
      <c r="C259" s="1" t="n">
        <v>45888</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45888</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42007-2023</t>
        </is>
      </c>
      <c r="B261" s="1" t="n">
        <v>45177</v>
      </c>
      <c r="C261" s="1" t="n">
        <v>45888</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25129-2023</t>
        </is>
      </c>
      <c r="B262" s="1" t="n">
        <v>45086.44261574074</v>
      </c>
      <c r="C262" s="1" t="n">
        <v>45888</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2292-2021</t>
        </is>
      </c>
      <c r="B263" s="1" t="n">
        <v>44212</v>
      </c>
      <c r="C263" s="1" t="n">
        <v>45888</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44204-2022</t>
        </is>
      </c>
      <c r="B264" s="1" t="n">
        <v>44839</v>
      </c>
      <c r="C264" s="1" t="n">
        <v>45888</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10497-2025</t>
        </is>
      </c>
      <c r="B265" s="1" t="n">
        <v>45721</v>
      </c>
      <c r="C265" s="1" t="n">
        <v>45888</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45888</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44304-2021</t>
        </is>
      </c>
      <c r="B267" s="1" t="n">
        <v>44434</v>
      </c>
      <c r="C267" s="1" t="n">
        <v>45888</v>
      </c>
      <c r="D267" t="inlineStr">
        <is>
          <t>GOTLANDS LÄN</t>
        </is>
      </c>
      <c r="E267" t="inlineStr">
        <is>
          <t>GOTLAND</t>
        </is>
      </c>
      <c r="G267" t="n">
        <v>5.8</v>
      </c>
      <c r="H267" t="n">
        <v>0</v>
      </c>
      <c r="I267" t="n">
        <v>0</v>
      </c>
      <c r="J267" t="n">
        <v>0</v>
      </c>
      <c r="K267" t="n">
        <v>0</v>
      </c>
      <c r="L267" t="n">
        <v>0</v>
      </c>
      <c r="M267" t="n">
        <v>0</v>
      </c>
      <c r="N267" t="n">
        <v>0</v>
      </c>
      <c r="O267" t="n">
        <v>0</v>
      </c>
      <c r="P267" t="n">
        <v>0</v>
      </c>
      <c r="Q267" t="n">
        <v>0</v>
      </c>
      <c r="R267" s="2" t="inlineStr"/>
    </row>
    <row r="268" ht="15" customHeight="1">
      <c r="A268" t="inlineStr">
        <is>
          <t>A 15083-2025</t>
        </is>
      </c>
      <c r="B268" s="1" t="n">
        <v>45743</v>
      </c>
      <c r="C268" s="1" t="n">
        <v>45888</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56009-2024</t>
        </is>
      </c>
      <c r="B269" s="1" t="n">
        <v>45623.80864583333</v>
      </c>
      <c r="C269" s="1" t="n">
        <v>45888</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54073-2022</t>
        </is>
      </c>
      <c r="B270" s="1" t="n">
        <v>44881.50380787037</v>
      </c>
      <c r="C270" s="1" t="n">
        <v>45888</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27596-2023</t>
        </is>
      </c>
      <c r="B271" s="1" t="n">
        <v>45097</v>
      </c>
      <c r="C271" s="1" t="n">
        <v>45888</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56115-2023</t>
        </is>
      </c>
      <c r="B272" s="1" t="n">
        <v>45236</v>
      </c>
      <c r="C272" s="1" t="n">
        <v>45888</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3964-2024</t>
        </is>
      </c>
      <c r="B273" s="1" t="n">
        <v>45322</v>
      </c>
      <c r="C273" s="1" t="n">
        <v>45888</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64969-2023</t>
        </is>
      </c>
      <c r="B274" s="1" t="n">
        <v>45284.54009259259</v>
      </c>
      <c r="C274" s="1" t="n">
        <v>45888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33853-2024</t>
        </is>
      </c>
      <c r="B275" s="1" t="n">
        <v>45520.64298611111</v>
      </c>
      <c r="C275" s="1" t="n">
        <v>45888</v>
      </c>
      <c r="D275" t="inlineStr">
        <is>
          <t>GOTLANDS LÄN</t>
        </is>
      </c>
      <c r="E275" t="inlineStr">
        <is>
          <t>GOTLAND</t>
        </is>
      </c>
      <c r="G275" t="n">
        <v>3.9</v>
      </c>
      <c r="H275" t="n">
        <v>0</v>
      </c>
      <c r="I275" t="n">
        <v>0</v>
      </c>
      <c r="J275" t="n">
        <v>0</v>
      </c>
      <c r="K275" t="n">
        <v>0</v>
      </c>
      <c r="L275" t="n">
        <v>0</v>
      </c>
      <c r="M275" t="n">
        <v>0</v>
      </c>
      <c r="N275" t="n">
        <v>0</v>
      </c>
      <c r="O275" t="n">
        <v>0</v>
      </c>
      <c r="P275" t="n">
        <v>0</v>
      </c>
      <c r="Q275" t="n">
        <v>0</v>
      </c>
      <c r="R275" s="2" t="inlineStr"/>
    </row>
    <row r="276" ht="15" customHeight="1">
      <c r="A276" t="inlineStr">
        <is>
          <t>A 14570-2025</t>
        </is>
      </c>
      <c r="B276" s="1" t="n">
        <v>45741.87113425926</v>
      </c>
      <c r="C276" s="1" t="n">
        <v>45888</v>
      </c>
      <c r="D276" t="inlineStr">
        <is>
          <t>GOTLANDS LÄN</t>
        </is>
      </c>
      <c r="E276" t="inlineStr">
        <is>
          <t>GOTLAND</t>
        </is>
      </c>
      <c r="G276" t="n">
        <v>6.2</v>
      </c>
      <c r="H276" t="n">
        <v>0</v>
      </c>
      <c r="I276" t="n">
        <v>0</v>
      </c>
      <c r="J276" t="n">
        <v>0</v>
      </c>
      <c r="K276" t="n">
        <v>0</v>
      </c>
      <c r="L276" t="n">
        <v>0</v>
      </c>
      <c r="M276" t="n">
        <v>0</v>
      </c>
      <c r="N276" t="n">
        <v>0</v>
      </c>
      <c r="O276" t="n">
        <v>0</v>
      </c>
      <c r="P276" t="n">
        <v>0</v>
      </c>
      <c r="Q276" t="n">
        <v>0</v>
      </c>
      <c r="R276" s="2" t="inlineStr"/>
    </row>
    <row r="277" ht="15" customHeight="1">
      <c r="A277" t="inlineStr">
        <is>
          <t>A 45106-2024</t>
        </is>
      </c>
      <c r="B277" s="1" t="n">
        <v>45575</v>
      </c>
      <c r="C277" s="1" t="n">
        <v>45888</v>
      </c>
      <c r="D277" t="inlineStr">
        <is>
          <t>GOTLANDS LÄN</t>
        </is>
      </c>
      <c r="E277" t="inlineStr">
        <is>
          <t>GOTLAND</t>
        </is>
      </c>
      <c r="G277" t="n">
        <v>10</v>
      </c>
      <c r="H277" t="n">
        <v>0</v>
      </c>
      <c r="I277" t="n">
        <v>0</v>
      </c>
      <c r="J277" t="n">
        <v>0</v>
      </c>
      <c r="K277" t="n">
        <v>0</v>
      </c>
      <c r="L277" t="n">
        <v>0</v>
      </c>
      <c r="M277" t="n">
        <v>0</v>
      </c>
      <c r="N277" t="n">
        <v>0</v>
      </c>
      <c r="O277" t="n">
        <v>0</v>
      </c>
      <c r="P277" t="n">
        <v>0</v>
      </c>
      <c r="Q277" t="n">
        <v>0</v>
      </c>
      <c r="R277" s="2" t="inlineStr"/>
    </row>
    <row r="278" ht="15" customHeight="1">
      <c r="A278" t="inlineStr">
        <is>
          <t>A 45112-2024</t>
        </is>
      </c>
      <c r="B278" s="1" t="n">
        <v>45575</v>
      </c>
      <c r="C278" s="1" t="n">
        <v>45888</v>
      </c>
      <c r="D278" t="inlineStr">
        <is>
          <t>GOTLANDS LÄN</t>
        </is>
      </c>
      <c r="E278" t="inlineStr">
        <is>
          <t>GOTLAND</t>
        </is>
      </c>
      <c r="G278" t="n">
        <v>5.1</v>
      </c>
      <c r="H278" t="n">
        <v>0</v>
      </c>
      <c r="I278" t="n">
        <v>0</v>
      </c>
      <c r="J278" t="n">
        <v>0</v>
      </c>
      <c r="K278" t="n">
        <v>0</v>
      </c>
      <c r="L278" t="n">
        <v>0</v>
      </c>
      <c r="M278" t="n">
        <v>0</v>
      </c>
      <c r="N278" t="n">
        <v>0</v>
      </c>
      <c r="O278" t="n">
        <v>0</v>
      </c>
      <c r="P278" t="n">
        <v>0</v>
      </c>
      <c r="Q278" t="n">
        <v>0</v>
      </c>
      <c r="R278" s="2" t="inlineStr"/>
    </row>
    <row r="279" ht="15" customHeight="1">
      <c r="A279" t="inlineStr">
        <is>
          <t>A 18223-2025</t>
        </is>
      </c>
      <c r="B279" s="1" t="n">
        <v>45761</v>
      </c>
      <c r="C279" s="1" t="n">
        <v>45888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7026-2023</t>
        </is>
      </c>
      <c r="B280" s="1" t="n">
        <v>44968.30340277778</v>
      </c>
      <c r="C280" s="1" t="n">
        <v>45888</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46949-2024</t>
        </is>
      </c>
      <c r="B281" s="1" t="n">
        <v>45585</v>
      </c>
      <c r="C281" s="1" t="n">
        <v>45888</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10652-2025</t>
        </is>
      </c>
      <c r="B282" s="1" t="n">
        <v>45721.68640046296</v>
      </c>
      <c r="C282" s="1" t="n">
        <v>45888</v>
      </c>
      <c r="D282" t="inlineStr">
        <is>
          <t>GOTLANDS LÄN</t>
        </is>
      </c>
      <c r="E282" t="inlineStr">
        <is>
          <t>GOTLAND</t>
        </is>
      </c>
      <c r="G282" t="n">
        <v>3.6</v>
      </c>
      <c r="H282" t="n">
        <v>0</v>
      </c>
      <c r="I282" t="n">
        <v>0</v>
      </c>
      <c r="J282" t="n">
        <v>0</v>
      </c>
      <c r="K282" t="n">
        <v>0</v>
      </c>
      <c r="L282" t="n">
        <v>0</v>
      </c>
      <c r="M282" t="n">
        <v>0</v>
      </c>
      <c r="N282" t="n">
        <v>0</v>
      </c>
      <c r="O282" t="n">
        <v>0</v>
      </c>
      <c r="P282" t="n">
        <v>0</v>
      </c>
      <c r="Q282" t="n">
        <v>0</v>
      </c>
      <c r="R282" s="2" t="inlineStr"/>
    </row>
    <row r="283" ht="15" customHeight="1">
      <c r="A283" t="inlineStr">
        <is>
          <t>A 52892-2021</t>
        </is>
      </c>
      <c r="B283" s="1" t="n">
        <v>44467.49048611111</v>
      </c>
      <c r="C283" s="1" t="n">
        <v>45888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1351-2025</t>
        </is>
      </c>
      <c r="B284" s="1" t="n">
        <v>45667.62246527777</v>
      </c>
      <c r="C284" s="1" t="n">
        <v>45888</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10813-2025</t>
        </is>
      </c>
      <c r="B285" s="1" t="n">
        <v>45722.54163194444</v>
      </c>
      <c r="C285" s="1" t="n">
        <v>45888</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1066-2024</t>
        </is>
      </c>
      <c r="B286" s="1" t="n">
        <v>45302.285</v>
      </c>
      <c r="C286" s="1" t="n">
        <v>45888</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24001-2021</t>
        </is>
      </c>
      <c r="B287" s="1" t="n">
        <v>44335</v>
      </c>
      <c r="C287" s="1" t="n">
        <v>45888</v>
      </c>
      <c r="D287" t="inlineStr">
        <is>
          <t>GOTLANDS LÄN</t>
        </is>
      </c>
      <c r="E287" t="inlineStr">
        <is>
          <t>GOTLAND</t>
        </is>
      </c>
      <c r="G287" t="n">
        <v>3.4</v>
      </c>
      <c r="H287" t="n">
        <v>0</v>
      </c>
      <c r="I287" t="n">
        <v>0</v>
      </c>
      <c r="J287" t="n">
        <v>0</v>
      </c>
      <c r="K287" t="n">
        <v>0</v>
      </c>
      <c r="L287" t="n">
        <v>0</v>
      </c>
      <c r="M287" t="n">
        <v>0</v>
      </c>
      <c r="N287" t="n">
        <v>0</v>
      </c>
      <c r="O287" t="n">
        <v>0</v>
      </c>
      <c r="P287" t="n">
        <v>0</v>
      </c>
      <c r="Q287" t="n">
        <v>0</v>
      </c>
      <c r="R287" s="2" t="inlineStr"/>
    </row>
    <row r="288" ht="15" customHeight="1">
      <c r="A288" t="inlineStr">
        <is>
          <t>A 39479-2022</t>
        </is>
      </c>
      <c r="B288" s="1" t="n">
        <v>44818</v>
      </c>
      <c r="C288" s="1" t="n">
        <v>45888</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39496-2022</t>
        </is>
      </c>
      <c r="B289" s="1" t="n">
        <v>44818</v>
      </c>
      <c r="C289" s="1" t="n">
        <v>45888</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37202-2024</t>
        </is>
      </c>
      <c r="B290" s="1" t="n">
        <v>45539.67310185185</v>
      </c>
      <c r="C290" s="1" t="n">
        <v>45888</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49874-2024</t>
        </is>
      </c>
      <c r="B291" s="1" t="n">
        <v>45597.49274305555</v>
      </c>
      <c r="C291" s="1" t="n">
        <v>45888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8701-2025</t>
        </is>
      </c>
      <c r="B292" s="1" t="n">
        <v>45712</v>
      </c>
      <c r="C292" s="1" t="n">
        <v>45888</v>
      </c>
      <c r="D292" t="inlineStr">
        <is>
          <t>GOTLANDS LÄN</t>
        </is>
      </c>
      <c r="E292" t="inlineStr">
        <is>
          <t>GOTLAND</t>
        </is>
      </c>
      <c r="G292" t="n">
        <v>7</v>
      </c>
      <c r="H292" t="n">
        <v>0</v>
      </c>
      <c r="I292" t="n">
        <v>0</v>
      </c>
      <c r="J292" t="n">
        <v>0</v>
      </c>
      <c r="K292" t="n">
        <v>0</v>
      </c>
      <c r="L292" t="n">
        <v>0</v>
      </c>
      <c r="M292" t="n">
        <v>0</v>
      </c>
      <c r="N292" t="n">
        <v>0</v>
      </c>
      <c r="O292" t="n">
        <v>0</v>
      </c>
      <c r="P292" t="n">
        <v>0</v>
      </c>
      <c r="Q292" t="n">
        <v>0</v>
      </c>
      <c r="R292" s="2" t="inlineStr"/>
    </row>
    <row r="293" ht="15" customHeight="1">
      <c r="A293" t="inlineStr">
        <is>
          <t>A 46389-2021</t>
        </is>
      </c>
      <c r="B293" s="1" t="n">
        <v>44443</v>
      </c>
      <c r="C293" s="1" t="n">
        <v>45888</v>
      </c>
      <c r="D293" t="inlineStr">
        <is>
          <t>GOTLANDS LÄN</t>
        </is>
      </c>
      <c r="E293" t="inlineStr">
        <is>
          <t>GOTLAND</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30815-2023</t>
        </is>
      </c>
      <c r="B294" s="1" t="n">
        <v>45112</v>
      </c>
      <c r="C294" s="1" t="n">
        <v>45888</v>
      </c>
      <c r="D294" t="inlineStr">
        <is>
          <t>GOTLANDS LÄN</t>
        </is>
      </c>
      <c r="E294" t="inlineStr">
        <is>
          <t>GOTLAND</t>
        </is>
      </c>
      <c r="G294" t="n">
        <v>6</v>
      </c>
      <c r="H294" t="n">
        <v>0</v>
      </c>
      <c r="I294" t="n">
        <v>0</v>
      </c>
      <c r="J294" t="n">
        <v>0</v>
      </c>
      <c r="K294" t="n">
        <v>0</v>
      </c>
      <c r="L294" t="n">
        <v>0</v>
      </c>
      <c r="M294" t="n">
        <v>0</v>
      </c>
      <c r="N294" t="n">
        <v>0</v>
      </c>
      <c r="O294" t="n">
        <v>0</v>
      </c>
      <c r="P294" t="n">
        <v>0</v>
      </c>
      <c r="Q294" t="n">
        <v>0</v>
      </c>
      <c r="R294" s="2" t="inlineStr"/>
    </row>
    <row r="295" ht="15" customHeight="1">
      <c r="A295" t="inlineStr">
        <is>
          <t>A 46400-2023</t>
        </is>
      </c>
      <c r="B295" s="1" t="n">
        <v>45197.49290509259</v>
      </c>
      <c r="C295" s="1" t="n">
        <v>45888</v>
      </c>
      <c r="D295" t="inlineStr">
        <is>
          <t>GOTLANDS LÄN</t>
        </is>
      </c>
      <c r="E295" t="inlineStr">
        <is>
          <t>GOTLAND</t>
        </is>
      </c>
      <c r="G295" t="n">
        <v>0.8</v>
      </c>
      <c r="H295" t="n">
        <v>0</v>
      </c>
      <c r="I295" t="n">
        <v>0</v>
      </c>
      <c r="J295" t="n">
        <v>0</v>
      </c>
      <c r="K295" t="n">
        <v>0</v>
      </c>
      <c r="L295" t="n">
        <v>0</v>
      </c>
      <c r="M295" t="n">
        <v>0</v>
      </c>
      <c r="N295" t="n">
        <v>0</v>
      </c>
      <c r="O295" t="n">
        <v>0</v>
      </c>
      <c r="P295" t="n">
        <v>0</v>
      </c>
      <c r="Q295" t="n">
        <v>0</v>
      </c>
      <c r="R295" s="2" t="inlineStr"/>
    </row>
    <row r="296" ht="15" customHeight="1">
      <c r="A296" t="inlineStr">
        <is>
          <t>A 10492-2023</t>
        </is>
      </c>
      <c r="B296" s="1" t="n">
        <v>44987</v>
      </c>
      <c r="C296" s="1" t="n">
        <v>45888</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45888</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45888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20307-2025</t>
        </is>
      </c>
      <c r="B299" s="1" t="n">
        <v>45774.95546296296</v>
      </c>
      <c r="C299" s="1" t="n">
        <v>45888</v>
      </c>
      <c r="D299" t="inlineStr">
        <is>
          <t>GOTLANDS LÄN</t>
        </is>
      </c>
      <c r="E299" t="inlineStr">
        <is>
          <t>GOTLAND</t>
        </is>
      </c>
      <c r="G299" t="n">
        <v>6.8</v>
      </c>
      <c r="H299" t="n">
        <v>0</v>
      </c>
      <c r="I299" t="n">
        <v>0</v>
      </c>
      <c r="J299" t="n">
        <v>0</v>
      </c>
      <c r="K299" t="n">
        <v>0</v>
      </c>
      <c r="L299" t="n">
        <v>0</v>
      </c>
      <c r="M299" t="n">
        <v>0</v>
      </c>
      <c r="N299" t="n">
        <v>0</v>
      </c>
      <c r="O299" t="n">
        <v>0</v>
      </c>
      <c r="P299" t="n">
        <v>0</v>
      </c>
      <c r="Q299" t="n">
        <v>0</v>
      </c>
      <c r="R299" s="2" t="inlineStr"/>
    </row>
    <row r="300" ht="15" customHeight="1">
      <c r="A300" t="inlineStr">
        <is>
          <t>A 60675-2021</t>
        </is>
      </c>
      <c r="B300" s="1" t="n">
        <v>44496.64855324074</v>
      </c>
      <c r="C300" s="1" t="n">
        <v>45888</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17227-2021</t>
        </is>
      </c>
      <c r="B301" s="1" t="n">
        <v>44298.49725694444</v>
      </c>
      <c r="C301" s="1" t="n">
        <v>45888</v>
      </c>
      <c r="D301" t="inlineStr">
        <is>
          <t>GOTLANDS LÄN</t>
        </is>
      </c>
      <c r="E301" t="inlineStr">
        <is>
          <t>GOTLAND</t>
        </is>
      </c>
      <c r="G301" t="n">
        <v>6.2</v>
      </c>
      <c r="H301" t="n">
        <v>0</v>
      </c>
      <c r="I301" t="n">
        <v>0</v>
      </c>
      <c r="J301" t="n">
        <v>0</v>
      </c>
      <c r="K301" t="n">
        <v>0</v>
      </c>
      <c r="L301" t="n">
        <v>0</v>
      </c>
      <c r="M301" t="n">
        <v>0</v>
      </c>
      <c r="N301" t="n">
        <v>0</v>
      </c>
      <c r="O301" t="n">
        <v>0</v>
      </c>
      <c r="P301" t="n">
        <v>0</v>
      </c>
      <c r="Q301" t="n">
        <v>0</v>
      </c>
      <c r="R301" s="2" t="inlineStr"/>
    </row>
    <row r="302" ht="15" customHeight="1">
      <c r="A302" t="inlineStr">
        <is>
          <t>A 17682-2024</t>
        </is>
      </c>
      <c r="B302" s="1" t="n">
        <v>45418.42966435185</v>
      </c>
      <c r="C302" s="1" t="n">
        <v>45888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45888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14638-2025</t>
        </is>
      </c>
      <c r="B304" s="1" t="n">
        <v>45742</v>
      </c>
      <c r="C304" s="1" t="n">
        <v>45888</v>
      </c>
      <c r="D304" t="inlineStr">
        <is>
          <t>GOTLANDS LÄN</t>
        </is>
      </c>
      <c r="E304" t="inlineStr">
        <is>
          <t>GOTLAND</t>
        </is>
      </c>
      <c r="G304" t="n">
        <v>13.4</v>
      </c>
      <c r="H304" t="n">
        <v>0</v>
      </c>
      <c r="I304" t="n">
        <v>0</v>
      </c>
      <c r="J304" t="n">
        <v>0</v>
      </c>
      <c r="K304" t="n">
        <v>0</v>
      </c>
      <c r="L304" t="n">
        <v>0</v>
      </c>
      <c r="M304" t="n">
        <v>0</v>
      </c>
      <c r="N304" t="n">
        <v>0</v>
      </c>
      <c r="O304" t="n">
        <v>0</v>
      </c>
      <c r="P304" t="n">
        <v>0</v>
      </c>
      <c r="Q304" t="n">
        <v>0</v>
      </c>
      <c r="R304" s="2" t="inlineStr"/>
    </row>
    <row r="305" ht="15" customHeight="1">
      <c r="A305" t="inlineStr">
        <is>
          <t>A 61897-2024</t>
        </is>
      </c>
      <c r="B305" s="1" t="n">
        <v>45652.75685185185</v>
      </c>
      <c r="C305" s="1" t="n">
        <v>45888</v>
      </c>
      <c r="D305" t="inlineStr">
        <is>
          <t>GOTLANDS LÄN</t>
        </is>
      </c>
      <c r="E305" t="inlineStr">
        <is>
          <t>GOTLAND</t>
        </is>
      </c>
      <c r="G305" t="n">
        <v>6.4</v>
      </c>
      <c r="H305" t="n">
        <v>0</v>
      </c>
      <c r="I305" t="n">
        <v>0</v>
      </c>
      <c r="J305" t="n">
        <v>0</v>
      </c>
      <c r="K305" t="n">
        <v>0</v>
      </c>
      <c r="L305" t="n">
        <v>0</v>
      </c>
      <c r="M305" t="n">
        <v>0</v>
      </c>
      <c r="N305" t="n">
        <v>0</v>
      </c>
      <c r="O305" t="n">
        <v>0</v>
      </c>
      <c r="P305" t="n">
        <v>0</v>
      </c>
      <c r="Q305" t="n">
        <v>0</v>
      </c>
      <c r="R305" s="2" t="inlineStr"/>
    </row>
    <row r="306" ht="15" customHeight="1">
      <c r="A306" t="inlineStr">
        <is>
          <t>A 44919-2022</t>
        </is>
      </c>
      <c r="B306" s="1" t="n">
        <v>44841</v>
      </c>
      <c r="C306" s="1" t="n">
        <v>45888</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12032-2025</t>
        </is>
      </c>
      <c r="B307" s="1" t="n">
        <v>45728.64472222222</v>
      </c>
      <c r="C307" s="1" t="n">
        <v>45888</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4421-2024</t>
        </is>
      </c>
      <c r="B308" s="1" t="n">
        <v>45327.45173611111</v>
      </c>
      <c r="C308" s="1" t="n">
        <v>45888</v>
      </c>
      <c r="D308" t="inlineStr">
        <is>
          <t>GOTLANDS LÄN</t>
        </is>
      </c>
      <c r="E308" t="inlineStr">
        <is>
          <t>GOTLAND</t>
        </is>
      </c>
      <c r="G308" t="n">
        <v>5.1</v>
      </c>
      <c r="H308" t="n">
        <v>0</v>
      </c>
      <c r="I308" t="n">
        <v>0</v>
      </c>
      <c r="J308" t="n">
        <v>0</v>
      </c>
      <c r="K308" t="n">
        <v>0</v>
      </c>
      <c r="L308" t="n">
        <v>0</v>
      </c>
      <c r="M308" t="n">
        <v>0</v>
      </c>
      <c r="N308" t="n">
        <v>0</v>
      </c>
      <c r="O308" t="n">
        <v>0</v>
      </c>
      <c r="P308" t="n">
        <v>0</v>
      </c>
      <c r="Q308" t="n">
        <v>0</v>
      </c>
      <c r="R308" s="2" t="inlineStr"/>
    </row>
    <row r="309" ht="15" customHeight="1">
      <c r="A309" t="inlineStr">
        <is>
          <t>A 15595-2024</t>
        </is>
      </c>
      <c r="B309" s="1" t="n">
        <v>45401.81480324074</v>
      </c>
      <c r="C309" s="1" t="n">
        <v>45888</v>
      </c>
      <c r="D309" t="inlineStr">
        <is>
          <t>GOTLANDS LÄN</t>
        </is>
      </c>
      <c r="E309" t="inlineStr">
        <is>
          <t>GOTLAND</t>
        </is>
      </c>
      <c r="G309" t="n">
        <v>6.4</v>
      </c>
      <c r="H309" t="n">
        <v>0</v>
      </c>
      <c r="I309" t="n">
        <v>0</v>
      </c>
      <c r="J309" t="n">
        <v>0</v>
      </c>
      <c r="K309" t="n">
        <v>0</v>
      </c>
      <c r="L309" t="n">
        <v>0</v>
      </c>
      <c r="M309" t="n">
        <v>0</v>
      </c>
      <c r="N309" t="n">
        <v>0</v>
      </c>
      <c r="O309" t="n">
        <v>0</v>
      </c>
      <c r="P309" t="n">
        <v>0</v>
      </c>
      <c r="Q309" t="n">
        <v>0</v>
      </c>
      <c r="R309" s="2" t="inlineStr"/>
    </row>
    <row r="310" ht="15" customHeight="1">
      <c r="A310" t="inlineStr">
        <is>
          <t>A 16501-2023</t>
        </is>
      </c>
      <c r="B310" s="1" t="n">
        <v>45029</v>
      </c>
      <c r="C310" s="1" t="n">
        <v>45888</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20165-2022</t>
        </is>
      </c>
      <c r="B311" s="1" t="n">
        <v>44698.49854166667</v>
      </c>
      <c r="C311" s="1" t="n">
        <v>45888</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27095-2022</t>
        </is>
      </c>
      <c r="B312" s="1" t="n">
        <v>44741</v>
      </c>
      <c r="C312" s="1" t="n">
        <v>45888</v>
      </c>
      <c r="D312" t="inlineStr">
        <is>
          <t>GOTLANDS LÄN</t>
        </is>
      </c>
      <c r="E312" t="inlineStr">
        <is>
          <t>GOTLAND</t>
        </is>
      </c>
      <c r="F312" t="inlineStr">
        <is>
          <t>Övriga Aktiebolag</t>
        </is>
      </c>
      <c r="G312" t="n">
        <v>2.9</v>
      </c>
      <c r="H312" t="n">
        <v>0</v>
      </c>
      <c r="I312" t="n">
        <v>0</v>
      </c>
      <c r="J312" t="n">
        <v>0</v>
      </c>
      <c r="K312" t="n">
        <v>0</v>
      </c>
      <c r="L312" t="n">
        <v>0</v>
      </c>
      <c r="M312" t="n">
        <v>0</v>
      </c>
      <c r="N312" t="n">
        <v>0</v>
      </c>
      <c r="O312" t="n">
        <v>0</v>
      </c>
      <c r="P312" t="n">
        <v>0</v>
      </c>
      <c r="Q312" t="n">
        <v>0</v>
      </c>
      <c r="R312" s="2" t="inlineStr"/>
    </row>
    <row r="313" ht="15" customHeight="1">
      <c r="A313" t="inlineStr">
        <is>
          <t>A 458-2023</t>
        </is>
      </c>
      <c r="B313" s="1" t="n">
        <v>44929</v>
      </c>
      <c r="C313" s="1" t="n">
        <v>45888</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1291-2023</t>
        </is>
      </c>
      <c r="B314" s="1" t="n">
        <v>44936.47561342592</v>
      </c>
      <c r="C314" s="1" t="n">
        <v>45888</v>
      </c>
      <c r="D314" t="inlineStr">
        <is>
          <t>GOTLANDS LÄN</t>
        </is>
      </c>
      <c r="E314" t="inlineStr">
        <is>
          <t>GOTLAND</t>
        </is>
      </c>
      <c r="G314" t="n">
        <v>7.4</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45888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45888</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21164-2024</t>
        </is>
      </c>
      <c r="B317" s="1" t="n">
        <v>45440</v>
      </c>
      <c r="C317" s="1" t="n">
        <v>45888</v>
      </c>
      <c r="D317" t="inlineStr">
        <is>
          <t>GOTLANDS LÄN</t>
        </is>
      </c>
      <c r="E317" t="inlineStr">
        <is>
          <t>GOTLAND</t>
        </is>
      </c>
      <c r="G317" t="n">
        <v>6.3</v>
      </c>
      <c r="H317" t="n">
        <v>0</v>
      </c>
      <c r="I317" t="n">
        <v>0</v>
      </c>
      <c r="J317" t="n">
        <v>0</v>
      </c>
      <c r="K317" t="n">
        <v>0</v>
      </c>
      <c r="L317" t="n">
        <v>0</v>
      </c>
      <c r="M317" t="n">
        <v>0</v>
      </c>
      <c r="N317" t="n">
        <v>0</v>
      </c>
      <c r="O317" t="n">
        <v>0</v>
      </c>
      <c r="P317" t="n">
        <v>0</v>
      </c>
      <c r="Q317" t="n">
        <v>0</v>
      </c>
      <c r="R317" s="2" t="inlineStr"/>
    </row>
    <row r="318" ht="15" customHeight="1">
      <c r="A318" t="inlineStr">
        <is>
          <t>A 17541-2024</t>
        </is>
      </c>
      <c r="B318" s="1" t="n">
        <v>45415</v>
      </c>
      <c r="C318" s="1" t="n">
        <v>45888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883-2025</t>
        </is>
      </c>
      <c r="B319" s="1" t="n">
        <v>45665</v>
      </c>
      <c r="C319" s="1" t="n">
        <v>45888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13910-2025</t>
        </is>
      </c>
      <c r="B320" s="1" t="n">
        <v>45737</v>
      </c>
      <c r="C320" s="1" t="n">
        <v>45888</v>
      </c>
      <c r="D320" t="inlineStr">
        <is>
          <t>GOTLANDS LÄN</t>
        </is>
      </c>
      <c r="E320" t="inlineStr">
        <is>
          <t>GOTLAND</t>
        </is>
      </c>
      <c r="F320" t="inlineStr">
        <is>
          <t>Kommuner</t>
        </is>
      </c>
      <c r="G320" t="n">
        <v>3.2</v>
      </c>
      <c r="H320" t="n">
        <v>0</v>
      </c>
      <c r="I320" t="n">
        <v>0</v>
      </c>
      <c r="J320" t="n">
        <v>0</v>
      </c>
      <c r="K320" t="n">
        <v>0</v>
      </c>
      <c r="L320" t="n">
        <v>0</v>
      </c>
      <c r="M320" t="n">
        <v>0</v>
      </c>
      <c r="N320" t="n">
        <v>0</v>
      </c>
      <c r="O320" t="n">
        <v>0</v>
      </c>
      <c r="P320" t="n">
        <v>0</v>
      </c>
      <c r="Q320" t="n">
        <v>0</v>
      </c>
      <c r="R320" s="2" t="inlineStr"/>
    </row>
    <row r="321" ht="15" customHeight="1">
      <c r="A321" t="inlineStr">
        <is>
          <t>A 32330-2024</t>
        </is>
      </c>
      <c r="B321" s="1" t="n">
        <v>45512</v>
      </c>
      <c r="C321" s="1" t="n">
        <v>45888</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45888</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12599-2025</t>
        </is>
      </c>
      <c r="B323" s="1" t="n">
        <v>45733.29546296296</v>
      </c>
      <c r="C323" s="1" t="n">
        <v>45888</v>
      </c>
      <c r="D323" t="inlineStr">
        <is>
          <t>GOTLANDS LÄN</t>
        </is>
      </c>
      <c r="E323" t="inlineStr">
        <is>
          <t>GOTLAND</t>
        </is>
      </c>
      <c r="G323" t="n">
        <v>4.7</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45888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61964-2024</t>
        </is>
      </c>
      <c r="B325" s="1" t="n">
        <v>45653.54789351852</v>
      </c>
      <c r="C325" s="1" t="n">
        <v>45888</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5891-2025</t>
        </is>
      </c>
      <c r="B326" s="1" t="n">
        <v>45695.38327546296</v>
      </c>
      <c r="C326" s="1" t="n">
        <v>45888</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45888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45888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20794-2025</t>
        </is>
      </c>
      <c r="B329" s="1" t="n">
        <v>45776</v>
      </c>
      <c r="C329" s="1" t="n">
        <v>45888</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14804-2021</t>
        </is>
      </c>
      <c r="B330" s="1" t="n">
        <v>44280</v>
      </c>
      <c r="C330" s="1" t="n">
        <v>45888</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19002-2025</t>
        </is>
      </c>
      <c r="B331" s="1" t="n">
        <v>45764</v>
      </c>
      <c r="C331" s="1" t="n">
        <v>45888</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20812-2025</t>
        </is>
      </c>
      <c r="B332" s="1" t="n">
        <v>45776</v>
      </c>
      <c r="C332" s="1" t="n">
        <v>45888</v>
      </c>
      <c r="D332" t="inlineStr">
        <is>
          <t>GOTLANDS LÄN</t>
        </is>
      </c>
      <c r="E332" t="inlineStr">
        <is>
          <t>GOTLAND</t>
        </is>
      </c>
      <c r="G332" t="n">
        <v>3</v>
      </c>
      <c r="H332" t="n">
        <v>0</v>
      </c>
      <c r="I332" t="n">
        <v>0</v>
      </c>
      <c r="J332" t="n">
        <v>0</v>
      </c>
      <c r="K332" t="n">
        <v>0</v>
      </c>
      <c r="L332" t="n">
        <v>0</v>
      </c>
      <c r="M332" t="n">
        <v>0</v>
      </c>
      <c r="N332" t="n">
        <v>0</v>
      </c>
      <c r="O332" t="n">
        <v>0</v>
      </c>
      <c r="P332" t="n">
        <v>0</v>
      </c>
      <c r="Q332" t="n">
        <v>0</v>
      </c>
      <c r="R332" s="2" t="inlineStr"/>
    </row>
    <row r="333" ht="15" customHeight="1">
      <c r="A333" t="inlineStr">
        <is>
          <t>A 2719-2023</t>
        </is>
      </c>
      <c r="B333" s="1" t="n">
        <v>44944.55361111111</v>
      </c>
      <c r="C333" s="1" t="n">
        <v>45888</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17144-2025</t>
        </is>
      </c>
      <c r="B334" s="1" t="n">
        <v>45755.9499537037</v>
      </c>
      <c r="C334" s="1" t="n">
        <v>45888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20805-2025</t>
        </is>
      </c>
      <c r="B335" s="1" t="n">
        <v>45776</v>
      </c>
      <c r="C335" s="1" t="n">
        <v>45888</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21389-2025</t>
        </is>
      </c>
      <c r="B336" s="1" t="n">
        <v>45782</v>
      </c>
      <c r="C336" s="1" t="n">
        <v>45888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21142-2025</t>
        </is>
      </c>
      <c r="B337" s="1" t="n">
        <v>45779</v>
      </c>
      <c r="C337" s="1" t="n">
        <v>45888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5751-2024</t>
        </is>
      </c>
      <c r="B338" s="1" t="n">
        <v>45335.32702546296</v>
      </c>
      <c r="C338" s="1" t="n">
        <v>45888</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6696-2023</t>
        </is>
      </c>
      <c r="B339" s="1" t="n">
        <v>44966.66425925926</v>
      </c>
      <c r="C339" s="1" t="n">
        <v>45888</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45888</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45888</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45888</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49314-2024</t>
        </is>
      </c>
      <c r="B343" s="1" t="n">
        <v>45595.55893518519</v>
      </c>
      <c r="C343" s="1" t="n">
        <v>45888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21651-2025</t>
        </is>
      </c>
      <c r="B344" s="1" t="n">
        <v>45783</v>
      </c>
      <c r="C344" s="1" t="n">
        <v>45888</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9875-2025</t>
        </is>
      </c>
      <c r="B345" s="1" t="n">
        <v>45716</v>
      </c>
      <c r="C345" s="1" t="n">
        <v>45888</v>
      </c>
      <c r="D345" t="inlineStr">
        <is>
          <t>GOTLANDS LÄN</t>
        </is>
      </c>
      <c r="E345" t="inlineStr">
        <is>
          <t>GOTLAND</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29809-2022</t>
        </is>
      </c>
      <c r="B346" s="1" t="n">
        <v>44755.8713425926</v>
      </c>
      <c r="C346" s="1" t="n">
        <v>45888</v>
      </c>
      <c r="D346" t="inlineStr">
        <is>
          <t>GOTLANDS LÄN</t>
        </is>
      </c>
      <c r="E346" t="inlineStr">
        <is>
          <t>GOTLAND</t>
        </is>
      </c>
      <c r="G346" t="n">
        <v>11.5</v>
      </c>
      <c r="H346" t="n">
        <v>0</v>
      </c>
      <c r="I346" t="n">
        <v>0</v>
      </c>
      <c r="J346" t="n">
        <v>0</v>
      </c>
      <c r="K346" t="n">
        <v>0</v>
      </c>
      <c r="L346" t="n">
        <v>0</v>
      </c>
      <c r="M346" t="n">
        <v>0</v>
      </c>
      <c r="N346" t="n">
        <v>0</v>
      </c>
      <c r="O346" t="n">
        <v>0</v>
      </c>
      <c r="P346" t="n">
        <v>0</v>
      </c>
      <c r="Q346" t="n">
        <v>0</v>
      </c>
      <c r="R346" s="2" t="inlineStr"/>
    </row>
    <row r="347" ht="15" customHeight="1">
      <c r="A347" t="inlineStr">
        <is>
          <t>A 38165-2023</t>
        </is>
      </c>
      <c r="B347" s="1" t="n">
        <v>45161</v>
      </c>
      <c r="C347" s="1" t="n">
        <v>45888</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16361-2024</t>
        </is>
      </c>
      <c r="B348" s="1" t="n">
        <v>45407</v>
      </c>
      <c r="C348" s="1" t="n">
        <v>45888</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45888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43081-2022</t>
        </is>
      </c>
      <c r="B350" s="1" t="n">
        <v>44833</v>
      </c>
      <c r="C350" s="1" t="n">
        <v>45888</v>
      </c>
      <c r="D350" t="inlineStr">
        <is>
          <t>GOTLANDS LÄN</t>
        </is>
      </c>
      <c r="E350" t="inlineStr">
        <is>
          <t>GOTLAND</t>
        </is>
      </c>
      <c r="G350" t="n">
        <v>6.8</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45888</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45888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1175-2025</t>
        </is>
      </c>
      <c r="B353" s="1" t="n">
        <v>45667.34449074074</v>
      </c>
      <c r="C353" s="1" t="n">
        <v>45888</v>
      </c>
      <c r="D353" t="inlineStr">
        <is>
          <t>GOTLANDS LÄN</t>
        </is>
      </c>
      <c r="E353" t="inlineStr">
        <is>
          <t>GOTLAND</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45888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42201-2023</t>
        </is>
      </c>
      <c r="B355" s="1" t="n">
        <v>45179</v>
      </c>
      <c r="C355" s="1" t="n">
        <v>45888</v>
      </c>
      <c r="D355" t="inlineStr">
        <is>
          <t>GOTLANDS LÄN</t>
        </is>
      </c>
      <c r="E355" t="inlineStr">
        <is>
          <t>GOTLAND</t>
        </is>
      </c>
      <c r="G355" t="n">
        <v>11.9</v>
      </c>
      <c r="H355" t="n">
        <v>0</v>
      </c>
      <c r="I355" t="n">
        <v>0</v>
      </c>
      <c r="J355" t="n">
        <v>0</v>
      </c>
      <c r="K355" t="n">
        <v>0</v>
      </c>
      <c r="L355" t="n">
        <v>0</v>
      </c>
      <c r="M355" t="n">
        <v>0</v>
      </c>
      <c r="N355" t="n">
        <v>0</v>
      </c>
      <c r="O355" t="n">
        <v>0</v>
      </c>
      <c r="P355" t="n">
        <v>0</v>
      </c>
      <c r="Q355" t="n">
        <v>0</v>
      </c>
      <c r="R355" s="2" t="inlineStr"/>
    </row>
    <row r="356" ht="15" customHeight="1">
      <c r="A356" t="inlineStr">
        <is>
          <t>A 3150-2025</t>
        </is>
      </c>
      <c r="B356" s="1" t="n">
        <v>45679.28974537037</v>
      </c>
      <c r="C356" s="1" t="n">
        <v>45888</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5674-2025</t>
        </is>
      </c>
      <c r="B357" s="1" t="n">
        <v>45694.28993055555</v>
      </c>
      <c r="C357" s="1" t="n">
        <v>45888</v>
      </c>
      <c r="D357" t="inlineStr">
        <is>
          <t>GOTLANDS LÄN</t>
        </is>
      </c>
      <c r="E357" t="inlineStr">
        <is>
          <t>GOTLAND</t>
        </is>
      </c>
      <c r="G357" t="n">
        <v>4.2</v>
      </c>
      <c r="H357" t="n">
        <v>0</v>
      </c>
      <c r="I357" t="n">
        <v>0</v>
      </c>
      <c r="J357" t="n">
        <v>0</v>
      </c>
      <c r="K357" t="n">
        <v>0</v>
      </c>
      <c r="L357" t="n">
        <v>0</v>
      </c>
      <c r="M357" t="n">
        <v>0</v>
      </c>
      <c r="N357" t="n">
        <v>0</v>
      </c>
      <c r="O357" t="n">
        <v>0</v>
      </c>
      <c r="P357" t="n">
        <v>0</v>
      </c>
      <c r="Q357" t="n">
        <v>0</v>
      </c>
      <c r="R357" s="2" t="inlineStr"/>
    </row>
    <row r="358" ht="15" customHeight="1">
      <c r="A358" t="inlineStr">
        <is>
          <t>A 5676-2025</t>
        </is>
      </c>
      <c r="B358" s="1" t="n">
        <v>45694.29512731481</v>
      </c>
      <c r="C358" s="1" t="n">
        <v>45888</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48503-2023</t>
        </is>
      </c>
      <c r="B359" s="1" t="n">
        <v>45207</v>
      </c>
      <c r="C359" s="1" t="n">
        <v>45888</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45888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42041-2024</t>
        </is>
      </c>
      <c r="B361" s="1" t="n">
        <v>45561</v>
      </c>
      <c r="C361" s="1" t="n">
        <v>45888</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1345-2025</t>
        </is>
      </c>
      <c r="B362" s="1" t="n">
        <v>45667.60511574074</v>
      </c>
      <c r="C362" s="1" t="n">
        <v>45888</v>
      </c>
      <c r="D362" t="inlineStr">
        <is>
          <t>GOTLANDS LÄN</t>
        </is>
      </c>
      <c r="E362" t="inlineStr">
        <is>
          <t>GOTLAND</t>
        </is>
      </c>
      <c r="G362" t="n">
        <v>5.7</v>
      </c>
      <c r="H362" t="n">
        <v>0</v>
      </c>
      <c r="I362" t="n">
        <v>0</v>
      </c>
      <c r="J362" t="n">
        <v>0</v>
      </c>
      <c r="K362" t="n">
        <v>0</v>
      </c>
      <c r="L362" t="n">
        <v>0</v>
      </c>
      <c r="M362" t="n">
        <v>0</v>
      </c>
      <c r="N362" t="n">
        <v>0</v>
      </c>
      <c r="O362" t="n">
        <v>0</v>
      </c>
      <c r="P362" t="n">
        <v>0</v>
      </c>
      <c r="Q362" t="n">
        <v>0</v>
      </c>
      <c r="R362" s="2" t="inlineStr"/>
    </row>
    <row r="363" ht="15" customHeight="1">
      <c r="A363" t="inlineStr">
        <is>
          <t>A 22031-2024</t>
        </is>
      </c>
      <c r="B363" s="1" t="n">
        <v>45443.60075231481</v>
      </c>
      <c r="C363" s="1" t="n">
        <v>45888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17688-2024</t>
        </is>
      </c>
      <c r="B364" s="1" t="n">
        <v>45418.43575231481</v>
      </c>
      <c r="C364" s="1" t="n">
        <v>45888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18993-2025</t>
        </is>
      </c>
      <c r="B365" s="1" t="n">
        <v>45764</v>
      </c>
      <c r="C365" s="1" t="n">
        <v>45888</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15436-2025</t>
        </is>
      </c>
      <c r="B366" s="1" t="n">
        <v>45747.47462962963</v>
      </c>
      <c r="C366" s="1" t="n">
        <v>45888</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27694-2024</t>
        </is>
      </c>
      <c r="B367" s="1" t="n">
        <v>45475</v>
      </c>
      <c r="C367" s="1" t="n">
        <v>45888</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21247-2022</t>
        </is>
      </c>
      <c r="B368" s="1" t="n">
        <v>44705.38832175926</v>
      </c>
      <c r="C368" s="1" t="n">
        <v>45888</v>
      </c>
      <c r="D368" t="inlineStr">
        <is>
          <t>GOTLANDS LÄN</t>
        </is>
      </c>
      <c r="E368" t="inlineStr">
        <is>
          <t>GOTLAND</t>
        </is>
      </c>
      <c r="G368" t="n">
        <v>16.2</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45888</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45888</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45888</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21420-2024</t>
        </is>
      </c>
      <c r="B372" s="1" t="n">
        <v>45441.38293981482</v>
      </c>
      <c r="C372" s="1" t="n">
        <v>45888</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10656-2024</t>
        </is>
      </c>
      <c r="B373" s="1" t="n">
        <v>45368</v>
      </c>
      <c r="C373" s="1" t="n">
        <v>45888</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57356-2023</t>
        </is>
      </c>
      <c r="B374" s="1" t="n">
        <v>45240</v>
      </c>
      <c r="C374" s="1" t="n">
        <v>45888</v>
      </c>
      <c r="D374" t="inlineStr">
        <is>
          <t>GOTLANDS LÄN</t>
        </is>
      </c>
      <c r="E374" t="inlineStr">
        <is>
          <t>GOTLAND</t>
        </is>
      </c>
      <c r="G374" t="n">
        <v>6.4</v>
      </c>
      <c r="H374" t="n">
        <v>0</v>
      </c>
      <c r="I374" t="n">
        <v>0</v>
      </c>
      <c r="J374" t="n">
        <v>0</v>
      </c>
      <c r="K374" t="n">
        <v>0</v>
      </c>
      <c r="L374" t="n">
        <v>0</v>
      </c>
      <c r="M374" t="n">
        <v>0</v>
      </c>
      <c r="N374" t="n">
        <v>0</v>
      </c>
      <c r="O374" t="n">
        <v>0</v>
      </c>
      <c r="P374" t="n">
        <v>0</v>
      </c>
      <c r="Q374" t="n">
        <v>0</v>
      </c>
      <c r="R374" s="2" t="inlineStr"/>
    </row>
    <row r="375" ht="15" customHeight="1">
      <c r="A375" t="inlineStr">
        <is>
          <t>A 22287-2022</t>
        </is>
      </c>
      <c r="B375" s="1" t="n">
        <v>44712</v>
      </c>
      <c r="C375" s="1" t="n">
        <v>45888</v>
      </c>
      <c r="D375" t="inlineStr">
        <is>
          <t>GOTLANDS LÄN</t>
        </is>
      </c>
      <c r="E375" t="inlineStr">
        <is>
          <t>GOTLAND</t>
        </is>
      </c>
      <c r="G375" t="n">
        <v>6.1</v>
      </c>
      <c r="H375" t="n">
        <v>0</v>
      </c>
      <c r="I375" t="n">
        <v>0</v>
      </c>
      <c r="J375" t="n">
        <v>0</v>
      </c>
      <c r="K375" t="n">
        <v>0</v>
      </c>
      <c r="L375" t="n">
        <v>0</v>
      </c>
      <c r="M375" t="n">
        <v>0</v>
      </c>
      <c r="N375" t="n">
        <v>0</v>
      </c>
      <c r="O375" t="n">
        <v>0</v>
      </c>
      <c r="P375" t="n">
        <v>0</v>
      </c>
      <c r="Q375" t="n">
        <v>0</v>
      </c>
      <c r="R375" s="2" t="inlineStr"/>
    </row>
    <row r="376" ht="15" customHeight="1">
      <c r="A376" t="inlineStr">
        <is>
          <t>A 28506-2023</t>
        </is>
      </c>
      <c r="B376" s="1" t="n">
        <v>45103</v>
      </c>
      <c r="C376" s="1" t="n">
        <v>45888</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18914-2025</t>
        </is>
      </c>
      <c r="B377" s="1" t="n">
        <v>45764.46783564815</v>
      </c>
      <c r="C377" s="1" t="n">
        <v>45888</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45888</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45888</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17780-2022</t>
        </is>
      </c>
      <c r="B380" s="1" t="n">
        <v>44682.82622685185</v>
      </c>
      <c r="C380" s="1" t="n">
        <v>45888</v>
      </c>
      <c r="D380" t="inlineStr">
        <is>
          <t>GOTLANDS LÄN</t>
        </is>
      </c>
      <c r="E380" t="inlineStr">
        <is>
          <t>GOTLAND</t>
        </is>
      </c>
      <c r="G380" t="n">
        <v>2.2</v>
      </c>
      <c r="H380" t="n">
        <v>0</v>
      </c>
      <c r="I380" t="n">
        <v>0</v>
      </c>
      <c r="J380" t="n">
        <v>0</v>
      </c>
      <c r="K380" t="n">
        <v>0</v>
      </c>
      <c r="L380" t="n">
        <v>0</v>
      </c>
      <c r="M380" t="n">
        <v>0</v>
      </c>
      <c r="N380" t="n">
        <v>0</v>
      </c>
      <c r="O380" t="n">
        <v>0</v>
      </c>
      <c r="P380" t="n">
        <v>0</v>
      </c>
      <c r="Q380" t="n">
        <v>0</v>
      </c>
      <c r="R380" s="2" t="inlineStr"/>
    </row>
    <row r="381" ht="15" customHeight="1">
      <c r="A381" t="inlineStr">
        <is>
          <t>A 63516-2023</t>
        </is>
      </c>
      <c r="B381" s="1" t="n">
        <v>45274</v>
      </c>
      <c r="C381" s="1" t="n">
        <v>45888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23188-2025</t>
        </is>
      </c>
      <c r="B382" s="1" t="n">
        <v>45791</v>
      </c>
      <c r="C382" s="1" t="n">
        <v>45888</v>
      </c>
      <c r="D382" t="inlineStr">
        <is>
          <t>GOTLANDS LÄN</t>
        </is>
      </c>
      <c r="E382" t="inlineStr">
        <is>
          <t>GOTLAND</t>
        </is>
      </c>
      <c r="G382" t="n">
        <v>6.2</v>
      </c>
      <c r="H382" t="n">
        <v>0</v>
      </c>
      <c r="I382" t="n">
        <v>0</v>
      </c>
      <c r="J382" t="n">
        <v>0</v>
      </c>
      <c r="K382" t="n">
        <v>0</v>
      </c>
      <c r="L382" t="n">
        <v>0</v>
      </c>
      <c r="M382" t="n">
        <v>0</v>
      </c>
      <c r="N382" t="n">
        <v>0</v>
      </c>
      <c r="O382" t="n">
        <v>0</v>
      </c>
      <c r="P382" t="n">
        <v>0</v>
      </c>
      <c r="Q382" t="n">
        <v>0</v>
      </c>
      <c r="R382" s="2" t="inlineStr"/>
    </row>
    <row r="383" ht="15" customHeight="1">
      <c r="A383" t="inlineStr">
        <is>
          <t>A 53935-2024</t>
        </is>
      </c>
      <c r="B383" s="1" t="n">
        <v>45615</v>
      </c>
      <c r="C383" s="1" t="n">
        <v>45888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45888</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69112-2021</t>
        </is>
      </c>
      <c r="B385" s="1" t="n">
        <v>44530</v>
      </c>
      <c r="C385" s="1" t="n">
        <v>45888</v>
      </c>
      <c r="D385" t="inlineStr">
        <is>
          <t>GOTLANDS LÄN</t>
        </is>
      </c>
      <c r="E385" t="inlineStr">
        <is>
          <t>GOTLAND</t>
        </is>
      </c>
      <c r="G385" t="n">
        <v>4.2</v>
      </c>
      <c r="H385" t="n">
        <v>0</v>
      </c>
      <c r="I385" t="n">
        <v>0</v>
      </c>
      <c r="J385" t="n">
        <v>0</v>
      </c>
      <c r="K385" t="n">
        <v>0</v>
      </c>
      <c r="L385" t="n">
        <v>0</v>
      </c>
      <c r="M385" t="n">
        <v>0</v>
      </c>
      <c r="N385" t="n">
        <v>0</v>
      </c>
      <c r="O385" t="n">
        <v>0</v>
      </c>
      <c r="P385" t="n">
        <v>0</v>
      </c>
      <c r="Q385" t="n">
        <v>0</v>
      </c>
      <c r="R385" s="2" t="inlineStr"/>
    </row>
    <row r="386" ht="15" customHeight="1">
      <c r="A386" t="inlineStr">
        <is>
          <t>A 48734-2022</t>
        </is>
      </c>
      <c r="B386" s="1" t="n">
        <v>44855</v>
      </c>
      <c r="C386" s="1" t="n">
        <v>45888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23516-2023</t>
        </is>
      </c>
      <c r="B387" s="1" t="n">
        <v>45076.93391203704</v>
      </c>
      <c r="C387" s="1" t="n">
        <v>45888</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43231-2023</t>
        </is>
      </c>
      <c r="B388" s="1" t="n">
        <v>45183.47025462963</v>
      </c>
      <c r="C388" s="1" t="n">
        <v>45888</v>
      </c>
      <c r="D388" t="inlineStr">
        <is>
          <t>GOTLANDS LÄN</t>
        </is>
      </c>
      <c r="E388" t="inlineStr">
        <is>
          <t>GOTLAND</t>
        </is>
      </c>
      <c r="G388" t="n">
        <v>3.6</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45888</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23856-2025</t>
        </is>
      </c>
      <c r="B390" s="1" t="n">
        <v>45793</v>
      </c>
      <c r="C390" s="1" t="n">
        <v>45888</v>
      </c>
      <c r="D390" t="inlineStr">
        <is>
          <t>GOTLANDS LÄN</t>
        </is>
      </c>
      <c r="E390" t="inlineStr">
        <is>
          <t>GOTLAND</t>
        </is>
      </c>
      <c r="G390" t="n">
        <v>4.4</v>
      </c>
      <c r="H390" t="n">
        <v>0</v>
      </c>
      <c r="I390" t="n">
        <v>0</v>
      </c>
      <c r="J390" t="n">
        <v>0</v>
      </c>
      <c r="K390" t="n">
        <v>0</v>
      </c>
      <c r="L390" t="n">
        <v>0</v>
      </c>
      <c r="M390" t="n">
        <v>0</v>
      </c>
      <c r="N390" t="n">
        <v>0</v>
      </c>
      <c r="O390" t="n">
        <v>0</v>
      </c>
      <c r="P390" t="n">
        <v>0</v>
      </c>
      <c r="Q390" t="n">
        <v>0</v>
      </c>
      <c r="R390" s="2" t="inlineStr"/>
    </row>
    <row r="391" ht="15" customHeight="1">
      <c r="A391" t="inlineStr">
        <is>
          <t>A 58230-2024</t>
        </is>
      </c>
      <c r="B391" s="1" t="n">
        <v>45632.51625</v>
      </c>
      <c r="C391" s="1" t="n">
        <v>45888</v>
      </c>
      <c r="D391" t="inlineStr">
        <is>
          <t>GOTLANDS LÄN</t>
        </is>
      </c>
      <c r="E391" t="inlineStr">
        <is>
          <t>GOTLAND</t>
        </is>
      </c>
      <c r="G391" t="n">
        <v>7.3</v>
      </c>
      <c r="H391" t="n">
        <v>0</v>
      </c>
      <c r="I391" t="n">
        <v>0</v>
      </c>
      <c r="J391" t="n">
        <v>0</v>
      </c>
      <c r="K391" t="n">
        <v>0</v>
      </c>
      <c r="L391" t="n">
        <v>0</v>
      </c>
      <c r="M391" t="n">
        <v>0</v>
      </c>
      <c r="N391" t="n">
        <v>0</v>
      </c>
      <c r="O391" t="n">
        <v>0</v>
      </c>
      <c r="P391" t="n">
        <v>0</v>
      </c>
      <c r="Q391" t="n">
        <v>0</v>
      </c>
      <c r="R391" s="2" t="inlineStr"/>
    </row>
    <row r="392" ht="15" customHeight="1">
      <c r="A392" t="inlineStr">
        <is>
          <t>A 23473-2025</t>
        </is>
      </c>
      <c r="B392" s="1" t="n">
        <v>45792</v>
      </c>
      <c r="C392" s="1" t="n">
        <v>45888</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64555-2023</t>
        </is>
      </c>
      <c r="B393" s="1" t="n">
        <v>45281</v>
      </c>
      <c r="C393" s="1" t="n">
        <v>45888</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45888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23700-2025</t>
        </is>
      </c>
      <c r="B395" s="1" t="n">
        <v>45793</v>
      </c>
      <c r="C395" s="1" t="n">
        <v>45888</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15073-2025</t>
        </is>
      </c>
      <c r="B396" s="1" t="n">
        <v>45743</v>
      </c>
      <c r="C396" s="1" t="n">
        <v>45888</v>
      </c>
      <c r="D396" t="inlineStr">
        <is>
          <t>GOTLANDS LÄN</t>
        </is>
      </c>
      <c r="E396" t="inlineStr">
        <is>
          <t>GOTLAND</t>
        </is>
      </c>
      <c r="G396" t="n">
        <v>12.1</v>
      </c>
      <c r="H396" t="n">
        <v>0</v>
      </c>
      <c r="I396" t="n">
        <v>0</v>
      </c>
      <c r="J396" t="n">
        <v>0</v>
      </c>
      <c r="K396" t="n">
        <v>0</v>
      </c>
      <c r="L396" t="n">
        <v>0</v>
      </c>
      <c r="M396" t="n">
        <v>0</v>
      </c>
      <c r="N396" t="n">
        <v>0</v>
      </c>
      <c r="O396" t="n">
        <v>0</v>
      </c>
      <c r="P396" t="n">
        <v>0</v>
      </c>
      <c r="Q396" t="n">
        <v>0</v>
      </c>
      <c r="R396" s="2" t="inlineStr"/>
    </row>
    <row r="397" ht="15" customHeight="1">
      <c r="A397" t="inlineStr">
        <is>
          <t>A 15075-2025</t>
        </is>
      </c>
      <c r="B397" s="1" t="n">
        <v>45743</v>
      </c>
      <c r="C397" s="1" t="n">
        <v>45888</v>
      </c>
      <c r="D397" t="inlineStr">
        <is>
          <t>GOTLANDS LÄN</t>
        </is>
      </c>
      <c r="E397" t="inlineStr">
        <is>
          <t>GOTLAND</t>
        </is>
      </c>
      <c r="G397" t="n">
        <v>20.9</v>
      </c>
      <c r="H397" t="n">
        <v>0</v>
      </c>
      <c r="I397" t="n">
        <v>0</v>
      </c>
      <c r="J397" t="n">
        <v>0</v>
      </c>
      <c r="K397" t="n">
        <v>0</v>
      </c>
      <c r="L397" t="n">
        <v>0</v>
      </c>
      <c r="M397" t="n">
        <v>0</v>
      </c>
      <c r="N397" t="n">
        <v>0</v>
      </c>
      <c r="O397" t="n">
        <v>0</v>
      </c>
      <c r="P397" t="n">
        <v>0</v>
      </c>
      <c r="Q397" t="n">
        <v>0</v>
      </c>
      <c r="R397" s="2" t="inlineStr"/>
    </row>
    <row r="398" ht="15" customHeight="1">
      <c r="A398" t="inlineStr">
        <is>
          <t>A 457-2023</t>
        </is>
      </c>
      <c r="B398" s="1" t="n">
        <v>44929.87238425926</v>
      </c>
      <c r="C398" s="1" t="n">
        <v>45888</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459-2023</t>
        </is>
      </c>
      <c r="B399" s="1" t="n">
        <v>44929.87423611111</v>
      </c>
      <c r="C399" s="1" t="n">
        <v>45888</v>
      </c>
      <c r="D399" t="inlineStr">
        <is>
          <t>GOTLANDS LÄN</t>
        </is>
      </c>
      <c r="E399" t="inlineStr">
        <is>
          <t>GOTLAND</t>
        </is>
      </c>
      <c r="G399" t="n">
        <v>4.2</v>
      </c>
      <c r="H399" t="n">
        <v>0</v>
      </c>
      <c r="I399" t="n">
        <v>0</v>
      </c>
      <c r="J399" t="n">
        <v>0</v>
      </c>
      <c r="K399" t="n">
        <v>0</v>
      </c>
      <c r="L399" t="n">
        <v>0</v>
      </c>
      <c r="M399" t="n">
        <v>0</v>
      </c>
      <c r="N399" t="n">
        <v>0</v>
      </c>
      <c r="O399" t="n">
        <v>0</v>
      </c>
      <c r="P399" t="n">
        <v>0</v>
      </c>
      <c r="Q399" t="n">
        <v>0</v>
      </c>
      <c r="R399" s="2" t="inlineStr"/>
    </row>
    <row r="400" ht="15" customHeight="1">
      <c r="A400" t="inlineStr">
        <is>
          <t>A 15413-2025</t>
        </is>
      </c>
      <c r="B400" s="1" t="n">
        <v>45747.451875</v>
      </c>
      <c r="C400" s="1" t="n">
        <v>45888</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6796-2025</t>
        </is>
      </c>
      <c r="B401" s="1" t="n">
        <v>45700.66559027778</v>
      </c>
      <c r="C401" s="1" t="n">
        <v>45888</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876-2024</t>
        </is>
      </c>
      <c r="B402" s="1" t="n">
        <v>45301</v>
      </c>
      <c r="C402" s="1" t="n">
        <v>45888</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32669-2024</t>
        </is>
      </c>
      <c r="B403" s="1" t="n">
        <v>45514</v>
      </c>
      <c r="C403" s="1" t="n">
        <v>45888</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26891-2024</t>
        </is>
      </c>
      <c r="B404" s="1" t="n">
        <v>45470.65540509259</v>
      </c>
      <c r="C404" s="1" t="n">
        <v>45888</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14536-2021</t>
        </is>
      </c>
      <c r="B405" s="1" t="n">
        <v>44279.66168981481</v>
      </c>
      <c r="C405" s="1" t="n">
        <v>45888</v>
      </c>
      <c r="D405" t="inlineStr">
        <is>
          <t>GOTLANDS LÄN</t>
        </is>
      </c>
      <c r="E405" t="inlineStr">
        <is>
          <t>GOTLAND</t>
        </is>
      </c>
      <c r="G405" t="n">
        <v>8.5</v>
      </c>
      <c r="H405" t="n">
        <v>0</v>
      </c>
      <c r="I405" t="n">
        <v>0</v>
      </c>
      <c r="J405" t="n">
        <v>0</v>
      </c>
      <c r="K405" t="n">
        <v>0</v>
      </c>
      <c r="L405" t="n">
        <v>0</v>
      </c>
      <c r="M405" t="n">
        <v>0</v>
      </c>
      <c r="N405" t="n">
        <v>0</v>
      </c>
      <c r="O405" t="n">
        <v>0</v>
      </c>
      <c r="P405" t="n">
        <v>0</v>
      </c>
      <c r="Q405" t="n">
        <v>0</v>
      </c>
      <c r="R405" s="2" t="inlineStr"/>
    </row>
    <row r="406" ht="15" customHeight="1">
      <c r="A406" t="inlineStr">
        <is>
          <t>A 5923-2023</t>
        </is>
      </c>
      <c r="B406" s="1" t="n">
        <v>44963.69503472222</v>
      </c>
      <c r="C406" s="1" t="n">
        <v>45888</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50482-2024</t>
        </is>
      </c>
      <c r="B407" s="1" t="n">
        <v>45601.48114583334</v>
      </c>
      <c r="C407" s="1" t="n">
        <v>45888</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20855-2023</t>
        </is>
      </c>
      <c r="B408" s="1" t="n">
        <v>45058.82172453704</v>
      </c>
      <c r="C408" s="1" t="n">
        <v>45888</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5943-2024</t>
        </is>
      </c>
      <c r="B409" s="1" t="n">
        <v>45336</v>
      </c>
      <c r="C409" s="1" t="n">
        <v>45888</v>
      </c>
      <c r="D409" t="inlineStr">
        <is>
          <t>GOTLANDS LÄN</t>
        </is>
      </c>
      <c r="E409" t="inlineStr">
        <is>
          <t>GOTLAND</t>
        </is>
      </c>
      <c r="G409" t="n">
        <v>4.3</v>
      </c>
      <c r="H409" t="n">
        <v>0</v>
      </c>
      <c r="I409" t="n">
        <v>0</v>
      </c>
      <c r="J409" t="n">
        <v>0</v>
      </c>
      <c r="K409" t="n">
        <v>0</v>
      </c>
      <c r="L409" t="n">
        <v>0</v>
      </c>
      <c r="M409" t="n">
        <v>0</v>
      </c>
      <c r="N409" t="n">
        <v>0</v>
      </c>
      <c r="O409" t="n">
        <v>0</v>
      </c>
      <c r="P409" t="n">
        <v>0</v>
      </c>
      <c r="Q409" t="n">
        <v>0</v>
      </c>
      <c r="R409" s="2" t="inlineStr"/>
    </row>
    <row r="410" ht="15" customHeight="1">
      <c r="A410" t="inlineStr">
        <is>
          <t>A 38234-2023</t>
        </is>
      </c>
      <c r="B410" s="1" t="n">
        <v>45161.56663194444</v>
      </c>
      <c r="C410" s="1" t="n">
        <v>45888</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1273-2023</t>
        </is>
      </c>
      <c r="B411" s="1" t="n">
        <v>44936</v>
      </c>
      <c r="C411" s="1" t="n">
        <v>45888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60709-2023</t>
        </is>
      </c>
      <c r="B412" s="1" t="n">
        <v>45260</v>
      </c>
      <c r="C412" s="1" t="n">
        <v>45888</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45888</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45888</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65249-2023</t>
        </is>
      </c>
      <c r="B415" s="1" t="n">
        <v>45290</v>
      </c>
      <c r="C415" s="1" t="n">
        <v>45888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30956-2024</t>
        </is>
      </c>
      <c r="B416" s="1" t="n">
        <v>45499.42527777778</v>
      </c>
      <c r="C416" s="1" t="n">
        <v>45888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6749-2025</t>
        </is>
      </c>
      <c r="B417" s="1" t="n">
        <v>45700</v>
      </c>
      <c r="C417" s="1" t="n">
        <v>45888</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17724-2024</t>
        </is>
      </c>
      <c r="B418" s="1" t="n">
        <v>45418.55096064815</v>
      </c>
      <c r="C418" s="1" t="n">
        <v>45888</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12596-2023</t>
        </is>
      </c>
      <c r="B419" s="1" t="n">
        <v>45000.43310185185</v>
      </c>
      <c r="C419" s="1" t="n">
        <v>45888</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8045-2022</t>
        </is>
      </c>
      <c r="B420" s="1" t="n">
        <v>44609</v>
      </c>
      <c r="C420" s="1" t="n">
        <v>45888</v>
      </c>
      <c r="D420" t="inlineStr">
        <is>
          <t>GOTLANDS LÄN</t>
        </is>
      </c>
      <c r="E420" t="inlineStr">
        <is>
          <t>GOTLAND</t>
        </is>
      </c>
      <c r="G420" t="n">
        <v>7</v>
      </c>
      <c r="H420" t="n">
        <v>0</v>
      </c>
      <c r="I420" t="n">
        <v>0</v>
      </c>
      <c r="J420" t="n">
        <v>0</v>
      </c>
      <c r="K420" t="n">
        <v>0</v>
      </c>
      <c r="L420" t="n">
        <v>0</v>
      </c>
      <c r="M420" t="n">
        <v>0</v>
      </c>
      <c r="N420" t="n">
        <v>0</v>
      </c>
      <c r="O420" t="n">
        <v>0</v>
      </c>
      <c r="P420" t="n">
        <v>0</v>
      </c>
      <c r="Q420" t="n">
        <v>0</v>
      </c>
      <c r="R420" s="2" t="inlineStr"/>
    </row>
    <row r="421" ht="15" customHeight="1">
      <c r="A421" t="inlineStr">
        <is>
          <t>A 23978-2023</t>
        </is>
      </c>
      <c r="B421" s="1" t="n">
        <v>45078</v>
      </c>
      <c r="C421" s="1" t="n">
        <v>45888</v>
      </c>
      <c r="D421" t="inlineStr">
        <is>
          <t>GOTLANDS LÄN</t>
        </is>
      </c>
      <c r="E421" t="inlineStr">
        <is>
          <t>GOTLAND</t>
        </is>
      </c>
      <c r="F421" t="inlineStr">
        <is>
          <t>Naturvårdsverket</t>
        </is>
      </c>
      <c r="G421" t="n">
        <v>1.7</v>
      </c>
      <c r="H421" t="n">
        <v>0</v>
      </c>
      <c r="I421" t="n">
        <v>0</v>
      </c>
      <c r="J421" t="n">
        <v>0</v>
      </c>
      <c r="K421" t="n">
        <v>0</v>
      </c>
      <c r="L421" t="n">
        <v>0</v>
      </c>
      <c r="M421" t="n">
        <v>0</v>
      </c>
      <c r="N421" t="n">
        <v>0</v>
      </c>
      <c r="O421" t="n">
        <v>0</v>
      </c>
      <c r="P421" t="n">
        <v>0</v>
      </c>
      <c r="Q421" t="n">
        <v>0</v>
      </c>
      <c r="R421" s="2" t="inlineStr"/>
    </row>
    <row r="422" ht="15" customHeight="1">
      <c r="A422" t="inlineStr">
        <is>
          <t>A 49884-2023</t>
        </is>
      </c>
      <c r="B422" s="1" t="n">
        <v>45213</v>
      </c>
      <c r="C422" s="1" t="n">
        <v>45888</v>
      </c>
      <c r="D422" t="inlineStr">
        <is>
          <t>GOTLANDS LÄN</t>
        </is>
      </c>
      <c r="E422" t="inlineStr">
        <is>
          <t>GOTLAND</t>
        </is>
      </c>
      <c r="G422" t="n">
        <v>8.9</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45888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43200-2023</t>
        </is>
      </c>
      <c r="B424" s="1" t="n">
        <v>45183</v>
      </c>
      <c r="C424" s="1" t="n">
        <v>45888</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5462-2025</t>
        </is>
      </c>
      <c r="B425" s="1" t="n">
        <v>45693.29331018519</v>
      </c>
      <c r="C425" s="1" t="n">
        <v>45888</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1477-2024</t>
        </is>
      </c>
      <c r="B426" s="1" t="n">
        <v>45305.37987268518</v>
      </c>
      <c r="C426" s="1" t="n">
        <v>45888</v>
      </c>
      <c r="D426" t="inlineStr">
        <is>
          <t>GOTLANDS LÄN</t>
        </is>
      </c>
      <c r="E426" t="inlineStr">
        <is>
          <t>GOTLAND</t>
        </is>
      </c>
      <c r="G426" t="n">
        <v>6.9</v>
      </c>
      <c r="H426" t="n">
        <v>0</v>
      </c>
      <c r="I426" t="n">
        <v>0</v>
      </c>
      <c r="J426" t="n">
        <v>0</v>
      </c>
      <c r="K426" t="n">
        <v>0</v>
      </c>
      <c r="L426" t="n">
        <v>0</v>
      </c>
      <c r="M426" t="n">
        <v>0</v>
      </c>
      <c r="N426" t="n">
        <v>0</v>
      </c>
      <c r="O426" t="n">
        <v>0</v>
      </c>
      <c r="P426" t="n">
        <v>0</v>
      </c>
      <c r="Q426" t="n">
        <v>0</v>
      </c>
      <c r="R426" s="2" t="inlineStr"/>
    </row>
    <row r="427" ht="15" customHeight="1">
      <c r="A427" t="inlineStr">
        <is>
          <t>A 3935-2025</t>
        </is>
      </c>
      <c r="B427" s="1" t="n">
        <v>45684.46070601852</v>
      </c>
      <c r="C427" s="1" t="n">
        <v>45888</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999-2024</t>
        </is>
      </c>
      <c r="B428" s="1" t="n">
        <v>45301</v>
      </c>
      <c r="C428" s="1" t="n">
        <v>45888</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65901-2021</t>
        </is>
      </c>
      <c r="B429" s="1" t="n">
        <v>44516</v>
      </c>
      <c r="C429" s="1" t="n">
        <v>45888</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47762-2023</t>
        </is>
      </c>
      <c r="B430" s="1" t="n">
        <v>45203.86256944444</v>
      </c>
      <c r="C430" s="1" t="n">
        <v>45888</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21792-2024</t>
        </is>
      </c>
      <c r="B431" s="1" t="n">
        <v>45442.64326388889</v>
      </c>
      <c r="C431" s="1" t="n">
        <v>45888</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25678-2025</t>
        </is>
      </c>
      <c r="B432" s="1" t="n">
        <v>45803.64118055555</v>
      </c>
      <c r="C432" s="1" t="n">
        <v>45888</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40294-2022</t>
        </is>
      </c>
      <c r="B433" s="1" t="n">
        <v>44821</v>
      </c>
      <c r="C433" s="1" t="n">
        <v>45888</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27602-2023</t>
        </is>
      </c>
      <c r="B434" s="1" t="n">
        <v>45097</v>
      </c>
      <c r="C434" s="1" t="n">
        <v>45888</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58780-2024</t>
        </is>
      </c>
      <c r="B435" s="1" t="n">
        <v>45635.84113425926</v>
      </c>
      <c r="C435" s="1" t="n">
        <v>45888</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12322-2025</t>
        </is>
      </c>
      <c r="B436" s="1" t="n">
        <v>45730</v>
      </c>
      <c r="C436" s="1" t="n">
        <v>45888</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25796-2025</t>
        </is>
      </c>
      <c r="B437" s="1" t="n">
        <v>45804.39543981481</v>
      </c>
      <c r="C437" s="1" t="n">
        <v>45888</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48843-2024</t>
        </is>
      </c>
      <c r="B438" s="1" t="n">
        <v>45593</v>
      </c>
      <c r="C438" s="1" t="n">
        <v>45888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46778-2020</t>
        </is>
      </c>
      <c r="B439" s="1" t="n">
        <v>44096</v>
      </c>
      <c r="C439" s="1" t="n">
        <v>45888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24192-2023</t>
        </is>
      </c>
      <c r="B440" s="1" t="n">
        <v>45079</v>
      </c>
      <c r="C440" s="1" t="n">
        <v>45888</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30282-2022</t>
        </is>
      </c>
      <c r="B441" s="1" t="n">
        <v>44760</v>
      </c>
      <c r="C441" s="1" t="n">
        <v>45888</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7835-2024</t>
        </is>
      </c>
      <c r="B442" s="1" t="n">
        <v>45349.83138888889</v>
      </c>
      <c r="C442" s="1" t="n">
        <v>45888</v>
      </c>
      <c r="D442" t="inlineStr">
        <is>
          <t>GOTLANDS LÄN</t>
        </is>
      </c>
      <c r="E442" t="inlineStr">
        <is>
          <t>GOTLAND</t>
        </is>
      </c>
      <c r="G442" t="n">
        <v>3.8</v>
      </c>
      <c r="H442" t="n">
        <v>0</v>
      </c>
      <c r="I442" t="n">
        <v>0</v>
      </c>
      <c r="J442" t="n">
        <v>0</v>
      </c>
      <c r="K442" t="n">
        <v>0</v>
      </c>
      <c r="L442" t="n">
        <v>0</v>
      </c>
      <c r="M442" t="n">
        <v>0</v>
      </c>
      <c r="N442" t="n">
        <v>0</v>
      </c>
      <c r="O442" t="n">
        <v>0</v>
      </c>
      <c r="P442" t="n">
        <v>0</v>
      </c>
      <c r="Q442" t="n">
        <v>0</v>
      </c>
      <c r="R442" s="2" t="inlineStr"/>
    </row>
    <row r="443" ht="15" customHeight="1">
      <c r="A443" t="inlineStr">
        <is>
          <t>A 10158-2025</t>
        </is>
      </c>
      <c r="B443" s="1" t="n">
        <v>45719</v>
      </c>
      <c r="C443" s="1" t="n">
        <v>45888</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10650-2022</t>
        </is>
      </c>
      <c r="B444" s="1" t="n">
        <v>44624.57945601852</v>
      </c>
      <c r="C444" s="1" t="n">
        <v>45888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10653-2023</t>
        </is>
      </c>
      <c r="B445" s="1" t="n">
        <v>44988.48859953704</v>
      </c>
      <c r="C445" s="1" t="n">
        <v>45888</v>
      </c>
      <c r="D445" t="inlineStr">
        <is>
          <t>GOTLANDS LÄN</t>
        </is>
      </c>
      <c r="E445" t="inlineStr">
        <is>
          <t>GOTLAND</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26391-2025</t>
        </is>
      </c>
      <c r="B446" s="1" t="n">
        <v>45806</v>
      </c>
      <c r="C446" s="1" t="n">
        <v>45888</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26465-2025</t>
        </is>
      </c>
      <c r="B447" s="1" t="n">
        <v>45807.44377314814</v>
      </c>
      <c r="C447" s="1" t="n">
        <v>45888</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44349.55087962963</v>
      </c>
      <c r="C448" s="1" t="n">
        <v>45888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26457-2025</t>
        </is>
      </c>
      <c r="B449" s="1" t="n">
        <v>45807.42773148148</v>
      </c>
      <c r="C449" s="1" t="n">
        <v>45888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26467-2025</t>
        </is>
      </c>
      <c r="B450" s="1" t="n">
        <v>45807.44640046296</v>
      </c>
      <c r="C450" s="1" t="n">
        <v>45888</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45888</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35129-2025</t>
        </is>
      </c>
      <c r="B452" s="1" t="n">
        <v>45852.63224537037</v>
      </c>
      <c r="C452" s="1" t="n">
        <v>45888</v>
      </c>
      <c r="D452" t="inlineStr">
        <is>
          <t>GOTLANDS LÄN</t>
        </is>
      </c>
      <c r="E452" t="inlineStr">
        <is>
          <t>GOTLAND</t>
        </is>
      </c>
      <c r="G452" t="n">
        <v>3.2</v>
      </c>
      <c r="H452" t="n">
        <v>0</v>
      </c>
      <c r="I452" t="n">
        <v>0</v>
      </c>
      <c r="J452" t="n">
        <v>0</v>
      </c>
      <c r="K452" t="n">
        <v>0</v>
      </c>
      <c r="L452" t="n">
        <v>0</v>
      </c>
      <c r="M452" t="n">
        <v>0</v>
      </c>
      <c r="N452" t="n">
        <v>0</v>
      </c>
      <c r="O452" t="n">
        <v>0</v>
      </c>
      <c r="P452" t="n">
        <v>0</v>
      </c>
      <c r="Q452" t="n">
        <v>0</v>
      </c>
      <c r="R452" s="2" t="inlineStr"/>
    </row>
    <row r="453" ht="15" customHeight="1">
      <c r="A453" t="inlineStr">
        <is>
          <t>A 35512-2023</t>
        </is>
      </c>
      <c r="B453" s="1" t="n">
        <v>45147.25623842593</v>
      </c>
      <c r="C453" s="1" t="n">
        <v>45888</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35133-2025</t>
        </is>
      </c>
      <c r="B454" s="1" t="n">
        <v>45852.6363425926</v>
      </c>
      <c r="C454" s="1" t="n">
        <v>45888</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11874-2024</t>
        </is>
      </c>
      <c r="B455" s="1" t="n">
        <v>45376.46956018519</v>
      </c>
      <c r="C455" s="1" t="n">
        <v>45888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35096-2025</t>
        </is>
      </c>
      <c r="B456" s="1" t="n">
        <v>45852.54356481481</v>
      </c>
      <c r="C456" s="1" t="n">
        <v>45888</v>
      </c>
      <c r="D456" t="inlineStr">
        <is>
          <t>GOTLANDS LÄN</t>
        </is>
      </c>
      <c r="E456" t="inlineStr">
        <is>
          <t>GOTLAND</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45888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45888</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13037-2025</t>
        </is>
      </c>
      <c r="B459" s="1" t="n">
        <v>45734</v>
      </c>
      <c r="C459" s="1" t="n">
        <v>45888</v>
      </c>
      <c r="D459" t="inlineStr">
        <is>
          <t>GOTLANDS LÄN</t>
        </is>
      </c>
      <c r="E459" t="inlineStr">
        <is>
          <t>GOTLAND</t>
        </is>
      </c>
      <c r="G459" t="n">
        <v>9.5</v>
      </c>
      <c r="H459" t="n">
        <v>0</v>
      </c>
      <c r="I459" t="n">
        <v>0</v>
      </c>
      <c r="J459" t="n">
        <v>0</v>
      </c>
      <c r="K459" t="n">
        <v>0</v>
      </c>
      <c r="L459" t="n">
        <v>0</v>
      </c>
      <c r="M459" t="n">
        <v>0</v>
      </c>
      <c r="N459" t="n">
        <v>0</v>
      </c>
      <c r="O459" t="n">
        <v>0</v>
      </c>
      <c r="P459" t="n">
        <v>0</v>
      </c>
      <c r="Q459" t="n">
        <v>0</v>
      </c>
      <c r="R459" s="2" t="inlineStr"/>
    </row>
    <row r="460" ht="15" customHeight="1">
      <c r="A460" t="inlineStr">
        <is>
          <t>A 35142-2025</t>
        </is>
      </c>
      <c r="B460" s="1" t="n">
        <v>45852.65532407408</v>
      </c>
      <c r="C460" s="1" t="n">
        <v>45888</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26660-2025</t>
        </is>
      </c>
      <c r="B461" s="1" t="n">
        <v>45810.39737268518</v>
      </c>
      <c r="C461" s="1" t="n">
        <v>45888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55334-2024</t>
        </is>
      </c>
      <c r="B462" s="1" t="n">
        <v>45621</v>
      </c>
      <c r="C462" s="1" t="n">
        <v>45888</v>
      </c>
      <c r="D462" t="inlineStr">
        <is>
          <t>GOTLANDS LÄN</t>
        </is>
      </c>
      <c r="E462" t="inlineStr">
        <is>
          <t>GOTLAND</t>
        </is>
      </c>
      <c r="G462" t="n">
        <v>21.7</v>
      </c>
      <c r="H462" t="n">
        <v>0</v>
      </c>
      <c r="I462" t="n">
        <v>0</v>
      </c>
      <c r="J462" t="n">
        <v>0</v>
      </c>
      <c r="K462" t="n">
        <v>0</v>
      </c>
      <c r="L462" t="n">
        <v>0</v>
      </c>
      <c r="M462" t="n">
        <v>0</v>
      </c>
      <c r="N462" t="n">
        <v>0</v>
      </c>
      <c r="O462" t="n">
        <v>0</v>
      </c>
      <c r="P462" t="n">
        <v>0</v>
      </c>
      <c r="Q462" t="n">
        <v>0</v>
      </c>
      <c r="R462" s="2" t="inlineStr"/>
    </row>
    <row r="463" ht="15" customHeight="1">
      <c r="A463" t="inlineStr">
        <is>
          <t>A 27355-2025</t>
        </is>
      </c>
      <c r="B463" s="1" t="n">
        <v>45812</v>
      </c>
      <c r="C463" s="1" t="n">
        <v>45888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27348-2025</t>
        </is>
      </c>
      <c r="B464" s="1" t="n">
        <v>45812.62451388889</v>
      </c>
      <c r="C464" s="1" t="n">
        <v>45888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27371-2025</t>
        </is>
      </c>
      <c r="B465" s="1" t="n">
        <v>45812</v>
      </c>
      <c r="C465" s="1" t="n">
        <v>45888</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10746-2025</t>
        </is>
      </c>
      <c r="B466" s="1" t="n">
        <v>45722.42766203704</v>
      </c>
      <c r="C466" s="1" t="n">
        <v>45888</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20225-2025</t>
        </is>
      </c>
      <c r="B467" s="1" t="n">
        <v>45772.65802083333</v>
      </c>
      <c r="C467" s="1" t="n">
        <v>45888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35290-2025</t>
        </is>
      </c>
      <c r="B468" s="1" t="n">
        <v>45854.38502314815</v>
      </c>
      <c r="C468" s="1" t="n">
        <v>45888</v>
      </c>
      <c r="D468" t="inlineStr">
        <is>
          <t>GOTLANDS LÄN</t>
        </is>
      </c>
      <c r="E468" t="inlineStr">
        <is>
          <t>GOTLAND</t>
        </is>
      </c>
      <c r="G468" t="n">
        <v>5.4</v>
      </c>
      <c r="H468" t="n">
        <v>0</v>
      </c>
      <c r="I468" t="n">
        <v>0</v>
      </c>
      <c r="J468" t="n">
        <v>0</v>
      </c>
      <c r="K468" t="n">
        <v>0</v>
      </c>
      <c r="L468" t="n">
        <v>0</v>
      </c>
      <c r="M468" t="n">
        <v>0</v>
      </c>
      <c r="N468" t="n">
        <v>0</v>
      </c>
      <c r="O468" t="n">
        <v>0</v>
      </c>
      <c r="P468" t="n">
        <v>0</v>
      </c>
      <c r="Q468" t="n">
        <v>0</v>
      </c>
      <c r="R468" s="2" t="inlineStr"/>
    </row>
    <row r="469" ht="15" customHeight="1">
      <c r="A469" t="inlineStr">
        <is>
          <t>A 1677-2023</t>
        </is>
      </c>
      <c r="B469" s="1" t="n">
        <v>44938</v>
      </c>
      <c r="C469" s="1" t="n">
        <v>45888</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45888</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35537-2025</t>
        </is>
      </c>
      <c r="B471" s="1" t="n">
        <v>45856</v>
      </c>
      <c r="C471" s="1" t="n">
        <v>45888</v>
      </c>
      <c r="D471" t="inlineStr">
        <is>
          <t>GOTLANDS LÄN</t>
        </is>
      </c>
      <c r="E471" t="inlineStr">
        <is>
          <t>GOTLAND</t>
        </is>
      </c>
      <c r="G471" t="n">
        <v>16.8</v>
      </c>
      <c r="H471" t="n">
        <v>0</v>
      </c>
      <c r="I471" t="n">
        <v>0</v>
      </c>
      <c r="J471" t="n">
        <v>0</v>
      </c>
      <c r="K471" t="n">
        <v>0</v>
      </c>
      <c r="L471" t="n">
        <v>0</v>
      </c>
      <c r="M471" t="n">
        <v>0</v>
      </c>
      <c r="N471" t="n">
        <v>0</v>
      </c>
      <c r="O471" t="n">
        <v>0</v>
      </c>
      <c r="P471" t="n">
        <v>0</v>
      </c>
      <c r="Q471" t="n">
        <v>0</v>
      </c>
      <c r="R471" s="2" t="inlineStr"/>
    </row>
    <row r="472" ht="15" customHeight="1">
      <c r="A472" t="inlineStr">
        <is>
          <t>A 35550-2025</t>
        </is>
      </c>
      <c r="B472" s="1" t="n">
        <v>45856.49324074074</v>
      </c>
      <c r="C472" s="1" t="n">
        <v>45888</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7850-2025</t>
        </is>
      </c>
      <c r="B473" s="1" t="n">
        <v>45706</v>
      </c>
      <c r="C473" s="1" t="n">
        <v>45888</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6739-2025</t>
        </is>
      </c>
      <c r="B474" s="1" t="n">
        <v>45700</v>
      </c>
      <c r="C474" s="1" t="n">
        <v>45888</v>
      </c>
      <c r="D474" t="inlineStr">
        <is>
          <t>GOTLANDS LÄN</t>
        </is>
      </c>
      <c r="E474" t="inlineStr">
        <is>
          <t>GOTLAND</t>
        </is>
      </c>
      <c r="G474" t="n">
        <v>4.5</v>
      </c>
      <c r="H474" t="n">
        <v>0</v>
      </c>
      <c r="I474" t="n">
        <v>0</v>
      </c>
      <c r="J474" t="n">
        <v>0</v>
      </c>
      <c r="K474" t="n">
        <v>0</v>
      </c>
      <c r="L474" t="n">
        <v>0</v>
      </c>
      <c r="M474" t="n">
        <v>0</v>
      </c>
      <c r="N474" t="n">
        <v>0</v>
      </c>
      <c r="O474" t="n">
        <v>0</v>
      </c>
      <c r="P474" t="n">
        <v>0</v>
      </c>
      <c r="Q474" t="n">
        <v>0</v>
      </c>
      <c r="R474" s="2" t="inlineStr"/>
    </row>
    <row r="475" ht="15" customHeight="1">
      <c r="A475" t="inlineStr">
        <is>
          <t>A 43229-2023</t>
        </is>
      </c>
      <c r="B475" s="1" t="n">
        <v>45183.46704861111</v>
      </c>
      <c r="C475" s="1" t="n">
        <v>45888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3930-2025</t>
        </is>
      </c>
      <c r="B476" s="1" t="n">
        <v>45684.45427083333</v>
      </c>
      <c r="C476" s="1" t="n">
        <v>45888</v>
      </c>
      <c r="D476" t="inlineStr">
        <is>
          <t>GOTLANDS LÄN</t>
        </is>
      </c>
      <c r="E476" t="inlineStr">
        <is>
          <t>GOTLAND</t>
        </is>
      </c>
      <c r="G476" t="n">
        <v>5.2</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44609.44362268518</v>
      </c>
      <c r="C477" s="1" t="n">
        <v>45888</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46375-2024</t>
        </is>
      </c>
      <c r="B478" s="1" t="n">
        <v>45582</v>
      </c>
      <c r="C478" s="1" t="n">
        <v>45888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45888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41038-2023</t>
        </is>
      </c>
      <c r="B480" s="1" t="n">
        <v>45173.60959490741</v>
      </c>
      <c r="C480" s="1" t="n">
        <v>45888</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8444-2025</t>
        </is>
      </c>
      <c r="B481" s="1" t="n">
        <v>45709</v>
      </c>
      <c r="C481" s="1" t="n">
        <v>45888</v>
      </c>
      <c r="D481" t="inlineStr">
        <is>
          <t>GOTLANDS LÄN</t>
        </is>
      </c>
      <c r="E481" t="inlineStr">
        <is>
          <t>GOTLAND</t>
        </is>
      </c>
      <c r="G481" t="n">
        <v>5.2</v>
      </c>
      <c r="H481" t="n">
        <v>0</v>
      </c>
      <c r="I481" t="n">
        <v>0</v>
      </c>
      <c r="J481" t="n">
        <v>0</v>
      </c>
      <c r="K481" t="n">
        <v>0</v>
      </c>
      <c r="L481" t="n">
        <v>0</v>
      </c>
      <c r="M481" t="n">
        <v>0</v>
      </c>
      <c r="N481" t="n">
        <v>0</v>
      </c>
      <c r="O481" t="n">
        <v>0</v>
      </c>
      <c r="P481" t="n">
        <v>0</v>
      </c>
      <c r="Q481" t="n">
        <v>0</v>
      </c>
      <c r="R481" s="2" t="inlineStr"/>
    </row>
    <row r="482" ht="15" customHeight="1">
      <c r="A482" t="inlineStr">
        <is>
          <t>A 19905-2025</t>
        </is>
      </c>
      <c r="B482" s="1" t="n">
        <v>45771</v>
      </c>
      <c r="C482" s="1" t="n">
        <v>45888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7638-2025</t>
        </is>
      </c>
      <c r="B483" s="1" t="n">
        <v>45705.77306712963</v>
      </c>
      <c r="C483" s="1" t="n">
        <v>45888</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4377-2023</t>
        </is>
      </c>
      <c r="B484" s="1" t="n">
        <v>44955.5502662037</v>
      </c>
      <c r="C484" s="1" t="n">
        <v>45888</v>
      </c>
      <c r="D484" t="inlineStr">
        <is>
          <t>GOTLANDS LÄN</t>
        </is>
      </c>
      <c r="E484" t="inlineStr">
        <is>
          <t>GOTLAND</t>
        </is>
      </c>
      <c r="F484" t="inlineStr">
        <is>
          <t>Kyrkan</t>
        </is>
      </c>
      <c r="G484" t="n">
        <v>0.6</v>
      </c>
      <c r="H484" t="n">
        <v>0</v>
      </c>
      <c r="I484" t="n">
        <v>0</v>
      </c>
      <c r="J484" t="n">
        <v>0</v>
      </c>
      <c r="K484" t="n">
        <v>0</v>
      </c>
      <c r="L484" t="n">
        <v>0</v>
      </c>
      <c r="M484" t="n">
        <v>0</v>
      </c>
      <c r="N484" t="n">
        <v>0</v>
      </c>
      <c r="O484" t="n">
        <v>0</v>
      </c>
      <c r="P484" t="n">
        <v>0</v>
      </c>
      <c r="Q484" t="n">
        <v>0</v>
      </c>
      <c r="R484" s="2" t="inlineStr"/>
    </row>
    <row r="485" ht="15" customHeight="1">
      <c r="A485" t="inlineStr">
        <is>
          <t>A 29207-2025</t>
        </is>
      </c>
      <c r="B485" s="1" t="n">
        <v>45823</v>
      </c>
      <c r="C485" s="1" t="n">
        <v>45888</v>
      </c>
      <c r="D485" t="inlineStr">
        <is>
          <t>GOTLANDS LÄN</t>
        </is>
      </c>
      <c r="E485" t="inlineStr">
        <is>
          <t>GOTLAND</t>
        </is>
      </c>
      <c r="G485" t="n">
        <v>1.9</v>
      </c>
      <c r="H485" t="n">
        <v>0</v>
      </c>
      <c r="I485" t="n">
        <v>0</v>
      </c>
      <c r="J485" t="n">
        <v>0</v>
      </c>
      <c r="K485" t="n">
        <v>0</v>
      </c>
      <c r="L485" t="n">
        <v>0</v>
      </c>
      <c r="M485" t="n">
        <v>0</v>
      </c>
      <c r="N485" t="n">
        <v>0</v>
      </c>
      <c r="O485" t="n">
        <v>0</v>
      </c>
      <c r="P485" t="n">
        <v>0</v>
      </c>
      <c r="Q485" t="n">
        <v>0</v>
      </c>
      <c r="R485" s="2" t="inlineStr"/>
    </row>
    <row r="486" ht="15" customHeight="1">
      <c r="A486" t="inlineStr">
        <is>
          <t>A 29196-2025</t>
        </is>
      </c>
      <c r="B486" s="1" t="n">
        <v>45822</v>
      </c>
      <c r="C486" s="1" t="n">
        <v>45888</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1713-2025</t>
        </is>
      </c>
      <c r="B487" s="1" t="n">
        <v>45671.32342592593</v>
      </c>
      <c r="C487" s="1" t="n">
        <v>45888</v>
      </c>
      <c r="D487" t="inlineStr">
        <is>
          <t>GOTLANDS LÄN</t>
        </is>
      </c>
      <c r="E487" t="inlineStr">
        <is>
          <t>GOTLAND</t>
        </is>
      </c>
      <c r="G487" t="n">
        <v>10.1</v>
      </c>
      <c r="H487" t="n">
        <v>0</v>
      </c>
      <c r="I487" t="n">
        <v>0</v>
      </c>
      <c r="J487" t="n">
        <v>0</v>
      </c>
      <c r="K487" t="n">
        <v>0</v>
      </c>
      <c r="L487" t="n">
        <v>0</v>
      </c>
      <c r="M487" t="n">
        <v>0</v>
      </c>
      <c r="N487" t="n">
        <v>0</v>
      </c>
      <c r="O487" t="n">
        <v>0</v>
      </c>
      <c r="P487" t="n">
        <v>0</v>
      </c>
      <c r="Q487" t="n">
        <v>0</v>
      </c>
      <c r="R487" s="2" t="inlineStr"/>
    </row>
    <row r="488" ht="15" customHeight="1">
      <c r="A488" t="inlineStr">
        <is>
          <t>A 43901-2023</t>
        </is>
      </c>
      <c r="B488" s="1" t="n">
        <v>45187</v>
      </c>
      <c r="C488" s="1" t="n">
        <v>45888</v>
      </c>
      <c r="D488" t="inlineStr">
        <is>
          <t>GOTLANDS LÄN</t>
        </is>
      </c>
      <c r="E488" t="inlineStr">
        <is>
          <t>GOTLAND</t>
        </is>
      </c>
      <c r="G488" t="n">
        <v>5.4</v>
      </c>
      <c r="H488" t="n">
        <v>0</v>
      </c>
      <c r="I488" t="n">
        <v>0</v>
      </c>
      <c r="J488" t="n">
        <v>0</v>
      </c>
      <c r="K488" t="n">
        <v>0</v>
      </c>
      <c r="L488" t="n">
        <v>0</v>
      </c>
      <c r="M488" t="n">
        <v>0</v>
      </c>
      <c r="N488" t="n">
        <v>0</v>
      </c>
      <c r="O488" t="n">
        <v>0</v>
      </c>
      <c r="P488" t="n">
        <v>0</v>
      </c>
      <c r="Q488" t="n">
        <v>0</v>
      </c>
      <c r="R488" s="2" t="inlineStr"/>
    </row>
    <row r="489" ht="15" customHeight="1">
      <c r="A489" t="inlineStr">
        <is>
          <t>A 17532-2024</t>
        </is>
      </c>
      <c r="B489" s="1" t="n">
        <v>45415</v>
      </c>
      <c r="C489" s="1" t="n">
        <v>45888</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45692-2023</t>
        </is>
      </c>
      <c r="B490" s="1" t="n">
        <v>45195</v>
      </c>
      <c r="C490" s="1" t="n">
        <v>45888</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24966-2023</t>
        </is>
      </c>
      <c r="B491" s="1" t="n">
        <v>45085</v>
      </c>
      <c r="C491" s="1" t="n">
        <v>45888</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36319-2025</t>
        </is>
      </c>
      <c r="B492" s="1" t="n">
        <v>45868.38543981482</v>
      </c>
      <c r="C492" s="1" t="n">
        <v>45888</v>
      </c>
      <c r="D492" t="inlineStr">
        <is>
          <t>GOTLANDS LÄN</t>
        </is>
      </c>
      <c r="E492" t="inlineStr">
        <is>
          <t>GOTLAND</t>
        </is>
      </c>
      <c r="G492" t="n">
        <v>2.9</v>
      </c>
      <c r="H492" t="n">
        <v>0</v>
      </c>
      <c r="I492" t="n">
        <v>0</v>
      </c>
      <c r="J492" t="n">
        <v>0</v>
      </c>
      <c r="K492" t="n">
        <v>0</v>
      </c>
      <c r="L492" t="n">
        <v>0</v>
      </c>
      <c r="M492" t="n">
        <v>0</v>
      </c>
      <c r="N492" t="n">
        <v>0</v>
      </c>
      <c r="O492" t="n">
        <v>0</v>
      </c>
      <c r="P492" t="n">
        <v>0</v>
      </c>
      <c r="Q492" t="n">
        <v>0</v>
      </c>
      <c r="R492" s="2" t="inlineStr"/>
    </row>
    <row r="493" ht="15" customHeight="1">
      <c r="A493" t="inlineStr">
        <is>
          <t>A 57652-2023</t>
        </is>
      </c>
      <c r="B493" s="1" t="n">
        <v>45246</v>
      </c>
      <c r="C493" s="1" t="n">
        <v>45888</v>
      </c>
      <c r="D493" t="inlineStr">
        <is>
          <t>GOTLANDS LÄN</t>
        </is>
      </c>
      <c r="E493" t="inlineStr">
        <is>
          <t>GOTLAND</t>
        </is>
      </c>
      <c r="G493" t="n">
        <v>7.2</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45888</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45888</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57522-2022</t>
        </is>
      </c>
      <c r="B496" s="1" t="n">
        <v>44896</v>
      </c>
      <c r="C496" s="1" t="n">
        <v>45888</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14797-2024</t>
        </is>
      </c>
      <c r="B497" s="1" t="n">
        <v>45397.87030092593</v>
      </c>
      <c r="C497" s="1" t="n">
        <v>45888</v>
      </c>
      <c r="D497" t="inlineStr">
        <is>
          <t>GOTLANDS LÄN</t>
        </is>
      </c>
      <c r="E497" t="inlineStr">
        <is>
          <t>GOTLAND</t>
        </is>
      </c>
      <c r="G497" t="n">
        <v>8.1</v>
      </c>
      <c r="H497" t="n">
        <v>0</v>
      </c>
      <c r="I497" t="n">
        <v>0</v>
      </c>
      <c r="J497" t="n">
        <v>0</v>
      </c>
      <c r="K497" t="n">
        <v>0</v>
      </c>
      <c r="L497" t="n">
        <v>0</v>
      </c>
      <c r="M497" t="n">
        <v>0</v>
      </c>
      <c r="N497" t="n">
        <v>0</v>
      </c>
      <c r="O497" t="n">
        <v>0</v>
      </c>
      <c r="P497" t="n">
        <v>0</v>
      </c>
      <c r="Q497" t="n">
        <v>0</v>
      </c>
      <c r="R497" s="2" t="inlineStr"/>
    </row>
    <row r="498" ht="15" customHeight="1">
      <c r="A498" t="inlineStr">
        <is>
          <t>A 46396-2023</t>
        </is>
      </c>
      <c r="B498" s="1" t="n">
        <v>45197</v>
      </c>
      <c r="C498" s="1" t="n">
        <v>45888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30061-2025</t>
        </is>
      </c>
      <c r="B499" s="1" t="n">
        <v>45826.61488425926</v>
      </c>
      <c r="C499" s="1" t="n">
        <v>45888</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58388-2022</t>
        </is>
      </c>
      <c r="B500" s="1" t="n">
        <v>44894</v>
      </c>
      <c r="C500" s="1" t="n">
        <v>45888</v>
      </c>
      <c r="D500" t="inlineStr">
        <is>
          <t>GOTLANDS LÄN</t>
        </is>
      </c>
      <c r="E500" t="inlineStr">
        <is>
          <t>GOTLAND</t>
        </is>
      </c>
      <c r="F500" t="inlineStr">
        <is>
          <t>Övriga statliga verk och myndigheter</t>
        </is>
      </c>
      <c r="G500" t="n">
        <v>3.1</v>
      </c>
      <c r="H500" t="n">
        <v>0</v>
      </c>
      <c r="I500" t="n">
        <v>0</v>
      </c>
      <c r="J500" t="n">
        <v>0</v>
      </c>
      <c r="K500" t="n">
        <v>0</v>
      </c>
      <c r="L500" t="n">
        <v>0</v>
      </c>
      <c r="M500" t="n">
        <v>0</v>
      </c>
      <c r="N500" t="n">
        <v>0</v>
      </c>
      <c r="O500" t="n">
        <v>0</v>
      </c>
      <c r="P500" t="n">
        <v>0</v>
      </c>
      <c r="Q500" t="n">
        <v>0</v>
      </c>
      <c r="R500" s="2" t="inlineStr"/>
    </row>
    <row r="501" ht="15" customHeight="1">
      <c r="A501" t="inlineStr">
        <is>
          <t>A 30104-2025</t>
        </is>
      </c>
      <c r="B501" s="1" t="n">
        <v>45826.68806712963</v>
      </c>
      <c r="C501" s="1" t="n">
        <v>45888</v>
      </c>
      <c r="D501" t="inlineStr">
        <is>
          <t>GOTLANDS LÄN</t>
        </is>
      </c>
      <c r="E501" t="inlineStr">
        <is>
          <t>GOTLAND</t>
        </is>
      </c>
      <c r="G501" t="n">
        <v>15.4</v>
      </c>
      <c r="H501" t="n">
        <v>0</v>
      </c>
      <c r="I501" t="n">
        <v>0</v>
      </c>
      <c r="J501" t="n">
        <v>0</v>
      </c>
      <c r="K501" t="n">
        <v>0</v>
      </c>
      <c r="L501" t="n">
        <v>0</v>
      </c>
      <c r="M501" t="n">
        <v>0</v>
      </c>
      <c r="N501" t="n">
        <v>0</v>
      </c>
      <c r="O501" t="n">
        <v>0</v>
      </c>
      <c r="P501" t="n">
        <v>0</v>
      </c>
      <c r="Q501" t="n">
        <v>0</v>
      </c>
      <c r="R501" s="2" t="inlineStr"/>
    </row>
    <row r="502" ht="15" customHeight="1">
      <c r="A502" t="inlineStr">
        <is>
          <t>A 30157-2025</t>
        </is>
      </c>
      <c r="B502" s="1" t="n">
        <v>45826</v>
      </c>
      <c r="C502" s="1" t="n">
        <v>45888</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7837-2024</t>
        </is>
      </c>
      <c r="B503" s="1" t="n">
        <v>45349.83787037037</v>
      </c>
      <c r="C503" s="1" t="n">
        <v>45888</v>
      </c>
      <c r="D503" t="inlineStr">
        <is>
          <t>GOTLANDS LÄN</t>
        </is>
      </c>
      <c r="E503" t="inlineStr">
        <is>
          <t>GOTLAND</t>
        </is>
      </c>
      <c r="G503" t="n">
        <v>5</v>
      </c>
      <c r="H503" t="n">
        <v>0</v>
      </c>
      <c r="I503" t="n">
        <v>0</v>
      </c>
      <c r="J503" t="n">
        <v>0</v>
      </c>
      <c r="K503" t="n">
        <v>0</v>
      </c>
      <c r="L503" t="n">
        <v>0</v>
      </c>
      <c r="M503" t="n">
        <v>0</v>
      </c>
      <c r="N503" t="n">
        <v>0</v>
      </c>
      <c r="O503" t="n">
        <v>0</v>
      </c>
      <c r="P503" t="n">
        <v>0</v>
      </c>
      <c r="Q503" t="n">
        <v>0</v>
      </c>
      <c r="R503" s="2" t="inlineStr"/>
    </row>
    <row r="504" ht="15" customHeight="1">
      <c r="A504" t="inlineStr">
        <is>
          <t>A 30488-2025</t>
        </is>
      </c>
      <c r="B504" s="1" t="n">
        <v>45830</v>
      </c>
      <c r="C504" s="1" t="n">
        <v>45888</v>
      </c>
      <c r="D504" t="inlineStr">
        <is>
          <t>GOTLANDS LÄN</t>
        </is>
      </c>
      <c r="E504" t="inlineStr">
        <is>
          <t>GOTLAND</t>
        </is>
      </c>
      <c r="F504" t="inlineStr">
        <is>
          <t>Kyrkan</t>
        </is>
      </c>
      <c r="G504" t="n">
        <v>3.9</v>
      </c>
      <c r="H504" t="n">
        <v>0</v>
      </c>
      <c r="I504" t="n">
        <v>0</v>
      </c>
      <c r="J504" t="n">
        <v>0</v>
      </c>
      <c r="K504" t="n">
        <v>0</v>
      </c>
      <c r="L504" t="n">
        <v>0</v>
      </c>
      <c r="M504" t="n">
        <v>0</v>
      </c>
      <c r="N504" t="n">
        <v>0</v>
      </c>
      <c r="O504" t="n">
        <v>0</v>
      </c>
      <c r="P504" t="n">
        <v>0</v>
      </c>
      <c r="Q504" t="n">
        <v>0</v>
      </c>
      <c r="R504" s="2" t="inlineStr"/>
    </row>
    <row r="505" ht="15" customHeight="1">
      <c r="A505" t="inlineStr">
        <is>
          <t>A 30489-2025</t>
        </is>
      </c>
      <c r="B505" s="1" t="n">
        <v>45830</v>
      </c>
      <c r="C505" s="1" t="n">
        <v>45888</v>
      </c>
      <c r="D505" t="inlineStr">
        <is>
          <t>GOTLANDS LÄN</t>
        </is>
      </c>
      <c r="E505" t="inlineStr">
        <is>
          <t>GOTLAND</t>
        </is>
      </c>
      <c r="G505" t="n">
        <v>4.6</v>
      </c>
      <c r="H505" t="n">
        <v>0</v>
      </c>
      <c r="I505" t="n">
        <v>0</v>
      </c>
      <c r="J505" t="n">
        <v>0</v>
      </c>
      <c r="K505" t="n">
        <v>0</v>
      </c>
      <c r="L505" t="n">
        <v>0</v>
      </c>
      <c r="M505" t="n">
        <v>0</v>
      </c>
      <c r="N505" t="n">
        <v>0</v>
      </c>
      <c r="O505" t="n">
        <v>0</v>
      </c>
      <c r="P505" t="n">
        <v>0</v>
      </c>
      <c r="Q505" t="n">
        <v>0</v>
      </c>
      <c r="R505" s="2" t="inlineStr"/>
    </row>
    <row r="506" ht="15" customHeight="1">
      <c r="A506" t="inlineStr">
        <is>
          <t>A 58160-2024</t>
        </is>
      </c>
      <c r="B506" s="1" t="n">
        <v>45632.44927083333</v>
      </c>
      <c r="C506" s="1" t="n">
        <v>45888</v>
      </c>
      <c r="D506" t="inlineStr">
        <is>
          <t>GOTLANDS LÄN</t>
        </is>
      </c>
      <c r="E506" t="inlineStr">
        <is>
          <t>GOTLAND</t>
        </is>
      </c>
      <c r="G506" t="n">
        <v>5.6</v>
      </c>
      <c r="H506" t="n">
        <v>0</v>
      </c>
      <c r="I506" t="n">
        <v>0</v>
      </c>
      <c r="J506" t="n">
        <v>0</v>
      </c>
      <c r="K506" t="n">
        <v>0</v>
      </c>
      <c r="L506" t="n">
        <v>0</v>
      </c>
      <c r="M506" t="n">
        <v>0</v>
      </c>
      <c r="N506" t="n">
        <v>0</v>
      </c>
      <c r="O506" t="n">
        <v>0</v>
      </c>
      <c r="P506" t="n">
        <v>0</v>
      </c>
      <c r="Q506" t="n">
        <v>0</v>
      </c>
      <c r="R506" s="2" t="inlineStr"/>
    </row>
    <row r="507" ht="15" customHeight="1">
      <c r="A507" t="inlineStr">
        <is>
          <t>A 1394-2023</t>
        </is>
      </c>
      <c r="B507" s="1" t="n">
        <v>44936.72997685185</v>
      </c>
      <c r="C507" s="1" t="n">
        <v>45888</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2676-2023</t>
        </is>
      </c>
      <c r="B508" s="1" t="n">
        <v>44944</v>
      </c>
      <c r="C508" s="1" t="n">
        <v>45888</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4387-2023</t>
        </is>
      </c>
      <c r="B509" s="1" t="n">
        <v>44955.73359953704</v>
      </c>
      <c r="C509" s="1" t="n">
        <v>45888</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53934-2024</t>
        </is>
      </c>
      <c r="B510" s="1" t="n">
        <v>45615</v>
      </c>
      <c r="C510" s="1" t="n">
        <v>45888</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49411-2023</t>
        </is>
      </c>
      <c r="B511" s="1" t="n">
        <v>45205</v>
      </c>
      <c r="C511" s="1" t="n">
        <v>45888</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37728-2024</t>
        </is>
      </c>
      <c r="B512" s="1" t="n">
        <v>45541</v>
      </c>
      <c r="C512" s="1" t="n">
        <v>45888</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58132-2023</t>
        </is>
      </c>
      <c r="B513" s="1" t="n">
        <v>45250</v>
      </c>
      <c r="C513" s="1" t="n">
        <v>45888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22899-2023</t>
        </is>
      </c>
      <c r="B514" s="1" t="n">
        <v>45072</v>
      </c>
      <c r="C514" s="1" t="n">
        <v>45888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13627-2023</t>
        </is>
      </c>
      <c r="B515" s="1" t="n">
        <v>45006</v>
      </c>
      <c r="C515" s="1" t="n">
        <v>45888</v>
      </c>
      <c r="D515" t="inlineStr">
        <is>
          <t>GOTLANDS LÄN</t>
        </is>
      </c>
      <c r="E515" t="inlineStr">
        <is>
          <t>GOTLAND</t>
        </is>
      </c>
      <c r="G515" t="n">
        <v>10.7</v>
      </c>
      <c r="H515" t="n">
        <v>0</v>
      </c>
      <c r="I515" t="n">
        <v>0</v>
      </c>
      <c r="J515" t="n">
        <v>0</v>
      </c>
      <c r="K515" t="n">
        <v>0</v>
      </c>
      <c r="L515" t="n">
        <v>0</v>
      </c>
      <c r="M515" t="n">
        <v>0</v>
      </c>
      <c r="N515" t="n">
        <v>0</v>
      </c>
      <c r="O515" t="n">
        <v>0</v>
      </c>
      <c r="P515" t="n">
        <v>0</v>
      </c>
      <c r="Q515" t="n">
        <v>0</v>
      </c>
      <c r="R515" s="2" t="inlineStr"/>
    </row>
    <row r="516" ht="15" customHeight="1">
      <c r="A516" t="inlineStr">
        <is>
          <t>A 2241-2025</t>
        </is>
      </c>
      <c r="B516" s="1" t="n">
        <v>45673.48710648148</v>
      </c>
      <c r="C516" s="1" t="n">
        <v>45888</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16373-2025</t>
        </is>
      </c>
      <c r="B517" s="1" t="n">
        <v>45751</v>
      </c>
      <c r="C517" s="1" t="n">
        <v>45888</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28285-2024</t>
        </is>
      </c>
      <c r="B518" s="1" t="n">
        <v>45477</v>
      </c>
      <c r="C518" s="1" t="n">
        <v>45888</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51963-2024</t>
        </is>
      </c>
      <c r="B519" s="1" t="n">
        <v>45607.64833333333</v>
      </c>
      <c r="C519" s="1" t="n">
        <v>45888</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30135-2025</t>
        </is>
      </c>
      <c r="B520" s="1" t="n">
        <v>45826</v>
      </c>
      <c r="C520" s="1" t="n">
        <v>45888</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22275-2023</t>
        </is>
      </c>
      <c r="B521" s="1" t="n">
        <v>45070.39875</v>
      </c>
      <c r="C521" s="1" t="n">
        <v>45888</v>
      </c>
      <c r="D521" t="inlineStr">
        <is>
          <t>GOTLANDS LÄN</t>
        </is>
      </c>
      <c r="E521" t="inlineStr">
        <is>
          <t>GOTLAND</t>
        </is>
      </c>
      <c r="G521" t="n">
        <v>7.2</v>
      </c>
      <c r="H521" t="n">
        <v>0</v>
      </c>
      <c r="I521" t="n">
        <v>0</v>
      </c>
      <c r="J521" t="n">
        <v>0</v>
      </c>
      <c r="K521" t="n">
        <v>0</v>
      </c>
      <c r="L521" t="n">
        <v>0</v>
      </c>
      <c r="M521" t="n">
        <v>0</v>
      </c>
      <c r="N521" t="n">
        <v>0</v>
      </c>
      <c r="O521" t="n">
        <v>0</v>
      </c>
      <c r="P521" t="n">
        <v>0</v>
      </c>
      <c r="Q521" t="n">
        <v>0</v>
      </c>
      <c r="R521" s="2" t="inlineStr"/>
    </row>
    <row r="522" ht="15" customHeight="1">
      <c r="A522" t="inlineStr">
        <is>
          <t>A 14635-2023</t>
        </is>
      </c>
      <c r="B522" s="1" t="n">
        <v>45013.69365740741</v>
      </c>
      <c r="C522" s="1" t="n">
        <v>45888</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63763-2023</t>
        </is>
      </c>
      <c r="B523" s="1" t="n">
        <v>45278.33944444444</v>
      </c>
      <c r="C523" s="1" t="n">
        <v>45888</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16109-2025</t>
        </is>
      </c>
      <c r="B524" s="1" t="n">
        <v>45750</v>
      </c>
      <c r="C524" s="1" t="n">
        <v>45888</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7635-2025</t>
        </is>
      </c>
      <c r="B525" s="1" t="n">
        <v>45705</v>
      </c>
      <c r="C525" s="1" t="n">
        <v>45888</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7636-2025</t>
        </is>
      </c>
      <c r="B526" s="1" t="n">
        <v>45705.7687962963</v>
      </c>
      <c r="C526" s="1" t="n">
        <v>45888</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7639-2025</t>
        </is>
      </c>
      <c r="B527" s="1" t="n">
        <v>45705.77465277778</v>
      </c>
      <c r="C527" s="1" t="n">
        <v>45888</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60908-2024</t>
        </is>
      </c>
      <c r="B528" s="1" t="n">
        <v>45645.31320601852</v>
      </c>
      <c r="C528" s="1" t="n">
        <v>45888</v>
      </c>
      <c r="D528" t="inlineStr">
        <is>
          <t>GOTLANDS LÄN</t>
        </is>
      </c>
      <c r="E528" t="inlineStr">
        <is>
          <t>GOTLAND</t>
        </is>
      </c>
      <c r="G528" t="n">
        <v>7.1</v>
      </c>
      <c r="H528" t="n">
        <v>0</v>
      </c>
      <c r="I528" t="n">
        <v>0</v>
      </c>
      <c r="J528" t="n">
        <v>0</v>
      </c>
      <c r="K528" t="n">
        <v>0</v>
      </c>
      <c r="L528" t="n">
        <v>0</v>
      </c>
      <c r="M528" t="n">
        <v>0</v>
      </c>
      <c r="N528" t="n">
        <v>0</v>
      </c>
      <c r="O528" t="n">
        <v>0</v>
      </c>
      <c r="P528" t="n">
        <v>0</v>
      </c>
      <c r="Q528" t="n">
        <v>0</v>
      </c>
      <c r="R528" s="2" t="inlineStr"/>
    </row>
    <row r="529" ht="15" customHeight="1">
      <c r="A529" t="inlineStr">
        <is>
          <t>A 61682-2024</t>
        </is>
      </c>
      <c r="B529" s="1" t="n">
        <v>45647.48824074074</v>
      </c>
      <c r="C529" s="1" t="n">
        <v>45888</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15434-2024</t>
        </is>
      </c>
      <c r="B530" s="1" t="n">
        <v>45401.38836805556</v>
      </c>
      <c r="C530" s="1" t="n">
        <v>45888</v>
      </c>
      <c r="D530" t="inlineStr">
        <is>
          <t>GOTLANDS LÄN</t>
        </is>
      </c>
      <c r="E530" t="inlineStr">
        <is>
          <t>GOTLAND</t>
        </is>
      </c>
      <c r="G530" t="n">
        <v>2.5</v>
      </c>
      <c r="H530" t="n">
        <v>0</v>
      </c>
      <c r="I530" t="n">
        <v>0</v>
      </c>
      <c r="J530" t="n">
        <v>0</v>
      </c>
      <c r="K530" t="n">
        <v>0</v>
      </c>
      <c r="L530" t="n">
        <v>0</v>
      </c>
      <c r="M530" t="n">
        <v>0</v>
      </c>
      <c r="N530" t="n">
        <v>0</v>
      </c>
      <c r="O530" t="n">
        <v>0</v>
      </c>
      <c r="P530" t="n">
        <v>0</v>
      </c>
      <c r="Q530" t="n">
        <v>0</v>
      </c>
      <c r="R530" s="2" t="inlineStr"/>
    </row>
    <row r="531" ht="15" customHeight="1">
      <c r="A531" t="inlineStr">
        <is>
          <t>A 32467-2025</t>
        </is>
      </c>
      <c r="B531" s="1" t="n">
        <v>45838.42111111111</v>
      </c>
      <c r="C531" s="1" t="n">
        <v>45888</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1734-2025</t>
        </is>
      </c>
      <c r="B532" s="1" t="n">
        <v>45671.3840625</v>
      </c>
      <c r="C532" s="1" t="n">
        <v>45888</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30365-2024</t>
        </is>
      </c>
      <c r="B533" s="1" t="n">
        <v>45491.3716087963</v>
      </c>
      <c r="C533" s="1" t="n">
        <v>45888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2674-2023</t>
        </is>
      </c>
      <c r="B534" s="1" t="n">
        <v>44944</v>
      </c>
      <c r="C534" s="1" t="n">
        <v>45888</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14915-2025</t>
        </is>
      </c>
      <c r="B535" s="1" t="n">
        <v>45743.53121527778</v>
      </c>
      <c r="C535" s="1" t="n">
        <v>45888</v>
      </c>
      <c r="D535" t="inlineStr">
        <is>
          <t>GOTLANDS LÄN</t>
        </is>
      </c>
      <c r="E535" t="inlineStr">
        <is>
          <t>GOTLAND</t>
        </is>
      </c>
      <c r="G535" t="n">
        <v>5.9</v>
      </c>
      <c r="H535" t="n">
        <v>0</v>
      </c>
      <c r="I535" t="n">
        <v>0</v>
      </c>
      <c r="J535" t="n">
        <v>0</v>
      </c>
      <c r="K535" t="n">
        <v>0</v>
      </c>
      <c r="L535" t="n">
        <v>0</v>
      </c>
      <c r="M535" t="n">
        <v>0</v>
      </c>
      <c r="N535" t="n">
        <v>0</v>
      </c>
      <c r="O535" t="n">
        <v>0</v>
      </c>
      <c r="P535" t="n">
        <v>0</v>
      </c>
      <c r="Q535" t="n">
        <v>0</v>
      </c>
      <c r="R535" s="2" t="inlineStr"/>
    </row>
    <row r="536" ht="15" customHeight="1">
      <c r="A536" t="inlineStr">
        <is>
          <t>A 7034-2023</t>
        </is>
      </c>
      <c r="B536" s="1" t="n">
        <v>44968.32108796296</v>
      </c>
      <c r="C536" s="1" t="n">
        <v>45888</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7042-2023</t>
        </is>
      </c>
      <c r="B537" s="1" t="n">
        <v>44968</v>
      </c>
      <c r="C537" s="1" t="n">
        <v>45888</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32378-2025</t>
        </is>
      </c>
      <c r="B538" s="1" t="n">
        <v>45837</v>
      </c>
      <c r="C538" s="1" t="n">
        <v>45888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2180-2025</t>
        </is>
      </c>
      <c r="B539" s="1" t="n">
        <v>45673</v>
      </c>
      <c r="C539" s="1" t="n">
        <v>45888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32686-2025</t>
        </is>
      </c>
      <c r="B540" s="1" t="n">
        <v>45838</v>
      </c>
      <c r="C540" s="1" t="n">
        <v>45888</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45888</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20660-2025</t>
        </is>
      </c>
      <c r="B542" s="1" t="n">
        <v>45776</v>
      </c>
      <c r="C542" s="1" t="n">
        <v>45888</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43785-2024</t>
        </is>
      </c>
      <c r="B543" s="1" t="n">
        <v>45570</v>
      </c>
      <c r="C543" s="1" t="n">
        <v>45888</v>
      </c>
      <c r="D543" t="inlineStr">
        <is>
          <t>GOTLANDS LÄN</t>
        </is>
      </c>
      <c r="E543" t="inlineStr">
        <is>
          <t>GOTLAND</t>
        </is>
      </c>
      <c r="G543" t="n">
        <v>12.6</v>
      </c>
      <c r="H543" t="n">
        <v>0</v>
      </c>
      <c r="I543" t="n">
        <v>0</v>
      </c>
      <c r="J543" t="n">
        <v>0</v>
      </c>
      <c r="K543" t="n">
        <v>0</v>
      </c>
      <c r="L543" t="n">
        <v>0</v>
      </c>
      <c r="M543" t="n">
        <v>0</v>
      </c>
      <c r="N543" t="n">
        <v>0</v>
      </c>
      <c r="O543" t="n">
        <v>0</v>
      </c>
      <c r="P543" t="n">
        <v>0</v>
      </c>
      <c r="Q543" t="n">
        <v>0</v>
      </c>
      <c r="R543" s="2" t="inlineStr"/>
    </row>
    <row r="544" ht="15" customHeight="1">
      <c r="A544" t="inlineStr">
        <is>
          <t>A 43790-2024</t>
        </is>
      </c>
      <c r="B544" s="1" t="n">
        <v>45571</v>
      </c>
      <c r="C544" s="1" t="n">
        <v>45888</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45888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45888</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45888</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45888</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61694-2023</t>
        </is>
      </c>
      <c r="B549" s="1" t="n">
        <v>45264</v>
      </c>
      <c r="C549" s="1" t="n">
        <v>45888</v>
      </c>
      <c r="D549" t="inlineStr">
        <is>
          <t>GOTLANDS LÄN</t>
        </is>
      </c>
      <c r="E549" t="inlineStr">
        <is>
          <t>GOTLAND</t>
        </is>
      </c>
      <c r="G549" t="n">
        <v>4.6</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45888</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64208-2021</t>
        </is>
      </c>
      <c r="B551" s="1" t="n">
        <v>44510</v>
      </c>
      <c r="C551" s="1" t="n">
        <v>45888</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44649-2021</t>
        </is>
      </c>
      <c r="B552" s="1" t="n">
        <v>44437</v>
      </c>
      <c r="C552" s="1" t="n">
        <v>45888</v>
      </c>
      <c r="D552" t="inlineStr">
        <is>
          <t>GOTLANDS LÄN</t>
        </is>
      </c>
      <c r="E552" t="inlineStr">
        <is>
          <t>GOTLAND</t>
        </is>
      </c>
      <c r="G552" t="n">
        <v>8.1</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45888</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8484-2025</t>
        </is>
      </c>
      <c r="B554" s="1" t="n">
        <v>45709</v>
      </c>
      <c r="C554" s="1" t="n">
        <v>45888</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1446-2025</t>
        </is>
      </c>
      <c r="B555" s="1" t="n">
        <v>45669.86035879629</v>
      </c>
      <c r="C555" s="1" t="n">
        <v>45888</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1462-2025</t>
        </is>
      </c>
      <c r="B556" s="1" t="n">
        <v>45670.36319444444</v>
      </c>
      <c r="C556" s="1" t="n">
        <v>45888</v>
      </c>
      <c r="D556" t="inlineStr">
        <is>
          <t>GOTLANDS LÄN</t>
        </is>
      </c>
      <c r="E556" t="inlineStr">
        <is>
          <t>GOTLAND</t>
        </is>
      </c>
      <c r="G556" t="n">
        <v>2.8</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44897.4777662037</v>
      </c>
      <c r="C557" s="1" t="n">
        <v>45888</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45888</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45888</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33011-2025</t>
        </is>
      </c>
      <c r="B560" s="1" t="n">
        <v>45840</v>
      </c>
      <c r="C560" s="1" t="n">
        <v>45888</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5905-2024</t>
        </is>
      </c>
      <c r="B561" s="1" t="n">
        <v>45335.88993055555</v>
      </c>
      <c r="C561" s="1" t="n">
        <v>45888</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3431-2025</t>
        </is>
      </c>
      <c r="B562" s="1" t="n">
        <v>45680.42935185185</v>
      </c>
      <c r="C562" s="1" t="n">
        <v>45888</v>
      </c>
      <c r="D562" t="inlineStr">
        <is>
          <t>GOTLANDS LÄN</t>
        </is>
      </c>
      <c r="E562" t="inlineStr">
        <is>
          <t>GOTLAND</t>
        </is>
      </c>
      <c r="G562" t="n">
        <v>4.8</v>
      </c>
      <c r="H562" t="n">
        <v>0</v>
      </c>
      <c r="I562" t="n">
        <v>0</v>
      </c>
      <c r="J562" t="n">
        <v>0</v>
      </c>
      <c r="K562" t="n">
        <v>0</v>
      </c>
      <c r="L562" t="n">
        <v>0</v>
      </c>
      <c r="M562" t="n">
        <v>0</v>
      </c>
      <c r="N562" t="n">
        <v>0</v>
      </c>
      <c r="O562" t="n">
        <v>0</v>
      </c>
      <c r="P562" t="n">
        <v>0</v>
      </c>
      <c r="Q562" t="n">
        <v>0</v>
      </c>
      <c r="R562" s="2" t="inlineStr"/>
    </row>
    <row r="563" ht="15" customHeight="1">
      <c r="A563" t="inlineStr">
        <is>
          <t>A 34407-2023</t>
        </is>
      </c>
      <c r="B563" s="1" t="n">
        <v>45132</v>
      </c>
      <c r="C563" s="1" t="n">
        <v>45888</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30892-2024</t>
        </is>
      </c>
      <c r="B564" s="1" t="n">
        <v>45491</v>
      </c>
      <c r="C564" s="1" t="n">
        <v>45888</v>
      </c>
      <c r="D564" t="inlineStr">
        <is>
          <t>GOTLANDS LÄN</t>
        </is>
      </c>
      <c r="E564" t="inlineStr">
        <is>
          <t>GOTLAND</t>
        </is>
      </c>
      <c r="G564" t="n">
        <v>6.1</v>
      </c>
      <c r="H564" t="n">
        <v>0</v>
      </c>
      <c r="I564" t="n">
        <v>0</v>
      </c>
      <c r="J564" t="n">
        <v>0</v>
      </c>
      <c r="K564" t="n">
        <v>0</v>
      </c>
      <c r="L564" t="n">
        <v>0</v>
      </c>
      <c r="M564" t="n">
        <v>0</v>
      </c>
      <c r="N564" t="n">
        <v>0</v>
      </c>
      <c r="O564" t="n">
        <v>0</v>
      </c>
      <c r="P564" t="n">
        <v>0</v>
      </c>
      <c r="Q564" t="n">
        <v>0</v>
      </c>
      <c r="R564" s="2" t="inlineStr"/>
    </row>
    <row r="565" ht="15" customHeight="1">
      <c r="A565" t="inlineStr">
        <is>
          <t>A 32958-2021</t>
        </is>
      </c>
      <c r="B565" s="1" t="n">
        <v>44376</v>
      </c>
      <c r="C565" s="1" t="n">
        <v>45888</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45888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37591-2023</t>
        </is>
      </c>
      <c r="B567" s="1" t="n">
        <v>45159</v>
      </c>
      <c r="C567" s="1" t="n">
        <v>45888</v>
      </c>
      <c r="D567" t="inlineStr">
        <is>
          <t>GOTLANDS LÄN</t>
        </is>
      </c>
      <c r="E567" t="inlineStr">
        <is>
          <t>GOTLAND</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38649-2025</t>
        </is>
      </c>
      <c r="B568" s="1" t="n">
        <v>45884</v>
      </c>
      <c r="C568" s="1" t="n">
        <v>45888</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45888</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45888</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45888</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7858-2025</t>
        </is>
      </c>
      <c r="B572" s="1" t="n">
        <v>45706.68633101852</v>
      </c>
      <c r="C572" s="1" t="n">
        <v>45888</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46545-2024</t>
        </is>
      </c>
      <c r="B573" s="1" t="n">
        <v>45582.65831018519</v>
      </c>
      <c r="C573" s="1" t="n">
        <v>45888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44944.54896990741</v>
      </c>
      <c r="C574" s="1" t="n">
        <v>45888</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22897-2023</t>
        </is>
      </c>
      <c r="B575" s="1" t="n">
        <v>45072.55239583334</v>
      </c>
      <c r="C575" s="1" t="n">
        <v>45888</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34142-2024</t>
        </is>
      </c>
      <c r="B576" s="1" t="n">
        <v>45524.36521990741</v>
      </c>
      <c r="C576" s="1" t="n">
        <v>45888</v>
      </c>
      <c r="D576" t="inlineStr">
        <is>
          <t>GOTLANDS LÄN</t>
        </is>
      </c>
      <c r="E576" t="inlineStr">
        <is>
          <t>GOTLAND</t>
        </is>
      </c>
      <c r="G576" t="n">
        <v>6</v>
      </c>
      <c r="H576" t="n">
        <v>0</v>
      </c>
      <c r="I576" t="n">
        <v>0</v>
      </c>
      <c r="J576" t="n">
        <v>0</v>
      </c>
      <c r="K576" t="n">
        <v>0</v>
      </c>
      <c r="L576" t="n">
        <v>0</v>
      </c>
      <c r="M576" t="n">
        <v>0</v>
      </c>
      <c r="N576" t="n">
        <v>0</v>
      </c>
      <c r="O576" t="n">
        <v>0</v>
      </c>
      <c r="P576" t="n">
        <v>0</v>
      </c>
      <c r="Q576" t="n">
        <v>0</v>
      </c>
      <c r="R576" s="2" t="inlineStr"/>
    </row>
    <row r="577" ht="15" customHeight="1">
      <c r="A577" t="inlineStr">
        <is>
          <t>A 4568-2025</t>
        </is>
      </c>
      <c r="B577" s="1" t="n">
        <v>45687</v>
      </c>
      <c r="C577" s="1" t="n">
        <v>45888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44938.39715277778</v>
      </c>
      <c r="C578" s="1" t="n">
        <v>45888</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42338-2023</t>
        </is>
      </c>
      <c r="B579" s="1" t="n">
        <v>45180</v>
      </c>
      <c r="C579" s="1" t="n">
        <v>45888</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18918-2025</t>
        </is>
      </c>
      <c r="B580" s="1" t="n">
        <v>45764</v>
      </c>
      <c r="C580" s="1" t="n">
        <v>45888</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45888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45888</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45888</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45888</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45888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45888</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45888</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45888</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45888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45888</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45888</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45888</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45888</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17847-2025</t>
        </is>
      </c>
      <c r="B594" s="1" t="n">
        <v>45758</v>
      </c>
      <c r="C594" s="1" t="n">
        <v>45888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25866-2022</t>
        </is>
      </c>
      <c r="B595" s="1" t="n">
        <v>44733</v>
      </c>
      <c r="C595" s="1" t="n">
        <v>45888</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15001-2025</t>
        </is>
      </c>
      <c r="B596" s="1" t="n">
        <v>45743</v>
      </c>
      <c r="C596" s="1" t="n">
        <v>45888</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9887-2025</t>
        </is>
      </c>
      <c r="B597" s="1" t="n">
        <v>45716</v>
      </c>
      <c r="C597" s="1" t="n">
        <v>45888</v>
      </c>
      <c r="D597" t="inlineStr">
        <is>
          <t>GOTLANDS LÄN</t>
        </is>
      </c>
      <c r="E597" t="inlineStr">
        <is>
          <t>GOTLAND</t>
        </is>
      </c>
      <c r="G597" t="n">
        <v>7.5</v>
      </c>
      <c r="H597" t="n">
        <v>0</v>
      </c>
      <c r="I597" t="n">
        <v>0</v>
      </c>
      <c r="J597" t="n">
        <v>0</v>
      </c>
      <c r="K597" t="n">
        <v>0</v>
      </c>
      <c r="L597" t="n">
        <v>0</v>
      </c>
      <c r="M597" t="n">
        <v>0</v>
      </c>
      <c r="N597" t="n">
        <v>0</v>
      </c>
      <c r="O597" t="n">
        <v>0</v>
      </c>
      <c r="P597" t="n">
        <v>0</v>
      </c>
      <c r="Q597" t="n">
        <v>0</v>
      </c>
      <c r="R597" s="2" t="inlineStr"/>
    </row>
    <row r="598" ht="15" customHeight="1">
      <c r="A598" t="inlineStr">
        <is>
          <t>A 12209-2024</t>
        </is>
      </c>
      <c r="B598" s="1" t="n">
        <v>45378</v>
      </c>
      <c r="C598" s="1" t="n">
        <v>45888</v>
      </c>
      <c r="D598" t="inlineStr">
        <is>
          <t>GOTLANDS LÄN</t>
        </is>
      </c>
      <c r="E598" t="inlineStr">
        <is>
          <t>GOTLAND</t>
        </is>
      </c>
      <c r="G598" t="n">
        <v>5.3</v>
      </c>
      <c r="H598" t="n">
        <v>0</v>
      </c>
      <c r="I598" t="n">
        <v>0</v>
      </c>
      <c r="J598" t="n">
        <v>0</v>
      </c>
      <c r="K598" t="n">
        <v>0</v>
      </c>
      <c r="L598" t="n">
        <v>0</v>
      </c>
      <c r="M598" t="n">
        <v>0</v>
      </c>
      <c r="N598" t="n">
        <v>0</v>
      </c>
      <c r="O598" t="n">
        <v>0</v>
      </c>
      <c r="P598" t="n">
        <v>0</v>
      </c>
      <c r="Q598" t="n">
        <v>0</v>
      </c>
      <c r="R598" s="2" t="inlineStr"/>
    </row>
    <row r="599" ht="15" customHeight="1">
      <c r="A599" t="inlineStr">
        <is>
          <t>A 12210-2024</t>
        </is>
      </c>
      <c r="B599" s="1" t="n">
        <v>45378</v>
      </c>
      <c r="C599" s="1" t="n">
        <v>45888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59986-2022</t>
        </is>
      </c>
      <c r="B600" s="1" t="n">
        <v>44909</v>
      </c>
      <c r="C600" s="1" t="n">
        <v>45888</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31802-2024</t>
        </is>
      </c>
      <c r="B601" s="1" t="n">
        <v>45509</v>
      </c>
      <c r="C601" s="1" t="n">
        <v>45888</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1728-2025</t>
        </is>
      </c>
      <c r="B602" s="1" t="n">
        <v>45671.3565162037</v>
      </c>
      <c r="C602" s="1" t="n">
        <v>45888</v>
      </c>
      <c r="D602" t="inlineStr">
        <is>
          <t>GOTLANDS LÄN</t>
        </is>
      </c>
      <c r="E602" t="inlineStr">
        <is>
          <t>GOTLAND</t>
        </is>
      </c>
      <c r="G602" t="n">
        <v>2</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45888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15042-2025</t>
        </is>
      </c>
      <c r="B604" s="1" t="n">
        <v>45743</v>
      </c>
      <c r="C604" s="1" t="n">
        <v>45888</v>
      </c>
      <c r="D604" t="inlineStr">
        <is>
          <t>GOTLANDS LÄN</t>
        </is>
      </c>
      <c r="E604" t="inlineStr">
        <is>
          <t>GOTLAND</t>
        </is>
      </c>
      <c r="G604" t="n">
        <v>8.5</v>
      </c>
      <c r="H604" t="n">
        <v>0</v>
      </c>
      <c r="I604" t="n">
        <v>0</v>
      </c>
      <c r="J604" t="n">
        <v>0</v>
      </c>
      <c r="K604" t="n">
        <v>0</v>
      </c>
      <c r="L604" t="n">
        <v>0</v>
      </c>
      <c r="M604" t="n">
        <v>0</v>
      </c>
      <c r="N604" t="n">
        <v>0</v>
      </c>
      <c r="O604" t="n">
        <v>0</v>
      </c>
      <c r="P604" t="n">
        <v>0</v>
      </c>
      <c r="Q604" t="n">
        <v>0</v>
      </c>
      <c r="R604" s="2" t="inlineStr"/>
    </row>
    <row r="605" ht="15" customHeight="1">
      <c r="A605" t="inlineStr">
        <is>
          <t>A 12327-2025</t>
        </is>
      </c>
      <c r="B605" s="1" t="n">
        <v>45730</v>
      </c>
      <c r="C605" s="1" t="n">
        <v>45888</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c r="A606" t="inlineStr">
        <is>
          <t>A 4420-2025</t>
        </is>
      </c>
      <c r="B606" s="1" t="n">
        <v>45686.47157407407</v>
      </c>
      <c r="C606" s="1" t="n">
        <v>45888</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2025-08-19T08:29:23Z</dcterms:created>
  <dcterms:modified xmlns:dcterms="http://purl.org/dc/terms/" xmlns:xsi="http://www.w3.org/2001/XMLSchema-instance" xsi:type="dcterms:W3CDTF">2025-08-19T08:29:24Z</dcterms:modified>
</cp:coreProperties>
</file>