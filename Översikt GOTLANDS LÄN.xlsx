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46254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46254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46254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46254</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46254</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46254</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46254</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46254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46254</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46254</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46254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46254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46254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46254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46254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46254</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46254</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46254</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46254</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10274-2026</t>
        </is>
      </c>
      <c r="B43" t="inlineStr">
        <is>
          <t>avverkningsanmälan</t>
        </is>
      </c>
      <c r="C43" t="inlineStr">
        <is>
          <t>Föryngringsavverkning</t>
        </is>
      </c>
      <c r="D43" s="1" t="n">
        <v>46076</v>
      </c>
      <c r="E43" s="1" t="n">
        <v>46254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46254</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27168-2022</t>
        </is>
      </c>
      <c r="B45" t="inlineStr">
        <is>
          <t>avverkningsanmälan</t>
        </is>
      </c>
      <c r="C45" t="inlineStr">
        <is>
          <t>Föryngringsavverkning</t>
        </is>
      </c>
      <c r="D45" s="1" t="n">
        <v>44741</v>
      </c>
      <c r="E45" s="1" t="n">
        <v>46254</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46254</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46254</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46254</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6052-2024</t>
        </is>
      </c>
      <c r="B49" t="inlineStr">
        <is>
          <t>avverkningsanmälan</t>
        </is>
      </c>
      <c r="C49" t="inlineStr">
        <is>
          <t>Föryngringsavverkning</t>
        </is>
      </c>
      <c r="D49" s="1" t="n">
        <v>45336</v>
      </c>
      <c r="E49" s="1" t="n">
        <v>46254</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46254</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584-2023</t>
        </is>
      </c>
      <c r="B51" t="inlineStr">
        <is>
          <t>avverkningsanmälan</t>
        </is>
      </c>
      <c r="C51" t="inlineStr">
        <is>
          <t>Föryngringsavverkning</t>
        </is>
      </c>
      <c r="D51" s="1" t="n">
        <v>44930</v>
      </c>
      <c r="E51" s="1" t="n">
        <v>46254</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46254</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46254</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46254</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46254</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46254</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32326-2024</t>
        </is>
      </c>
      <c r="B57" t="inlineStr">
        <is>
          <t>avverkningsanmälan</t>
        </is>
      </c>
      <c r="C57" t="inlineStr">
        <is>
          <t>Föryngringsavverkning</t>
        </is>
      </c>
      <c r="D57" s="1" t="n">
        <v>45512</v>
      </c>
      <c r="E57" s="1" t="n">
        <v>46254</v>
      </c>
      <c r="F57" t="inlineStr">
        <is>
          <t>GOTLANDS LÄN</t>
        </is>
      </c>
      <c r="G57" t="inlineStr">
        <is>
          <t>GOTLAND</t>
        </is>
      </c>
      <c r="I57" t="n">
        <v>9.199999999999999</v>
      </c>
      <c r="J57" t="n">
        <v>4</v>
      </c>
      <c r="K57" t="n">
        <v>2</v>
      </c>
      <c r="L57" t="n">
        <v>5</v>
      </c>
      <c r="M57" t="n">
        <v>1</v>
      </c>
      <c r="N57" t="n">
        <v>0</v>
      </c>
      <c r="O57" t="n">
        <v>0</v>
      </c>
      <c r="P57" t="n">
        <v>0</v>
      </c>
      <c r="Q57" t="n">
        <v>6</v>
      </c>
      <c r="R57" t="n">
        <v>1</v>
      </c>
      <c r="S57" t="n">
        <v>10</v>
      </c>
      <c r="T57" t="n">
        <v>41</v>
      </c>
      <c r="U57" t="n">
        <v>40</v>
      </c>
      <c r="V57" s="2" t="inlineStr">
        <is>
          <t>Tallgångbagge
Backruta
Backtimjan
Jordtistel
Svinrot
Säfferot
Purpurknipprot
Skogsknipprot
Nattskärra
Brudsporre</t>
        </is>
      </c>
      <c r="W57">
        <f>HYPERLINK("https://klasma.github.io/Logging_0980/artfynd/A 32326-2024 artfynd.xlsx", "A 32326-2024")</f>
        <v/>
      </c>
      <c r="X57">
        <f>HYPERLINK("https://klasma.github.io/Logging_0980/kartor/A 32326-2024 karta.png", "A 32326-2024")</f>
        <v/>
      </c>
      <c r="Y57">
        <f>HYPERLINK("https://klasma.github.io/Logging_0980/kartor_geotiff/A 32326-2024 georefererad karta.tif", "A 32326-2024")</f>
        <v/>
      </c>
      <c r="AA57">
        <f>HYPERLINK("https://klasma.github.io/Logging_0980/klagomål/A 32326-2024 FSC-klagomål.docx", "A 32326-2024")</f>
        <v/>
      </c>
      <c r="AB57">
        <f>HYPERLINK("https://klasma.github.io/Logging_0980/klagomålsmail/A 32326-2024 FSC-klagomål mail.docx", "A 32326-2024")</f>
        <v/>
      </c>
      <c r="AC57">
        <f>HYPERLINK("https://klasma.github.io/Logging_0980/tillsyn/A 32326-2024 tillsynsbegäran.docx", "A 32326-2024")</f>
        <v/>
      </c>
      <c r="AD57">
        <f>HYPERLINK("https://klasma.github.io/Logging_0980/tillsynsmail/A 32326-2024 tillsynsbegäran mail.docx", "A 32326-2024")</f>
        <v/>
      </c>
      <c r="AE57">
        <f>HYPERLINK("https://klasma.github.io/Logging_0980/fåglar/A 32326-2024 prioriterade fågelarter.docx", "A 32326-2024")</f>
        <v/>
      </c>
    </row>
    <row r="58" ht="15" customHeight="1">
      <c r="A58" t="inlineStr">
        <is>
          <t>A 44944-2022</t>
        </is>
      </c>
      <c r="B58" t="inlineStr">
        <is>
          <t>avverkningsanmälan</t>
        </is>
      </c>
      <c r="C58" t="inlineStr">
        <is>
          <t>Föryngringsavverkning</t>
        </is>
      </c>
      <c r="D58" s="1" t="n">
        <v>44841</v>
      </c>
      <c r="E58" s="1" t="n">
        <v>46254</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186-2023</t>
        </is>
      </c>
      <c r="B59" t="inlineStr">
        <is>
          <t>avverkningsanmälan</t>
        </is>
      </c>
      <c r="C59" t="inlineStr">
        <is>
          <t>Föryngringsavverkning</t>
        </is>
      </c>
      <c r="D59" s="1" t="n">
        <v>44928</v>
      </c>
      <c r="E59" s="1" t="n">
        <v>46254</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45248-2024</t>
        </is>
      </c>
      <c r="B60" t="inlineStr">
        <is>
          <t>avverkningsanmälan</t>
        </is>
      </c>
      <c r="C60" t="inlineStr">
        <is>
          <t>Avverkning för annat ändamål</t>
        </is>
      </c>
      <c r="D60" s="1" t="n">
        <v>45576</v>
      </c>
      <c r="E60" s="1" t="n">
        <v>46254</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18541-2024</t>
        </is>
      </c>
      <c r="B61" t="inlineStr">
        <is>
          <t>avverkningsanmälan</t>
        </is>
      </c>
      <c r="C61" t="inlineStr">
        <is>
          <t>Föryngringsavverkning</t>
        </is>
      </c>
      <c r="D61" s="1" t="n">
        <v>45425</v>
      </c>
      <c r="E61" s="1" t="n">
        <v>46254</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46254</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46254</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46254</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46254</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46254</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46254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46254</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46254</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44308-2021</t>
        </is>
      </c>
      <c r="B70" t="inlineStr">
        <is>
          <t>avverkningsanmälan</t>
        </is>
      </c>
      <c r="C70" t="inlineStr">
        <is>
          <t>Föryngringsavverkning</t>
        </is>
      </c>
      <c r="D70" s="1" t="n">
        <v>44434</v>
      </c>
      <c r="E70" s="1" t="n">
        <v>46254</v>
      </c>
      <c r="F70" t="inlineStr">
        <is>
          <t>GOTLANDS LÄN</t>
        </is>
      </c>
      <c r="G70" t="inlineStr">
        <is>
          <t>GOTLAND</t>
        </is>
      </c>
      <c r="I70" t="n">
        <v>5.9</v>
      </c>
      <c r="J70" t="n">
        <v>0</v>
      </c>
      <c r="K70" t="n">
        <v>3</v>
      </c>
      <c r="L70" t="n">
        <v>3</v>
      </c>
      <c r="M70" t="n">
        <v>2</v>
      </c>
      <c r="N70" t="n">
        <v>0</v>
      </c>
      <c r="O70" t="n">
        <v>0</v>
      </c>
      <c r="P70" t="n">
        <v>0</v>
      </c>
      <c r="Q70" t="n">
        <v>5</v>
      </c>
      <c r="R70" t="n">
        <v>2</v>
      </c>
      <c r="S70" t="n">
        <v>8</v>
      </c>
      <c r="T70" t="n">
        <v>10</v>
      </c>
      <c r="U70" t="n">
        <v>2</v>
      </c>
      <c r="V70" s="2" t="inlineStr">
        <is>
          <t>Gul lammticka
Tvillingspindling
Barrfagerspindling
Svinrot
Sårläka
Anisspindling
Olivspindling
Svavelriska</t>
        </is>
      </c>
      <c r="W70">
        <f>HYPERLINK("https://klasma.github.io/Logging_0980/artfynd/A 44308-2021 artfynd.xlsx", "A 44308-2021")</f>
        <v/>
      </c>
      <c r="X70">
        <f>HYPERLINK("https://klasma.github.io/Logging_0980/kartor/A 44308-2021 karta.png", "A 44308-2021")</f>
        <v/>
      </c>
      <c r="Y70">
        <f>HYPERLINK("https://klasma.github.io/Logging_0980/kartor_geotiff/A 44308-2021 georefererad karta.tif", "A 44308-2021")</f>
        <v/>
      </c>
      <c r="AA70">
        <f>HYPERLINK("https://klasma.github.io/Logging_0980/klagomål/A 44308-2021 FSC-klagomål.docx", "A 44308-2021")</f>
        <v/>
      </c>
      <c r="AB70">
        <f>HYPERLINK("https://klasma.github.io/Logging_0980/klagomålsmail/A 44308-2021 FSC-klagomål mail.docx", "A 44308-2021")</f>
        <v/>
      </c>
      <c r="AC70">
        <f>HYPERLINK("https://klasma.github.io/Logging_0980/tillsyn/A 44308-2021 tillsynsbegäran.docx", "A 44308-2021")</f>
        <v/>
      </c>
      <c r="AD70">
        <f>HYPERLINK("https://klasma.github.io/Logging_0980/tillsynsmail/A 44308-2021 tillsynsbegäran mail.docx", "A 44308-2021")</f>
        <v/>
      </c>
    </row>
    <row r="71" ht="15" customHeight="1">
      <c r="A71" t="inlineStr">
        <is>
          <t>A 7038-2023</t>
        </is>
      </c>
      <c r="B71" t="inlineStr">
        <is>
          <t>avverkningsanmälan</t>
        </is>
      </c>
      <c r="C71" t="inlineStr">
        <is>
          <t>Föryngringsavverkning</t>
        </is>
      </c>
      <c r="D71" s="1" t="n">
        <v>44968</v>
      </c>
      <c r="E71" s="1" t="n">
        <v>46254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46254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57773-2025</t>
        </is>
      </c>
      <c r="B73" t="inlineStr">
        <is>
          <t>avverkningsanmälan</t>
        </is>
      </c>
      <c r="C73" t="inlineStr">
        <is>
          <t>Föryngringsavverkning</t>
        </is>
      </c>
      <c r="D73" s="1" t="n">
        <v>45981</v>
      </c>
      <c r="E73" s="1" t="n">
        <v>46254</v>
      </c>
      <c r="F73" t="inlineStr">
        <is>
          <t>GOTLANDS LÄN</t>
        </is>
      </c>
      <c r="G73" t="inlineStr">
        <is>
          <t>GOTLAND</t>
        </is>
      </c>
      <c r="I73" t="n">
        <v>4.4</v>
      </c>
      <c r="J73" t="n">
        <v>0</v>
      </c>
      <c r="K73" t="n">
        <v>5</v>
      </c>
      <c r="L73" t="n">
        <v>1</v>
      </c>
      <c r="M73" t="n">
        <v>2</v>
      </c>
      <c r="N73" t="n">
        <v>0</v>
      </c>
      <c r="O73" t="n">
        <v>0</v>
      </c>
      <c r="P73" t="n">
        <v>0</v>
      </c>
      <c r="Q73" t="n">
        <v>3</v>
      </c>
      <c r="R73" t="n">
        <v>2</v>
      </c>
      <c r="S73" t="n">
        <v>8</v>
      </c>
      <c r="T73" t="n">
        <v>14</v>
      </c>
      <c r="U73" t="n">
        <v>0</v>
      </c>
      <c r="V73" s="2" t="inlineStr">
        <is>
          <t>Duvspindling
Mörkfjällig olivspindling
Backklöver
Besk kastanjemusseron
Brun klibbskivling
Olivspindling
Rödgul trumpetsvamp
Strimspindling</t>
        </is>
      </c>
      <c r="W73">
        <f>HYPERLINK("https://klasma.github.io/Logging_0980/artfynd/A 57773-2025 artfynd.xlsx", "A 57773-2025")</f>
        <v/>
      </c>
      <c r="X73">
        <f>HYPERLINK("https://klasma.github.io/Logging_0980/kartor/A 57773-2025 karta.png", "A 57773-2025")</f>
        <v/>
      </c>
      <c r="Y73">
        <f>HYPERLINK("https://klasma.github.io/Logging_0980/kartor_geotiff/A 57773-2025 georefererad karta.tif", "A 57773-2025")</f>
        <v/>
      </c>
      <c r="AA73">
        <f>HYPERLINK("https://klasma.github.io/Logging_0980/klagomål/A 57773-2025 FSC-klagomål.docx", "A 57773-2025")</f>
        <v/>
      </c>
      <c r="AB73">
        <f>HYPERLINK("https://klasma.github.io/Logging_0980/klagomålsmail/A 57773-2025 FSC-klagomål mail.docx", "A 57773-2025")</f>
        <v/>
      </c>
      <c r="AC73">
        <f>HYPERLINK("https://klasma.github.io/Logging_0980/tillsyn/A 57773-2025 tillsynsbegäran.docx", "A 57773-2025")</f>
        <v/>
      </c>
      <c r="AD73">
        <f>HYPERLINK("https://klasma.github.io/Logging_0980/tillsynsmail/A 57773-2025 tillsynsbegäran mail.docx", "A 57773-2025")</f>
        <v/>
      </c>
    </row>
    <row r="74" ht="15" customHeight="1">
      <c r="A74" t="inlineStr">
        <is>
          <t>A 1971-2023</t>
        </is>
      </c>
      <c r="B74" t="inlineStr">
        <is>
          <t>avverkningsanmälan</t>
        </is>
      </c>
      <c r="C74" t="inlineStr">
        <is>
          <t>Föryngringsavverkning</t>
        </is>
      </c>
      <c r="D74" s="1" t="n">
        <v>44939</v>
      </c>
      <c r="E74" s="1" t="n">
        <v>46254</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446-2023</t>
        </is>
      </c>
      <c r="B75" t="inlineStr">
        <is>
          <t>avverkningsanmälan</t>
        </is>
      </c>
      <c r="C75" t="inlineStr">
        <is>
          <t>Föryngringsavverkning</t>
        </is>
      </c>
      <c r="D75" s="1" t="n">
        <v>44929</v>
      </c>
      <c r="E75" s="1" t="n">
        <v>46254</v>
      </c>
      <c r="F75" t="inlineStr">
        <is>
          <t>GOTLANDS LÄN</t>
        </is>
      </c>
      <c r="G75" t="inlineStr">
        <is>
          <t>GOTLAND</t>
        </is>
      </c>
      <c r="I75" t="n">
        <v>7.1</v>
      </c>
      <c r="J75" t="n">
        <v>4</v>
      </c>
      <c r="K75" t="n">
        <v>3</v>
      </c>
      <c r="L75" t="n">
        <v>3</v>
      </c>
      <c r="M75" t="n">
        <v>1</v>
      </c>
      <c r="N75" t="n">
        <v>0</v>
      </c>
      <c r="O75" t="n">
        <v>0</v>
      </c>
      <c r="P75" t="n">
        <v>0</v>
      </c>
      <c r="Q75" t="n">
        <v>4</v>
      </c>
      <c r="R75" t="n">
        <v>1</v>
      </c>
      <c r="S75" t="n">
        <v>8</v>
      </c>
      <c r="T75" t="n">
        <v>51</v>
      </c>
      <c r="U75" t="n">
        <v>50</v>
      </c>
      <c r="V75" s="2" t="inlineStr">
        <is>
          <t>Svartgrön spindling
Backtimjan
Dårgräsfjäril
Äggspindling
Nästrot
Skogsknipprot
Svavelriska
Spillkråka</t>
        </is>
      </c>
      <c r="W75">
        <f>HYPERLINK("https://klasma.github.io/Logging_0980/artfynd/A 446-2023 artfynd.xlsx", "A 446-2023")</f>
        <v/>
      </c>
      <c r="X75">
        <f>HYPERLINK("https://klasma.github.io/Logging_0980/kartor/A 446-2023 karta.png", "A 446-2023")</f>
        <v/>
      </c>
      <c r="Y75">
        <f>HYPERLINK("https://klasma.github.io/Logging_0980/kartor_geotiff/A 446-2023 georefererad karta.tif", "A 446-2023")</f>
        <v/>
      </c>
      <c r="AA75">
        <f>HYPERLINK("https://klasma.github.io/Logging_0980/klagomål/A 446-2023 FSC-klagomål.docx", "A 446-2023")</f>
        <v/>
      </c>
      <c r="AB75">
        <f>HYPERLINK("https://klasma.github.io/Logging_0980/klagomålsmail/A 446-2023 FSC-klagomål mail.docx", "A 446-2023")</f>
        <v/>
      </c>
      <c r="AC75">
        <f>HYPERLINK("https://klasma.github.io/Logging_0980/tillsyn/A 446-2023 tillsynsbegäran.docx", "A 446-2023")</f>
        <v/>
      </c>
      <c r="AD75">
        <f>HYPERLINK("https://klasma.github.io/Logging_0980/tillsynsmail/A 446-2023 tillsynsbegäran mail.docx", "A 446-2023")</f>
        <v/>
      </c>
      <c r="AE75">
        <f>HYPERLINK("https://klasma.github.io/Logging_0980/fåglar/A 446-2023 prioriterade fågelarter.docx", "A 446-2023")</f>
        <v/>
      </c>
    </row>
    <row r="76" ht="15" customHeight="1">
      <c r="A76" t="inlineStr">
        <is>
          <t>A 6836-2026</t>
        </is>
      </c>
      <c r="B76" t="inlineStr">
        <is>
          <t>avverkningsanmälan</t>
        </is>
      </c>
      <c r="C76" t="inlineStr">
        <is>
          <t>Föryngringsavverkning</t>
        </is>
      </c>
      <c r="D76" s="1" t="n">
        <v>46057</v>
      </c>
      <c r="E76" s="1" t="n">
        <v>46254</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46254</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20831-2024</t>
        </is>
      </c>
      <c r="B78" t="inlineStr">
        <is>
          <t>avverkningsanmälan</t>
        </is>
      </c>
      <c r="C78" t="inlineStr">
        <is>
          <t>Föryngringsavverkning</t>
        </is>
      </c>
      <c r="D78" s="1" t="n">
        <v>45439</v>
      </c>
      <c r="E78" s="1" t="n">
        <v>46254</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54527-2023</t>
        </is>
      </c>
      <c r="B79" t="inlineStr">
        <is>
          <t>avverkningsanmälan</t>
        </is>
      </c>
      <c r="C79" t="inlineStr">
        <is>
          <t>Avverkning för annat ändamål</t>
        </is>
      </c>
      <c r="D79" s="1" t="n">
        <v>45233</v>
      </c>
      <c r="E79" s="1" t="n">
        <v>46254</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51737-2021</t>
        </is>
      </c>
      <c r="B80" t="inlineStr">
        <is>
          <t>avverkningsanmälan</t>
        </is>
      </c>
      <c r="C80" t="inlineStr">
        <is>
          <t>Föryngringsavverkning</t>
        </is>
      </c>
      <c r="D80" s="1" t="n">
        <v>44462</v>
      </c>
      <c r="E80" s="1" t="n">
        <v>46254</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46254</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46254</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46254</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46254</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46254</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46254</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35293-2025</t>
        </is>
      </c>
      <c r="B87" t="inlineStr">
        <is>
          <t>avverkningsanmälan</t>
        </is>
      </c>
      <c r="C87" t="inlineStr">
        <is>
          <t>Föryngringsavverkning</t>
        </is>
      </c>
      <c r="D87" s="1" t="n">
        <v>45854</v>
      </c>
      <c r="E87" s="1" t="n">
        <v>46254</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46254</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46254</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64208-2021</t>
        </is>
      </c>
      <c r="B90" t="inlineStr">
        <is>
          <t>avverkningsanmälan</t>
        </is>
      </c>
      <c r="C90" t="inlineStr">
        <is>
          <t>Föryngringsavverkning</t>
        </is>
      </c>
      <c r="D90" s="1" t="n">
        <v>44510</v>
      </c>
      <c r="E90" s="1" t="n">
        <v>46254</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49709-2025</t>
        </is>
      </c>
      <c r="B91" t="inlineStr">
        <is>
          <t>avverkningsanmälan</t>
        </is>
      </c>
      <c r="C91" t="inlineStr">
        <is>
          <t>Föryngringsavverkning</t>
        </is>
      </c>
      <c r="D91" s="1" t="n">
        <v>45939</v>
      </c>
      <c r="E91" s="1" t="n">
        <v>46254</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20838-2024</t>
        </is>
      </c>
      <c r="B92" t="inlineStr">
        <is>
          <t>avverkningsanmälan</t>
        </is>
      </c>
      <c r="C92" t="inlineStr">
        <is>
          <t>Föryngringsavverkning</t>
        </is>
      </c>
      <c r="D92" s="1" t="n">
        <v>45439</v>
      </c>
      <c r="E92" s="1" t="n">
        <v>46254</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43200-2023</t>
        </is>
      </c>
      <c r="B93" t="inlineStr">
        <is>
          <t>avverkningsanmälan</t>
        </is>
      </c>
      <c r="C93" t="inlineStr">
        <is>
          <t>Föryngringsavverkning</t>
        </is>
      </c>
      <c r="D93" s="1" t="n">
        <v>45183</v>
      </c>
      <c r="E93" s="1" t="n">
        <v>46254</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16823-2024</t>
        </is>
      </c>
      <c r="B94" t="inlineStr">
        <is>
          <t>avverkningsanmälan</t>
        </is>
      </c>
      <c r="C94" t="inlineStr">
        <is>
          <t>Avverkning för annat ändamål</t>
        </is>
      </c>
      <c r="D94" s="1" t="n">
        <v>45411</v>
      </c>
      <c r="E94" s="1" t="n">
        <v>46254</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t="n">
        <v>7</v>
      </c>
      <c r="V94" s="2" t="inlineStr">
        <is>
          <t>Gulsparv
Jordtistel
Flugblomster
Brudsporre
Johannesnycklar
Sankt pers nycklar</t>
        </is>
      </c>
      <c r="W94">
        <f>HYPERLINK("https://klasma.github.io/Logging_0980/artfynd/A 16823-2024 artfynd.xlsx", "A 16823-2024")</f>
        <v/>
      </c>
      <c r="X94">
        <f>HYPERLINK("https://klasma.github.io/Logging_0980/kartor/A 16823-2024 karta.png", "A 16823-2024")</f>
        <v/>
      </c>
      <c r="Y94">
        <f>HYPERLINK("https://klasma.github.io/Logging_0980/kartor_geotiff/A 16823-2024 georefererad karta.tif", "A 16823-2024")</f>
        <v/>
      </c>
      <c r="AA94">
        <f>HYPERLINK("https://klasma.github.io/Logging_0980/klagomål/A 16823-2024 FSC-klagomål.docx", "A 16823-2024")</f>
        <v/>
      </c>
      <c r="AB94">
        <f>HYPERLINK("https://klasma.github.io/Logging_0980/klagomålsmail/A 16823-2024 FSC-klagomål mail.docx", "A 16823-2024")</f>
        <v/>
      </c>
      <c r="AC94">
        <f>HYPERLINK("https://klasma.github.io/Logging_0980/tillsyn/A 16823-2024 tillsynsbegäran.docx", "A 16823-2024")</f>
        <v/>
      </c>
      <c r="AD94">
        <f>HYPERLINK("https://klasma.github.io/Logging_0980/tillsynsmail/A 16823-2024 tillsynsbegäran mail.docx", "A 16823-2024")</f>
        <v/>
      </c>
      <c r="AE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46254</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46254</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46254</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46254</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46254</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46254</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46254</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46254</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57463-2025</t>
        </is>
      </c>
      <c r="B103" t="inlineStr">
        <is>
          <t>avverkningsanmälan</t>
        </is>
      </c>
      <c r="C103" t="inlineStr">
        <is>
          <t>Föryngringsavverkning</t>
        </is>
      </c>
      <c r="D103" s="1" t="n">
        <v>45980</v>
      </c>
      <c r="E103" s="1" t="n">
        <v>46254</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46254</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46254</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46254</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46254</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46254</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2485-2025</t>
        </is>
      </c>
      <c r="B109" t="inlineStr">
        <is>
          <t>avverkningsanmälan</t>
        </is>
      </c>
      <c r="C109" t="inlineStr">
        <is>
          <t>Föryngringsavverkning</t>
        </is>
      </c>
      <c r="D109" s="1" t="n">
        <v>45673</v>
      </c>
      <c r="E109" s="1" t="n">
        <v>46254</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44304-2021</t>
        </is>
      </c>
      <c r="B110" t="inlineStr">
        <is>
          <t>avverkningsanmälan</t>
        </is>
      </c>
      <c r="C110" t="inlineStr">
        <is>
          <t>Föryngringsavverkning</t>
        </is>
      </c>
      <c r="D110" s="1" t="n">
        <v>44434</v>
      </c>
      <c r="E110" s="1" t="n">
        <v>46254</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32550-2026</t>
        </is>
      </c>
      <c r="B111" t="inlineStr">
        <is>
          <t>avverkningsanmälan</t>
        </is>
      </c>
      <c r="C111" t="inlineStr">
        <is>
          <t>Föryngringsavverkning</t>
        </is>
      </c>
      <c r="D111" s="1" t="n">
        <v>46239</v>
      </c>
      <c r="E111" s="1" t="n">
        <v>46254</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46254</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1273-2023</t>
        </is>
      </c>
      <c r="B113" t="inlineStr">
        <is>
          <t>avverkningsanmälan</t>
        </is>
      </c>
      <c r="C113" t="inlineStr">
        <is>
          <t>Föryngringsavverkning</t>
        </is>
      </c>
      <c r="D113" s="1" t="n">
        <v>44936</v>
      </c>
      <c r="E113" s="1" t="n">
        <v>46254</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7625-2026</t>
        </is>
      </c>
      <c r="B114" t="inlineStr">
        <is>
          <t>avverkningsanmälan</t>
        </is>
      </c>
      <c r="C114" t="inlineStr">
        <is>
          <t>Föryngringsavverkning</t>
        </is>
      </c>
      <c r="D114" s="1" t="n">
        <v>46062</v>
      </c>
      <c r="E114" s="1" t="n">
        <v>46254</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54523-2023</t>
        </is>
      </c>
      <c r="B115" t="inlineStr">
        <is>
          <t>avverkningsanmälan</t>
        </is>
      </c>
      <c r="C115" t="inlineStr">
        <is>
          <t>Föryngringsavverkning</t>
        </is>
      </c>
      <c r="D115" s="1" t="n">
        <v>45233</v>
      </c>
      <c r="E115" s="1" t="n">
        <v>46254</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61100-2022</t>
        </is>
      </c>
      <c r="B116" t="inlineStr">
        <is>
          <t>avverkningsanmälan</t>
        </is>
      </c>
      <c r="C116" t="inlineStr">
        <is>
          <t>Föryngringsavverkning</t>
        </is>
      </c>
      <c r="D116" s="1" t="n">
        <v>44915</v>
      </c>
      <c r="E116" s="1" t="n">
        <v>46254</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46254</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16997-2026</t>
        </is>
      </c>
      <c r="B118" t="inlineStr">
        <is>
          <t>avverkningsanmälan</t>
        </is>
      </c>
      <c r="C118" t="inlineStr">
        <is>
          <t>Föryngringsavverkning</t>
        </is>
      </c>
      <c r="D118" s="1" t="n">
        <v>46114</v>
      </c>
      <c r="E118" s="1" t="n">
        <v>46254</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6839-2026</t>
        </is>
      </c>
      <c r="B119" t="inlineStr">
        <is>
          <t>avverkningsanmälan</t>
        </is>
      </c>
      <c r="C119" t="inlineStr">
        <is>
          <t>Föryngringsavverkning</t>
        </is>
      </c>
      <c r="D119" s="1" t="n">
        <v>46057</v>
      </c>
      <c r="E119" s="1" t="n">
        <v>46254</v>
      </c>
      <c r="F119" t="inlineStr">
        <is>
          <t>GOTLANDS LÄN</t>
        </is>
      </c>
      <c r="G119" t="inlineStr">
        <is>
          <t>GOTLAND</t>
        </is>
      </c>
      <c r="I119" t="n">
        <v>4.9</v>
      </c>
      <c r="J119" t="n">
        <v>0</v>
      </c>
      <c r="K119" t="n">
        <v>1</v>
      </c>
      <c r="L119" t="n">
        <v>0</v>
      </c>
      <c r="M119" t="n">
        <v>3</v>
      </c>
      <c r="N119" t="n">
        <v>0</v>
      </c>
      <c r="O119" t="n">
        <v>0</v>
      </c>
      <c r="P119" t="n">
        <v>0</v>
      </c>
      <c r="Q119" t="n">
        <v>3</v>
      </c>
      <c r="R119" t="n">
        <v>3</v>
      </c>
      <c r="S119" t="n">
        <v>4</v>
      </c>
      <c r="T119" t="n">
        <v>5</v>
      </c>
      <c r="U119" t="n">
        <v>0</v>
      </c>
      <c r="V119" s="2" t="inlineStr">
        <is>
          <t>Mörk kraterlav
Skogskorn
Ädellav
Besk kastanjemusseron</t>
        </is>
      </c>
      <c r="W119">
        <f>HYPERLINK("https://klasma.github.io/Logging_0980/artfynd/A 6839-2026 artfynd.xlsx", "A 6839-2026")</f>
        <v/>
      </c>
      <c r="X119">
        <f>HYPERLINK("https://klasma.github.io/Logging_0980/kartor/A 6839-2026 karta.png", "A 6839-2026")</f>
        <v/>
      </c>
      <c r="Y119">
        <f>HYPERLINK("https://klasma.github.io/Logging_0980/kartor_geotiff/A 6839-2026 georefererad karta.tif", "A 6839-2026")</f>
        <v/>
      </c>
      <c r="AA119">
        <f>HYPERLINK("https://klasma.github.io/Logging_0980/klagomål/A 6839-2026 FSC-klagomål.docx", "A 6839-2026")</f>
        <v/>
      </c>
      <c r="AB119">
        <f>HYPERLINK("https://klasma.github.io/Logging_0980/klagomålsmail/A 6839-2026 FSC-klagomål mail.docx", "A 6839-2026")</f>
        <v/>
      </c>
      <c r="AC119">
        <f>HYPERLINK("https://klasma.github.io/Logging_0980/tillsyn/A 6839-2026 tillsynsbegäran.docx", "A 6839-2026")</f>
        <v/>
      </c>
      <c r="AD119">
        <f>HYPERLINK("https://klasma.github.io/Logging_0980/tillsynsmail/A 6839-2026 tillsynsbegäran mail.docx", "A 6839-2026")</f>
        <v/>
      </c>
    </row>
    <row r="120" ht="15" customHeight="1">
      <c r="A120" t="inlineStr">
        <is>
          <t>A 43013-2022</t>
        </is>
      </c>
      <c r="B120" t="inlineStr">
        <is>
          <t>avverkningsanmälan</t>
        </is>
      </c>
      <c r="C120" t="inlineStr">
        <is>
          <t>Föryngringsavverkning</t>
        </is>
      </c>
      <c r="D120" s="1" t="n">
        <v>44833</v>
      </c>
      <c r="E120" s="1" t="n">
        <v>46254</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46254</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46254</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46254</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46254</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46254</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54357-2024</t>
        </is>
      </c>
      <c r="B126" t="inlineStr">
        <is>
          <t>avverkningsanmälan</t>
        </is>
      </c>
      <c r="C126" t="inlineStr">
        <is>
          <t>Föryngringsavverkning</t>
        </is>
      </c>
      <c r="D126" s="1" t="n">
        <v>45617</v>
      </c>
      <c r="E126" s="1" t="n">
        <v>46254</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2476-2025</t>
        </is>
      </c>
      <c r="B127" t="inlineStr">
        <is>
          <t>avverkningsanmälan</t>
        </is>
      </c>
      <c r="C127" t="inlineStr">
        <is>
          <t>Föryngringsavverkning</t>
        </is>
      </c>
      <c r="D127" s="1" t="n">
        <v>45673</v>
      </c>
      <c r="E127" s="1" t="n">
        <v>46254</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46254</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17975-2024</t>
        </is>
      </c>
      <c r="B129" t="inlineStr">
        <is>
          <t>avverkningsanmälan</t>
        </is>
      </c>
      <c r="C129" t="inlineStr">
        <is>
          <t>Föryngringsavverkning</t>
        </is>
      </c>
      <c r="D129" s="1" t="n">
        <v>45419</v>
      </c>
      <c r="E129" s="1" t="n">
        <v>46254</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t="n">
        <v>0</v>
      </c>
      <c r="V129" s="2" t="inlineStr">
        <is>
          <t>Ask
Skugglosta
Strävlosta</t>
        </is>
      </c>
      <c r="W129">
        <f>HYPERLINK("https://klasma.github.io/Logging_0980/artfynd/A 17975-2024 artfynd.xlsx", "A 17975-2024")</f>
        <v/>
      </c>
      <c r="X129">
        <f>HYPERLINK("https://klasma.github.io/Logging_0980/kartor/A 17975-2024 karta.png", "A 17975-2024")</f>
        <v/>
      </c>
      <c r="Y129">
        <f>HYPERLINK("https://klasma.github.io/Logging_0980/kartor_geotiff/A 17975-2024 georefererad karta.tif", "A 17975-2024")</f>
        <v/>
      </c>
      <c r="AA129">
        <f>HYPERLINK("https://klasma.github.io/Logging_0980/klagomål/A 17975-2024 FSC-klagomål.docx", "A 17975-2024")</f>
        <v/>
      </c>
      <c r="AB129">
        <f>HYPERLINK("https://klasma.github.io/Logging_0980/klagomålsmail/A 17975-2024 FSC-klagomål mail.docx", "A 17975-2024")</f>
        <v/>
      </c>
      <c r="AC129">
        <f>HYPERLINK("https://klasma.github.io/Logging_0980/tillsyn/A 17975-2024 tillsynsbegäran.docx", "A 17975-2024")</f>
        <v/>
      </c>
      <c r="AD129">
        <f>HYPERLINK("https://klasma.github.io/Logging_0980/tillsynsmail/A 17975-2024 tillsynsbegäran mail.docx", "A 17975-2024")</f>
        <v/>
      </c>
    </row>
    <row r="130" ht="15" customHeight="1">
      <c r="A130" t="inlineStr">
        <is>
          <t>A 26992-2026</t>
        </is>
      </c>
      <c r="B130" t="inlineStr">
        <is>
          <t>avverkningsanmälan</t>
        </is>
      </c>
      <c r="C130" t="inlineStr">
        <is>
          <t>Föryngringsavverkning</t>
        </is>
      </c>
      <c r="D130" s="1" t="n">
        <v>46185</v>
      </c>
      <c r="E130" s="1" t="n">
        <v>46254</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5909-2025</t>
        </is>
      </c>
      <c r="B131" t="inlineStr">
        <is>
          <t>avverkningsanmälan</t>
        </is>
      </c>
      <c r="C131" t="inlineStr">
        <is>
          <t>Föryngringsavverkning</t>
        </is>
      </c>
      <c r="D131" s="1" t="n">
        <v>45695</v>
      </c>
      <c r="E131" s="1" t="n">
        <v>46254</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53552-2021</t>
        </is>
      </c>
      <c r="B132" t="inlineStr">
        <is>
          <t>avverkningsanmälan</t>
        </is>
      </c>
      <c r="C132" t="inlineStr">
        <is>
          <t>Föryngringsavverkning</t>
        </is>
      </c>
      <c r="D132" s="1" t="n">
        <v>44468</v>
      </c>
      <c r="E132" s="1" t="n">
        <v>46254</v>
      </c>
      <c r="F132" t="inlineStr">
        <is>
          <t>GOTLANDS LÄN</t>
        </is>
      </c>
      <c r="G132" t="inlineStr">
        <is>
          <t>GOTLAND</t>
        </is>
      </c>
      <c r="I132" t="n">
        <v>6.2</v>
      </c>
      <c r="J132" t="n">
        <v>2</v>
      </c>
      <c r="K132" t="n">
        <v>0</v>
      </c>
      <c r="L132" t="n">
        <v>0</v>
      </c>
      <c r="M132" t="n">
        <v>1</v>
      </c>
      <c r="N132" t="n">
        <v>0</v>
      </c>
      <c r="O132" t="n">
        <v>0</v>
      </c>
      <c r="P132" t="n">
        <v>0</v>
      </c>
      <c r="Q132" t="n">
        <v>1</v>
      </c>
      <c r="R132" t="n">
        <v>1</v>
      </c>
      <c r="S132" t="n">
        <v>3</v>
      </c>
      <c r="T132" t="n">
        <v>3</v>
      </c>
      <c r="U132" t="n">
        <v>2</v>
      </c>
      <c r="V132" s="2" t="inlineStr">
        <is>
          <t>Bredbrämad bastardsvärmare
Grönvit nattviol
Gullviva</t>
        </is>
      </c>
      <c r="W132">
        <f>HYPERLINK("https://klasma.github.io/Logging_0980/artfynd/A 53552-2021 artfynd.xlsx", "A 53552-2021")</f>
        <v/>
      </c>
      <c r="X132">
        <f>HYPERLINK("https://klasma.github.io/Logging_0980/kartor/A 53552-2021 karta.png", "A 53552-2021")</f>
        <v/>
      </c>
      <c r="Y132">
        <f>HYPERLINK("https://klasma.github.io/Logging_0980/kartor_geotiff/A 53552-2021 georefererad karta.tif", "A 53552-2021")</f>
        <v/>
      </c>
      <c r="AA132">
        <f>HYPERLINK("https://klasma.github.io/Logging_0980/klagomål/A 53552-2021 FSC-klagomål.docx", "A 53552-2021")</f>
        <v/>
      </c>
      <c r="AB132">
        <f>HYPERLINK("https://klasma.github.io/Logging_0980/klagomålsmail/A 53552-2021 FSC-klagomål mail.docx", "A 53552-2021")</f>
        <v/>
      </c>
      <c r="AC132">
        <f>HYPERLINK("https://klasma.github.io/Logging_0980/tillsyn/A 53552-2021 tillsynsbegäran.docx", "A 53552-2021")</f>
        <v/>
      </c>
      <c r="AD132">
        <f>HYPERLINK("https://klasma.github.io/Logging_0980/tillsynsmail/A 53552-2021 tillsynsbegäran mail.docx", "A 53552-2021")</f>
        <v/>
      </c>
    </row>
    <row r="133" ht="15" customHeight="1">
      <c r="A133" t="inlineStr">
        <is>
          <t>A 12315-2024</t>
        </is>
      </c>
      <c r="B133" t="inlineStr">
        <is>
          <t>avverkningsanmälan</t>
        </is>
      </c>
      <c r="C133" t="inlineStr">
        <is>
          <t>Föryngringsavverkning</t>
        </is>
      </c>
      <c r="D133" s="1" t="n">
        <v>45378</v>
      </c>
      <c r="E133" s="1" t="n">
        <v>46254</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35574-2024</t>
        </is>
      </c>
      <c r="B134" t="inlineStr">
        <is>
          <t>avverkningsanmälan</t>
        </is>
      </c>
      <c r="C134" t="inlineStr">
        <is>
          <t>Föryngringsavverkning</t>
        </is>
      </c>
      <c r="D134" s="1" t="n">
        <v>45531</v>
      </c>
      <c r="E134" s="1" t="n">
        <v>46254</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t="n">
        <v>1</v>
      </c>
      <c r="V134" s="2" t="inlineStr">
        <is>
          <t>Svinrot
Kambräken
Murgröna</t>
        </is>
      </c>
      <c r="W134">
        <f>HYPERLINK("https://klasma.github.io/Logging_0980/artfynd/A 35574-2024 artfynd.xlsx", "A 35574-2024")</f>
        <v/>
      </c>
      <c r="X134">
        <f>HYPERLINK("https://klasma.github.io/Logging_0980/kartor/A 35574-2024 karta.png", "A 35574-2024")</f>
        <v/>
      </c>
      <c r="Y134">
        <f>HYPERLINK("https://klasma.github.io/Logging_0980/kartor_geotiff/A 35574-2024 georefererad karta.tif", "A 35574-2024")</f>
        <v/>
      </c>
      <c r="AA134">
        <f>HYPERLINK("https://klasma.github.io/Logging_0980/klagomål/A 35574-2024 FSC-klagomål.docx", "A 35574-2024")</f>
        <v/>
      </c>
      <c r="AB134">
        <f>HYPERLINK("https://klasma.github.io/Logging_0980/klagomålsmail/A 35574-2024 FSC-klagomål mail.docx", "A 35574-2024")</f>
        <v/>
      </c>
      <c r="AC134">
        <f>HYPERLINK("https://klasma.github.io/Logging_0980/tillsyn/A 35574-2024 tillsynsbegäran.docx", "A 35574-2024")</f>
        <v/>
      </c>
      <c r="AD134">
        <f>HYPERLINK("https://klasma.github.io/Logging_0980/tillsynsmail/A 35574-2024 tillsynsbegäran mail.docx", "A 35574-2024")</f>
        <v/>
      </c>
    </row>
    <row r="135" ht="15" customHeight="1">
      <c r="A135" t="inlineStr">
        <is>
          <t>A 43219-2023</t>
        </is>
      </c>
      <c r="B135" t="inlineStr">
        <is>
          <t>avverkningsanmälan</t>
        </is>
      </c>
      <c r="C135" t="inlineStr">
        <is>
          <t>Föryngringsavverkning</t>
        </is>
      </c>
      <c r="D135" s="1" t="n">
        <v>45183</v>
      </c>
      <c r="E135" s="1" t="n">
        <v>46254</v>
      </c>
      <c r="F135" t="inlineStr">
        <is>
          <t>GOTLANDS LÄN</t>
        </is>
      </c>
      <c r="G135" t="inlineStr">
        <is>
          <t>GOTLAND</t>
        </is>
      </c>
      <c r="I135" t="n">
        <v>3.6</v>
      </c>
      <c r="J135" t="n">
        <v>1</v>
      </c>
      <c r="K135" t="n">
        <v>0</v>
      </c>
      <c r="L135" t="n">
        <v>1</v>
      </c>
      <c r="M135" t="n">
        <v>1</v>
      </c>
      <c r="N135" t="n">
        <v>0</v>
      </c>
      <c r="O135" t="n">
        <v>0</v>
      </c>
      <c r="P135" t="n">
        <v>0</v>
      </c>
      <c r="Q135" t="n">
        <v>2</v>
      </c>
      <c r="R135" t="n">
        <v>1</v>
      </c>
      <c r="S135" t="n">
        <v>3</v>
      </c>
      <c r="T135" t="n">
        <v>3</v>
      </c>
      <c r="U135" t="n">
        <v>3</v>
      </c>
      <c r="V135" s="2" t="inlineStr">
        <is>
          <t>Gotlandsmåra
Axveronika
Skogsduva</t>
        </is>
      </c>
      <c r="W135">
        <f>HYPERLINK("https://klasma.github.io/Logging_0980/artfynd/A 43219-2023 artfynd.xlsx", "A 43219-2023")</f>
        <v/>
      </c>
      <c r="X135">
        <f>HYPERLINK("https://klasma.github.io/Logging_0980/kartor/A 43219-2023 karta.png", "A 43219-2023")</f>
        <v/>
      </c>
      <c r="Y135">
        <f>HYPERLINK("https://klasma.github.io/Logging_0980/kartor_geotiff/A 43219-2023 georefererad karta.tif", "A 43219-2023")</f>
        <v/>
      </c>
      <c r="AA135">
        <f>HYPERLINK("https://klasma.github.io/Logging_0980/klagomål/A 43219-2023 FSC-klagomål.docx", "A 43219-2023")</f>
        <v/>
      </c>
      <c r="AB135">
        <f>HYPERLINK("https://klasma.github.io/Logging_0980/klagomålsmail/A 43219-2023 FSC-klagomål mail.docx", "A 43219-2023")</f>
        <v/>
      </c>
      <c r="AC135">
        <f>HYPERLINK("https://klasma.github.io/Logging_0980/tillsyn/A 43219-2023 tillsynsbegäran.docx", "A 43219-2023")</f>
        <v/>
      </c>
      <c r="AD135">
        <f>HYPERLINK("https://klasma.github.io/Logging_0980/tillsynsmail/A 43219-2023 tillsynsbegäran mail.docx", "A 43219-2023")</f>
        <v/>
      </c>
    </row>
    <row r="136" ht="15" customHeight="1">
      <c r="A136" t="inlineStr">
        <is>
          <t>A 19322-2026</t>
        </is>
      </c>
      <c r="B136" t="inlineStr">
        <is>
          <t>avverkningsanmälan</t>
        </is>
      </c>
      <c r="C136" t="inlineStr">
        <is>
          <t>Avverkning för annat ändamål</t>
        </is>
      </c>
      <c r="D136" s="1" t="n">
        <v>46129</v>
      </c>
      <c r="E136" s="1" t="n">
        <v>46254</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63576-2021</t>
        </is>
      </c>
      <c r="B137" t="inlineStr">
        <is>
          <t>avverkningsanmälan</t>
        </is>
      </c>
      <c r="C137" t="inlineStr">
        <is>
          <t>Föryngringsavverkning</t>
        </is>
      </c>
      <c r="D137" s="1" t="n">
        <v>44508</v>
      </c>
      <c r="E137" s="1" t="n">
        <v>46254</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46254</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46254</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46254</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46254</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46254</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7070-2022</t>
        </is>
      </c>
      <c r="B143" t="inlineStr">
        <is>
          <t>avverkningsanmälan</t>
        </is>
      </c>
      <c r="C143" t="inlineStr">
        <is>
          <t>Föryngringsavverkning</t>
        </is>
      </c>
      <c r="D143" s="1" t="n">
        <v>44603</v>
      </c>
      <c r="E143" s="1" t="n">
        <v>46254</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t="n">
        <v>0</v>
      </c>
      <c r="V143" s="2" t="inlineStr">
        <is>
          <t>Kattfotslav
Blåmossa</t>
        </is>
      </c>
      <c r="W143">
        <f>HYPERLINK("https://klasma.github.io/Logging_0980/artfynd/A 7070-2022 artfynd.xlsx", "A 7070-2022")</f>
        <v/>
      </c>
      <c r="X143">
        <f>HYPERLINK("https://klasma.github.io/Logging_0980/kartor/A 7070-2022 karta.png", "A 7070-2022")</f>
        <v/>
      </c>
      <c r="Y143">
        <f>HYPERLINK("https://klasma.github.io/Logging_0980/kartor_geotiff/A 7070-2022 georefererad karta.tif", "A 7070-2022")</f>
        <v/>
      </c>
      <c r="AA143">
        <f>HYPERLINK("https://klasma.github.io/Logging_0980/klagomål/A 7070-2022 FSC-klagomål.docx", "A 7070-2022")</f>
        <v/>
      </c>
      <c r="AB143">
        <f>HYPERLINK("https://klasma.github.io/Logging_0980/klagomålsmail/A 7070-2022 FSC-klagomål mail.docx", "A 7070-2022")</f>
        <v/>
      </c>
      <c r="AC143">
        <f>HYPERLINK("https://klasma.github.io/Logging_0980/tillsyn/A 7070-2022 tillsynsbegäran.docx", "A 7070-2022")</f>
        <v/>
      </c>
      <c r="AD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46254</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46254</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883-2025</t>
        </is>
      </c>
      <c r="B146" t="inlineStr">
        <is>
          <t>avverkningsanmälan</t>
        </is>
      </c>
      <c r="C146" t="inlineStr">
        <is>
          <t>Föryngringsavverkning</t>
        </is>
      </c>
      <c r="D146" s="1" t="n">
        <v>45665</v>
      </c>
      <c r="E146" s="1" t="n">
        <v>46254</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49314-2024</t>
        </is>
      </c>
      <c r="B147" t="inlineStr">
        <is>
          <t>avverkningsanmälan</t>
        </is>
      </c>
      <c r="C147" t="inlineStr">
        <is>
          <t>Föryngringsavverkning</t>
        </is>
      </c>
      <c r="D147" s="1" t="n">
        <v>45595</v>
      </c>
      <c r="E147" s="1" t="n">
        <v>46254</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33011-2025</t>
        </is>
      </c>
      <c r="B148" t="inlineStr">
        <is>
          <t>avverkningsanmälan</t>
        </is>
      </c>
      <c r="C148" t="inlineStr">
        <is>
          <t>Föryngringsavverkning</t>
        </is>
      </c>
      <c r="D148" s="1" t="n">
        <v>45840</v>
      </c>
      <c r="E148" s="1" t="n">
        <v>46254</v>
      </c>
      <c r="F148" t="inlineStr">
        <is>
          <t>GOTLANDS LÄN</t>
        </is>
      </c>
      <c r="G148" t="inlineStr">
        <is>
          <t>GOTLAND</t>
        </is>
      </c>
      <c r="I148" t="n">
        <v>1.7</v>
      </c>
      <c r="J148" t="n">
        <v>2</v>
      </c>
      <c r="K148" t="n">
        <v>0</v>
      </c>
      <c r="L148" t="n">
        <v>1</v>
      </c>
      <c r="M148" t="n">
        <v>1</v>
      </c>
      <c r="N148" t="n">
        <v>0</v>
      </c>
      <c r="O148" t="n">
        <v>0</v>
      </c>
      <c r="P148" t="n">
        <v>0</v>
      </c>
      <c r="Q148" t="n">
        <v>2</v>
      </c>
      <c r="R148" t="n">
        <v>1</v>
      </c>
      <c r="S148" t="n">
        <v>2</v>
      </c>
      <c r="T148" t="n">
        <v>2</v>
      </c>
      <c r="U148" t="n">
        <v>0</v>
      </c>
      <c r="V148" s="2" t="inlineStr">
        <is>
          <t>Hasselsnok
Mindre hackspett</t>
        </is>
      </c>
      <c r="W148">
        <f>HYPERLINK("https://klasma.github.io/Logging_0980/artfynd/A 33011-2025 artfynd.xlsx", "A 33011-2025")</f>
        <v/>
      </c>
      <c r="X148">
        <f>HYPERLINK("https://klasma.github.io/Logging_0980/kartor/A 33011-2025 karta.png", "A 33011-2025")</f>
        <v/>
      </c>
      <c r="Y148">
        <f>HYPERLINK("https://klasma.github.io/Logging_0980/kartor_geotiff/A 33011-2025 georefererad karta.tif", "A 33011-2025")</f>
        <v/>
      </c>
      <c r="AA148">
        <f>HYPERLINK("https://klasma.github.io/Logging_0980/klagomål/A 33011-2025 FSC-klagomål.docx", "A 33011-2025")</f>
        <v/>
      </c>
      <c r="AB148">
        <f>HYPERLINK("https://klasma.github.io/Logging_0980/klagomålsmail/A 33011-2025 FSC-klagomål mail.docx", "A 33011-2025")</f>
        <v/>
      </c>
      <c r="AC148">
        <f>HYPERLINK("https://klasma.github.io/Logging_0980/tillsyn/A 33011-2025 tillsynsbegäran.docx", "A 33011-2025")</f>
        <v/>
      </c>
      <c r="AD148">
        <f>HYPERLINK("https://klasma.github.io/Logging_0980/tillsynsmail/A 33011-2025 tillsynsbegäran mail.docx", "A 33011-2025")</f>
        <v/>
      </c>
      <c r="AE148">
        <f>HYPERLINK("https://klasma.github.io/Logging_0980/fåglar/A 33011-2025 prioriterade fågelarter.docx", "A 33011-2025")</f>
        <v/>
      </c>
    </row>
    <row r="149" ht="15" customHeight="1">
      <c r="A149" t="inlineStr">
        <is>
          <t>A 27621-2026</t>
        </is>
      </c>
      <c r="B149" t="inlineStr">
        <is>
          <t>avverkningsanmälan</t>
        </is>
      </c>
      <c r="C149" t="inlineStr">
        <is>
          <t>Föryngringsavverkning</t>
        </is>
      </c>
      <c r="D149" s="1" t="n">
        <v>46190</v>
      </c>
      <c r="E149" s="1" t="n">
        <v>46254</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26077-2024</t>
        </is>
      </c>
      <c r="B150" t="inlineStr">
        <is>
          <t>avverkningsanmälan</t>
        </is>
      </c>
      <c r="C150" t="inlineStr">
        <is>
          <t>Avverkning för annat ändamål</t>
        </is>
      </c>
      <c r="D150" s="1" t="n">
        <v>45467</v>
      </c>
      <c r="E150" s="1" t="n">
        <v>46254</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t="n">
        <v>0</v>
      </c>
      <c r="V150" s="2" t="inlineStr">
        <is>
          <t>Ask
Tallticka</t>
        </is>
      </c>
      <c r="W150">
        <f>HYPERLINK("https://klasma.github.io/Logging_0980/artfynd/A 26077-2024 artfynd.xlsx", "A 26077-2024")</f>
        <v/>
      </c>
      <c r="X150">
        <f>HYPERLINK("https://klasma.github.io/Logging_0980/kartor/A 26077-2024 karta.png", "A 26077-2024")</f>
        <v/>
      </c>
      <c r="Y150">
        <f>HYPERLINK("https://klasma.github.io/Logging_0980/kartor_geotiff/A 26077-2024 georefererad karta.tif", "A 26077-2024")</f>
        <v/>
      </c>
      <c r="AA150">
        <f>HYPERLINK("https://klasma.github.io/Logging_0980/klagomål/A 26077-2024 FSC-klagomål.docx", "A 26077-2024")</f>
        <v/>
      </c>
      <c r="AB150">
        <f>HYPERLINK("https://klasma.github.io/Logging_0980/klagomålsmail/A 26077-2024 FSC-klagomål mail.docx", "A 26077-2024")</f>
        <v/>
      </c>
      <c r="AC150">
        <f>HYPERLINK("https://klasma.github.io/Logging_0980/tillsyn/A 26077-2024 tillsynsbegäran.docx", "A 26077-2024")</f>
        <v/>
      </c>
      <c r="AD150">
        <f>HYPERLINK("https://klasma.github.io/Logging_0980/tillsynsmail/A 26077-2024 tillsynsbegäran mail.docx", "A 26077-2024")</f>
        <v/>
      </c>
    </row>
    <row r="151" ht="15" customHeight="1">
      <c r="A151" t="inlineStr">
        <is>
          <t>A 30470-2026</t>
        </is>
      </c>
      <c r="B151" t="inlineStr">
        <is>
          <t>avverkningsanmälan</t>
        </is>
      </c>
      <c r="C151" t="inlineStr">
        <is>
          <t>Föryngringsavverkning</t>
        </is>
      </c>
      <c r="D151" s="1" t="n">
        <v>46209</v>
      </c>
      <c r="E151" s="1" t="n">
        <v>46254</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8036-2022</t>
        </is>
      </c>
      <c r="B152" t="inlineStr">
        <is>
          <t>avverkningsanmälan</t>
        </is>
      </c>
      <c r="C152" t="inlineStr">
        <is>
          <t>Föryngringsavverkning</t>
        </is>
      </c>
      <c r="D152" s="1" t="n">
        <v>44609</v>
      </c>
      <c r="E152" s="1" t="n">
        <v>46254</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62760-2025</t>
        </is>
      </c>
      <c r="B153" t="inlineStr">
        <is>
          <t>avverkningsanmälan</t>
        </is>
      </c>
      <c r="C153" t="inlineStr">
        <is>
          <t>Föryngringsavverkning</t>
        </is>
      </c>
      <c r="D153" s="1" t="n">
        <v>46008</v>
      </c>
      <c r="E153" s="1" t="n">
        <v>46254</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t="n">
        <v>0</v>
      </c>
      <c r="V153" s="2" t="inlineStr">
        <is>
          <t>Vårärt
Nästrot</t>
        </is>
      </c>
      <c r="W153">
        <f>HYPERLINK("https://klasma.github.io/Logging_0980/artfynd/A 62760-2025 artfynd.xlsx", "A 62760-2025")</f>
        <v/>
      </c>
      <c r="X153">
        <f>HYPERLINK("https://klasma.github.io/Logging_0980/kartor/A 62760-2025 karta.png", "A 62760-2025")</f>
        <v/>
      </c>
      <c r="Y153">
        <f>HYPERLINK("https://klasma.github.io/Logging_0980/kartor_geotiff/A 62760-2025 georefererad karta.tif", "A 62760-2025")</f>
        <v/>
      </c>
      <c r="AA153">
        <f>HYPERLINK("https://klasma.github.io/Logging_0980/klagomål/A 62760-2025 FSC-klagomål.docx", "A 62760-2025")</f>
        <v/>
      </c>
      <c r="AB153">
        <f>HYPERLINK("https://klasma.github.io/Logging_0980/klagomålsmail/A 62760-2025 FSC-klagomål mail.docx", "A 62760-2025")</f>
        <v/>
      </c>
      <c r="AC153">
        <f>HYPERLINK("https://klasma.github.io/Logging_0980/tillsyn/A 62760-2025 tillsynsbegäran.docx", "A 62760-2025")</f>
        <v/>
      </c>
      <c r="AD153">
        <f>HYPERLINK("https://klasma.github.io/Logging_0980/tillsynsmail/A 62760-2025 tillsynsbegäran mail.docx", "A 62760-2025")</f>
        <v/>
      </c>
    </row>
    <row r="154" ht="15" customHeight="1">
      <c r="A154" t="inlineStr">
        <is>
          <t>A 11708-2026</t>
        </is>
      </c>
      <c r="B154" t="inlineStr">
        <is>
          <t>avverkningsanmälan</t>
        </is>
      </c>
      <c r="C154" t="inlineStr">
        <is>
          <t>Avverkning för annat ändamål</t>
        </is>
      </c>
      <c r="D154" s="1" t="n">
        <v>46084</v>
      </c>
      <c r="E154" s="1" t="n">
        <v>46254</v>
      </c>
      <c r="F154" t="inlineStr">
        <is>
          <t>GOTLANDS LÄN</t>
        </is>
      </c>
      <c r="G154" t="inlineStr">
        <is>
          <t>GOTLAND</t>
        </is>
      </c>
      <c r="I154" t="n">
        <v>8.4</v>
      </c>
      <c r="J154" t="n">
        <v>1</v>
      </c>
      <c r="K154" t="n">
        <v>0</v>
      </c>
      <c r="L154" t="n">
        <v>0</v>
      </c>
      <c r="M154" t="n">
        <v>1</v>
      </c>
      <c r="N154" t="n">
        <v>0</v>
      </c>
      <c r="O154" t="n">
        <v>0</v>
      </c>
      <c r="P154" t="n">
        <v>0</v>
      </c>
      <c r="Q154" t="n">
        <v>1</v>
      </c>
      <c r="R154" t="n">
        <v>1</v>
      </c>
      <c r="S154" t="n">
        <v>2</v>
      </c>
      <c r="T154" t="n">
        <v>3</v>
      </c>
      <c r="U154" t="n">
        <v>1</v>
      </c>
      <c r="V154" s="2" t="inlineStr">
        <is>
          <t>Toppjungfrulin
Bredarun</t>
        </is>
      </c>
      <c r="W154">
        <f>HYPERLINK("https://klasma.github.io/Logging_0980/artfynd/A 11708-2026 artfynd.xlsx", "A 11708-2026")</f>
        <v/>
      </c>
      <c r="X154">
        <f>HYPERLINK("https://klasma.github.io/Logging_0980/kartor/A 11708-2026 karta.png", "A 11708-2026")</f>
        <v/>
      </c>
      <c r="Y154">
        <f>HYPERLINK("https://klasma.github.io/Logging_0980/kartor_geotiff/A 11708-2026 georefererad karta.tif", "A 11708-2026")</f>
        <v/>
      </c>
      <c r="AA154">
        <f>HYPERLINK("https://klasma.github.io/Logging_0980/klagomål/A 11708-2026 FSC-klagomål.docx", "A 11708-2026")</f>
        <v/>
      </c>
      <c r="AB154">
        <f>HYPERLINK("https://klasma.github.io/Logging_0980/klagomålsmail/A 11708-2026 FSC-klagomål mail.docx", "A 11708-2026")</f>
        <v/>
      </c>
      <c r="AC154">
        <f>HYPERLINK("https://klasma.github.io/Logging_0980/tillsyn/A 11708-2026 tillsynsbegäran.docx", "A 11708-2026")</f>
        <v/>
      </c>
      <c r="AD154">
        <f>HYPERLINK("https://klasma.github.io/Logging_0980/tillsynsmail/A 11708-2026 tillsynsbegäran mail.docx", "A 11708-2026")</f>
        <v/>
      </c>
    </row>
    <row r="155" ht="15" customHeight="1">
      <c r="A155" t="inlineStr">
        <is>
          <t>A 28276-2024</t>
        </is>
      </c>
      <c r="B155" t="inlineStr">
        <is>
          <t>avverkningsanmälan</t>
        </is>
      </c>
      <c r="C155" t="inlineStr">
        <is>
          <t>Avverkning för annat ändamål</t>
        </is>
      </c>
      <c r="D155" s="1" t="n">
        <v>45477</v>
      </c>
      <c r="E155" s="1" t="n">
        <v>46254</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46254</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46254</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46254</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46254</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46254</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22883-2024</t>
        </is>
      </c>
      <c r="B161" t="inlineStr">
        <is>
          <t>avverkningsanmälan</t>
        </is>
      </c>
      <c r="C161" t="inlineStr">
        <is>
          <t>Föryngringsavverkning</t>
        </is>
      </c>
      <c r="D161" s="1" t="n">
        <v>45448</v>
      </c>
      <c r="E161" s="1" t="n">
        <v>46254</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63229-2021</t>
        </is>
      </c>
      <c r="B162" t="inlineStr">
        <is>
          <t>avverkningsanmälan</t>
        </is>
      </c>
      <c r="C162" t="inlineStr">
        <is>
          <t>Föryngringsavverkning</t>
        </is>
      </c>
      <c r="D162" s="1" t="n">
        <v>44508</v>
      </c>
      <c r="E162" s="1" t="n">
        <v>46254</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t="n">
        <v>0</v>
      </c>
      <c r="V162" s="2" t="inlineStr">
        <is>
          <t>Backtimjan</t>
        </is>
      </c>
      <c r="W162">
        <f>HYPERLINK("https://klasma.github.io/Logging_0980/artfynd/A 63229-2021 artfynd.xlsx", "A 63229-2021")</f>
        <v/>
      </c>
      <c r="X162">
        <f>HYPERLINK("https://klasma.github.io/Logging_0980/kartor/A 63229-2021 karta.png", "A 63229-2021")</f>
        <v/>
      </c>
      <c r="Y162">
        <f>HYPERLINK("https://klasma.github.io/Logging_0980/kartor_geotiff/A 63229-2021 georefererad karta.tif", "A 63229-2021")</f>
        <v/>
      </c>
      <c r="AA162">
        <f>HYPERLINK("https://klasma.github.io/Logging_0980/klagomål/A 63229-2021 FSC-klagomål.docx", "A 63229-2021")</f>
        <v/>
      </c>
      <c r="AB162">
        <f>HYPERLINK("https://klasma.github.io/Logging_0980/klagomålsmail/A 63229-2021 FSC-klagomål mail.docx", "A 63229-2021")</f>
        <v/>
      </c>
      <c r="AC162">
        <f>HYPERLINK("https://klasma.github.io/Logging_0980/tillsyn/A 63229-2021 tillsynsbegäran.docx", "A 63229-2021")</f>
        <v/>
      </c>
      <c r="AD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46254</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t="n">
        <v>0</v>
      </c>
      <c r="V163" s="2" t="inlineStr">
        <is>
          <t>Slät taggsvamp</t>
        </is>
      </c>
      <c r="W163">
        <f>HYPERLINK("https://klasma.github.io/Logging_0980/artfynd/A 24245-2022 artfynd.xlsx", "A 24245-2022")</f>
        <v/>
      </c>
      <c r="X163">
        <f>HYPERLINK("https://klasma.github.io/Logging_0980/kartor/A 24245-2022 karta.png", "A 24245-2022")</f>
        <v/>
      </c>
      <c r="Y163">
        <f>HYPERLINK("https://klasma.github.io/Logging_0980/kartor_geotiff/A 24245-2022 georefererad karta.tif", "A 24245-2022")</f>
        <v/>
      </c>
      <c r="AA163">
        <f>HYPERLINK("https://klasma.github.io/Logging_0980/klagomål/A 24245-2022 FSC-klagomål.docx", "A 24245-2022")</f>
        <v/>
      </c>
      <c r="AB163">
        <f>HYPERLINK("https://klasma.github.io/Logging_0980/klagomålsmail/A 24245-2022 FSC-klagomål mail.docx", "A 24245-2022")</f>
        <v/>
      </c>
      <c r="AC163">
        <f>HYPERLINK("https://klasma.github.io/Logging_0980/tillsyn/A 24245-2022 tillsynsbegäran.docx", "A 24245-2022")</f>
        <v/>
      </c>
      <c r="AD163">
        <f>HYPERLINK("https://klasma.github.io/Logging_0980/tillsynsmail/A 24245-2022 tillsynsbegäran mail.docx", "A 24245-2022")</f>
        <v/>
      </c>
    </row>
    <row r="164" ht="15" customHeight="1">
      <c r="A164" t="inlineStr">
        <is>
          <t>A 27593-2023</t>
        </is>
      </c>
      <c r="B164" t="inlineStr">
        <is>
          <t>avverkningsanmälan</t>
        </is>
      </c>
      <c r="C164" t="inlineStr">
        <is>
          <t>Avverkning för annat ändamål</t>
        </is>
      </c>
      <c r="D164" s="1" t="n">
        <v>45097</v>
      </c>
      <c r="E164" s="1" t="n">
        <v>46254</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t="n">
        <v>1</v>
      </c>
      <c r="V164" s="2" t="inlineStr">
        <is>
          <t>Spjutsporre</t>
        </is>
      </c>
      <c r="W164">
        <f>HYPERLINK("https://klasma.github.io/Logging_0980/artfynd/A 27593-2023 artfynd.xlsx", "A 27593-2023")</f>
        <v/>
      </c>
      <c r="X164">
        <f>HYPERLINK("https://klasma.github.io/Logging_0980/kartor/A 27593-2023 karta.png", "A 27593-2023")</f>
        <v/>
      </c>
      <c r="Y164">
        <f>HYPERLINK("https://klasma.github.io/Logging_0980/kartor_geotiff/A 27593-2023 georefererad karta.tif", "A 27593-2023")</f>
        <v/>
      </c>
      <c r="AA164">
        <f>HYPERLINK("https://klasma.github.io/Logging_0980/klagomål/A 27593-2023 FSC-klagomål.docx", "A 27593-2023")</f>
        <v/>
      </c>
      <c r="AB164">
        <f>HYPERLINK("https://klasma.github.io/Logging_0980/klagomålsmail/A 27593-2023 FSC-klagomål mail.docx", "A 27593-2023")</f>
        <v/>
      </c>
      <c r="AC164">
        <f>HYPERLINK("https://klasma.github.io/Logging_0980/tillsyn/A 27593-2023 tillsynsbegäran.docx", "A 27593-2023")</f>
        <v/>
      </c>
      <c r="AD164">
        <f>HYPERLINK("https://klasma.github.io/Logging_0980/tillsynsmail/A 27593-2023 tillsynsbegäran mail.docx", "A 27593-2023")</f>
        <v/>
      </c>
    </row>
    <row r="165" ht="15" customHeight="1">
      <c r="A165" t="inlineStr">
        <is>
          <t>A 49693-2023</t>
        </is>
      </c>
      <c r="B165" t="inlineStr">
        <is>
          <t>avverkningsanmälan</t>
        </is>
      </c>
      <c r="C165" t="inlineStr">
        <is>
          <t>Föryngringsavverkning</t>
        </is>
      </c>
      <c r="D165" s="1" t="n">
        <v>45212</v>
      </c>
      <c r="E165" s="1" t="n">
        <v>46254</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57534-2022</t>
        </is>
      </c>
      <c r="B166" t="inlineStr">
        <is>
          <t>avverkningsanmälan</t>
        </is>
      </c>
      <c r="C166" t="inlineStr">
        <is>
          <t>Föryngringsavverkning</t>
        </is>
      </c>
      <c r="D166" s="1" t="n">
        <v>44896</v>
      </c>
      <c r="E166" s="1" t="n">
        <v>46254</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Myskmadra</t>
        </is>
      </c>
      <c r="W166">
        <f>HYPERLINK("https://klasma.github.io/Logging_0980/artfynd/A 57534-2022 artfynd.xlsx", "A 57534-2022")</f>
        <v/>
      </c>
      <c r="X166">
        <f>HYPERLINK("https://klasma.github.io/Logging_0980/kartor/A 57534-2022 karta.png", "A 57534-2022")</f>
        <v/>
      </c>
      <c r="Y166">
        <f>HYPERLINK("https://klasma.github.io/Logging_0980/kartor_geotiff/A 57534-2022 georefererad karta.tif", "A 57534-2022")</f>
        <v/>
      </c>
      <c r="AA166">
        <f>HYPERLINK("https://klasma.github.io/Logging_0980/klagomål/A 57534-2022 FSC-klagomål.docx", "A 57534-2022")</f>
        <v/>
      </c>
      <c r="AB166">
        <f>HYPERLINK("https://klasma.github.io/Logging_0980/klagomålsmail/A 57534-2022 FSC-klagomål mail.docx", "A 57534-2022")</f>
        <v/>
      </c>
      <c r="AC166">
        <f>HYPERLINK("https://klasma.github.io/Logging_0980/tillsyn/A 57534-2022 tillsynsbegäran.docx", "A 57534-2022")</f>
        <v/>
      </c>
      <c r="AD166">
        <f>HYPERLINK("https://klasma.github.io/Logging_0980/tillsynsmail/A 57534-2022 tillsynsbegäran mail.docx", "A 57534-2022")</f>
        <v/>
      </c>
    </row>
    <row r="167" ht="15" customHeight="1">
      <c r="A167" t="inlineStr">
        <is>
          <t>A 5751-2024</t>
        </is>
      </c>
      <c r="B167" t="inlineStr">
        <is>
          <t>avverkningsanmälan</t>
        </is>
      </c>
      <c r="C167" t="inlineStr">
        <is>
          <t>Avverkning för att bevara och utveckla /försöksver</t>
        </is>
      </c>
      <c r="D167" s="1" t="n">
        <v>45335</v>
      </c>
      <c r="E167" s="1" t="n">
        <v>46254</v>
      </c>
      <c r="F167" t="inlineStr">
        <is>
          <t>GOTLANDS LÄN</t>
        </is>
      </c>
      <c r="G167" t="inlineStr">
        <is>
          <t>GOTLAND</t>
        </is>
      </c>
      <c r="I167" t="n">
        <v>4.2</v>
      </c>
      <c r="J167" t="n">
        <v>0</v>
      </c>
      <c r="K167" t="n">
        <v>0</v>
      </c>
      <c r="L167" t="n">
        <v>1</v>
      </c>
      <c r="M167" t="n">
        <v>0</v>
      </c>
      <c r="N167" t="n">
        <v>0</v>
      </c>
      <c r="O167" t="n">
        <v>0</v>
      </c>
      <c r="P167" t="n">
        <v>0</v>
      </c>
      <c r="Q167" t="n">
        <v>1</v>
      </c>
      <c r="R167" t="n">
        <v>0</v>
      </c>
      <c r="S167" t="n">
        <v>1</v>
      </c>
      <c r="T167" t="n">
        <v>1</v>
      </c>
      <c r="U167" t="n">
        <v>1</v>
      </c>
      <c r="V167" s="2" t="inlineStr">
        <is>
          <t>Svinrot</t>
        </is>
      </c>
      <c r="W167">
        <f>HYPERLINK("https://klasma.github.io/Logging_0980/artfynd/A 5751-2024 artfynd.xlsx", "A 5751-2024")</f>
        <v/>
      </c>
      <c r="X167">
        <f>HYPERLINK("https://klasma.github.io/Logging_0980/kartor/A 5751-2024 karta.png", "A 5751-2024")</f>
        <v/>
      </c>
      <c r="Y167">
        <f>HYPERLINK("https://klasma.github.io/Logging_0980/kartor_geotiff/A 5751-2024 georefererad karta.tif", "A 5751-2024")</f>
        <v/>
      </c>
      <c r="AA167">
        <f>HYPERLINK("https://klasma.github.io/Logging_0980/klagomål/A 5751-2024 FSC-klagomål.docx", "A 5751-2024")</f>
        <v/>
      </c>
      <c r="AB167">
        <f>HYPERLINK("https://klasma.github.io/Logging_0980/klagomålsmail/A 5751-2024 FSC-klagomål mail.docx", "A 5751-2024")</f>
        <v/>
      </c>
      <c r="AC167">
        <f>HYPERLINK("https://klasma.github.io/Logging_0980/tillsyn/A 5751-2024 tillsynsbegäran.docx", "A 5751-2024")</f>
        <v/>
      </c>
      <c r="AD167">
        <f>HYPERLINK("https://klasma.github.io/Logging_0980/tillsynsmail/A 5751-2024 tillsynsbegäran mail.docx", "A 5751-2024")</f>
        <v/>
      </c>
    </row>
    <row r="168" ht="15" customHeight="1">
      <c r="A168" t="inlineStr">
        <is>
          <t>A 6303-2024</t>
        </is>
      </c>
      <c r="B168" t="inlineStr">
        <is>
          <t>avverkningsanmälan</t>
        </is>
      </c>
      <c r="C168" t="inlineStr">
        <is>
          <t>Föryngringsavverkning</t>
        </is>
      </c>
      <c r="D168" s="1" t="n">
        <v>45338</v>
      </c>
      <c r="E168" s="1" t="n">
        <v>46254</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46254</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25977-2024</t>
        </is>
      </c>
      <c r="B170" t="inlineStr">
        <is>
          <t>avverkningsanmälan</t>
        </is>
      </c>
      <c r="C170" t="inlineStr">
        <is>
          <t>Föryngringsavverkning</t>
        </is>
      </c>
      <c r="D170" s="1" t="n">
        <v>45467</v>
      </c>
      <c r="E170" s="1" t="n">
        <v>46254</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40294-2022</t>
        </is>
      </c>
      <c r="B171" t="inlineStr">
        <is>
          <t>avverkningsanmälan</t>
        </is>
      </c>
      <c r="C171" t="inlineStr">
        <is>
          <t>Föryngringsavverkning</t>
        </is>
      </c>
      <c r="D171" s="1" t="n">
        <v>44821</v>
      </c>
      <c r="E171" s="1" t="n">
        <v>46254</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46254</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947-2023</t>
        </is>
      </c>
      <c r="B173" t="inlineStr">
        <is>
          <t>avverkningsanmälan</t>
        </is>
      </c>
      <c r="C173" t="inlineStr">
        <is>
          <t>Föryngringsavverkning</t>
        </is>
      </c>
      <c r="D173" s="1" t="n">
        <v>44934</v>
      </c>
      <c r="E173" s="1" t="n">
        <v>46254</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46189-2022</t>
        </is>
      </c>
      <c r="B174" t="inlineStr">
        <is>
          <t>avverkningsanmälan</t>
        </is>
      </c>
      <c r="C174" t="inlineStr">
        <is>
          <t>Avverkning för annat ändamål</t>
        </is>
      </c>
      <c r="D174" s="1" t="n">
        <v>44847</v>
      </c>
      <c r="E174" s="1" t="n">
        <v>46254</v>
      </c>
      <c r="F174" t="inlineStr">
        <is>
          <t>GOTLANDS LÄN</t>
        </is>
      </c>
      <c r="G174" t="inlineStr">
        <is>
          <t>GOTLAND</t>
        </is>
      </c>
      <c r="I174" t="n">
        <v>0.4</v>
      </c>
      <c r="J174" t="n">
        <v>0</v>
      </c>
      <c r="K174" t="n">
        <v>0</v>
      </c>
      <c r="L174" t="n">
        <v>1</v>
      </c>
      <c r="M174" t="n">
        <v>0</v>
      </c>
      <c r="N174" t="n">
        <v>0</v>
      </c>
      <c r="O174" t="n">
        <v>0</v>
      </c>
      <c r="P174" t="n">
        <v>0</v>
      </c>
      <c r="Q174" t="n">
        <v>1</v>
      </c>
      <c r="R174" t="n">
        <v>0</v>
      </c>
      <c r="S174" t="n">
        <v>1</v>
      </c>
      <c r="T174" t="n">
        <v>1</v>
      </c>
      <c r="U174" t="n">
        <v>1</v>
      </c>
      <c r="V174" s="2" t="inlineStr">
        <is>
          <t>Stjälkröksvamp</t>
        </is>
      </c>
      <c r="W174">
        <f>HYPERLINK("https://klasma.github.io/Logging_0980/artfynd/A 46189-2022 artfynd.xlsx", "A 46189-2022")</f>
        <v/>
      </c>
      <c r="X174">
        <f>HYPERLINK("https://klasma.github.io/Logging_0980/kartor/A 46189-2022 karta.png", "A 46189-2022")</f>
        <v/>
      </c>
      <c r="Y174">
        <f>HYPERLINK("https://klasma.github.io/Logging_0980/kartor_geotiff/A 46189-2022 georefererad karta.tif", "A 46189-2022")</f>
        <v/>
      </c>
      <c r="AA174">
        <f>HYPERLINK("https://klasma.github.io/Logging_0980/klagomål/A 46189-2022 FSC-klagomål.docx", "A 46189-2022")</f>
        <v/>
      </c>
      <c r="AB174">
        <f>HYPERLINK("https://klasma.github.io/Logging_0980/klagomålsmail/A 46189-2022 FSC-klagomål mail.docx", "A 46189-2022")</f>
        <v/>
      </c>
      <c r="AC174">
        <f>HYPERLINK("https://klasma.github.io/Logging_0980/tillsyn/A 46189-2022 tillsynsbegäran.docx", "A 46189-2022")</f>
        <v/>
      </c>
      <c r="AD174">
        <f>HYPERLINK("https://klasma.github.io/Logging_0980/tillsynsmail/A 46189-2022 tillsynsbegäran mail.docx", "A 46189-2022")</f>
        <v/>
      </c>
    </row>
    <row r="175" ht="15" customHeight="1">
      <c r="A175" t="inlineStr">
        <is>
          <t>A 7042-2023</t>
        </is>
      </c>
      <c r="B175" t="inlineStr">
        <is>
          <t>avverkningsanmälan</t>
        </is>
      </c>
      <c r="C175" t="inlineStr">
        <is>
          <t>Föryngringsavverkning</t>
        </is>
      </c>
      <c r="D175" s="1" t="n">
        <v>44968</v>
      </c>
      <c r="E175" s="1" t="n">
        <v>46254</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21396-2026</t>
        </is>
      </c>
      <c r="B176" t="inlineStr">
        <is>
          <t>avverkningsanmälan</t>
        </is>
      </c>
      <c r="C176" t="inlineStr">
        <is>
          <t>Föryngringsavverkning</t>
        </is>
      </c>
      <c r="D176" s="1" t="n">
        <v>46148</v>
      </c>
      <c r="E176" s="1" t="n">
        <v>46254</v>
      </c>
      <c r="F176" t="inlineStr">
        <is>
          <t>GOTLANDS LÄN</t>
        </is>
      </c>
      <c r="G176" t="inlineStr">
        <is>
          <t>GOTLAND</t>
        </is>
      </c>
      <c r="I176" t="n">
        <v>6.1</v>
      </c>
      <c r="J176" t="n">
        <v>0</v>
      </c>
      <c r="K176" t="n">
        <v>0</v>
      </c>
      <c r="L176" t="n">
        <v>0</v>
      </c>
      <c r="M176" t="n">
        <v>1</v>
      </c>
      <c r="N176" t="n">
        <v>0</v>
      </c>
      <c r="O176" t="n">
        <v>0</v>
      </c>
      <c r="P176" t="n">
        <v>0</v>
      </c>
      <c r="Q176" t="n">
        <v>1</v>
      </c>
      <c r="R176" t="n">
        <v>1</v>
      </c>
      <c r="S176" t="n">
        <v>1</v>
      </c>
      <c r="T176" t="n">
        <v>1</v>
      </c>
      <c r="U176" t="n">
        <v>0</v>
      </c>
      <c r="V176" s="2" t="inlineStr">
        <is>
          <t>Oxhorndyvel</t>
        </is>
      </c>
      <c r="W176">
        <f>HYPERLINK("https://klasma.github.io/Logging_0980/artfynd/A 21396-2026 artfynd.xlsx", "A 21396-2026")</f>
        <v/>
      </c>
      <c r="X176">
        <f>HYPERLINK("https://klasma.github.io/Logging_0980/kartor/A 21396-2026 karta.png", "A 21396-2026")</f>
        <v/>
      </c>
      <c r="Y176">
        <f>HYPERLINK("https://klasma.github.io/Logging_0980/kartor_geotiff/A 21396-2026 georefererad karta.tif", "A 21396-2026")</f>
        <v/>
      </c>
      <c r="AA176">
        <f>HYPERLINK("https://klasma.github.io/Logging_0980/klagomål/A 21396-2026 FSC-klagomål.docx", "A 21396-2026")</f>
        <v/>
      </c>
      <c r="AB176">
        <f>HYPERLINK("https://klasma.github.io/Logging_0980/klagomålsmail/A 21396-2026 FSC-klagomål mail.docx", "A 21396-2026")</f>
        <v/>
      </c>
      <c r="AC176">
        <f>HYPERLINK("https://klasma.github.io/Logging_0980/tillsyn/A 21396-2026 tillsynsbegäran.docx", "A 21396-2026")</f>
        <v/>
      </c>
      <c r="AD176">
        <f>HYPERLINK("https://klasma.github.io/Logging_0980/tillsynsmail/A 21396-2026 tillsynsbegäran mail.docx", "A 21396-2026")</f>
        <v/>
      </c>
    </row>
    <row r="177" ht="15" customHeight="1">
      <c r="A177" t="inlineStr">
        <is>
          <t>A 46545-2024</t>
        </is>
      </c>
      <c r="B177" t="inlineStr">
        <is>
          <t>avverkningsanmälan</t>
        </is>
      </c>
      <c r="C177" t="inlineStr">
        <is>
          <t>Föryngringsavverkning</t>
        </is>
      </c>
      <c r="D177" s="1" t="n">
        <v>45582</v>
      </c>
      <c r="E177" s="1" t="n">
        <v>46254</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11982-2026</t>
        </is>
      </c>
      <c r="B178" t="inlineStr">
        <is>
          <t>avverkningsanmälan</t>
        </is>
      </c>
      <c r="C178" t="inlineStr">
        <is>
          <t>Föryngringsavverkning</t>
        </is>
      </c>
      <c r="D178" s="1" t="n">
        <v>46085</v>
      </c>
      <c r="E178" s="1" t="n">
        <v>46254</v>
      </c>
      <c r="F178" t="inlineStr">
        <is>
          <t>GOTLANDS LÄN</t>
        </is>
      </c>
      <c r="G178" t="inlineStr">
        <is>
          <t>GOTLAND</t>
        </is>
      </c>
      <c r="I178" t="n">
        <v>2.2</v>
      </c>
      <c r="J178" t="n">
        <v>0</v>
      </c>
      <c r="K178" t="n">
        <v>0</v>
      </c>
      <c r="L178" t="n">
        <v>1</v>
      </c>
      <c r="M178" t="n">
        <v>0</v>
      </c>
      <c r="N178" t="n">
        <v>0</v>
      </c>
      <c r="O178" t="n">
        <v>0</v>
      </c>
      <c r="P178" t="n">
        <v>0</v>
      </c>
      <c r="Q178" t="n">
        <v>1</v>
      </c>
      <c r="R178" t="n">
        <v>0</v>
      </c>
      <c r="S178" t="n">
        <v>1</v>
      </c>
      <c r="T178" t="n">
        <v>1</v>
      </c>
      <c r="U178" t="n">
        <v>0</v>
      </c>
      <c r="V178" s="2" t="inlineStr">
        <is>
          <t>Småtörel</t>
        </is>
      </c>
      <c r="W178">
        <f>HYPERLINK("https://klasma.github.io/Logging_0980/artfynd/A 11982-2026 artfynd.xlsx", "A 11982-2026")</f>
        <v/>
      </c>
      <c r="X178">
        <f>HYPERLINK("https://klasma.github.io/Logging_0980/kartor/A 11982-2026 karta.png", "A 11982-2026")</f>
        <v/>
      </c>
      <c r="Y178">
        <f>HYPERLINK("https://klasma.github.io/Logging_0980/kartor_geotiff/A 11982-2026 georefererad karta.tif", "A 11982-2026")</f>
        <v/>
      </c>
      <c r="AA178">
        <f>HYPERLINK("https://klasma.github.io/Logging_0980/klagomål/A 11982-2026 FSC-klagomål.docx", "A 11982-2026")</f>
        <v/>
      </c>
      <c r="AB178">
        <f>HYPERLINK("https://klasma.github.io/Logging_0980/klagomålsmail/A 11982-2026 FSC-klagomål mail.docx", "A 11982-2026")</f>
        <v/>
      </c>
      <c r="AC178">
        <f>HYPERLINK("https://klasma.github.io/Logging_0980/tillsyn/A 11982-2026 tillsynsbegäran.docx", "A 11982-2026")</f>
        <v/>
      </c>
      <c r="AD178">
        <f>HYPERLINK("https://klasma.github.io/Logging_0980/tillsynsmail/A 11982-2026 tillsynsbegäran mail.docx", "A 11982-2026")</f>
        <v/>
      </c>
    </row>
    <row r="179" ht="15" customHeight="1">
      <c r="A179" t="inlineStr">
        <is>
          <t>A 5863-2026</t>
        </is>
      </c>
      <c r="B179" t="inlineStr">
        <is>
          <t>avverkningsanmälan</t>
        </is>
      </c>
      <c r="C179" t="inlineStr">
        <is>
          <t>Föryngringsavverkning</t>
        </is>
      </c>
      <c r="D179" s="1" t="n">
        <v>46052</v>
      </c>
      <c r="E179" s="1" t="n">
        <v>46254</v>
      </c>
      <c r="F179" t="inlineStr">
        <is>
          <t>GOTLANDS LÄN</t>
        </is>
      </c>
      <c r="G179" t="inlineStr">
        <is>
          <t>GOTLAND</t>
        </is>
      </c>
      <c r="I179" t="n">
        <v>1.8</v>
      </c>
      <c r="J179" t="n">
        <v>1</v>
      </c>
      <c r="K179" t="n">
        <v>0</v>
      </c>
      <c r="L179" t="n">
        <v>1</v>
      </c>
      <c r="M179" t="n">
        <v>0</v>
      </c>
      <c r="N179" t="n">
        <v>0</v>
      </c>
      <c r="O179" t="n">
        <v>0</v>
      </c>
      <c r="P179" t="n">
        <v>0</v>
      </c>
      <c r="Q179" t="n">
        <v>1</v>
      </c>
      <c r="R179" t="n">
        <v>0</v>
      </c>
      <c r="S179" t="n">
        <v>1</v>
      </c>
      <c r="T179" t="n">
        <v>33</v>
      </c>
      <c r="U179" t="n">
        <v>23</v>
      </c>
      <c r="V179" s="2" t="inlineStr">
        <is>
          <t>Dårgräsfjäril</t>
        </is>
      </c>
      <c r="W179">
        <f>HYPERLINK("https://klasma.github.io/Logging_0980/artfynd/A 5863-2026 artfynd.xlsx", "A 5863-2026")</f>
        <v/>
      </c>
      <c r="X179">
        <f>HYPERLINK("https://klasma.github.io/Logging_0980/kartor/A 5863-2026 karta.png", "A 5863-2026")</f>
        <v/>
      </c>
      <c r="Y179">
        <f>HYPERLINK("https://klasma.github.io/Logging_0980/kartor_geotiff/A 5863-2026 georefererad karta.tif", "A 5863-2026")</f>
        <v/>
      </c>
      <c r="AA179">
        <f>HYPERLINK("https://klasma.github.io/Logging_0980/klagomål/A 5863-2026 FSC-klagomål.docx", "A 5863-2026")</f>
        <v/>
      </c>
      <c r="AB179">
        <f>HYPERLINK("https://klasma.github.io/Logging_0980/klagomålsmail/A 5863-2026 FSC-klagomål mail.docx", "A 5863-2026")</f>
        <v/>
      </c>
      <c r="AC179">
        <f>HYPERLINK("https://klasma.github.io/Logging_0980/tillsyn/A 5863-2026 tillsynsbegäran.docx", "A 5863-2026")</f>
        <v/>
      </c>
      <c r="AD179">
        <f>HYPERLINK("https://klasma.github.io/Logging_0980/tillsynsmail/A 5863-2026 tillsynsbegäran mail.docx", "A 5863-2026")</f>
        <v/>
      </c>
    </row>
    <row r="180" ht="15" customHeight="1">
      <c r="A180" t="inlineStr">
        <is>
          <t>A 447-2023</t>
        </is>
      </c>
      <c r="B180" t="inlineStr">
        <is>
          <t>avverkningsanmälan</t>
        </is>
      </c>
      <c r="C180" t="inlineStr">
        <is>
          <t>Föryngringsavverkning</t>
        </is>
      </c>
      <c r="D180" s="1" t="n">
        <v>44929</v>
      </c>
      <c r="E180" s="1" t="n">
        <v>46254</v>
      </c>
      <c r="F180" t="inlineStr">
        <is>
          <t>GOTLANDS LÄN</t>
        </is>
      </c>
      <c r="G180" t="inlineStr">
        <is>
          <t>GOTLAND</t>
        </is>
      </c>
      <c r="I180" t="n">
        <v>5.1</v>
      </c>
      <c r="J180" t="n">
        <v>0</v>
      </c>
      <c r="K180" t="n">
        <v>0</v>
      </c>
      <c r="L180" t="n">
        <v>1</v>
      </c>
      <c r="M180" t="n">
        <v>0</v>
      </c>
      <c r="N180" t="n">
        <v>0</v>
      </c>
      <c r="O180" t="n">
        <v>0</v>
      </c>
      <c r="P180" t="n">
        <v>0</v>
      </c>
      <c r="Q180" t="n">
        <v>1</v>
      </c>
      <c r="R180" t="n">
        <v>0</v>
      </c>
      <c r="S180" t="n">
        <v>1</v>
      </c>
      <c r="T180" t="n">
        <v>1</v>
      </c>
      <c r="U180" t="n">
        <v>0</v>
      </c>
      <c r="V180" s="2" t="inlineStr">
        <is>
          <t>Äggspindling</t>
        </is>
      </c>
      <c r="W180">
        <f>HYPERLINK("https://klasma.github.io/Logging_0980/artfynd/A 447-2023 artfynd.xlsx", "A 447-2023")</f>
        <v/>
      </c>
      <c r="X180">
        <f>HYPERLINK("https://klasma.github.io/Logging_0980/kartor/A 447-2023 karta.png", "A 447-2023")</f>
        <v/>
      </c>
      <c r="Y180">
        <f>HYPERLINK("https://klasma.github.io/Logging_0980/kartor_geotiff/A 447-2023 georefererad karta.tif", "A 447-2023")</f>
        <v/>
      </c>
      <c r="AA180">
        <f>HYPERLINK("https://klasma.github.io/Logging_0980/klagomål/A 447-2023 FSC-klagomål.docx", "A 447-2023")</f>
        <v/>
      </c>
      <c r="AB180">
        <f>HYPERLINK("https://klasma.github.io/Logging_0980/klagomålsmail/A 447-2023 FSC-klagomål mail.docx", "A 447-2023")</f>
        <v/>
      </c>
      <c r="AC180">
        <f>HYPERLINK("https://klasma.github.io/Logging_0980/tillsyn/A 447-2023 tillsynsbegäran.docx", "A 447-2023")</f>
        <v/>
      </c>
      <c r="AD180">
        <f>HYPERLINK("https://klasma.github.io/Logging_0980/tillsynsmail/A 447-2023 tillsynsbegäran mail.docx", "A 447-2023")</f>
        <v/>
      </c>
    </row>
    <row r="181" ht="15" customHeight="1">
      <c r="A181" t="inlineStr">
        <is>
          <t>A 1066-2024</t>
        </is>
      </c>
      <c r="B181" t="inlineStr">
        <is>
          <t>avverkningsanmälan</t>
        </is>
      </c>
      <c r="C181" t="inlineStr">
        <is>
          <t>Föryngringsavverkning</t>
        </is>
      </c>
      <c r="D181" s="1" t="n">
        <v>45302</v>
      </c>
      <c r="E181" s="1" t="n">
        <v>46254</v>
      </c>
      <c r="F181" t="inlineStr">
        <is>
          <t>GOTLANDS LÄN</t>
        </is>
      </c>
      <c r="G181" t="inlineStr">
        <is>
          <t>GOTLAND</t>
        </is>
      </c>
      <c r="I181" t="n">
        <v>1.4</v>
      </c>
      <c r="J181" t="n">
        <v>0</v>
      </c>
      <c r="K181" t="n">
        <v>0</v>
      </c>
      <c r="L181" t="n">
        <v>1</v>
      </c>
      <c r="M181" t="n">
        <v>0</v>
      </c>
      <c r="N181" t="n">
        <v>0</v>
      </c>
      <c r="O181" t="n">
        <v>0</v>
      </c>
      <c r="P181" t="n">
        <v>0</v>
      </c>
      <c r="Q181" t="n">
        <v>1</v>
      </c>
      <c r="R181" t="n">
        <v>0</v>
      </c>
      <c r="S181" t="n">
        <v>1</v>
      </c>
      <c r="T181" t="n">
        <v>1</v>
      </c>
      <c r="U181" t="n">
        <v>1</v>
      </c>
      <c r="V181" s="2" t="inlineStr">
        <is>
          <t>Svinrot</t>
        </is>
      </c>
      <c r="W181">
        <f>HYPERLINK("https://klasma.github.io/Logging_0980/artfynd/A 1066-2024 artfynd.xlsx", "A 1066-2024")</f>
        <v/>
      </c>
      <c r="X181">
        <f>HYPERLINK("https://klasma.github.io/Logging_0980/kartor/A 1066-2024 karta.png", "A 1066-2024")</f>
        <v/>
      </c>
      <c r="Y181">
        <f>HYPERLINK("https://klasma.github.io/Logging_0980/kartor_geotiff/A 1066-2024 georefererad karta.tif", "A 1066-2024")</f>
        <v/>
      </c>
      <c r="AA181">
        <f>HYPERLINK("https://klasma.github.io/Logging_0980/klagomål/A 1066-2024 FSC-klagomål.docx", "A 1066-2024")</f>
        <v/>
      </c>
      <c r="AB181">
        <f>HYPERLINK("https://klasma.github.io/Logging_0980/klagomålsmail/A 1066-2024 FSC-klagomål mail.docx", "A 1066-2024")</f>
        <v/>
      </c>
      <c r="AC181">
        <f>HYPERLINK("https://klasma.github.io/Logging_0980/tillsyn/A 1066-2024 tillsynsbegäran.docx", "A 1066-2024")</f>
        <v/>
      </c>
      <c r="AD181">
        <f>HYPERLINK("https://klasma.github.io/Logging_0980/tillsynsmail/A 1066-2024 tillsynsbegäran mail.docx", "A 1066-2024")</f>
        <v/>
      </c>
    </row>
    <row r="182" ht="15" customHeight="1">
      <c r="A182" t="inlineStr">
        <is>
          <t>A 34809-2024</t>
        </is>
      </c>
      <c r="B182" t="inlineStr">
        <is>
          <t>avverkningsanmälan</t>
        </is>
      </c>
      <c r="C182" t="inlineStr">
        <is>
          <t>Föryngringsavverkning</t>
        </is>
      </c>
      <c r="D182" s="1" t="n">
        <v>45526</v>
      </c>
      <c r="E182" s="1" t="n">
        <v>46254</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18036-2026</t>
        </is>
      </c>
      <c r="B183" t="inlineStr">
        <is>
          <t>avverkningsanmälan</t>
        </is>
      </c>
      <c r="C183" t="inlineStr">
        <is>
          <t>Föryngringsavverkning</t>
        </is>
      </c>
      <c r="D183" s="1" t="n">
        <v>46125</v>
      </c>
      <c r="E183" s="1" t="n">
        <v>46254</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49304-2024</t>
        </is>
      </c>
      <c r="B184" t="inlineStr">
        <is>
          <t>avverkningsanmälan</t>
        </is>
      </c>
      <c r="C184" t="inlineStr">
        <is>
          <t>Föryngringsavverkning</t>
        </is>
      </c>
      <c r="D184" s="1" t="n">
        <v>45595</v>
      </c>
      <c r="E184" s="1" t="n">
        <v>46254</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46254</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46254</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27343-2026</t>
        </is>
      </c>
      <c r="B187" t="inlineStr">
        <is>
          <t>avverkningsanmälan</t>
        </is>
      </c>
      <c r="C187" t="inlineStr">
        <is>
          <t>Föryngringsavverkning</t>
        </is>
      </c>
      <c r="D187" s="1" t="n">
        <v>46188</v>
      </c>
      <c r="E187" s="1" t="n">
        <v>46254</v>
      </c>
      <c r="F187" t="inlineStr">
        <is>
          <t>GOTLANDS LÄN</t>
        </is>
      </c>
      <c r="G187" t="inlineStr">
        <is>
          <t>GOTLAND</t>
        </is>
      </c>
      <c r="I187" t="n">
        <v>1.1</v>
      </c>
      <c r="J187" t="n">
        <v>1</v>
      </c>
      <c r="K187" t="n">
        <v>1</v>
      </c>
      <c r="L187" t="n">
        <v>0</v>
      </c>
      <c r="M187" t="n">
        <v>0</v>
      </c>
      <c r="N187" t="n">
        <v>0</v>
      </c>
      <c r="O187" t="n">
        <v>0</v>
      </c>
      <c r="P187" t="n">
        <v>0</v>
      </c>
      <c r="Q187" t="n">
        <v>0</v>
      </c>
      <c r="R187" t="n">
        <v>0</v>
      </c>
      <c r="S187" t="n">
        <v>1</v>
      </c>
      <c r="T187" t="n">
        <v>1</v>
      </c>
      <c r="U187" t="n">
        <v>0</v>
      </c>
      <c r="V187" s="2" t="inlineStr">
        <is>
          <t>Skogsknipprot</t>
        </is>
      </c>
      <c r="W187">
        <f>HYPERLINK("https://klasma.github.io/Logging_0980/artfynd/A 27343-2026 artfynd.xlsx", "A 27343-2026")</f>
        <v/>
      </c>
      <c r="X187">
        <f>HYPERLINK("https://klasma.github.io/Logging_0980/kartor/A 27343-2026 karta.png", "A 27343-2026")</f>
        <v/>
      </c>
      <c r="Y187">
        <f>HYPERLINK("https://klasma.github.io/Logging_0980/kartor_geotiff/A 27343-2026 georefererad karta.tif", "A 27343-2026")</f>
        <v/>
      </c>
      <c r="AA187">
        <f>HYPERLINK("https://klasma.github.io/Logging_0980/klagomål/A 27343-2026 FSC-klagomål.docx", "A 27343-2026")</f>
        <v/>
      </c>
      <c r="AB187">
        <f>HYPERLINK("https://klasma.github.io/Logging_0980/klagomålsmail/A 27343-2026 FSC-klagomål mail.docx", "A 27343-2026")</f>
        <v/>
      </c>
      <c r="AC187">
        <f>HYPERLINK("https://klasma.github.io/Logging_0980/tillsyn/A 27343-2026 tillsynsbegäran.docx", "A 27343-2026")</f>
        <v/>
      </c>
      <c r="AD187">
        <f>HYPERLINK("https://klasma.github.io/Logging_0980/tillsynsmail/A 27343-2026 tillsynsbegäran mail.docx", "A 27343-2026")</f>
        <v/>
      </c>
    </row>
    <row r="188" ht="15" customHeight="1">
      <c r="A188" t="inlineStr">
        <is>
          <t>A 44088-2022</t>
        </is>
      </c>
      <c r="B188" t="inlineStr">
        <is>
          <t>avverkningsanmälan</t>
        </is>
      </c>
      <c r="C188" t="inlineStr">
        <is>
          <t>Föryngringsavverkning</t>
        </is>
      </c>
      <c r="D188" s="1" t="n">
        <v>44839</v>
      </c>
      <c r="E188" s="1" t="n">
        <v>46254</v>
      </c>
      <c r="F188" t="inlineStr">
        <is>
          <t>GOTLANDS LÄN</t>
        </is>
      </c>
      <c r="G188" t="inlineStr">
        <is>
          <t>GOTLAND</t>
        </is>
      </c>
      <c r="I188" t="n">
        <v>1.5</v>
      </c>
      <c r="J188" t="n">
        <v>0</v>
      </c>
      <c r="K188" t="n">
        <v>1</v>
      </c>
      <c r="L188" t="n">
        <v>0</v>
      </c>
      <c r="M188" t="n">
        <v>0</v>
      </c>
      <c r="N188" t="n">
        <v>0</v>
      </c>
      <c r="O188" t="n">
        <v>0</v>
      </c>
      <c r="P188" t="n">
        <v>0</v>
      </c>
      <c r="Q188" t="n">
        <v>0</v>
      </c>
      <c r="R188" t="n">
        <v>0</v>
      </c>
      <c r="S188" t="n">
        <v>1</v>
      </c>
      <c r="T188" t="n">
        <v>1</v>
      </c>
      <c r="U188" t="n">
        <v>0</v>
      </c>
      <c r="V188" s="2" t="inlineStr">
        <is>
          <t>Strävlosta</t>
        </is>
      </c>
      <c r="W188">
        <f>HYPERLINK("https://klasma.github.io/Logging_0980/artfynd/A 44088-2022 artfynd.xlsx", "A 44088-2022")</f>
        <v/>
      </c>
      <c r="X188">
        <f>HYPERLINK("https://klasma.github.io/Logging_0980/kartor/A 44088-2022 karta.png", "A 44088-2022")</f>
        <v/>
      </c>
      <c r="Y188">
        <f>HYPERLINK("https://klasma.github.io/Logging_0980/kartor_geotiff/A 44088-2022 georefererad karta.tif", "A 44088-2022")</f>
        <v/>
      </c>
      <c r="AA188">
        <f>HYPERLINK("https://klasma.github.io/Logging_0980/klagomål/A 44088-2022 FSC-klagomål.docx", "A 44088-2022")</f>
        <v/>
      </c>
      <c r="AB188">
        <f>HYPERLINK("https://klasma.github.io/Logging_0980/klagomålsmail/A 44088-2022 FSC-klagomål mail.docx", "A 44088-2022")</f>
        <v/>
      </c>
      <c r="AC188">
        <f>HYPERLINK("https://klasma.github.io/Logging_0980/tillsyn/A 44088-2022 tillsynsbegäran.docx", "A 44088-2022")</f>
        <v/>
      </c>
      <c r="AD188">
        <f>HYPERLINK("https://klasma.github.io/Logging_0980/tillsynsmail/A 44088-2022 tillsynsbegäran mail.docx", "A 44088-2022")</f>
        <v/>
      </c>
    </row>
    <row r="189" ht="15" customHeight="1">
      <c r="A189" t="inlineStr">
        <is>
          <t>A 64700-2021</t>
        </is>
      </c>
      <c r="B189" t="inlineStr">
        <is>
          <t>avverkningsanmälan</t>
        </is>
      </c>
      <c r="C189" t="inlineStr">
        <is>
          <t>Avverkning för att bevara och utveckla /försöksver</t>
        </is>
      </c>
      <c r="D189" s="1" t="n">
        <v>44511</v>
      </c>
      <c r="E189" s="1" t="n">
        <v>46254</v>
      </c>
      <c r="F189" t="inlineStr">
        <is>
          <t>GOTLANDS LÄN</t>
        </is>
      </c>
      <c r="G189" t="inlineStr">
        <is>
          <t>GOTLAND</t>
        </is>
      </c>
      <c r="H189" t="inlineStr">
        <is>
          <t>Naturvårdsverket</t>
        </is>
      </c>
      <c r="I189" t="n">
        <v>2.4</v>
      </c>
      <c r="J189" t="n">
        <v>1</v>
      </c>
      <c r="K189" t="n">
        <v>0</v>
      </c>
      <c r="L189" t="n">
        <v>1</v>
      </c>
      <c r="M189" t="n">
        <v>0</v>
      </c>
      <c r="N189" t="n">
        <v>0</v>
      </c>
      <c r="O189" t="n">
        <v>0</v>
      </c>
      <c r="P189" t="n">
        <v>0</v>
      </c>
      <c r="Q189" t="n">
        <v>1</v>
      </c>
      <c r="R189" t="n">
        <v>0</v>
      </c>
      <c r="S189" t="n">
        <v>1</v>
      </c>
      <c r="T189" t="n">
        <v>3</v>
      </c>
      <c r="U189" t="n">
        <v>1</v>
      </c>
      <c r="V189" s="2" t="inlineStr">
        <is>
          <t>Kalkdån</t>
        </is>
      </c>
      <c r="W189">
        <f>HYPERLINK("https://klasma.github.io/Logging_0980/artfynd/A 64700-2021 artfynd.xlsx", "A 64700-2021")</f>
        <v/>
      </c>
      <c r="X189">
        <f>HYPERLINK("https://klasma.github.io/Logging_0980/kartor/A 64700-2021 karta.png", "A 64700-2021")</f>
        <v/>
      </c>
      <c r="Y189">
        <f>HYPERLINK("https://klasma.github.io/Logging_0980/kartor_geotiff/A 64700-2021 georefererad karta.tif", "A 64700-2021")</f>
        <v/>
      </c>
      <c r="AA189">
        <f>HYPERLINK("https://klasma.github.io/Logging_0980/klagomål/A 64700-2021 FSC-klagomål.docx", "A 64700-2021")</f>
        <v/>
      </c>
      <c r="AB189">
        <f>HYPERLINK("https://klasma.github.io/Logging_0980/klagomålsmail/A 64700-2021 FSC-klagomål mail.docx", "A 64700-2021")</f>
        <v/>
      </c>
      <c r="AC189">
        <f>HYPERLINK("https://klasma.github.io/Logging_0980/tillsyn/A 64700-2021 tillsynsbegäran.docx", "A 64700-2021")</f>
        <v/>
      </c>
      <c r="AD189">
        <f>HYPERLINK("https://klasma.github.io/Logging_0980/tillsynsmail/A 64700-2021 tillsynsbegäran mail.docx", "A 64700-2021")</f>
        <v/>
      </c>
    </row>
    <row r="190" ht="15" customHeight="1">
      <c r="A190" t="inlineStr">
        <is>
          <t>A 69112-2021</t>
        </is>
      </c>
      <c r="B190" t="inlineStr">
        <is>
          <t>avverkningsanmälan</t>
        </is>
      </c>
      <c r="C190" t="inlineStr">
        <is>
          <t>Avverkning för annat ändamål</t>
        </is>
      </c>
      <c r="D190" s="1" t="n">
        <v>44530</v>
      </c>
      <c r="E190" s="1" t="n">
        <v>46254</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30176-2026</t>
        </is>
      </c>
      <c r="B191" t="inlineStr">
        <is>
          <t>avverkningsanmälan</t>
        </is>
      </c>
      <c r="C191" t="inlineStr">
        <is>
          <t>Avverkning för annat ändamål</t>
        </is>
      </c>
      <c r="D191" s="1" t="n">
        <v>46203</v>
      </c>
      <c r="E191" s="1" t="n">
        <v>46254</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1477-2024</t>
        </is>
      </c>
      <c r="B192" t="inlineStr">
        <is>
          <t>avverkningsanmälan</t>
        </is>
      </c>
      <c r="C192" t="inlineStr">
        <is>
          <t>Föryngringsavverkning</t>
        </is>
      </c>
      <c r="D192" s="1" t="n">
        <v>45305</v>
      </c>
      <c r="E192" s="1" t="n">
        <v>46254</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1677-2023</t>
        </is>
      </c>
      <c r="B193" t="inlineStr">
        <is>
          <t>avverkningsanmälan</t>
        </is>
      </c>
      <c r="C193" t="inlineStr">
        <is>
          <t>Föryngringsavverkning</t>
        </is>
      </c>
      <c r="D193" s="1" t="n">
        <v>44938</v>
      </c>
      <c r="E193" s="1" t="n">
        <v>46254</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46254</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46254</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46254</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10218-2025</t>
        </is>
      </c>
      <c r="B197" t="inlineStr">
        <is>
          <t>avverkningsanmälan</t>
        </is>
      </c>
      <c r="C197" t="inlineStr">
        <is>
          <t>Föryngringsavverkning</t>
        </is>
      </c>
      <c r="D197" s="1" t="n">
        <v>45720</v>
      </c>
      <c r="E197" s="1" t="n">
        <v>46254</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46254</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46254</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46254</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49847-2023</t>
        </is>
      </c>
      <c r="B201" t="inlineStr">
        <is>
          <t>avverkningsanmälan</t>
        </is>
      </c>
      <c r="C201" t="inlineStr">
        <is>
          <t>Föryngringsavverkning</t>
        </is>
      </c>
      <c r="D201" s="1" t="n">
        <v>45212</v>
      </c>
      <c r="E201" s="1" t="n">
        <v>46254</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13482-2026</t>
        </is>
      </c>
      <c r="B202" t="inlineStr">
        <is>
          <t>avverkningsanmälan</t>
        </is>
      </c>
      <c r="C202" t="inlineStr">
        <is>
          <t>Föryngringsavverkning</t>
        </is>
      </c>
      <c r="D202" s="1" t="n">
        <v>46094</v>
      </c>
      <c r="E202" s="1" t="n">
        <v>46254</v>
      </c>
      <c r="F202" t="inlineStr">
        <is>
          <t>GOTLANDS LÄN</t>
        </is>
      </c>
      <c r="G202" t="inlineStr">
        <is>
          <t>GOTLAND</t>
        </is>
      </c>
      <c r="I202" t="n">
        <v>1.7</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HYPERLINK("https://klasma.github.io/Logging_0980/artfynd/A 13482-2026 artfynd.xlsx", "A 13482-2026")</f>
        <v/>
      </c>
      <c r="X202">
        <f>HYPERLINK("https://klasma.github.io/Logging_0980/kartor/A 13482-2026 karta.png", "A 13482-2026")</f>
        <v/>
      </c>
      <c r="Y202">
        <f>HYPERLINK("https://klasma.github.io/Logging_0980/kartor_geotiff/A 13482-2026 georefererad karta.tif", "A 13482-2026")</f>
        <v/>
      </c>
      <c r="AA202">
        <f>HYPERLINK("https://klasma.github.io/Logging_0980/klagomål/A 13482-2026 FSC-klagomål.docx", "A 13482-2026")</f>
        <v/>
      </c>
      <c r="AB202">
        <f>HYPERLINK("https://klasma.github.io/Logging_0980/klagomålsmail/A 13482-2026 FSC-klagomål mail.docx", "A 13482-2026")</f>
        <v/>
      </c>
      <c r="AC202">
        <f>HYPERLINK("https://klasma.github.io/Logging_0980/tillsyn/A 13482-2026 tillsynsbegäran.docx", "A 13482-2026")</f>
        <v/>
      </c>
      <c r="AD202">
        <f>HYPERLINK("https://klasma.github.io/Logging_0980/tillsynsmail/A 13482-2026 tillsynsbegäran mail.docx", "A 13482-2026")</f>
        <v/>
      </c>
      <c r="AE202">
        <f>HYPERLINK("https://klasma.github.io/Logging_0980/fåglar/A 13482-2026 prioriterade fågelarter.docx", "A 13482-2026")</f>
        <v/>
      </c>
    </row>
    <row r="203" ht="15" customHeight="1">
      <c r="A203" t="inlineStr">
        <is>
          <t>A 56115-2023</t>
        </is>
      </c>
      <c r="B203" t="inlineStr">
        <is>
          <t>avverkningsanmälan</t>
        </is>
      </c>
      <c r="C203" t="inlineStr">
        <is>
          <t>Avverkning för annat ändamål</t>
        </is>
      </c>
      <c r="D203" s="1" t="n">
        <v>45236</v>
      </c>
      <c r="E203" s="1" t="n">
        <v>46254</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4662-2026</t>
        </is>
      </c>
      <c r="B204" t="inlineStr">
        <is>
          <t>avverkningsanmälan</t>
        </is>
      </c>
      <c r="C204" t="inlineStr">
        <is>
          <t>Föryngringsavverkning</t>
        </is>
      </c>
      <c r="D204" s="1" t="n">
        <v>46048</v>
      </c>
      <c r="E204" s="1" t="n">
        <v>46254</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17854-2026</t>
        </is>
      </c>
      <c r="B205" t="inlineStr">
        <is>
          <t>avverkningsanmälan</t>
        </is>
      </c>
      <c r="C205" t="inlineStr">
        <is>
          <t>Föryngringsavverkning</t>
        </is>
      </c>
      <c r="D205" s="1" t="n">
        <v>46121</v>
      </c>
      <c r="E205" s="1" t="n">
        <v>46254</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10995-2023</t>
        </is>
      </c>
      <c r="B206" t="inlineStr">
        <is>
          <t>avverkningsanmälan</t>
        </is>
      </c>
      <c r="C206" t="inlineStr">
        <is>
          <t>Föryngringsavverkning</t>
        </is>
      </c>
      <c r="D206" s="1" t="n">
        <v>44986</v>
      </c>
      <c r="E206" s="1" t="n">
        <v>46254</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6739-2025</t>
        </is>
      </c>
      <c r="B207" t="inlineStr">
        <is>
          <t>avverkningsanmälan</t>
        </is>
      </c>
      <c r="C207" t="inlineStr">
        <is>
          <t>Föryngringsavverkning</t>
        </is>
      </c>
      <c r="D207" s="1" t="n">
        <v>45700</v>
      </c>
      <c r="E207" s="1" t="n">
        <v>46254</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9862-2024</t>
        </is>
      </c>
      <c r="B208" t="inlineStr">
        <is>
          <t>avverkningsanmälan</t>
        </is>
      </c>
      <c r="C208" t="inlineStr">
        <is>
          <t>Föryngringsavverkning</t>
        </is>
      </c>
      <c r="D208" s="1" t="n">
        <v>45363</v>
      </c>
      <c r="E208" s="1" t="n">
        <v>46254</v>
      </c>
      <c r="F208" t="inlineStr">
        <is>
          <t>GOTLANDS LÄN</t>
        </is>
      </c>
      <c r="G208" t="inlineStr">
        <is>
          <t>GOTLAND</t>
        </is>
      </c>
      <c r="I208" t="n">
        <v>3.5</v>
      </c>
      <c r="J208" t="n">
        <v>1</v>
      </c>
      <c r="K208" t="n">
        <v>0</v>
      </c>
      <c r="L208" t="n">
        <v>0</v>
      </c>
      <c r="M208" t="n">
        <v>0</v>
      </c>
      <c r="N208" t="n">
        <v>0</v>
      </c>
      <c r="O208" t="n">
        <v>0</v>
      </c>
      <c r="P208" t="n">
        <v>0</v>
      </c>
      <c r="Q208" t="n">
        <v>0</v>
      </c>
      <c r="R208" t="n">
        <v>0</v>
      </c>
      <c r="S208" t="n">
        <v>1</v>
      </c>
      <c r="T208" t="n">
        <v>1</v>
      </c>
      <c r="U208" t="n">
        <v>1</v>
      </c>
      <c r="V208" s="2" t="inlineStr">
        <is>
          <t>Nattviol</t>
        </is>
      </c>
      <c r="W208">
        <f>HYPERLINK("https://klasma.github.io/Logging_0980/artfynd/A 9862-2024 artfynd.xlsx", "A 9862-2024")</f>
        <v/>
      </c>
      <c r="X208">
        <f>HYPERLINK("https://klasma.github.io/Logging_0980/kartor/A 9862-2024 karta.png", "A 9862-2024")</f>
        <v/>
      </c>
      <c r="Y208">
        <f>HYPERLINK("https://klasma.github.io/Logging_0980/kartor_geotiff/A 9862-2024 georefererad karta.tif", "A 9862-2024")</f>
        <v/>
      </c>
      <c r="AA208">
        <f>HYPERLINK("https://klasma.github.io/Logging_0980/klagomål/A 9862-2024 FSC-klagomål.docx", "A 9862-2024")</f>
        <v/>
      </c>
      <c r="AB208">
        <f>HYPERLINK("https://klasma.github.io/Logging_0980/klagomålsmail/A 9862-2024 FSC-klagomål mail.docx", "A 9862-2024")</f>
        <v/>
      </c>
      <c r="AC208">
        <f>HYPERLINK("https://klasma.github.io/Logging_0980/tillsyn/A 9862-2024 tillsynsbegäran.docx", "A 9862-2024")</f>
        <v/>
      </c>
      <c r="AD208">
        <f>HYPERLINK("https://klasma.github.io/Logging_0980/tillsynsmail/A 9862-2024 tillsynsbegäran mail.docx", "A 9862-2024")</f>
        <v/>
      </c>
    </row>
    <row r="209" ht="15" customHeight="1">
      <c r="A209" t="inlineStr">
        <is>
          <t>A 34141-2024</t>
        </is>
      </c>
      <c r="B209" t="inlineStr">
        <is>
          <t>avverkningsanmälan</t>
        </is>
      </c>
      <c r="C209" t="inlineStr">
        <is>
          <t>Föryngringsavverkning</t>
        </is>
      </c>
      <c r="D209" s="1" t="n">
        <v>45524</v>
      </c>
      <c r="E209" s="1" t="n">
        <v>46254</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30104-2025</t>
        </is>
      </c>
      <c r="B210" t="inlineStr">
        <is>
          <t>avverkningsanmälan</t>
        </is>
      </c>
      <c r="C210" t="inlineStr">
        <is>
          <t>Föryngringsavverkning</t>
        </is>
      </c>
      <c r="D210" s="1" t="n">
        <v>45826</v>
      </c>
      <c r="E210" s="1" t="n">
        <v>46254</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30489-2025</t>
        </is>
      </c>
      <c r="B211" t="inlineStr">
        <is>
          <t>avverkningsanmälan</t>
        </is>
      </c>
      <c r="C211" t="inlineStr">
        <is>
          <t>Föryngringsavverkning</t>
        </is>
      </c>
      <c r="D211" s="1" t="n">
        <v>45830</v>
      </c>
      <c r="E211" s="1" t="n">
        <v>46254</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46254</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46254</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46254</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46254</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46254</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46254</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46254</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46254</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46254</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46254</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46254</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46254</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46254</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46254</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46254</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46254</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46254</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46254</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46254</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46254</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46254</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46254</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46254</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46254</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57219-2021</t>
        </is>
      </c>
      <c r="B236" t="inlineStr">
        <is>
          <t>avverkningsanmälan</t>
        </is>
      </c>
      <c r="C236" t="inlineStr">
        <is>
          <t>Föryngringsavverkning</t>
        </is>
      </c>
      <c r="D236" s="1" t="n">
        <v>44483</v>
      </c>
      <c r="E236" s="1" t="n">
        <v>46254</v>
      </c>
      <c r="F236" t="inlineStr">
        <is>
          <t>GOTLANDS LÄN</t>
        </is>
      </c>
      <c r="G236" t="inlineStr">
        <is>
          <t>GOTLAND</t>
        </is>
      </c>
      <c r="H236" t="inlineStr">
        <is>
          <t>Kyrkan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17901-2023</t>
        </is>
      </c>
      <c r="B237" t="inlineStr">
        <is>
          <t>avverkningsanmälan</t>
        </is>
      </c>
      <c r="C237" t="inlineStr">
        <is>
          <t>Föryngringsavverkning</t>
        </is>
      </c>
      <c r="D237" s="1" t="n">
        <v>45039</v>
      </c>
      <c r="E237" s="1" t="n">
        <v>46254</v>
      </c>
      <c r="F237" t="inlineStr">
        <is>
          <t>GOTLANDS LÄN</t>
        </is>
      </c>
      <c r="G237" t="inlineStr">
        <is>
          <t>GOTLAND</t>
        </is>
      </c>
      <c r="H237" t="inlineStr">
        <is>
          <t>Kyrkan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46254</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61596-2023</t>
        </is>
      </c>
      <c r="B239" t="inlineStr">
        <is>
          <t>avverkningsanmälan</t>
        </is>
      </c>
      <c r="C239" t="inlineStr">
        <is>
          <t>Föryngringsavverkning</t>
        </is>
      </c>
      <c r="D239" s="1" t="n">
        <v>45265</v>
      </c>
      <c r="E239" s="1" t="n">
        <v>46254</v>
      </c>
      <c r="F239" t="inlineStr">
        <is>
          <t>GOTLANDS LÄN</t>
        </is>
      </c>
      <c r="G239" t="inlineStr">
        <is>
          <t>GOTLAND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873-2024</t>
        </is>
      </c>
      <c r="B240" t="inlineStr">
        <is>
          <t>avverkningsanmälan</t>
        </is>
      </c>
      <c r="C240" t="inlineStr">
        <is>
          <t>Avverkning för annat ändamål</t>
        </is>
      </c>
      <c r="D240" s="1" t="n">
        <v>45301</v>
      </c>
      <c r="E240" s="1" t="n">
        <v>46254</v>
      </c>
      <c r="F240" t="inlineStr">
        <is>
          <t>GOTLANDS LÄN</t>
        </is>
      </c>
      <c r="G240" t="inlineStr">
        <is>
          <t>GOTLAND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46254</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54073-2022</t>
        </is>
      </c>
      <c r="B242" t="inlineStr">
        <is>
          <t>avverkningsanmälan</t>
        </is>
      </c>
      <c r="C242" t="inlineStr">
        <is>
          <t>Föryngringsavverkning</t>
        </is>
      </c>
      <c r="D242" s="1" t="n">
        <v>44881</v>
      </c>
      <c r="E242" s="1" t="n">
        <v>46254</v>
      </c>
      <c r="F242" t="inlineStr">
        <is>
          <t>GOTLANDS LÄN</t>
        </is>
      </c>
      <c r="G242" t="inlineStr">
        <is>
          <t>GOTLAND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3964-2024</t>
        </is>
      </c>
      <c r="B243" t="inlineStr">
        <is>
          <t>avverkningsanmälan</t>
        </is>
      </c>
      <c r="C243" t="inlineStr">
        <is>
          <t>Föryngringsavverkning</t>
        </is>
      </c>
      <c r="D243" s="1" t="n">
        <v>45322</v>
      </c>
      <c r="E243" s="1" t="n">
        <v>46254</v>
      </c>
      <c r="F243" t="inlineStr">
        <is>
          <t>GOTLANDS LÄN</t>
        </is>
      </c>
      <c r="G243" t="inlineStr">
        <is>
          <t>GOTLAND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7026-2023</t>
        </is>
      </c>
      <c r="B244" t="inlineStr">
        <is>
          <t>avverkningsanmälan</t>
        </is>
      </c>
      <c r="C244" t="inlineStr">
        <is>
          <t>Föryngringsavverkning</t>
        </is>
      </c>
      <c r="D244" s="1" t="n">
        <v>44968</v>
      </c>
      <c r="E244" s="1" t="n">
        <v>46254</v>
      </c>
      <c r="F244" t="inlineStr">
        <is>
          <t>GOTLANDS LÄN</t>
        </is>
      </c>
      <c r="G244" t="inlineStr">
        <is>
          <t>GOTLAND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52892-2021</t>
        </is>
      </c>
      <c r="B245" t="inlineStr">
        <is>
          <t>avverkningsanmälan</t>
        </is>
      </c>
      <c r="C245" t="inlineStr">
        <is>
          <t>Föryngringsavverkning</t>
        </is>
      </c>
      <c r="D245" s="1" t="n">
        <v>44467</v>
      </c>
      <c r="E245" s="1" t="n">
        <v>46254</v>
      </c>
      <c r="F245" t="inlineStr">
        <is>
          <t>GOTLANDS LÄN</t>
        </is>
      </c>
      <c r="G245" t="inlineStr">
        <is>
          <t>GOTLAND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49874-2024</t>
        </is>
      </c>
      <c r="B246" t="inlineStr">
        <is>
          <t>avverkningsanmälan</t>
        </is>
      </c>
      <c r="C246" t="inlineStr">
        <is>
          <t>Föryngringsavverkning</t>
        </is>
      </c>
      <c r="D246" s="1" t="n">
        <v>45597</v>
      </c>
      <c r="E246" s="1" t="n">
        <v>46254</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1351-2025</t>
        </is>
      </c>
      <c r="B247" t="inlineStr">
        <is>
          <t>avverkningsanmälan</t>
        </is>
      </c>
      <c r="C247" t="inlineStr">
        <is>
          <t>Föryngringsavverkning</t>
        </is>
      </c>
      <c r="D247" s="1" t="n">
        <v>45667</v>
      </c>
      <c r="E247" s="1" t="n">
        <v>46254</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25129-2023</t>
        </is>
      </c>
      <c r="B248" t="inlineStr">
        <is>
          <t>avverkningsanmälan</t>
        </is>
      </c>
      <c r="C248" t="inlineStr">
        <is>
          <t>Föryngringsavverkning</t>
        </is>
      </c>
      <c r="D248" s="1" t="n">
        <v>45086</v>
      </c>
      <c r="E248" s="1" t="n">
        <v>46254</v>
      </c>
      <c r="F248" t="inlineStr">
        <is>
          <t>GOTLANDS LÄN</t>
        </is>
      </c>
      <c r="G248" t="inlineStr">
        <is>
          <t>GOTLAND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60675-2021</t>
        </is>
      </c>
      <c r="B249" t="inlineStr">
        <is>
          <t>avverkningsanmälan</t>
        </is>
      </c>
      <c r="C249" t="inlineStr">
        <is>
          <t>Föryngringsavverkning</t>
        </is>
      </c>
      <c r="D249" s="1" t="n">
        <v>44496</v>
      </c>
      <c r="E249" s="1" t="n">
        <v>46254</v>
      </c>
      <c r="F249" t="inlineStr">
        <is>
          <t>GOTLANDS LÄN</t>
        </is>
      </c>
      <c r="G249" t="inlineStr">
        <is>
          <t>GOTLAND</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51782-2023</t>
        </is>
      </c>
      <c r="B250" t="inlineStr">
        <is>
          <t>avverkningsanmälan</t>
        </is>
      </c>
      <c r="C250" t="inlineStr">
        <is>
          <t>Föryngringsavverkning</t>
        </is>
      </c>
      <c r="D250" s="1" t="n">
        <v>45222</v>
      </c>
      <c r="E250" s="1" t="n">
        <v>46254</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4421-2024</t>
        </is>
      </c>
      <c r="B251" t="inlineStr">
        <is>
          <t>avverkningsanmälan</t>
        </is>
      </c>
      <c r="C251" t="inlineStr">
        <is>
          <t>Föryngringsavverkning</t>
        </is>
      </c>
      <c r="D251" s="1" t="n">
        <v>45327</v>
      </c>
      <c r="E251" s="1" t="n">
        <v>46254</v>
      </c>
      <c r="F251" t="inlineStr">
        <is>
          <t>GOTLANDS LÄN</t>
        </is>
      </c>
      <c r="G251" t="inlineStr">
        <is>
          <t>GOTLAND</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5217-2023</t>
        </is>
      </c>
      <c r="B252" t="inlineStr">
        <is>
          <t>avverkningsanmälan</t>
        </is>
      </c>
      <c r="C252" t="inlineStr">
        <is>
          <t>Föryngringsavverkning</t>
        </is>
      </c>
      <c r="D252" s="1" t="n">
        <v>44959</v>
      </c>
      <c r="E252" s="1" t="n">
        <v>46254</v>
      </c>
      <c r="F252" t="inlineStr">
        <is>
          <t>GOTLANDS LÄN</t>
        </is>
      </c>
      <c r="G252" t="inlineStr">
        <is>
          <t>GOTLAND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46254</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33876-2024</t>
        </is>
      </c>
      <c r="B254" t="inlineStr">
        <is>
          <t>avverkningsanmälan</t>
        </is>
      </c>
      <c r="C254" t="inlineStr">
        <is>
          <t>Föryngringsavverkning</t>
        </is>
      </c>
      <c r="D254" s="1" t="n">
        <v>45521</v>
      </c>
      <c r="E254" s="1" t="n">
        <v>46254</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61962-2024</t>
        </is>
      </c>
      <c r="B255" t="inlineStr">
        <is>
          <t>avverkningsanmälan</t>
        </is>
      </c>
      <c r="C255" t="inlineStr">
        <is>
          <t>Föryngringsavverkning</t>
        </is>
      </c>
      <c r="D255" s="1" t="n">
        <v>45653</v>
      </c>
      <c r="E255" s="1" t="n">
        <v>46254</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43223-2023</t>
        </is>
      </c>
      <c r="B256" t="inlineStr">
        <is>
          <t>avverkningsanmälan</t>
        </is>
      </c>
      <c r="C256" t="inlineStr">
        <is>
          <t>Föryngringsavverkning</t>
        </is>
      </c>
      <c r="D256" s="1" t="n">
        <v>45183</v>
      </c>
      <c r="E256" s="1" t="n">
        <v>46254</v>
      </c>
      <c r="F256" t="inlineStr">
        <is>
          <t>GOTLANDS LÄN</t>
        </is>
      </c>
      <c r="G256" t="inlineStr">
        <is>
          <t>GOTLAND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59469-2024</t>
        </is>
      </c>
      <c r="B257" t="inlineStr">
        <is>
          <t>avverkningsanmälan</t>
        </is>
      </c>
      <c r="C257" t="inlineStr">
        <is>
          <t>Föryngringsavverkning</t>
        </is>
      </c>
      <c r="D257" s="1" t="n">
        <v>45638</v>
      </c>
      <c r="E257" s="1" t="n">
        <v>46254</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46254</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46254</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48503-2023</t>
        </is>
      </c>
      <c r="B260" t="inlineStr">
        <is>
          <t>avverkningsanmälan</t>
        </is>
      </c>
      <c r="C260" t="inlineStr">
        <is>
          <t>Föryngringsavverkning</t>
        </is>
      </c>
      <c r="D260" s="1" t="n">
        <v>45207</v>
      </c>
      <c r="E260" s="1" t="n">
        <v>46254</v>
      </c>
      <c r="F260" t="inlineStr">
        <is>
          <t>GOTLANDS LÄN</t>
        </is>
      </c>
      <c r="G260" t="inlineStr">
        <is>
          <t>GOTLAND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49697-2023</t>
        </is>
      </c>
      <c r="B261" t="inlineStr">
        <is>
          <t>avverkningsanmälan</t>
        </is>
      </c>
      <c r="C261" t="inlineStr">
        <is>
          <t>Föryngringsavverkning</t>
        </is>
      </c>
      <c r="D261" s="1" t="n">
        <v>45212</v>
      </c>
      <c r="E261" s="1" t="n">
        <v>46254</v>
      </c>
      <c r="F261" t="inlineStr">
        <is>
          <t>GOTLANDS LÄN</t>
        </is>
      </c>
      <c r="G261" t="inlineStr">
        <is>
          <t>GOTLAND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24825-2024</t>
        </is>
      </c>
      <c r="B262" t="inlineStr">
        <is>
          <t>avverkningsanmälan</t>
        </is>
      </c>
      <c r="C262" t="inlineStr">
        <is>
          <t>Avverkning för annat ändamål</t>
        </is>
      </c>
      <c r="D262" s="1" t="n">
        <v>45461</v>
      </c>
      <c r="E262" s="1" t="n">
        <v>46254</v>
      </c>
      <c r="F262" t="inlineStr">
        <is>
          <t>GOTLANDS LÄN</t>
        </is>
      </c>
      <c r="G262" t="inlineStr">
        <is>
          <t>GOTLAND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22031-2024</t>
        </is>
      </c>
      <c r="B263" t="inlineStr">
        <is>
          <t>avverkningsanmälan</t>
        </is>
      </c>
      <c r="C263" t="inlineStr">
        <is>
          <t>Föryngringsavverkning</t>
        </is>
      </c>
      <c r="D263" s="1" t="n">
        <v>45443</v>
      </c>
      <c r="E263" s="1" t="n">
        <v>46254</v>
      </c>
      <c r="F263" t="inlineStr">
        <is>
          <t>GOTLANDS LÄN</t>
        </is>
      </c>
      <c r="G263" t="inlineStr">
        <is>
          <t>GOTLAND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17688-2024</t>
        </is>
      </c>
      <c r="B264" t="inlineStr">
        <is>
          <t>avverkningsanmälan</t>
        </is>
      </c>
      <c r="C264" t="inlineStr">
        <is>
          <t>Föryngringsavverkning</t>
        </is>
      </c>
      <c r="D264" s="1" t="n">
        <v>45418</v>
      </c>
      <c r="E264" s="1" t="n">
        <v>46254</v>
      </c>
      <c r="F264" t="inlineStr">
        <is>
          <t>GOTLANDS LÄN</t>
        </is>
      </c>
      <c r="G264" t="inlineStr">
        <is>
          <t>GOTLAND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8260-2023</t>
        </is>
      </c>
      <c r="B265" t="inlineStr">
        <is>
          <t>avverkningsanmälan</t>
        </is>
      </c>
      <c r="C265" t="inlineStr">
        <is>
          <t>Föryngringsavverkning</t>
        </is>
      </c>
      <c r="D265" s="1" t="n">
        <v>44974</v>
      </c>
      <c r="E265" s="1" t="n">
        <v>46254</v>
      </c>
      <c r="F265" t="inlineStr">
        <is>
          <t>GOTLANDS LÄN</t>
        </is>
      </c>
      <c r="G265" t="inlineStr">
        <is>
          <t>GOTLAND</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27694-2024</t>
        </is>
      </c>
      <c r="B266" t="inlineStr">
        <is>
          <t>avverkningsanmälan</t>
        </is>
      </c>
      <c r="C266" t="inlineStr">
        <is>
          <t>Föryngringsavverkning</t>
        </is>
      </c>
      <c r="D266" s="1" t="n">
        <v>45475</v>
      </c>
      <c r="E266" s="1" t="n">
        <v>46254</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22287-2022</t>
        </is>
      </c>
      <c r="B267" t="inlineStr">
        <is>
          <t>avverkningsanmälan</t>
        </is>
      </c>
      <c r="C267" t="inlineStr">
        <is>
          <t>Avverkning för annat ändamål</t>
        </is>
      </c>
      <c r="D267" s="1" t="n">
        <v>44712</v>
      </c>
      <c r="E267" s="1" t="n">
        <v>46254</v>
      </c>
      <c r="F267" t="inlineStr">
        <is>
          <t>GOTLANDS LÄN</t>
        </is>
      </c>
      <c r="G267" t="inlineStr">
        <is>
          <t>GOTLAND</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39764-2022</t>
        </is>
      </c>
      <c r="B268" t="inlineStr">
        <is>
          <t>avverkningsanmälan</t>
        </is>
      </c>
      <c r="C268" t="inlineStr">
        <is>
          <t>Föryngringsavverkning</t>
        </is>
      </c>
      <c r="D268" s="1" t="n">
        <v>44819</v>
      </c>
      <c r="E268" s="1" t="n">
        <v>46254</v>
      </c>
      <c r="F268" t="inlineStr">
        <is>
          <t>GOTLANDS LÄN</t>
        </is>
      </c>
      <c r="G268" t="inlineStr">
        <is>
          <t>GOTLAND</t>
        </is>
      </c>
      <c r="H268" t="inlineStr">
        <is>
          <t>Kyrkan</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6099-2024</t>
        </is>
      </c>
      <c r="B269" t="inlineStr">
        <is>
          <t>avverkningsanmälan</t>
        </is>
      </c>
      <c r="C269" t="inlineStr">
        <is>
          <t>Föryngringsavverkning</t>
        </is>
      </c>
      <c r="D269" s="1" t="n">
        <v>45337</v>
      </c>
      <c r="E269" s="1" t="n">
        <v>46254</v>
      </c>
      <c r="F269" t="inlineStr">
        <is>
          <t>GOTLANDS LÄN</t>
        </is>
      </c>
      <c r="G269" t="inlineStr">
        <is>
          <t>GOTLAND</t>
        </is>
      </c>
      <c r="I269" t="n">
        <v>12.6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64660-2023</t>
        </is>
      </c>
      <c r="B270" t="inlineStr">
        <is>
          <t>avverkningsanmälan</t>
        </is>
      </c>
      <c r="C270" t="inlineStr">
        <is>
          <t>Föryngringsavverkning</t>
        </is>
      </c>
      <c r="D270" s="1" t="n">
        <v>45281</v>
      </c>
      <c r="E270" s="1" t="n">
        <v>46254</v>
      </c>
      <c r="F270" t="inlineStr">
        <is>
          <t>GOTLANDS LÄN</t>
        </is>
      </c>
      <c r="G270" t="inlineStr">
        <is>
          <t>GOTLAND</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6696-2023</t>
        </is>
      </c>
      <c r="B271" t="inlineStr">
        <is>
          <t>avverkningsanmälan</t>
        </is>
      </c>
      <c r="C271" t="inlineStr">
        <is>
          <t>Föryngringsavverkning</t>
        </is>
      </c>
      <c r="D271" s="1" t="n">
        <v>44966</v>
      </c>
      <c r="E271" s="1" t="n">
        <v>46254</v>
      </c>
      <c r="F271" t="inlineStr">
        <is>
          <t>GOTLANDS LÄN</t>
        </is>
      </c>
      <c r="G271" t="inlineStr">
        <is>
          <t>GOTLAND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28485-2023</t>
        </is>
      </c>
      <c r="B272" t="inlineStr">
        <is>
          <t>avverkningsanmälan</t>
        </is>
      </c>
      <c r="C272" t="inlineStr">
        <is>
          <t>Föryngringsavverkning</t>
        </is>
      </c>
      <c r="D272" s="1" t="n">
        <v>45103</v>
      </c>
      <c r="E272" s="1" t="n">
        <v>46254</v>
      </c>
      <c r="F272" t="inlineStr">
        <is>
          <t>GOTLANDS LÄN</t>
        </is>
      </c>
      <c r="G272" t="inlineStr">
        <is>
          <t>GOTLAND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46254</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20855-2023</t>
        </is>
      </c>
      <c r="B274" t="inlineStr">
        <is>
          <t>avverkningsanmälan</t>
        </is>
      </c>
      <c r="C274" t="inlineStr">
        <is>
          <t>Föryngringsavverkning</t>
        </is>
      </c>
      <c r="D274" s="1" t="n">
        <v>45058</v>
      </c>
      <c r="E274" s="1" t="n">
        <v>46254</v>
      </c>
      <c r="F274" t="inlineStr">
        <is>
          <t>GOTLANDS LÄN</t>
        </is>
      </c>
      <c r="G274" t="inlineStr">
        <is>
          <t>GOTLAND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8045-2022</t>
        </is>
      </c>
      <c r="B275" t="inlineStr">
        <is>
          <t>avverkningsanmälan</t>
        </is>
      </c>
      <c r="C275" t="inlineStr">
        <is>
          <t>Föryngringsavverkning</t>
        </is>
      </c>
      <c r="D275" s="1" t="n">
        <v>44609</v>
      </c>
      <c r="E275" s="1" t="n">
        <v>46254</v>
      </c>
      <c r="F275" t="inlineStr">
        <is>
          <t>GOTLANDS LÄN</t>
        </is>
      </c>
      <c r="G275" t="inlineStr">
        <is>
          <t>GOTLAND</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1000-2024</t>
        </is>
      </c>
      <c r="B276" t="inlineStr">
        <is>
          <t>avverkningsanmälan</t>
        </is>
      </c>
      <c r="C276" t="inlineStr">
        <is>
          <t>Föryngringsavverkning</t>
        </is>
      </c>
      <c r="D276" s="1" t="n">
        <v>45301</v>
      </c>
      <c r="E276" s="1" t="n">
        <v>46254</v>
      </c>
      <c r="F276" t="inlineStr">
        <is>
          <t>GOTLANDS LÄN</t>
        </is>
      </c>
      <c r="G276" t="inlineStr">
        <is>
          <t>GOTLAND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65249-2023</t>
        </is>
      </c>
      <c r="B277" t="inlineStr">
        <is>
          <t>avverkningsanmälan</t>
        </is>
      </c>
      <c r="C277" t="inlineStr">
        <is>
          <t>Föryngringsavverkning</t>
        </is>
      </c>
      <c r="D277" s="1" t="n">
        <v>45290</v>
      </c>
      <c r="E277" s="1" t="n">
        <v>46254</v>
      </c>
      <c r="F277" t="inlineStr">
        <is>
          <t>GOTLANDS LÄN</t>
        </is>
      </c>
      <c r="G277" t="inlineStr">
        <is>
          <t>GOTLAND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30956-2024</t>
        </is>
      </c>
      <c r="B278" t="inlineStr">
        <is>
          <t>avverkningsanmälan</t>
        </is>
      </c>
      <c r="C278" t="inlineStr">
        <is>
          <t>Föryngringsavverkning</t>
        </is>
      </c>
      <c r="D278" s="1" t="n">
        <v>45499</v>
      </c>
      <c r="E278" s="1" t="n">
        <v>46254</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12596-2023</t>
        </is>
      </c>
      <c r="B279" t="inlineStr">
        <is>
          <t>avverkningsanmälan</t>
        </is>
      </c>
      <c r="C279" t="inlineStr">
        <is>
          <t>Föryngringsavverkning</t>
        </is>
      </c>
      <c r="D279" s="1" t="n">
        <v>45000</v>
      </c>
      <c r="E279" s="1" t="n">
        <v>46254</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46254</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65901-2021</t>
        </is>
      </c>
      <c r="B281" t="inlineStr">
        <is>
          <t>avverkningsanmälan</t>
        </is>
      </c>
      <c r="C281" t="inlineStr">
        <is>
          <t>Föryngringsavverkning</t>
        </is>
      </c>
      <c r="D281" s="1" t="n">
        <v>44516</v>
      </c>
      <c r="E281" s="1" t="n">
        <v>46254</v>
      </c>
      <c r="F281" t="inlineStr">
        <is>
          <t>GOTLANDS LÄN</t>
        </is>
      </c>
      <c r="G281" t="inlineStr">
        <is>
          <t>GOTLAND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47762-2023</t>
        </is>
      </c>
      <c r="B282" t="inlineStr">
        <is>
          <t>avverkningsanmälan</t>
        </is>
      </c>
      <c r="C282" t="inlineStr">
        <is>
          <t>Föryngringsavverkning</t>
        </is>
      </c>
      <c r="D282" s="1" t="n">
        <v>45203</v>
      </c>
      <c r="E282" s="1" t="n">
        <v>46254</v>
      </c>
      <c r="F282" t="inlineStr">
        <is>
          <t>GOTLANDS LÄN</t>
        </is>
      </c>
      <c r="G282" t="inlineStr">
        <is>
          <t>GOTLAND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24192-2023</t>
        </is>
      </c>
      <c r="B283" t="inlineStr">
        <is>
          <t>avverkningsanmälan</t>
        </is>
      </c>
      <c r="C283" t="inlineStr">
        <is>
          <t>Föryngringsavverkning</t>
        </is>
      </c>
      <c r="D283" s="1" t="n">
        <v>45079</v>
      </c>
      <c r="E283" s="1" t="n">
        <v>46254</v>
      </c>
      <c r="F283" t="inlineStr">
        <is>
          <t>GOTLANDS LÄN</t>
        </is>
      </c>
      <c r="G283" t="inlineStr">
        <is>
          <t>GOTLAND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30282-2022</t>
        </is>
      </c>
      <c r="B284" t="inlineStr">
        <is>
          <t>avverkningsanmälan</t>
        </is>
      </c>
      <c r="C284" t="inlineStr">
        <is>
          <t>Föryngringsavverkning</t>
        </is>
      </c>
      <c r="D284" s="1" t="n">
        <v>44760</v>
      </c>
      <c r="E284" s="1" t="n">
        <v>46254</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10650-2022</t>
        </is>
      </c>
      <c r="B285" t="inlineStr">
        <is>
          <t>avverkningsanmälan</t>
        </is>
      </c>
      <c r="C285" t="inlineStr">
        <is>
          <t>Föryngringsavverkning</t>
        </is>
      </c>
      <c r="D285" s="1" t="n">
        <v>44624</v>
      </c>
      <c r="E285" s="1" t="n">
        <v>46254</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7835-2024</t>
        </is>
      </c>
      <c r="B286" t="inlineStr">
        <is>
          <t>avverkningsanmälan</t>
        </is>
      </c>
      <c r="C286" t="inlineStr">
        <is>
          <t>Föryngringsavverkning</t>
        </is>
      </c>
      <c r="D286" s="1" t="n">
        <v>45349</v>
      </c>
      <c r="E286" s="1" t="n">
        <v>46254</v>
      </c>
      <c r="F286" t="inlineStr">
        <is>
          <t>GOTLANDS LÄN</t>
        </is>
      </c>
      <c r="G286" t="inlineStr">
        <is>
          <t>GOTLAND</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28425-2023</t>
        </is>
      </c>
      <c r="B287" t="inlineStr">
        <is>
          <t>avverkningsanmälan</t>
        </is>
      </c>
      <c r="C287" t="inlineStr">
        <is>
          <t>Föryngringsavverkning</t>
        </is>
      </c>
      <c r="D287" s="1" t="n">
        <v>45102</v>
      </c>
      <c r="E287" s="1" t="n">
        <v>46254</v>
      </c>
      <c r="F287" t="inlineStr">
        <is>
          <t>GOTLANDS LÄN</t>
        </is>
      </c>
      <c r="G287" t="inlineStr">
        <is>
          <t>GOTLAND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13037-2025</t>
        </is>
      </c>
      <c r="B288" t="inlineStr">
        <is>
          <t>avverkningsanmälan</t>
        </is>
      </c>
      <c r="C288" t="inlineStr">
        <is>
          <t>Avverkning för att bevara och utveckla /försöksver</t>
        </is>
      </c>
      <c r="D288" s="1" t="n">
        <v>45734</v>
      </c>
      <c r="E288" s="1" t="n">
        <v>46254</v>
      </c>
      <c r="F288" t="inlineStr">
        <is>
          <t>GOTLANDS LÄN</t>
        </is>
      </c>
      <c r="G288" t="inlineStr">
        <is>
          <t>GOTLAND</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58780-2024</t>
        </is>
      </c>
      <c r="B289" t="inlineStr">
        <is>
          <t>avverkningsanmälan</t>
        </is>
      </c>
      <c r="C289" t="inlineStr">
        <is>
          <t>Föryngringsavverkning</t>
        </is>
      </c>
      <c r="D289" s="1" t="n">
        <v>45635</v>
      </c>
      <c r="E289" s="1" t="n">
        <v>46254</v>
      </c>
      <c r="F289" t="inlineStr">
        <is>
          <t>GOTLANDS LÄN</t>
        </is>
      </c>
      <c r="G289" t="inlineStr">
        <is>
          <t>GOTLAND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12322-2025</t>
        </is>
      </c>
      <c r="B290" t="inlineStr">
        <is>
          <t>avverkningsanmälan</t>
        </is>
      </c>
      <c r="C290" t="inlineStr">
        <is>
          <t>Föryngringsavverkning</t>
        </is>
      </c>
      <c r="D290" s="1" t="n">
        <v>45730</v>
      </c>
      <c r="E290" s="1" t="n">
        <v>46254</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10746-2025</t>
        </is>
      </c>
      <c r="B291" t="inlineStr">
        <is>
          <t>avverkningsanmälan</t>
        </is>
      </c>
      <c r="C291" t="inlineStr">
        <is>
          <t>Föryngringsavverkning</t>
        </is>
      </c>
      <c r="D291" s="1" t="n">
        <v>45722</v>
      </c>
      <c r="E291" s="1" t="n">
        <v>46254</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43229-2023</t>
        </is>
      </c>
      <c r="B292" t="inlineStr">
        <is>
          <t>avverkningsanmälan</t>
        </is>
      </c>
      <c r="C292" t="inlineStr">
        <is>
          <t>Föryngringsavverkning</t>
        </is>
      </c>
      <c r="D292" s="1" t="n">
        <v>45183</v>
      </c>
      <c r="E292" s="1" t="n">
        <v>46254</v>
      </c>
      <c r="F292" t="inlineStr">
        <is>
          <t>GOTLANDS LÄN</t>
        </is>
      </c>
      <c r="G292" t="inlineStr">
        <is>
          <t>GOTLAND</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41038-2023</t>
        </is>
      </c>
      <c r="B293" t="inlineStr">
        <is>
          <t>avverkningsanmälan</t>
        </is>
      </c>
      <c r="C293" t="inlineStr">
        <is>
          <t>Föryngringsavverkning</t>
        </is>
      </c>
      <c r="D293" s="1" t="n">
        <v>45173</v>
      </c>
      <c r="E293" s="1" t="n">
        <v>46254</v>
      </c>
      <c r="F293" t="inlineStr">
        <is>
          <t>GOTLANDS LÄN</t>
        </is>
      </c>
      <c r="G293" t="inlineStr">
        <is>
          <t>GOTLAND</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35142-2025</t>
        </is>
      </c>
      <c r="B294" t="inlineStr">
        <is>
          <t>avverkningsanmälan</t>
        </is>
      </c>
      <c r="C294" t="inlineStr">
        <is>
          <t>Föryngringsavverkning</t>
        </is>
      </c>
      <c r="D294" s="1" t="n">
        <v>45852</v>
      </c>
      <c r="E294" s="1" t="n">
        <v>46254</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35537-2025</t>
        </is>
      </c>
      <c r="B295" t="inlineStr">
        <is>
          <t>avverkningsanmälan</t>
        </is>
      </c>
      <c r="C295" t="inlineStr">
        <is>
          <t>Föryngringsavverkning</t>
        </is>
      </c>
      <c r="D295" s="1" t="n">
        <v>45856</v>
      </c>
      <c r="E295" s="1" t="n">
        <v>46254</v>
      </c>
      <c r="F295" t="inlineStr">
        <is>
          <t>GOTLANDS LÄN</t>
        </is>
      </c>
      <c r="G295" t="inlineStr">
        <is>
          <t>GOTLAND</t>
        </is>
      </c>
      <c r="I295" t="n">
        <v>16.8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35141-2025</t>
        </is>
      </c>
      <c r="B296" t="inlineStr">
        <is>
          <t>avverkningsanmälan</t>
        </is>
      </c>
      <c r="C296" t="inlineStr">
        <is>
          <t>Föryngringsavverkning</t>
        </is>
      </c>
      <c r="D296" s="1" t="n">
        <v>45852</v>
      </c>
      <c r="E296" s="1" t="n">
        <v>46254</v>
      </c>
      <c r="F296" t="inlineStr">
        <is>
          <t>GOTLANDS LÄN</t>
        </is>
      </c>
      <c r="G296" t="inlineStr">
        <is>
          <t>GOTLAND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20225-2025</t>
        </is>
      </c>
      <c r="B297" t="inlineStr">
        <is>
          <t>avverkningsanmälan</t>
        </is>
      </c>
      <c r="C297" t="inlineStr">
        <is>
          <t>Föryngringsavverkning</t>
        </is>
      </c>
      <c r="D297" s="1" t="n">
        <v>45772</v>
      </c>
      <c r="E297" s="1" t="n">
        <v>46254</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6959-2026</t>
        </is>
      </c>
      <c r="B298" t="inlineStr">
        <is>
          <t>avverkningsanmälan</t>
        </is>
      </c>
      <c r="C298" t="inlineStr">
        <is>
          <t>Föryngringsavverkning</t>
        </is>
      </c>
      <c r="D298" s="1" t="n">
        <v>46057</v>
      </c>
      <c r="E298" s="1" t="n">
        <v>46254</v>
      </c>
      <c r="F298" t="inlineStr">
        <is>
          <t>GOTLANDS LÄN</t>
        </is>
      </c>
      <c r="G298" t="inlineStr">
        <is>
          <t>GOTLAND</t>
        </is>
      </c>
      <c r="H298" t="inlineStr">
        <is>
          <t>Kyrkan</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29207-2025</t>
        </is>
      </c>
      <c r="B299" t="inlineStr">
        <is>
          <t>avverkningsanmälan</t>
        </is>
      </c>
      <c r="C299" t="inlineStr">
        <is>
          <t>Föryngringsavverkning</t>
        </is>
      </c>
      <c r="D299" s="1" t="n">
        <v>45823</v>
      </c>
      <c r="E299" s="1" t="n">
        <v>46254</v>
      </c>
      <c r="F299" t="inlineStr">
        <is>
          <t>GOTLANDS LÄN</t>
        </is>
      </c>
      <c r="G299" t="inlineStr">
        <is>
          <t>GOTLAND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57652-2023</t>
        </is>
      </c>
      <c r="B300" t="inlineStr">
        <is>
          <t>avverkningsanmälan</t>
        </is>
      </c>
      <c r="C300" t="inlineStr">
        <is>
          <t>Avverkning för annat ändamål</t>
        </is>
      </c>
      <c r="D300" s="1" t="n">
        <v>45246</v>
      </c>
      <c r="E300" s="1" t="n">
        <v>46254</v>
      </c>
      <c r="F300" t="inlineStr">
        <is>
          <t>GOTLANDS LÄN</t>
        </is>
      </c>
      <c r="G300" t="inlineStr">
        <is>
          <t>GOTLAND</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12599-2025</t>
        </is>
      </c>
      <c r="B301" t="inlineStr">
        <is>
          <t>avverkningsanmälan</t>
        </is>
      </c>
      <c r="C301" t="inlineStr">
        <is>
          <t>Föryngringsavverkning</t>
        </is>
      </c>
      <c r="D301" s="1" t="n">
        <v>45733</v>
      </c>
      <c r="E301" s="1" t="n">
        <v>46254</v>
      </c>
      <c r="F301" t="inlineStr">
        <is>
          <t>GOTLANDS LÄN</t>
        </is>
      </c>
      <c r="G301" t="inlineStr">
        <is>
          <t>GOTLAND</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57522-2022</t>
        </is>
      </c>
      <c r="B302" t="inlineStr">
        <is>
          <t>avverkningsanmälan</t>
        </is>
      </c>
      <c r="C302" t="inlineStr">
        <is>
          <t>Föryngringsavverkning</t>
        </is>
      </c>
      <c r="D302" s="1" t="n">
        <v>44896</v>
      </c>
      <c r="E302" s="1" t="n">
        <v>46254</v>
      </c>
      <c r="F302" t="inlineStr">
        <is>
          <t>GOTLANDS LÄN</t>
        </is>
      </c>
      <c r="G302" t="inlineStr">
        <is>
          <t>GOTLAND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14797-2024</t>
        </is>
      </c>
      <c r="B303" t="inlineStr">
        <is>
          <t>avverkningsanmälan</t>
        </is>
      </c>
      <c r="C303" t="inlineStr">
        <is>
          <t>Föryngringsavverkning</t>
        </is>
      </c>
      <c r="D303" s="1" t="n">
        <v>45397</v>
      </c>
      <c r="E303" s="1" t="n">
        <v>46254</v>
      </c>
      <c r="F303" t="inlineStr">
        <is>
          <t>GOTLANDS LÄN</t>
        </is>
      </c>
      <c r="G303" t="inlineStr">
        <is>
          <t>GOTLAND</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32379-2025</t>
        </is>
      </c>
      <c r="B304" t="inlineStr">
        <is>
          <t>avverkningsanmälan</t>
        </is>
      </c>
      <c r="C304" t="inlineStr">
        <is>
          <t>Föryngringsavverkning</t>
        </is>
      </c>
      <c r="D304" s="1" t="n">
        <v>45837</v>
      </c>
      <c r="E304" s="1" t="n">
        <v>46254</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46254</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39816-2025</t>
        </is>
      </c>
      <c r="B306" t="inlineStr">
        <is>
          <t>avverkningsanmälan</t>
        </is>
      </c>
      <c r="C306" t="inlineStr">
        <is>
          <t>Föryngringsavverkning</t>
        </is>
      </c>
      <c r="D306" s="1" t="n">
        <v>45891</v>
      </c>
      <c r="E306" s="1" t="n">
        <v>46254</v>
      </c>
      <c r="F306" t="inlineStr">
        <is>
          <t>GOTLANDS LÄN</t>
        </is>
      </c>
      <c r="G306" t="inlineStr">
        <is>
          <t>GOTLAND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40372-2025</t>
        </is>
      </c>
      <c r="B307" t="inlineStr">
        <is>
          <t>avverkningsanmälan</t>
        </is>
      </c>
      <c r="C307" t="inlineStr">
        <is>
          <t>Föryngringsavverkning</t>
        </is>
      </c>
      <c r="D307" s="1" t="n">
        <v>45895</v>
      </c>
      <c r="E307" s="1" t="n">
        <v>46254</v>
      </c>
      <c r="F307" t="inlineStr">
        <is>
          <t>GOTLANDS LÄN</t>
        </is>
      </c>
      <c r="G307" t="inlineStr">
        <is>
          <t>GOTLAND</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40373-2025</t>
        </is>
      </c>
      <c r="B308" t="inlineStr">
        <is>
          <t>avverkningsanmälan</t>
        </is>
      </c>
      <c r="C308" t="inlineStr">
        <is>
          <t>Föryngringsavverkning</t>
        </is>
      </c>
      <c r="D308" s="1" t="n">
        <v>45895</v>
      </c>
      <c r="E308" s="1" t="n">
        <v>46254</v>
      </c>
      <c r="F308" t="inlineStr">
        <is>
          <t>GOTLANDS LÄN</t>
        </is>
      </c>
      <c r="G308" t="inlineStr">
        <is>
          <t>GOTLAND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1394-2023</t>
        </is>
      </c>
      <c r="B309" t="inlineStr">
        <is>
          <t>avverkningsanmälan</t>
        </is>
      </c>
      <c r="C309" t="inlineStr">
        <is>
          <t>Föryngringsavverkning</t>
        </is>
      </c>
      <c r="D309" s="1" t="n">
        <v>44936</v>
      </c>
      <c r="E309" s="1" t="n">
        <v>46254</v>
      </c>
      <c r="F309" t="inlineStr">
        <is>
          <t>GOTLANDS LÄN</t>
        </is>
      </c>
      <c r="G309" t="inlineStr">
        <is>
          <t>GOTLAND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2676-2023</t>
        </is>
      </c>
      <c r="B310" t="inlineStr">
        <is>
          <t>avverkningsanmälan</t>
        </is>
      </c>
      <c r="C310" t="inlineStr">
        <is>
          <t>Avverkning för annat ändamål</t>
        </is>
      </c>
      <c r="D310" s="1" t="n">
        <v>44944</v>
      </c>
      <c r="E310" s="1" t="n">
        <v>46254</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4387-2023</t>
        </is>
      </c>
      <c r="B311" t="inlineStr">
        <is>
          <t>avverkningsanmälan</t>
        </is>
      </c>
      <c r="C311" t="inlineStr">
        <is>
          <t>Föryngringsavverkning</t>
        </is>
      </c>
      <c r="D311" s="1" t="n">
        <v>44955</v>
      </c>
      <c r="E311" s="1" t="n">
        <v>46254</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37728-2024</t>
        </is>
      </c>
      <c r="B312" t="inlineStr">
        <is>
          <t>avverkningsanmälan</t>
        </is>
      </c>
      <c r="C312" t="inlineStr">
        <is>
          <t>Föryngringsavverkning</t>
        </is>
      </c>
      <c r="D312" s="1" t="n">
        <v>45541</v>
      </c>
      <c r="E312" s="1" t="n">
        <v>46254</v>
      </c>
      <c r="F312" t="inlineStr">
        <is>
          <t>GOTLANDS LÄN</t>
        </is>
      </c>
      <c r="G312" t="inlineStr">
        <is>
          <t>GOTLAND</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38165-2023</t>
        </is>
      </c>
      <c r="B313" t="inlineStr">
        <is>
          <t>avverkningsanmälan</t>
        </is>
      </c>
      <c r="C313" t="inlineStr">
        <is>
          <t>Föryngringsavverkning</t>
        </is>
      </c>
      <c r="D313" s="1" t="n">
        <v>45161</v>
      </c>
      <c r="E313" s="1" t="n">
        <v>46254</v>
      </c>
      <c r="F313" t="inlineStr">
        <is>
          <t>GOTLANDS LÄN</t>
        </is>
      </c>
      <c r="G313" t="inlineStr">
        <is>
          <t>GOTLAND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20356-2022</t>
        </is>
      </c>
      <c r="B314" t="inlineStr">
        <is>
          <t>avverkningsanmälan</t>
        </is>
      </c>
      <c r="C314" t="inlineStr">
        <is>
          <t>Avverkning för annat ändamål</t>
        </is>
      </c>
      <c r="D314" s="1" t="n">
        <v>44699</v>
      </c>
      <c r="E314" s="1" t="n">
        <v>46254</v>
      </c>
      <c r="F314" t="inlineStr">
        <is>
          <t>GOTLANDS LÄN</t>
        </is>
      </c>
      <c r="G314" t="inlineStr">
        <is>
          <t>GOTLAND</t>
        </is>
      </c>
      <c r="H314" t="inlineStr">
        <is>
          <t>Övriga Aktiebolag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22275-2023</t>
        </is>
      </c>
      <c r="B315" t="inlineStr">
        <is>
          <t>avverkningsanmälan</t>
        </is>
      </c>
      <c r="C315" t="inlineStr">
        <is>
          <t>Föryngringsavverkning</t>
        </is>
      </c>
      <c r="D315" s="1" t="n">
        <v>45070</v>
      </c>
      <c r="E315" s="1" t="n">
        <v>46254</v>
      </c>
      <c r="F315" t="inlineStr">
        <is>
          <t>GOTLANDS LÄN</t>
        </is>
      </c>
      <c r="G315" t="inlineStr">
        <is>
          <t>GOTLAND</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14635-2023</t>
        </is>
      </c>
      <c r="B316" t="inlineStr">
        <is>
          <t>avverkningsanmälan</t>
        </is>
      </c>
      <c r="C316" t="inlineStr">
        <is>
          <t>Föryngringsavverkning</t>
        </is>
      </c>
      <c r="D316" s="1" t="n">
        <v>45013</v>
      </c>
      <c r="E316" s="1" t="n">
        <v>46254</v>
      </c>
      <c r="F316" t="inlineStr">
        <is>
          <t>GOTLANDS LÄN</t>
        </is>
      </c>
      <c r="G316" t="inlineStr">
        <is>
          <t>GOTLAND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63763-2023</t>
        </is>
      </c>
      <c r="B317" t="inlineStr">
        <is>
          <t>avverkningsanmälan</t>
        </is>
      </c>
      <c r="C317" t="inlineStr">
        <is>
          <t>Föryngringsavverkning</t>
        </is>
      </c>
      <c r="D317" s="1" t="n">
        <v>45278</v>
      </c>
      <c r="E317" s="1" t="n">
        <v>46254</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7636-2025</t>
        </is>
      </c>
      <c r="B318" t="inlineStr">
        <is>
          <t>avverkningsanmälan</t>
        </is>
      </c>
      <c r="C318" t="inlineStr">
        <is>
          <t>Föryngringsavverkning</t>
        </is>
      </c>
      <c r="D318" s="1" t="n">
        <v>45705</v>
      </c>
      <c r="E318" s="1" t="n">
        <v>46254</v>
      </c>
      <c r="F318" t="inlineStr">
        <is>
          <t>GOTLANDS LÄN</t>
        </is>
      </c>
      <c r="G318" t="inlineStr">
        <is>
          <t>GOTLAND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7639-2025</t>
        </is>
      </c>
      <c r="B319" t="inlineStr">
        <is>
          <t>avverkningsanmälan</t>
        </is>
      </c>
      <c r="C319" t="inlineStr">
        <is>
          <t>Föryngringsavverkning</t>
        </is>
      </c>
      <c r="D319" s="1" t="n">
        <v>45705</v>
      </c>
      <c r="E319" s="1" t="n">
        <v>46254</v>
      </c>
      <c r="F319" t="inlineStr">
        <is>
          <t>GOTLANDS LÄN</t>
        </is>
      </c>
      <c r="G319" t="inlineStr">
        <is>
          <t>GOTLAND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61682-2024</t>
        </is>
      </c>
      <c r="B320" t="inlineStr">
        <is>
          <t>avverkningsanmälan</t>
        </is>
      </c>
      <c r="C320" t="inlineStr">
        <is>
          <t>Föryngringsavverkning</t>
        </is>
      </c>
      <c r="D320" s="1" t="n">
        <v>45647</v>
      </c>
      <c r="E320" s="1" t="n">
        <v>46254</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15434-2024</t>
        </is>
      </c>
      <c r="B321" t="inlineStr">
        <is>
          <t>avverkningsanmälan</t>
        </is>
      </c>
      <c r="C321" t="inlineStr">
        <is>
          <t>Föryngringsavverkning</t>
        </is>
      </c>
      <c r="D321" s="1" t="n">
        <v>45401</v>
      </c>
      <c r="E321" s="1" t="n">
        <v>46254</v>
      </c>
      <c r="F321" t="inlineStr">
        <is>
          <t>GOTLANDS LÄN</t>
        </is>
      </c>
      <c r="G321" t="inlineStr">
        <is>
          <t>GOTLAND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7034-2023</t>
        </is>
      </c>
      <c r="B322" t="inlineStr">
        <is>
          <t>avverkningsanmälan</t>
        </is>
      </c>
      <c r="C322" t="inlineStr">
        <is>
          <t>Föryngringsavverkning</t>
        </is>
      </c>
      <c r="D322" s="1" t="n">
        <v>44968</v>
      </c>
      <c r="E322" s="1" t="n">
        <v>46254</v>
      </c>
      <c r="F322" t="inlineStr">
        <is>
          <t>GOTLANDS LÄN</t>
        </is>
      </c>
      <c r="G322" t="inlineStr">
        <is>
          <t>GOTLAND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54074-2022</t>
        </is>
      </c>
      <c r="B323" t="inlineStr">
        <is>
          <t>avverkningsanmälan</t>
        </is>
      </c>
      <c r="C323" t="inlineStr">
        <is>
          <t>Föryngringsavverkning</t>
        </is>
      </c>
      <c r="D323" s="1" t="n">
        <v>44881</v>
      </c>
      <c r="E323" s="1" t="n">
        <v>46254</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61694-2023</t>
        </is>
      </c>
      <c r="B324" t="inlineStr">
        <is>
          <t>avverkningsanmälan</t>
        </is>
      </c>
      <c r="C324" t="inlineStr">
        <is>
          <t>Föryngringsavverkning</t>
        </is>
      </c>
      <c r="D324" s="1" t="n">
        <v>45264</v>
      </c>
      <c r="E324" s="1" t="n">
        <v>46254</v>
      </c>
      <c r="F324" t="inlineStr">
        <is>
          <t>GOTLANDS LÄN</t>
        </is>
      </c>
      <c r="G324" t="inlineStr">
        <is>
          <t>GOTLAND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54268-2022</t>
        </is>
      </c>
      <c r="B325" t="inlineStr">
        <is>
          <t>avverkningsanmälan</t>
        </is>
      </c>
      <c r="C325" t="inlineStr">
        <is>
          <t>Föryngringsavverkning</t>
        </is>
      </c>
      <c r="D325" s="1" t="n">
        <v>44882</v>
      </c>
      <c r="E325" s="1" t="n">
        <v>46254</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1446-2025</t>
        </is>
      </c>
      <c r="B326" t="inlineStr">
        <is>
          <t>avverkningsanmälan</t>
        </is>
      </c>
      <c r="C326" t="inlineStr">
        <is>
          <t>Föryngringsavverkning</t>
        </is>
      </c>
      <c r="D326" s="1" t="n">
        <v>45669</v>
      </c>
      <c r="E326" s="1" t="n">
        <v>46254</v>
      </c>
      <c r="F326" t="inlineStr">
        <is>
          <t>GOTLANDS LÄN</t>
        </is>
      </c>
      <c r="G326" t="inlineStr">
        <is>
          <t>GOTLAND</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1462-2025</t>
        </is>
      </c>
      <c r="B327" t="inlineStr">
        <is>
          <t>avverkningsanmälan</t>
        </is>
      </c>
      <c r="C327" t="inlineStr">
        <is>
          <t>Föryngringsavverkning</t>
        </is>
      </c>
      <c r="D327" s="1" t="n">
        <v>45670</v>
      </c>
      <c r="E327" s="1" t="n">
        <v>46254</v>
      </c>
      <c r="F327" t="inlineStr">
        <is>
          <t>GOTLANDS LÄN</t>
        </is>
      </c>
      <c r="G327" t="inlineStr">
        <is>
          <t>GOTLAND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57685-2022</t>
        </is>
      </c>
      <c r="B328" t="inlineStr">
        <is>
          <t>avverkningsanmälan</t>
        </is>
      </c>
      <c r="C328" t="inlineStr">
        <is>
          <t>Föryngringsavverkning</t>
        </is>
      </c>
      <c r="D328" s="1" t="n">
        <v>44897</v>
      </c>
      <c r="E328" s="1" t="n">
        <v>46254</v>
      </c>
      <c r="F328" t="inlineStr">
        <is>
          <t>GOTLANDS LÄN</t>
        </is>
      </c>
      <c r="G328" t="inlineStr">
        <is>
          <t>GOTLAND</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811-2023</t>
        </is>
      </c>
      <c r="B329" t="inlineStr">
        <is>
          <t>avverkningsanmälan</t>
        </is>
      </c>
      <c r="C329" t="inlineStr">
        <is>
          <t>Föryngringsavverkning</t>
        </is>
      </c>
      <c r="D329" s="1" t="n">
        <v>44931</v>
      </c>
      <c r="E329" s="1" t="n">
        <v>46254</v>
      </c>
      <c r="F329" t="inlineStr">
        <is>
          <t>GOTLANDS LÄN</t>
        </is>
      </c>
      <c r="G329" t="inlineStr">
        <is>
          <t>GOTLAND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22275-2026</t>
        </is>
      </c>
      <c r="B330" t="inlineStr">
        <is>
          <t>avverkningsanmälan</t>
        </is>
      </c>
      <c r="C330" t="inlineStr">
        <is>
          <t>Föryngringsavverkning</t>
        </is>
      </c>
      <c r="D330" s="1" t="n">
        <v>46154</v>
      </c>
      <c r="E330" s="1" t="n">
        <v>46254</v>
      </c>
      <c r="F330" t="inlineStr">
        <is>
          <t>GOTLANDS LÄN</t>
        </is>
      </c>
      <c r="G330" t="inlineStr">
        <is>
          <t>GOTLAND</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46254</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22348-2026</t>
        </is>
      </c>
      <c r="B332" t="inlineStr">
        <is>
          <t>avverkningsanmälan</t>
        </is>
      </c>
      <c r="C332" t="inlineStr">
        <is>
          <t>Föryngringsavverkning</t>
        </is>
      </c>
      <c r="D332" s="1" t="n">
        <v>46154</v>
      </c>
      <c r="E332" s="1" t="n">
        <v>46254</v>
      </c>
      <c r="F332" t="inlineStr">
        <is>
          <t>GOTLANDS LÄN</t>
        </is>
      </c>
      <c r="G332" t="inlineStr">
        <is>
          <t>GOTLAND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22351-2026</t>
        </is>
      </c>
      <c r="B333" t="inlineStr">
        <is>
          <t>avverkningsanmälan</t>
        </is>
      </c>
      <c r="C333" t="inlineStr">
        <is>
          <t>Föryngringsavverkning</t>
        </is>
      </c>
      <c r="D333" s="1" t="n">
        <v>46154</v>
      </c>
      <c r="E333" s="1" t="n">
        <v>46254</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22281-2026</t>
        </is>
      </c>
      <c r="B334" t="inlineStr">
        <is>
          <t>avverkningsanmälan</t>
        </is>
      </c>
      <c r="C334" t="inlineStr">
        <is>
          <t>Avverkning för annat ändamål</t>
        </is>
      </c>
      <c r="D334" s="1" t="n">
        <v>46154</v>
      </c>
      <c r="E334" s="1" t="n">
        <v>46254</v>
      </c>
      <c r="F334" t="inlineStr">
        <is>
          <t>GOTLANDS LÄN</t>
        </is>
      </c>
      <c r="G334" t="inlineStr">
        <is>
          <t>GOTLAND</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3431-2025</t>
        </is>
      </c>
      <c r="B335" t="inlineStr">
        <is>
          <t>avverkningsanmälan</t>
        </is>
      </c>
      <c r="C335" t="inlineStr">
        <is>
          <t>Föryngringsavverkning</t>
        </is>
      </c>
      <c r="D335" s="1" t="n">
        <v>45680</v>
      </c>
      <c r="E335" s="1" t="n">
        <v>46254</v>
      </c>
      <c r="F335" t="inlineStr">
        <is>
          <t>GOTLANDS LÄN</t>
        </is>
      </c>
      <c r="G335" t="inlineStr">
        <is>
          <t>GOTLAND</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34407-2023</t>
        </is>
      </c>
      <c r="B336" t="inlineStr">
        <is>
          <t>avverkningsanmälan</t>
        </is>
      </c>
      <c r="C336" t="inlineStr">
        <is>
          <t>Föryngringsavverkning</t>
        </is>
      </c>
      <c r="D336" s="1" t="n">
        <v>45132</v>
      </c>
      <c r="E336" s="1" t="n">
        <v>46254</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30892-2024</t>
        </is>
      </c>
      <c r="B337" t="inlineStr">
        <is>
          <t>avverkningsanmälan</t>
        </is>
      </c>
      <c r="C337" t="inlineStr">
        <is>
          <t>Föryngringsavverkning</t>
        </is>
      </c>
      <c r="D337" s="1" t="n">
        <v>45491</v>
      </c>
      <c r="E337" s="1" t="n">
        <v>46254</v>
      </c>
      <c r="F337" t="inlineStr">
        <is>
          <t>GOTLANDS LÄN</t>
        </is>
      </c>
      <c r="G337" t="inlineStr">
        <is>
          <t>GOTLAND</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7858-2025</t>
        </is>
      </c>
      <c r="B338" t="inlineStr">
        <is>
          <t>avverkningsanmälan</t>
        </is>
      </c>
      <c r="C338" t="inlineStr">
        <is>
          <t>Föryngringsavverkning</t>
        </is>
      </c>
      <c r="D338" s="1" t="n">
        <v>45706</v>
      </c>
      <c r="E338" s="1" t="n">
        <v>46254</v>
      </c>
      <c r="F338" t="inlineStr">
        <is>
          <t>GOTLANDS LÄN</t>
        </is>
      </c>
      <c r="G338" t="inlineStr">
        <is>
          <t>GOTLAND</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22887-2026</t>
        </is>
      </c>
      <c r="B339" t="inlineStr">
        <is>
          <t>avverkningsanmälan</t>
        </is>
      </c>
      <c r="C339" t="inlineStr">
        <is>
          <t>Avverkning för att bevara och utveckla /försöksver</t>
        </is>
      </c>
      <c r="D339" s="1" t="n">
        <v>46160</v>
      </c>
      <c r="E339" s="1" t="n">
        <v>46254</v>
      </c>
      <c r="F339" t="inlineStr">
        <is>
          <t>GOTLANDS LÄN</t>
        </is>
      </c>
      <c r="G339" t="inlineStr">
        <is>
          <t>GOTLAND</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23103-2026</t>
        </is>
      </c>
      <c r="B340" t="inlineStr">
        <is>
          <t>avverkningsanmälan</t>
        </is>
      </c>
      <c r="C340" t="inlineStr">
        <is>
          <t>Föryngringsavverkning</t>
        </is>
      </c>
      <c r="D340" s="1" t="n">
        <v>46161</v>
      </c>
      <c r="E340" s="1" t="n">
        <v>46254</v>
      </c>
      <c r="F340" t="inlineStr">
        <is>
          <t>GOTLANDS LÄN</t>
        </is>
      </c>
      <c r="G340" t="inlineStr">
        <is>
          <t>GOTLAND</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2125-2025</t>
        </is>
      </c>
      <c r="B341" t="inlineStr">
        <is>
          <t>avverkningsanmälan</t>
        </is>
      </c>
      <c r="C341" t="inlineStr">
        <is>
          <t>Föryngringsavverkning</t>
        </is>
      </c>
      <c r="D341" s="1" t="n">
        <v>45672</v>
      </c>
      <c r="E341" s="1" t="n">
        <v>46254</v>
      </c>
      <c r="F341" t="inlineStr">
        <is>
          <t>GOTLANDS LÄN</t>
        </is>
      </c>
      <c r="G341" t="inlineStr">
        <is>
          <t>GOTLAND</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35096-2025</t>
        </is>
      </c>
      <c r="B342" t="inlineStr">
        <is>
          <t>avverkningsanmälan</t>
        </is>
      </c>
      <c r="C342" t="inlineStr">
        <is>
          <t>Föryngringsavverkning</t>
        </is>
      </c>
      <c r="D342" s="1" t="n">
        <v>45852</v>
      </c>
      <c r="E342" s="1" t="n">
        <v>46254</v>
      </c>
      <c r="F342" t="inlineStr">
        <is>
          <t>GOTLANDS LÄN</t>
        </is>
      </c>
      <c r="G342" t="inlineStr">
        <is>
          <t>GOTLAND</t>
        </is>
      </c>
      <c r="H342" t="inlineStr">
        <is>
          <t>Kyrkan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12155-2023</t>
        </is>
      </c>
      <c r="B343" t="inlineStr">
        <is>
          <t>avverkningsanmälan</t>
        </is>
      </c>
      <c r="C343" t="inlineStr">
        <is>
          <t>Föryngringsavverkning</t>
        </is>
      </c>
      <c r="D343" s="1" t="n">
        <v>44998</v>
      </c>
      <c r="E343" s="1" t="n">
        <v>46254</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43951-2025</t>
        </is>
      </c>
      <c r="B344" t="inlineStr">
        <is>
          <t>avverkningsanmälan</t>
        </is>
      </c>
      <c r="C344" t="inlineStr">
        <is>
          <t>Föryngringsavverkning</t>
        </is>
      </c>
      <c r="D344" s="1" t="n">
        <v>45915</v>
      </c>
      <c r="E344" s="1" t="n">
        <v>46254</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23504-2026</t>
        </is>
      </c>
      <c r="B345" t="inlineStr">
        <is>
          <t>avverkningsanmälan</t>
        </is>
      </c>
      <c r="C345" t="inlineStr">
        <is>
          <t>Föryngringsavverkning</t>
        </is>
      </c>
      <c r="D345" s="1" t="n">
        <v>46163</v>
      </c>
      <c r="E345" s="1" t="n">
        <v>46254</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2774-2024</t>
        </is>
      </c>
      <c r="B346" t="inlineStr">
        <is>
          <t>avverkningsanmälan</t>
        </is>
      </c>
      <c r="C346" t="inlineStr">
        <is>
          <t>Föryngringsavverkning</t>
        </is>
      </c>
      <c r="D346" s="1" t="n">
        <v>45314</v>
      </c>
      <c r="E346" s="1" t="n">
        <v>46254</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9947-2024</t>
        </is>
      </c>
      <c r="B347" t="inlineStr">
        <is>
          <t>avverkningsanmälan</t>
        </is>
      </c>
      <c r="C347" t="inlineStr">
        <is>
          <t>Föryngringsavverkning</t>
        </is>
      </c>
      <c r="D347" s="1" t="n">
        <v>45363</v>
      </c>
      <c r="E347" s="1" t="n">
        <v>46254</v>
      </c>
      <c r="F347" t="inlineStr">
        <is>
          <t>GOTLANDS LÄN</t>
        </is>
      </c>
      <c r="G347" t="inlineStr">
        <is>
          <t>GOTLAND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42007-2023</t>
        </is>
      </c>
      <c r="B348" t="inlineStr">
        <is>
          <t>avverkningsanmälan</t>
        </is>
      </c>
      <c r="C348" t="inlineStr">
        <is>
          <t>Avverkning för annat ändamål</t>
        </is>
      </c>
      <c r="D348" s="1" t="n">
        <v>45177</v>
      </c>
      <c r="E348" s="1" t="n">
        <v>46254</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15083-2025</t>
        </is>
      </c>
      <c r="B349" t="inlineStr">
        <is>
          <t>avverkningsanmälan</t>
        </is>
      </c>
      <c r="C349" t="inlineStr">
        <is>
          <t>Avverkning för annat ändamål</t>
        </is>
      </c>
      <c r="D349" s="1" t="n">
        <v>45743</v>
      </c>
      <c r="E349" s="1" t="n">
        <v>46254</v>
      </c>
      <c r="F349" t="inlineStr">
        <is>
          <t>GOTLANDS LÄN</t>
        </is>
      </c>
      <c r="G349" t="inlineStr">
        <is>
          <t>GOTLAND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30925-2026</t>
        </is>
      </c>
      <c r="B350" t="inlineStr">
        <is>
          <t>avverkningsanmälan</t>
        </is>
      </c>
      <c r="C350" t="inlineStr">
        <is>
          <t>Föryngringsavverkning</t>
        </is>
      </c>
      <c r="D350" s="1" t="n">
        <v>46213</v>
      </c>
      <c r="E350" s="1" t="n">
        <v>46254</v>
      </c>
      <c r="F350" t="inlineStr">
        <is>
          <t>GOTLANDS LÄN</t>
        </is>
      </c>
      <c r="G350" t="inlineStr">
        <is>
          <t>GOTLAND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24448-2026</t>
        </is>
      </c>
      <c r="B351" t="inlineStr">
        <is>
          <t>avverkningsanmälan</t>
        </is>
      </c>
      <c r="C351" t="inlineStr">
        <is>
          <t>Föryngringsavverkning</t>
        </is>
      </c>
      <c r="D351" s="1" t="n">
        <v>46170</v>
      </c>
      <c r="E351" s="1" t="n">
        <v>46254</v>
      </c>
      <c r="F351" t="inlineStr">
        <is>
          <t>GOTLANDS LÄN</t>
        </is>
      </c>
      <c r="G351" t="inlineStr">
        <is>
          <t>GOTLAND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30926-2026</t>
        </is>
      </c>
      <c r="B352" t="inlineStr">
        <is>
          <t>avverkningsanmälan</t>
        </is>
      </c>
      <c r="C352" t="inlineStr">
        <is>
          <t>Föryngringsavverkning</t>
        </is>
      </c>
      <c r="D352" s="1" t="n">
        <v>46213</v>
      </c>
      <c r="E352" s="1" t="n">
        <v>46254</v>
      </c>
      <c r="F352" t="inlineStr">
        <is>
          <t>GOTLANDS LÄN</t>
        </is>
      </c>
      <c r="G352" t="inlineStr">
        <is>
          <t>GOTLAND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37202-2024</t>
        </is>
      </c>
      <c r="B353" t="inlineStr">
        <is>
          <t>avverkningsanmälan</t>
        </is>
      </c>
      <c r="C353" t="inlineStr">
        <is>
          <t>Föryngringsavverkning</t>
        </is>
      </c>
      <c r="D353" s="1" t="n">
        <v>45539</v>
      </c>
      <c r="E353" s="1" t="n">
        <v>46254</v>
      </c>
      <c r="F353" t="inlineStr">
        <is>
          <t>GOTLANDS LÄN</t>
        </is>
      </c>
      <c r="G353" t="inlineStr">
        <is>
          <t>GOTLAND</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26391-2025</t>
        </is>
      </c>
      <c r="B354" t="inlineStr">
        <is>
          <t>avverkningsanmälan</t>
        </is>
      </c>
      <c r="C354" t="inlineStr">
        <is>
          <t>Avverkning för annat ändamål</t>
        </is>
      </c>
      <c r="D354" s="1" t="n">
        <v>45806</v>
      </c>
      <c r="E354" s="1" t="n">
        <v>46254</v>
      </c>
      <c r="F354" t="inlineStr">
        <is>
          <t>GOTLANDS LÄN</t>
        </is>
      </c>
      <c r="G354" t="inlineStr">
        <is>
          <t>GOTLAND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30815-2023</t>
        </is>
      </c>
      <c r="B355" t="inlineStr">
        <is>
          <t>avverkningsanmälan</t>
        </is>
      </c>
      <c r="C355" t="inlineStr">
        <is>
          <t>Avverkning för annat ändamål</t>
        </is>
      </c>
      <c r="D355" s="1" t="n">
        <v>45112</v>
      </c>
      <c r="E355" s="1" t="n">
        <v>46254</v>
      </c>
      <c r="F355" t="inlineStr">
        <is>
          <t>GOTLANDS LÄN</t>
        </is>
      </c>
      <c r="G355" t="inlineStr">
        <is>
          <t>GOTLAND</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46836-2025</t>
        </is>
      </c>
      <c r="B356" t="inlineStr">
        <is>
          <t>avverkningsanmälan</t>
        </is>
      </c>
      <c r="C356" t="inlineStr">
        <is>
          <t>Föryngringsavverkning</t>
        </is>
      </c>
      <c r="D356" s="1" t="n">
        <v>45928</v>
      </c>
      <c r="E356" s="1" t="n">
        <v>46254</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46400-2023</t>
        </is>
      </c>
      <c r="B357" t="inlineStr">
        <is>
          <t>avverkningsanmälan</t>
        </is>
      </c>
      <c r="C357" t="inlineStr">
        <is>
          <t>Föryngringsavverkning</t>
        </is>
      </c>
      <c r="D357" s="1" t="n">
        <v>45197</v>
      </c>
      <c r="E357" s="1" t="n">
        <v>46254</v>
      </c>
      <c r="F357" t="inlineStr">
        <is>
          <t>GOTLANDS LÄN</t>
        </is>
      </c>
      <c r="G357" t="inlineStr">
        <is>
          <t>GOTLAND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10492-2023</t>
        </is>
      </c>
      <c r="B358" t="inlineStr">
        <is>
          <t>avverkningsanmälan</t>
        </is>
      </c>
      <c r="C358" t="inlineStr">
        <is>
          <t>Föryngringsavverkning</t>
        </is>
      </c>
      <c r="D358" s="1" t="n">
        <v>44987</v>
      </c>
      <c r="E358" s="1" t="n">
        <v>46254</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47637-2025</t>
        </is>
      </c>
      <c r="B359" t="inlineStr">
        <is>
          <t>avverkningsanmälan</t>
        </is>
      </c>
      <c r="C359" t="inlineStr">
        <is>
          <t>Föryngringsavverkning</t>
        </is>
      </c>
      <c r="D359" s="1" t="n">
        <v>45931</v>
      </c>
      <c r="E359" s="1" t="n">
        <v>46254</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44919-2022</t>
        </is>
      </c>
      <c r="B360" t="inlineStr">
        <is>
          <t>avverkningsanmälan</t>
        </is>
      </c>
      <c r="C360" t="inlineStr">
        <is>
          <t>Föryngringsavverkning</t>
        </is>
      </c>
      <c r="D360" s="1" t="n">
        <v>44841</v>
      </c>
      <c r="E360" s="1" t="n">
        <v>46254</v>
      </c>
      <c r="F360" t="inlineStr">
        <is>
          <t>GOTLANDS LÄN</t>
        </is>
      </c>
      <c r="G360" t="inlineStr">
        <is>
          <t>GOTLAND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16501-2023</t>
        </is>
      </c>
      <c r="B361" t="inlineStr">
        <is>
          <t>avverkningsanmälan</t>
        </is>
      </c>
      <c r="C361" t="inlineStr">
        <is>
          <t>Avverkning för att bevara och utveckla /försöksver</t>
        </is>
      </c>
      <c r="D361" s="1" t="n">
        <v>45029</v>
      </c>
      <c r="E361" s="1" t="n">
        <v>46254</v>
      </c>
      <c r="F361" t="inlineStr">
        <is>
          <t>GOTLANDS LÄN</t>
        </is>
      </c>
      <c r="G361" t="inlineStr">
        <is>
          <t>GOTLAND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27095-2022</t>
        </is>
      </c>
      <c r="B362" t="inlineStr">
        <is>
          <t>avverkningsanmälan</t>
        </is>
      </c>
      <c r="C362" t="inlineStr">
        <is>
          <t>Avverkning för annat ändamål</t>
        </is>
      </c>
      <c r="D362" s="1" t="n">
        <v>44741</v>
      </c>
      <c r="E362" s="1" t="n">
        <v>46254</v>
      </c>
      <c r="F362" t="inlineStr">
        <is>
          <t>GOTLANDS LÄN</t>
        </is>
      </c>
      <c r="G362" t="inlineStr">
        <is>
          <t>GOTLAND</t>
        </is>
      </c>
      <c r="H362" t="inlineStr">
        <is>
          <t>Övriga Aktiebolag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1291-2023</t>
        </is>
      </c>
      <c r="B363" t="inlineStr">
        <is>
          <t>avverkningsanmälan</t>
        </is>
      </c>
      <c r="C363" t="inlineStr">
        <is>
          <t>Föryngringsavverkning</t>
        </is>
      </c>
      <c r="D363" s="1" t="n">
        <v>44936</v>
      </c>
      <c r="E363" s="1" t="n">
        <v>46254</v>
      </c>
      <c r="F363" t="inlineStr">
        <is>
          <t>GOTLANDS LÄN</t>
        </is>
      </c>
      <c r="G363" t="inlineStr">
        <is>
          <t>GOTLAND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5891-2025</t>
        </is>
      </c>
      <c r="B364" t="inlineStr">
        <is>
          <t>avverkningsanmälan</t>
        </is>
      </c>
      <c r="C364" t="inlineStr">
        <is>
          <t>Föryngringsavverkning</t>
        </is>
      </c>
      <c r="D364" s="1" t="n">
        <v>45695</v>
      </c>
      <c r="E364" s="1" t="n">
        <v>46254</v>
      </c>
      <c r="F364" t="inlineStr">
        <is>
          <t>GOTLANDS LÄN</t>
        </is>
      </c>
      <c r="G364" t="inlineStr">
        <is>
          <t>GOTLAND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35550-2025</t>
        </is>
      </c>
      <c r="B365" t="inlineStr">
        <is>
          <t>avverkningsanmälan</t>
        </is>
      </c>
      <c r="C365" t="inlineStr">
        <is>
          <t>Föryngringsavverkning</t>
        </is>
      </c>
      <c r="D365" s="1" t="n">
        <v>45856</v>
      </c>
      <c r="E365" s="1" t="n">
        <v>46254</v>
      </c>
      <c r="F365" t="inlineStr">
        <is>
          <t>GOTLANDS LÄN</t>
        </is>
      </c>
      <c r="G365" t="inlineStr">
        <is>
          <t>GOTLAND</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47578-2025</t>
        </is>
      </c>
      <c r="B366" t="inlineStr">
        <is>
          <t>avverkningsanmälan</t>
        </is>
      </c>
      <c r="C366" t="inlineStr">
        <is>
          <t>Avverkning för annat ändamål</t>
        </is>
      </c>
      <c r="D366" s="1" t="n">
        <v>45931</v>
      </c>
      <c r="E366" s="1" t="n">
        <v>46254</v>
      </c>
      <c r="F366" t="inlineStr">
        <is>
          <t>GOTLANDS LÄN</t>
        </is>
      </c>
      <c r="G366" t="inlineStr">
        <is>
          <t>GOTLAND</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2719-2023</t>
        </is>
      </c>
      <c r="B367" t="inlineStr">
        <is>
          <t>avverkningsanmälan</t>
        </is>
      </c>
      <c r="C367" t="inlineStr">
        <is>
          <t>Föryngringsavverkning</t>
        </is>
      </c>
      <c r="D367" s="1" t="n">
        <v>44944</v>
      </c>
      <c r="E367" s="1" t="n">
        <v>46254</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49690-2025</t>
        </is>
      </c>
      <c r="B368" t="inlineStr">
        <is>
          <t>avverkningsanmälan</t>
        </is>
      </c>
      <c r="C368" t="inlineStr">
        <is>
          <t>Föryngringsavverkning</t>
        </is>
      </c>
      <c r="D368" s="1" t="n">
        <v>45939</v>
      </c>
      <c r="E368" s="1" t="n">
        <v>46254</v>
      </c>
      <c r="F368" t="inlineStr">
        <is>
          <t>GOTLANDS LÄN</t>
        </is>
      </c>
      <c r="G368" t="inlineStr">
        <is>
          <t>GOTLAND</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27354-2026</t>
        </is>
      </c>
      <c r="B369" t="inlineStr">
        <is>
          <t>avverkningsanmälan</t>
        </is>
      </c>
      <c r="C369" t="inlineStr">
        <is>
          <t>Föryngringsavverkning</t>
        </is>
      </c>
      <c r="D369" s="1" t="n">
        <v>46184</v>
      </c>
      <c r="E369" s="1" t="n">
        <v>46254</v>
      </c>
      <c r="F369" t="inlineStr">
        <is>
          <t>GOTLANDS LÄN</t>
        </is>
      </c>
      <c r="G369" t="inlineStr">
        <is>
          <t>GOTLAND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31695-2026</t>
        </is>
      </c>
      <c r="B370" t="inlineStr">
        <is>
          <t>avverkningsanmälan</t>
        </is>
      </c>
      <c r="C370" t="inlineStr">
        <is>
          <t>Föryngringsavverkning</t>
        </is>
      </c>
      <c r="D370" s="1" t="n">
        <v>46226</v>
      </c>
      <c r="E370" s="1" t="n">
        <v>46254</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16361-2024</t>
        </is>
      </c>
      <c r="B371" t="inlineStr">
        <is>
          <t>avverkningsanmälan</t>
        </is>
      </c>
      <c r="C371" t="inlineStr">
        <is>
          <t>Föryngringsavverkning</t>
        </is>
      </c>
      <c r="D371" s="1" t="n">
        <v>45407</v>
      </c>
      <c r="E371" s="1" t="n">
        <v>46254</v>
      </c>
      <c r="F371" t="inlineStr">
        <is>
          <t>GOTLANDS LÄN</t>
        </is>
      </c>
      <c r="G371" t="inlineStr">
        <is>
          <t>GOTLAND</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31693-2026</t>
        </is>
      </c>
      <c r="B372" t="inlineStr">
        <is>
          <t>avverkningsanmälan</t>
        </is>
      </c>
      <c r="C372" t="inlineStr">
        <is>
          <t>Föryngringsavverkning</t>
        </is>
      </c>
      <c r="D372" s="1" t="n">
        <v>46226</v>
      </c>
      <c r="E372" s="1" t="n">
        <v>46254</v>
      </c>
      <c r="F372" t="inlineStr">
        <is>
          <t>GOTLANDS LÄN</t>
        </is>
      </c>
      <c r="G372" t="inlineStr">
        <is>
          <t>GOTLAND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43081-2022</t>
        </is>
      </c>
      <c r="B373" t="inlineStr">
        <is>
          <t>avverkningsanmälan</t>
        </is>
      </c>
      <c r="C373" t="inlineStr">
        <is>
          <t>Föryngringsavverkning</t>
        </is>
      </c>
      <c r="D373" s="1" t="n">
        <v>44833</v>
      </c>
      <c r="E373" s="1" t="n">
        <v>46254</v>
      </c>
      <c r="F373" t="inlineStr">
        <is>
          <t>GOTLANDS LÄN</t>
        </is>
      </c>
      <c r="G373" t="inlineStr">
        <is>
          <t>GOTLAND</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49730-2025</t>
        </is>
      </c>
      <c r="B374" t="inlineStr">
        <is>
          <t>avverkningsanmälan</t>
        </is>
      </c>
      <c r="C374" t="inlineStr">
        <is>
          <t>Föryngringsavverkning</t>
        </is>
      </c>
      <c r="D374" s="1" t="n">
        <v>45939</v>
      </c>
      <c r="E374" s="1" t="n">
        <v>46254</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27164-2026</t>
        </is>
      </c>
      <c r="B375" t="inlineStr">
        <is>
          <t>avverkningsanmälan</t>
        </is>
      </c>
      <c r="C375" t="inlineStr">
        <is>
          <t>Föryngringsavverkning</t>
        </is>
      </c>
      <c r="D375" s="1" t="n">
        <v>46188</v>
      </c>
      <c r="E375" s="1" t="n">
        <v>46254</v>
      </c>
      <c r="F375" t="inlineStr">
        <is>
          <t>GOTLANDS LÄN</t>
        </is>
      </c>
      <c r="G375" t="inlineStr">
        <is>
          <t>GOTLAND</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31287-2026</t>
        </is>
      </c>
      <c r="B376" t="inlineStr">
        <is>
          <t>avverkningsanmälan</t>
        </is>
      </c>
      <c r="C376" t="inlineStr">
        <is>
          <t>Föryngringsavverkning</t>
        </is>
      </c>
      <c r="D376" s="1" t="n">
        <v>46218</v>
      </c>
      <c r="E376" s="1" t="n">
        <v>46254</v>
      </c>
      <c r="F376" t="inlineStr">
        <is>
          <t>GOTLANDS LÄN</t>
        </is>
      </c>
      <c r="G376" t="inlineStr">
        <is>
          <t>GOTLAND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27341-2026</t>
        </is>
      </c>
      <c r="B377" t="inlineStr">
        <is>
          <t>avverkningsanmälan</t>
        </is>
      </c>
      <c r="C377" t="inlineStr">
        <is>
          <t>Föryngringsavverkning</t>
        </is>
      </c>
      <c r="D377" s="1" t="n">
        <v>46188</v>
      </c>
      <c r="E377" s="1" t="n">
        <v>46254</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27346-2026</t>
        </is>
      </c>
      <c r="B378" t="inlineStr">
        <is>
          <t>avverkningsanmälan</t>
        </is>
      </c>
      <c r="C378" t="inlineStr">
        <is>
          <t>Föryngringsavverkning</t>
        </is>
      </c>
      <c r="D378" s="1" t="n">
        <v>46188</v>
      </c>
      <c r="E378" s="1" t="n">
        <v>46254</v>
      </c>
      <c r="F378" t="inlineStr">
        <is>
          <t>GOTLANDS LÄN</t>
        </is>
      </c>
      <c r="G378" t="inlineStr">
        <is>
          <t>GOTLAND</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42041-2024</t>
        </is>
      </c>
      <c r="B379" t="inlineStr">
        <is>
          <t>avverkningsanmälan</t>
        </is>
      </c>
      <c r="C379" t="inlineStr">
        <is>
          <t>Föryngringsavverkning</t>
        </is>
      </c>
      <c r="D379" s="1" t="n">
        <v>45561</v>
      </c>
      <c r="E379" s="1" t="n">
        <v>46254</v>
      </c>
      <c r="F379" t="inlineStr">
        <is>
          <t>GOTLANDS LÄN</t>
        </is>
      </c>
      <c r="G379" t="inlineStr">
        <is>
          <t>GOTLAND</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32239-2026</t>
        </is>
      </c>
      <c r="B380" t="inlineStr">
        <is>
          <t>avverkningsanmälan</t>
        </is>
      </c>
      <c r="C380" t="inlineStr">
        <is>
          <t>Föryngringsavverkning</t>
        </is>
      </c>
      <c r="D380" s="1" t="n">
        <v>46237</v>
      </c>
      <c r="E380" s="1" t="n">
        <v>46254</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21247-2022</t>
        </is>
      </c>
      <c r="B381" t="inlineStr">
        <is>
          <t>avverkningsanmälan</t>
        </is>
      </c>
      <c r="C381" t="inlineStr">
        <is>
          <t>Föryngringsavverkning</t>
        </is>
      </c>
      <c r="D381" s="1" t="n">
        <v>44705</v>
      </c>
      <c r="E381" s="1" t="n">
        <v>46254</v>
      </c>
      <c r="F381" t="inlineStr">
        <is>
          <t>GOTLANDS LÄN</t>
        </is>
      </c>
      <c r="G381" t="inlineStr">
        <is>
          <t>GOTLAND</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32553-2026</t>
        </is>
      </c>
      <c r="B382" t="inlineStr">
        <is>
          <t>avverkningsanmälan</t>
        </is>
      </c>
      <c r="C382" t="inlineStr">
        <is>
          <t>Föryngringsavverkning</t>
        </is>
      </c>
      <c r="D382" s="1" t="n">
        <v>46239</v>
      </c>
      <c r="E382" s="1" t="n">
        <v>46254</v>
      </c>
      <c r="F382" t="inlineStr">
        <is>
          <t>GOTLANDS LÄN</t>
        </is>
      </c>
      <c r="G382" t="inlineStr">
        <is>
          <t>GOTLAND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28012-2026</t>
        </is>
      </c>
      <c r="B383" t="inlineStr">
        <is>
          <t>avverkningsanmälan</t>
        </is>
      </c>
      <c r="C383" t="inlineStr">
        <is>
          <t>Föryngringsavverkning</t>
        </is>
      </c>
      <c r="D383" s="1" t="n">
        <v>46195</v>
      </c>
      <c r="E383" s="1" t="n">
        <v>46254</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17780-2022</t>
        </is>
      </c>
      <c r="B384" t="inlineStr">
        <is>
          <t>avverkningsanmälan</t>
        </is>
      </c>
      <c r="C384" t="inlineStr">
        <is>
          <t>Föryngringsavverkning</t>
        </is>
      </c>
      <c r="D384" s="1" t="n">
        <v>44682</v>
      </c>
      <c r="E384" s="1" t="n">
        <v>46254</v>
      </c>
      <c r="F384" t="inlineStr">
        <is>
          <t>GOTLANDS LÄN</t>
        </is>
      </c>
      <c r="G384" t="inlineStr">
        <is>
          <t>GOTLAND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63516-2023</t>
        </is>
      </c>
      <c r="B385" t="inlineStr">
        <is>
          <t>avverkningsanmälan</t>
        </is>
      </c>
      <c r="C385" t="inlineStr">
        <is>
          <t>Föryngringsavverkning</t>
        </is>
      </c>
      <c r="D385" s="1" t="n">
        <v>45274</v>
      </c>
      <c r="E385" s="1" t="n">
        <v>46254</v>
      </c>
      <c r="F385" t="inlineStr">
        <is>
          <t>GOTLANDS LÄN</t>
        </is>
      </c>
      <c r="G385" t="inlineStr">
        <is>
          <t>GOTLAND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28839-2026</t>
        </is>
      </c>
      <c r="B386" t="inlineStr">
        <is>
          <t>avverkningsanmälan</t>
        </is>
      </c>
      <c r="C386" t="inlineStr">
        <is>
          <t>Föryngringsavverkning</t>
        </is>
      </c>
      <c r="D386" s="1" t="n">
        <v>46198</v>
      </c>
      <c r="E386" s="1" t="n">
        <v>46254</v>
      </c>
      <c r="F386" t="inlineStr">
        <is>
          <t>GOTLANDS LÄN</t>
        </is>
      </c>
      <c r="G386" t="inlineStr">
        <is>
          <t>GOTLAND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28843-2026</t>
        </is>
      </c>
      <c r="B387" t="inlineStr">
        <is>
          <t>avverkningsanmälan</t>
        </is>
      </c>
      <c r="C387" t="inlineStr">
        <is>
          <t>Föryngringsavverkning</t>
        </is>
      </c>
      <c r="D387" s="1" t="n">
        <v>46198</v>
      </c>
      <c r="E387" s="1" t="n">
        <v>46254</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53935-2024</t>
        </is>
      </c>
      <c r="B388" t="inlineStr">
        <is>
          <t>avverkningsanmälan</t>
        </is>
      </c>
      <c r="C388" t="inlineStr">
        <is>
          <t>Föryngringsavverkning</t>
        </is>
      </c>
      <c r="D388" s="1" t="n">
        <v>45615</v>
      </c>
      <c r="E388" s="1" t="n">
        <v>46254</v>
      </c>
      <c r="F388" t="inlineStr">
        <is>
          <t>GOTLANDS LÄN</t>
        </is>
      </c>
      <c r="G388" t="inlineStr">
        <is>
          <t>GOTLAND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32626-2026</t>
        </is>
      </c>
      <c r="B389" t="inlineStr">
        <is>
          <t>avverkningsanmälan</t>
        </is>
      </c>
      <c r="C389" t="inlineStr">
        <is>
          <t>Föryngringsavverkning</t>
        </is>
      </c>
      <c r="D389" s="1" t="n">
        <v>46240</v>
      </c>
      <c r="E389" s="1" t="n">
        <v>46254</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48734-2022</t>
        </is>
      </c>
      <c r="B390" t="inlineStr">
        <is>
          <t>avverkningsanmälan</t>
        </is>
      </c>
      <c r="C390" t="inlineStr">
        <is>
          <t>Föryngringsavverkning</t>
        </is>
      </c>
      <c r="D390" s="1" t="n">
        <v>44855</v>
      </c>
      <c r="E390" s="1" t="n">
        <v>46254</v>
      </c>
      <c r="F390" t="inlineStr">
        <is>
          <t>GOTLANDS LÄN</t>
        </is>
      </c>
      <c r="G390" t="inlineStr">
        <is>
          <t>GOTLAND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23516-2023</t>
        </is>
      </c>
      <c r="B391" t="inlineStr">
        <is>
          <t>avverkningsanmälan</t>
        </is>
      </c>
      <c r="C391" t="inlineStr">
        <is>
          <t>Föryngringsavverkning</t>
        </is>
      </c>
      <c r="D391" s="1" t="n">
        <v>45076</v>
      </c>
      <c r="E391" s="1" t="n">
        <v>46254</v>
      </c>
      <c r="F391" t="inlineStr">
        <is>
          <t>GOTLANDS LÄN</t>
        </is>
      </c>
      <c r="G391" t="inlineStr">
        <is>
          <t>GOTLAND</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43231-2023</t>
        </is>
      </c>
      <c r="B392" t="inlineStr">
        <is>
          <t>avverkningsanmälan</t>
        </is>
      </c>
      <c r="C392" t="inlineStr">
        <is>
          <t>Föryngringsavverkning</t>
        </is>
      </c>
      <c r="D392" s="1" t="n">
        <v>45183</v>
      </c>
      <c r="E392" s="1" t="n">
        <v>46254</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64555-2023</t>
        </is>
      </c>
      <c r="B393" t="inlineStr">
        <is>
          <t>avverkningsanmälan</t>
        </is>
      </c>
      <c r="C393" t="inlineStr">
        <is>
          <t>Avverkning för annat ändamål</t>
        </is>
      </c>
      <c r="D393" s="1" t="n">
        <v>45281</v>
      </c>
      <c r="E393" s="1" t="n">
        <v>46254</v>
      </c>
      <c r="F393" t="inlineStr">
        <is>
          <t>GOTLANDS LÄN</t>
        </is>
      </c>
      <c r="G393" t="inlineStr">
        <is>
          <t>GOTLAND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457-2023</t>
        </is>
      </c>
      <c r="B394" t="inlineStr">
        <is>
          <t>avverkningsanmälan</t>
        </is>
      </c>
      <c r="C394" t="inlineStr">
        <is>
          <t>Föryngringsavverkning</t>
        </is>
      </c>
      <c r="D394" s="1" t="n">
        <v>44929</v>
      </c>
      <c r="E394" s="1" t="n">
        <v>46254</v>
      </c>
      <c r="F394" t="inlineStr">
        <is>
          <t>GOTLANDS LÄN</t>
        </is>
      </c>
      <c r="G394" t="inlineStr">
        <is>
          <t>GOTLAND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459-2023</t>
        </is>
      </c>
      <c r="B395" t="inlineStr">
        <is>
          <t>avverkningsanmälan</t>
        </is>
      </c>
      <c r="C395" t="inlineStr">
        <is>
          <t>Föryngringsavverkning</t>
        </is>
      </c>
      <c r="D395" s="1" t="n">
        <v>44929</v>
      </c>
      <c r="E395" s="1" t="n">
        <v>46254</v>
      </c>
      <c r="F395" t="inlineStr">
        <is>
          <t>GOTLANDS LÄN</t>
        </is>
      </c>
      <c r="G395" t="inlineStr">
        <is>
          <t>GOTLAND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876-2024</t>
        </is>
      </c>
      <c r="B396" t="inlineStr">
        <is>
          <t>avverkningsanmälan</t>
        </is>
      </c>
      <c r="C396" t="inlineStr">
        <is>
          <t>Avverkning för annat ändamål</t>
        </is>
      </c>
      <c r="D396" s="1" t="n">
        <v>45301</v>
      </c>
      <c r="E396" s="1" t="n">
        <v>46254</v>
      </c>
      <c r="F396" t="inlineStr">
        <is>
          <t>GOTLANDS LÄN</t>
        </is>
      </c>
      <c r="G396" t="inlineStr">
        <is>
          <t>GOTLAND</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5923-2023</t>
        </is>
      </c>
      <c r="B397" t="inlineStr">
        <is>
          <t>avverkningsanmälan</t>
        </is>
      </c>
      <c r="C397" t="inlineStr">
        <is>
          <t>Föryngringsavverkning</t>
        </is>
      </c>
      <c r="D397" s="1" t="n">
        <v>44963</v>
      </c>
      <c r="E397" s="1" t="n">
        <v>46254</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50482-2024</t>
        </is>
      </c>
      <c r="B398" t="inlineStr">
        <is>
          <t>avverkningsanmälan</t>
        </is>
      </c>
      <c r="C398" t="inlineStr">
        <is>
          <t>Föryngringsavverkning</t>
        </is>
      </c>
      <c r="D398" s="1" t="n">
        <v>45601</v>
      </c>
      <c r="E398" s="1" t="n">
        <v>46254</v>
      </c>
      <c r="F398" t="inlineStr">
        <is>
          <t>GOTLANDS LÄN</t>
        </is>
      </c>
      <c r="G398" t="inlineStr">
        <is>
          <t>GOTLAND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5943-2024</t>
        </is>
      </c>
      <c r="B399" t="inlineStr">
        <is>
          <t>avverkningsanmälan</t>
        </is>
      </c>
      <c r="C399" t="inlineStr">
        <is>
          <t>Avverkning för annat ändamål</t>
        </is>
      </c>
      <c r="D399" s="1" t="n">
        <v>45336</v>
      </c>
      <c r="E399" s="1" t="n">
        <v>46254</v>
      </c>
      <c r="F399" t="inlineStr">
        <is>
          <t>GOTLANDS LÄN</t>
        </is>
      </c>
      <c r="G399" t="inlineStr">
        <is>
          <t>GOTLAND</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38234-2023</t>
        </is>
      </c>
      <c r="B400" t="inlineStr">
        <is>
          <t>avverkningsanmälan</t>
        </is>
      </c>
      <c r="C400" t="inlineStr">
        <is>
          <t>Föryngringsavverkning</t>
        </is>
      </c>
      <c r="D400" s="1" t="n">
        <v>45161</v>
      </c>
      <c r="E400" s="1" t="n">
        <v>46254</v>
      </c>
      <c r="F400" t="inlineStr">
        <is>
          <t>GOTLANDS LÄN</t>
        </is>
      </c>
      <c r="G400" t="inlineStr">
        <is>
          <t>GOTLAND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29370-2026</t>
        </is>
      </c>
      <c r="B401" t="inlineStr">
        <is>
          <t>avverkningsanmälan</t>
        </is>
      </c>
      <c r="C401" t="inlineStr">
        <is>
          <t>Föryngringsavverkning</t>
        </is>
      </c>
      <c r="D401" s="1" t="n">
        <v>46203</v>
      </c>
      <c r="E401" s="1" t="n">
        <v>46254</v>
      </c>
      <c r="F401" t="inlineStr">
        <is>
          <t>GOTLANDS LÄN</t>
        </is>
      </c>
      <c r="G401" t="inlineStr">
        <is>
          <t>GOTLAND</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33289-2026</t>
        </is>
      </c>
      <c r="B402" t="inlineStr">
        <is>
          <t>avverkningsanmälan</t>
        </is>
      </c>
      <c r="C402" t="inlineStr">
        <is>
          <t>Föryngringsavverkning</t>
        </is>
      </c>
      <c r="D402" s="1" t="n">
        <v>46246</v>
      </c>
      <c r="E402" s="1" t="n">
        <v>46254</v>
      </c>
      <c r="F402" t="inlineStr">
        <is>
          <t>GOTLANDS LÄN</t>
        </is>
      </c>
      <c r="G402" t="inlineStr">
        <is>
          <t>GOTLAND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17724-2024</t>
        </is>
      </c>
      <c r="B403" t="inlineStr">
        <is>
          <t>avverkningsanmälan</t>
        </is>
      </c>
      <c r="C403" t="inlineStr">
        <is>
          <t>Föryngringsavverkning</t>
        </is>
      </c>
      <c r="D403" s="1" t="n">
        <v>45418</v>
      </c>
      <c r="E403" s="1" t="n">
        <v>46254</v>
      </c>
      <c r="F403" t="inlineStr">
        <is>
          <t>GOTLANDS LÄN</t>
        </is>
      </c>
      <c r="G403" t="inlineStr">
        <is>
          <t>GOTLAND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23978-2023</t>
        </is>
      </c>
      <c r="B404" t="inlineStr">
        <is>
          <t>avverkningsanmälan</t>
        </is>
      </c>
      <c r="C404" t="inlineStr">
        <is>
          <t>Föryngringsavverkning</t>
        </is>
      </c>
      <c r="D404" s="1" t="n">
        <v>45078</v>
      </c>
      <c r="E404" s="1" t="n">
        <v>46254</v>
      </c>
      <c r="F404" t="inlineStr">
        <is>
          <t>GOTLANDS LÄN</t>
        </is>
      </c>
      <c r="G404" t="inlineStr">
        <is>
          <t>GOTLAND</t>
        </is>
      </c>
      <c r="H404" t="inlineStr">
        <is>
          <t>Naturvårdsverket</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46254</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56799-2025</t>
        </is>
      </c>
      <c r="B406" t="inlineStr">
        <is>
          <t>avverkningsanmälan</t>
        </is>
      </c>
      <c r="C406" t="inlineStr">
        <is>
          <t>Föryngringsavverkning</t>
        </is>
      </c>
      <c r="D406" s="1" t="n">
        <v>45978</v>
      </c>
      <c r="E406" s="1" t="n">
        <v>46254</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12846-2025</t>
        </is>
      </c>
      <c r="B407" t="inlineStr">
        <is>
          <t>avverkningsanmälan</t>
        </is>
      </c>
      <c r="C407" t="inlineStr">
        <is>
          <t>Föryngringsavverkning</t>
        </is>
      </c>
      <c r="D407" s="1" t="n">
        <v>45733</v>
      </c>
      <c r="E407" s="1" t="n">
        <v>46254</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48843-2024</t>
        </is>
      </c>
      <c r="B408" t="inlineStr">
        <is>
          <t>avverkningsanmälan</t>
        </is>
      </c>
      <c r="C408" t="inlineStr">
        <is>
          <t>Föryngringsavverkning</t>
        </is>
      </c>
      <c r="D408" s="1" t="n">
        <v>45593</v>
      </c>
      <c r="E408" s="1" t="n">
        <v>46254</v>
      </c>
      <c r="F408" t="inlineStr">
        <is>
          <t>GOTLANDS LÄN</t>
        </is>
      </c>
      <c r="G408" t="inlineStr">
        <is>
          <t>GOTLAND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10653-2023</t>
        </is>
      </c>
      <c r="B409" t="inlineStr">
        <is>
          <t>avverkningsanmälan</t>
        </is>
      </c>
      <c r="C409" t="inlineStr">
        <is>
          <t>Föryngringsavverkning</t>
        </is>
      </c>
      <c r="D409" s="1" t="n">
        <v>44988</v>
      </c>
      <c r="E409" s="1" t="n">
        <v>46254</v>
      </c>
      <c r="F409" t="inlineStr">
        <is>
          <t>GOTLANDS LÄN</t>
        </is>
      </c>
      <c r="G409" t="inlineStr">
        <is>
          <t>GOTLAND</t>
        </is>
      </c>
      <c r="H409" t="inlineStr">
        <is>
          <t>Kyrkan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62836-2025</t>
        </is>
      </c>
      <c r="B410" t="inlineStr">
        <is>
          <t>avverkningsanmälan</t>
        </is>
      </c>
      <c r="C410" t="inlineStr">
        <is>
          <t>Föryngringsavverkning</t>
        </is>
      </c>
      <c r="D410" s="1" t="n">
        <v>46008</v>
      </c>
      <c r="E410" s="1" t="n">
        <v>46254</v>
      </c>
      <c r="F410" t="inlineStr">
        <is>
          <t>GOTLANDS LÄN</t>
        </is>
      </c>
      <c r="G410" t="inlineStr">
        <is>
          <t>GOTLAND</t>
        </is>
      </c>
      <c r="I410" t="n">
        <v>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35512-2023</t>
        </is>
      </c>
      <c r="B411" t="inlineStr">
        <is>
          <t>avverkningsanmälan</t>
        </is>
      </c>
      <c r="C411" t="inlineStr">
        <is>
          <t>Föryngringsavverkning</t>
        </is>
      </c>
      <c r="D411" s="1" t="n">
        <v>45147</v>
      </c>
      <c r="E411" s="1" t="n">
        <v>46254</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32698-2026</t>
        </is>
      </c>
      <c r="B412" t="inlineStr">
        <is>
          <t>avverkningsanmälan</t>
        </is>
      </c>
      <c r="C412" t="inlineStr">
        <is>
          <t>Föryngringsavverkning</t>
        </is>
      </c>
      <c r="D412" s="1" t="n">
        <v>46240</v>
      </c>
      <c r="E412" s="1" t="n">
        <v>46254</v>
      </c>
      <c r="F412" t="inlineStr">
        <is>
          <t>GOTLANDS LÄN</t>
        </is>
      </c>
      <c r="G412" t="inlineStr">
        <is>
          <t>GOTLAND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11874-2024</t>
        </is>
      </c>
      <c r="B413" t="inlineStr">
        <is>
          <t>avverkningsanmälan</t>
        </is>
      </c>
      <c r="C413" t="inlineStr">
        <is>
          <t>Föryngringsavverkning</t>
        </is>
      </c>
      <c r="D413" s="1" t="n">
        <v>45376</v>
      </c>
      <c r="E413" s="1" t="n">
        <v>46254</v>
      </c>
      <c r="F413" t="inlineStr">
        <is>
          <t>GOTLANDS LÄN</t>
        </is>
      </c>
      <c r="G413" t="inlineStr">
        <is>
          <t>GOTLAND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36319-2025</t>
        </is>
      </c>
      <c r="B414" t="inlineStr">
        <is>
          <t>avverkningsanmälan</t>
        </is>
      </c>
      <c r="C414" t="inlineStr">
        <is>
          <t>Föryngringsavverkning</t>
        </is>
      </c>
      <c r="D414" s="1" t="n">
        <v>45868</v>
      </c>
      <c r="E414" s="1" t="n">
        <v>46254</v>
      </c>
      <c r="F414" t="inlineStr">
        <is>
          <t>GOTLANDS LÄN</t>
        </is>
      </c>
      <c r="G414" t="inlineStr">
        <is>
          <t>GOTLAND</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64831-2023</t>
        </is>
      </c>
      <c r="B415" t="inlineStr">
        <is>
          <t>avverkningsanmälan</t>
        </is>
      </c>
      <c r="C415" t="inlineStr">
        <is>
          <t>Föryngringsavverkning</t>
        </is>
      </c>
      <c r="D415" s="1" t="n">
        <v>45282</v>
      </c>
      <c r="E415" s="1" t="n">
        <v>46254</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7638-2025</t>
        </is>
      </c>
      <c r="B416" t="inlineStr">
        <is>
          <t>avverkningsanmälan</t>
        </is>
      </c>
      <c r="C416" t="inlineStr">
        <is>
          <t>Föryngringsavverkning</t>
        </is>
      </c>
      <c r="D416" s="1" t="n">
        <v>45705</v>
      </c>
      <c r="E416" s="1" t="n">
        <v>46254</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4377-2023</t>
        </is>
      </c>
      <c r="B417" t="inlineStr">
        <is>
          <t>avverkningsanmälan</t>
        </is>
      </c>
      <c r="C417" t="inlineStr">
        <is>
          <t>Föryngringsavverkning</t>
        </is>
      </c>
      <c r="D417" s="1" t="n">
        <v>44955</v>
      </c>
      <c r="E417" s="1" t="n">
        <v>46254</v>
      </c>
      <c r="F417" t="inlineStr">
        <is>
          <t>GOTLANDS LÄN</t>
        </is>
      </c>
      <c r="G417" t="inlineStr">
        <is>
          <t>GOTLAND</t>
        </is>
      </c>
      <c r="H417" t="inlineStr">
        <is>
          <t>Kyrkan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43901-2023</t>
        </is>
      </c>
      <c r="B418" t="inlineStr">
        <is>
          <t>avverkningsanmälan</t>
        </is>
      </c>
      <c r="C418" t="inlineStr">
        <is>
          <t>Föryngringsavverkning</t>
        </is>
      </c>
      <c r="D418" s="1" t="n">
        <v>45187</v>
      </c>
      <c r="E418" s="1" t="n">
        <v>46254</v>
      </c>
      <c r="F418" t="inlineStr">
        <is>
          <t>GOTLANDS LÄN</t>
        </is>
      </c>
      <c r="G418" t="inlineStr">
        <is>
          <t>GOTLAND</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17532-2024</t>
        </is>
      </c>
      <c r="B419" t="inlineStr">
        <is>
          <t>avverkningsanmälan</t>
        </is>
      </c>
      <c r="C419" t="inlineStr">
        <is>
          <t>Föryngringsavverkning</t>
        </is>
      </c>
      <c r="D419" s="1" t="n">
        <v>45415</v>
      </c>
      <c r="E419" s="1" t="n">
        <v>46254</v>
      </c>
      <c r="F419" t="inlineStr">
        <is>
          <t>GOTLANDS LÄN</t>
        </is>
      </c>
      <c r="G419" t="inlineStr">
        <is>
          <t>GOTLAND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46396-2023</t>
        </is>
      </c>
      <c r="B420" t="inlineStr">
        <is>
          <t>avverkningsanmälan</t>
        </is>
      </c>
      <c r="C420" t="inlineStr">
        <is>
          <t>Föryngringsavverkning</t>
        </is>
      </c>
      <c r="D420" s="1" t="n">
        <v>45197</v>
      </c>
      <c r="E420" s="1" t="n">
        <v>46254</v>
      </c>
      <c r="F420" t="inlineStr">
        <is>
          <t>GOTLANDS LÄN</t>
        </is>
      </c>
      <c r="G420" t="inlineStr">
        <is>
          <t>GOTLAND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63002-2025</t>
        </is>
      </c>
      <c r="B421" t="inlineStr">
        <is>
          <t>avverkningsanmälan</t>
        </is>
      </c>
      <c r="C421" t="inlineStr">
        <is>
          <t>Föryngringsavverkning</t>
        </is>
      </c>
      <c r="D421" s="1" t="n">
        <v>46009</v>
      </c>
      <c r="E421" s="1" t="n">
        <v>46254</v>
      </c>
      <c r="F421" t="inlineStr">
        <is>
          <t>GOTLANDS LÄN</t>
        </is>
      </c>
      <c r="G421" t="inlineStr">
        <is>
          <t>GOTLAND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58132-2023</t>
        </is>
      </c>
      <c r="B422" t="inlineStr">
        <is>
          <t>avverkningsanmälan</t>
        </is>
      </c>
      <c r="C422" t="inlineStr">
        <is>
          <t>Föryngringsavverkning</t>
        </is>
      </c>
      <c r="D422" s="1" t="n">
        <v>45250</v>
      </c>
      <c r="E422" s="1" t="n">
        <v>46254</v>
      </c>
      <c r="F422" t="inlineStr">
        <is>
          <t>GOTLANDS LÄN</t>
        </is>
      </c>
      <c r="G422" t="inlineStr">
        <is>
          <t>GOTLAND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22899-2023</t>
        </is>
      </c>
      <c r="B423" t="inlineStr">
        <is>
          <t>avverkningsanmälan</t>
        </is>
      </c>
      <c r="C423" t="inlineStr">
        <is>
          <t>Föryngringsavverkning</t>
        </is>
      </c>
      <c r="D423" s="1" t="n">
        <v>45072</v>
      </c>
      <c r="E423" s="1" t="n">
        <v>46254</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61078-2025</t>
        </is>
      </c>
      <c r="B424" t="inlineStr">
        <is>
          <t>avverkningsanmälan</t>
        </is>
      </c>
      <c r="C424" t="inlineStr">
        <is>
          <t>Föryngringsavverkning</t>
        </is>
      </c>
      <c r="D424" s="1" t="n">
        <v>46000</v>
      </c>
      <c r="E424" s="1" t="n">
        <v>46254</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28285-2024</t>
        </is>
      </c>
      <c r="B425" t="inlineStr">
        <is>
          <t>avverkningsanmälan</t>
        </is>
      </c>
      <c r="C425" t="inlineStr">
        <is>
          <t>Avverkning för annat ändamål</t>
        </is>
      </c>
      <c r="D425" s="1" t="n">
        <v>45477</v>
      </c>
      <c r="E425" s="1" t="n">
        <v>46254</v>
      </c>
      <c r="F425" t="inlineStr">
        <is>
          <t>GOTLANDS LÄN</t>
        </is>
      </c>
      <c r="G425" t="inlineStr">
        <is>
          <t>GOTLAND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36-2026</t>
        </is>
      </c>
      <c r="B426" t="inlineStr">
        <is>
          <t>avverkningsanmälan</t>
        </is>
      </c>
      <c r="C426" t="inlineStr">
        <is>
          <t>Föryngringsavverkning</t>
        </is>
      </c>
      <c r="D426" s="1" t="n">
        <v>46024</v>
      </c>
      <c r="E426" s="1" t="n">
        <v>46254</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51963-2024</t>
        </is>
      </c>
      <c r="B427" t="inlineStr">
        <is>
          <t>avverkningsanmälan</t>
        </is>
      </c>
      <c r="C427" t="inlineStr">
        <is>
          <t>Föryngringsavverkning</t>
        </is>
      </c>
      <c r="D427" s="1" t="n">
        <v>45607</v>
      </c>
      <c r="E427" s="1" t="n">
        <v>46254</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1734-2025</t>
        </is>
      </c>
      <c r="B428" t="inlineStr">
        <is>
          <t>avverkningsanmälan</t>
        </is>
      </c>
      <c r="C428" t="inlineStr">
        <is>
          <t>Föryngringsavverkning</t>
        </is>
      </c>
      <c r="D428" s="1" t="n">
        <v>45671</v>
      </c>
      <c r="E428" s="1" t="n">
        <v>46254</v>
      </c>
      <c r="F428" t="inlineStr">
        <is>
          <t>GOTLANDS LÄN</t>
        </is>
      </c>
      <c r="G428" t="inlineStr">
        <is>
          <t>GOTLAND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30365-2024</t>
        </is>
      </c>
      <c r="B429" t="inlineStr">
        <is>
          <t>avverkningsanmälan</t>
        </is>
      </c>
      <c r="C429" t="inlineStr">
        <is>
          <t>Föryngringsavverkning</t>
        </is>
      </c>
      <c r="D429" s="1" t="n">
        <v>45491</v>
      </c>
      <c r="E429" s="1" t="n">
        <v>46254</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2674-2023</t>
        </is>
      </c>
      <c r="B430" t="inlineStr">
        <is>
          <t>avverkningsanmälan</t>
        </is>
      </c>
      <c r="C430" t="inlineStr">
        <is>
          <t>Avverkning för annat ändamål</t>
        </is>
      </c>
      <c r="D430" s="1" t="n">
        <v>44944</v>
      </c>
      <c r="E430" s="1" t="n">
        <v>46254</v>
      </c>
      <c r="F430" t="inlineStr">
        <is>
          <t>GOTLANDS LÄN</t>
        </is>
      </c>
      <c r="G430" t="inlineStr">
        <is>
          <t>GOTLAND</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2415-2026</t>
        </is>
      </c>
      <c r="B431" t="inlineStr">
        <is>
          <t>avverkningsanmälan</t>
        </is>
      </c>
      <c r="C431" t="inlineStr">
        <is>
          <t>Föryngringsavverkning</t>
        </is>
      </c>
      <c r="D431" s="1" t="n">
        <v>46036</v>
      </c>
      <c r="E431" s="1" t="n">
        <v>46254</v>
      </c>
      <c r="F431" t="inlineStr">
        <is>
          <t>GOTLANDS LÄN</t>
        </is>
      </c>
      <c r="G431" t="inlineStr">
        <is>
          <t>GOTLAND</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10655-2023</t>
        </is>
      </c>
      <c r="B432" t="inlineStr">
        <is>
          <t>avverkningsanmälan</t>
        </is>
      </c>
      <c r="C432" t="inlineStr">
        <is>
          <t>Föryngringsavverkning</t>
        </is>
      </c>
      <c r="D432" s="1" t="n">
        <v>44988</v>
      </c>
      <c r="E432" s="1" t="n">
        <v>46254</v>
      </c>
      <c r="F432" t="inlineStr">
        <is>
          <t>GOTLANDS LÄN</t>
        </is>
      </c>
      <c r="G432" t="inlineStr">
        <is>
          <t>GOTLAND</t>
        </is>
      </c>
      <c r="H432" t="inlineStr">
        <is>
          <t>Kyrkan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44649-2021</t>
        </is>
      </c>
      <c r="B433" t="inlineStr">
        <is>
          <t>avverkningsanmälan</t>
        </is>
      </c>
      <c r="C433" t="inlineStr">
        <is>
          <t>Föryngringsavverkning</t>
        </is>
      </c>
      <c r="D433" s="1" t="n">
        <v>44437</v>
      </c>
      <c r="E433" s="1" t="n">
        <v>46254</v>
      </c>
      <c r="F433" t="inlineStr">
        <is>
          <t>GOTLANDS LÄN</t>
        </is>
      </c>
      <c r="G433" t="inlineStr">
        <is>
          <t>GOTLAND</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8484-2025</t>
        </is>
      </c>
      <c r="B434" t="inlineStr">
        <is>
          <t>avverkningsanmälan</t>
        </is>
      </c>
      <c r="C434" t="inlineStr">
        <is>
          <t>Avverkning för annat ändamål</t>
        </is>
      </c>
      <c r="D434" s="1" t="n">
        <v>45709</v>
      </c>
      <c r="E434" s="1" t="n">
        <v>46254</v>
      </c>
      <c r="F434" t="inlineStr">
        <is>
          <t>GOTLANDS LÄN</t>
        </is>
      </c>
      <c r="G434" t="inlineStr">
        <is>
          <t>GOTLAND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4646-2026</t>
        </is>
      </c>
      <c r="B435" t="inlineStr">
        <is>
          <t>avverkningsanmälan</t>
        </is>
      </c>
      <c r="C435" t="inlineStr">
        <is>
          <t>Föryngringsavverkning</t>
        </is>
      </c>
      <c r="D435" s="1" t="n">
        <v>46048</v>
      </c>
      <c r="E435" s="1" t="n">
        <v>46254</v>
      </c>
      <c r="F435" t="inlineStr">
        <is>
          <t>GOTLANDS LÄN</t>
        </is>
      </c>
      <c r="G435" t="inlineStr">
        <is>
          <t>GOTLAND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4634-2026</t>
        </is>
      </c>
      <c r="B436" t="inlineStr">
        <is>
          <t>avverkningsanmälan</t>
        </is>
      </c>
      <c r="C436" t="inlineStr">
        <is>
          <t>Föryngringsavverkning</t>
        </is>
      </c>
      <c r="D436" s="1" t="n">
        <v>46048</v>
      </c>
      <c r="E436" s="1" t="n">
        <v>46254</v>
      </c>
      <c r="F436" t="inlineStr">
        <is>
          <t>GOTLANDS LÄN</t>
        </is>
      </c>
      <c r="G436" t="inlineStr">
        <is>
          <t>GOTLAND</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4670-2026</t>
        </is>
      </c>
      <c r="B437" t="inlineStr">
        <is>
          <t>avverkningsanmälan</t>
        </is>
      </c>
      <c r="C437" t="inlineStr">
        <is>
          <t>Föryngringsavverkning</t>
        </is>
      </c>
      <c r="D437" s="1" t="n">
        <v>46048</v>
      </c>
      <c r="E437" s="1" t="n">
        <v>46254</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50744-2024</t>
        </is>
      </c>
      <c r="B438" t="inlineStr">
        <is>
          <t>avverkningsanmälan</t>
        </is>
      </c>
      <c r="C438" t="inlineStr">
        <is>
          <t>Föryngringsavverkning</t>
        </is>
      </c>
      <c r="D438" s="1" t="n">
        <v>45602</v>
      </c>
      <c r="E438" s="1" t="n">
        <v>46254</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45244-2024</t>
        </is>
      </c>
      <c r="B439" t="inlineStr">
        <is>
          <t>avverkningsanmälan</t>
        </is>
      </c>
      <c r="C439" t="inlineStr">
        <is>
          <t>Avverkning för annat ändamål</t>
        </is>
      </c>
      <c r="D439" s="1" t="n">
        <v>45576</v>
      </c>
      <c r="E439" s="1" t="n">
        <v>46254</v>
      </c>
      <c r="F439" t="inlineStr">
        <is>
          <t>GOTLANDS LÄN</t>
        </is>
      </c>
      <c r="G439" t="inlineStr">
        <is>
          <t>GOTLAND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38787-2023</t>
        </is>
      </c>
      <c r="B440" t="inlineStr">
        <is>
          <t>avverkningsanmälan</t>
        </is>
      </c>
      <c r="C440" t="inlineStr">
        <is>
          <t>Föryngringsavverkning</t>
        </is>
      </c>
      <c r="D440" s="1" t="n">
        <v>45163</v>
      </c>
      <c r="E440" s="1" t="n">
        <v>46254</v>
      </c>
      <c r="F440" t="inlineStr">
        <is>
          <t>GOTLANDS LÄN</t>
        </is>
      </c>
      <c r="G440" t="inlineStr">
        <is>
          <t>GOTLAND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2714-2023</t>
        </is>
      </c>
      <c r="B441" t="inlineStr">
        <is>
          <t>avverkningsanmälan</t>
        </is>
      </c>
      <c r="C441" t="inlineStr">
        <is>
          <t>Föryngringsavverkning</t>
        </is>
      </c>
      <c r="D441" s="1" t="n">
        <v>44944</v>
      </c>
      <c r="E441" s="1" t="n">
        <v>46254</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22897-2023</t>
        </is>
      </c>
      <c r="B442" t="inlineStr">
        <is>
          <t>avverkningsanmälan</t>
        </is>
      </c>
      <c r="C442" t="inlineStr">
        <is>
          <t>Föryngringsavverkning</t>
        </is>
      </c>
      <c r="D442" s="1" t="n">
        <v>45072</v>
      </c>
      <c r="E442" s="1" t="n">
        <v>46254</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1681-2023</t>
        </is>
      </c>
      <c r="B443" t="inlineStr">
        <is>
          <t>avverkningsanmälan</t>
        </is>
      </c>
      <c r="C443" t="inlineStr">
        <is>
          <t>Föryngringsavverkning</t>
        </is>
      </c>
      <c r="D443" s="1" t="n">
        <v>44938</v>
      </c>
      <c r="E443" s="1" t="n">
        <v>46254</v>
      </c>
      <c r="F443" t="inlineStr">
        <is>
          <t>GOTLANDS LÄN</t>
        </is>
      </c>
      <c r="G443" t="inlineStr">
        <is>
          <t>GOTLAND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42338-2023</t>
        </is>
      </c>
      <c r="B444" t="inlineStr">
        <is>
          <t>avverkningsanmälan</t>
        </is>
      </c>
      <c r="C444" t="inlineStr">
        <is>
          <t>Föryngringsavverkning</t>
        </is>
      </c>
      <c r="D444" s="1" t="n">
        <v>45180</v>
      </c>
      <c r="E444" s="1" t="n">
        <v>46254</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18918-2025</t>
        </is>
      </c>
      <c r="B445" t="inlineStr">
        <is>
          <t>avverkningsanmälan</t>
        </is>
      </c>
      <c r="C445" t="inlineStr">
        <is>
          <t>Avverkning för annat ändamål</t>
        </is>
      </c>
      <c r="D445" s="1" t="n">
        <v>45764</v>
      </c>
      <c r="E445" s="1" t="n">
        <v>46254</v>
      </c>
      <c r="F445" t="inlineStr">
        <is>
          <t>GOTLANDS LÄN</t>
        </is>
      </c>
      <c r="G445" t="inlineStr">
        <is>
          <t>GOTLAND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11013-2024</t>
        </is>
      </c>
      <c r="B446" t="inlineStr">
        <is>
          <t>avverkningsanmälan</t>
        </is>
      </c>
      <c r="C446" t="inlineStr">
        <is>
          <t>Föryngringsavverkning</t>
        </is>
      </c>
      <c r="D446" s="1" t="n">
        <v>45370</v>
      </c>
      <c r="E446" s="1" t="n">
        <v>46254</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45084-2024</t>
        </is>
      </c>
      <c r="B447" t="inlineStr">
        <is>
          <t>avverkningsanmälan</t>
        </is>
      </c>
      <c r="C447" t="inlineStr">
        <is>
          <t>Föryngringsavverkning</t>
        </is>
      </c>
      <c r="D447" s="1" t="n">
        <v>45575</v>
      </c>
      <c r="E447" s="1" t="n">
        <v>46254</v>
      </c>
      <c r="F447" t="inlineStr">
        <is>
          <t>GOTLANDS LÄN</t>
        </is>
      </c>
      <c r="G447" t="inlineStr">
        <is>
          <t>GOTLAND</t>
        </is>
      </c>
      <c r="I447" t="n">
        <v>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20356-2022</t>
        </is>
      </c>
      <c r="B448" t="inlineStr">
        <is>
          <t>avverkningsanmälan</t>
        </is>
      </c>
      <c r="C448" t="inlineStr">
        <is>
          <t>Avverkning för annat ändamål</t>
        </is>
      </c>
      <c r="D448" s="1" t="n">
        <v>44699</v>
      </c>
      <c r="E448" s="1" t="n">
        <v>46254</v>
      </c>
      <c r="F448" t="inlineStr">
        <is>
          <t>GOTLANDS LÄN</t>
        </is>
      </c>
      <c r="G448" t="inlineStr">
        <is>
          <t>GOTLAND</t>
        </is>
      </c>
      <c r="H448" t="inlineStr">
        <is>
          <t>Övriga Aktiebolag</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7627-2026</t>
        </is>
      </c>
      <c r="B449" t="inlineStr">
        <is>
          <t>avverkningsanmälan</t>
        </is>
      </c>
      <c r="C449" t="inlineStr">
        <is>
          <t>Föryngringsavverkning</t>
        </is>
      </c>
      <c r="D449" s="1" t="n">
        <v>46062</v>
      </c>
      <c r="E449" s="1" t="n">
        <v>46254</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2135-2026</t>
        </is>
      </c>
      <c r="B450" t="inlineStr">
        <is>
          <t>avverkningsanmälan</t>
        </is>
      </c>
      <c r="C450" t="inlineStr">
        <is>
          <t>Avverkning för annat ändamål</t>
        </is>
      </c>
      <c r="D450" s="1" t="n">
        <v>46036</v>
      </c>
      <c r="E450" s="1" t="n">
        <v>46254</v>
      </c>
      <c r="F450" t="inlineStr">
        <is>
          <t>GOTLANDS LÄN</t>
        </is>
      </c>
      <c r="G450" t="inlineStr">
        <is>
          <t>GOTLAND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46254</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9540-2026</t>
        </is>
      </c>
      <c r="B452" t="inlineStr">
        <is>
          <t>avverkningsanmälan</t>
        </is>
      </c>
      <c r="C452" t="inlineStr">
        <is>
          <t>Föryngringsavverkning</t>
        </is>
      </c>
      <c r="D452" s="1" t="n">
        <v>46071</v>
      </c>
      <c r="E452" s="1" t="n">
        <v>46254</v>
      </c>
      <c r="F452" t="inlineStr">
        <is>
          <t>GOTLANDS LÄN</t>
        </is>
      </c>
      <c r="G452" t="inlineStr">
        <is>
          <t>GOTLAND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9521-2026</t>
        </is>
      </c>
      <c r="B453" t="inlineStr">
        <is>
          <t>avverkningsanmälan</t>
        </is>
      </c>
      <c r="C453" t="inlineStr">
        <is>
          <t>Föryngringsavverkning</t>
        </is>
      </c>
      <c r="D453" s="1" t="n">
        <v>46071</v>
      </c>
      <c r="E453" s="1" t="n">
        <v>46254</v>
      </c>
      <c r="F453" t="inlineStr">
        <is>
          <t>GOTLANDS LÄN</t>
        </is>
      </c>
      <c r="G453" t="inlineStr">
        <is>
          <t>GOTLAND</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9524-2026</t>
        </is>
      </c>
      <c r="B454" t="inlineStr">
        <is>
          <t>avverkningsanmälan</t>
        </is>
      </c>
      <c r="C454" t="inlineStr">
        <is>
          <t>Föryngringsavverkning</t>
        </is>
      </c>
      <c r="D454" s="1" t="n">
        <v>46071</v>
      </c>
      <c r="E454" s="1" t="n">
        <v>46254</v>
      </c>
      <c r="F454" t="inlineStr">
        <is>
          <t>GOTLANDS LÄN</t>
        </is>
      </c>
      <c r="G454" t="inlineStr">
        <is>
          <t>GOTLAND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9543-2026</t>
        </is>
      </c>
      <c r="B455" t="inlineStr">
        <is>
          <t>avverkningsanmälan</t>
        </is>
      </c>
      <c r="C455" t="inlineStr">
        <is>
          <t>Föryngringsavverkning</t>
        </is>
      </c>
      <c r="D455" s="1" t="n">
        <v>46071</v>
      </c>
      <c r="E455" s="1" t="n">
        <v>46254</v>
      </c>
      <c r="F455" t="inlineStr">
        <is>
          <t>GOTLANDS LÄN</t>
        </is>
      </c>
      <c r="G455" t="inlineStr">
        <is>
          <t>GOTLAND</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5884-2025</t>
        </is>
      </c>
      <c r="B456" t="inlineStr">
        <is>
          <t>avverkningsanmälan</t>
        </is>
      </c>
      <c r="C456" t="inlineStr">
        <is>
          <t>Föryngringsavverkning</t>
        </is>
      </c>
      <c r="D456" s="1" t="n">
        <v>45695</v>
      </c>
      <c r="E456" s="1" t="n">
        <v>46254</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5897-2025</t>
        </is>
      </c>
      <c r="B457" t="inlineStr">
        <is>
          <t>avverkningsanmälan</t>
        </is>
      </c>
      <c r="C457" t="inlineStr">
        <is>
          <t>Föryngringsavverkning</t>
        </is>
      </c>
      <c r="D457" s="1" t="n">
        <v>45695</v>
      </c>
      <c r="E457" s="1" t="n">
        <v>46254</v>
      </c>
      <c r="F457" t="inlineStr">
        <is>
          <t>GOTLANDS LÄN</t>
        </is>
      </c>
      <c r="G457" t="inlineStr">
        <is>
          <t>GOTLAND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9518-2026</t>
        </is>
      </c>
      <c r="B458" t="inlineStr">
        <is>
          <t>avverkningsanmälan</t>
        </is>
      </c>
      <c r="C458" t="inlineStr">
        <is>
          <t>Föryngringsavverkning</t>
        </is>
      </c>
      <c r="D458" s="1" t="n">
        <v>46071</v>
      </c>
      <c r="E458" s="1" t="n">
        <v>46254</v>
      </c>
      <c r="F458" t="inlineStr">
        <is>
          <t>GOTLANDS LÄN</t>
        </is>
      </c>
      <c r="G458" t="inlineStr">
        <is>
          <t>GOTLAND</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9519-2026</t>
        </is>
      </c>
      <c r="B459" t="inlineStr">
        <is>
          <t>avverkningsanmälan</t>
        </is>
      </c>
      <c r="C459" t="inlineStr">
        <is>
          <t>Föryngringsavverkning</t>
        </is>
      </c>
      <c r="D459" s="1" t="n">
        <v>46071</v>
      </c>
      <c r="E459" s="1" t="n">
        <v>46254</v>
      </c>
      <c r="F459" t="inlineStr">
        <is>
          <t>GOTLANDS LÄN</t>
        </is>
      </c>
      <c r="G459" t="inlineStr">
        <is>
          <t>GOTLAND</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60086-2022</t>
        </is>
      </c>
      <c r="B460" t="inlineStr">
        <is>
          <t>avverkningsanmälan</t>
        </is>
      </c>
      <c r="C460" t="inlineStr">
        <is>
          <t>Föryngringsavverkning</t>
        </is>
      </c>
      <c r="D460" s="1" t="n">
        <v>44909</v>
      </c>
      <c r="E460" s="1" t="n">
        <v>46254</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22704-2023</t>
        </is>
      </c>
      <c r="B461" t="inlineStr">
        <is>
          <t>avverkningsanmälan</t>
        </is>
      </c>
      <c r="C461" t="inlineStr">
        <is>
          <t>Föryngringsavverkning</t>
        </is>
      </c>
      <c r="D461" s="1" t="n">
        <v>45071</v>
      </c>
      <c r="E461" s="1" t="n">
        <v>46254</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10284-2026</t>
        </is>
      </c>
      <c r="B462" t="inlineStr">
        <is>
          <t>avverkningsanmälan</t>
        </is>
      </c>
      <c r="C462" t="inlineStr">
        <is>
          <t>Avverkning för annat ändamål</t>
        </is>
      </c>
      <c r="D462" s="1" t="n">
        <v>46076</v>
      </c>
      <c r="E462" s="1" t="n">
        <v>46254</v>
      </c>
      <c r="F462" t="inlineStr">
        <is>
          <t>GOTLANDS LÄN</t>
        </is>
      </c>
      <c r="G462" t="inlineStr">
        <is>
          <t>GOTLAND</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25866-2022</t>
        </is>
      </c>
      <c r="B463" t="inlineStr">
        <is>
          <t>avverkningsanmälan</t>
        </is>
      </c>
      <c r="C463" t="inlineStr">
        <is>
          <t>Föryngringsavverkning</t>
        </is>
      </c>
      <c r="D463" s="1" t="n">
        <v>44733</v>
      </c>
      <c r="E463" s="1" t="n">
        <v>46254</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11424-2026</t>
        </is>
      </c>
      <c r="B464" t="inlineStr">
        <is>
          <t>avverkningsanmälan</t>
        </is>
      </c>
      <c r="C464" t="inlineStr">
        <is>
          <t>Föryngringsavverkning</t>
        </is>
      </c>
      <c r="D464" s="1" t="n">
        <v>46083</v>
      </c>
      <c r="E464" s="1" t="n">
        <v>46254</v>
      </c>
      <c r="F464" t="inlineStr">
        <is>
          <t>GOTLANDS LÄN</t>
        </is>
      </c>
      <c r="G464" t="inlineStr">
        <is>
          <t>GOTLAND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3067-2026</t>
        </is>
      </c>
      <c r="B465" t="inlineStr">
        <is>
          <t>avverkningsanmälan</t>
        </is>
      </c>
      <c r="C465" t="inlineStr">
        <is>
          <t>Föryngringsavverkning</t>
        </is>
      </c>
      <c r="D465" s="1" t="n">
        <v>46040</v>
      </c>
      <c r="E465" s="1" t="n">
        <v>46254</v>
      </c>
      <c r="F465" t="inlineStr">
        <is>
          <t>GOTLANDS LÄN</t>
        </is>
      </c>
      <c r="G465" t="inlineStr">
        <is>
          <t>GOTLAND</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9887-2025</t>
        </is>
      </c>
      <c r="B466" t="inlineStr">
        <is>
          <t>avverkningsanmälan</t>
        </is>
      </c>
      <c r="C466" t="inlineStr">
        <is>
          <t>Föryngringsavverkning</t>
        </is>
      </c>
      <c r="D466" s="1" t="n">
        <v>45716</v>
      </c>
      <c r="E466" s="1" t="n">
        <v>46254</v>
      </c>
      <c r="F466" t="inlineStr">
        <is>
          <t>GOTLANDS LÄN</t>
        </is>
      </c>
      <c r="G466" t="inlineStr">
        <is>
          <t>GOTLAND</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59986-2022</t>
        </is>
      </c>
      <c r="B467" t="inlineStr">
        <is>
          <t>avverkningsanmälan</t>
        </is>
      </c>
      <c r="C467" t="inlineStr">
        <is>
          <t>Avverkning för annat ändamål</t>
        </is>
      </c>
      <c r="D467" s="1" t="n">
        <v>44909</v>
      </c>
      <c r="E467" s="1" t="n">
        <v>46254</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31802-2024</t>
        </is>
      </c>
      <c r="B468" t="inlineStr">
        <is>
          <t>avverkningsanmälan</t>
        </is>
      </c>
      <c r="C468" t="inlineStr">
        <is>
          <t>Avverkning för annat ändamål</t>
        </is>
      </c>
      <c r="D468" s="1" t="n">
        <v>45509</v>
      </c>
      <c r="E468" s="1" t="n">
        <v>46254</v>
      </c>
      <c r="F468" t="inlineStr">
        <is>
          <t>GOTLANDS LÄN</t>
        </is>
      </c>
      <c r="G468" t="inlineStr">
        <is>
          <t>GOTLAND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20993-2023</t>
        </is>
      </c>
      <c r="B469" t="inlineStr">
        <is>
          <t>avverkningsanmälan</t>
        </is>
      </c>
      <c r="C469" t="inlineStr">
        <is>
          <t>Föryngringsavverkning</t>
        </is>
      </c>
      <c r="D469" s="1" t="n">
        <v>45056</v>
      </c>
      <c r="E469" s="1" t="n">
        <v>46254</v>
      </c>
      <c r="F469" t="inlineStr">
        <is>
          <t>GOTLANDS LÄN</t>
        </is>
      </c>
      <c r="G469" t="inlineStr">
        <is>
          <t>GOTLAND</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42201-2023</t>
        </is>
      </c>
      <c r="B470" t="inlineStr">
        <is>
          <t>avverkningsanmälan</t>
        </is>
      </c>
      <c r="C470" t="inlineStr">
        <is>
          <t>Föryngringsavverkning</t>
        </is>
      </c>
      <c r="D470" s="1" t="n">
        <v>45179</v>
      </c>
      <c r="E470" s="1" t="n">
        <v>46254</v>
      </c>
      <c r="F470" t="inlineStr">
        <is>
          <t>GOTLANDS LÄN</t>
        </is>
      </c>
      <c r="G470" t="inlineStr">
        <is>
          <t>GOTLAND</t>
        </is>
      </c>
      <c r="I470" t="n">
        <v>11.9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4420-2025</t>
        </is>
      </c>
      <c r="B471" t="inlineStr">
        <is>
          <t>avverkningsanmälan</t>
        </is>
      </c>
      <c r="C471" t="inlineStr">
        <is>
          <t>Föryngringsavverkning</t>
        </is>
      </c>
      <c r="D471" s="1" t="n">
        <v>45686</v>
      </c>
      <c r="E471" s="1" t="n">
        <v>46254</v>
      </c>
      <c r="F471" t="inlineStr">
        <is>
          <t>GOTLANDS LÄN</t>
        </is>
      </c>
      <c r="G471" t="inlineStr">
        <is>
          <t>GOTLAND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63000-2025</t>
        </is>
      </c>
      <c r="B472" t="inlineStr">
        <is>
          <t>avverkningsanmälan</t>
        </is>
      </c>
      <c r="C472" t="inlineStr">
        <is>
          <t>Föryngringsavverkning</t>
        </is>
      </c>
      <c r="D472" s="1" t="n">
        <v>46009</v>
      </c>
      <c r="E472" s="1" t="n">
        <v>46254</v>
      </c>
      <c r="F472" t="inlineStr">
        <is>
          <t>GOTLANDS LÄN</t>
        </is>
      </c>
      <c r="G472" t="inlineStr">
        <is>
          <t>GOTLAND</t>
        </is>
      </c>
      <c r="H472" t="inlineStr">
        <is>
          <t>Övriga Aktiebolag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14427-2024</t>
        </is>
      </c>
      <c r="B473" t="inlineStr">
        <is>
          <t>avverkningsanmälan</t>
        </is>
      </c>
      <c r="C473" t="inlineStr">
        <is>
          <t>Avverkning för att bevara och utveckla /försöksver</t>
        </is>
      </c>
      <c r="D473" s="1" t="n">
        <v>45394</v>
      </c>
      <c r="E473" s="1" t="n">
        <v>46254</v>
      </c>
      <c r="F473" t="inlineStr">
        <is>
          <t>GOTLANDS LÄN</t>
        </is>
      </c>
      <c r="G473" t="inlineStr">
        <is>
          <t>GOTLAND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62751-2025</t>
        </is>
      </c>
      <c r="B474" t="inlineStr">
        <is>
          <t>avverkningsanmälan</t>
        </is>
      </c>
      <c r="C474" t="inlineStr">
        <is>
          <t>Föryngringsavverkning</t>
        </is>
      </c>
      <c r="D474" s="1" t="n">
        <v>46008</v>
      </c>
      <c r="E474" s="1" t="n">
        <v>46254</v>
      </c>
      <c r="F474" t="inlineStr">
        <is>
          <t>GOTLANDS LÄN</t>
        </is>
      </c>
      <c r="G474" t="inlineStr">
        <is>
          <t>GOTLAND</t>
        </is>
      </c>
      <c r="H474" t="inlineStr">
        <is>
          <t>Övriga Aktiebolag</t>
        </is>
      </c>
      <c r="I474" t="n">
        <v>7.8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13486-2026</t>
        </is>
      </c>
      <c r="B475" t="inlineStr">
        <is>
          <t>avverkningsanmälan</t>
        </is>
      </c>
      <c r="C475" t="inlineStr">
        <is>
          <t>Föryngringsavverkning</t>
        </is>
      </c>
      <c r="D475" s="1" t="n">
        <v>46094</v>
      </c>
      <c r="E475" s="1" t="n">
        <v>46254</v>
      </c>
      <c r="F475" t="inlineStr">
        <is>
          <t>GOTLANDS LÄN</t>
        </is>
      </c>
      <c r="G475" t="inlineStr">
        <is>
          <t>GOTLAND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49315-2024</t>
        </is>
      </c>
      <c r="B476" t="inlineStr">
        <is>
          <t>avverkningsanmälan</t>
        </is>
      </c>
      <c r="C476" t="inlineStr">
        <is>
          <t>Avverkning för annat ändamål</t>
        </is>
      </c>
      <c r="D476" s="1" t="n">
        <v>45595</v>
      </c>
      <c r="E476" s="1" t="n">
        <v>46254</v>
      </c>
      <c r="F476" t="inlineStr">
        <is>
          <t>GOTLANDS LÄN</t>
        </is>
      </c>
      <c r="G476" t="inlineStr">
        <is>
          <t>GOTLAND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46254</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64969-2023</t>
        </is>
      </c>
      <c r="B478" t="inlineStr">
        <is>
          <t>avverkningsanmälan</t>
        </is>
      </c>
      <c r="C478" t="inlineStr">
        <is>
          <t>Föryngringsavverkning</t>
        </is>
      </c>
      <c r="D478" s="1" t="n">
        <v>45284</v>
      </c>
      <c r="E478" s="1" t="n">
        <v>46254</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46949-2024</t>
        </is>
      </c>
      <c r="B479" t="inlineStr">
        <is>
          <t>avverkningsanmälan</t>
        </is>
      </c>
      <c r="C479" t="inlineStr">
        <is>
          <t>Föryngringsavverkning</t>
        </is>
      </c>
      <c r="D479" s="1" t="n">
        <v>45585</v>
      </c>
      <c r="E479" s="1" t="n">
        <v>46254</v>
      </c>
      <c r="F479" t="inlineStr">
        <is>
          <t>GOTLANDS LÄN</t>
        </is>
      </c>
      <c r="G479" t="inlineStr">
        <is>
          <t>GOTLAND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16993-2026</t>
        </is>
      </c>
      <c r="B480" t="inlineStr">
        <is>
          <t>avverkningsanmälan</t>
        </is>
      </c>
      <c r="C480" t="inlineStr">
        <is>
          <t>Föryngringsavverkning</t>
        </is>
      </c>
      <c r="D480" s="1" t="n">
        <v>46114</v>
      </c>
      <c r="E480" s="1" t="n">
        <v>46254</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39479-2022</t>
        </is>
      </c>
      <c r="B481" t="inlineStr">
        <is>
          <t>avverkningsanmälan</t>
        </is>
      </c>
      <c r="C481" t="inlineStr">
        <is>
          <t>Föryngringsavverkning</t>
        </is>
      </c>
      <c r="D481" s="1" t="n">
        <v>44818</v>
      </c>
      <c r="E481" s="1" t="n">
        <v>46254</v>
      </c>
      <c r="F481" t="inlineStr">
        <is>
          <t>GOTLANDS LÄN</t>
        </is>
      </c>
      <c r="G481" t="inlineStr">
        <is>
          <t>GOTLAND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39496-2022</t>
        </is>
      </c>
      <c r="B482" t="inlineStr">
        <is>
          <t>avverkningsanmälan</t>
        </is>
      </c>
      <c r="C482" t="inlineStr">
        <is>
          <t>Föryngringsavverkning</t>
        </is>
      </c>
      <c r="D482" s="1" t="n">
        <v>44818</v>
      </c>
      <c r="E482" s="1" t="n">
        <v>46254</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46389-2021</t>
        </is>
      </c>
      <c r="B483" t="inlineStr">
        <is>
          <t>avverkningsanmälan</t>
        </is>
      </c>
      <c r="C483" t="inlineStr">
        <is>
          <t>Föryngringsavverkning</t>
        </is>
      </c>
      <c r="D483" s="1" t="n">
        <v>44443</v>
      </c>
      <c r="E483" s="1" t="n">
        <v>46254</v>
      </c>
      <c r="F483" t="inlineStr">
        <is>
          <t>GOTLANDS LÄN</t>
        </is>
      </c>
      <c r="G483" t="inlineStr">
        <is>
          <t>GOTLAND</t>
        </is>
      </c>
      <c r="H483" t="inlineStr">
        <is>
          <t>Kyrkan</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44949-2023</t>
        </is>
      </c>
      <c r="B484" t="inlineStr">
        <is>
          <t>avverkningsanmälan</t>
        </is>
      </c>
      <c r="C484" t="inlineStr">
        <is>
          <t>Föryngringsavverkning</t>
        </is>
      </c>
      <c r="D484" s="1" t="n">
        <v>45190</v>
      </c>
      <c r="E484" s="1" t="n">
        <v>46254</v>
      </c>
      <c r="F484" t="inlineStr">
        <is>
          <t>GOTLANDS LÄN</t>
        </is>
      </c>
      <c r="G484" t="inlineStr">
        <is>
          <t>GOTLAND</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17682-2024</t>
        </is>
      </c>
      <c r="B485" t="inlineStr">
        <is>
          <t>avverkningsanmälan</t>
        </is>
      </c>
      <c r="C485" t="inlineStr">
        <is>
          <t>Föryngringsavverkning</t>
        </is>
      </c>
      <c r="D485" s="1" t="n">
        <v>45418</v>
      </c>
      <c r="E485" s="1" t="n">
        <v>46254</v>
      </c>
      <c r="F485" t="inlineStr">
        <is>
          <t>GOTLANDS LÄN</t>
        </is>
      </c>
      <c r="G485" t="inlineStr">
        <is>
          <t>GOTLAND</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61897-2024</t>
        </is>
      </c>
      <c r="B486" t="inlineStr">
        <is>
          <t>avverkningsanmälan</t>
        </is>
      </c>
      <c r="C486" t="inlineStr">
        <is>
          <t>Föryngringsavverkning</t>
        </is>
      </c>
      <c r="D486" s="1" t="n">
        <v>45652</v>
      </c>
      <c r="E486" s="1" t="n">
        <v>46254</v>
      </c>
      <c r="F486" t="inlineStr">
        <is>
          <t>GOTLANDS LÄN</t>
        </is>
      </c>
      <c r="G486" t="inlineStr">
        <is>
          <t>GOTLAND</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12032-2025</t>
        </is>
      </c>
      <c r="B487" t="inlineStr">
        <is>
          <t>avverkningsanmälan</t>
        </is>
      </c>
      <c r="C487" t="inlineStr">
        <is>
          <t>Föryngringsavverkning</t>
        </is>
      </c>
      <c r="D487" s="1" t="n">
        <v>45728</v>
      </c>
      <c r="E487" s="1" t="n">
        <v>46254</v>
      </c>
      <c r="F487" t="inlineStr">
        <is>
          <t>GOTLANDS LÄN</t>
        </is>
      </c>
      <c r="G487" t="inlineStr">
        <is>
          <t>GOTLAND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18804-2026</t>
        </is>
      </c>
      <c r="B488" t="inlineStr">
        <is>
          <t>avverkningsanmälan</t>
        </is>
      </c>
      <c r="C488" t="inlineStr">
        <is>
          <t>Föryngringsavverkning</t>
        </is>
      </c>
      <c r="D488" s="1" t="n">
        <v>46128</v>
      </c>
      <c r="E488" s="1" t="n">
        <v>46254</v>
      </c>
      <c r="F488" t="inlineStr">
        <is>
          <t>GOTLANDS LÄN</t>
        </is>
      </c>
      <c r="G488" t="inlineStr">
        <is>
          <t>GOTLAND</t>
        </is>
      </c>
      <c r="H488" t="inlineStr">
        <is>
          <t>Kyrkan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21164-2024</t>
        </is>
      </c>
      <c r="B489" t="inlineStr">
        <is>
          <t>avverkningsanmälan</t>
        </is>
      </c>
      <c r="C489" t="inlineStr">
        <is>
          <t>Föryngringsavverkning</t>
        </is>
      </c>
      <c r="D489" s="1" t="n">
        <v>45440</v>
      </c>
      <c r="E489" s="1" t="n">
        <v>46254</v>
      </c>
      <c r="F489" t="inlineStr">
        <is>
          <t>GOTLANDS LÄN</t>
        </is>
      </c>
      <c r="G489" t="inlineStr">
        <is>
          <t>GOTLAND</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17541-2024</t>
        </is>
      </c>
      <c r="B490" t="inlineStr">
        <is>
          <t>avverkningsanmälan</t>
        </is>
      </c>
      <c r="C490" t="inlineStr">
        <is>
          <t>Föryngringsavverkning</t>
        </is>
      </c>
      <c r="D490" s="1" t="n">
        <v>45415</v>
      </c>
      <c r="E490" s="1" t="n">
        <v>46254</v>
      </c>
      <c r="F490" t="inlineStr">
        <is>
          <t>GOTLANDS LÄN</t>
        </is>
      </c>
      <c r="G490" t="inlineStr">
        <is>
          <t>GOTLAND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62754-2025</t>
        </is>
      </c>
      <c r="B491" t="inlineStr">
        <is>
          <t>avverkningsanmälan</t>
        </is>
      </c>
      <c r="C491" t="inlineStr">
        <is>
          <t>Föryngringsavverkning</t>
        </is>
      </c>
      <c r="D491" s="1" t="n">
        <v>46008</v>
      </c>
      <c r="E491" s="1" t="n">
        <v>46254</v>
      </c>
      <c r="F491" t="inlineStr">
        <is>
          <t>GOTLANDS LÄN</t>
        </is>
      </c>
      <c r="G491" t="inlineStr">
        <is>
          <t>GOTLAND</t>
        </is>
      </c>
      <c r="H491" t="inlineStr">
        <is>
          <t>Övriga Aktiebolag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26467-2025</t>
        </is>
      </c>
      <c r="B492" t="inlineStr">
        <is>
          <t>avverkningsanmälan</t>
        </is>
      </c>
      <c r="C492" t="inlineStr">
        <is>
          <t>Föryngringsavverkning</t>
        </is>
      </c>
      <c r="D492" s="1" t="n">
        <v>45807</v>
      </c>
      <c r="E492" s="1" t="n">
        <v>46254</v>
      </c>
      <c r="F492" t="inlineStr">
        <is>
          <t>GOTLANDS LÄN</t>
        </is>
      </c>
      <c r="G492" t="inlineStr">
        <is>
          <t>GOTLAND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21389-2025</t>
        </is>
      </c>
      <c r="B493" t="inlineStr">
        <is>
          <t>avverkningsanmälan</t>
        </is>
      </c>
      <c r="C493" t="inlineStr">
        <is>
          <t>Föryngringsavverkning</t>
        </is>
      </c>
      <c r="D493" s="1" t="n">
        <v>45782</v>
      </c>
      <c r="E493" s="1" t="n">
        <v>46254</v>
      </c>
      <c r="F493" t="inlineStr">
        <is>
          <t>GOTLANDS LÄN</t>
        </is>
      </c>
      <c r="G493" t="inlineStr">
        <is>
          <t>GOTLAND</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25796-2025</t>
        </is>
      </c>
      <c r="B494" t="inlineStr">
        <is>
          <t>avverkningsanmälan</t>
        </is>
      </c>
      <c r="C494" t="inlineStr">
        <is>
          <t>Föryngringsavverkning</t>
        </is>
      </c>
      <c r="D494" s="1" t="n">
        <v>45804</v>
      </c>
      <c r="E494" s="1" t="n">
        <v>46254</v>
      </c>
      <c r="F494" t="inlineStr">
        <is>
          <t>GOTLANDS LÄN</t>
        </is>
      </c>
      <c r="G494" t="inlineStr">
        <is>
          <t>GOTLAND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1854-2026</t>
        </is>
      </c>
      <c r="B495" t="inlineStr">
        <is>
          <t>avverkningsanmälan</t>
        </is>
      </c>
      <c r="C495" t="inlineStr">
        <is>
          <t>Föryngringsavverkning</t>
        </is>
      </c>
      <c r="D495" s="1" t="n">
        <v>46035</v>
      </c>
      <c r="E495" s="1" t="n">
        <v>46254</v>
      </c>
      <c r="F495" t="inlineStr">
        <is>
          <t>GOTLANDS LÄN</t>
        </is>
      </c>
      <c r="G495" t="inlineStr">
        <is>
          <t>GOTLAND</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2180-2025</t>
        </is>
      </c>
      <c r="B496" t="inlineStr">
        <is>
          <t>avverkningsanmälan</t>
        </is>
      </c>
      <c r="C496" t="inlineStr">
        <is>
          <t>Föryngringsavverkning</t>
        </is>
      </c>
      <c r="D496" s="1" t="n">
        <v>45673</v>
      </c>
      <c r="E496" s="1" t="n">
        <v>46254</v>
      </c>
      <c r="F496" t="inlineStr">
        <is>
          <t>GOTLANDS LÄN</t>
        </is>
      </c>
      <c r="G496" t="inlineStr">
        <is>
          <t>GOTLAND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13910-2025</t>
        </is>
      </c>
      <c r="B497" t="inlineStr">
        <is>
          <t>avverkningsanmälan</t>
        </is>
      </c>
      <c r="C497" t="inlineStr">
        <is>
          <t>Föryngringsavverkning</t>
        </is>
      </c>
      <c r="D497" s="1" t="n">
        <v>45737</v>
      </c>
      <c r="E497" s="1" t="n">
        <v>46254</v>
      </c>
      <c r="F497" t="inlineStr">
        <is>
          <t>GOTLANDS LÄN</t>
        </is>
      </c>
      <c r="G497" t="inlineStr">
        <is>
          <t>GOTLAND</t>
        </is>
      </c>
      <c r="H497" t="inlineStr">
        <is>
          <t>Kommuner</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21420-2024</t>
        </is>
      </c>
      <c r="B498" t="inlineStr">
        <is>
          <t>avverkningsanmälan</t>
        </is>
      </c>
      <c r="C498" t="inlineStr">
        <is>
          <t>Föryngringsavverkning</t>
        </is>
      </c>
      <c r="D498" s="1" t="n">
        <v>45441</v>
      </c>
      <c r="E498" s="1" t="n">
        <v>46254</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10656-2024</t>
        </is>
      </c>
      <c r="B499" t="inlineStr">
        <is>
          <t>avverkningsanmälan</t>
        </is>
      </c>
      <c r="C499" t="inlineStr">
        <is>
          <t>Föryngringsavverkning</t>
        </is>
      </c>
      <c r="D499" s="1" t="n">
        <v>45368</v>
      </c>
      <c r="E499" s="1" t="n">
        <v>46254</v>
      </c>
      <c r="F499" t="inlineStr">
        <is>
          <t>GOTLANDS LÄN</t>
        </is>
      </c>
      <c r="G499" t="inlineStr">
        <is>
          <t>GOTLAND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57356-2023</t>
        </is>
      </c>
      <c r="B500" t="inlineStr">
        <is>
          <t>avverkningsanmälan</t>
        </is>
      </c>
      <c r="C500" t="inlineStr">
        <is>
          <t>Föryngringsavverkning</t>
        </is>
      </c>
      <c r="D500" s="1" t="n">
        <v>45240</v>
      </c>
      <c r="E500" s="1" t="n">
        <v>46254</v>
      </c>
      <c r="F500" t="inlineStr">
        <is>
          <t>GOTLANDS LÄN</t>
        </is>
      </c>
      <c r="G500" t="inlineStr">
        <is>
          <t>GOTLAND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45112-2024</t>
        </is>
      </c>
      <c r="B501" t="inlineStr">
        <is>
          <t>avverkningsanmälan</t>
        </is>
      </c>
      <c r="C501" t="inlineStr">
        <is>
          <t>Föryngringsavverkning</t>
        </is>
      </c>
      <c r="D501" s="1" t="n">
        <v>45575</v>
      </c>
      <c r="E501" s="1" t="n">
        <v>46254</v>
      </c>
      <c r="F501" t="inlineStr">
        <is>
          <t>GOTLANDS LÄN</t>
        </is>
      </c>
      <c r="G501" t="inlineStr">
        <is>
          <t>GOTLAND</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28506-2023</t>
        </is>
      </c>
      <c r="B502" t="inlineStr">
        <is>
          <t>avverkningsanmälan</t>
        </is>
      </c>
      <c r="C502" t="inlineStr">
        <is>
          <t>Avverkning för annat ändamål</t>
        </is>
      </c>
      <c r="D502" s="1" t="n">
        <v>45103</v>
      </c>
      <c r="E502" s="1" t="n">
        <v>46254</v>
      </c>
      <c r="F502" t="inlineStr">
        <is>
          <t>GOTLANDS LÄN</t>
        </is>
      </c>
      <c r="G502" t="inlineStr">
        <is>
          <t>GOTLAND</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23188-2025</t>
        </is>
      </c>
      <c r="B503" t="inlineStr">
        <is>
          <t>avverkningsanmälan</t>
        </is>
      </c>
      <c r="C503" t="inlineStr">
        <is>
          <t>Avverkning för annat ändamål</t>
        </is>
      </c>
      <c r="D503" s="1" t="n">
        <v>45791</v>
      </c>
      <c r="E503" s="1" t="n">
        <v>46254</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23698-2025</t>
        </is>
      </c>
      <c r="B504" t="inlineStr">
        <is>
          <t>avverkningsanmälan</t>
        </is>
      </c>
      <c r="C504" t="inlineStr">
        <is>
          <t>Föryngringsavverkning</t>
        </is>
      </c>
      <c r="D504" s="1" t="n">
        <v>45793</v>
      </c>
      <c r="E504" s="1" t="n">
        <v>46254</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15073-2025</t>
        </is>
      </c>
      <c r="B505" t="inlineStr">
        <is>
          <t>avverkningsanmälan</t>
        </is>
      </c>
      <c r="C505" t="inlineStr">
        <is>
          <t>Avverkning för annat ändamål</t>
        </is>
      </c>
      <c r="D505" s="1" t="n">
        <v>45743</v>
      </c>
      <c r="E505" s="1" t="n">
        <v>46254</v>
      </c>
      <c r="F505" t="inlineStr">
        <is>
          <t>GOTLANDS LÄN</t>
        </is>
      </c>
      <c r="G505" t="inlineStr">
        <is>
          <t>GOTLAND</t>
        </is>
      </c>
      <c r="I505" t="n">
        <v>12.1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6749-2025</t>
        </is>
      </c>
      <c r="B506" t="inlineStr">
        <is>
          <t>avverkningsanmälan</t>
        </is>
      </c>
      <c r="C506" t="inlineStr">
        <is>
          <t>Föryngringsavverkning</t>
        </is>
      </c>
      <c r="D506" s="1" t="n">
        <v>45700</v>
      </c>
      <c r="E506" s="1" t="n">
        <v>46254</v>
      </c>
      <c r="F506" t="inlineStr">
        <is>
          <t>GOTLANDS LÄN</t>
        </is>
      </c>
      <c r="G506" t="inlineStr">
        <is>
          <t>GOTLAND</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5462-2025</t>
        </is>
      </c>
      <c r="B507" t="inlineStr">
        <is>
          <t>avverkningsanmälan</t>
        </is>
      </c>
      <c r="C507" t="inlineStr">
        <is>
          <t>Föryngringsavverkning</t>
        </is>
      </c>
      <c r="D507" s="1" t="n">
        <v>45693</v>
      </c>
      <c r="E507" s="1" t="n">
        <v>46254</v>
      </c>
      <c r="F507" t="inlineStr">
        <is>
          <t>GOTLANDS LÄN</t>
        </is>
      </c>
      <c r="G507" t="inlineStr">
        <is>
          <t>GOTLAND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7850-2025</t>
        </is>
      </c>
      <c r="B508" t="inlineStr">
        <is>
          <t>avverkningsanmälan</t>
        </is>
      </c>
      <c r="C508" t="inlineStr">
        <is>
          <t>Föryngringsavverkning</t>
        </is>
      </c>
      <c r="D508" s="1" t="n">
        <v>45706</v>
      </c>
      <c r="E508" s="1" t="n">
        <v>46254</v>
      </c>
      <c r="F508" t="inlineStr">
        <is>
          <t>GOTLANDS LÄN</t>
        </is>
      </c>
      <c r="G508" t="inlineStr">
        <is>
          <t>GOTLAND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8444-2025</t>
        </is>
      </c>
      <c r="B509" t="inlineStr">
        <is>
          <t>avverkningsanmälan</t>
        </is>
      </c>
      <c r="C509" t="inlineStr">
        <is>
          <t>Föryngringsavverkning</t>
        </is>
      </c>
      <c r="D509" s="1" t="n">
        <v>45709</v>
      </c>
      <c r="E509" s="1" t="n">
        <v>46254</v>
      </c>
      <c r="F509" t="inlineStr">
        <is>
          <t>GOTLANDS LÄN</t>
        </is>
      </c>
      <c r="G509" t="inlineStr">
        <is>
          <t>GOTLAND</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29196-2025</t>
        </is>
      </c>
      <c r="B510" t="inlineStr">
        <is>
          <t>avverkningsanmälan</t>
        </is>
      </c>
      <c r="C510" t="inlineStr">
        <is>
          <t>Föryngringsavverkning</t>
        </is>
      </c>
      <c r="D510" s="1" t="n">
        <v>45822</v>
      </c>
      <c r="E510" s="1" t="n">
        <v>46254</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30061-2025</t>
        </is>
      </c>
      <c r="B511" t="inlineStr">
        <is>
          <t>avverkningsanmälan</t>
        </is>
      </c>
      <c r="C511" t="inlineStr">
        <is>
          <t>Föryngringsavverkning</t>
        </is>
      </c>
      <c r="D511" s="1" t="n">
        <v>45826</v>
      </c>
      <c r="E511" s="1" t="n">
        <v>46254</v>
      </c>
      <c r="F511" t="inlineStr">
        <is>
          <t>GOTLANDS LÄN</t>
        </is>
      </c>
      <c r="G511" t="inlineStr">
        <is>
          <t>GOTLAND</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58160-2024</t>
        </is>
      </c>
      <c r="B512" t="inlineStr">
        <is>
          <t>avverkningsanmälan</t>
        </is>
      </c>
      <c r="C512" t="inlineStr">
        <is>
          <t>Föryngringsavverkning</t>
        </is>
      </c>
      <c r="D512" s="1" t="n">
        <v>45632</v>
      </c>
      <c r="E512" s="1" t="n">
        <v>46254</v>
      </c>
      <c r="F512" t="inlineStr">
        <is>
          <t>GOTLANDS LÄN</t>
        </is>
      </c>
      <c r="G512" t="inlineStr">
        <is>
          <t>GOTLAND</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16109-2025</t>
        </is>
      </c>
      <c r="B513" t="inlineStr">
        <is>
          <t>avverkningsanmälan</t>
        </is>
      </c>
      <c r="C513" t="inlineStr">
        <is>
          <t>Avverkning för annat ändamål</t>
        </is>
      </c>
      <c r="D513" s="1" t="n">
        <v>45750</v>
      </c>
      <c r="E513" s="1" t="n">
        <v>46254</v>
      </c>
      <c r="F513" t="inlineStr">
        <is>
          <t>GOTLANDS LÄN</t>
        </is>
      </c>
      <c r="G513" t="inlineStr">
        <is>
          <t>GOTLAND</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46254</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32669-2024</t>
        </is>
      </c>
      <c r="B515" t="inlineStr">
        <is>
          <t>avverkningsanmälan</t>
        </is>
      </c>
      <c r="C515" t="inlineStr">
        <is>
          <t>Föryngringsavverkning</t>
        </is>
      </c>
      <c r="D515" s="1" t="n">
        <v>45514</v>
      </c>
      <c r="E515" s="1" t="n">
        <v>46254</v>
      </c>
      <c r="F515" t="inlineStr">
        <is>
          <t>GOTLANDS LÄN</t>
        </is>
      </c>
      <c r="G515" t="inlineStr">
        <is>
          <t>GOTLAND</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30488-2025</t>
        </is>
      </c>
      <c r="B516" t="inlineStr">
        <is>
          <t>avverkningsanmälan</t>
        </is>
      </c>
      <c r="C516" t="inlineStr">
        <is>
          <t>Föryngringsavverkning</t>
        </is>
      </c>
      <c r="D516" s="1" t="n">
        <v>45830</v>
      </c>
      <c r="E516" s="1" t="n">
        <v>46254</v>
      </c>
      <c r="F516" t="inlineStr">
        <is>
          <t>GOTLANDS LÄN</t>
        </is>
      </c>
      <c r="G516" t="inlineStr">
        <is>
          <t>GOTLAND</t>
        </is>
      </c>
      <c r="H516" t="inlineStr">
        <is>
          <t>Kyrkan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15216-2025</t>
        </is>
      </c>
      <c r="B517" t="inlineStr">
        <is>
          <t>avverkningsanmälan</t>
        </is>
      </c>
      <c r="C517" t="inlineStr">
        <is>
          <t>Föryngringsavverkning</t>
        </is>
      </c>
      <c r="D517" s="1" t="n">
        <v>45744</v>
      </c>
      <c r="E517" s="1" t="n">
        <v>46254</v>
      </c>
      <c r="F517" t="inlineStr">
        <is>
          <t>GOTLANDS LÄN</t>
        </is>
      </c>
      <c r="G517" t="inlineStr">
        <is>
          <t>GOTLAND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15001-2025</t>
        </is>
      </c>
      <c r="B518" t="inlineStr">
        <is>
          <t>avverkningsanmälan</t>
        </is>
      </c>
      <c r="C518" t="inlineStr">
        <is>
          <t>Föryngringsavverkning</t>
        </is>
      </c>
      <c r="D518" s="1" t="n">
        <v>45743</v>
      </c>
      <c r="E518" s="1" t="n">
        <v>46254</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46254</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17847-2025</t>
        </is>
      </c>
      <c r="B520" t="inlineStr">
        <is>
          <t>avverkningsanmälan</t>
        </is>
      </c>
      <c r="C520" t="inlineStr">
        <is>
          <t>Föryngringsavverkning</t>
        </is>
      </c>
      <c r="D520" s="1" t="n">
        <v>45758</v>
      </c>
      <c r="E520" s="1" t="n">
        <v>46254</v>
      </c>
      <c r="F520" t="inlineStr">
        <is>
          <t>GOTLANDS LÄN</t>
        </is>
      </c>
      <c r="G520" t="inlineStr">
        <is>
          <t>GOTLAND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18742-2025</t>
        </is>
      </c>
      <c r="B521" t="inlineStr">
        <is>
          <t>avverkningsanmälan</t>
        </is>
      </c>
      <c r="C521" t="inlineStr">
        <is>
          <t>Avverkning för annat ändamål</t>
        </is>
      </c>
      <c r="D521" s="1" t="n">
        <v>45763</v>
      </c>
      <c r="E521" s="1" t="n">
        <v>46254</v>
      </c>
      <c r="F521" t="inlineStr">
        <is>
          <t>GOTLANDS LÄN</t>
        </is>
      </c>
      <c r="G521" t="inlineStr">
        <is>
          <t>GOTLAND</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35129-2025</t>
        </is>
      </c>
      <c r="B522" t="inlineStr">
        <is>
          <t>avverkningsanmälan</t>
        </is>
      </c>
      <c r="C522" t="inlineStr">
        <is>
          <t>Föryngringsavverkning</t>
        </is>
      </c>
      <c r="D522" s="1" t="n">
        <v>45852</v>
      </c>
      <c r="E522" s="1" t="n">
        <v>46254</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21142-2025</t>
        </is>
      </c>
      <c r="B523" t="inlineStr">
        <is>
          <t>avverkningsanmälan</t>
        </is>
      </c>
      <c r="C523" t="inlineStr">
        <is>
          <t>Föryngringsavverkning</t>
        </is>
      </c>
      <c r="D523" s="1" t="n">
        <v>45779</v>
      </c>
      <c r="E523" s="1" t="n">
        <v>46254</v>
      </c>
      <c r="F523" t="inlineStr">
        <is>
          <t>GOTLANDS LÄN</t>
        </is>
      </c>
      <c r="G523" t="inlineStr">
        <is>
          <t>GOTLAND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6108-2025</t>
        </is>
      </c>
      <c r="B524" t="inlineStr">
        <is>
          <t>avverkningsanmälan</t>
        </is>
      </c>
      <c r="C524" t="inlineStr">
        <is>
          <t>Föryngringsavverkning</t>
        </is>
      </c>
      <c r="D524" s="1" t="n">
        <v>45698</v>
      </c>
      <c r="E524" s="1" t="n">
        <v>46254</v>
      </c>
      <c r="F524" t="inlineStr">
        <is>
          <t>GOTLANDS LÄN</t>
        </is>
      </c>
      <c r="G524" t="inlineStr">
        <is>
          <t>GOTLAND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17343-2025</t>
        </is>
      </c>
      <c r="B525" t="inlineStr">
        <is>
          <t>avverkningsanmälan</t>
        </is>
      </c>
      <c r="C525" t="inlineStr">
        <is>
          <t>Föryngringsavverkning</t>
        </is>
      </c>
      <c r="D525" s="1" t="n">
        <v>45756</v>
      </c>
      <c r="E525" s="1" t="n">
        <v>46254</v>
      </c>
      <c r="F525" t="inlineStr">
        <is>
          <t>GOTLANDS LÄN</t>
        </is>
      </c>
      <c r="G525" t="inlineStr">
        <is>
          <t>GOTLAND</t>
        </is>
      </c>
      <c r="I525" t="n">
        <v>9.699999999999999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18938-2025</t>
        </is>
      </c>
      <c r="B526" t="inlineStr">
        <is>
          <t>avverkningsanmälan</t>
        </is>
      </c>
      <c r="C526" t="inlineStr">
        <is>
          <t>Föryngringsavverkning</t>
        </is>
      </c>
      <c r="D526" s="1" t="n">
        <v>45764</v>
      </c>
      <c r="E526" s="1" t="n">
        <v>46254</v>
      </c>
      <c r="F526" t="inlineStr">
        <is>
          <t>GOTLANDS LÄN</t>
        </is>
      </c>
      <c r="G526" t="inlineStr">
        <is>
          <t>GOTLAND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20307-2025</t>
        </is>
      </c>
      <c r="B527" t="inlineStr">
        <is>
          <t>avverkningsanmälan</t>
        </is>
      </c>
      <c r="C527" t="inlineStr">
        <is>
          <t>Föryngringsavverkning</t>
        </is>
      </c>
      <c r="D527" s="1" t="n">
        <v>45774</v>
      </c>
      <c r="E527" s="1" t="n">
        <v>46254</v>
      </c>
      <c r="F527" t="inlineStr">
        <is>
          <t>GOTLANDS LÄN</t>
        </is>
      </c>
      <c r="G527" t="inlineStr">
        <is>
          <t>GOTLAND</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1331-2024</t>
        </is>
      </c>
      <c r="B528" t="inlineStr">
        <is>
          <t>samrådsanmälan</t>
        </is>
      </c>
      <c r="C528" t="inlineStr">
        <is>
          <t>Annan skogsbruksåtgärd</t>
        </is>
      </c>
      <c r="D528" s="1" t="n">
        <v>45406</v>
      </c>
      <c r="E528" s="1" t="n">
        <v>46254</v>
      </c>
      <c r="F528" t="inlineStr">
        <is>
          <t>GOTLANDS LÄN</t>
        </is>
      </c>
      <c r="G528" t="inlineStr">
        <is>
          <t>GOTLAND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537-2024</t>
        </is>
      </c>
      <c r="B529" t="inlineStr">
        <is>
          <t>samrådsanmälan</t>
        </is>
      </c>
      <c r="C529" t="inlineStr">
        <is>
          <t>Annan skogsbruksåtgärd</t>
        </is>
      </c>
      <c r="D529" s="1" t="n">
        <v>45350</v>
      </c>
      <c r="E529" s="1" t="n">
        <v>46254</v>
      </c>
      <c r="F529" t="inlineStr">
        <is>
          <t>GOTLANDS LÄN</t>
        </is>
      </c>
      <c r="G529" t="inlineStr">
        <is>
          <t>GOTLAND</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3545-2023</t>
        </is>
      </c>
      <c r="B530" t="inlineStr">
        <is>
          <t>samrådsanmälan</t>
        </is>
      </c>
      <c r="C530" t="inlineStr">
        <is>
          <t>Annan skogsbruksåtgärd</t>
        </is>
      </c>
      <c r="D530" s="1" t="n">
        <v>45209</v>
      </c>
      <c r="E530" s="1" t="n">
        <v>46254</v>
      </c>
      <c r="F530" t="inlineStr">
        <is>
          <t>GOTLANDS LÄN</t>
        </is>
      </c>
      <c r="G530" t="inlineStr">
        <is>
          <t>GOTLAND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5746-2022</t>
        </is>
      </c>
      <c r="B531" t="inlineStr">
        <is>
          <t>samrådsanmälan</t>
        </is>
      </c>
      <c r="C531" t="inlineStr">
        <is>
          <t>Annan skogsbruksåtgärd</t>
        </is>
      </c>
      <c r="D531" s="1" t="n">
        <v>44846</v>
      </c>
      <c r="E531" s="1" t="n">
        <v>46254</v>
      </c>
      <c r="F531" t="inlineStr">
        <is>
          <t>GOTLANDS LÄN</t>
        </is>
      </c>
      <c r="G531" t="inlineStr">
        <is>
          <t>GOTLAND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1077-2024</t>
        </is>
      </c>
      <c r="B532" t="inlineStr">
        <is>
          <t>samrådsanmälan</t>
        </is>
      </c>
      <c r="C532" t="inlineStr">
        <is>
          <t>Annan skogsbruksåtgärd</t>
        </is>
      </c>
      <c r="D532" s="1" t="n">
        <v>45390</v>
      </c>
      <c r="E532" s="1" t="n">
        <v>46254</v>
      </c>
      <c r="F532" t="inlineStr">
        <is>
          <t>GOTLANDS LÄN</t>
        </is>
      </c>
      <c r="G532" t="inlineStr">
        <is>
          <t>GOTLAND</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3900-2023</t>
        </is>
      </c>
      <c r="B533" t="inlineStr">
        <is>
          <t>samrådsanmälan</t>
        </is>
      </c>
      <c r="C533" t="inlineStr">
        <is>
          <t>Annan skogsbruksåtgärd</t>
        </is>
      </c>
      <c r="D533" s="1" t="n">
        <v>45237</v>
      </c>
      <c r="E533" s="1" t="n">
        <v>46254</v>
      </c>
      <c r="F533" t="inlineStr">
        <is>
          <t>GOTLANDS LÄN</t>
        </is>
      </c>
      <c r="G533" t="inlineStr">
        <is>
          <t>GOTLAND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5133-2024</t>
        </is>
      </c>
      <c r="B534" t="inlineStr">
        <is>
          <t>samrådsanmälan</t>
        </is>
      </c>
      <c r="C534" t="inlineStr">
        <is>
          <t>Annan skogsbruksåtgärd</t>
        </is>
      </c>
      <c r="D534" s="1" t="n">
        <v>45645</v>
      </c>
      <c r="E534" s="1" t="n">
        <v>46254</v>
      </c>
      <c r="F534" t="inlineStr">
        <is>
          <t>GOTLANDS LÄN</t>
        </is>
      </c>
      <c r="G534" t="inlineStr">
        <is>
          <t>GOTLAND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1436-2025</t>
        </is>
      </c>
      <c r="B535" t="inlineStr">
        <is>
          <t>samrådsanmälan</t>
        </is>
      </c>
      <c r="C535" t="inlineStr">
        <is>
          <t>Annan skogsbruksåtgärd</t>
        </is>
      </c>
      <c r="D535" s="1" t="n">
        <v>45784</v>
      </c>
      <c r="E535" s="1" t="n">
        <v>46254</v>
      </c>
      <c r="F535" t="inlineStr">
        <is>
          <t>GOTLANDS LÄN</t>
        </is>
      </c>
      <c r="G535" t="inlineStr">
        <is>
          <t>GOTLAND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2281-2025</t>
        </is>
      </c>
      <c r="B536" t="inlineStr">
        <is>
          <t>samrådsanmälan</t>
        </is>
      </c>
      <c r="C536" t="inlineStr">
        <is>
          <t>Annan skogsbruksåtgärd</t>
        </is>
      </c>
      <c r="D536" s="1" t="n">
        <v>45876</v>
      </c>
      <c r="E536" s="1" t="n">
        <v>46254</v>
      </c>
      <c r="F536" t="inlineStr">
        <is>
          <t>GOTLANDS LÄN</t>
        </is>
      </c>
      <c r="G536" t="inlineStr">
        <is>
          <t>GOTLAND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1192-2026</t>
        </is>
      </c>
      <c r="B537" t="inlineStr">
        <is>
          <t>samrådsanmälan</t>
        </is>
      </c>
      <c r="C537" t="inlineStr">
        <is>
          <t>Annan skogsbruksåtgärd</t>
        </is>
      </c>
      <c r="D537" s="1" t="n">
        <v>46139</v>
      </c>
      <c r="E537" s="1" t="n">
        <v>46254</v>
      </c>
      <c r="F537" t="inlineStr">
        <is>
          <t>GOTLANDS LÄN</t>
        </is>
      </c>
      <c r="G537" t="inlineStr">
        <is>
          <t>GOTLAND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752-2025</t>
        </is>
      </c>
      <c r="B538" t="inlineStr">
        <is>
          <t>samrådsanmälan</t>
        </is>
      </c>
      <c r="C538" t="inlineStr">
        <is>
          <t>Annan skogsbruksåtgärd</t>
        </is>
      </c>
      <c r="D538" s="1" t="n">
        <v>45726</v>
      </c>
      <c r="E538" s="1" t="n">
        <v>46254</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1330-2026</t>
        </is>
      </c>
      <c r="B539" t="inlineStr">
        <is>
          <t>samrådsanmälan</t>
        </is>
      </c>
      <c r="C539" t="inlineStr">
        <is>
          <t>Annan skogsbruksåtgärd</t>
        </is>
      </c>
      <c r="D539" s="1" t="n">
        <v>46149</v>
      </c>
      <c r="E539" s="1" t="n">
        <v>46254</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2064-2026</t>
        </is>
      </c>
      <c r="B540" t="inlineStr">
        <is>
          <t>samrådsanmälan</t>
        </is>
      </c>
      <c r="C540" t="inlineStr">
        <is>
          <t>Annan skogsbruksåtgärd</t>
        </is>
      </c>
      <c r="D540" s="1" t="n">
        <v>46226</v>
      </c>
      <c r="E540" s="1" t="n">
        <v>46254</v>
      </c>
      <c r="F540" t="inlineStr">
        <is>
          <t>GOTLANDS LÄN</t>
        </is>
      </c>
      <c r="G540" t="inlineStr">
        <is>
          <t>GOTLAND</t>
        </is>
      </c>
      <c r="I540" t="n">
        <v>0.4</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2026-08-20T01:48:43Z</dcterms:created>
  <dcterms:modified xmlns:dcterms="http://purl.org/dc/terms/" xmlns:xsi="http://www.w3.org/2001/XMLSchema-instance" xsi:type="dcterms:W3CDTF">2026-08-20T01:48:44Z</dcterms:modified>
</cp:coreProperties>
</file>