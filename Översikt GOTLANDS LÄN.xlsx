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45885</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45885</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45885</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45885</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45885</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45885</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45885</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45885</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45885</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45885</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45885</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45885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45885</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45885</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45885</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45885</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45885</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45885</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45885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45885</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45885</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45885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45885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45885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45885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45885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45885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45885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45885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45885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45885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45885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45885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45885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45885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45885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45885</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45885</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45885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45885</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45885</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2085-2023</t>
        </is>
      </c>
      <c r="B60" s="1" t="n">
        <v>44939</v>
      </c>
      <c r="C60" s="1" t="n">
        <v>45885</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65819-2020</t>
        </is>
      </c>
      <c r="B61" s="1" t="n">
        <v>44174</v>
      </c>
      <c r="C61" s="1" t="n">
        <v>45885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45885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45248-2024</t>
        </is>
      </c>
      <c r="B63" s="1" t="n">
        <v>45576</v>
      </c>
      <c r="C63" s="1" t="n">
        <v>45885</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54527-2023</t>
        </is>
      </c>
      <c r="B64" s="1" t="n">
        <v>45233</v>
      </c>
      <c r="C64" s="1" t="n">
        <v>45885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45885</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45885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45885</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54055-2022</t>
        </is>
      </c>
      <c r="B68" s="1" t="n">
        <v>44881</v>
      </c>
      <c r="C68" s="1" t="n">
        <v>45885</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35293-2025</t>
        </is>
      </c>
      <c r="B69" s="1" t="n">
        <v>45854.39438657407</v>
      </c>
      <c r="C69" s="1" t="n">
        <v>45885</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45885</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44944-2022</t>
        </is>
      </c>
      <c r="B71" s="1" t="n">
        <v>44841</v>
      </c>
      <c r="C71" s="1" t="n">
        <v>45885</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45885</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45885</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45885</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2485-2025</t>
        </is>
      </c>
      <c r="B75" s="1" t="n">
        <v>45673</v>
      </c>
      <c r="C75" s="1" t="n">
        <v>45885</v>
      </c>
      <c r="D75" t="inlineStr">
        <is>
          <t>GOTLANDS LÄN</t>
        </is>
      </c>
      <c r="E75" t="inlineStr">
        <is>
          <t>GOTLAND</t>
        </is>
      </c>
      <c r="G75" t="n">
        <v>5</v>
      </c>
      <c r="H75" t="n">
        <v>2</v>
      </c>
      <c r="I75" t="n">
        <v>2</v>
      </c>
      <c r="J75" t="n">
        <v>0</v>
      </c>
      <c r="K75" t="n">
        <v>2</v>
      </c>
      <c r="L75" t="n">
        <v>0</v>
      </c>
      <c r="M75" t="n">
        <v>0</v>
      </c>
      <c r="N75" t="n">
        <v>0</v>
      </c>
      <c r="O75" t="n">
        <v>2</v>
      </c>
      <c r="P75" t="n">
        <v>2</v>
      </c>
      <c r="Q75" t="n">
        <v>4</v>
      </c>
      <c r="R75" s="2" t="inlineStr">
        <is>
          <t>Gotlandsmåra
Skogskorn
Nästrot
Skogsknipprot</t>
        </is>
      </c>
      <c r="S75">
        <f>HYPERLINK("https://klasma.github.io/Logging_0980/artfynd/A 2485-2025 artfynd.xlsx", "A 2485-2025")</f>
        <v/>
      </c>
      <c r="T75">
        <f>HYPERLINK("https://klasma.github.io/Logging_0980/kartor/A 2485-2025 karta.png", "A 2485-2025")</f>
        <v/>
      </c>
      <c r="V75">
        <f>HYPERLINK("https://klasma.github.io/Logging_0980/klagomål/A 2485-2025 FSC-klagomål.docx", "A 2485-2025")</f>
        <v/>
      </c>
      <c r="W75">
        <f>HYPERLINK("https://klasma.github.io/Logging_0980/klagomålsmail/A 2485-2025 FSC-klagomål mail.docx", "A 2485-2025")</f>
        <v/>
      </c>
      <c r="X75">
        <f>HYPERLINK("https://klasma.github.io/Logging_0980/tillsyn/A 2485-2025 tillsynsbegäran.docx", "A 2485-2025")</f>
        <v/>
      </c>
      <c r="Y75">
        <f>HYPERLINK("https://klasma.github.io/Logging_0980/tillsynsmail/A 2485-2025 tillsynsbegäran mail.docx", "A 2485-2025")</f>
        <v/>
      </c>
    </row>
    <row r="76" ht="15" customHeight="1">
      <c r="A76" t="inlineStr">
        <is>
          <t>A 54523-2023</t>
        </is>
      </c>
      <c r="B76" s="1" t="n">
        <v>45233</v>
      </c>
      <c r="C76" s="1" t="n">
        <v>45885</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45885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45885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45885</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64378-2020</t>
        </is>
      </c>
      <c r="B80" s="1" t="n">
        <v>44168</v>
      </c>
      <c r="C80" s="1" t="n">
        <v>45885</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45885</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45885</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8265-2023</t>
        </is>
      </c>
      <c r="B83" s="1" t="n">
        <v>44974</v>
      </c>
      <c r="C83" s="1" t="n">
        <v>45885</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45885</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45885</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55029-2020</t>
        </is>
      </c>
      <c r="B86" s="1" t="n">
        <v>44130</v>
      </c>
      <c r="C86" s="1" t="n">
        <v>45885</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45885</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45885</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45885</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2332-2021</t>
        </is>
      </c>
      <c r="B90" s="1" t="n">
        <v>44214</v>
      </c>
      <c r="C90" s="1" t="n">
        <v>45885</v>
      </c>
      <c r="D90" t="inlineStr">
        <is>
          <t>GOTLANDS LÄN</t>
        </is>
      </c>
      <c r="E90" t="inlineStr">
        <is>
          <t>GOTLAND</t>
        </is>
      </c>
      <c r="G90" t="n">
        <v>2.3</v>
      </c>
      <c r="H90" t="n">
        <v>2</v>
      </c>
      <c r="I90" t="n">
        <v>0</v>
      </c>
      <c r="J90" t="n">
        <v>1</v>
      </c>
      <c r="K90" t="n">
        <v>0</v>
      </c>
      <c r="L90" t="n">
        <v>0</v>
      </c>
      <c r="M90" t="n">
        <v>0</v>
      </c>
      <c r="N90" t="n">
        <v>0</v>
      </c>
      <c r="O90" t="n">
        <v>1</v>
      </c>
      <c r="P90" t="n">
        <v>0</v>
      </c>
      <c r="Q90" t="n">
        <v>3</v>
      </c>
      <c r="R90" s="2" t="inlineStr">
        <is>
          <t>Korpnopping
Sankt pers nycklar
Blåsippa</t>
        </is>
      </c>
      <c r="S90">
        <f>HYPERLINK("https://klasma.github.io/Logging_0980/artfynd/A 2332-2021 artfynd.xlsx", "A 2332-2021")</f>
        <v/>
      </c>
      <c r="T90">
        <f>HYPERLINK("https://klasma.github.io/Logging_0980/kartor/A 2332-2021 karta.png", "A 2332-2021")</f>
        <v/>
      </c>
      <c r="V90">
        <f>HYPERLINK("https://klasma.github.io/Logging_0980/klagomål/A 2332-2021 FSC-klagomål.docx", "A 2332-2021")</f>
        <v/>
      </c>
      <c r="W90">
        <f>HYPERLINK("https://klasma.github.io/Logging_0980/klagomålsmail/A 2332-2021 FSC-klagomål mail.docx", "A 2332-2021")</f>
        <v/>
      </c>
      <c r="X90">
        <f>HYPERLINK("https://klasma.github.io/Logging_0980/tillsyn/A 2332-2021 tillsynsbegäran.docx", "A 2332-2021")</f>
        <v/>
      </c>
      <c r="Y90">
        <f>HYPERLINK("https://klasma.github.io/Logging_0980/tillsynsmail/A 2332-2021 tillsynsbegäran mail.docx", "A 2332-2021")</f>
        <v/>
      </c>
    </row>
    <row r="91" ht="15" customHeight="1">
      <c r="A91" t="inlineStr">
        <is>
          <t>A 32718-2021</t>
        </is>
      </c>
      <c r="B91" s="1" t="n">
        <v>44375</v>
      </c>
      <c r="C91" s="1" t="n">
        <v>45885</v>
      </c>
      <c r="D91" t="inlineStr">
        <is>
          <t>GOTLANDS LÄN</t>
        </is>
      </c>
      <c r="E91" t="inlineStr">
        <is>
          <t>GOTLAND</t>
        </is>
      </c>
      <c r="G91" t="n">
        <v>2.1</v>
      </c>
      <c r="H91" t="n">
        <v>0</v>
      </c>
      <c r="I91" t="n">
        <v>1</v>
      </c>
      <c r="J91" t="n">
        <v>1</v>
      </c>
      <c r="K91" t="n">
        <v>1</v>
      </c>
      <c r="L91" t="n">
        <v>0</v>
      </c>
      <c r="M91" t="n">
        <v>0</v>
      </c>
      <c r="N91" t="n">
        <v>0</v>
      </c>
      <c r="O91" t="n">
        <v>2</v>
      </c>
      <c r="P91" t="n">
        <v>1</v>
      </c>
      <c r="Q91" t="n">
        <v>3</v>
      </c>
      <c r="R91" s="2" t="inlineStr">
        <is>
          <t>Skogskorn
Skugglosta
Strävlosta</t>
        </is>
      </c>
      <c r="S91">
        <f>HYPERLINK("https://klasma.github.io/Logging_0980/artfynd/A 32718-2021 artfynd.xlsx", "A 32718-2021")</f>
        <v/>
      </c>
      <c r="T91">
        <f>HYPERLINK("https://klasma.github.io/Logging_0980/kartor/A 32718-2021 karta.png", "A 32718-2021")</f>
        <v/>
      </c>
      <c r="V91">
        <f>HYPERLINK("https://klasma.github.io/Logging_0980/klagomål/A 32718-2021 FSC-klagomål.docx", "A 32718-2021")</f>
        <v/>
      </c>
      <c r="W91">
        <f>HYPERLINK("https://klasma.github.io/Logging_0980/klagomålsmail/A 32718-2021 FSC-klagomål mail.docx", "A 32718-2021")</f>
        <v/>
      </c>
      <c r="X91">
        <f>HYPERLINK("https://klasma.github.io/Logging_0980/tillsyn/A 32718-2021 tillsynsbegäran.docx", "A 32718-2021")</f>
        <v/>
      </c>
      <c r="Y91">
        <f>HYPERLINK("https://klasma.github.io/Logging_0980/tillsynsmail/A 32718-2021 tillsynsbegäran mail.docx", "A 32718-2021")</f>
        <v/>
      </c>
    </row>
    <row r="92" ht="15" customHeight="1">
      <c r="A92" t="inlineStr">
        <is>
          <t>A 17982-2023</t>
        </is>
      </c>
      <c r="B92" s="1" t="n">
        <v>45040</v>
      </c>
      <c r="C92" s="1" t="n">
        <v>45885</v>
      </c>
      <c r="D92" t="inlineStr">
        <is>
          <t>GOTLANDS LÄN</t>
        </is>
      </c>
      <c r="E92" t="inlineStr">
        <is>
          <t>GOTLAND</t>
        </is>
      </c>
      <c r="G92" t="n">
        <v>2.2</v>
      </c>
      <c r="H92" t="n">
        <v>0</v>
      </c>
      <c r="I92" t="n">
        <v>0</v>
      </c>
      <c r="J92" t="n">
        <v>2</v>
      </c>
      <c r="K92" t="n">
        <v>0</v>
      </c>
      <c r="L92" t="n">
        <v>0</v>
      </c>
      <c r="M92" t="n">
        <v>1</v>
      </c>
      <c r="N92" t="n">
        <v>0</v>
      </c>
      <c r="O92" t="n">
        <v>3</v>
      </c>
      <c r="P92" t="n">
        <v>1</v>
      </c>
      <c r="Q92" t="n">
        <v>3</v>
      </c>
      <c r="R92" s="2" t="inlineStr">
        <is>
          <t>Lundalm
Krusfrö
Ängsskära</t>
        </is>
      </c>
      <c r="S92">
        <f>HYPERLINK("https://klasma.github.io/Logging_0980/artfynd/A 17982-2023 artfynd.xlsx", "A 17982-2023")</f>
        <v/>
      </c>
      <c r="T92">
        <f>HYPERLINK("https://klasma.github.io/Logging_0980/kartor/A 17982-2023 karta.png", "A 17982-2023")</f>
        <v/>
      </c>
      <c r="V92">
        <f>HYPERLINK("https://klasma.github.io/Logging_0980/klagomål/A 17982-2023 FSC-klagomål.docx", "A 17982-2023")</f>
        <v/>
      </c>
      <c r="W92">
        <f>HYPERLINK("https://klasma.github.io/Logging_0980/klagomålsmail/A 17982-2023 FSC-klagomål mail.docx", "A 17982-2023")</f>
        <v/>
      </c>
      <c r="X92">
        <f>HYPERLINK("https://klasma.github.io/Logging_0980/tillsyn/A 17982-2023 tillsynsbegäran.docx", "A 17982-2023")</f>
        <v/>
      </c>
      <c r="Y92">
        <f>HYPERLINK("https://klasma.github.io/Logging_0980/tillsynsmail/A 17982-2023 tillsynsbegäran mail.docx", "A 17982-2023")</f>
        <v/>
      </c>
    </row>
    <row r="93" ht="15" customHeight="1">
      <c r="A93" t="inlineStr">
        <is>
          <t>A 17975-2024</t>
        </is>
      </c>
      <c r="B93" s="1" t="n">
        <v>45419.85546296297</v>
      </c>
      <c r="C93" s="1" t="n">
        <v>45885</v>
      </c>
      <c r="D93" t="inlineStr">
        <is>
          <t>GOTLANDS LÄN</t>
        </is>
      </c>
      <c r="E93" t="inlineStr">
        <is>
          <t>GOTLAND</t>
        </is>
      </c>
      <c r="G93" t="n">
        <v>7.9</v>
      </c>
      <c r="H93" t="n">
        <v>0</v>
      </c>
      <c r="I93" t="n">
        <v>1</v>
      </c>
      <c r="J93" t="n">
        <v>1</v>
      </c>
      <c r="K93" t="n">
        <v>0</v>
      </c>
      <c r="L93" t="n">
        <v>1</v>
      </c>
      <c r="M93" t="n">
        <v>0</v>
      </c>
      <c r="N93" t="n">
        <v>0</v>
      </c>
      <c r="O93" t="n">
        <v>2</v>
      </c>
      <c r="P93" t="n">
        <v>1</v>
      </c>
      <c r="Q93" t="n">
        <v>3</v>
      </c>
      <c r="R93" s="2" t="inlineStr">
        <is>
          <t>Ask
Skugglosta
Strävlosta</t>
        </is>
      </c>
      <c r="S93">
        <f>HYPERLINK("https://klasma.github.io/Logging_0980/artfynd/A 17975-2024 artfynd.xlsx", "A 17975-2024")</f>
        <v/>
      </c>
      <c r="T93">
        <f>HYPERLINK("https://klasma.github.io/Logging_0980/kartor/A 17975-2024 karta.png", "A 17975-2024")</f>
        <v/>
      </c>
      <c r="V93">
        <f>HYPERLINK("https://klasma.github.io/Logging_0980/klagomål/A 17975-2024 FSC-klagomål.docx", "A 17975-2024")</f>
        <v/>
      </c>
      <c r="W93">
        <f>HYPERLINK("https://klasma.github.io/Logging_0980/klagomålsmail/A 17975-2024 FSC-klagomål mail.docx", "A 17975-2024")</f>
        <v/>
      </c>
      <c r="X93">
        <f>HYPERLINK("https://klasma.github.io/Logging_0980/tillsyn/A 17975-2024 tillsynsbegäran.docx", "A 17975-2024")</f>
        <v/>
      </c>
      <c r="Y93">
        <f>HYPERLINK("https://klasma.github.io/Logging_0980/tillsynsmail/A 17975-2024 tillsynsbegäran mail.docx", "A 17975-2024")</f>
        <v/>
      </c>
    </row>
    <row r="94" ht="15" customHeight="1">
      <c r="A94" t="inlineStr">
        <is>
          <t>A 13499-2022</t>
        </is>
      </c>
      <c r="B94" s="1" t="n">
        <v>44647.79203703703</v>
      </c>
      <c r="C94" s="1" t="n">
        <v>45885</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12315-2024</t>
        </is>
      </c>
      <c r="B95" s="1" t="n">
        <v>45378.6434837963</v>
      </c>
      <c r="C95" s="1" t="n">
        <v>45885</v>
      </c>
      <c r="D95" t="inlineStr">
        <is>
          <t>GOTLANDS LÄN</t>
        </is>
      </c>
      <c r="E95" t="inlineStr">
        <is>
          <t>GOTLAND</t>
        </is>
      </c>
      <c r="G95" t="n">
        <v>6</v>
      </c>
      <c r="H95" t="n">
        <v>3</v>
      </c>
      <c r="I95" t="n">
        <v>1</v>
      </c>
      <c r="J95" t="n">
        <v>1</v>
      </c>
      <c r="K95" t="n">
        <v>0</v>
      </c>
      <c r="L95" t="n">
        <v>0</v>
      </c>
      <c r="M95" t="n">
        <v>0</v>
      </c>
      <c r="N95" t="n">
        <v>0</v>
      </c>
      <c r="O95" t="n">
        <v>1</v>
      </c>
      <c r="P95" t="n">
        <v>0</v>
      </c>
      <c r="Q95" t="n">
        <v>3</v>
      </c>
      <c r="R95" s="2" t="inlineStr">
        <is>
          <t>Buskskvätta
Tvåblad
Fläcknycklar</t>
        </is>
      </c>
      <c r="S95">
        <f>HYPERLINK("https://klasma.github.io/Logging_0980/artfynd/A 12315-2024 artfynd.xlsx", "A 12315-2024")</f>
        <v/>
      </c>
      <c r="T95">
        <f>HYPERLINK("https://klasma.github.io/Logging_0980/kartor/A 12315-2024 karta.png", "A 12315-2024")</f>
        <v/>
      </c>
      <c r="V95">
        <f>HYPERLINK("https://klasma.github.io/Logging_0980/klagomål/A 12315-2024 FSC-klagomål.docx", "A 12315-2024")</f>
        <v/>
      </c>
      <c r="W95">
        <f>HYPERLINK("https://klasma.github.io/Logging_0980/klagomålsmail/A 12315-2024 FSC-klagomål mail.docx", "A 12315-2024")</f>
        <v/>
      </c>
      <c r="X95">
        <f>HYPERLINK("https://klasma.github.io/Logging_0980/tillsyn/A 12315-2024 tillsynsbegäran.docx", "A 12315-2024")</f>
        <v/>
      </c>
      <c r="Y95">
        <f>HYPERLINK("https://klasma.github.io/Logging_0980/tillsynsmail/A 12315-2024 tillsynsbegäran mail.docx", "A 12315-2024")</f>
        <v/>
      </c>
      <c r="Z95">
        <f>HYPERLINK("https://klasma.github.io/Logging_0980/fåglar/A 12315-2024 prioriterade fågelarter.docx", "A 12315-2024")</f>
        <v/>
      </c>
    </row>
    <row r="96" ht="15" customHeight="1">
      <c r="A96" t="inlineStr">
        <is>
          <t>A 30490-2025</t>
        </is>
      </c>
      <c r="B96" s="1" t="n">
        <v>45830</v>
      </c>
      <c r="C96" s="1" t="n">
        <v>45885</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45885</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62326-2020</t>
        </is>
      </c>
      <c r="B98" s="1" t="n">
        <v>44160</v>
      </c>
      <c r="C98" s="1" t="n">
        <v>45885</v>
      </c>
      <c r="D98" t="inlineStr">
        <is>
          <t>GOTLANDS LÄN</t>
        </is>
      </c>
      <c r="E98" t="inlineStr">
        <is>
          <t>GOTLAND</t>
        </is>
      </c>
      <c r="G98" t="n">
        <v>7.4</v>
      </c>
      <c r="H98" t="n">
        <v>1</v>
      </c>
      <c r="I98" t="n">
        <v>3</v>
      </c>
      <c r="J98" t="n">
        <v>0</v>
      </c>
      <c r="K98" t="n">
        <v>0</v>
      </c>
      <c r="L98" t="n">
        <v>0</v>
      </c>
      <c r="M98" t="n">
        <v>0</v>
      </c>
      <c r="N98" t="n">
        <v>0</v>
      </c>
      <c r="O98" t="n">
        <v>0</v>
      </c>
      <c r="P98" t="n">
        <v>0</v>
      </c>
      <c r="Q98" t="n">
        <v>3</v>
      </c>
      <c r="R98" s="2" t="inlineStr">
        <is>
          <t>Anisspindling
Blåmossa
Skogsknipprot</t>
        </is>
      </c>
      <c r="S98">
        <f>HYPERLINK("https://klasma.github.io/Logging_0980/artfynd/A 62326-2020 artfynd.xlsx", "A 62326-2020")</f>
        <v/>
      </c>
      <c r="T98">
        <f>HYPERLINK("https://klasma.github.io/Logging_0980/kartor/A 62326-2020 karta.png", "A 62326-2020")</f>
        <v/>
      </c>
      <c r="V98">
        <f>HYPERLINK("https://klasma.github.io/Logging_0980/klagomål/A 62326-2020 FSC-klagomål.docx", "A 62326-2020")</f>
        <v/>
      </c>
      <c r="W98">
        <f>HYPERLINK("https://klasma.github.io/Logging_0980/klagomålsmail/A 62326-2020 FSC-klagomål mail.docx", "A 62326-2020")</f>
        <v/>
      </c>
      <c r="X98">
        <f>HYPERLINK("https://klasma.github.io/Logging_0980/tillsyn/A 62326-2020 tillsynsbegäran.docx", "A 62326-2020")</f>
        <v/>
      </c>
      <c r="Y98">
        <f>HYPERLINK("https://klasma.github.io/Logging_0980/tillsynsmail/A 62326-2020 tillsynsbegäran mail.docx", "A 62326-2020")</f>
        <v/>
      </c>
    </row>
    <row r="99" ht="15" customHeight="1">
      <c r="A99" t="inlineStr">
        <is>
          <t>A 43013-2022</t>
        </is>
      </c>
      <c r="B99" s="1" t="n">
        <v>44833</v>
      </c>
      <c r="C99" s="1" t="n">
        <v>45885</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45885</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45885</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29870-2021</t>
        </is>
      </c>
      <c r="B102" s="1" t="n">
        <v>44362</v>
      </c>
      <c r="C102" s="1" t="n">
        <v>45885</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45885</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45885</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45885</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45885</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45885</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45885</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21879-2025</t>
        </is>
      </c>
      <c r="B109" s="1" t="n">
        <v>45784.40533564815</v>
      </c>
      <c r="C109" s="1" t="n">
        <v>45885</v>
      </c>
      <c r="D109" t="inlineStr">
        <is>
          <t>GOTLANDS LÄN</t>
        </is>
      </c>
      <c r="E109" t="inlineStr">
        <is>
          <t>GOTLAND</t>
        </is>
      </c>
      <c r="G109" t="n">
        <v>11.1</v>
      </c>
      <c r="H109" t="n">
        <v>0</v>
      </c>
      <c r="I109" t="n">
        <v>1</v>
      </c>
      <c r="J109" t="n">
        <v>0</v>
      </c>
      <c r="K109" t="n">
        <v>0</v>
      </c>
      <c r="L109" t="n">
        <v>1</v>
      </c>
      <c r="M109" t="n">
        <v>0</v>
      </c>
      <c r="N109" t="n">
        <v>0</v>
      </c>
      <c r="O109" t="n">
        <v>1</v>
      </c>
      <c r="P109" t="n">
        <v>1</v>
      </c>
      <c r="Q109" t="n">
        <v>2</v>
      </c>
      <c r="R109" s="2" t="inlineStr">
        <is>
          <t>Ask
Murgröna</t>
        </is>
      </c>
      <c r="S109">
        <f>HYPERLINK("https://klasma.github.io/Logging_0980/artfynd/A 21879-2025 artfynd.xlsx", "A 21879-2025")</f>
        <v/>
      </c>
      <c r="T109">
        <f>HYPERLINK("https://klasma.github.io/Logging_0980/kartor/A 21879-2025 karta.png", "A 21879-2025")</f>
        <v/>
      </c>
      <c r="V109">
        <f>HYPERLINK("https://klasma.github.io/Logging_0980/klagomål/A 21879-2025 FSC-klagomål.docx", "A 21879-2025")</f>
        <v/>
      </c>
      <c r="W109">
        <f>HYPERLINK("https://klasma.github.io/Logging_0980/klagomålsmail/A 21879-2025 FSC-klagomål mail.docx", "A 21879-2025")</f>
        <v/>
      </c>
      <c r="X109">
        <f>HYPERLINK("https://klasma.github.io/Logging_0980/tillsyn/A 21879-2025 tillsynsbegäran.docx", "A 21879-2025")</f>
        <v/>
      </c>
      <c r="Y109">
        <f>HYPERLINK("https://klasma.github.io/Logging_0980/tillsynsmail/A 21879-2025 tillsynsbegäran mail.docx", "A 21879-2025")</f>
        <v/>
      </c>
    </row>
    <row r="110" ht="15" customHeight="1">
      <c r="A110" t="inlineStr">
        <is>
          <t>A 54357-2024</t>
        </is>
      </c>
      <c r="B110" s="1" t="n">
        <v>45617.40662037037</v>
      </c>
      <c r="C110" s="1" t="n">
        <v>45885</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45885</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26077-2024</t>
        </is>
      </c>
      <c r="B112" s="1" t="n">
        <v>45467</v>
      </c>
      <c r="C112" s="1" t="n">
        <v>45885</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45885</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45885</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12914-2025</t>
        </is>
      </c>
      <c r="B115" s="1" t="n">
        <v>45733</v>
      </c>
      <c r="C115" s="1" t="n">
        <v>45885</v>
      </c>
      <c r="D115" t="inlineStr">
        <is>
          <t>GOTLANDS LÄN</t>
        </is>
      </c>
      <c r="E115" t="inlineStr">
        <is>
          <t>GOTLAND</t>
        </is>
      </c>
      <c r="G115" t="n">
        <v>24.8</v>
      </c>
      <c r="H115" t="n">
        <v>2</v>
      </c>
      <c r="I115" t="n">
        <v>1</v>
      </c>
      <c r="J115" t="n">
        <v>0</v>
      </c>
      <c r="K115" t="n">
        <v>0</v>
      </c>
      <c r="L115" t="n">
        <v>0</v>
      </c>
      <c r="M115" t="n">
        <v>0</v>
      </c>
      <c r="N115" t="n">
        <v>0</v>
      </c>
      <c r="O115" t="n">
        <v>0</v>
      </c>
      <c r="P115" t="n">
        <v>0</v>
      </c>
      <c r="Q115" t="n">
        <v>2</v>
      </c>
      <c r="R115" s="2" t="inlineStr">
        <is>
          <t>Purpurknipprot
Brudsporre</t>
        </is>
      </c>
      <c r="S115">
        <f>HYPERLINK("https://klasma.github.io/Logging_0980/artfynd/A 12914-2025 artfynd.xlsx", "A 12914-2025")</f>
        <v/>
      </c>
      <c r="T115">
        <f>HYPERLINK("https://klasma.github.io/Logging_0980/kartor/A 12914-2025 karta.png", "A 12914-2025")</f>
        <v/>
      </c>
      <c r="V115">
        <f>HYPERLINK("https://klasma.github.io/Logging_0980/klagomål/A 12914-2025 FSC-klagomål.docx", "A 12914-2025")</f>
        <v/>
      </c>
      <c r="W115">
        <f>HYPERLINK("https://klasma.github.io/Logging_0980/klagomålsmail/A 12914-2025 FSC-klagomål mail.docx", "A 12914-2025")</f>
        <v/>
      </c>
      <c r="X115">
        <f>HYPERLINK("https://klasma.github.io/Logging_0980/tillsyn/A 12914-2025 tillsynsbegäran.docx", "A 12914-2025")</f>
        <v/>
      </c>
      <c r="Y115">
        <f>HYPERLINK("https://klasma.github.io/Logging_0980/tillsynsmail/A 12914-2025 tillsynsbegäran mail.docx", "A 12914-2025")</f>
        <v/>
      </c>
    </row>
    <row r="116" ht="15" customHeight="1">
      <c r="A116" t="inlineStr">
        <is>
          <t>A 28261-2024</t>
        </is>
      </c>
      <c r="B116" s="1" t="n">
        <v>45477</v>
      </c>
      <c r="C116" s="1" t="n">
        <v>45885</v>
      </c>
      <c r="D116" t="inlineStr">
        <is>
          <t>GOTLANDS LÄN</t>
        </is>
      </c>
      <c r="E116" t="inlineStr">
        <is>
          <t>GOTLAND</t>
        </is>
      </c>
      <c r="G116" t="n">
        <v>22.8</v>
      </c>
      <c r="H116" t="n">
        <v>0</v>
      </c>
      <c r="I116" t="n">
        <v>0</v>
      </c>
      <c r="J116" t="n">
        <v>2</v>
      </c>
      <c r="K116" t="n">
        <v>0</v>
      </c>
      <c r="L116" t="n">
        <v>0</v>
      </c>
      <c r="M116" t="n">
        <v>0</v>
      </c>
      <c r="N116" t="n">
        <v>0</v>
      </c>
      <c r="O116" t="n">
        <v>2</v>
      </c>
      <c r="P116" t="n">
        <v>0</v>
      </c>
      <c r="Q116" t="n">
        <v>2</v>
      </c>
      <c r="R116" s="2" t="inlineStr">
        <is>
          <t>Grådådra
Åkerkulla</t>
        </is>
      </c>
      <c r="S116">
        <f>HYPERLINK("https://klasma.github.io/Logging_0980/artfynd/A 28261-2024 artfynd.xlsx", "A 28261-2024")</f>
        <v/>
      </c>
      <c r="T116">
        <f>HYPERLINK("https://klasma.github.io/Logging_0980/kartor/A 28261-2024 karta.png", "A 28261-2024")</f>
        <v/>
      </c>
      <c r="V116">
        <f>HYPERLINK("https://klasma.github.io/Logging_0980/klagomål/A 28261-2024 FSC-klagomål.docx", "A 28261-2024")</f>
        <v/>
      </c>
      <c r="W116">
        <f>HYPERLINK("https://klasma.github.io/Logging_0980/klagomålsmail/A 28261-2024 FSC-klagomål mail.docx", "A 28261-2024")</f>
        <v/>
      </c>
      <c r="X116">
        <f>HYPERLINK("https://klasma.github.io/Logging_0980/tillsyn/A 28261-2024 tillsynsbegäran.docx", "A 28261-2024")</f>
        <v/>
      </c>
      <c r="Y116">
        <f>HYPERLINK("https://klasma.github.io/Logging_0980/tillsynsmail/A 28261-2024 tillsynsbegäran mail.docx", "A 28261-2024")</f>
        <v/>
      </c>
    </row>
    <row r="117" ht="15" customHeight="1">
      <c r="A117" t="inlineStr">
        <is>
          <t>A 55649-2024</t>
        </is>
      </c>
      <c r="B117" s="1" t="n">
        <v>45622.63053240741</v>
      </c>
      <c r="C117" s="1" t="n">
        <v>45885</v>
      </c>
      <c r="D117" t="inlineStr">
        <is>
          <t>GOTLANDS LÄN</t>
        </is>
      </c>
      <c r="E117" t="inlineStr">
        <is>
          <t>GOTLAND</t>
        </is>
      </c>
      <c r="G117" t="n">
        <v>4.6</v>
      </c>
      <c r="H117" t="n">
        <v>2</v>
      </c>
      <c r="I117" t="n">
        <v>0</v>
      </c>
      <c r="J117" t="n">
        <v>0</v>
      </c>
      <c r="K117" t="n">
        <v>0</v>
      </c>
      <c r="L117" t="n">
        <v>0</v>
      </c>
      <c r="M117" t="n">
        <v>0</v>
      </c>
      <c r="N117" t="n">
        <v>0</v>
      </c>
      <c r="O117" t="n">
        <v>0</v>
      </c>
      <c r="P117" t="n">
        <v>0</v>
      </c>
      <c r="Q117" t="n">
        <v>2</v>
      </c>
      <c r="R117" s="2" t="inlineStr">
        <is>
          <t>Sankt pers nycklar
Blåsippa</t>
        </is>
      </c>
      <c r="S117">
        <f>HYPERLINK("https://klasma.github.io/Logging_0980/artfynd/A 55649-2024 artfynd.xlsx", "A 55649-2024")</f>
        <v/>
      </c>
      <c r="T117">
        <f>HYPERLINK("https://klasma.github.io/Logging_0980/kartor/A 55649-2024 karta.png", "A 55649-2024")</f>
        <v/>
      </c>
      <c r="V117">
        <f>HYPERLINK("https://klasma.github.io/Logging_0980/klagomål/A 55649-2024 FSC-klagomål.docx", "A 55649-2024")</f>
        <v/>
      </c>
      <c r="W117">
        <f>HYPERLINK("https://klasma.github.io/Logging_0980/klagomålsmail/A 55649-2024 FSC-klagomål mail.docx", "A 55649-2024")</f>
        <v/>
      </c>
      <c r="X117">
        <f>HYPERLINK("https://klasma.github.io/Logging_0980/tillsyn/A 55649-2024 tillsynsbegäran.docx", "A 55649-2024")</f>
        <v/>
      </c>
      <c r="Y117">
        <f>HYPERLINK("https://klasma.github.io/Logging_0980/tillsynsmail/A 55649-2024 tillsynsbegäran mail.docx", "A 55649-2024")</f>
        <v/>
      </c>
    </row>
    <row r="118" ht="15" customHeight="1">
      <c r="A118" t="inlineStr">
        <is>
          <t>A 73144-2021</t>
        </is>
      </c>
      <c r="B118" s="1" t="n">
        <v>44550</v>
      </c>
      <c r="C118" s="1" t="n">
        <v>45885</v>
      </c>
      <c r="D118" t="inlineStr">
        <is>
          <t>GOTLANDS LÄN</t>
        </is>
      </c>
      <c r="E118" t="inlineStr">
        <is>
          <t>GOTLAND</t>
        </is>
      </c>
      <c r="G118" t="n">
        <v>1.9</v>
      </c>
      <c r="H118" t="n">
        <v>0</v>
      </c>
      <c r="I118" t="n">
        <v>1</v>
      </c>
      <c r="J118" t="n">
        <v>0</v>
      </c>
      <c r="K118" t="n">
        <v>1</v>
      </c>
      <c r="L118" t="n">
        <v>0</v>
      </c>
      <c r="M118" t="n">
        <v>0</v>
      </c>
      <c r="N118" t="n">
        <v>0</v>
      </c>
      <c r="O118" t="n">
        <v>1</v>
      </c>
      <c r="P118" t="n">
        <v>1</v>
      </c>
      <c r="Q118" t="n">
        <v>2</v>
      </c>
      <c r="R118" s="2" t="inlineStr">
        <is>
          <t>Skogskorn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20838-2024</t>
        </is>
      </c>
      <c r="B119" s="1" t="n">
        <v>45439</v>
      </c>
      <c r="C119" s="1" t="n">
        <v>45885</v>
      </c>
      <c r="D119" t="inlineStr">
        <is>
          <t>GOTLANDS LÄN</t>
        </is>
      </c>
      <c r="E119" t="inlineStr">
        <is>
          <t>GOTLAND</t>
        </is>
      </c>
      <c r="G119" t="n">
        <v>0.7</v>
      </c>
      <c r="H119" t="n">
        <v>2</v>
      </c>
      <c r="I119" t="n">
        <v>1</v>
      </c>
      <c r="J119" t="n">
        <v>1</v>
      </c>
      <c r="K119" t="n">
        <v>0</v>
      </c>
      <c r="L119" t="n">
        <v>0</v>
      </c>
      <c r="M119" t="n">
        <v>0</v>
      </c>
      <c r="N119" t="n">
        <v>0</v>
      </c>
      <c r="O119" t="n">
        <v>1</v>
      </c>
      <c r="P119" t="n">
        <v>0</v>
      </c>
      <c r="Q119" t="n">
        <v>2</v>
      </c>
      <c r="R119" s="2" t="inlineStr">
        <is>
          <t>Spillkråka
Skogsknipprot</t>
        </is>
      </c>
      <c r="S119">
        <f>HYPERLINK("https://klasma.github.io/Logging_0980/artfynd/A 20838-2024 artfynd.xlsx", "A 20838-2024")</f>
        <v/>
      </c>
      <c r="T119">
        <f>HYPERLINK("https://klasma.github.io/Logging_0980/kartor/A 20838-2024 karta.png", "A 20838-2024")</f>
        <v/>
      </c>
      <c r="V119">
        <f>HYPERLINK("https://klasma.github.io/Logging_0980/klagomål/A 20838-2024 FSC-klagomål.docx", "A 20838-2024")</f>
        <v/>
      </c>
      <c r="W119">
        <f>HYPERLINK("https://klasma.github.io/Logging_0980/klagomålsmail/A 20838-2024 FSC-klagomål mail.docx", "A 20838-2024")</f>
        <v/>
      </c>
      <c r="X119">
        <f>HYPERLINK("https://klasma.github.io/Logging_0980/tillsyn/A 20838-2024 tillsynsbegäran.docx", "A 20838-2024")</f>
        <v/>
      </c>
      <c r="Y119">
        <f>HYPERLINK("https://klasma.github.io/Logging_0980/tillsynsmail/A 20838-2024 tillsynsbegäran mail.docx", "A 20838-2024")</f>
        <v/>
      </c>
      <c r="Z119">
        <f>HYPERLINK("https://klasma.github.io/Logging_0980/fåglar/A 20838-2024 prioriterade fågelarter.docx", "A 20838-2024")</f>
        <v/>
      </c>
    </row>
    <row r="120" ht="15" customHeight="1">
      <c r="A120" t="inlineStr">
        <is>
          <t>A 64263-2020</t>
        </is>
      </c>
      <c r="B120" s="1" t="n">
        <v>44168</v>
      </c>
      <c r="C120" s="1" t="n">
        <v>45885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28276-2024</t>
        </is>
      </c>
      <c r="B121" s="1" t="n">
        <v>45477</v>
      </c>
      <c r="C121" s="1" t="n">
        <v>45885</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45885</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45885</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45885</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45885</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45885</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45885</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45885</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45885</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12379-2024</t>
        </is>
      </c>
      <c r="B130" s="1" t="n">
        <v>45379.28155092592</v>
      </c>
      <c r="C130" s="1" t="n">
        <v>45885</v>
      </c>
      <c r="D130" t="inlineStr">
        <is>
          <t>GOTLANDS LÄN</t>
        </is>
      </c>
      <c r="E130" t="inlineStr">
        <is>
          <t>GOTLAND</t>
        </is>
      </c>
      <c r="G130" t="n">
        <v>4.4</v>
      </c>
      <c r="H130" t="n">
        <v>0</v>
      </c>
      <c r="I130" t="n">
        <v>0</v>
      </c>
      <c r="J130" t="n">
        <v>1</v>
      </c>
      <c r="K130" t="n">
        <v>0</v>
      </c>
      <c r="L130" t="n">
        <v>0</v>
      </c>
      <c r="M130" t="n">
        <v>0</v>
      </c>
      <c r="N130" t="n">
        <v>0</v>
      </c>
      <c r="O130" t="n">
        <v>1</v>
      </c>
      <c r="P130" t="n">
        <v>0</v>
      </c>
      <c r="Q130" t="n">
        <v>1</v>
      </c>
      <c r="R130" s="2" t="inlineStr">
        <is>
          <t>Svinrot</t>
        </is>
      </c>
      <c r="S130">
        <f>HYPERLINK("https://klasma.github.io/Logging_0980/artfynd/A 12379-2024 artfynd.xlsx", "A 12379-2024")</f>
        <v/>
      </c>
      <c r="T130">
        <f>HYPERLINK("https://klasma.github.io/Logging_0980/kartor/A 12379-2024 karta.png", "A 12379-2024")</f>
        <v/>
      </c>
      <c r="V130">
        <f>HYPERLINK("https://klasma.github.io/Logging_0980/klagomål/A 12379-2024 FSC-klagomål.docx", "A 12379-2024")</f>
        <v/>
      </c>
      <c r="W130">
        <f>HYPERLINK("https://klasma.github.io/Logging_0980/klagomålsmail/A 12379-2024 FSC-klagomål mail.docx", "A 12379-2024")</f>
        <v/>
      </c>
      <c r="X130">
        <f>HYPERLINK("https://klasma.github.io/Logging_0980/tillsyn/A 12379-2024 tillsynsbegäran.docx", "A 12379-2024")</f>
        <v/>
      </c>
      <c r="Y130">
        <f>HYPERLINK("https://klasma.github.io/Logging_0980/tillsynsmail/A 12379-2024 tillsynsbegäran mail.docx", "A 12379-2024")</f>
        <v/>
      </c>
    </row>
    <row r="131" ht="15" customHeight="1">
      <c r="A131" t="inlineStr">
        <is>
          <t>A 63576-2021</t>
        </is>
      </c>
      <c r="B131" s="1" t="n">
        <v>44508</v>
      </c>
      <c r="C131" s="1" t="n">
        <v>45885</v>
      </c>
      <c r="D131" t="inlineStr">
        <is>
          <t>GOTLANDS LÄN</t>
        </is>
      </c>
      <c r="E131" t="inlineStr">
        <is>
          <t>GOTLAND</t>
        </is>
      </c>
      <c r="F131" t="inlineStr">
        <is>
          <t>Kyrkan</t>
        </is>
      </c>
      <c r="G131" t="n">
        <v>4.1</v>
      </c>
      <c r="H131" t="n">
        <v>1</v>
      </c>
      <c r="I131" t="n">
        <v>0</v>
      </c>
      <c r="J131" t="n">
        <v>1</v>
      </c>
      <c r="K131" t="n">
        <v>0</v>
      </c>
      <c r="L131" t="n">
        <v>0</v>
      </c>
      <c r="M131" t="n">
        <v>0</v>
      </c>
      <c r="N131" t="n">
        <v>0</v>
      </c>
      <c r="O131" t="n">
        <v>1</v>
      </c>
      <c r="P131" t="n">
        <v>0</v>
      </c>
      <c r="Q131" t="n">
        <v>1</v>
      </c>
      <c r="R131" s="2" t="inlineStr">
        <is>
          <t>Dårgräsfjäril</t>
        </is>
      </c>
      <c r="S131">
        <f>HYPERLINK("https://klasma.github.io/Logging_0980/artfynd/A 63576-2021 artfynd.xlsx", "A 63576-2021")</f>
        <v/>
      </c>
      <c r="T131">
        <f>HYPERLINK("https://klasma.github.io/Logging_0980/kartor/A 63576-2021 karta.png", "A 63576-2021")</f>
        <v/>
      </c>
      <c r="V131">
        <f>HYPERLINK("https://klasma.github.io/Logging_0980/klagomål/A 63576-2021 FSC-klagomål.docx", "A 63576-2021")</f>
        <v/>
      </c>
      <c r="W131">
        <f>HYPERLINK("https://klasma.github.io/Logging_0980/klagomålsmail/A 63576-2021 FSC-klagomål mail.docx", "A 63576-2021")</f>
        <v/>
      </c>
      <c r="X131">
        <f>HYPERLINK("https://klasma.github.io/Logging_0980/tillsyn/A 63576-2021 tillsynsbegäran.docx", "A 63576-2021")</f>
        <v/>
      </c>
      <c r="Y131">
        <f>HYPERLINK("https://klasma.github.io/Logging_0980/tillsynsmail/A 63576-2021 tillsynsbegäran mail.docx", "A 63576-2021")</f>
        <v/>
      </c>
    </row>
    <row r="132" ht="15" customHeight="1">
      <c r="A132" t="inlineStr">
        <is>
          <t>A 17723-2021</t>
        </is>
      </c>
      <c r="B132" s="1" t="n">
        <v>44300</v>
      </c>
      <c r="C132" s="1" t="n">
        <v>45885</v>
      </c>
      <c r="D132" t="inlineStr">
        <is>
          <t>GOTLANDS LÄN</t>
        </is>
      </c>
      <c r="E132" t="inlineStr">
        <is>
          <t>GOTLAND</t>
        </is>
      </c>
      <c r="G132" t="n">
        <v>1.5</v>
      </c>
      <c r="H132" t="n">
        <v>1</v>
      </c>
      <c r="I132" t="n">
        <v>1</v>
      </c>
      <c r="J132" t="n">
        <v>0</v>
      </c>
      <c r="K132" t="n">
        <v>0</v>
      </c>
      <c r="L132" t="n">
        <v>0</v>
      </c>
      <c r="M132" t="n">
        <v>0</v>
      </c>
      <c r="N132" t="n">
        <v>0</v>
      </c>
      <c r="O132" t="n">
        <v>0</v>
      </c>
      <c r="P132" t="n">
        <v>0</v>
      </c>
      <c r="Q132" t="n">
        <v>1</v>
      </c>
      <c r="R132" s="2" t="inlineStr">
        <is>
          <t>Vit skogslilja</t>
        </is>
      </c>
      <c r="S132">
        <f>HYPERLINK("https://klasma.github.io/Logging_0980/artfynd/A 17723-2021 artfynd.xlsx", "A 17723-2021")</f>
        <v/>
      </c>
      <c r="T132">
        <f>HYPERLINK("https://klasma.github.io/Logging_0980/kartor/A 17723-2021 karta.png", "A 17723-2021")</f>
        <v/>
      </c>
      <c r="V132">
        <f>HYPERLINK("https://klasma.github.io/Logging_0980/klagomål/A 17723-2021 FSC-klagomål.docx", "A 17723-2021")</f>
        <v/>
      </c>
      <c r="W132">
        <f>HYPERLINK("https://klasma.github.io/Logging_0980/klagomålsmail/A 17723-2021 FSC-klagomål mail.docx", "A 17723-2021")</f>
        <v/>
      </c>
      <c r="X132">
        <f>HYPERLINK("https://klasma.github.io/Logging_0980/tillsyn/A 17723-2021 tillsynsbegäran.docx", "A 17723-2021")</f>
        <v/>
      </c>
      <c r="Y132">
        <f>HYPERLINK("https://klasma.github.io/Logging_0980/tillsynsmail/A 17723-2021 tillsynsbegäran mail.docx", "A 17723-2021")</f>
        <v/>
      </c>
    </row>
    <row r="133" ht="15" customHeight="1">
      <c r="A133" t="inlineStr">
        <is>
          <t>A 20429-2025</t>
        </is>
      </c>
      <c r="B133" s="1" t="n">
        <v>45775.47728009259</v>
      </c>
      <c r="C133" s="1" t="n">
        <v>45885</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45885</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21466-2025</t>
        </is>
      </c>
      <c r="B135" s="1" t="n">
        <v>45782</v>
      </c>
      <c r="C135" s="1" t="n">
        <v>45885</v>
      </c>
      <c r="D135" t="inlineStr">
        <is>
          <t>GOTLANDS LÄN</t>
        </is>
      </c>
      <c r="E135" t="inlineStr">
        <is>
          <t>GOTLAND</t>
        </is>
      </c>
      <c r="F135" t="inlineStr">
        <is>
          <t>Övriga statliga verk och myndigheter</t>
        </is>
      </c>
      <c r="G135" t="n">
        <v>1.7</v>
      </c>
      <c r="H135" t="n">
        <v>1</v>
      </c>
      <c r="I135" t="n">
        <v>0</v>
      </c>
      <c r="J135" t="n">
        <v>0</v>
      </c>
      <c r="K135" t="n">
        <v>0</v>
      </c>
      <c r="L135" t="n">
        <v>0</v>
      </c>
      <c r="M135" t="n">
        <v>0</v>
      </c>
      <c r="N135" t="n">
        <v>0</v>
      </c>
      <c r="O135" t="n">
        <v>0</v>
      </c>
      <c r="P135" t="n">
        <v>0</v>
      </c>
      <c r="Q135" t="n">
        <v>1</v>
      </c>
      <c r="R135" s="2" t="inlineStr">
        <is>
          <t>Blåsippa</t>
        </is>
      </c>
      <c r="S135">
        <f>HYPERLINK("https://klasma.github.io/Logging_0980/artfynd/A 21466-2025 artfynd.xlsx", "A 21466-2025")</f>
        <v/>
      </c>
      <c r="T135">
        <f>HYPERLINK("https://klasma.github.io/Logging_0980/kartor/A 21466-2025 karta.png", "A 21466-2025")</f>
        <v/>
      </c>
      <c r="V135">
        <f>HYPERLINK("https://klasma.github.io/Logging_0980/klagomål/A 21466-2025 FSC-klagomål.docx", "A 21466-2025")</f>
        <v/>
      </c>
      <c r="W135">
        <f>HYPERLINK("https://klasma.github.io/Logging_0980/klagomålsmail/A 21466-2025 FSC-klagomål mail.docx", "A 21466-2025")</f>
        <v/>
      </c>
      <c r="X135">
        <f>HYPERLINK("https://klasma.github.io/Logging_0980/tillsyn/A 21466-2025 tillsynsbegäran.docx", "A 21466-2025")</f>
        <v/>
      </c>
      <c r="Y135">
        <f>HYPERLINK("https://klasma.github.io/Logging_0980/tillsynsmail/A 21466-2025 tillsynsbegäran mail.docx", "A 21466-2025")</f>
        <v/>
      </c>
    </row>
    <row r="136" ht="15" customHeight="1">
      <c r="A136" t="inlineStr">
        <is>
          <t>A 27589-2023</t>
        </is>
      </c>
      <c r="B136" s="1" t="n">
        <v>45097</v>
      </c>
      <c r="C136" s="1" t="n">
        <v>45885</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45885</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7637-2025</t>
        </is>
      </c>
      <c r="B138" s="1" t="n">
        <v>45705.77181712963</v>
      </c>
      <c r="C138" s="1" t="n">
        <v>45885</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10440-2024</t>
        </is>
      </c>
      <c r="B139" s="1" t="n">
        <v>45366.32818287037</v>
      </c>
      <c r="C139" s="1" t="n">
        <v>45885</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48155-2024</t>
        </is>
      </c>
      <c r="B140" s="1" t="n">
        <v>45589.68863425926</v>
      </c>
      <c r="C140" s="1" t="n">
        <v>45885</v>
      </c>
      <c r="D140" t="inlineStr">
        <is>
          <t>GOTLANDS LÄN</t>
        </is>
      </c>
      <c r="E140" t="inlineStr">
        <is>
          <t>GOTLAND</t>
        </is>
      </c>
      <c r="G140" t="n">
        <v>2.4</v>
      </c>
      <c r="H140" t="n">
        <v>1</v>
      </c>
      <c r="I140" t="n">
        <v>0</v>
      </c>
      <c r="J140" t="n">
        <v>0</v>
      </c>
      <c r="K140" t="n">
        <v>0</v>
      </c>
      <c r="L140" t="n">
        <v>0</v>
      </c>
      <c r="M140" t="n">
        <v>0</v>
      </c>
      <c r="N140" t="n">
        <v>0</v>
      </c>
      <c r="O140" t="n">
        <v>0</v>
      </c>
      <c r="P140" t="n">
        <v>0</v>
      </c>
      <c r="Q140" t="n">
        <v>1</v>
      </c>
      <c r="R140" s="2" t="inlineStr">
        <is>
          <t>Gröngöling</t>
        </is>
      </c>
      <c r="S140">
        <f>HYPERLINK("https://klasma.github.io/Logging_0980/artfynd/A 48155-2024 artfynd.xlsx", "A 48155-2024")</f>
        <v/>
      </c>
      <c r="T140">
        <f>HYPERLINK("https://klasma.github.io/Logging_0980/kartor/A 48155-2024 karta.png", "A 48155-2024")</f>
        <v/>
      </c>
      <c r="V140">
        <f>HYPERLINK("https://klasma.github.io/Logging_0980/klagomål/A 48155-2024 FSC-klagomål.docx", "A 48155-2024")</f>
        <v/>
      </c>
      <c r="W140">
        <f>HYPERLINK("https://klasma.github.io/Logging_0980/klagomålsmail/A 48155-2024 FSC-klagomål mail.docx", "A 48155-2024")</f>
        <v/>
      </c>
      <c r="X140">
        <f>HYPERLINK("https://klasma.github.io/Logging_0980/tillsyn/A 48155-2024 tillsynsbegäran.docx", "A 48155-2024")</f>
        <v/>
      </c>
      <c r="Y140">
        <f>HYPERLINK("https://klasma.github.io/Logging_0980/tillsynsmail/A 48155-2024 tillsynsbegäran mail.docx", "A 48155-2024")</f>
        <v/>
      </c>
      <c r="Z140">
        <f>HYPERLINK("https://klasma.github.io/Logging_0980/fåglar/A 48155-2024 prioriterade fågelarter.docx", "A 48155-2024")</f>
        <v/>
      </c>
    </row>
    <row r="141" ht="15" customHeight="1">
      <c r="A141" t="inlineStr">
        <is>
          <t>A 12924-2025</t>
        </is>
      </c>
      <c r="B141" s="1" t="n">
        <v>45734</v>
      </c>
      <c r="C141" s="1" t="n">
        <v>45885</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6303-2024</t>
        </is>
      </c>
      <c r="B142" s="1" t="n">
        <v>45338.35376157407</v>
      </c>
      <c r="C142" s="1" t="n">
        <v>45885</v>
      </c>
      <c r="D142" t="inlineStr">
        <is>
          <t>GOTLANDS LÄN</t>
        </is>
      </c>
      <c r="E142" t="inlineStr">
        <is>
          <t>GOTLAND</t>
        </is>
      </c>
      <c r="G142" t="n">
        <v>0.6</v>
      </c>
      <c r="H142" t="n">
        <v>0</v>
      </c>
      <c r="I142" t="n">
        <v>1</v>
      </c>
      <c r="J142" t="n">
        <v>0</v>
      </c>
      <c r="K142" t="n">
        <v>0</v>
      </c>
      <c r="L142" t="n">
        <v>0</v>
      </c>
      <c r="M142" t="n">
        <v>0</v>
      </c>
      <c r="N142" t="n">
        <v>0</v>
      </c>
      <c r="O142" t="n">
        <v>0</v>
      </c>
      <c r="P142" t="n">
        <v>0</v>
      </c>
      <c r="Q142" t="n">
        <v>1</v>
      </c>
      <c r="R142" s="2" t="inlineStr">
        <is>
          <t>Strävlosta</t>
        </is>
      </c>
      <c r="S142">
        <f>HYPERLINK("https://klasma.github.io/Logging_0980/artfynd/A 6303-2024 artfynd.xlsx", "A 6303-2024")</f>
        <v/>
      </c>
      <c r="T142">
        <f>HYPERLINK("https://klasma.github.io/Logging_0980/kartor/A 6303-2024 karta.png", "A 6303-2024")</f>
        <v/>
      </c>
      <c r="V142">
        <f>HYPERLINK("https://klasma.github.io/Logging_0980/klagomål/A 6303-2024 FSC-klagomål.docx", "A 6303-2024")</f>
        <v/>
      </c>
      <c r="W142">
        <f>HYPERLINK("https://klasma.github.io/Logging_0980/klagomålsmail/A 6303-2024 FSC-klagomål mail.docx", "A 6303-2024")</f>
        <v/>
      </c>
      <c r="X142">
        <f>HYPERLINK("https://klasma.github.io/Logging_0980/tillsyn/A 6303-2024 tillsynsbegäran.docx", "A 6303-2024")</f>
        <v/>
      </c>
      <c r="Y142">
        <f>HYPERLINK("https://klasma.github.io/Logging_0980/tillsynsmail/A 6303-2024 tillsynsbegäran mail.docx", "A 6303-2024")</f>
        <v/>
      </c>
    </row>
    <row r="143" ht="15" customHeight="1">
      <c r="A143" t="inlineStr">
        <is>
          <t>A 44468-2024</t>
        </is>
      </c>
      <c r="B143" s="1" t="n">
        <v>45574.36651620371</v>
      </c>
      <c r="C143" s="1" t="n">
        <v>45885</v>
      </c>
      <c r="D143" t="inlineStr">
        <is>
          <t>GOTLANDS LÄN</t>
        </is>
      </c>
      <c r="E143" t="inlineStr">
        <is>
          <t>GOTLAND</t>
        </is>
      </c>
      <c r="G143" t="n">
        <v>7</v>
      </c>
      <c r="H143" t="n">
        <v>0</v>
      </c>
      <c r="I143" t="n">
        <v>0</v>
      </c>
      <c r="J143" t="n">
        <v>0</v>
      </c>
      <c r="K143" t="n">
        <v>0</v>
      </c>
      <c r="L143" t="n">
        <v>0</v>
      </c>
      <c r="M143" t="n">
        <v>1</v>
      </c>
      <c r="N143" t="n">
        <v>0</v>
      </c>
      <c r="O143" t="n">
        <v>1</v>
      </c>
      <c r="P143" t="n">
        <v>1</v>
      </c>
      <c r="Q143" t="n">
        <v>1</v>
      </c>
      <c r="R143" s="2" t="inlineStr">
        <is>
          <t>Skogsalm</t>
        </is>
      </c>
      <c r="S143">
        <f>HYPERLINK("https://klasma.github.io/Logging_0980/artfynd/A 44468-2024 artfynd.xlsx", "A 44468-2024")</f>
        <v/>
      </c>
      <c r="T143">
        <f>HYPERLINK("https://klasma.github.io/Logging_0980/kartor/A 44468-2024 karta.png", "A 44468-2024")</f>
        <v/>
      </c>
      <c r="V143">
        <f>HYPERLINK("https://klasma.github.io/Logging_0980/klagomål/A 44468-2024 FSC-klagomål.docx", "A 44468-2024")</f>
        <v/>
      </c>
      <c r="W143">
        <f>HYPERLINK("https://klasma.github.io/Logging_0980/klagomålsmail/A 44468-2024 FSC-klagomål mail.docx", "A 44468-2024")</f>
        <v/>
      </c>
      <c r="X143">
        <f>HYPERLINK("https://klasma.github.io/Logging_0980/tillsyn/A 44468-2024 tillsynsbegäran.docx", "A 44468-2024")</f>
        <v/>
      </c>
      <c r="Y143">
        <f>HYPERLINK("https://klasma.github.io/Logging_0980/tillsynsmail/A 44468-2024 tillsynsbegäran mail.docx", "A 44468-2024")</f>
        <v/>
      </c>
    </row>
    <row r="144" ht="15" customHeight="1">
      <c r="A144" t="inlineStr">
        <is>
          <t>A 26461-2025</t>
        </is>
      </c>
      <c r="B144" s="1" t="n">
        <v>45807.43337962963</v>
      </c>
      <c r="C144" s="1" t="n">
        <v>45885</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34809-2024</t>
        </is>
      </c>
      <c r="B145" s="1" t="n">
        <v>45526</v>
      </c>
      <c r="C145" s="1" t="n">
        <v>45885</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44958-2020</t>
        </is>
      </c>
      <c r="B146" s="1" t="n">
        <v>44088</v>
      </c>
      <c r="C146" s="1" t="n">
        <v>45885</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43219-2023</t>
        </is>
      </c>
      <c r="B147" s="1" t="n">
        <v>45183</v>
      </c>
      <c r="C147" s="1" t="n">
        <v>45885</v>
      </c>
      <c r="D147" t="inlineStr">
        <is>
          <t>GOTLANDS LÄN</t>
        </is>
      </c>
      <c r="E147" t="inlineStr">
        <is>
          <t>GOTLAND</t>
        </is>
      </c>
      <c r="G147" t="n">
        <v>3.6</v>
      </c>
      <c r="H147" t="n">
        <v>1</v>
      </c>
      <c r="I147" t="n">
        <v>0</v>
      </c>
      <c r="J147" t="n">
        <v>0</v>
      </c>
      <c r="K147" t="n">
        <v>0</v>
      </c>
      <c r="L147" t="n">
        <v>0</v>
      </c>
      <c r="M147" t="n">
        <v>0</v>
      </c>
      <c r="N147" t="n">
        <v>0</v>
      </c>
      <c r="O147" t="n">
        <v>0</v>
      </c>
      <c r="P147" t="n">
        <v>0</v>
      </c>
      <c r="Q147" t="n">
        <v>1</v>
      </c>
      <c r="R147" s="2" t="inlineStr">
        <is>
          <t>Skogsduva</t>
        </is>
      </c>
      <c r="S147">
        <f>HYPERLINK("https://klasma.github.io/Logging_0980/artfynd/A 43219-2023 artfynd.xlsx", "A 43219-2023")</f>
        <v/>
      </c>
      <c r="T147">
        <f>HYPERLINK("https://klasma.github.io/Logging_0980/kartor/A 43219-2023 karta.png", "A 43219-2023")</f>
        <v/>
      </c>
      <c r="V147">
        <f>HYPERLINK("https://klasma.github.io/Logging_0980/klagomål/A 43219-2023 FSC-klagomål.docx", "A 43219-2023")</f>
        <v/>
      </c>
      <c r="W147">
        <f>HYPERLINK("https://klasma.github.io/Logging_0980/klagomålsmail/A 43219-2023 FSC-klagomål mail.docx", "A 43219-2023")</f>
        <v/>
      </c>
      <c r="X147">
        <f>HYPERLINK("https://klasma.github.io/Logging_0980/tillsyn/A 43219-2023 tillsynsbegäran.docx", "A 43219-2023")</f>
        <v/>
      </c>
      <c r="Y147">
        <f>HYPERLINK("https://klasma.github.io/Logging_0980/tillsynsmail/A 43219-2023 tillsynsbegäran mail.docx", "A 43219-2023")</f>
        <v/>
      </c>
      <c r="Z147">
        <f>HYPERLINK("https://klasma.github.io/Logging_0980/fåglar/A 43219-2023 prioriterade fågelarter.docx", "A 43219-2023")</f>
        <v/>
      </c>
    </row>
    <row r="148" ht="15" customHeight="1">
      <c r="A148" t="inlineStr">
        <is>
          <t>A 25977-2024</t>
        </is>
      </c>
      <c r="B148" s="1" t="n">
        <v>45467.69356481481</v>
      </c>
      <c r="C148" s="1" t="n">
        <v>45885</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45885</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45885</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61561-2023</t>
        </is>
      </c>
      <c r="B151" s="1" t="n">
        <v>45265</v>
      </c>
      <c r="C151" s="1" t="n">
        <v>45885</v>
      </c>
      <c r="D151" t="inlineStr">
        <is>
          <t>GOTLANDS LÄN</t>
        </is>
      </c>
      <c r="E151" t="inlineStr">
        <is>
          <t>GOTLAND</t>
        </is>
      </c>
      <c r="G151" t="n">
        <v>7.4</v>
      </c>
      <c r="H151" t="n">
        <v>0</v>
      </c>
      <c r="I151" t="n">
        <v>0</v>
      </c>
      <c r="J151" t="n">
        <v>1</v>
      </c>
      <c r="K151" t="n">
        <v>0</v>
      </c>
      <c r="L151" t="n">
        <v>0</v>
      </c>
      <c r="M151" t="n">
        <v>0</v>
      </c>
      <c r="N151" t="n">
        <v>0</v>
      </c>
      <c r="O151" t="n">
        <v>1</v>
      </c>
      <c r="P151" t="n">
        <v>0</v>
      </c>
      <c r="Q151" t="n">
        <v>1</v>
      </c>
      <c r="R151" s="2" t="inlineStr">
        <is>
          <t>Loppstarr</t>
        </is>
      </c>
      <c r="S151">
        <f>HYPERLINK("https://klasma.github.io/Logging_0980/artfynd/A 61561-2023 artfynd.xlsx", "A 61561-2023")</f>
        <v/>
      </c>
      <c r="T151">
        <f>HYPERLINK("https://klasma.github.io/Logging_0980/kartor/A 61561-2023 karta.png", "A 61561-2023")</f>
        <v/>
      </c>
      <c r="V151">
        <f>HYPERLINK("https://klasma.github.io/Logging_0980/klagomål/A 61561-2023 FSC-klagomål.docx", "A 61561-2023")</f>
        <v/>
      </c>
      <c r="W151">
        <f>HYPERLINK("https://klasma.github.io/Logging_0980/klagomålsmail/A 61561-2023 FSC-klagomål mail.docx", "A 61561-2023")</f>
        <v/>
      </c>
      <c r="X151">
        <f>HYPERLINK("https://klasma.github.io/Logging_0980/tillsyn/A 61561-2023 tillsynsbegäran.docx", "A 61561-2023")</f>
        <v/>
      </c>
      <c r="Y151">
        <f>HYPERLINK("https://klasma.github.io/Logging_0980/tillsynsmail/A 61561-2023 tillsynsbegäran mail.docx", "A 61561-2023")</f>
        <v/>
      </c>
    </row>
    <row r="152" ht="15" customHeight="1">
      <c r="A152" t="inlineStr">
        <is>
          <t>A 8725-2025</t>
        </is>
      </c>
      <c r="B152" s="1" t="n">
        <v>45712</v>
      </c>
      <c r="C152" s="1" t="n">
        <v>45885</v>
      </c>
      <c r="D152" t="inlineStr">
        <is>
          <t>GOTLANDS LÄN</t>
        </is>
      </c>
      <c r="E152" t="inlineStr">
        <is>
          <t>GOTLAND</t>
        </is>
      </c>
      <c r="G152" t="n">
        <v>4.4</v>
      </c>
      <c r="H152" t="n">
        <v>1</v>
      </c>
      <c r="I152" t="n">
        <v>0</v>
      </c>
      <c r="J152" t="n">
        <v>1</v>
      </c>
      <c r="K152" t="n">
        <v>0</v>
      </c>
      <c r="L152" t="n">
        <v>0</v>
      </c>
      <c r="M152" t="n">
        <v>0</v>
      </c>
      <c r="N152" t="n">
        <v>0</v>
      </c>
      <c r="O152" t="n">
        <v>1</v>
      </c>
      <c r="P152" t="n">
        <v>0</v>
      </c>
      <c r="Q152" t="n">
        <v>1</v>
      </c>
      <c r="R152" s="2" t="inlineStr">
        <is>
          <t>Spillkråka</t>
        </is>
      </c>
      <c r="S152">
        <f>HYPERLINK("https://klasma.github.io/Logging_0980/artfynd/A 8725-2025 artfynd.xlsx", "A 8725-2025")</f>
        <v/>
      </c>
      <c r="T152">
        <f>HYPERLINK("https://klasma.github.io/Logging_0980/kartor/A 8725-2025 karta.png", "A 8725-2025")</f>
        <v/>
      </c>
      <c r="V152">
        <f>HYPERLINK("https://klasma.github.io/Logging_0980/klagomål/A 8725-2025 FSC-klagomål.docx", "A 8725-2025")</f>
        <v/>
      </c>
      <c r="W152">
        <f>HYPERLINK("https://klasma.github.io/Logging_0980/klagomålsmail/A 8725-2025 FSC-klagomål mail.docx", "A 8725-2025")</f>
        <v/>
      </c>
      <c r="X152">
        <f>HYPERLINK("https://klasma.github.io/Logging_0980/tillsyn/A 8725-2025 tillsynsbegäran.docx", "A 8725-2025")</f>
        <v/>
      </c>
      <c r="Y152">
        <f>HYPERLINK("https://klasma.github.io/Logging_0980/tillsynsmail/A 8725-2025 tillsynsbegäran mail.docx", "A 8725-2025")</f>
        <v/>
      </c>
      <c r="Z152">
        <f>HYPERLINK("https://klasma.github.io/Logging_0980/fåglar/A 8725-2025 prioriterade fågelarter.docx", "A 8725-2025")</f>
        <v/>
      </c>
    </row>
    <row r="153" ht="15" customHeight="1">
      <c r="A153" t="inlineStr">
        <is>
          <t>A 34141-2024</t>
        </is>
      </c>
      <c r="B153" s="1" t="n">
        <v>45524.36229166666</v>
      </c>
      <c r="C153" s="1" t="n">
        <v>45885</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63299-2020</t>
        </is>
      </c>
      <c r="B154" s="1" t="n">
        <v>44165</v>
      </c>
      <c r="C154" s="1" t="n">
        <v>45885</v>
      </c>
      <c r="D154" t="inlineStr">
        <is>
          <t>GOTLANDS LÄN</t>
        </is>
      </c>
      <c r="E154" t="inlineStr">
        <is>
          <t>GOTLAND</t>
        </is>
      </c>
      <c r="G154" t="n">
        <v>12.9</v>
      </c>
      <c r="H154" t="n">
        <v>1</v>
      </c>
      <c r="I154" t="n">
        <v>0</v>
      </c>
      <c r="J154" t="n">
        <v>1</v>
      </c>
      <c r="K154" t="n">
        <v>0</v>
      </c>
      <c r="L154" t="n">
        <v>0</v>
      </c>
      <c r="M154" t="n">
        <v>0</v>
      </c>
      <c r="N154" t="n">
        <v>0</v>
      </c>
      <c r="O154" t="n">
        <v>1</v>
      </c>
      <c r="P154" t="n">
        <v>0</v>
      </c>
      <c r="Q154" t="n">
        <v>1</v>
      </c>
      <c r="R154" s="2" t="inlineStr">
        <is>
          <t>Svartfläckig blåvinge</t>
        </is>
      </c>
      <c r="S154">
        <f>HYPERLINK("https://klasma.github.io/Logging_0980/artfynd/A 63299-2020 artfynd.xlsx", "A 63299-2020")</f>
        <v/>
      </c>
      <c r="T154">
        <f>HYPERLINK("https://klasma.github.io/Logging_0980/kartor/A 63299-2020 karta.png", "A 63299-2020")</f>
        <v/>
      </c>
      <c r="V154">
        <f>HYPERLINK("https://klasma.github.io/Logging_0980/klagomål/A 63299-2020 FSC-klagomål.docx", "A 63299-2020")</f>
        <v/>
      </c>
      <c r="W154">
        <f>HYPERLINK("https://klasma.github.io/Logging_0980/klagomålsmail/A 63299-2020 FSC-klagomål mail.docx", "A 63299-2020")</f>
        <v/>
      </c>
      <c r="X154">
        <f>HYPERLINK("https://klasma.github.io/Logging_0980/tillsyn/A 63299-2020 tillsynsbegäran.docx", "A 63299-2020")</f>
        <v/>
      </c>
      <c r="Y154">
        <f>HYPERLINK("https://klasma.github.io/Logging_0980/tillsynsmail/A 63299-2020 tillsynsbegäran mail.docx", "A 63299-2020")</f>
        <v/>
      </c>
    </row>
    <row r="155" ht="15" customHeight="1">
      <c r="A155" t="inlineStr">
        <is>
          <t>A 15637-2024</t>
        </is>
      </c>
      <c r="B155" s="1" t="n">
        <v>45403.6684837963</v>
      </c>
      <c r="C155" s="1" t="n">
        <v>45885</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27168-2022</t>
        </is>
      </c>
      <c r="B156" s="1" t="n">
        <v>44741</v>
      </c>
      <c r="C156" s="1" t="n">
        <v>45885</v>
      </c>
      <c r="D156" t="inlineStr">
        <is>
          <t>GOTLANDS LÄN</t>
        </is>
      </c>
      <c r="E156" t="inlineStr">
        <is>
          <t>GOTLAND</t>
        </is>
      </c>
      <c r="G156" t="n">
        <v>2.2</v>
      </c>
      <c r="H156" t="n">
        <v>1</v>
      </c>
      <c r="I156" t="n">
        <v>1</v>
      </c>
      <c r="J156" t="n">
        <v>0</v>
      </c>
      <c r="K156" t="n">
        <v>0</v>
      </c>
      <c r="L156" t="n">
        <v>0</v>
      </c>
      <c r="M156" t="n">
        <v>0</v>
      </c>
      <c r="N156" t="n">
        <v>0</v>
      </c>
      <c r="O156" t="n">
        <v>0</v>
      </c>
      <c r="P156" t="n">
        <v>0</v>
      </c>
      <c r="Q156" t="n">
        <v>1</v>
      </c>
      <c r="R156" s="2" t="inlineStr">
        <is>
          <t>Purpurknipprot</t>
        </is>
      </c>
      <c r="S156">
        <f>HYPERLINK("https://klasma.github.io/Logging_0980/artfynd/A 27168-2022 artfynd.xlsx", "A 27168-2022")</f>
        <v/>
      </c>
      <c r="T156">
        <f>HYPERLINK("https://klasma.github.io/Logging_0980/kartor/A 27168-2022 karta.png", "A 27168-2022")</f>
        <v/>
      </c>
      <c r="V156">
        <f>HYPERLINK("https://klasma.github.io/Logging_0980/klagomål/A 27168-2022 FSC-klagomål.docx", "A 27168-2022")</f>
        <v/>
      </c>
      <c r="W156">
        <f>HYPERLINK("https://klasma.github.io/Logging_0980/klagomålsmail/A 27168-2022 FSC-klagomål mail.docx", "A 27168-2022")</f>
        <v/>
      </c>
      <c r="X156">
        <f>HYPERLINK("https://klasma.github.io/Logging_0980/tillsyn/A 27168-2022 tillsynsbegäran.docx", "A 27168-2022")</f>
        <v/>
      </c>
      <c r="Y156">
        <f>HYPERLINK("https://klasma.github.io/Logging_0980/tillsynsmail/A 27168-2022 tillsynsbegäran mail.docx", "A 27168-2022")</f>
        <v/>
      </c>
    </row>
    <row r="157" ht="15" customHeight="1">
      <c r="A157" t="inlineStr">
        <is>
          <t>A 22782-2023</t>
        </is>
      </c>
      <c r="B157" s="1" t="n">
        <v>45072</v>
      </c>
      <c r="C157" s="1" t="n">
        <v>45885</v>
      </c>
      <c r="D157" t="inlineStr">
        <is>
          <t>GOTLANDS LÄN</t>
        </is>
      </c>
      <c r="E157" t="inlineStr">
        <is>
          <t>GOTLAND</t>
        </is>
      </c>
      <c r="F157" t="inlineStr">
        <is>
          <t>Kyrkan</t>
        </is>
      </c>
      <c r="G157" t="n">
        <v>3.1</v>
      </c>
      <c r="H157" t="n">
        <v>1</v>
      </c>
      <c r="I157" t="n">
        <v>0</v>
      </c>
      <c r="J157" t="n">
        <v>0</v>
      </c>
      <c r="K157" t="n">
        <v>0</v>
      </c>
      <c r="L157" t="n">
        <v>0</v>
      </c>
      <c r="M157" t="n">
        <v>0</v>
      </c>
      <c r="N157" t="n">
        <v>0</v>
      </c>
      <c r="O157" t="n">
        <v>0</v>
      </c>
      <c r="P157" t="n">
        <v>0</v>
      </c>
      <c r="Q157" t="n">
        <v>1</v>
      </c>
      <c r="R157" s="2" t="inlineStr">
        <is>
          <t>Ängsnycklar × skogsnycklar</t>
        </is>
      </c>
      <c r="S157">
        <f>HYPERLINK("https://klasma.github.io/Logging_0980/artfynd/A 22782-2023 artfynd.xlsx", "A 22782-2023")</f>
        <v/>
      </c>
      <c r="T157">
        <f>HYPERLINK("https://klasma.github.io/Logging_0980/kartor/A 22782-2023 karta.png", "A 22782-2023")</f>
        <v/>
      </c>
      <c r="V157">
        <f>HYPERLINK("https://klasma.github.io/Logging_0980/klagomål/A 22782-2023 FSC-klagomål.docx", "A 22782-2023")</f>
        <v/>
      </c>
      <c r="W157">
        <f>HYPERLINK("https://klasma.github.io/Logging_0980/klagomålsmail/A 22782-2023 FSC-klagomål mail.docx", "A 22782-2023")</f>
        <v/>
      </c>
      <c r="X157">
        <f>HYPERLINK("https://klasma.github.io/Logging_0980/tillsyn/A 22782-2023 tillsynsbegäran.docx", "A 22782-2023")</f>
        <v/>
      </c>
      <c r="Y157">
        <f>HYPERLINK("https://klasma.github.io/Logging_0980/tillsynsmail/A 22782-2023 tillsynsbegäran mail.docx", "A 22782-2023")</f>
        <v/>
      </c>
    </row>
    <row r="158" ht="15" customHeight="1">
      <c r="A158" t="inlineStr">
        <is>
          <t>A 2476-2025</t>
        </is>
      </c>
      <c r="B158" s="1" t="n">
        <v>45673</v>
      </c>
      <c r="C158" s="1" t="n">
        <v>45885</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10995-2023</t>
        </is>
      </c>
      <c r="B159" s="1" t="n">
        <v>44986</v>
      </c>
      <c r="C159" s="1" t="n">
        <v>45885</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62552-2022</t>
        </is>
      </c>
      <c r="B160" s="1" t="n">
        <v>44924</v>
      </c>
      <c r="C160" s="1" t="n">
        <v>45885</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45885</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9862-2024</t>
        </is>
      </c>
      <c r="B162" s="1" t="n">
        <v>45363</v>
      </c>
      <c r="C162" s="1" t="n">
        <v>45885</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24245-2022</t>
        </is>
      </c>
      <c r="B163" s="1" t="n">
        <v>44725</v>
      </c>
      <c r="C163" s="1" t="n">
        <v>45885</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44308-2021</t>
        </is>
      </c>
      <c r="B164" s="1" t="n">
        <v>44434</v>
      </c>
      <c r="C164" s="1" t="n">
        <v>45885</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2213-2023</t>
        </is>
      </c>
      <c r="B165" s="1" t="n">
        <v>44942</v>
      </c>
      <c r="C165" s="1" t="n">
        <v>45885</v>
      </c>
      <c r="D165" t="inlineStr">
        <is>
          <t>GOTLANDS LÄN</t>
        </is>
      </c>
      <c r="E165" t="inlineStr">
        <is>
          <t>GOTLAND</t>
        </is>
      </c>
      <c r="G165" t="n">
        <v>2.7</v>
      </c>
      <c r="H165" t="n">
        <v>0</v>
      </c>
      <c r="I165" t="n">
        <v>0</v>
      </c>
      <c r="J165" t="n">
        <v>1</v>
      </c>
      <c r="K165" t="n">
        <v>0</v>
      </c>
      <c r="L165" t="n">
        <v>0</v>
      </c>
      <c r="M165" t="n">
        <v>0</v>
      </c>
      <c r="N165" t="n">
        <v>0</v>
      </c>
      <c r="O165" t="n">
        <v>1</v>
      </c>
      <c r="P165" t="n">
        <v>0</v>
      </c>
      <c r="Q165" t="n">
        <v>1</v>
      </c>
      <c r="R165" s="2" t="inlineStr">
        <is>
          <t>Odörspindling</t>
        </is>
      </c>
      <c r="S165">
        <f>HYPERLINK("https://klasma.github.io/Logging_0980/artfynd/A 2213-2023 artfynd.xlsx", "A 2213-2023")</f>
        <v/>
      </c>
      <c r="T165">
        <f>HYPERLINK("https://klasma.github.io/Logging_0980/kartor/A 2213-2023 karta.png", "A 2213-2023")</f>
        <v/>
      </c>
      <c r="V165">
        <f>HYPERLINK("https://klasma.github.io/Logging_0980/klagomål/A 2213-2023 FSC-klagomål.docx", "A 2213-2023")</f>
        <v/>
      </c>
      <c r="W165">
        <f>HYPERLINK("https://klasma.github.io/Logging_0980/klagomålsmail/A 2213-2023 FSC-klagomål mail.docx", "A 2213-2023")</f>
        <v/>
      </c>
      <c r="X165">
        <f>HYPERLINK("https://klasma.github.io/Logging_0980/tillsyn/A 2213-2023 tillsynsbegäran.docx", "A 2213-2023")</f>
        <v/>
      </c>
      <c r="Y165">
        <f>HYPERLINK("https://klasma.github.io/Logging_0980/tillsynsmail/A 2213-2023 tillsynsbegäran mail.docx", "A 2213-2023")</f>
        <v/>
      </c>
    </row>
    <row r="166" ht="15" customHeight="1">
      <c r="A166" t="inlineStr">
        <is>
          <t>A 49847-2023</t>
        </is>
      </c>
      <c r="B166" s="1" t="n">
        <v>45212</v>
      </c>
      <c r="C166" s="1" t="n">
        <v>45885</v>
      </c>
      <c r="D166" t="inlineStr">
        <is>
          <t>GOTLANDS LÄN</t>
        </is>
      </c>
      <c r="E166" t="inlineStr">
        <is>
          <t>GOTLAND</t>
        </is>
      </c>
      <c r="G166" t="n">
        <v>35.2</v>
      </c>
      <c r="H166" t="n">
        <v>0</v>
      </c>
      <c r="I166" t="n">
        <v>0</v>
      </c>
      <c r="J166" t="n">
        <v>0</v>
      </c>
      <c r="K166" t="n">
        <v>1</v>
      </c>
      <c r="L166" t="n">
        <v>0</v>
      </c>
      <c r="M166" t="n">
        <v>0</v>
      </c>
      <c r="N166" t="n">
        <v>0</v>
      </c>
      <c r="O166" t="n">
        <v>1</v>
      </c>
      <c r="P166" t="n">
        <v>1</v>
      </c>
      <c r="Q166" t="n">
        <v>1</v>
      </c>
      <c r="R166" s="2" t="inlineStr">
        <is>
          <t>Strandviol</t>
        </is>
      </c>
      <c r="S166">
        <f>HYPERLINK("https://klasma.github.io/Logging_0980/artfynd/A 49847-2023 artfynd.xlsx", "A 49847-2023")</f>
        <v/>
      </c>
      <c r="T166">
        <f>HYPERLINK("https://klasma.github.io/Logging_0980/kartor/A 49847-2023 karta.png", "A 49847-2023")</f>
        <v/>
      </c>
      <c r="V166">
        <f>HYPERLINK("https://klasma.github.io/Logging_0980/klagomål/A 49847-2023 FSC-klagomål.docx", "A 49847-2023")</f>
        <v/>
      </c>
      <c r="W166">
        <f>HYPERLINK("https://klasma.github.io/Logging_0980/klagomålsmail/A 49847-2023 FSC-klagomål mail.docx", "A 49847-2023")</f>
        <v/>
      </c>
      <c r="X166">
        <f>HYPERLINK("https://klasma.github.io/Logging_0980/tillsyn/A 49847-2023 tillsynsbegäran.docx", "A 49847-2023")</f>
        <v/>
      </c>
      <c r="Y166">
        <f>HYPERLINK("https://klasma.github.io/Logging_0980/tillsynsmail/A 49847-2023 tillsynsbegäran mail.docx", "A 49847-2023")</f>
        <v/>
      </c>
    </row>
    <row r="167" ht="15" customHeight="1">
      <c r="A167" t="inlineStr">
        <is>
          <t>A 447-2023</t>
        </is>
      </c>
      <c r="B167" s="1" t="n">
        <v>44929</v>
      </c>
      <c r="C167" s="1" t="n">
        <v>45885</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46527-2023</t>
        </is>
      </c>
      <c r="B168" s="1" t="n">
        <v>45197</v>
      </c>
      <c r="C168" s="1" t="n">
        <v>45885</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947-2023</t>
        </is>
      </c>
      <c r="B169" s="1" t="n">
        <v>44934</v>
      </c>
      <c r="C169" s="1" t="n">
        <v>45885</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12324-2025</t>
        </is>
      </c>
      <c r="B170" s="1" t="n">
        <v>45730</v>
      </c>
      <c r="C170" s="1" t="n">
        <v>45885</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49304-2024</t>
        </is>
      </c>
      <c r="B171" s="1" t="n">
        <v>45595.54996527778</v>
      </c>
      <c r="C171" s="1" t="n">
        <v>45885</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19901-2021</t>
        </is>
      </c>
      <c r="B172" s="1" t="n">
        <v>44312</v>
      </c>
      <c r="C172" s="1" t="n">
        <v>45885</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45885</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45885</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45885</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45885</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45885</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45885</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45885</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45885</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45885</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45885</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45885</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45885</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45885</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45885</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45885</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45885</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45885</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45885</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45885</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45885</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45885</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45885</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45885</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45885</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45885</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45885</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45885</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45885</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45885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45885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45885</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45885</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45885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45885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45885</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45885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45885</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45885</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45885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45885</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45885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45885</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45885</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64380-2020</t>
        </is>
      </c>
      <c r="B227" s="1" t="n">
        <v>44168.60128472222</v>
      </c>
      <c r="C227" s="1" t="n">
        <v>45885</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2608-2021</t>
        </is>
      </c>
      <c r="B228" s="1" t="n">
        <v>44214</v>
      </c>
      <c r="C228" s="1" t="n">
        <v>45885</v>
      </c>
      <c r="D228" t="inlineStr">
        <is>
          <t>GOTLANDS LÄN</t>
        </is>
      </c>
      <c r="E228" t="inlineStr">
        <is>
          <t>GOTLAND</t>
        </is>
      </c>
      <c r="G228" t="n">
        <v>3.9</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45885</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45885</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45885</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45885</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37037-2021</t>
        </is>
      </c>
      <c r="B233" s="1" t="n">
        <v>44393.84688657407</v>
      </c>
      <c r="C233" s="1" t="n">
        <v>45885</v>
      </c>
      <c r="D233" t="inlineStr">
        <is>
          <t>GOTLANDS LÄN</t>
        </is>
      </c>
      <c r="E233" t="inlineStr">
        <is>
          <t>GOTLAND</t>
        </is>
      </c>
      <c r="G233" t="n">
        <v>10.2</v>
      </c>
      <c r="H233" t="n">
        <v>0</v>
      </c>
      <c r="I233" t="n">
        <v>0</v>
      </c>
      <c r="J233" t="n">
        <v>0</v>
      </c>
      <c r="K233" t="n">
        <v>0</v>
      </c>
      <c r="L233" t="n">
        <v>0</v>
      </c>
      <c r="M233" t="n">
        <v>0</v>
      </c>
      <c r="N233" t="n">
        <v>0</v>
      </c>
      <c r="O233" t="n">
        <v>0</v>
      </c>
      <c r="P233" t="n">
        <v>0</v>
      </c>
      <c r="Q233" t="n">
        <v>0</v>
      </c>
      <c r="R233" s="2" t="inlineStr"/>
    </row>
    <row r="234" ht="15" customHeight="1">
      <c r="A234" t="inlineStr">
        <is>
          <t>A 37569-2022</t>
        </is>
      </c>
      <c r="B234" s="1" t="n">
        <v>44809.68125</v>
      </c>
      <c r="C234" s="1" t="n">
        <v>45885</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45885</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45885</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45885</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60086-2022</t>
        </is>
      </c>
      <c r="B238" s="1" t="n">
        <v>44909</v>
      </c>
      <c r="C238" s="1" t="n">
        <v>45885</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28480-2023</t>
        </is>
      </c>
      <c r="B239" s="1" t="n">
        <v>45103</v>
      </c>
      <c r="C239" s="1" t="n">
        <v>45885</v>
      </c>
      <c r="D239" t="inlineStr">
        <is>
          <t>GOTLANDS LÄN</t>
        </is>
      </c>
      <c r="E239" t="inlineStr">
        <is>
          <t>GOTLAND</t>
        </is>
      </c>
      <c r="G239" t="n">
        <v>5.7</v>
      </c>
      <c r="H239" t="n">
        <v>0</v>
      </c>
      <c r="I239" t="n">
        <v>0</v>
      </c>
      <c r="J239" t="n">
        <v>0</v>
      </c>
      <c r="K239" t="n">
        <v>0</v>
      </c>
      <c r="L239" t="n">
        <v>0</v>
      </c>
      <c r="M239" t="n">
        <v>0</v>
      </c>
      <c r="N239" t="n">
        <v>0</v>
      </c>
      <c r="O239" t="n">
        <v>0</v>
      </c>
      <c r="P239" t="n">
        <v>0</v>
      </c>
      <c r="Q239" t="n">
        <v>0</v>
      </c>
      <c r="R239" s="2" t="inlineStr"/>
    </row>
    <row r="240" ht="15" customHeight="1">
      <c r="A240" t="inlineStr">
        <is>
          <t>A 28485-2023</t>
        </is>
      </c>
      <c r="B240" s="1" t="n">
        <v>45103.43731481482</v>
      </c>
      <c r="C240" s="1" t="n">
        <v>45885</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45885</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45885</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45885</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37591-2023</t>
        </is>
      </c>
      <c r="B244" s="1" t="n">
        <v>45159</v>
      </c>
      <c r="C244" s="1" t="n">
        <v>45885</v>
      </c>
      <c r="D244" t="inlineStr">
        <is>
          <t>GOTLANDS LÄN</t>
        </is>
      </c>
      <c r="E244" t="inlineStr">
        <is>
          <t>GOTLAND</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62915-2021</t>
        </is>
      </c>
      <c r="B245" s="1" t="n">
        <v>44504</v>
      </c>
      <c r="C245" s="1" t="n">
        <v>45885</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45885</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18223-2025</t>
        </is>
      </c>
      <c r="B247" s="1" t="n">
        <v>45761</v>
      </c>
      <c r="C247" s="1" t="n">
        <v>45885</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45885</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4420-2025</t>
        </is>
      </c>
      <c r="B249" s="1" t="n">
        <v>45686.47157407407</v>
      </c>
      <c r="C249" s="1" t="n">
        <v>45885</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6108-2025</t>
        </is>
      </c>
      <c r="B250" s="1" t="n">
        <v>45698.29880787037</v>
      </c>
      <c r="C250" s="1" t="n">
        <v>45885</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45885</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8701-2025</t>
        </is>
      </c>
      <c r="B252" s="1" t="n">
        <v>45712</v>
      </c>
      <c r="C252" s="1" t="n">
        <v>45885</v>
      </c>
      <c r="D252" t="inlineStr">
        <is>
          <t>GOTLANDS LÄN</t>
        </is>
      </c>
      <c r="E252" t="inlineStr">
        <is>
          <t>GOTLAND</t>
        </is>
      </c>
      <c r="G252" t="n">
        <v>7</v>
      </c>
      <c r="H252" t="n">
        <v>0</v>
      </c>
      <c r="I252" t="n">
        <v>0</v>
      </c>
      <c r="J252" t="n">
        <v>0</v>
      </c>
      <c r="K252" t="n">
        <v>0</v>
      </c>
      <c r="L252" t="n">
        <v>0</v>
      </c>
      <c r="M252" t="n">
        <v>0</v>
      </c>
      <c r="N252" t="n">
        <v>0</v>
      </c>
      <c r="O252" t="n">
        <v>0</v>
      </c>
      <c r="P252" t="n">
        <v>0</v>
      </c>
      <c r="Q252" t="n">
        <v>0</v>
      </c>
      <c r="R252" s="2" t="inlineStr"/>
    </row>
    <row r="253" ht="15" customHeight="1">
      <c r="A253" t="inlineStr">
        <is>
          <t>A 44949-2023</t>
        </is>
      </c>
      <c r="B253" s="1" t="n">
        <v>45190.69520833333</v>
      </c>
      <c r="C253" s="1" t="n">
        <v>45885</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5891-2025</t>
        </is>
      </c>
      <c r="B254" s="1" t="n">
        <v>45695.38327546296</v>
      </c>
      <c r="C254" s="1" t="n">
        <v>45885</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37222-2021</t>
        </is>
      </c>
      <c r="B255" s="1" t="n">
        <v>44396</v>
      </c>
      <c r="C255" s="1" t="n">
        <v>45885</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45885</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45885</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45885</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9613-2025</t>
        </is>
      </c>
      <c r="B259" s="1" t="n">
        <v>45715</v>
      </c>
      <c r="C259" s="1" t="n">
        <v>45885</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45885</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45885</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45885</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45885</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45885</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20794-2025</t>
        </is>
      </c>
      <c r="B265" s="1" t="n">
        <v>45776</v>
      </c>
      <c r="C265" s="1" t="n">
        <v>45885</v>
      </c>
      <c r="D265" t="inlineStr">
        <is>
          <t>GOTLANDS LÄN</t>
        </is>
      </c>
      <c r="E265" t="inlineStr">
        <is>
          <t>GOTLAND</t>
        </is>
      </c>
      <c r="G265" t="n">
        <v>6</v>
      </c>
      <c r="H265" t="n">
        <v>0</v>
      </c>
      <c r="I265" t="n">
        <v>0</v>
      </c>
      <c r="J265" t="n">
        <v>0</v>
      </c>
      <c r="K265" t="n">
        <v>0</v>
      </c>
      <c r="L265" t="n">
        <v>0</v>
      </c>
      <c r="M265" t="n">
        <v>0</v>
      </c>
      <c r="N265" t="n">
        <v>0</v>
      </c>
      <c r="O265" t="n">
        <v>0</v>
      </c>
      <c r="P265" t="n">
        <v>0</v>
      </c>
      <c r="Q265" t="n">
        <v>0</v>
      </c>
      <c r="R265" s="2" t="inlineStr"/>
    </row>
    <row r="266" ht="15" customHeight="1">
      <c r="A266" t="inlineStr">
        <is>
          <t>A 45084-2024</t>
        </is>
      </c>
      <c r="B266" s="1" t="n">
        <v>45575</v>
      </c>
      <c r="C266" s="1" t="n">
        <v>45885</v>
      </c>
      <c r="D266" t="inlineStr">
        <is>
          <t>GOTLANDS LÄN</t>
        </is>
      </c>
      <c r="E266" t="inlineStr">
        <is>
          <t>GOTLAND</t>
        </is>
      </c>
      <c r="G266" t="n">
        <v>6.8</v>
      </c>
      <c r="H266" t="n">
        <v>0</v>
      </c>
      <c r="I266" t="n">
        <v>0</v>
      </c>
      <c r="J266" t="n">
        <v>0</v>
      </c>
      <c r="K266" t="n">
        <v>0</v>
      </c>
      <c r="L266" t="n">
        <v>0</v>
      </c>
      <c r="M266" t="n">
        <v>0</v>
      </c>
      <c r="N266" t="n">
        <v>0</v>
      </c>
      <c r="O266" t="n">
        <v>0</v>
      </c>
      <c r="P266" t="n">
        <v>0</v>
      </c>
      <c r="Q266" t="n">
        <v>0</v>
      </c>
      <c r="R266" s="2" t="inlineStr"/>
    </row>
    <row r="267" ht="15" customHeight="1">
      <c r="A267" t="inlineStr">
        <is>
          <t>A 20812-2025</t>
        </is>
      </c>
      <c r="B267" s="1" t="n">
        <v>45776</v>
      </c>
      <c r="C267" s="1" t="n">
        <v>45885</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5751-2024</t>
        </is>
      </c>
      <c r="B268" s="1" t="n">
        <v>45335.32702546296</v>
      </c>
      <c r="C268" s="1" t="n">
        <v>45885</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20805-2025</t>
        </is>
      </c>
      <c r="B269" s="1" t="n">
        <v>45776</v>
      </c>
      <c r="C269" s="1" t="n">
        <v>45885</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13627-2023</t>
        </is>
      </c>
      <c r="B270" s="1" t="n">
        <v>45006</v>
      </c>
      <c r="C270" s="1" t="n">
        <v>45885</v>
      </c>
      <c r="D270" t="inlineStr">
        <is>
          <t>GOTLANDS LÄN</t>
        </is>
      </c>
      <c r="E270" t="inlineStr">
        <is>
          <t>GOTLAND</t>
        </is>
      </c>
      <c r="G270" t="n">
        <v>10.7</v>
      </c>
      <c r="H270" t="n">
        <v>0</v>
      </c>
      <c r="I270" t="n">
        <v>0</v>
      </c>
      <c r="J270" t="n">
        <v>0</v>
      </c>
      <c r="K270" t="n">
        <v>0</v>
      </c>
      <c r="L270" t="n">
        <v>0</v>
      </c>
      <c r="M270" t="n">
        <v>0</v>
      </c>
      <c r="N270" t="n">
        <v>0</v>
      </c>
      <c r="O270" t="n">
        <v>0</v>
      </c>
      <c r="P270" t="n">
        <v>0</v>
      </c>
      <c r="Q270" t="n">
        <v>0</v>
      </c>
      <c r="R270" s="2" t="inlineStr"/>
    </row>
    <row r="271" ht="15" customHeight="1">
      <c r="A271" t="inlineStr">
        <is>
          <t>A 21389-2025</t>
        </is>
      </c>
      <c r="B271" s="1" t="n">
        <v>45782</v>
      </c>
      <c r="C271" s="1" t="n">
        <v>45885</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21142-2025</t>
        </is>
      </c>
      <c r="B272" s="1" t="n">
        <v>45779</v>
      </c>
      <c r="C272" s="1" t="n">
        <v>45885</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14915-2025</t>
        </is>
      </c>
      <c r="B273" s="1" t="n">
        <v>45743.53121527778</v>
      </c>
      <c r="C273" s="1" t="n">
        <v>45885</v>
      </c>
      <c r="D273" t="inlineStr">
        <is>
          <t>GOTLANDS LÄN</t>
        </is>
      </c>
      <c r="E273" t="inlineStr">
        <is>
          <t>GOTLAND</t>
        </is>
      </c>
      <c r="G273" t="n">
        <v>5.9</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44959.39582175926</v>
      </c>
      <c r="C274" s="1" t="n">
        <v>45885</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45885</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43790-2024</t>
        </is>
      </c>
      <c r="B276" s="1" t="n">
        <v>45571</v>
      </c>
      <c r="C276" s="1" t="n">
        <v>45885</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41373-2024</t>
        </is>
      </c>
      <c r="B277" s="1" t="n">
        <v>45559.82556712963</v>
      </c>
      <c r="C277" s="1" t="n">
        <v>45885</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1477-2024</t>
        </is>
      </c>
      <c r="B278" s="1" t="n">
        <v>45305.37987268518</v>
      </c>
      <c r="C278" s="1" t="n">
        <v>45885</v>
      </c>
      <c r="D278" t="inlineStr">
        <is>
          <t>GOTLANDS LÄN</t>
        </is>
      </c>
      <c r="E278" t="inlineStr">
        <is>
          <t>GOTLAND</t>
        </is>
      </c>
      <c r="G278" t="n">
        <v>6.9</v>
      </c>
      <c r="H278" t="n">
        <v>0</v>
      </c>
      <c r="I278" t="n">
        <v>0</v>
      </c>
      <c r="J278" t="n">
        <v>0</v>
      </c>
      <c r="K278" t="n">
        <v>0</v>
      </c>
      <c r="L278" t="n">
        <v>0</v>
      </c>
      <c r="M278" t="n">
        <v>0</v>
      </c>
      <c r="N278" t="n">
        <v>0</v>
      </c>
      <c r="O278" t="n">
        <v>0</v>
      </c>
      <c r="P278" t="n">
        <v>0</v>
      </c>
      <c r="Q278" t="n">
        <v>0</v>
      </c>
      <c r="R278" s="2" t="inlineStr"/>
    </row>
    <row r="279" ht="15" customHeight="1">
      <c r="A279" t="inlineStr">
        <is>
          <t>A 1677-2023</t>
        </is>
      </c>
      <c r="B279" s="1" t="n">
        <v>44938</v>
      </c>
      <c r="C279" s="1" t="n">
        <v>45885</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45244-2024</t>
        </is>
      </c>
      <c r="B280" s="1" t="n">
        <v>45576</v>
      </c>
      <c r="C280" s="1" t="n">
        <v>45885</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45885</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64969-2023</t>
        </is>
      </c>
      <c r="B282" s="1" t="n">
        <v>45284.54009259259</v>
      </c>
      <c r="C282" s="1" t="n">
        <v>45885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48843-2024</t>
        </is>
      </c>
      <c r="B283" s="1" t="n">
        <v>45593</v>
      </c>
      <c r="C283" s="1" t="n">
        <v>45885</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17541-2024</t>
        </is>
      </c>
      <c r="B284" s="1" t="n">
        <v>45415</v>
      </c>
      <c r="C284" s="1" t="n">
        <v>45885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2241-2025</t>
        </is>
      </c>
      <c r="B285" s="1" t="n">
        <v>45673.48710648148</v>
      </c>
      <c r="C285" s="1" t="n">
        <v>45885</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57356-2023</t>
        </is>
      </c>
      <c r="B286" s="1" t="n">
        <v>45240</v>
      </c>
      <c r="C286" s="1" t="n">
        <v>45885</v>
      </c>
      <c r="D286" t="inlineStr">
        <is>
          <t>GOTLANDS LÄN</t>
        </is>
      </c>
      <c r="E286" t="inlineStr">
        <is>
          <t>GOTLAND</t>
        </is>
      </c>
      <c r="G286" t="n">
        <v>6.4</v>
      </c>
      <c r="H286" t="n">
        <v>0</v>
      </c>
      <c r="I286" t="n">
        <v>0</v>
      </c>
      <c r="J286" t="n">
        <v>0</v>
      </c>
      <c r="K286" t="n">
        <v>0</v>
      </c>
      <c r="L286" t="n">
        <v>0</v>
      </c>
      <c r="M286" t="n">
        <v>0</v>
      </c>
      <c r="N286" t="n">
        <v>0</v>
      </c>
      <c r="O286" t="n">
        <v>0</v>
      </c>
      <c r="P286" t="n">
        <v>0</v>
      </c>
      <c r="Q286" t="n">
        <v>0</v>
      </c>
      <c r="R286" s="2" t="inlineStr"/>
    </row>
    <row r="287" ht="15" customHeight="1">
      <c r="A287" t="inlineStr">
        <is>
          <t>A 10656-2024</t>
        </is>
      </c>
      <c r="B287" s="1" t="n">
        <v>45368</v>
      </c>
      <c r="C287" s="1" t="n">
        <v>45885</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15434-2024</t>
        </is>
      </c>
      <c r="B288" s="1" t="n">
        <v>45401.38836805556</v>
      </c>
      <c r="C288" s="1" t="n">
        <v>45885</v>
      </c>
      <c r="D288" t="inlineStr">
        <is>
          <t>GOTLANDS LÄN</t>
        </is>
      </c>
      <c r="E288" t="inlineStr">
        <is>
          <t>GOTLAND</t>
        </is>
      </c>
      <c r="G288" t="n">
        <v>2.5</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45885</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45885</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1345-2025</t>
        </is>
      </c>
      <c r="B291" s="1" t="n">
        <v>45667.60511574074</v>
      </c>
      <c r="C291" s="1" t="n">
        <v>45885</v>
      </c>
      <c r="D291" t="inlineStr">
        <is>
          <t>GOTLANDS LÄN</t>
        </is>
      </c>
      <c r="E291" t="inlineStr">
        <is>
          <t>GOTLAND</t>
        </is>
      </c>
      <c r="G291" t="n">
        <v>5.7</v>
      </c>
      <c r="H291" t="n">
        <v>0</v>
      </c>
      <c r="I291" t="n">
        <v>0</v>
      </c>
      <c r="J291" t="n">
        <v>0</v>
      </c>
      <c r="K291" t="n">
        <v>0</v>
      </c>
      <c r="L291" t="n">
        <v>0</v>
      </c>
      <c r="M291" t="n">
        <v>0</v>
      </c>
      <c r="N291" t="n">
        <v>0</v>
      </c>
      <c r="O291" t="n">
        <v>0</v>
      </c>
      <c r="P291" t="n">
        <v>0</v>
      </c>
      <c r="Q291" t="n">
        <v>0</v>
      </c>
      <c r="R291" s="2" t="inlineStr"/>
    </row>
    <row r="292" ht="15" customHeight="1">
      <c r="A292" t="inlineStr">
        <is>
          <t>A 5943-2024</t>
        </is>
      </c>
      <c r="B292" s="1" t="n">
        <v>45336</v>
      </c>
      <c r="C292" s="1" t="n">
        <v>45885</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45885</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45885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45885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45885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45885</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45885</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23856-2025</t>
        </is>
      </c>
      <c r="B299" s="1" t="n">
        <v>45793</v>
      </c>
      <c r="C299" s="1" t="n">
        <v>45885</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23700-2025</t>
        </is>
      </c>
      <c r="B300" s="1" t="n">
        <v>45793</v>
      </c>
      <c r="C300" s="1" t="n">
        <v>45885</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45885</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45885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45885</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45885</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45885</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65901-2021</t>
        </is>
      </c>
      <c r="B306" s="1" t="n">
        <v>44516</v>
      </c>
      <c r="C306" s="1" t="n">
        <v>45885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8684-2025</t>
        </is>
      </c>
      <c r="B307" s="1" t="n">
        <v>45712.45605324074</v>
      </c>
      <c r="C307" s="1" t="n">
        <v>45885</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15075-2025</t>
        </is>
      </c>
      <c r="B308" s="1" t="n">
        <v>45743</v>
      </c>
      <c r="C308" s="1" t="n">
        <v>45885</v>
      </c>
      <c r="D308" t="inlineStr">
        <is>
          <t>GOTLANDS LÄN</t>
        </is>
      </c>
      <c r="E308" t="inlineStr">
        <is>
          <t>GOTLAND</t>
        </is>
      </c>
      <c r="G308" t="n">
        <v>20.9</v>
      </c>
      <c r="H308" t="n">
        <v>0</v>
      </c>
      <c r="I308" t="n">
        <v>0</v>
      </c>
      <c r="J308" t="n">
        <v>0</v>
      </c>
      <c r="K308" t="n">
        <v>0</v>
      </c>
      <c r="L308" t="n">
        <v>0</v>
      </c>
      <c r="M308" t="n">
        <v>0</v>
      </c>
      <c r="N308" t="n">
        <v>0</v>
      </c>
      <c r="O308" t="n">
        <v>0</v>
      </c>
      <c r="P308" t="n">
        <v>0</v>
      </c>
      <c r="Q308" t="n">
        <v>0</v>
      </c>
      <c r="R308" s="2" t="inlineStr"/>
    </row>
    <row r="309" ht="15" customHeight="1">
      <c r="A309" t="inlineStr">
        <is>
          <t>A 23698-2025</t>
        </is>
      </c>
      <c r="B309" s="1" t="n">
        <v>45793</v>
      </c>
      <c r="C309" s="1" t="n">
        <v>45885</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8036-2022</t>
        </is>
      </c>
      <c r="B310" s="1" t="n">
        <v>44609.44362268518</v>
      </c>
      <c r="C310" s="1" t="n">
        <v>45885</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12846-2025</t>
        </is>
      </c>
      <c r="B311" s="1" t="n">
        <v>45733.65049768519</v>
      </c>
      <c r="C311" s="1" t="n">
        <v>45885</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46949-2024</t>
        </is>
      </c>
      <c r="B312" s="1" t="n">
        <v>45585</v>
      </c>
      <c r="C312" s="1" t="n">
        <v>45885</v>
      </c>
      <c r="D312" t="inlineStr">
        <is>
          <t>GOTLANDS LÄN</t>
        </is>
      </c>
      <c r="E312" t="inlineStr">
        <is>
          <t>GOTLAND</t>
        </is>
      </c>
      <c r="G312" t="n">
        <v>0.6</v>
      </c>
      <c r="H312" t="n">
        <v>0</v>
      </c>
      <c r="I312" t="n">
        <v>0</v>
      </c>
      <c r="J312" t="n">
        <v>0</v>
      </c>
      <c r="K312" t="n">
        <v>0</v>
      </c>
      <c r="L312" t="n">
        <v>0</v>
      </c>
      <c r="M312" t="n">
        <v>0</v>
      </c>
      <c r="N312" t="n">
        <v>0</v>
      </c>
      <c r="O312" t="n">
        <v>0</v>
      </c>
      <c r="P312" t="n">
        <v>0</v>
      </c>
      <c r="Q312" t="n">
        <v>0</v>
      </c>
      <c r="R312" s="2" t="inlineStr"/>
    </row>
    <row r="313" ht="15" customHeight="1">
      <c r="A313" t="inlineStr">
        <is>
          <t>A 10650-2022</t>
        </is>
      </c>
      <c r="B313" s="1" t="n">
        <v>44624.57945601852</v>
      </c>
      <c r="C313" s="1" t="n">
        <v>45885</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5462-2025</t>
        </is>
      </c>
      <c r="B314" s="1" t="n">
        <v>45693.29331018519</v>
      </c>
      <c r="C314" s="1" t="n">
        <v>45885</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25796-2025</t>
        </is>
      </c>
      <c r="B315" s="1" t="n">
        <v>45804.39543981481</v>
      </c>
      <c r="C315" s="1" t="n">
        <v>45885</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15413-2025</t>
        </is>
      </c>
      <c r="B316" s="1" t="n">
        <v>45747.451875</v>
      </c>
      <c r="C316" s="1" t="n">
        <v>45885</v>
      </c>
      <c r="D316" t="inlineStr">
        <is>
          <t>GOTLANDS LÄN</t>
        </is>
      </c>
      <c r="E316" t="inlineStr">
        <is>
          <t>GOTLAND</t>
        </is>
      </c>
      <c r="G316" t="n">
        <v>0.6</v>
      </c>
      <c r="H316" t="n">
        <v>0</v>
      </c>
      <c r="I316" t="n">
        <v>0</v>
      </c>
      <c r="J316" t="n">
        <v>0</v>
      </c>
      <c r="K316" t="n">
        <v>0</v>
      </c>
      <c r="L316" t="n">
        <v>0</v>
      </c>
      <c r="M316" t="n">
        <v>0</v>
      </c>
      <c r="N316" t="n">
        <v>0</v>
      </c>
      <c r="O316" t="n">
        <v>0</v>
      </c>
      <c r="P316" t="n">
        <v>0</v>
      </c>
      <c r="Q316" t="n">
        <v>0</v>
      </c>
      <c r="R316" s="2" t="inlineStr"/>
    </row>
    <row r="317" ht="15" customHeight="1">
      <c r="A317" t="inlineStr">
        <is>
          <t>A 11634-2024</t>
        </is>
      </c>
      <c r="B317" s="1" t="n">
        <v>45373</v>
      </c>
      <c r="C317" s="1" t="n">
        <v>45885</v>
      </c>
      <c r="D317" t="inlineStr">
        <is>
          <t>GOTLANDS LÄN</t>
        </is>
      </c>
      <c r="E317" t="inlineStr">
        <is>
          <t>GOTLAND</t>
        </is>
      </c>
      <c r="G317" t="n">
        <v>3</v>
      </c>
      <c r="H317" t="n">
        <v>0</v>
      </c>
      <c r="I317" t="n">
        <v>0</v>
      </c>
      <c r="J317" t="n">
        <v>0</v>
      </c>
      <c r="K317" t="n">
        <v>0</v>
      </c>
      <c r="L317" t="n">
        <v>0</v>
      </c>
      <c r="M317" t="n">
        <v>0</v>
      </c>
      <c r="N317" t="n">
        <v>0</v>
      </c>
      <c r="O317" t="n">
        <v>0</v>
      </c>
      <c r="P317" t="n">
        <v>0</v>
      </c>
      <c r="Q317" t="n">
        <v>0</v>
      </c>
      <c r="R317" s="2" t="inlineStr"/>
    </row>
    <row r="318" ht="15" customHeight="1">
      <c r="A318" t="inlineStr">
        <is>
          <t>A 25678-2025</t>
        </is>
      </c>
      <c r="B318" s="1" t="n">
        <v>45803.64118055555</v>
      </c>
      <c r="C318" s="1" t="n">
        <v>45885</v>
      </c>
      <c r="D318" t="inlineStr">
        <is>
          <t>GOTLANDS LÄN</t>
        </is>
      </c>
      <c r="E318" t="inlineStr">
        <is>
          <t>GOTLAND</t>
        </is>
      </c>
      <c r="G318" t="n">
        <v>2</v>
      </c>
      <c r="H318" t="n">
        <v>0</v>
      </c>
      <c r="I318" t="n">
        <v>0</v>
      </c>
      <c r="J318" t="n">
        <v>0</v>
      </c>
      <c r="K318" t="n">
        <v>0</v>
      </c>
      <c r="L318" t="n">
        <v>0</v>
      </c>
      <c r="M318" t="n">
        <v>0</v>
      </c>
      <c r="N318" t="n">
        <v>0</v>
      </c>
      <c r="O318" t="n">
        <v>0</v>
      </c>
      <c r="P318" t="n">
        <v>0</v>
      </c>
      <c r="Q318" t="n">
        <v>0</v>
      </c>
      <c r="R318" s="2" t="inlineStr"/>
    </row>
    <row r="319" ht="15" customHeight="1">
      <c r="A319" t="inlineStr">
        <is>
          <t>A 1351-2025</t>
        </is>
      </c>
      <c r="B319" s="1" t="n">
        <v>45667.62246527777</v>
      </c>
      <c r="C319" s="1" t="n">
        <v>45885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39496-2022</t>
        </is>
      </c>
      <c r="B320" s="1" t="n">
        <v>44818</v>
      </c>
      <c r="C320" s="1" t="n">
        <v>45885</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49874-2024</t>
        </is>
      </c>
      <c r="B321" s="1" t="n">
        <v>45597.49274305555</v>
      </c>
      <c r="C321" s="1" t="n">
        <v>45885</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3930-2025</t>
        </is>
      </c>
      <c r="B322" s="1" t="n">
        <v>45684.45427083333</v>
      </c>
      <c r="C322" s="1" t="n">
        <v>45885</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44649-2021</t>
        </is>
      </c>
      <c r="B323" s="1" t="n">
        <v>44437</v>
      </c>
      <c r="C323" s="1" t="n">
        <v>45885</v>
      </c>
      <c r="D323" t="inlineStr">
        <is>
          <t>GOTLANDS LÄN</t>
        </is>
      </c>
      <c r="E323" t="inlineStr">
        <is>
          <t>GOTLAND</t>
        </is>
      </c>
      <c r="G323" t="n">
        <v>8.1</v>
      </c>
      <c r="H323" t="n">
        <v>0</v>
      </c>
      <c r="I323" t="n">
        <v>0</v>
      </c>
      <c r="J323" t="n">
        <v>0</v>
      </c>
      <c r="K323" t="n">
        <v>0</v>
      </c>
      <c r="L323" t="n">
        <v>0</v>
      </c>
      <c r="M323" t="n">
        <v>0</v>
      </c>
      <c r="N323" t="n">
        <v>0</v>
      </c>
      <c r="O323" t="n">
        <v>0</v>
      </c>
      <c r="P323" t="n">
        <v>0</v>
      </c>
      <c r="Q323" t="n">
        <v>0</v>
      </c>
      <c r="R323" s="2" t="inlineStr"/>
    </row>
    <row r="324" ht="15" customHeight="1">
      <c r="A324" t="inlineStr">
        <is>
          <t>A 42201-2023</t>
        </is>
      </c>
      <c r="B324" s="1" t="n">
        <v>45179</v>
      </c>
      <c r="C324" s="1" t="n">
        <v>45885</v>
      </c>
      <c r="D324" t="inlineStr">
        <is>
          <t>GOTLANDS LÄN</t>
        </is>
      </c>
      <c r="E324" t="inlineStr">
        <is>
          <t>GOTLAND</t>
        </is>
      </c>
      <c r="G324" t="n">
        <v>11.9</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45885</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46400-2023</t>
        </is>
      </c>
      <c r="B326" s="1" t="n">
        <v>45197.49290509259</v>
      </c>
      <c r="C326" s="1" t="n">
        <v>45885</v>
      </c>
      <c r="D326" t="inlineStr">
        <is>
          <t>GOTLANDS LÄN</t>
        </is>
      </c>
      <c r="E326" t="inlineStr">
        <is>
          <t>GOTLAND</t>
        </is>
      </c>
      <c r="G326" t="n">
        <v>0.8</v>
      </c>
      <c r="H326" t="n">
        <v>0</v>
      </c>
      <c r="I326" t="n">
        <v>0</v>
      </c>
      <c r="J326" t="n">
        <v>0</v>
      </c>
      <c r="K326" t="n">
        <v>0</v>
      </c>
      <c r="L326" t="n">
        <v>0</v>
      </c>
      <c r="M326" t="n">
        <v>0</v>
      </c>
      <c r="N326" t="n">
        <v>0</v>
      </c>
      <c r="O326" t="n">
        <v>0</v>
      </c>
      <c r="P326" t="n">
        <v>0</v>
      </c>
      <c r="Q326" t="n">
        <v>0</v>
      </c>
      <c r="R326" s="2" t="inlineStr"/>
    </row>
    <row r="327" ht="15" customHeight="1">
      <c r="A327" t="inlineStr">
        <is>
          <t>A 9947-2024</t>
        </is>
      </c>
      <c r="B327" s="1" t="n">
        <v>45363</v>
      </c>
      <c r="C327" s="1" t="n">
        <v>45885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9875-2025</t>
        </is>
      </c>
      <c r="B328" s="1" t="n">
        <v>45716</v>
      </c>
      <c r="C328" s="1" t="n">
        <v>45885</v>
      </c>
      <c r="D328" t="inlineStr">
        <is>
          <t>GOTLANDS LÄN</t>
        </is>
      </c>
      <c r="E328" t="inlineStr">
        <is>
          <t>GOTLAND</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19002-2025</t>
        </is>
      </c>
      <c r="B329" s="1" t="n">
        <v>45764</v>
      </c>
      <c r="C329" s="1" t="n">
        <v>45885</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44304-2021</t>
        </is>
      </c>
      <c r="B330" s="1" t="n">
        <v>44434</v>
      </c>
      <c r="C330" s="1" t="n">
        <v>45885</v>
      </c>
      <c r="D330" t="inlineStr">
        <is>
          <t>GOTLANDS LÄN</t>
        </is>
      </c>
      <c r="E330" t="inlineStr">
        <is>
          <t>GOTLAND</t>
        </is>
      </c>
      <c r="G330" t="n">
        <v>5.8</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45885</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17682-2024</t>
        </is>
      </c>
      <c r="B332" s="1" t="n">
        <v>45418.42966435185</v>
      </c>
      <c r="C332" s="1" t="n">
        <v>45885</v>
      </c>
      <c r="D332" t="inlineStr">
        <is>
          <t>GOTLANDS LÄN</t>
        </is>
      </c>
      <c r="E332" t="inlineStr">
        <is>
          <t>GOTLAND</t>
        </is>
      </c>
      <c r="G332" t="n">
        <v>2.9</v>
      </c>
      <c r="H332" t="n">
        <v>0</v>
      </c>
      <c r="I332" t="n">
        <v>0</v>
      </c>
      <c r="J332" t="n">
        <v>0</v>
      </c>
      <c r="K332" t="n">
        <v>0</v>
      </c>
      <c r="L332" t="n">
        <v>0</v>
      </c>
      <c r="M332" t="n">
        <v>0</v>
      </c>
      <c r="N332" t="n">
        <v>0</v>
      </c>
      <c r="O332" t="n">
        <v>0</v>
      </c>
      <c r="P332" t="n">
        <v>0</v>
      </c>
      <c r="Q332" t="n">
        <v>0</v>
      </c>
      <c r="R332" s="2" t="inlineStr"/>
    </row>
    <row r="333" ht="15" customHeight="1">
      <c r="A333" t="inlineStr">
        <is>
          <t>A 57522-2022</t>
        </is>
      </c>
      <c r="B333" s="1" t="n">
        <v>44896</v>
      </c>
      <c r="C333" s="1" t="n">
        <v>45885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8045-2022</t>
        </is>
      </c>
      <c r="B334" s="1" t="n">
        <v>44609</v>
      </c>
      <c r="C334" s="1" t="n">
        <v>45885</v>
      </c>
      <c r="D334" t="inlineStr">
        <is>
          <t>GOTLANDS LÄN</t>
        </is>
      </c>
      <c r="E334" t="inlineStr">
        <is>
          <t>GOTLAND</t>
        </is>
      </c>
      <c r="G334" t="n">
        <v>7</v>
      </c>
      <c r="H334" t="n">
        <v>0</v>
      </c>
      <c r="I334" t="n">
        <v>0</v>
      </c>
      <c r="J334" t="n">
        <v>0</v>
      </c>
      <c r="K334" t="n">
        <v>0</v>
      </c>
      <c r="L334" t="n">
        <v>0</v>
      </c>
      <c r="M334" t="n">
        <v>0</v>
      </c>
      <c r="N334" t="n">
        <v>0</v>
      </c>
      <c r="O334" t="n">
        <v>0</v>
      </c>
      <c r="P334" t="n">
        <v>0</v>
      </c>
      <c r="Q334" t="n">
        <v>0</v>
      </c>
      <c r="R334" s="2" t="inlineStr"/>
    </row>
    <row r="335" ht="15" customHeight="1">
      <c r="A335" t="inlineStr">
        <is>
          <t>A 35133-2025</t>
        </is>
      </c>
      <c r="B335" s="1" t="n">
        <v>45852.6363425926</v>
      </c>
      <c r="C335" s="1" t="n">
        <v>45885</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35141-2025</t>
        </is>
      </c>
      <c r="B336" s="1" t="n">
        <v>45852.65206018519</v>
      </c>
      <c r="C336" s="1" t="n">
        <v>45885</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35096-2025</t>
        </is>
      </c>
      <c r="B337" s="1" t="n">
        <v>45852.54356481481</v>
      </c>
      <c r="C337" s="1" t="n">
        <v>45885</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32669-2024</t>
        </is>
      </c>
      <c r="B338" s="1" t="n">
        <v>45514</v>
      </c>
      <c r="C338" s="1" t="n">
        <v>45885</v>
      </c>
      <c r="D338" t="inlineStr">
        <is>
          <t>GOTLANDS LÄN</t>
        </is>
      </c>
      <c r="E338" t="inlineStr">
        <is>
          <t>GOTLAND</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27593-2023</t>
        </is>
      </c>
      <c r="B339" s="1" t="n">
        <v>45097</v>
      </c>
      <c r="C339" s="1" t="n">
        <v>45885</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22897-2023</t>
        </is>
      </c>
      <c r="B340" s="1" t="n">
        <v>45072.55239583334</v>
      </c>
      <c r="C340" s="1" t="n">
        <v>45885</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45885</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45885</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45885</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49962-2023</t>
        </is>
      </c>
      <c r="B344" s="1" t="n">
        <v>45215.38775462963</v>
      </c>
      <c r="C344" s="1" t="n">
        <v>45885</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5674-2025</t>
        </is>
      </c>
      <c r="B345" s="1" t="n">
        <v>45694.28993055555</v>
      </c>
      <c r="C345" s="1" t="n">
        <v>45885</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5676-2025</t>
        </is>
      </c>
      <c r="B346" s="1" t="n">
        <v>45694.29512731481</v>
      </c>
      <c r="C346" s="1" t="n">
        <v>45885</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63516-2023</t>
        </is>
      </c>
      <c r="B347" s="1" t="n">
        <v>45274</v>
      </c>
      <c r="C347" s="1" t="n">
        <v>45885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20165-2022</t>
        </is>
      </c>
      <c r="B348" s="1" t="n">
        <v>44698.49854166667</v>
      </c>
      <c r="C348" s="1" t="n">
        <v>45885</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26465-2025</t>
        </is>
      </c>
      <c r="B349" s="1" t="n">
        <v>45807.44377314814</v>
      </c>
      <c r="C349" s="1" t="n">
        <v>45885</v>
      </c>
      <c r="D349" t="inlineStr">
        <is>
          <t>GOTLANDS LÄN</t>
        </is>
      </c>
      <c r="E349" t="inlineStr">
        <is>
          <t>GOTLAND</t>
        </is>
      </c>
      <c r="G349" t="n">
        <v>4.5</v>
      </c>
      <c r="H349" t="n">
        <v>0</v>
      </c>
      <c r="I349" t="n">
        <v>0</v>
      </c>
      <c r="J349" t="n">
        <v>0</v>
      </c>
      <c r="K349" t="n">
        <v>0</v>
      </c>
      <c r="L349" t="n">
        <v>0</v>
      </c>
      <c r="M349" t="n">
        <v>0</v>
      </c>
      <c r="N349" t="n">
        <v>0</v>
      </c>
      <c r="O349" t="n">
        <v>0</v>
      </c>
      <c r="P349" t="n">
        <v>0</v>
      </c>
      <c r="Q349" t="n">
        <v>0</v>
      </c>
      <c r="R349" s="2" t="inlineStr"/>
    </row>
    <row r="350" ht="15" customHeight="1">
      <c r="A350" t="inlineStr">
        <is>
          <t>A 24001-2021</t>
        </is>
      </c>
      <c r="B350" s="1" t="n">
        <v>44335</v>
      </c>
      <c r="C350" s="1" t="n">
        <v>45885</v>
      </c>
      <c r="D350" t="inlineStr">
        <is>
          <t>GOTLANDS LÄN</t>
        </is>
      </c>
      <c r="E350" t="inlineStr">
        <is>
          <t>GOTLAND</t>
        </is>
      </c>
      <c r="G350" t="n">
        <v>3.4</v>
      </c>
      <c r="H350" t="n">
        <v>0</v>
      </c>
      <c r="I350" t="n">
        <v>0</v>
      </c>
      <c r="J350" t="n">
        <v>0</v>
      </c>
      <c r="K350" t="n">
        <v>0</v>
      </c>
      <c r="L350" t="n">
        <v>0</v>
      </c>
      <c r="M350" t="n">
        <v>0</v>
      </c>
      <c r="N350" t="n">
        <v>0</v>
      </c>
      <c r="O350" t="n">
        <v>0</v>
      </c>
      <c r="P350" t="n">
        <v>0</v>
      </c>
      <c r="Q350" t="n">
        <v>0</v>
      </c>
      <c r="R350" s="2" t="inlineStr"/>
    </row>
    <row r="351" ht="15" customHeight="1">
      <c r="A351" t="inlineStr">
        <is>
          <t>A 35142-2025</t>
        </is>
      </c>
      <c r="B351" s="1" t="n">
        <v>45852.65532407408</v>
      </c>
      <c r="C351" s="1" t="n">
        <v>45885</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45885</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26660-2025</t>
        </is>
      </c>
      <c r="B353" s="1" t="n">
        <v>45810.39737268518</v>
      </c>
      <c r="C353" s="1" t="n">
        <v>45885</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12032-2025</t>
        </is>
      </c>
      <c r="B354" s="1" t="n">
        <v>45728.64472222222</v>
      </c>
      <c r="C354" s="1" t="n">
        <v>45885</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38787-2023</t>
        </is>
      </c>
      <c r="B355" s="1" t="n">
        <v>45163</v>
      </c>
      <c r="C355" s="1" t="n">
        <v>45885</v>
      </c>
      <c r="D355" t="inlineStr">
        <is>
          <t>GOTLANDS LÄN</t>
        </is>
      </c>
      <c r="E355" t="inlineStr">
        <is>
          <t>GOTLAND</t>
        </is>
      </c>
      <c r="G355" t="n">
        <v>0.4</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45885</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35129-2025</t>
        </is>
      </c>
      <c r="B357" s="1" t="n">
        <v>45852.63224537037</v>
      </c>
      <c r="C357" s="1" t="n">
        <v>45885</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45885</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30365-2024</t>
        </is>
      </c>
      <c r="B359" s="1" t="n">
        <v>45491.3716087963</v>
      </c>
      <c r="C359" s="1" t="n">
        <v>45885</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43231-2023</t>
        </is>
      </c>
      <c r="B360" s="1" t="n">
        <v>45183.47025462963</v>
      </c>
      <c r="C360" s="1" t="n">
        <v>45885</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1681-2023</t>
        </is>
      </c>
      <c r="B361" s="1" t="n">
        <v>44938.39715277778</v>
      </c>
      <c r="C361" s="1" t="n">
        <v>45885</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27348-2025</t>
        </is>
      </c>
      <c r="B362" s="1" t="n">
        <v>45812.62451388889</v>
      </c>
      <c r="C362" s="1" t="n">
        <v>45885</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45885</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17532-2024</t>
        </is>
      </c>
      <c r="B364" s="1" t="n">
        <v>45415</v>
      </c>
      <c r="C364" s="1" t="n">
        <v>45885</v>
      </c>
      <c r="D364" t="inlineStr">
        <is>
          <t>GOTLANDS LÄN</t>
        </is>
      </c>
      <c r="E364" t="inlineStr">
        <is>
          <t>GOTLAND</t>
        </is>
      </c>
      <c r="G364" t="n">
        <v>4.3</v>
      </c>
      <c r="H364" t="n">
        <v>0</v>
      </c>
      <c r="I364" t="n">
        <v>0</v>
      </c>
      <c r="J364" t="n">
        <v>0</v>
      </c>
      <c r="K364" t="n">
        <v>0</v>
      </c>
      <c r="L364" t="n">
        <v>0</v>
      </c>
      <c r="M364" t="n">
        <v>0</v>
      </c>
      <c r="N364" t="n">
        <v>0</v>
      </c>
      <c r="O364" t="n">
        <v>0</v>
      </c>
      <c r="P364" t="n">
        <v>0</v>
      </c>
      <c r="Q364" t="n">
        <v>0</v>
      </c>
      <c r="R364" s="2" t="inlineStr"/>
    </row>
    <row r="365" ht="15" customHeight="1">
      <c r="A365" t="inlineStr">
        <is>
          <t>A 3935-2025</t>
        </is>
      </c>
      <c r="B365" s="1" t="n">
        <v>45684.46070601852</v>
      </c>
      <c r="C365" s="1" t="n">
        <v>45885</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6099-2024</t>
        </is>
      </c>
      <c r="B366" s="1" t="n">
        <v>45337</v>
      </c>
      <c r="C366" s="1" t="n">
        <v>45885</v>
      </c>
      <c r="D366" t="inlineStr">
        <is>
          <t>GOTLANDS LÄN</t>
        </is>
      </c>
      <c r="E366" t="inlineStr">
        <is>
          <t>GOTLAND</t>
        </is>
      </c>
      <c r="G366" t="n">
        <v>12.6</v>
      </c>
      <c r="H366" t="n">
        <v>0</v>
      </c>
      <c r="I366" t="n">
        <v>0</v>
      </c>
      <c r="J366" t="n">
        <v>0</v>
      </c>
      <c r="K366" t="n">
        <v>0</v>
      </c>
      <c r="L366" t="n">
        <v>0</v>
      </c>
      <c r="M366" t="n">
        <v>0</v>
      </c>
      <c r="N366" t="n">
        <v>0</v>
      </c>
      <c r="O366" t="n">
        <v>0</v>
      </c>
      <c r="P366" t="n">
        <v>0</v>
      </c>
      <c r="Q366" t="n">
        <v>0</v>
      </c>
      <c r="R366" s="2" t="inlineStr"/>
    </row>
    <row r="367" ht="15" customHeight="1">
      <c r="A367" t="inlineStr">
        <is>
          <t>A 27371-2025</t>
        </is>
      </c>
      <c r="B367" s="1" t="n">
        <v>45812</v>
      </c>
      <c r="C367" s="1" t="n">
        <v>45885</v>
      </c>
      <c r="D367" t="inlineStr">
        <is>
          <t>GOTLANDS LÄN</t>
        </is>
      </c>
      <c r="E367" t="inlineStr">
        <is>
          <t>GOTLAND</t>
        </is>
      </c>
      <c r="G367" t="n">
        <v>8</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45885</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1273-2023</t>
        </is>
      </c>
      <c r="B369" s="1" t="n">
        <v>44936</v>
      </c>
      <c r="C369" s="1" t="n">
        <v>45885</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6739-2025</t>
        </is>
      </c>
      <c r="B370" s="1" t="n">
        <v>45700</v>
      </c>
      <c r="C370" s="1" t="n">
        <v>45885</v>
      </c>
      <c r="D370" t="inlineStr">
        <is>
          <t>GOTLANDS LÄN</t>
        </is>
      </c>
      <c r="E370" t="inlineStr">
        <is>
          <t>GOTLAND</t>
        </is>
      </c>
      <c r="G370" t="n">
        <v>4.5</v>
      </c>
      <c r="H370" t="n">
        <v>0</v>
      </c>
      <c r="I370" t="n">
        <v>0</v>
      </c>
      <c r="J370" t="n">
        <v>0</v>
      </c>
      <c r="K370" t="n">
        <v>0</v>
      </c>
      <c r="L370" t="n">
        <v>0</v>
      </c>
      <c r="M370" t="n">
        <v>0</v>
      </c>
      <c r="N370" t="n">
        <v>0</v>
      </c>
      <c r="O370" t="n">
        <v>0</v>
      </c>
      <c r="P370" t="n">
        <v>0</v>
      </c>
      <c r="Q370" t="n">
        <v>0</v>
      </c>
      <c r="R370" s="2" t="inlineStr"/>
    </row>
    <row r="371" ht="15" customHeight="1">
      <c r="A371" t="inlineStr">
        <is>
          <t>A 7850-2025</t>
        </is>
      </c>
      <c r="B371" s="1" t="n">
        <v>45706</v>
      </c>
      <c r="C371" s="1" t="n">
        <v>45885</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58780-2024</t>
        </is>
      </c>
      <c r="B372" s="1" t="n">
        <v>45635.84113425926</v>
      </c>
      <c r="C372" s="1" t="n">
        <v>45885</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45885</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45692-2023</t>
        </is>
      </c>
      <c r="B374" s="1" t="n">
        <v>45195</v>
      </c>
      <c r="C374" s="1" t="n">
        <v>45885</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33876-2024</t>
        </is>
      </c>
      <c r="B375" s="1" t="n">
        <v>45521.87988425926</v>
      </c>
      <c r="C375" s="1" t="n">
        <v>45885</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45885</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45885</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28285-2024</t>
        </is>
      </c>
      <c r="B378" s="1" t="n">
        <v>45477</v>
      </c>
      <c r="C378" s="1" t="n">
        <v>45885</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8444-2025</t>
        </is>
      </c>
      <c r="B379" s="1" t="n">
        <v>45709</v>
      </c>
      <c r="C379" s="1" t="n">
        <v>45885</v>
      </c>
      <c r="D379" t="inlineStr">
        <is>
          <t>GOTLANDS LÄN</t>
        </is>
      </c>
      <c r="E379" t="inlineStr">
        <is>
          <t>GOTLAND</t>
        </is>
      </c>
      <c r="G379" t="n">
        <v>5.2</v>
      </c>
      <c r="H379" t="n">
        <v>0</v>
      </c>
      <c r="I379" t="n">
        <v>0</v>
      </c>
      <c r="J379" t="n">
        <v>0</v>
      </c>
      <c r="K379" t="n">
        <v>0</v>
      </c>
      <c r="L379" t="n">
        <v>0</v>
      </c>
      <c r="M379" t="n">
        <v>0</v>
      </c>
      <c r="N379" t="n">
        <v>0</v>
      </c>
      <c r="O379" t="n">
        <v>0</v>
      </c>
      <c r="P379" t="n">
        <v>0</v>
      </c>
      <c r="Q379" t="n">
        <v>0</v>
      </c>
      <c r="R379" s="2" t="inlineStr"/>
    </row>
    <row r="380" ht="15" customHeight="1">
      <c r="A380" t="inlineStr">
        <is>
          <t>A 61100-2022</t>
        </is>
      </c>
      <c r="B380" s="1" t="n">
        <v>44915</v>
      </c>
      <c r="C380" s="1" t="n">
        <v>45885</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20225-2025</t>
        </is>
      </c>
      <c r="B381" s="1" t="n">
        <v>45772.65802083333</v>
      </c>
      <c r="C381" s="1" t="n">
        <v>45885</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61682-2024</t>
        </is>
      </c>
      <c r="B382" s="1" t="n">
        <v>45647.48824074074</v>
      </c>
      <c r="C382" s="1" t="n">
        <v>45885</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883-2025</t>
        </is>
      </c>
      <c r="B383" s="1" t="n">
        <v>45665</v>
      </c>
      <c r="C383" s="1" t="n">
        <v>45885</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18938-2025</t>
        </is>
      </c>
      <c r="B384" s="1" t="n">
        <v>45764.49172453704</v>
      </c>
      <c r="C384" s="1" t="n">
        <v>45885</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43785-2024</t>
        </is>
      </c>
      <c r="B385" s="1" t="n">
        <v>45570</v>
      </c>
      <c r="C385" s="1" t="n">
        <v>45885</v>
      </c>
      <c r="D385" t="inlineStr">
        <is>
          <t>GOTLANDS LÄN</t>
        </is>
      </c>
      <c r="E385" t="inlineStr">
        <is>
          <t>GOTLAND</t>
        </is>
      </c>
      <c r="G385" t="n">
        <v>12.6</v>
      </c>
      <c r="H385" t="n">
        <v>0</v>
      </c>
      <c r="I385" t="n">
        <v>0</v>
      </c>
      <c r="J385" t="n">
        <v>0</v>
      </c>
      <c r="K385" t="n">
        <v>0</v>
      </c>
      <c r="L385" t="n">
        <v>0</v>
      </c>
      <c r="M385" t="n">
        <v>0</v>
      </c>
      <c r="N385" t="n">
        <v>0</v>
      </c>
      <c r="O385" t="n">
        <v>0</v>
      </c>
      <c r="P385" t="n">
        <v>0</v>
      </c>
      <c r="Q385" t="n">
        <v>0</v>
      </c>
      <c r="R385" s="2" t="inlineStr"/>
    </row>
    <row r="386" ht="15" customHeight="1">
      <c r="A386" t="inlineStr">
        <is>
          <t>A 10497-2025</t>
        </is>
      </c>
      <c r="B386" s="1" t="n">
        <v>45721</v>
      </c>
      <c r="C386" s="1" t="n">
        <v>45885</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1066-2024</t>
        </is>
      </c>
      <c r="B387" s="1" t="n">
        <v>45302.285</v>
      </c>
      <c r="C387" s="1" t="n">
        <v>45885</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17144-2025</t>
        </is>
      </c>
      <c r="B388" s="1" t="n">
        <v>45755.9499537037</v>
      </c>
      <c r="C388" s="1" t="n">
        <v>45885</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19905-2025</t>
        </is>
      </c>
      <c r="B389" s="1" t="n">
        <v>45771</v>
      </c>
      <c r="C389" s="1" t="n">
        <v>45885</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45885</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10158-2025</t>
        </is>
      </c>
      <c r="B391" s="1" t="n">
        <v>45719</v>
      </c>
      <c r="C391" s="1" t="n">
        <v>45885</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29196-2025</t>
        </is>
      </c>
      <c r="B392" s="1" t="n">
        <v>45822</v>
      </c>
      <c r="C392" s="1" t="n">
        <v>45885</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29207-2025</t>
        </is>
      </c>
      <c r="B393" s="1" t="n">
        <v>45823</v>
      </c>
      <c r="C393" s="1" t="n">
        <v>45885</v>
      </c>
      <c r="D393" t="inlineStr">
        <is>
          <t>GOTLANDS LÄN</t>
        </is>
      </c>
      <c r="E393" t="inlineStr">
        <is>
          <t>GOTLAND</t>
        </is>
      </c>
      <c r="G393" t="n">
        <v>1.9</v>
      </c>
      <c r="H393" t="n">
        <v>0</v>
      </c>
      <c r="I393" t="n">
        <v>0</v>
      </c>
      <c r="J393" t="n">
        <v>0</v>
      </c>
      <c r="K393" t="n">
        <v>0</v>
      </c>
      <c r="L393" t="n">
        <v>0</v>
      </c>
      <c r="M393" t="n">
        <v>0</v>
      </c>
      <c r="N393" t="n">
        <v>0</v>
      </c>
      <c r="O393" t="n">
        <v>0</v>
      </c>
      <c r="P393" t="n">
        <v>0</v>
      </c>
      <c r="Q393" t="n">
        <v>0</v>
      </c>
      <c r="R393" s="2" t="inlineStr"/>
    </row>
    <row r="394" ht="15" customHeight="1">
      <c r="A394" t="inlineStr">
        <is>
          <t>A 30104-2025</t>
        </is>
      </c>
      <c r="B394" s="1" t="n">
        <v>45826.68806712963</v>
      </c>
      <c r="C394" s="1" t="n">
        <v>45885</v>
      </c>
      <c r="D394" t="inlineStr">
        <is>
          <t>GOTLANDS LÄN</t>
        </is>
      </c>
      <c r="E394" t="inlineStr">
        <is>
          <t>GOTLAND</t>
        </is>
      </c>
      <c r="G394" t="n">
        <v>15.4</v>
      </c>
      <c r="H394" t="n">
        <v>0</v>
      </c>
      <c r="I394" t="n">
        <v>0</v>
      </c>
      <c r="J394" t="n">
        <v>0</v>
      </c>
      <c r="K394" t="n">
        <v>0</v>
      </c>
      <c r="L394" t="n">
        <v>0</v>
      </c>
      <c r="M394" t="n">
        <v>0</v>
      </c>
      <c r="N394" t="n">
        <v>0</v>
      </c>
      <c r="O394" t="n">
        <v>0</v>
      </c>
      <c r="P394" t="n">
        <v>0</v>
      </c>
      <c r="Q394" t="n">
        <v>0</v>
      </c>
      <c r="R394" s="2" t="inlineStr"/>
    </row>
    <row r="395" ht="15" customHeight="1">
      <c r="A395" t="inlineStr">
        <is>
          <t>A 21792-2024</t>
        </is>
      </c>
      <c r="B395" s="1" t="n">
        <v>45442.64326388889</v>
      </c>
      <c r="C395" s="1" t="n">
        <v>45885</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30157-2025</t>
        </is>
      </c>
      <c r="B396" s="1" t="n">
        <v>45826</v>
      </c>
      <c r="C396" s="1" t="n">
        <v>45885</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56009-2024</t>
        </is>
      </c>
      <c r="B397" s="1" t="n">
        <v>45623.80864583333</v>
      </c>
      <c r="C397" s="1" t="n">
        <v>45885</v>
      </c>
      <c r="D397" t="inlineStr">
        <is>
          <t>GOTLANDS LÄN</t>
        </is>
      </c>
      <c r="E397" t="inlineStr">
        <is>
          <t>GOTLAND</t>
        </is>
      </c>
      <c r="G397" t="n">
        <v>2.8</v>
      </c>
      <c r="H397" t="n">
        <v>0</v>
      </c>
      <c r="I397" t="n">
        <v>0</v>
      </c>
      <c r="J397" t="n">
        <v>0</v>
      </c>
      <c r="K397" t="n">
        <v>0</v>
      </c>
      <c r="L397" t="n">
        <v>0</v>
      </c>
      <c r="M397" t="n">
        <v>0</v>
      </c>
      <c r="N397" t="n">
        <v>0</v>
      </c>
      <c r="O397" t="n">
        <v>0</v>
      </c>
      <c r="P397" t="n">
        <v>0</v>
      </c>
      <c r="Q397" t="n">
        <v>0</v>
      </c>
      <c r="R397" s="2" t="inlineStr"/>
    </row>
    <row r="398" ht="15" customHeight="1">
      <c r="A398" t="inlineStr">
        <is>
          <t>A 36319-2025</t>
        </is>
      </c>
      <c r="B398" s="1" t="n">
        <v>45868.38543981482</v>
      </c>
      <c r="C398" s="1" t="n">
        <v>45885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45885</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30061-2025</t>
        </is>
      </c>
      <c r="B400" s="1" t="n">
        <v>45826.61488425926</v>
      </c>
      <c r="C400" s="1" t="n">
        <v>45885</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42338-2023</t>
        </is>
      </c>
      <c r="B401" s="1" t="n">
        <v>45180</v>
      </c>
      <c r="C401" s="1" t="n">
        <v>45885</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45885</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7837-2024</t>
        </is>
      </c>
      <c r="B403" s="1" t="n">
        <v>45349.83787037037</v>
      </c>
      <c r="C403" s="1" t="n">
        <v>45885</v>
      </c>
      <c r="D403" t="inlineStr">
        <is>
          <t>GOTLANDS LÄN</t>
        </is>
      </c>
      <c r="E403" t="inlineStr">
        <is>
          <t>GOTLAND</t>
        </is>
      </c>
      <c r="G403" t="n">
        <v>5</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45885</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45885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30488-2025</t>
        </is>
      </c>
      <c r="B406" s="1" t="n">
        <v>45830</v>
      </c>
      <c r="C406" s="1" t="n">
        <v>45885</v>
      </c>
      <c r="D406" t="inlineStr">
        <is>
          <t>GOTLANDS LÄN</t>
        </is>
      </c>
      <c r="E406" t="inlineStr">
        <is>
          <t>GOTLAND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30489-2025</t>
        </is>
      </c>
      <c r="B407" s="1" t="n">
        <v>45830</v>
      </c>
      <c r="C407" s="1" t="n">
        <v>45885</v>
      </c>
      <c r="D407" t="inlineStr">
        <is>
          <t>GOTLANDS LÄN</t>
        </is>
      </c>
      <c r="E407" t="inlineStr">
        <is>
          <t>GOTLAND</t>
        </is>
      </c>
      <c r="G407" t="n">
        <v>4.6</v>
      </c>
      <c r="H407" t="n">
        <v>0</v>
      </c>
      <c r="I407" t="n">
        <v>0</v>
      </c>
      <c r="J407" t="n">
        <v>0</v>
      </c>
      <c r="K407" t="n">
        <v>0</v>
      </c>
      <c r="L407" t="n">
        <v>0</v>
      </c>
      <c r="M407" t="n">
        <v>0</v>
      </c>
      <c r="N407" t="n">
        <v>0</v>
      </c>
      <c r="O407" t="n">
        <v>0</v>
      </c>
      <c r="P407" t="n">
        <v>0</v>
      </c>
      <c r="Q407" t="n">
        <v>0</v>
      </c>
      <c r="R407" s="2" t="inlineStr"/>
    </row>
    <row r="408" ht="15" customHeight="1">
      <c r="A408" t="inlineStr">
        <is>
          <t>A 581-2023</t>
        </is>
      </c>
      <c r="B408" s="1" t="n">
        <v>44930</v>
      </c>
      <c r="C408" s="1" t="n">
        <v>45885</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61386-2023</t>
        </is>
      </c>
      <c r="B409" s="1" t="n">
        <v>45264</v>
      </c>
      <c r="C409" s="1" t="n">
        <v>45885</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873-2024</t>
        </is>
      </c>
      <c r="B410" s="1" t="n">
        <v>45301</v>
      </c>
      <c r="C410" s="1" t="n">
        <v>45885</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49411-2023</t>
        </is>
      </c>
      <c r="B411" s="1" t="n">
        <v>45205</v>
      </c>
      <c r="C411" s="1" t="n">
        <v>45885</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35512-2023</t>
        </is>
      </c>
      <c r="B412" s="1" t="n">
        <v>45147.25623842593</v>
      </c>
      <c r="C412" s="1" t="n">
        <v>45885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45070.39875</v>
      </c>
      <c r="C413" s="1" t="n">
        <v>45885</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45885</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12322-2025</t>
        </is>
      </c>
      <c r="B415" s="1" t="n">
        <v>45730</v>
      </c>
      <c r="C415" s="1" t="n">
        <v>45885</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14797-2024</t>
        </is>
      </c>
      <c r="B416" s="1" t="n">
        <v>45397.87030092593</v>
      </c>
      <c r="C416" s="1" t="n">
        <v>45885</v>
      </c>
      <c r="D416" t="inlineStr">
        <is>
          <t>GOTLANDS LÄN</t>
        </is>
      </c>
      <c r="E416" t="inlineStr">
        <is>
          <t>GOTLAND</t>
        </is>
      </c>
      <c r="G416" t="n">
        <v>8.1</v>
      </c>
      <c r="H416" t="n">
        <v>0</v>
      </c>
      <c r="I416" t="n">
        <v>0</v>
      </c>
      <c r="J416" t="n">
        <v>0</v>
      </c>
      <c r="K416" t="n">
        <v>0</v>
      </c>
      <c r="L416" t="n">
        <v>0</v>
      </c>
      <c r="M416" t="n">
        <v>0</v>
      </c>
      <c r="N416" t="n">
        <v>0</v>
      </c>
      <c r="O416" t="n">
        <v>0</v>
      </c>
      <c r="P416" t="n">
        <v>0</v>
      </c>
      <c r="Q416" t="n">
        <v>0</v>
      </c>
      <c r="R416" s="2" t="inlineStr"/>
    </row>
    <row r="417" ht="15" customHeight="1">
      <c r="A417" t="inlineStr">
        <is>
          <t>A 999-2024</t>
        </is>
      </c>
      <c r="B417" s="1" t="n">
        <v>45301</v>
      </c>
      <c r="C417" s="1" t="n">
        <v>45885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30135-2025</t>
        </is>
      </c>
      <c r="B418" s="1" t="n">
        <v>45826</v>
      </c>
      <c r="C418" s="1" t="n">
        <v>45885</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61596-2023</t>
        </is>
      </c>
      <c r="B419" s="1" t="n">
        <v>45265</v>
      </c>
      <c r="C419" s="1" t="n">
        <v>45885</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32686-2025</t>
        </is>
      </c>
      <c r="B420" s="1" t="n">
        <v>45838</v>
      </c>
      <c r="C420" s="1" t="n">
        <v>45885</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14638-2025</t>
        </is>
      </c>
      <c r="B421" s="1" t="n">
        <v>45742</v>
      </c>
      <c r="C421" s="1" t="n">
        <v>45885</v>
      </c>
      <c r="D421" t="inlineStr">
        <is>
          <t>GOTLANDS LÄN</t>
        </is>
      </c>
      <c r="E421" t="inlineStr">
        <is>
          <t>GOTLAND</t>
        </is>
      </c>
      <c r="G421" t="n">
        <v>13.4</v>
      </c>
      <c r="H421" t="n">
        <v>0</v>
      </c>
      <c r="I421" t="n">
        <v>0</v>
      </c>
      <c r="J421" t="n">
        <v>0</v>
      </c>
      <c r="K421" t="n">
        <v>0</v>
      </c>
      <c r="L421" t="n">
        <v>0</v>
      </c>
      <c r="M421" t="n">
        <v>0</v>
      </c>
      <c r="N421" t="n">
        <v>0</v>
      </c>
      <c r="O421" t="n">
        <v>0</v>
      </c>
      <c r="P421" t="n">
        <v>0</v>
      </c>
      <c r="Q421" t="n">
        <v>0</v>
      </c>
      <c r="R421" s="2" t="inlineStr"/>
    </row>
    <row r="422" ht="15" customHeight="1">
      <c r="A422" t="inlineStr">
        <is>
          <t>A 32379-2025</t>
        </is>
      </c>
      <c r="B422" s="1" t="n">
        <v>45837</v>
      </c>
      <c r="C422" s="1" t="n">
        <v>45885</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44496.64855324074</v>
      </c>
      <c r="C423" s="1" t="n">
        <v>45885</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45885</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1291-2023</t>
        </is>
      </c>
      <c r="B425" s="1" t="n">
        <v>44936.47561342592</v>
      </c>
      <c r="C425" s="1" t="n">
        <v>45885</v>
      </c>
      <c r="D425" t="inlineStr">
        <is>
          <t>GOTLANDS LÄN</t>
        </is>
      </c>
      <c r="E425" t="inlineStr">
        <is>
          <t>GOTLAND</t>
        </is>
      </c>
      <c r="G425" t="n">
        <v>7.4</v>
      </c>
      <c r="H425" t="n">
        <v>0</v>
      </c>
      <c r="I425" t="n">
        <v>0</v>
      </c>
      <c r="J425" t="n">
        <v>0</v>
      </c>
      <c r="K425" t="n">
        <v>0</v>
      </c>
      <c r="L425" t="n">
        <v>0</v>
      </c>
      <c r="M425" t="n">
        <v>0</v>
      </c>
      <c r="N425" t="n">
        <v>0</v>
      </c>
      <c r="O425" t="n">
        <v>0</v>
      </c>
      <c r="P425" t="n">
        <v>0</v>
      </c>
      <c r="Q425" t="n">
        <v>0</v>
      </c>
      <c r="R425" s="2" t="inlineStr"/>
    </row>
    <row r="426" ht="15" customHeight="1">
      <c r="A426" t="inlineStr">
        <is>
          <t>A 22287-2022</t>
        </is>
      </c>
      <c r="B426" s="1" t="n">
        <v>44712</v>
      </c>
      <c r="C426" s="1" t="n">
        <v>45885</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32467-2025</t>
        </is>
      </c>
      <c r="B427" s="1" t="n">
        <v>45838.42111111111</v>
      </c>
      <c r="C427" s="1" t="n">
        <v>45885</v>
      </c>
      <c r="D427" t="inlineStr">
        <is>
          <t>GOTLANDS LÄN</t>
        </is>
      </c>
      <c r="E427" t="inlineStr">
        <is>
          <t>GOTLAND</t>
        </is>
      </c>
      <c r="G427" t="n">
        <v>4.3</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45885</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16109-2025</t>
        </is>
      </c>
      <c r="B429" s="1" t="n">
        <v>45750</v>
      </c>
      <c r="C429" s="1" t="n">
        <v>45885</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57652-2023</t>
        </is>
      </c>
      <c r="B430" s="1" t="n">
        <v>45246</v>
      </c>
      <c r="C430" s="1" t="n">
        <v>45885</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54074-2022</t>
        </is>
      </c>
      <c r="B431" s="1" t="n">
        <v>44881</v>
      </c>
      <c r="C431" s="1" t="n">
        <v>45885</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33078-2025</t>
        </is>
      </c>
      <c r="B432" s="1" t="n">
        <v>45840</v>
      </c>
      <c r="C432" s="1" t="n">
        <v>45885</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65249-2023</t>
        </is>
      </c>
      <c r="B433" s="1" t="n">
        <v>45290</v>
      </c>
      <c r="C433" s="1" t="n">
        <v>45885</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20660-2025</t>
        </is>
      </c>
      <c r="B434" s="1" t="n">
        <v>45776</v>
      </c>
      <c r="C434" s="1" t="n">
        <v>45885</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2035-2025</t>
        </is>
      </c>
      <c r="B435" s="1" t="n">
        <v>45672</v>
      </c>
      <c r="C435" s="1" t="n">
        <v>45885</v>
      </c>
      <c r="D435" t="inlineStr">
        <is>
          <t>GOTLANDS LÄN</t>
        </is>
      </c>
      <c r="E435" t="inlineStr">
        <is>
          <t>GOTLAND</t>
        </is>
      </c>
      <c r="G435" t="n">
        <v>7.5</v>
      </c>
      <c r="H435" t="n">
        <v>0</v>
      </c>
      <c r="I435" t="n">
        <v>0</v>
      </c>
      <c r="J435" t="n">
        <v>0</v>
      </c>
      <c r="K435" t="n">
        <v>0</v>
      </c>
      <c r="L435" t="n">
        <v>0</v>
      </c>
      <c r="M435" t="n">
        <v>0</v>
      </c>
      <c r="N435" t="n">
        <v>0</v>
      </c>
      <c r="O435" t="n">
        <v>0</v>
      </c>
      <c r="P435" t="n">
        <v>0</v>
      </c>
      <c r="Q435" t="n">
        <v>0</v>
      </c>
      <c r="R435" s="2" t="inlineStr"/>
    </row>
    <row r="436" ht="15" customHeight="1">
      <c r="A436" t="inlineStr">
        <is>
          <t>A 33007-2025</t>
        </is>
      </c>
      <c r="B436" s="1" t="n">
        <v>45840</v>
      </c>
      <c r="C436" s="1" t="n">
        <v>45885</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33011-2025</t>
        </is>
      </c>
      <c r="B437" s="1" t="n">
        <v>45840</v>
      </c>
      <c r="C437" s="1" t="n">
        <v>45885</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49315-2024</t>
        </is>
      </c>
      <c r="B438" s="1" t="n">
        <v>45595</v>
      </c>
      <c r="C438" s="1" t="n">
        <v>45885</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45106-2024</t>
        </is>
      </c>
      <c r="B439" s="1" t="n">
        <v>45575</v>
      </c>
      <c r="C439" s="1" t="n">
        <v>45885</v>
      </c>
      <c r="D439" t="inlineStr">
        <is>
          <t>GOTLANDS LÄN</t>
        </is>
      </c>
      <c r="E439" t="inlineStr">
        <is>
          <t>GOTLAND</t>
        </is>
      </c>
      <c r="G439" t="n">
        <v>10</v>
      </c>
      <c r="H439" t="n">
        <v>0</v>
      </c>
      <c r="I439" t="n">
        <v>0</v>
      </c>
      <c r="J439" t="n">
        <v>0</v>
      </c>
      <c r="K439" t="n">
        <v>0</v>
      </c>
      <c r="L439" t="n">
        <v>0</v>
      </c>
      <c r="M439" t="n">
        <v>0</v>
      </c>
      <c r="N439" t="n">
        <v>0</v>
      </c>
      <c r="O439" t="n">
        <v>0</v>
      </c>
      <c r="P439" t="n">
        <v>0</v>
      </c>
      <c r="Q439" t="n">
        <v>0</v>
      </c>
      <c r="R439" s="2" t="inlineStr"/>
    </row>
    <row r="440" ht="15" customHeight="1">
      <c r="A440" t="inlineStr">
        <is>
          <t>A 45112-2024</t>
        </is>
      </c>
      <c r="B440" s="1" t="n">
        <v>45575</v>
      </c>
      <c r="C440" s="1" t="n">
        <v>45885</v>
      </c>
      <c r="D440" t="inlineStr">
        <is>
          <t>GOTLANDS LÄN</t>
        </is>
      </c>
      <c r="E440" t="inlineStr">
        <is>
          <t>GOTLAND</t>
        </is>
      </c>
      <c r="G440" t="n">
        <v>5.1</v>
      </c>
      <c r="H440" t="n">
        <v>0</v>
      </c>
      <c r="I440" t="n">
        <v>0</v>
      </c>
      <c r="J440" t="n">
        <v>0</v>
      </c>
      <c r="K440" t="n">
        <v>0</v>
      </c>
      <c r="L440" t="n">
        <v>0</v>
      </c>
      <c r="M440" t="n">
        <v>0</v>
      </c>
      <c r="N440" t="n">
        <v>0</v>
      </c>
      <c r="O440" t="n">
        <v>0</v>
      </c>
      <c r="P440" t="n">
        <v>0</v>
      </c>
      <c r="Q440" t="n">
        <v>0</v>
      </c>
      <c r="R440" s="2" t="inlineStr"/>
    </row>
    <row r="441" ht="15" customHeight="1">
      <c r="A441" t="inlineStr">
        <is>
          <t>A 2676-2023</t>
        </is>
      </c>
      <c r="B441" s="1" t="n">
        <v>44944</v>
      </c>
      <c r="C441" s="1" t="n">
        <v>45885</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3150-2025</t>
        </is>
      </c>
      <c r="B442" s="1" t="n">
        <v>45679.28974537037</v>
      </c>
      <c r="C442" s="1" t="n">
        <v>45885</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38649-2025</t>
        </is>
      </c>
      <c r="B443" s="1" t="n">
        <v>45884</v>
      </c>
      <c r="C443" s="1" t="n">
        <v>45885</v>
      </c>
      <c r="D443" t="inlineStr">
        <is>
          <t>GOTLANDS LÄN</t>
        </is>
      </c>
      <c r="E443" t="inlineStr">
        <is>
          <t>GOTLAND</t>
        </is>
      </c>
      <c r="G443" t="n">
        <v>1.5</v>
      </c>
      <c r="H443" t="n">
        <v>0</v>
      </c>
      <c r="I443" t="n">
        <v>0</v>
      </c>
      <c r="J443" t="n">
        <v>0</v>
      </c>
      <c r="K443" t="n">
        <v>0</v>
      </c>
      <c r="L443" t="n">
        <v>0</v>
      </c>
      <c r="M443" t="n">
        <v>0</v>
      </c>
      <c r="N443" t="n">
        <v>0</v>
      </c>
      <c r="O443" t="n">
        <v>0</v>
      </c>
      <c r="P443" t="n">
        <v>0</v>
      </c>
      <c r="Q443" t="n">
        <v>0</v>
      </c>
      <c r="R443" s="2" t="inlineStr"/>
    </row>
    <row r="444" ht="15" customHeight="1">
      <c r="A444" t="inlineStr">
        <is>
          <t>A 8484-2025</t>
        </is>
      </c>
      <c r="B444" s="1" t="n">
        <v>45709</v>
      </c>
      <c r="C444" s="1" t="n">
        <v>45885</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13910-2025</t>
        </is>
      </c>
      <c r="B445" s="1" t="n">
        <v>45737</v>
      </c>
      <c r="C445" s="1" t="n">
        <v>45885</v>
      </c>
      <c r="D445" t="inlineStr">
        <is>
          <t>GOTLANDS LÄN</t>
        </is>
      </c>
      <c r="E445" t="inlineStr">
        <is>
          <t>GOTLAND</t>
        </is>
      </c>
      <c r="F445" t="inlineStr">
        <is>
          <t>Kommuner</t>
        </is>
      </c>
      <c r="G445" t="n">
        <v>3.2</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45885</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45885</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45885</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1728-2025</t>
        </is>
      </c>
      <c r="B449" s="1" t="n">
        <v>45671.3565162037</v>
      </c>
      <c r="C449" s="1" t="n">
        <v>45885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20356-2022</t>
        </is>
      </c>
      <c r="B450" s="1" t="n">
        <v>44699</v>
      </c>
      <c r="C450" s="1" t="n">
        <v>45885</v>
      </c>
      <c r="D450" t="inlineStr">
        <is>
          <t>GOTLANDS LÄN</t>
        </is>
      </c>
      <c r="E450" t="inlineStr">
        <is>
          <t>GOTLAND</t>
        </is>
      </c>
      <c r="F450" t="inlineStr">
        <is>
          <t>Övriga Aktiebolag</t>
        </is>
      </c>
      <c r="G450" t="n">
        <v>4.4</v>
      </c>
      <c r="H450" t="n">
        <v>0</v>
      </c>
      <c r="I450" t="n">
        <v>0</v>
      </c>
      <c r="J450" t="n">
        <v>0</v>
      </c>
      <c r="K450" t="n">
        <v>0</v>
      </c>
      <c r="L450" t="n">
        <v>0</v>
      </c>
      <c r="M450" t="n">
        <v>0</v>
      </c>
      <c r="N450" t="n">
        <v>0</v>
      </c>
      <c r="O450" t="n">
        <v>0</v>
      </c>
      <c r="P450" t="n">
        <v>0</v>
      </c>
      <c r="Q450" t="n">
        <v>0</v>
      </c>
      <c r="R450" s="2" t="inlineStr"/>
    </row>
    <row r="451" ht="15" customHeight="1">
      <c r="A451" t="inlineStr">
        <is>
          <t>A 48734-2022</t>
        </is>
      </c>
      <c r="B451" s="1" t="n">
        <v>44855</v>
      </c>
      <c r="C451" s="1" t="n">
        <v>45885</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17780-2022</t>
        </is>
      </c>
      <c r="B452" s="1" t="n">
        <v>44682.82622685185</v>
      </c>
      <c r="C452" s="1" t="n">
        <v>45885</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14141-2024</t>
        </is>
      </c>
      <c r="B453" s="1" t="n">
        <v>45392.85193287037</v>
      </c>
      <c r="C453" s="1" t="n">
        <v>45885</v>
      </c>
      <c r="D453" t="inlineStr">
        <is>
          <t>GOTLANDS LÄN</t>
        </is>
      </c>
      <c r="E453" t="inlineStr">
        <is>
          <t>GOTLAND</t>
        </is>
      </c>
      <c r="G453" t="n">
        <v>5.3</v>
      </c>
      <c r="H453" t="n">
        <v>0</v>
      </c>
      <c r="I453" t="n">
        <v>0</v>
      </c>
      <c r="J453" t="n">
        <v>0</v>
      </c>
      <c r="K453" t="n">
        <v>0</v>
      </c>
      <c r="L453" t="n">
        <v>0</v>
      </c>
      <c r="M453" t="n">
        <v>0</v>
      </c>
      <c r="N453" t="n">
        <v>0</v>
      </c>
      <c r="O453" t="n">
        <v>0</v>
      </c>
      <c r="P453" t="n">
        <v>0</v>
      </c>
      <c r="Q453" t="n">
        <v>0</v>
      </c>
      <c r="R453" s="2" t="inlineStr"/>
    </row>
    <row r="454" ht="15" customHeight="1">
      <c r="A454" t="inlineStr">
        <is>
          <t>A 29809-2022</t>
        </is>
      </c>
      <c r="B454" s="1" t="n">
        <v>44755.8713425926</v>
      </c>
      <c r="C454" s="1" t="n">
        <v>45885</v>
      </c>
      <c r="D454" t="inlineStr">
        <is>
          <t>GOTLANDS LÄN</t>
        </is>
      </c>
      <c r="E454" t="inlineStr">
        <is>
          <t>GOTLAND</t>
        </is>
      </c>
      <c r="G454" t="n">
        <v>11.5</v>
      </c>
      <c r="H454" t="n">
        <v>0</v>
      </c>
      <c r="I454" t="n">
        <v>0</v>
      </c>
      <c r="J454" t="n">
        <v>0</v>
      </c>
      <c r="K454" t="n">
        <v>0</v>
      </c>
      <c r="L454" t="n">
        <v>0</v>
      </c>
      <c r="M454" t="n">
        <v>0</v>
      </c>
      <c r="N454" t="n">
        <v>0</v>
      </c>
      <c r="O454" t="n">
        <v>0</v>
      </c>
      <c r="P454" t="n">
        <v>0</v>
      </c>
      <c r="Q454" t="n">
        <v>0</v>
      </c>
      <c r="R454" s="2" t="inlineStr"/>
    </row>
    <row r="455" ht="15" customHeight="1">
      <c r="A455" t="inlineStr">
        <is>
          <t>A 59986-2022</t>
        </is>
      </c>
      <c r="B455" s="1" t="n">
        <v>44909</v>
      </c>
      <c r="C455" s="1" t="n">
        <v>45885</v>
      </c>
      <c r="D455" t="inlineStr">
        <is>
          <t>GOTLANDS LÄN</t>
        </is>
      </c>
      <c r="E455" t="inlineStr">
        <is>
          <t>GOTLAND</t>
        </is>
      </c>
      <c r="G455" t="n">
        <v>0.7</v>
      </c>
      <c r="H455" t="n">
        <v>0</v>
      </c>
      <c r="I455" t="n">
        <v>0</v>
      </c>
      <c r="J455" t="n">
        <v>0</v>
      </c>
      <c r="K455" t="n">
        <v>0</v>
      </c>
      <c r="L455" t="n">
        <v>0</v>
      </c>
      <c r="M455" t="n">
        <v>0</v>
      </c>
      <c r="N455" t="n">
        <v>0</v>
      </c>
      <c r="O455" t="n">
        <v>0</v>
      </c>
      <c r="P455" t="n">
        <v>0</v>
      </c>
      <c r="Q455" t="n">
        <v>0</v>
      </c>
      <c r="R455" s="2" t="inlineStr"/>
    </row>
    <row r="456" ht="15" customHeight="1">
      <c r="A456" t="inlineStr">
        <is>
          <t>A 14536-2021</t>
        </is>
      </c>
      <c r="B456" s="1" t="n">
        <v>44279.66168981481</v>
      </c>
      <c r="C456" s="1" t="n">
        <v>45885</v>
      </c>
      <c r="D456" t="inlineStr">
        <is>
          <t>GOTLANDS LÄN</t>
        </is>
      </c>
      <c r="E456" t="inlineStr">
        <is>
          <t>GOTLAND</t>
        </is>
      </c>
      <c r="G456" t="n">
        <v>8.5</v>
      </c>
      <c r="H456" t="n">
        <v>0</v>
      </c>
      <c r="I456" t="n">
        <v>0</v>
      </c>
      <c r="J456" t="n">
        <v>0</v>
      </c>
      <c r="K456" t="n">
        <v>0</v>
      </c>
      <c r="L456" t="n">
        <v>0</v>
      </c>
      <c r="M456" t="n">
        <v>0</v>
      </c>
      <c r="N456" t="n">
        <v>0</v>
      </c>
      <c r="O456" t="n">
        <v>0</v>
      </c>
      <c r="P456" t="n">
        <v>0</v>
      </c>
      <c r="Q456" t="n">
        <v>0</v>
      </c>
      <c r="R456" s="2" t="inlineStr"/>
    </row>
    <row r="457" ht="15" customHeight="1">
      <c r="A457" t="inlineStr">
        <is>
          <t>A 57685-2022</t>
        </is>
      </c>
      <c r="B457" s="1" t="n">
        <v>44897.4777662037</v>
      </c>
      <c r="C457" s="1" t="n">
        <v>45885</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12599-2025</t>
        </is>
      </c>
      <c r="B458" s="1" t="n">
        <v>45733.29546296296</v>
      </c>
      <c r="C458" s="1" t="n">
        <v>45885</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45885</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11874-2024</t>
        </is>
      </c>
      <c r="B460" s="1" t="n">
        <v>45376.46956018519</v>
      </c>
      <c r="C460" s="1" t="n">
        <v>45885</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2292-2021</t>
        </is>
      </c>
      <c r="B461" s="1" t="n">
        <v>44212</v>
      </c>
      <c r="C461" s="1" t="n">
        <v>45885</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42041-2024</t>
        </is>
      </c>
      <c r="B462" s="1" t="n">
        <v>45561</v>
      </c>
      <c r="C462" s="1" t="n">
        <v>45885</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61694-2023</t>
        </is>
      </c>
      <c r="B463" s="1" t="n">
        <v>45264</v>
      </c>
      <c r="C463" s="1" t="n">
        <v>45885</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7034-2023</t>
        </is>
      </c>
      <c r="B464" s="1" t="n">
        <v>44968.32108796296</v>
      </c>
      <c r="C464" s="1" t="n">
        <v>45885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7042-2023</t>
        </is>
      </c>
      <c r="B465" s="1" t="n">
        <v>44968</v>
      </c>
      <c r="C465" s="1" t="n">
        <v>45885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14570-2025</t>
        </is>
      </c>
      <c r="B466" s="1" t="n">
        <v>45741.87113425926</v>
      </c>
      <c r="C466" s="1" t="n">
        <v>45885</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45885</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64660-2023</t>
        </is>
      </c>
      <c r="B468" s="1" t="n">
        <v>45281.60122685185</v>
      </c>
      <c r="C468" s="1" t="n">
        <v>45885</v>
      </c>
      <c r="D468" t="inlineStr">
        <is>
          <t>GOTLANDS LÄN</t>
        </is>
      </c>
      <c r="E468" t="inlineStr">
        <is>
          <t>GOTLAND</t>
        </is>
      </c>
      <c r="G468" t="n">
        <v>6.3</v>
      </c>
      <c r="H468" t="n">
        <v>0</v>
      </c>
      <c r="I468" t="n">
        <v>0</v>
      </c>
      <c r="J468" t="n">
        <v>0</v>
      </c>
      <c r="K468" t="n">
        <v>0</v>
      </c>
      <c r="L468" t="n">
        <v>0</v>
      </c>
      <c r="M468" t="n">
        <v>0</v>
      </c>
      <c r="N468" t="n">
        <v>0</v>
      </c>
      <c r="O468" t="n">
        <v>0</v>
      </c>
      <c r="P468" t="n">
        <v>0</v>
      </c>
      <c r="Q468" t="n">
        <v>0</v>
      </c>
      <c r="R468" s="2" t="inlineStr"/>
    </row>
    <row r="469" ht="15" customHeight="1">
      <c r="A469" t="inlineStr">
        <is>
          <t>A 63763-2023</t>
        </is>
      </c>
      <c r="B469" s="1" t="n">
        <v>45278.33944444444</v>
      </c>
      <c r="C469" s="1" t="n">
        <v>45885</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44508.34518518519</v>
      </c>
      <c r="C470" s="1" t="n">
        <v>45885</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46375-2024</t>
        </is>
      </c>
      <c r="B471" s="1" t="n">
        <v>45582</v>
      </c>
      <c r="C471" s="1" t="n">
        <v>45885</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64555-2023</t>
        </is>
      </c>
      <c r="B472" s="1" t="n">
        <v>45281</v>
      </c>
      <c r="C472" s="1" t="n">
        <v>45885</v>
      </c>
      <c r="D472" t="inlineStr">
        <is>
          <t>GOTLANDS LÄN</t>
        </is>
      </c>
      <c r="E472" t="inlineStr">
        <is>
          <t>GOTLAND</t>
        </is>
      </c>
      <c r="G472" t="n">
        <v>3.5</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45885</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14804-2021</t>
        </is>
      </c>
      <c r="B474" s="1" t="n">
        <v>44280</v>
      </c>
      <c r="C474" s="1" t="n">
        <v>45885</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999-2023</t>
        </is>
      </c>
      <c r="B475" s="1" t="n">
        <v>44935</v>
      </c>
      <c r="C475" s="1" t="n">
        <v>45885</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27602-2023</t>
        </is>
      </c>
      <c r="B476" s="1" t="n">
        <v>45097</v>
      </c>
      <c r="C476" s="1" t="n">
        <v>45885</v>
      </c>
      <c r="D476" t="inlineStr">
        <is>
          <t>GOTLANDS LÄN</t>
        </is>
      </c>
      <c r="E476" t="inlineStr">
        <is>
          <t>GOTLAND</t>
        </is>
      </c>
      <c r="G476" t="n">
        <v>2.7</v>
      </c>
      <c r="H476" t="n">
        <v>0</v>
      </c>
      <c r="I476" t="n">
        <v>0</v>
      </c>
      <c r="J476" t="n">
        <v>0</v>
      </c>
      <c r="K476" t="n">
        <v>0</v>
      </c>
      <c r="L476" t="n">
        <v>0</v>
      </c>
      <c r="M476" t="n">
        <v>0</v>
      </c>
      <c r="N476" t="n">
        <v>0</v>
      </c>
      <c r="O476" t="n">
        <v>0</v>
      </c>
      <c r="P476" t="n">
        <v>0</v>
      </c>
      <c r="Q476" t="n">
        <v>0</v>
      </c>
      <c r="R476" s="2" t="inlineStr"/>
    </row>
    <row r="477" ht="15" customHeight="1">
      <c r="A477" t="inlineStr">
        <is>
          <t>A 1734-2025</t>
        </is>
      </c>
      <c r="B477" s="1" t="n">
        <v>45671.3840625</v>
      </c>
      <c r="C477" s="1" t="n">
        <v>45885</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45885</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4387-2023</t>
        </is>
      </c>
      <c r="B479" s="1" t="n">
        <v>44955.73359953704</v>
      </c>
      <c r="C479" s="1" t="n">
        <v>45885</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20993-2023</t>
        </is>
      </c>
      <c r="B480" s="1" t="n">
        <v>45056</v>
      </c>
      <c r="C480" s="1" t="n">
        <v>45885</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45885</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60908-2024</t>
        </is>
      </c>
      <c r="B482" s="1" t="n">
        <v>45645.31320601852</v>
      </c>
      <c r="C482" s="1" t="n">
        <v>45885</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51963-2024</t>
        </is>
      </c>
      <c r="B483" s="1" t="n">
        <v>45607.64833333333</v>
      </c>
      <c r="C483" s="1" t="n">
        <v>45885</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12596-2023</t>
        </is>
      </c>
      <c r="B484" s="1" t="n">
        <v>45000.43310185185</v>
      </c>
      <c r="C484" s="1" t="n">
        <v>45885</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2125-2025</t>
        </is>
      </c>
      <c r="B485" s="1" t="n">
        <v>45672.64940972222</v>
      </c>
      <c r="C485" s="1" t="n">
        <v>45885</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22883-2024</t>
        </is>
      </c>
      <c r="B486" s="1" t="n">
        <v>45448.66368055555</v>
      </c>
      <c r="C486" s="1" t="n">
        <v>45885</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811-2023</t>
        </is>
      </c>
      <c r="B487" s="1" t="n">
        <v>44931</v>
      </c>
      <c r="C487" s="1" t="n">
        <v>45885</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12155-2023</t>
        </is>
      </c>
      <c r="B488" s="1" t="n">
        <v>44998.49106481481</v>
      </c>
      <c r="C488" s="1" t="n">
        <v>45885</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45885</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45885</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38234-2023</t>
        </is>
      </c>
      <c r="B491" s="1" t="n">
        <v>45161.56663194444</v>
      </c>
      <c r="C491" s="1" t="n">
        <v>45885</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46389-2021</t>
        </is>
      </c>
      <c r="B492" s="1" t="n">
        <v>44443</v>
      </c>
      <c r="C492" s="1" t="n">
        <v>45885</v>
      </c>
      <c r="D492" t="inlineStr">
        <is>
          <t>GOTLANDS LÄN</t>
        </is>
      </c>
      <c r="E492" t="inlineStr">
        <is>
          <t>GOTLAND</t>
        </is>
      </c>
      <c r="F492" t="inlineStr">
        <is>
          <t>Kyrkan</t>
        </is>
      </c>
      <c r="G492" t="n">
        <v>2.1</v>
      </c>
      <c r="H492" t="n">
        <v>0</v>
      </c>
      <c r="I492" t="n">
        <v>0</v>
      </c>
      <c r="J492" t="n">
        <v>0</v>
      </c>
      <c r="K492" t="n">
        <v>0</v>
      </c>
      <c r="L492" t="n">
        <v>0</v>
      </c>
      <c r="M492" t="n">
        <v>0</v>
      </c>
      <c r="N492" t="n">
        <v>0</v>
      </c>
      <c r="O492" t="n">
        <v>0</v>
      </c>
      <c r="P492" t="n">
        <v>0</v>
      </c>
      <c r="Q492" t="n">
        <v>0</v>
      </c>
      <c r="R492" s="2" t="inlineStr"/>
    </row>
    <row r="493" ht="15" customHeight="1">
      <c r="A493" t="inlineStr">
        <is>
          <t>A 50744-2024</t>
        </is>
      </c>
      <c r="B493" s="1" t="n">
        <v>45602.4187037037</v>
      </c>
      <c r="C493" s="1" t="n">
        <v>45885</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26810-2021</t>
        </is>
      </c>
      <c r="B494" s="1" t="n">
        <v>44349.55087962963</v>
      </c>
      <c r="C494" s="1" t="n">
        <v>45885</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45885</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5923-2023</t>
        </is>
      </c>
      <c r="B496" s="1" t="n">
        <v>44963.69503472222</v>
      </c>
      <c r="C496" s="1" t="n">
        <v>45885</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33853-2024</t>
        </is>
      </c>
      <c r="B497" s="1" t="n">
        <v>45520.64298611111</v>
      </c>
      <c r="C497" s="1" t="n">
        <v>45885</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18918-2025</t>
        </is>
      </c>
      <c r="B498" s="1" t="n">
        <v>45764</v>
      </c>
      <c r="C498" s="1" t="n">
        <v>45885</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2674-2023</t>
        </is>
      </c>
      <c r="B499" s="1" t="n">
        <v>44944</v>
      </c>
      <c r="C499" s="1" t="n">
        <v>45885</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10655-2023</t>
        </is>
      </c>
      <c r="B500" s="1" t="n">
        <v>44988.49543981482</v>
      </c>
      <c r="C500" s="1" t="n">
        <v>45885</v>
      </c>
      <c r="D500" t="inlineStr">
        <is>
          <t>GOTLANDS LÄN</t>
        </is>
      </c>
      <c r="E500" t="inlineStr">
        <is>
          <t>GOTLAND</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45885</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26891-2024</t>
        </is>
      </c>
      <c r="B502" s="1" t="n">
        <v>45470.65540509259</v>
      </c>
      <c r="C502" s="1" t="n">
        <v>45885</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45885</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45885</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42007-2023</t>
        </is>
      </c>
      <c r="B505" s="1" t="n">
        <v>45177</v>
      </c>
      <c r="C505" s="1" t="n">
        <v>45885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9887-2025</t>
        </is>
      </c>
      <c r="B506" s="1" t="n">
        <v>45716</v>
      </c>
      <c r="C506" s="1" t="n">
        <v>45885</v>
      </c>
      <c r="D506" t="inlineStr">
        <is>
          <t>GOTLANDS LÄN</t>
        </is>
      </c>
      <c r="E506" t="inlineStr">
        <is>
          <t>GOTLAND</t>
        </is>
      </c>
      <c r="G506" t="n">
        <v>7.5</v>
      </c>
      <c r="H506" t="n">
        <v>0</v>
      </c>
      <c r="I506" t="n">
        <v>0</v>
      </c>
      <c r="J506" t="n">
        <v>0</v>
      </c>
      <c r="K506" t="n">
        <v>0</v>
      </c>
      <c r="L506" t="n">
        <v>0</v>
      </c>
      <c r="M506" t="n">
        <v>0</v>
      </c>
      <c r="N506" t="n">
        <v>0</v>
      </c>
      <c r="O506" t="n">
        <v>0</v>
      </c>
      <c r="P506" t="n">
        <v>0</v>
      </c>
      <c r="Q506" t="n">
        <v>0</v>
      </c>
      <c r="R506" s="2" t="inlineStr"/>
    </row>
    <row r="507" ht="15" customHeight="1">
      <c r="A507" t="inlineStr">
        <is>
          <t>A 17227-2021</t>
        </is>
      </c>
      <c r="B507" s="1" t="n">
        <v>44298.49725694444</v>
      </c>
      <c r="C507" s="1" t="n">
        <v>45885</v>
      </c>
      <c r="D507" t="inlineStr">
        <is>
          <t>GOTLANDS LÄN</t>
        </is>
      </c>
      <c r="E507" t="inlineStr">
        <is>
          <t>GOTLAND</t>
        </is>
      </c>
      <c r="G507" t="n">
        <v>6.2</v>
      </c>
      <c r="H507" t="n">
        <v>0</v>
      </c>
      <c r="I507" t="n">
        <v>0</v>
      </c>
      <c r="J507" t="n">
        <v>0</v>
      </c>
      <c r="K507" t="n">
        <v>0</v>
      </c>
      <c r="L507" t="n">
        <v>0</v>
      </c>
      <c r="M507" t="n">
        <v>0</v>
      </c>
      <c r="N507" t="n">
        <v>0</v>
      </c>
      <c r="O507" t="n">
        <v>0</v>
      </c>
      <c r="P507" t="n">
        <v>0</v>
      </c>
      <c r="Q507" t="n">
        <v>0</v>
      </c>
      <c r="R507" s="2" t="inlineStr"/>
    </row>
    <row r="508" ht="15" customHeight="1">
      <c r="A508" t="inlineStr">
        <is>
          <t>A 38165-2023</t>
        </is>
      </c>
      <c r="B508" s="1" t="n">
        <v>45161</v>
      </c>
      <c r="C508" s="1" t="n">
        <v>45885</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31264-2021</t>
        </is>
      </c>
      <c r="B509" s="1" t="n">
        <v>44368</v>
      </c>
      <c r="C509" s="1" t="n">
        <v>45885</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27596-2023</t>
        </is>
      </c>
      <c r="B510" s="1" t="n">
        <v>45097</v>
      </c>
      <c r="C510" s="1" t="n">
        <v>45885</v>
      </c>
      <c r="D510" t="inlineStr">
        <is>
          <t>GOTLANDS LÄN</t>
        </is>
      </c>
      <c r="E510" t="inlineStr">
        <is>
          <t>GOTLAND</t>
        </is>
      </c>
      <c r="G510" t="n">
        <v>3.6</v>
      </c>
      <c r="H510" t="n">
        <v>0</v>
      </c>
      <c r="I510" t="n">
        <v>0</v>
      </c>
      <c r="J510" t="n">
        <v>0</v>
      </c>
      <c r="K510" t="n">
        <v>0</v>
      </c>
      <c r="L510" t="n">
        <v>0</v>
      </c>
      <c r="M510" t="n">
        <v>0</v>
      </c>
      <c r="N510" t="n">
        <v>0</v>
      </c>
      <c r="O510" t="n">
        <v>0</v>
      </c>
      <c r="P510" t="n">
        <v>0</v>
      </c>
      <c r="Q510" t="n">
        <v>0</v>
      </c>
      <c r="R510" s="2" t="inlineStr"/>
    </row>
    <row r="511" ht="15" customHeight="1">
      <c r="A511" t="inlineStr">
        <is>
          <t>A 43901-2023</t>
        </is>
      </c>
      <c r="B511" s="1" t="n">
        <v>45187</v>
      </c>
      <c r="C511" s="1" t="n">
        <v>45885</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10746-2025</t>
        </is>
      </c>
      <c r="B512" s="1" t="n">
        <v>45722.42766203704</v>
      </c>
      <c r="C512" s="1" t="n">
        <v>45885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16501-2023</t>
        </is>
      </c>
      <c r="B513" s="1" t="n">
        <v>45029</v>
      </c>
      <c r="C513" s="1" t="n">
        <v>45885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24825-2024</t>
        </is>
      </c>
      <c r="B514" s="1" t="n">
        <v>45461</v>
      </c>
      <c r="C514" s="1" t="n">
        <v>45885</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6696-2023</t>
        </is>
      </c>
      <c r="B515" s="1" t="n">
        <v>44966.66425925926</v>
      </c>
      <c r="C515" s="1" t="n">
        <v>45885</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44705.38832175926</v>
      </c>
      <c r="C516" s="1" t="n">
        <v>45885</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44929.87122685185</v>
      </c>
      <c r="C517" s="1" t="n">
        <v>45885</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2714-2023</t>
        </is>
      </c>
      <c r="B518" s="1" t="n">
        <v>44944.54896990741</v>
      </c>
      <c r="C518" s="1" t="n">
        <v>45885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27930-2021</t>
        </is>
      </c>
      <c r="B519" s="1" t="n">
        <v>44354</v>
      </c>
      <c r="C519" s="1" t="n">
        <v>45885</v>
      </c>
      <c r="D519" t="inlineStr">
        <is>
          <t>GOTLANDS LÄN</t>
        </is>
      </c>
      <c r="E519" t="inlineStr">
        <is>
          <t>GOTLAND</t>
        </is>
      </c>
      <c r="G519" t="n">
        <v>2.5</v>
      </c>
      <c r="H519" t="n">
        <v>0</v>
      </c>
      <c r="I519" t="n">
        <v>0</v>
      </c>
      <c r="J519" t="n">
        <v>0</v>
      </c>
      <c r="K519" t="n">
        <v>0</v>
      </c>
      <c r="L519" t="n">
        <v>0</v>
      </c>
      <c r="M519" t="n">
        <v>0</v>
      </c>
      <c r="N519" t="n">
        <v>0</v>
      </c>
      <c r="O519" t="n">
        <v>0</v>
      </c>
      <c r="P519" t="n">
        <v>0</v>
      </c>
      <c r="Q519" t="n">
        <v>0</v>
      </c>
      <c r="R519" s="2" t="inlineStr"/>
    </row>
    <row r="520" ht="15" customHeight="1">
      <c r="A520" t="inlineStr">
        <is>
          <t>A 4421-2024</t>
        </is>
      </c>
      <c r="B520" s="1" t="n">
        <v>45327.45173611111</v>
      </c>
      <c r="C520" s="1" t="n">
        <v>45885</v>
      </c>
      <c r="D520" t="inlineStr">
        <is>
          <t>GOTLANDS LÄN</t>
        </is>
      </c>
      <c r="E520" t="inlineStr">
        <is>
          <t>GOTLAND</t>
        </is>
      </c>
      <c r="G520" t="n">
        <v>5.1</v>
      </c>
      <c r="H520" t="n">
        <v>0</v>
      </c>
      <c r="I520" t="n">
        <v>0</v>
      </c>
      <c r="J520" t="n">
        <v>0</v>
      </c>
      <c r="K520" t="n">
        <v>0</v>
      </c>
      <c r="L520" t="n">
        <v>0</v>
      </c>
      <c r="M520" t="n">
        <v>0</v>
      </c>
      <c r="N520" t="n">
        <v>0</v>
      </c>
      <c r="O520" t="n">
        <v>0</v>
      </c>
      <c r="P520" t="n">
        <v>0</v>
      </c>
      <c r="Q520" t="n">
        <v>0</v>
      </c>
      <c r="R520" s="2" t="inlineStr"/>
    </row>
    <row r="521" ht="15" customHeight="1">
      <c r="A521" t="inlineStr">
        <is>
          <t>A 61962-2024</t>
        </is>
      </c>
      <c r="B521" s="1" t="n">
        <v>45653.54340277778</v>
      </c>
      <c r="C521" s="1" t="n">
        <v>45885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61964-2024</t>
        </is>
      </c>
      <c r="B522" s="1" t="n">
        <v>45653.54789351852</v>
      </c>
      <c r="C522" s="1" t="n">
        <v>45885</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51782-2023</t>
        </is>
      </c>
      <c r="B523" s="1" t="n">
        <v>45222.80952546297</v>
      </c>
      <c r="C523" s="1" t="n">
        <v>45885</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10492-2023</t>
        </is>
      </c>
      <c r="B524" s="1" t="n">
        <v>44987</v>
      </c>
      <c r="C524" s="1" t="n">
        <v>45885</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54268-2022</t>
        </is>
      </c>
      <c r="B525" s="1" t="n">
        <v>44882</v>
      </c>
      <c r="C525" s="1" t="n">
        <v>45885</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57534-2022</t>
        </is>
      </c>
      <c r="B526" s="1" t="n">
        <v>44896</v>
      </c>
      <c r="C526" s="1" t="n">
        <v>45885</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5909-2025</t>
        </is>
      </c>
      <c r="B527" s="1" t="n">
        <v>45695.40634259259</v>
      </c>
      <c r="C527" s="1" t="n">
        <v>45885</v>
      </c>
      <c r="D527" t="inlineStr">
        <is>
          <t>GOTLANDS LÄN</t>
        </is>
      </c>
      <c r="E527" t="inlineStr">
        <is>
          <t>GOTLAND</t>
        </is>
      </c>
      <c r="G527" t="n">
        <v>2.9</v>
      </c>
      <c r="H527" t="n">
        <v>0</v>
      </c>
      <c r="I527" t="n">
        <v>0</v>
      </c>
      <c r="J527" t="n">
        <v>0</v>
      </c>
      <c r="K527" t="n">
        <v>0</v>
      </c>
      <c r="L527" t="n">
        <v>0</v>
      </c>
      <c r="M527" t="n">
        <v>0</v>
      </c>
      <c r="N527" t="n">
        <v>0</v>
      </c>
      <c r="O527" t="n">
        <v>0</v>
      </c>
      <c r="P527" t="n">
        <v>0</v>
      </c>
      <c r="Q527" t="n">
        <v>0</v>
      </c>
      <c r="R527" s="2" t="inlineStr"/>
    </row>
    <row r="528" ht="15" customHeight="1">
      <c r="A528" t="inlineStr">
        <is>
          <t>A 10653-2023</t>
        </is>
      </c>
      <c r="B528" s="1" t="n">
        <v>44988.48859953704</v>
      </c>
      <c r="C528" s="1" t="n">
        <v>45885</v>
      </c>
      <c r="D528" t="inlineStr">
        <is>
          <t>GOTLANDS LÄN</t>
        </is>
      </c>
      <c r="E528" t="inlineStr">
        <is>
          <t>GOTLAND</t>
        </is>
      </c>
      <c r="F528" t="inlineStr">
        <is>
          <t>Kyrkan</t>
        </is>
      </c>
      <c r="G528" t="n">
        <v>3</v>
      </c>
      <c r="H528" t="n">
        <v>0</v>
      </c>
      <c r="I528" t="n">
        <v>0</v>
      </c>
      <c r="J528" t="n">
        <v>0</v>
      </c>
      <c r="K528" t="n">
        <v>0</v>
      </c>
      <c r="L528" t="n">
        <v>0</v>
      </c>
      <c r="M528" t="n">
        <v>0</v>
      </c>
      <c r="N528" t="n">
        <v>0</v>
      </c>
      <c r="O528" t="n">
        <v>0</v>
      </c>
      <c r="P528" t="n">
        <v>0</v>
      </c>
      <c r="Q528" t="n">
        <v>0</v>
      </c>
      <c r="R528" s="2" t="inlineStr"/>
    </row>
    <row r="529" ht="15" customHeight="1">
      <c r="A529" t="inlineStr">
        <is>
          <t>A 25866-2022</t>
        </is>
      </c>
      <c r="B529" s="1" t="n">
        <v>44733</v>
      </c>
      <c r="C529" s="1" t="n">
        <v>45885</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15001-2025</t>
        </is>
      </c>
      <c r="B530" s="1" t="n">
        <v>45743</v>
      </c>
      <c r="C530" s="1" t="n">
        <v>45885</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43229-2023</t>
        </is>
      </c>
      <c r="B531" s="1" t="n">
        <v>45183.46704861111</v>
      </c>
      <c r="C531" s="1" t="n">
        <v>45885</v>
      </c>
      <c r="D531" t="inlineStr">
        <is>
          <t>GOTLANDS LÄN</t>
        </is>
      </c>
      <c r="E531" t="inlineStr">
        <is>
          <t>GOTLAND</t>
        </is>
      </c>
      <c r="G531" t="n">
        <v>7.1</v>
      </c>
      <c r="H531" t="n">
        <v>0</v>
      </c>
      <c r="I531" t="n">
        <v>0</v>
      </c>
      <c r="J531" t="n">
        <v>0</v>
      </c>
      <c r="K531" t="n">
        <v>0</v>
      </c>
      <c r="L531" t="n">
        <v>0</v>
      </c>
      <c r="M531" t="n">
        <v>0</v>
      </c>
      <c r="N531" t="n">
        <v>0</v>
      </c>
      <c r="O531" t="n">
        <v>0</v>
      </c>
      <c r="P531" t="n">
        <v>0</v>
      </c>
      <c r="Q531" t="n">
        <v>0</v>
      </c>
      <c r="R531" s="2" t="inlineStr"/>
    </row>
    <row r="532" ht="15" customHeight="1">
      <c r="A532" t="inlineStr">
        <is>
          <t>A 1175-2025</t>
        </is>
      </c>
      <c r="B532" s="1" t="n">
        <v>45667.34449074074</v>
      </c>
      <c r="C532" s="1" t="n">
        <v>45885</v>
      </c>
      <c r="D532" t="inlineStr">
        <is>
          <t>GOTLANDS LÄN</t>
        </is>
      </c>
      <c r="E532" t="inlineStr">
        <is>
          <t>GOTLAND</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4990-2025</t>
        </is>
      </c>
      <c r="B533" s="1" t="n">
        <v>45691</v>
      </c>
      <c r="C533" s="1" t="n">
        <v>45885</v>
      </c>
      <c r="D533" t="inlineStr">
        <is>
          <t>GOTLANDS LÄN</t>
        </is>
      </c>
      <c r="E533" t="inlineStr">
        <is>
          <t>GOTLAND</t>
        </is>
      </c>
      <c r="G533" t="n">
        <v>7.7</v>
      </c>
      <c r="H533" t="n">
        <v>0</v>
      </c>
      <c r="I533" t="n">
        <v>0</v>
      </c>
      <c r="J533" t="n">
        <v>0</v>
      </c>
      <c r="K533" t="n">
        <v>0</v>
      </c>
      <c r="L533" t="n">
        <v>0</v>
      </c>
      <c r="M533" t="n">
        <v>0</v>
      </c>
      <c r="N533" t="n">
        <v>0</v>
      </c>
      <c r="O533" t="n">
        <v>0</v>
      </c>
      <c r="P533" t="n">
        <v>0</v>
      </c>
      <c r="Q533" t="n">
        <v>0</v>
      </c>
      <c r="R533" s="2" t="inlineStr"/>
    </row>
    <row r="534" ht="15" customHeight="1">
      <c r="A534" t="inlineStr">
        <is>
          <t>A 27095-2022</t>
        </is>
      </c>
      <c r="B534" s="1" t="n">
        <v>44741</v>
      </c>
      <c r="C534" s="1" t="n">
        <v>45885</v>
      </c>
      <c r="D534" t="inlineStr">
        <is>
          <t>GOTLANDS LÄN</t>
        </is>
      </c>
      <c r="E534" t="inlineStr">
        <is>
          <t>GOTLAND</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45885</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23978-2023</t>
        </is>
      </c>
      <c r="B536" s="1" t="n">
        <v>45078</v>
      </c>
      <c r="C536" s="1" t="n">
        <v>45885</v>
      </c>
      <c r="D536" t="inlineStr">
        <is>
          <t>GOTLANDS LÄN</t>
        </is>
      </c>
      <c r="E536" t="inlineStr">
        <is>
          <t>GOTLAND</t>
        </is>
      </c>
      <c r="F536" t="inlineStr">
        <is>
          <t>Naturvårdsverket</t>
        </is>
      </c>
      <c r="G536" t="n">
        <v>1.7</v>
      </c>
      <c r="H536" t="n">
        <v>0</v>
      </c>
      <c r="I536" t="n">
        <v>0</v>
      </c>
      <c r="J536" t="n">
        <v>0</v>
      </c>
      <c r="K536" t="n">
        <v>0</v>
      </c>
      <c r="L536" t="n">
        <v>0</v>
      </c>
      <c r="M536" t="n">
        <v>0</v>
      </c>
      <c r="N536" t="n">
        <v>0</v>
      </c>
      <c r="O536" t="n">
        <v>0</v>
      </c>
      <c r="P536" t="n">
        <v>0</v>
      </c>
      <c r="Q536" t="n">
        <v>0</v>
      </c>
      <c r="R536" s="2" t="inlineStr"/>
    </row>
    <row r="537" ht="15" customHeight="1">
      <c r="A537" t="inlineStr">
        <is>
          <t>A 34407-2023</t>
        </is>
      </c>
      <c r="B537" s="1" t="n">
        <v>45132</v>
      </c>
      <c r="C537" s="1" t="n">
        <v>45885</v>
      </c>
      <c r="D537" t="inlineStr">
        <is>
          <t>GOTLANDS LÄN</t>
        </is>
      </c>
      <c r="E537" t="inlineStr">
        <is>
          <t>GOTLAND</t>
        </is>
      </c>
      <c r="G537" t="n">
        <v>4.4</v>
      </c>
      <c r="H537" t="n">
        <v>0</v>
      </c>
      <c r="I537" t="n">
        <v>0</v>
      </c>
      <c r="J537" t="n">
        <v>0</v>
      </c>
      <c r="K537" t="n">
        <v>0</v>
      </c>
      <c r="L537" t="n">
        <v>0</v>
      </c>
      <c r="M537" t="n">
        <v>0</v>
      </c>
      <c r="N537" t="n">
        <v>0</v>
      </c>
      <c r="O537" t="n">
        <v>0</v>
      </c>
      <c r="P537" t="n">
        <v>0</v>
      </c>
      <c r="Q537" t="n">
        <v>0</v>
      </c>
      <c r="R537" s="2" t="inlineStr"/>
    </row>
    <row r="538" ht="15" customHeight="1">
      <c r="A538" t="inlineStr">
        <is>
          <t>A 11013-2024</t>
        </is>
      </c>
      <c r="B538" s="1" t="n">
        <v>45370</v>
      </c>
      <c r="C538" s="1" t="n">
        <v>45885</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27694-2024</t>
        </is>
      </c>
      <c r="B539" s="1" t="n">
        <v>45475</v>
      </c>
      <c r="C539" s="1" t="n">
        <v>45885</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15083-2025</t>
        </is>
      </c>
      <c r="B540" s="1" t="n">
        <v>45743</v>
      </c>
      <c r="C540" s="1" t="n">
        <v>45885</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43081-2022</t>
        </is>
      </c>
      <c r="B541" s="1" t="n">
        <v>44833</v>
      </c>
      <c r="C541" s="1" t="n">
        <v>45885</v>
      </c>
      <c r="D541" t="inlineStr">
        <is>
          <t>GOTLANDS LÄN</t>
        </is>
      </c>
      <c r="E541" t="inlineStr">
        <is>
          <t>GOTLAND</t>
        </is>
      </c>
      <c r="G541" t="n">
        <v>6.8</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45885</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13037-2025</t>
        </is>
      </c>
      <c r="B543" s="1" t="n">
        <v>45734</v>
      </c>
      <c r="C543" s="1" t="n">
        <v>45885</v>
      </c>
      <c r="D543" t="inlineStr">
        <is>
          <t>GOTLANDS LÄN</t>
        </is>
      </c>
      <c r="E543" t="inlineStr">
        <is>
          <t>GOTLAND</t>
        </is>
      </c>
      <c r="G543" t="n">
        <v>9.5</v>
      </c>
      <c r="H543" t="n">
        <v>0</v>
      </c>
      <c r="I543" t="n">
        <v>0</v>
      </c>
      <c r="J543" t="n">
        <v>0</v>
      </c>
      <c r="K543" t="n">
        <v>0</v>
      </c>
      <c r="L543" t="n">
        <v>0</v>
      </c>
      <c r="M543" t="n">
        <v>0</v>
      </c>
      <c r="N543" t="n">
        <v>0</v>
      </c>
      <c r="O543" t="n">
        <v>0</v>
      </c>
      <c r="P543" t="n">
        <v>0</v>
      </c>
      <c r="Q543" t="n">
        <v>0</v>
      </c>
      <c r="R543" s="2" t="inlineStr"/>
    </row>
    <row r="544" ht="15" customHeight="1">
      <c r="A544" t="inlineStr">
        <is>
          <t>A 5884-2025</t>
        </is>
      </c>
      <c r="B544" s="1" t="n">
        <v>45695.37482638889</v>
      </c>
      <c r="C544" s="1" t="n">
        <v>45885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5897-2025</t>
        </is>
      </c>
      <c r="B545" s="1" t="n">
        <v>45695.39273148148</v>
      </c>
      <c r="C545" s="1" t="n">
        <v>45885</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45885</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49693-2023</t>
        </is>
      </c>
      <c r="B547" s="1" t="n">
        <v>45212.38138888889</v>
      </c>
      <c r="C547" s="1" t="n">
        <v>45885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49697-2023</t>
        </is>
      </c>
      <c r="B548" s="1" t="n">
        <v>45212.38909722222</v>
      </c>
      <c r="C548" s="1" t="n">
        <v>45885</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44228-2022</t>
        </is>
      </c>
      <c r="B549" s="1" t="n">
        <v>44839.51599537037</v>
      </c>
      <c r="C549" s="1" t="n">
        <v>45885</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45885</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55334-2024</t>
        </is>
      </c>
      <c r="B551" s="1" t="n">
        <v>45621</v>
      </c>
      <c r="C551" s="1" t="n">
        <v>45885</v>
      </c>
      <c r="D551" t="inlineStr">
        <is>
          <t>GOTLANDS LÄN</t>
        </is>
      </c>
      <c r="E551" t="inlineStr">
        <is>
          <t>GOTLAND</t>
        </is>
      </c>
      <c r="G551" t="n">
        <v>21.7</v>
      </c>
      <c r="H551" t="n">
        <v>0</v>
      </c>
      <c r="I551" t="n">
        <v>0</v>
      </c>
      <c r="J551" t="n">
        <v>0</v>
      </c>
      <c r="K551" t="n">
        <v>0</v>
      </c>
      <c r="L551" t="n">
        <v>0</v>
      </c>
      <c r="M551" t="n">
        <v>0</v>
      </c>
      <c r="N551" t="n">
        <v>0</v>
      </c>
      <c r="O551" t="n">
        <v>0</v>
      </c>
      <c r="P551" t="n">
        <v>0</v>
      </c>
      <c r="Q551" t="n">
        <v>0</v>
      </c>
      <c r="R551" s="2" t="inlineStr"/>
    </row>
    <row r="552" ht="15" customHeight="1">
      <c r="A552" t="inlineStr">
        <is>
          <t>A 17901-2023</t>
        </is>
      </c>
      <c r="B552" s="1" t="n">
        <v>45039</v>
      </c>
      <c r="C552" s="1" t="n">
        <v>45885</v>
      </c>
      <c r="D552" t="inlineStr">
        <is>
          <t>GOTLANDS LÄN</t>
        </is>
      </c>
      <c r="E552" t="inlineStr">
        <is>
          <t>GOTLAND</t>
        </is>
      </c>
      <c r="F552" t="inlineStr">
        <is>
          <t>Kyrkan</t>
        </is>
      </c>
      <c r="G552" t="n">
        <v>0.6</v>
      </c>
      <c r="H552" t="n">
        <v>0</v>
      </c>
      <c r="I552" t="n">
        <v>0</v>
      </c>
      <c r="J552" t="n">
        <v>0</v>
      </c>
      <c r="K552" t="n">
        <v>0</v>
      </c>
      <c r="L552" t="n">
        <v>0</v>
      </c>
      <c r="M552" t="n">
        <v>0</v>
      </c>
      <c r="N552" t="n">
        <v>0</v>
      </c>
      <c r="O552" t="n">
        <v>0</v>
      </c>
      <c r="P552" t="n">
        <v>0</v>
      </c>
      <c r="Q552" t="n">
        <v>0</v>
      </c>
      <c r="R552" s="2" t="inlineStr"/>
    </row>
    <row r="553" ht="15" customHeight="1">
      <c r="A553" t="inlineStr">
        <is>
          <t>A 49884-2023</t>
        </is>
      </c>
      <c r="B553" s="1" t="n">
        <v>45213</v>
      </c>
      <c r="C553" s="1" t="n">
        <v>45885</v>
      </c>
      <c r="D553" t="inlineStr">
        <is>
          <t>GOTLANDS LÄN</t>
        </is>
      </c>
      <c r="E553" t="inlineStr">
        <is>
          <t>GOTLAND</t>
        </is>
      </c>
      <c r="G553" t="n">
        <v>8.9</v>
      </c>
      <c r="H553" t="n">
        <v>0</v>
      </c>
      <c r="I553" t="n">
        <v>0</v>
      </c>
      <c r="J553" t="n">
        <v>0</v>
      </c>
      <c r="K553" t="n">
        <v>0</v>
      </c>
      <c r="L553" t="n">
        <v>0</v>
      </c>
      <c r="M553" t="n">
        <v>0</v>
      </c>
      <c r="N553" t="n">
        <v>0</v>
      </c>
      <c r="O553" t="n">
        <v>0</v>
      </c>
      <c r="P553" t="n">
        <v>0</v>
      </c>
      <c r="Q553" t="n">
        <v>0</v>
      </c>
      <c r="R553" s="2" t="inlineStr"/>
    </row>
    <row r="554" ht="15" customHeight="1">
      <c r="A554" t="inlineStr">
        <is>
          <t>A 52892-2021</t>
        </is>
      </c>
      <c r="B554" s="1" t="n">
        <v>44467.49048611111</v>
      </c>
      <c r="C554" s="1" t="n">
        <v>45885</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17847-2025</t>
        </is>
      </c>
      <c r="B555" s="1" t="n">
        <v>45758</v>
      </c>
      <c r="C555" s="1" t="n">
        <v>45885</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1713-2025</t>
        </is>
      </c>
      <c r="B556" s="1" t="n">
        <v>45671.32342592593</v>
      </c>
      <c r="C556" s="1" t="n">
        <v>45885</v>
      </c>
      <c r="D556" t="inlineStr">
        <is>
          <t>GOTLANDS LÄN</t>
        </is>
      </c>
      <c r="E556" t="inlineStr">
        <is>
          <t>GOTLAND</t>
        </is>
      </c>
      <c r="G556" t="n">
        <v>10.1</v>
      </c>
      <c r="H556" t="n">
        <v>0</v>
      </c>
      <c r="I556" t="n">
        <v>0</v>
      </c>
      <c r="J556" t="n">
        <v>0</v>
      </c>
      <c r="K556" t="n">
        <v>0</v>
      </c>
      <c r="L556" t="n">
        <v>0</v>
      </c>
      <c r="M556" t="n">
        <v>0</v>
      </c>
      <c r="N556" t="n">
        <v>0</v>
      </c>
      <c r="O556" t="n">
        <v>0</v>
      </c>
      <c r="P556" t="n">
        <v>0</v>
      </c>
      <c r="Q556" t="n">
        <v>0</v>
      </c>
      <c r="R556" s="2" t="inlineStr"/>
    </row>
    <row r="557" ht="15" customHeight="1">
      <c r="A557" t="inlineStr">
        <is>
          <t>A 876-2024</t>
        </is>
      </c>
      <c r="B557" s="1" t="n">
        <v>45301</v>
      </c>
      <c r="C557" s="1" t="n">
        <v>45885</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46396-2023</t>
        </is>
      </c>
      <c r="B558" s="1" t="n">
        <v>45197</v>
      </c>
      <c r="C558" s="1" t="n">
        <v>45885</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6796-2025</t>
        </is>
      </c>
      <c r="B559" s="1" t="n">
        <v>45700.66559027778</v>
      </c>
      <c r="C559" s="1" t="n">
        <v>45885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22704-2023</t>
        </is>
      </c>
      <c r="B560" s="1" t="n">
        <v>45071</v>
      </c>
      <c r="C560" s="1" t="n">
        <v>45885</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28425-2023</t>
        </is>
      </c>
      <c r="B561" s="1" t="n">
        <v>45102</v>
      </c>
      <c r="C561" s="1" t="n">
        <v>45885</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17724-2024</t>
        </is>
      </c>
      <c r="B562" s="1" t="n">
        <v>45418.55096064815</v>
      </c>
      <c r="C562" s="1" t="n">
        <v>45885</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58476-2022</t>
        </is>
      </c>
      <c r="B563" s="1" t="n">
        <v>44902</v>
      </c>
      <c r="C563" s="1" t="n">
        <v>45885</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34312-2024</t>
        </is>
      </c>
      <c r="B564" s="1" t="n">
        <v>45524.69703703704</v>
      </c>
      <c r="C564" s="1" t="n">
        <v>45885</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43200-2023</t>
        </is>
      </c>
      <c r="B565" s="1" t="n">
        <v>45183</v>
      </c>
      <c r="C565" s="1" t="n">
        <v>45885</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43223-2023</t>
        </is>
      </c>
      <c r="B566" s="1" t="n">
        <v>45183.45642361111</v>
      </c>
      <c r="C566" s="1" t="n">
        <v>45885</v>
      </c>
      <c r="D566" t="inlineStr">
        <is>
          <t>GOTLANDS LÄN</t>
        </is>
      </c>
      <c r="E566" t="inlineStr">
        <is>
          <t>GOTLAND</t>
        </is>
      </c>
      <c r="G566" t="n">
        <v>1.8</v>
      </c>
      <c r="H566" t="n">
        <v>0</v>
      </c>
      <c r="I566" t="n">
        <v>0</v>
      </c>
      <c r="J566" t="n">
        <v>0</v>
      </c>
      <c r="K566" t="n">
        <v>0</v>
      </c>
      <c r="L566" t="n">
        <v>0</v>
      </c>
      <c r="M566" t="n">
        <v>0</v>
      </c>
      <c r="N566" t="n">
        <v>0</v>
      </c>
      <c r="O566" t="n">
        <v>0</v>
      </c>
      <c r="P566" t="n">
        <v>0</v>
      </c>
      <c r="Q566" t="n">
        <v>0</v>
      </c>
      <c r="R566" s="2" t="inlineStr"/>
    </row>
    <row r="567" ht="15" customHeight="1">
      <c r="A567" t="inlineStr">
        <is>
          <t>A 12327-2025</t>
        </is>
      </c>
      <c r="B567" s="1" t="n">
        <v>45730</v>
      </c>
      <c r="C567" s="1" t="n">
        <v>45885</v>
      </c>
      <c r="D567" t="inlineStr">
        <is>
          <t>GOTLANDS LÄN</t>
        </is>
      </c>
      <c r="E567" t="inlineStr">
        <is>
          <t>GOTLAND</t>
        </is>
      </c>
      <c r="G567" t="n">
        <v>1.8</v>
      </c>
      <c r="H567" t="n">
        <v>0</v>
      </c>
      <c r="I567" t="n">
        <v>0</v>
      </c>
      <c r="J567" t="n">
        <v>0</v>
      </c>
      <c r="K567" t="n">
        <v>0</v>
      </c>
      <c r="L567" t="n">
        <v>0</v>
      </c>
      <c r="M567" t="n">
        <v>0</v>
      </c>
      <c r="N567" t="n">
        <v>0</v>
      </c>
      <c r="O567" t="n">
        <v>0</v>
      </c>
      <c r="P567" t="n">
        <v>0</v>
      </c>
      <c r="Q567" t="n">
        <v>0</v>
      </c>
      <c r="R567" s="2" t="inlineStr"/>
    </row>
    <row r="568" ht="15" customHeight="1">
      <c r="A568" t="inlineStr">
        <is>
          <t>A 3431-2025</t>
        </is>
      </c>
      <c r="B568" s="1" t="n">
        <v>45680.42935185185</v>
      </c>
      <c r="C568" s="1" t="n">
        <v>45885</v>
      </c>
      <c r="D568" t="inlineStr">
        <is>
          <t>GOTLANDS LÄN</t>
        </is>
      </c>
      <c r="E568" t="inlineStr">
        <is>
          <t>GOTLAND</t>
        </is>
      </c>
      <c r="G568" t="n">
        <v>4.8</v>
      </c>
      <c r="H568" t="n">
        <v>0</v>
      </c>
      <c r="I568" t="n">
        <v>0</v>
      </c>
      <c r="J568" t="n">
        <v>0</v>
      </c>
      <c r="K568" t="n">
        <v>0</v>
      </c>
      <c r="L568" t="n">
        <v>0</v>
      </c>
      <c r="M568" t="n">
        <v>0</v>
      </c>
      <c r="N568" t="n">
        <v>0</v>
      </c>
      <c r="O568" t="n">
        <v>0</v>
      </c>
      <c r="P568" t="n">
        <v>0</v>
      </c>
      <c r="Q568" t="n">
        <v>0</v>
      </c>
      <c r="R568" s="2" t="inlineStr"/>
    </row>
    <row r="569" ht="15" customHeight="1">
      <c r="A569" t="inlineStr">
        <is>
          <t>A 15216-2025</t>
        </is>
      </c>
      <c r="B569" s="1" t="n">
        <v>45744</v>
      </c>
      <c r="C569" s="1" t="n">
        <v>45885</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6153-2024</t>
        </is>
      </c>
      <c r="B570" s="1" t="n">
        <v>45337</v>
      </c>
      <c r="C570" s="1" t="n">
        <v>45885</v>
      </c>
      <c r="D570" t="inlineStr">
        <is>
          <t>GOTLANDS LÄN</t>
        </is>
      </c>
      <c r="E570" t="inlineStr">
        <is>
          <t>GOTLAND</t>
        </is>
      </c>
      <c r="G570" t="n">
        <v>14.2</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45885</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45885</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45885</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69112-2021</t>
        </is>
      </c>
      <c r="B574" s="1" t="n">
        <v>44530</v>
      </c>
      <c r="C574" s="1" t="n">
        <v>45885</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15042-2025</t>
        </is>
      </c>
      <c r="B575" s="1" t="n">
        <v>45743</v>
      </c>
      <c r="C575" s="1" t="n">
        <v>45885</v>
      </c>
      <c r="D575" t="inlineStr">
        <is>
          <t>GOTLANDS LÄN</t>
        </is>
      </c>
      <c r="E575" t="inlineStr">
        <is>
          <t>GOTLAND</t>
        </is>
      </c>
      <c r="G575" t="n">
        <v>8.5</v>
      </c>
      <c r="H575" t="n">
        <v>0</v>
      </c>
      <c r="I575" t="n">
        <v>0</v>
      </c>
      <c r="J575" t="n">
        <v>0</v>
      </c>
      <c r="K575" t="n">
        <v>0</v>
      </c>
      <c r="L575" t="n">
        <v>0</v>
      </c>
      <c r="M575" t="n">
        <v>0</v>
      </c>
      <c r="N575" t="n">
        <v>0</v>
      </c>
      <c r="O575" t="n">
        <v>0</v>
      </c>
      <c r="P575" t="n">
        <v>0</v>
      </c>
      <c r="Q575" t="n">
        <v>0</v>
      </c>
      <c r="R575" s="2" t="inlineStr"/>
    </row>
    <row r="576" ht="15" customHeight="1">
      <c r="A576" t="inlineStr">
        <is>
          <t>A 7638-2025</t>
        </is>
      </c>
      <c r="B576" s="1" t="n">
        <v>45705.77306712963</v>
      </c>
      <c r="C576" s="1" t="n">
        <v>45885</v>
      </c>
      <c r="D576" t="inlineStr">
        <is>
          <t>GOTLANDS LÄN</t>
        </is>
      </c>
      <c r="E576" t="inlineStr">
        <is>
          <t>GOTLAND</t>
        </is>
      </c>
      <c r="G576" t="n">
        <v>2.2</v>
      </c>
      <c r="H576" t="n">
        <v>0</v>
      </c>
      <c r="I576" t="n">
        <v>0</v>
      </c>
      <c r="J576" t="n">
        <v>0</v>
      </c>
      <c r="K576" t="n">
        <v>0</v>
      </c>
      <c r="L576" t="n">
        <v>0</v>
      </c>
      <c r="M576" t="n">
        <v>0</v>
      </c>
      <c r="N576" t="n">
        <v>0</v>
      </c>
      <c r="O576" t="n">
        <v>0</v>
      </c>
      <c r="P576" t="n">
        <v>0</v>
      </c>
      <c r="Q576" t="n">
        <v>0</v>
      </c>
      <c r="R576" s="2" t="inlineStr"/>
    </row>
    <row r="577" ht="15" customHeight="1">
      <c r="A577" t="inlineStr">
        <is>
          <t>A 50482-2024</t>
        </is>
      </c>
      <c r="B577" s="1" t="n">
        <v>45601.48114583334</v>
      </c>
      <c r="C577" s="1" t="n">
        <v>45885</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2180-2025</t>
        </is>
      </c>
      <c r="B578" s="1" t="n">
        <v>45673</v>
      </c>
      <c r="C578" s="1" t="n">
        <v>45885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15436-2025</t>
        </is>
      </c>
      <c r="B579" s="1" t="n">
        <v>45747.47462962963</v>
      </c>
      <c r="C579" s="1" t="n">
        <v>45885</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44936.72997685185</v>
      </c>
      <c r="C580" s="1" t="n">
        <v>45885</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10652-2025</t>
        </is>
      </c>
      <c r="B581" s="1" t="n">
        <v>45721.68640046296</v>
      </c>
      <c r="C581" s="1" t="n">
        <v>45885</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49257-2024</t>
        </is>
      </c>
      <c r="B582" s="1" t="n">
        <v>45595.47627314815</v>
      </c>
      <c r="C582" s="1" t="n">
        <v>45885</v>
      </c>
      <c r="D582" t="inlineStr">
        <is>
          <t>GOTLANDS LÄN</t>
        </is>
      </c>
      <c r="E582" t="inlineStr">
        <is>
          <t>GOTLAND</t>
        </is>
      </c>
      <c r="G582" t="n">
        <v>6.3</v>
      </c>
      <c r="H582" t="n">
        <v>0</v>
      </c>
      <c r="I582" t="n">
        <v>0</v>
      </c>
      <c r="J582" t="n">
        <v>0</v>
      </c>
      <c r="K582" t="n">
        <v>0</v>
      </c>
      <c r="L582" t="n">
        <v>0</v>
      </c>
      <c r="M582" t="n">
        <v>0</v>
      </c>
      <c r="N582" t="n">
        <v>0</v>
      </c>
      <c r="O582" t="n">
        <v>0</v>
      </c>
      <c r="P582" t="n">
        <v>0</v>
      </c>
      <c r="Q582" t="n">
        <v>0</v>
      </c>
      <c r="R582" s="2" t="inlineStr"/>
    </row>
    <row r="583" ht="15" customHeight="1">
      <c r="A583" t="inlineStr">
        <is>
          <t>A 58230-2024</t>
        </is>
      </c>
      <c r="B583" s="1" t="n">
        <v>45632.51625</v>
      </c>
      <c r="C583" s="1" t="n">
        <v>45885</v>
      </c>
      <c r="D583" t="inlineStr">
        <is>
          <t>GOTLANDS LÄN</t>
        </is>
      </c>
      <c r="E583" t="inlineStr">
        <is>
          <t>GOTLAND</t>
        </is>
      </c>
      <c r="G583" t="n">
        <v>7.3</v>
      </c>
      <c r="H583" t="n">
        <v>0</v>
      </c>
      <c r="I583" t="n">
        <v>0</v>
      </c>
      <c r="J583" t="n">
        <v>0</v>
      </c>
      <c r="K583" t="n">
        <v>0</v>
      </c>
      <c r="L583" t="n">
        <v>0</v>
      </c>
      <c r="M583" t="n">
        <v>0</v>
      </c>
      <c r="N583" t="n">
        <v>0</v>
      </c>
      <c r="O583" t="n">
        <v>0</v>
      </c>
      <c r="P583" t="n">
        <v>0</v>
      </c>
      <c r="Q583" t="n">
        <v>0</v>
      </c>
      <c r="R583" s="2" t="inlineStr"/>
    </row>
    <row r="584" ht="15" customHeight="1">
      <c r="A584" t="inlineStr">
        <is>
          <t>A 1462-2025</t>
        </is>
      </c>
      <c r="B584" s="1" t="n">
        <v>45670.36319444444</v>
      </c>
      <c r="C584" s="1" t="n">
        <v>45885</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37202-2024</t>
        </is>
      </c>
      <c r="B585" s="1" t="n">
        <v>45539.67310185185</v>
      </c>
      <c r="C585" s="1" t="n">
        <v>45885</v>
      </c>
      <c r="D585" t="inlineStr">
        <is>
          <t>GOTLANDS LÄN</t>
        </is>
      </c>
      <c r="E585" t="inlineStr">
        <is>
          <t>GOTLAND</t>
        </is>
      </c>
      <c r="G585" t="n">
        <v>0.3</v>
      </c>
      <c r="H585" t="n">
        <v>0</v>
      </c>
      <c r="I585" t="n">
        <v>0</v>
      </c>
      <c r="J585" t="n">
        <v>0</v>
      </c>
      <c r="K585" t="n">
        <v>0</v>
      </c>
      <c r="L585" t="n">
        <v>0</v>
      </c>
      <c r="M585" t="n">
        <v>0</v>
      </c>
      <c r="N585" t="n">
        <v>0</v>
      </c>
      <c r="O585" t="n">
        <v>0</v>
      </c>
      <c r="P585" t="n">
        <v>0</v>
      </c>
      <c r="Q585" t="n">
        <v>0</v>
      </c>
      <c r="R585" s="2" t="inlineStr"/>
    </row>
    <row r="586" ht="15" customHeight="1">
      <c r="A586" t="inlineStr">
        <is>
          <t>A 56115-2023</t>
        </is>
      </c>
      <c r="B586" s="1" t="n">
        <v>45236</v>
      </c>
      <c r="C586" s="1" t="n">
        <v>45885</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25129-2023</t>
        </is>
      </c>
      <c r="B587" s="1" t="n">
        <v>45086.44261574074</v>
      </c>
      <c r="C587" s="1" t="n">
        <v>45885</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17343-2025</t>
        </is>
      </c>
      <c r="B588" s="1" t="n">
        <v>45756.6687037037</v>
      </c>
      <c r="C588" s="1" t="n">
        <v>45885</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24192-2023</t>
        </is>
      </c>
      <c r="B589" s="1" t="n">
        <v>45079</v>
      </c>
      <c r="C589" s="1" t="n">
        <v>45885</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18914-2025</t>
        </is>
      </c>
      <c r="B590" s="1" t="n">
        <v>45764.46783564815</v>
      </c>
      <c r="C590" s="1" t="n">
        <v>45885</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45885</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45885</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44968.30340277778</v>
      </c>
      <c r="C593" s="1" t="n">
        <v>45885</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20855-2023</t>
        </is>
      </c>
      <c r="B594" s="1" t="n">
        <v>45058.82172453704</v>
      </c>
      <c r="C594" s="1" t="n">
        <v>45885</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2774-2024</t>
        </is>
      </c>
      <c r="B595" s="1" t="n">
        <v>45314.62375</v>
      </c>
      <c r="C595" s="1" t="n">
        <v>45885</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45885</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1000-2024</t>
        </is>
      </c>
      <c r="B597" s="1" t="n">
        <v>45301.63371527778</v>
      </c>
      <c r="C597" s="1" t="n">
        <v>45885</v>
      </c>
      <c r="D597" t="inlineStr">
        <is>
          <t>GOTLANDS LÄN</t>
        </is>
      </c>
      <c r="E597" t="inlineStr">
        <is>
          <t>GOTLAND</t>
        </is>
      </c>
      <c r="G597" t="n">
        <v>1</v>
      </c>
      <c r="H597" t="n">
        <v>0</v>
      </c>
      <c r="I597" t="n">
        <v>0</v>
      </c>
      <c r="J597" t="n">
        <v>0</v>
      </c>
      <c r="K597" t="n">
        <v>0</v>
      </c>
      <c r="L597" t="n">
        <v>0</v>
      </c>
      <c r="M597" t="n">
        <v>0</v>
      </c>
      <c r="N597" t="n">
        <v>0</v>
      </c>
      <c r="O597" t="n">
        <v>0</v>
      </c>
      <c r="P597" t="n">
        <v>0</v>
      </c>
      <c r="Q597" t="n">
        <v>0</v>
      </c>
      <c r="R597" s="2" t="inlineStr"/>
    </row>
    <row r="598" ht="15" customHeight="1">
      <c r="A598" t="inlineStr">
        <is>
          <t>A 1010-2024</t>
        </is>
      </c>
      <c r="B598" s="1" t="n">
        <v>45301</v>
      </c>
      <c r="C598" s="1" t="n">
        <v>45885</v>
      </c>
      <c r="D598" t="inlineStr">
        <is>
          <t>GOTLANDS LÄN</t>
        </is>
      </c>
      <c r="E598" t="inlineStr">
        <is>
          <t>GOTLAND</t>
        </is>
      </c>
      <c r="G598" t="n">
        <v>2.4</v>
      </c>
      <c r="H598" t="n">
        <v>0</v>
      </c>
      <c r="I598" t="n">
        <v>0</v>
      </c>
      <c r="J598" t="n">
        <v>0</v>
      </c>
      <c r="K598" t="n">
        <v>0</v>
      </c>
      <c r="L598" t="n">
        <v>0</v>
      </c>
      <c r="M598" t="n">
        <v>0</v>
      </c>
      <c r="N598" t="n">
        <v>0</v>
      </c>
      <c r="O598" t="n">
        <v>0</v>
      </c>
      <c r="P598" t="n">
        <v>0</v>
      </c>
      <c r="Q598" t="n">
        <v>0</v>
      </c>
      <c r="R598" s="2" t="inlineStr"/>
    </row>
    <row r="599" ht="15" customHeight="1">
      <c r="A599" t="inlineStr">
        <is>
          <t>A 60709-2023</t>
        </is>
      </c>
      <c r="B599" s="1" t="n">
        <v>45260</v>
      </c>
      <c r="C599" s="1" t="n">
        <v>45885</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64208-2021</t>
        </is>
      </c>
      <c r="B600" s="1" t="n">
        <v>44510</v>
      </c>
      <c r="C600" s="1" t="n">
        <v>45885</v>
      </c>
      <c r="D600" t="inlineStr">
        <is>
          <t>GOTLANDS LÄN</t>
        </is>
      </c>
      <c r="E600" t="inlineStr">
        <is>
          <t>GOTLAND</t>
        </is>
      </c>
      <c r="G600" t="n">
        <v>4.7</v>
      </c>
      <c r="H600" t="n">
        <v>0</v>
      </c>
      <c r="I600" t="n">
        <v>0</v>
      </c>
      <c r="J600" t="n">
        <v>0</v>
      </c>
      <c r="K600" t="n">
        <v>0</v>
      </c>
      <c r="L600" t="n">
        <v>0</v>
      </c>
      <c r="M600" t="n">
        <v>0</v>
      </c>
      <c r="N600" t="n">
        <v>0</v>
      </c>
      <c r="O600" t="n">
        <v>0</v>
      </c>
      <c r="P600" t="n">
        <v>0</v>
      </c>
      <c r="Q600" t="n">
        <v>0</v>
      </c>
      <c r="R600" s="2" t="inlineStr"/>
    </row>
    <row r="601" ht="15" customHeight="1">
      <c r="A601" t="inlineStr">
        <is>
          <t>A 39764-2022</t>
        </is>
      </c>
      <c r="B601" s="1" t="n">
        <v>44819</v>
      </c>
      <c r="C601" s="1" t="n">
        <v>45885</v>
      </c>
      <c r="D601" t="inlineStr">
        <is>
          <t>GOTLANDS LÄN</t>
        </is>
      </c>
      <c r="E601" t="inlineStr">
        <is>
          <t>GOTLAND</t>
        </is>
      </c>
      <c r="F601" t="inlineStr">
        <is>
          <t>Kyrkan</t>
        </is>
      </c>
      <c r="G601" t="n">
        <v>3.7</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45885</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30956-2024</t>
        </is>
      </c>
      <c r="B603" s="1" t="n">
        <v>45499.42527777778</v>
      </c>
      <c r="C603" s="1" t="n">
        <v>45885</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47762-2023</t>
        </is>
      </c>
      <c r="B604" s="1" t="n">
        <v>45203.86256944444</v>
      </c>
      <c r="C604" s="1" t="n">
        <v>45885</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45885</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45885</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45885</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c r="A608" t="inlineStr">
        <is>
          <t>A 7858-2025</t>
        </is>
      </c>
      <c r="B608" s="1" t="n">
        <v>45706.68633101852</v>
      </c>
      <c r="C608" s="1" t="n">
        <v>45885</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2025-08-16T08:29:54Z</dcterms:created>
  <dcterms:modified xmlns:dcterms="http://purl.org/dc/terms/" xmlns:xsi="http://www.w3.org/2001/XMLSchema-instance" xsi:type="dcterms:W3CDTF">2025-08-16T08:29:55Z</dcterms:modified>
</cp:coreProperties>
</file>