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45844</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45844</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45844</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45844</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45844</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45844</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45844</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45844</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45844</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45844</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45844</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45844</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45844</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45844</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45844</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45844</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45844</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45844</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45844</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45844</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45844</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45844</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45844</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45844</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45844</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45844</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45844</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45844</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45844</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45844</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45844</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45844</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45844</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45844</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45844</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45844</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45844</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45844</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45844</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45844</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45844</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45844</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45844</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17739-2024</t>
        </is>
      </c>
      <c r="B52" s="1" t="n">
        <v>45418</v>
      </c>
      <c r="C52" s="1" t="n">
        <v>45844</v>
      </c>
      <c r="D52" t="inlineStr">
        <is>
          <t>GOTLANDS LÄN</t>
        </is>
      </c>
      <c r="E52" t="inlineStr">
        <is>
          <t>GOTLAND</t>
        </is>
      </c>
      <c r="G52" t="n">
        <v>14.3</v>
      </c>
      <c r="H52" t="n">
        <v>3</v>
      </c>
      <c r="I52" t="n">
        <v>2</v>
      </c>
      <c r="J52" t="n">
        <v>6</v>
      </c>
      <c r="K52" t="n">
        <v>1</v>
      </c>
      <c r="L52" t="n">
        <v>0</v>
      </c>
      <c r="M52" t="n">
        <v>0</v>
      </c>
      <c r="N52" t="n">
        <v>0</v>
      </c>
      <c r="O52" t="n">
        <v>7</v>
      </c>
      <c r="P52" t="n">
        <v>1</v>
      </c>
      <c r="Q52" t="n">
        <v>10</v>
      </c>
      <c r="R52" s="2" t="inlineStr">
        <is>
          <t>Ljungsnärja
Axveronika
Backtimjan
Flentimotej
Havsörn
Jordtistel
Solvända
Blåmossa
Tvåblad
Blåsippa</t>
        </is>
      </c>
      <c r="S52">
        <f>HYPERLINK("https://klasma.github.io/Logging_0980/artfynd/A 17739-2024 artfynd.xlsx", "A 17739-2024")</f>
        <v/>
      </c>
      <c r="T52">
        <f>HYPERLINK("https://klasma.github.io/Logging_0980/kartor/A 17739-2024 karta.png", "A 17739-2024")</f>
        <v/>
      </c>
      <c r="V52">
        <f>HYPERLINK("https://klasma.github.io/Logging_0980/klagomål/A 17739-2024 FSC-klagomål.docx", "A 17739-2024")</f>
        <v/>
      </c>
      <c r="W52">
        <f>HYPERLINK("https://klasma.github.io/Logging_0980/klagomålsmail/A 17739-2024 FSC-klagomål mail.docx", "A 17739-2024")</f>
        <v/>
      </c>
      <c r="X52">
        <f>HYPERLINK("https://klasma.github.io/Logging_0980/tillsyn/A 17739-2024 tillsynsbegäran.docx", "A 17739-2024")</f>
        <v/>
      </c>
      <c r="Y52">
        <f>HYPERLINK("https://klasma.github.io/Logging_0980/tillsynsmail/A 17739-2024 tillsynsbegäran mail.docx", "A 17739-2024")</f>
        <v/>
      </c>
      <c r="Z52">
        <f>HYPERLINK("https://klasma.github.io/Logging_0980/fåglar/A 17739-2024 prioriterade fågelarter.docx", "A 17739-2024")</f>
        <v/>
      </c>
    </row>
    <row r="53" ht="15" customHeight="1">
      <c r="A53" t="inlineStr">
        <is>
          <t>A 17766-2024</t>
        </is>
      </c>
      <c r="B53" s="1" t="n">
        <v>45418</v>
      </c>
      <c r="C53" s="1" t="n">
        <v>45844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45844</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33153-2024</t>
        </is>
      </c>
      <c r="B55" s="1" t="n">
        <v>45518</v>
      </c>
      <c r="C55" s="1" t="n">
        <v>45844</v>
      </c>
      <c r="D55" t="inlineStr">
        <is>
          <t>GOTLANDS LÄN</t>
        </is>
      </c>
      <c r="E55" t="inlineStr">
        <is>
          <t>GOTLAND</t>
        </is>
      </c>
      <c r="G55" t="n">
        <v>10.3</v>
      </c>
      <c r="H55" t="n">
        <v>2</v>
      </c>
      <c r="I55" t="n">
        <v>7</v>
      </c>
      <c r="J55" t="n">
        <v>3</v>
      </c>
      <c r="K55" t="n">
        <v>0</v>
      </c>
      <c r="L55" t="n">
        <v>0</v>
      </c>
      <c r="M55" t="n">
        <v>0</v>
      </c>
      <c r="N55" t="n">
        <v>0</v>
      </c>
      <c r="O55" t="n">
        <v>3</v>
      </c>
      <c r="P55" t="n">
        <v>0</v>
      </c>
      <c r="Q55" t="n">
        <v>10</v>
      </c>
      <c r="R55" s="2" t="inlineStr">
        <is>
          <t>Jordtistel
Odörspindling
Svart taggsvamp
Rödgul trumpetsvamp
Skogsknipprot
Strimspindling
Strävlosta
Svavelriska
Vit skogslilja
Zontaggsvamp</t>
        </is>
      </c>
      <c r="S55">
        <f>HYPERLINK("https://klasma.github.io/Logging_0980/artfynd/A 33153-2024 artfynd.xlsx", "A 33153-2024")</f>
        <v/>
      </c>
      <c r="T55">
        <f>HYPERLINK("https://klasma.github.io/Logging_0980/kartor/A 33153-2024 karta.png", "A 33153-2024")</f>
        <v/>
      </c>
      <c r="U55">
        <f>HYPERLINK("https://klasma.github.io/Logging_0980/knärot/A 33153-2024 karta knärot.png", "A 33153-2024")</f>
        <v/>
      </c>
      <c r="V55">
        <f>HYPERLINK("https://klasma.github.io/Logging_0980/klagomål/A 33153-2024 FSC-klagomål.docx", "A 33153-2024")</f>
        <v/>
      </c>
      <c r="W55">
        <f>HYPERLINK("https://klasma.github.io/Logging_0980/klagomålsmail/A 33153-2024 FSC-klagomål mail.docx", "A 33153-2024")</f>
        <v/>
      </c>
      <c r="X55">
        <f>HYPERLINK("https://klasma.github.io/Logging_0980/tillsyn/A 33153-2024 tillsynsbegäran.docx", "A 33153-2024")</f>
        <v/>
      </c>
      <c r="Y55">
        <f>HYPERLINK("https://klasma.github.io/Logging_0980/tillsynsmail/A 33153-2024 tillsynsbegäran mail.docx", "A 33153-2024")</f>
        <v/>
      </c>
    </row>
    <row r="56" ht="15" customHeight="1">
      <c r="A56" t="inlineStr">
        <is>
          <t>A 49418-2024</t>
        </is>
      </c>
      <c r="B56" s="1" t="n">
        <v>45595</v>
      </c>
      <c r="C56" s="1" t="n">
        <v>45844</v>
      </c>
      <c r="D56" t="inlineStr">
        <is>
          <t>GOTLANDS LÄN</t>
        </is>
      </c>
      <c r="E56" t="inlineStr">
        <is>
          <t>GOTLAND</t>
        </is>
      </c>
      <c r="G56" t="n">
        <v>39.8</v>
      </c>
      <c r="H56" t="n">
        <v>6</v>
      </c>
      <c r="I56" t="n">
        <v>2</v>
      </c>
      <c r="J56" t="n">
        <v>3</v>
      </c>
      <c r="K56" t="n">
        <v>0</v>
      </c>
      <c r="L56" t="n">
        <v>1</v>
      </c>
      <c r="M56" t="n">
        <v>0</v>
      </c>
      <c r="N56" t="n">
        <v>0</v>
      </c>
      <c r="O56" t="n">
        <v>4</v>
      </c>
      <c r="P56" t="n">
        <v>1</v>
      </c>
      <c r="Q56" t="n">
        <v>10</v>
      </c>
      <c r="R56" s="2" t="inlineStr">
        <is>
          <t>Ängshök
Majviva
Svinrot
Ängsstarr
Axag
Skogsknipprot
Brudsporre
Dactylorhiza incarnata subsp. incarnata
Kärrknipprot
Ängsnycklar</t>
        </is>
      </c>
      <c r="S56">
        <f>HYPERLINK("https://klasma.github.io/Logging_0980/artfynd/A 49418-2024 artfynd.xlsx", "A 49418-2024")</f>
        <v/>
      </c>
      <c r="T56">
        <f>HYPERLINK("https://klasma.github.io/Logging_0980/kartor/A 49418-2024 karta.png", "A 49418-2024")</f>
        <v/>
      </c>
      <c r="V56">
        <f>HYPERLINK("https://klasma.github.io/Logging_0980/klagomål/A 49418-2024 FSC-klagomål.docx", "A 49418-2024")</f>
        <v/>
      </c>
      <c r="W56">
        <f>HYPERLINK("https://klasma.github.io/Logging_0980/klagomålsmail/A 49418-2024 FSC-klagomål mail.docx", "A 49418-2024")</f>
        <v/>
      </c>
      <c r="X56">
        <f>HYPERLINK("https://klasma.github.io/Logging_0980/tillsyn/A 49418-2024 tillsynsbegäran.docx", "A 49418-2024")</f>
        <v/>
      </c>
      <c r="Y56">
        <f>HYPERLINK("https://klasma.github.io/Logging_0980/tillsynsmail/A 49418-2024 tillsynsbegäran mail.docx", "A 49418-2024")</f>
        <v/>
      </c>
    </row>
    <row r="57" ht="15" customHeight="1">
      <c r="A57" t="inlineStr">
        <is>
          <t>A 1719-2025</t>
        </is>
      </c>
      <c r="B57" s="1" t="n">
        <v>45671</v>
      </c>
      <c r="C57" s="1" t="n">
        <v>45844</v>
      </c>
      <c r="D57" t="inlineStr">
        <is>
          <t>GOTLANDS LÄN</t>
        </is>
      </c>
      <c r="E57" t="inlineStr">
        <is>
          <t>GOTLAND</t>
        </is>
      </c>
      <c r="G57" t="n">
        <v>6</v>
      </c>
      <c r="H57" t="n">
        <v>3</v>
      </c>
      <c r="I57" t="n">
        <v>2</v>
      </c>
      <c r="J57" t="n">
        <v>3</v>
      </c>
      <c r="K57" t="n">
        <v>3</v>
      </c>
      <c r="L57" t="n">
        <v>1</v>
      </c>
      <c r="M57" t="n">
        <v>0</v>
      </c>
      <c r="N57" t="n">
        <v>0</v>
      </c>
      <c r="O57" t="n">
        <v>7</v>
      </c>
      <c r="P57" t="n">
        <v>4</v>
      </c>
      <c r="Q57" t="n">
        <v>10</v>
      </c>
      <c r="R57" s="2" t="inlineStr">
        <is>
          <t>Ask
Gulsträngad fagerspindling
Skogskorn
Vit taggsvamp
Backtimjan
Doftskinn
Spillkråka
Besk kastanjemusseron
Skogsknipprot
Blåsippa</t>
        </is>
      </c>
      <c r="S57">
        <f>HYPERLINK("https://klasma.github.io/Logging_0980/artfynd/A 1719-2025 artfynd.xlsx", "A 1719-2025")</f>
        <v/>
      </c>
      <c r="T57">
        <f>HYPERLINK("https://klasma.github.io/Logging_0980/kartor/A 1719-2025 karta.png", "A 1719-2025")</f>
        <v/>
      </c>
      <c r="V57">
        <f>HYPERLINK("https://klasma.github.io/Logging_0980/klagomål/A 1719-2025 FSC-klagomål.docx", "A 1719-2025")</f>
        <v/>
      </c>
      <c r="W57">
        <f>HYPERLINK("https://klasma.github.io/Logging_0980/klagomålsmail/A 1719-2025 FSC-klagomål mail.docx", "A 1719-2025")</f>
        <v/>
      </c>
      <c r="X57">
        <f>HYPERLINK("https://klasma.github.io/Logging_0980/tillsyn/A 1719-2025 tillsynsbegäran.docx", "A 1719-2025")</f>
        <v/>
      </c>
      <c r="Y57">
        <f>HYPERLINK("https://klasma.github.io/Logging_0980/tillsynsmail/A 1719-2025 tillsynsbegäran mail.docx", "A 1719-2025")</f>
        <v/>
      </c>
      <c r="Z57">
        <f>HYPERLINK("https://klasma.github.io/Logging_0980/fåglar/A 1719-2025 prioriterade fågelarter.docx", "A 1719-2025")</f>
        <v/>
      </c>
    </row>
    <row r="58" ht="15" customHeight="1">
      <c r="A58" t="inlineStr">
        <is>
          <t>A 8915-2023</t>
        </is>
      </c>
      <c r="B58" s="1" t="n">
        <v>44973</v>
      </c>
      <c r="C58" s="1" t="n">
        <v>45844</v>
      </c>
      <c r="D58" t="inlineStr">
        <is>
          <t>GOTLANDS LÄN</t>
        </is>
      </c>
      <c r="E58" t="inlineStr">
        <is>
          <t>GOTLAND</t>
        </is>
      </c>
      <c r="G58" t="n">
        <v>3.3</v>
      </c>
      <c r="H58" t="n">
        <v>0</v>
      </c>
      <c r="I58" t="n">
        <v>3</v>
      </c>
      <c r="J58" t="n">
        <v>3</v>
      </c>
      <c r="K58" t="n">
        <v>3</v>
      </c>
      <c r="L58" t="n">
        <v>0</v>
      </c>
      <c r="M58" t="n">
        <v>0</v>
      </c>
      <c r="N58" t="n">
        <v>0</v>
      </c>
      <c r="O58" t="n">
        <v>6</v>
      </c>
      <c r="P58" t="n">
        <v>3</v>
      </c>
      <c r="Q58" t="n">
        <v>9</v>
      </c>
      <c r="R58" s="2" t="inlineStr">
        <is>
          <t>Gul lammticka
Lammticka
Tvillingspindling
Mjölsvärting
Odörspindling
Svart taggsvamp
Blå slemspindling
Fransig jordstjärna
Skarp dropptaggsvamp</t>
        </is>
      </c>
      <c r="S58">
        <f>HYPERLINK("https://klasma.github.io/Logging_0980/artfynd/A 8915-2023 artfynd.xlsx", "A 8915-2023")</f>
        <v/>
      </c>
      <c r="T58">
        <f>HYPERLINK("https://klasma.github.io/Logging_0980/kartor/A 8915-2023 karta.png", "A 8915-2023")</f>
        <v/>
      </c>
      <c r="V58">
        <f>HYPERLINK("https://klasma.github.io/Logging_0980/klagomål/A 8915-2023 FSC-klagomål.docx", "A 8915-2023")</f>
        <v/>
      </c>
      <c r="W58">
        <f>HYPERLINK("https://klasma.github.io/Logging_0980/klagomålsmail/A 8915-2023 FSC-klagomål mail.docx", "A 8915-2023")</f>
        <v/>
      </c>
      <c r="X58">
        <f>HYPERLINK("https://klasma.github.io/Logging_0980/tillsyn/A 8915-2023 tillsynsbegäran.docx", "A 8915-2023")</f>
        <v/>
      </c>
      <c r="Y58">
        <f>HYPERLINK("https://klasma.github.io/Logging_0980/tillsynsmail/A 8915-2023 tillsynsbegäran mail.docx", "A 8915-2023")</f>
        <v/>
      </c>
    </row>
    <row r="59" ht="15" customHeight="1">
      <c r="A59" t="inlineStr">
        <is>
          <t>A 39376-2023</t>
        </is>
      </c>
      <c r="B59" s="1" t="n">
        <v>45166</v>
      </c>
      <c r="C59" s="1" t="n">
        <v>45844</v>
      </c>
      <c r="D59" t="inlineStr">
        <is>
          <t>GOTLANDS LÄN</t>
        </is>
      </c>
      <c r="E59" t="inlineStr">
        <is>
          <t>GOTLAND</t>
        </is>
      </c>
      <c r="G59" t="n">
        <v>9.199999999999999</v>
      </c>
      <c r="H59" t="n">
        <v>1</v>
      </c>
      <c r="I59" t="n">
        <v>5</v>
      </c>
      <c r="J59" t="n">
        <v>4</v>
      </c>
      <c r="K59" t="n">
        <v>0</v>
      </c>
      <c r="L59" t="n">
        <v>0</v>
      </c>
      <c r="M59" t="n">
        <v>0</v>
      </c>
      <c r="N59" t="n">
        <v>0</v>
      </c>
      <c r="O59" t="n">
        <v>4</v>
      </c>
      <c r="P59" t="n">
        <v>0</v>
      </c>
      <c r="Q59" t="n">
        <v>9</v>
      </c>
      <c r="R59" s="2" t="inlineStr">
        <is>
          <t>Denisespindling
Flattoppad klubbsvamp
Odörspindling
Äggspindling
Anisspindling
Blå slemspindling
Kattfotslav
Rödgul trumpetsvamp
Skogsknipprot</t>
        </is>
      </c>
      <c r="S59">
        <f>HYPERLINK("https://klasma.github.io/Logging_0980/artfynd/A 39376-2023 artfynd.xlsx", "A 39376-2023")</f>
        <v/>
      </c>
      <c r="T59">
        <f>HYPERLINK("https://klasma.github.io/Logging_0980/kartor/A 39376-2023 karta.png", "A 39376-2023")</f>
        <v/>
      </c>
      <c r="V59">
        <f>HYPERLINK("https://klasma.github.io/Logging_0980/klagomål/A 39376-2023 FSC-klagomål.docx", "A 39376-2023")</f>
        <v/>
      </c>
      <c r="W59">
        <f>HYPERLINK("https://klasma.github.io/Logging_0980/klagomålsmail/A 39376-2023 FSC-klagomål mail.docx", "A 39376-2023")</f>
        <v/>
      </c>
      <c r="X59">
        <f>HYPERLINK("https://klasma.github.io/Logging_0980/tillsyn/A 39376-2023 tillsynsbegäran.docx", "A 39376-2023")</f>
        <v/>
      </c>
      <c r="Y59">
        <f>HYPERLINK("https://klasma.github.io/Logging_0980/tillsynsmail/A 39376-2023 tillsynsbegäran mail.docx", "A 39376-2023")</f>
        <v/>
      </c>
    </row>
    <row r="60" ht="15" customHeight="1">
      <c r="A60" t="inlineStr">
        <is>
          <t>A 14354-2024</t>
        </is>
      </c>
      <c r="B60" s="1" t="n">
        <v>45393</v>
      </c>
      <c r="C60" s="1" t="n">
        <v>45844</v>
      </c>
      <c r="D60" t="inlineStr">
        <is>
          <t>GOTLANDS LÄN</t>
        </is>
      </c>
      <c r="E60" t="inlineStr">
        <is>
          <t>GOTLAND</t>
        </is>
      </c>
      <c r="G60" t="n">
        <v>2.4</v>
      </c>
      <c r="H60" t="n">
        <v>6</v>
      </c>
      <c r="I60" t="n">
        <v>3</v>
      </c>
      <c r="J60" t="n">
        <v>4</v>
      </c>
      <c r="K60" t="n">
        <v>0</v>
      </c>
      <c r="L60" t="n">
        <v>0</v>
      </c>
      <c r="M60" t="n">
        <v>0</v>
      </c>
      <c r="N60" t="n">
        <v>0</v>
      </c>
      <c r="O60" t="n">
        <v>4</v>
      </c>
      <c r="P60" t="n">
        <v>0</v>
      </c>
      <c r="Q60" t="n">
        <v>9</v>
      </c>
      <c r="R60" s="2" t="inlineStr">
        <is>
          <t>Dårgräsfjäril
Smedbock
Svinrot
Ängsskära
Nästrot
Skogsknipprot
Tvåblad
Fläcknycklar
Nattviol</t>
        </is>
      </c>
      <c r="S60">
        <f>HYPERLINK("https://klasma.github.io/Logging_0980/artfynd/A 14354-2024 artfynd.xlsx", "A 14354-2024")</f>
        <v/>
      </c>
      <c r="T60">
        <f>HYPERLINK("https://klasma.github.io/Logging_0980/kartor/A 14354-2024 karta.png", "A 14354-2024")</f>
        <v/>
      </c>
      <c r="V60">
        <f>HYPERLINK("https://klasma.github.io/Logging_0980/klagomål/A 14354-2024 FSC-klagomål.docx", "A 14354-2024")</f>
        <v/>
      </c>
      <c r="W60">
        <f>HYPERLINK("https://klasma.github.io/Logging_0980/klagomålsmail/A 14354-2024 FSC-klagomål mail.docx", "A 14354-2024")</f>
        <v/>
      </c>
      <c r="X60">
        <f>HYPERLINK("https://klasma.github.io/Logging_0980/tillsyn/A 14354-2024 tillsynsbegäran.docx", "A 14354-2024")</f>
        <v/>
      </c>
      <c r="Y60">
        <f>HYPERLINK("https://klasma.github.io/Logging_0980/tillsynsmail/A 14354-2024 tillsynsbegäran mail.docx", "A 14354-2024")</f>
        <v/>
      </c>
    </row>
    <row r="61" ht="15" customHeight="1">
      <c r="A61" t="inlineStr">
        <is>
          <t>A 32876-2024</t>
        </is>
      </c>
      <c r="B61" s="1" t="n">
        <v>45516</v>
      </c>
      <c r="C61" s="1" t="n">
        <v>45844</v>
      </c>
      <c r="D61" t="inlineStr">
        <is>
          <t>GOTLANDS LÄN</t>
        </is>
      </c>
      <c r="E61" t="inlineStr">
        <is>
          <t>GOTLAND</t>
        </is>
      </c>
      <c r="G61" t="n">
        <v>1.8</v>
      </c>
      <c r="H61" t="n">
        <v>0</v>
      </c>
      <c r="I61" t="n">
        <v>4</v>
      </c>
      <c r="J61" t="n">
        <v>3</v>
      </c>
      <c r="K61" t="n">
        <v>2</v>
      </c>
      <c r="L61" t="n">
        <v>0</v>
      </c>
      <c r="M61" t="n">
        <v>0</v>
      </c>
      <c r="N61" t="n">
        <v>0</v>
      </c>
      <c r="O61" t="n">
        <v>5</v>
      </c>
      <c r="P61" t="n">
        <v>2</v>
      </c>
      <c r="Q61" t="n">
        <v>9</v>
      </c>
      <c r="R61" s="2" t="inlineStr">
        <is>
          <t>Gulsträngad fagerspindling
Svartgrön spindling
Denisespindling
Odörspindling
Svinrot
Anisspindling
Kattfotslav
Rödgul trumpetsvamp
Svavelriska</t>
        </is>
      </c>
      <c r="S61">
        <f>HYPERLINK("https://klasma.github.io/Logging_0980/artfynd/A 32876-2024 artfynd.xlsx", "A 32876-2024")</f>
        <v/>
      </c>
      <c r="T61">
        <f>HYPERLINK("https://klasma.github.io/Logging_0980/kartor/A 32876-2024 karta.png", "A 32876-2024")</f>
        <v/>
      </c>
      <c r="V61">
        <f>HYPERLINK("https://klasma.github.io/Logging_0980/klagomål/A 32876-2024 FSC-klagomål.docx", "A 32876-2024")</f>
        <v/>
      </c>
      <c r="W61">
        <f>HYPERLINK("https://klasma.github.io/Logging_0980/klagomålsmail/A 32876-2024 FSC-klagomål mail.docx", "A 32876-2024")</f>
        <v/>
      </c>
      <c r="X61">
        <f>HYPERLINK("https://klasma.github.io/Logging_0980/tillsyn/A 32876-2024 tillsynsbegäran.docx", "A 32876-2024")</f>
        <v/>
      </c>
      <c r="Y61">
        <f>HYPERLINK("https://klasma.github.io/Logging_0980/tillsynsmail/A 32876-2024 tillsynsbegäran mail.docx", "A 32876-2024")</f>
        <v/>
      </c>
    </row>
    <row r="62" ht="15" customHeight="1">
      <c r="A62" t="inlineStr">
        <is>
          <t>A 59132-2024</t>
        </is>
      </c>
      <c r="B62" s="1" t="n">
        <v>45637</v>
      </c>
      <c r="C62" s="1" t="n">
        <v>45844</v>
      </c>
      <c r="D62" t="inlineStr">
        <is>
          <t>GOTLANDS LÄN</t>
        </is>
      </c>
      <c r="E62" t="inlineStr">
        <is>
          <t>GOTLAND</t>
        </is>
      </c>
      <c r="G62" t="n">
        <v>3.5</v>
      </c>
      <c r="H62" t="n">
        <v>0</v>
      </c>
      <c r="I62" t="n">
        <v>1</v>
      </c>
      <c r="J62" t="n">
        <v>4</v>
      </c>
      <c r="K62" t="n">
        <v>3</v>
      </c>
      <c r="L62" t="n">
        <v>0</v>
      </c>
      <c r="M62" t="n">
        <v>0</v>
      </c>
      <c r="N62" t="n">
        <v>0</v>
      </c>
      <c r="O62" t="n">
        <v>8</v>
      </c>
      <c r="P62" t="n">
        <v>3</v>
      </c>
      <c r="Q62" t="n">
        <v>9</v>
      </c>
      <c r="R62" s="2" t="inlineStr">
        <is>
          <t>Almlav
Mörk kraterlav
Pälsticka
Korskovall
Slåtterfibbla
Solvända
Vippärt
Amphisphaeria umbrina
Underviol</t>
        </is>
      </c>
      <c r="S62">
        <f>HYPERLINK("https://klasma.github.io/Logging_0980/artfynd/A 59132-2024 artfynd.xlsx", "A 59132-2024")</f>
        <v/>
      </c>
      <c r="T62">
        <f>HYPERLINK("https://klasma.github.io/Logging_0980/kartor/A 59132-2024 karta.png", "A 59132-2024")</f>
        <v/>
      </c>
      <c r="V62">
        <f>HYPERLINK("https://klasma.github.io/Logging_0980/klagomål/A 59132-2024 FSC-klagomål.docx", "A 59132-2024")</f>
        <v/>
      </c>
      <c r="W62">
        <f>HYPERLINK("https://klasma.github.io/Logging_0980/klagomålsmail/A 59132-2024 FSC-klagomål mail.docx", "A 59132-2024")</f>
        <v/>
      </c>
      <c r="X62">
        <f>HYPERLINK("https://klasma.github.io/Logging_0980/tillsyn/A 59132-2024 tillsynsbegäran.docx", "A 59132-2024")</f>
        <v/>
      </c>
      <c r="Y62">
        <f>HYPERLINK("https://klasma.github.io/Logging_0980/tillsynsmail/A 59132-2024 tillsynsbegäran mail.docx", "A 59132-2024")</f>
        <v/>
      </c>
    </row>
    <row r="63" ht="15" customHeight="1">
      <c r="A63" t="inlineStr">
        <is>
          <t>A 32960-2019</t>
        </is>
      </c>
      <c r="B63" s="1" t="n">
        <v>43648</v>
      </c>
      <c r="C63" s="1" t="n">
        <v>45844</v>
      </c>
      <c r="D63" t="inlineStr">
        <is>
          <t>GOTLANDS LÄN</t>
        </is>
      </c>
      <c r="E63" t="inlineStr">
        <is>
          <t>GOTLAND</t>
        </is>
      </c>
      <c r="G63" t="n">
        <v>10.9</v>
      </c>
      <c r="H63" t="n">
        <v>6</v>
      </c>
      <c r="I63" t="n">
        <v>4</v>
      </c>
      <c r="J63" t="n">
        <v>2</v>
      </c>
      <c r="K63" t="n">
        <v>0</v>
      </c>
      <c r="L63" t="n">
        <v>0</v>
      </c>
      <c r="M63" t="n">
        <v>0</v>
      </c>
      <c r="N63" t="n">
        <v>0</v>
      </c>
      <c r="O63" t="n">
        <v>2</v>
      </c>
      <c r="P63" t="n">
        <v>0</v>
      </c>
      <c r="Q63" t="n">
        <v>8</v>
      </c>
      <c r="R63" s="2" t="inlineStr">
        <is>
          <t>Grönsångare
Ängsstarr
Kalktallört
Nästrot
Purpurknipprot
Vit skogslilja
Fläcknycklar
Nattviol</t>
        </is>
      </c>
      <c r="S63">
        <f>HYPERLINK("https://klasma.github.io/Logging_0980/artfynd/A 32960-2019 artfynd.xlsx", "A 32960-2019")</f>
        <v/>
      </c>
      <c r="T63">
        <f>HYPERLINK("https://klasma.github.io/Logging_0980/kartor/A 32960-2019 karta.png", "A 32960-2019")</f>
        <v/>
      </c>
      <c r="V63">
        <f>HYPERLINK("https://klasma.github.io/Logging_0980/klagomål/A 32960-2019 FSC-klagomål.docx", "A 32960-2019")</f>
        <v/>
      </c>
      <c r="W63">
        <f>HYPERLINK("https://klasma.github.io/Logging_0980/klagomålsmail/A 32960-2019 FSC-klagomål mail.docx", "A 32960-2019")</f>
        <v/>
      </c>
      <c r="X63">
        <f>HYPERLINK("https://klasma.github.io/Logging_0980/tillsyn/A 32960-2019 tillsynsbegäran.docx", "A 32960-2019")</f>
        <v/>
      </c>
      <c r="Y63">
        <f>HYPERLINK("https://klasma.github.io/Logging_0980/tillsynsmail/A 32960-2019 tillsynsbegäran mail.docx", "A 32960-2019")</f>
        <v/>
      </c>
      <c r="Z63">
        <f>HYPERLINK("https://klasma.github.io/Logging_0980/fåglar/A 32960-2019 prioriterade fågelarter.docx", "A 32960-2019")</f>
        <v/>
      </c>
    </row>
    <row r="64" ht="15" customHeight="1">
      <c r="A64" t="inlineStr">
        <is>
          <t>A 10699-2020</t>
        </is>
      </c>
      <c r="B64" s="1" t="n">
        <v>43888</v>
      </c>
      <c r="C64" s="1" t="n">
        <v>45844</v>
      </c>
      <c r="D64" t="inlineStr">
        <is>
          <t>GOTLANDS LÄN</t>
        </is>
      </c>
      <c r="E64" t="inlineStr">
        <is>
          <t>GOTLAND</t>
        </is>
      </c>
      <c r="F64" t="inlineStr">
        <is>
          <t>Övriga statliga verk och myndigheter</t>
        </is>
      </c>
      <c r="G64" t="n">
        <v>51.4</v>
      </c>
      <c r="H64" t="n">
        <v>6</v>
      </c>
      <c r="I64" t="n">
        <v>3</v>
      </c>
      <c r="J64" t="n">
        <v>3</v>
      </c>
      <c r="K64" t="n">
        <v>0</v>
      </c>
      <c r="L64" t="n">
        <v>0</v>
      </c>
      <c r="M64" t="n">
        <v>0</v>
      </c>
      <c r="N64" t="n">
        <v>0</v>
      </c>
      <c r="O64" t="n">
        <v>3</v>
      </c>
      <c r="P64" t="n">
        <v>0</v>
      </c>
      <c r="Q64" t="n">
        <v>8</v>
      </c>
      <c r="R64" s="2" t="inlineStr">
        <is>
          <t>Luktsporre
Röd skogslilja
Småtörel
Anisspindling
Nästrot
Purpurknipprot
Fläcknycklar
Kärrknipprot</t>
        </is>
      </c>
      <c r="S64">
        <f>HYPERLINK("https://klasma.github.io/Logging_0980/artfynd/A 10699-2020 artfynd.xlsx", "A 10699-2020")</f>
        <v/>
      </c>
      <c r="T64">
        <f>HYPERLINK("https://klasma.github.io/Logging_0980/kartor/A 10699-2020 karta.png", "A 10699-2020")</f>
        <v/>
      </c>
      <c r="V64">
        <f>HYPERLINK("https://klasma.github.io/Logging_0980/klagomål/A 10699-2020 FSC-klagomål.docx", "A 10699-2020")</f>
        <v/>
      </c>
      <c r="W64">
        <f>HYPERLINK("https://klasma.github.io/Logging_0980/klagomålsmail/A 10699-2020 FSC-klagomål mail.docx", "A 10699-2020")</f>
        <v/>
      </c>
      <c r="X64">
        <f>HYPERLINK("https://klasma.github.io/Logging_0980/tillsyn/A 10699-2020 tillsynsbegäran.docx", "A 10699-2020")</f>
        <v/>
      </c>
      <c r="Y64">
        <f>HYPERLINK("https://klasma.github.io/Logging_0980/tillsynsmail/A 10699-2020 tillsynsbegäran mail.docx", "A 10699-2020")</f>
        <v/>
      </c>
    </row>
    <row r="65" ht="15" customHeight="1">
      <c r="A65" t="inlineStr">
        <is>
          <t>A 13990-2020</t>
        </is>
      </c>
      <c r="B65" s="1" t="n">
        <v>43906</v>
      </c>
      <c r="C65" s="1" t="n">
        <v>45844</v>
      </c>
      <c r="D65" t="inlineStr">
        <is>
          <t>GOTLANDS LÄN</t>
        </is>
      </c>
      <c r="E65" t="inlineStr">
        <is>
          <t>GOTLAND</t>
        </is>
      </c>
      <c r="F65" t="inlineStr">
        <is>
          <t>Övriga Aktiebolag</t>
        </is>
      </c>
      <c r="G65" t="n">
        <v>2.3</v>
      </c>
      <c r="H65" t="n">
        <v>2</v>
      </c>
      <c r="I65" t="n">
        <v>3</v>
      </c>
      <c r="J65" t="n">
        <v>1</v>
      </c>
      <c r="K65" t="n">
        <v>1</v>
      </c>
      <c r="L65" t="n">
        <v>2</v>
      </c>
      <c r="M65" t="n">
        <v>0</v>
      </c>
      <c r="N65" t="n">
        <v>0</v>
      </c>
      <c r="O65" t="n">
        <v>4</v>
      </c>
      <c r="P65" t="n">
        <v>3</v>
      </c>
      <c r="Q65" t="n">
        <v>8</v>
      </c>
      <c r="R65" s="2" t="inlineStr">
        <is>
          <t>Norsk belonia
Ädellav
Gulbrunt nejlikfly
Lordithon pulchellus
Dorcatoma dresdensis
Nästrot
Rikfruktig blemlav
Halsbandsflugsnappare</t>
        </is>
      </c>
      <c r="S65">
        <f>HYPERLINK("https://klasma.github.io/Logging_0980/artfynd/A 13990-2020 artfynd.xlsx", "A 13990-2020")</f>
        <v/>
      </c>
      <c r="T65">
        <f>HYPERLINK("https://klasma.github.io/Logging_0980/kartor/A 13990-2020 karta.png", "A 13990-2020")</f>
        <v/>
      </c>
      <c r="V65">
        <f>HYPERLINK("https://klasma.github.io/Logging_0980/klagomål/A 13990-2020 FSC-klagomål.docx", "A 13990-2020")</f>
        <v/>
      </c>
      <c r="W65">
        <f>HYPERLINK("https://klasma.github.io/Logging_0980/klagomålsmail/A 13990-2020 FSC-klagomål mail.docx", "A 13990-2020")</f>
        <v/>
      </c>
      <c r="X65">
        <f>HYPERLINK("https://klasma.github.io/Logging_0980/tillsyn/A 13990-2020 tillsynsbegäran.docx", "A 13990-2020")</f>
        <v/>
      </c>
      <c r="Y65">
        <f>HYPERLINK("https://klasma.github.io/Logging_0980/tillsynsmail/A 13990-2020 tillsynsbegäran mail.docx", "A 13990-2020")</f>
        <v/>
      </c>
      <c r="Z65">
        <f>HYPERLINK("https://klasma.github.io/Logging_0980/fåglar/A 13990-2020 prioriterade fågelarter.docx", "A 13990-2020")</f>
        <v/>
      </c>
    </row>
    <row r="66" ht="15" customHeight="1">
      <c r="A66" t="inlineStr">
        <is>
          <t>A 21371-2020</t>
        </is>
      </c>
      <c r="B66" s="1" t="n">
        <v>43955</v>
      </c>
      <c r="C66" s="1" t="n">
        <v>45844</v>
      </c>
      <c r="D66" t="inlineStr">
        <is>
          <t>GOTLANDS LÄN</t>
        </is>
      </c>
      <c r="E66" t="inlineStr">
        <is>
          <t>GOTLAND</t>
        </is>
      </c>
      <c r="G66" t="n">
        <v>2</v>
      </c>
      <c r="H66" t="n">
        <v>0</v>
      </c>
      <c r="I66" t="n">
        <v>5</v>
      </c>
      <c r="J66" t="n">
        <v>0</v>
      </c>
      <c r="K66" t="n">
        <v>3</v>
      </c>
      <c r="L66" t="n">
        <v>0</v>
      </c>
      <c r="M66" t="n">
        <v>0</v>
      </c>
      <c r="N66" t="n">
        <v>0</v>
      </c>
      <c r="O66" t="n">
        <v>3</v>
      </c>
      <c r="P66" t="n">
        <v>3</v>
      </c>
      <c r="Q66" t="n">
        <v>8</v>
      </c>
      <c r="R66" s="2" t="inlineStr">
        <is>
          <t>Gulsträngad fagerspindling
Mörkfjällig olivspindling
Violettfläckig spindling
Anisspindling
Blå slemspindling
Fjällig taggsvamp s.str.
Kryddspindling
Olivspindling</t>
        </is>
      </c>
      <c r="S66">
        <f>HYPERLINK("https://klasma.github.io/Logging_0980/artfynd/A 21371-2020 artfynd.xlsx", "A 21371-2020")</f>
        <v/>
      </c>
      <c r="T66">
        <f>HYPERLINK("https://klasma.github.io/Logging_0980/kartor/A 21371-2020 karta.png", "A 21371-2020")</f>
        <v/>
      </c>
      <c r="V66">
        <f>HYPERLINK("https://klasma.github.io/Logging_0980/klagomål/A 21371-2020 FSC-klagomål.docx", "A 21371-2020")</f>
        <v/>
      </c>
      <c r="W66">
        <f>HYPERLINK("https://klasma.github.io/Logging_0980/klagomålsmail/A 21371-2020 FSC-klagomål mail.docx", "A 21371-2020")</f>
        <v/>
      </c>
      <c r="X66">
        <f>HYPERLINK("https://klasma.github.io/Logging_0980/tillsyn/A 21371-2020 tillsynsbegäran.docx", "A 21371-2020")</f>
        <v/>
      </c>
      <c r="Y66">
        <f>HYPERLINK("https://klasma.github.io/Logging_0980/tillsynsmail/A 21371-2020 tillsynsbegäran mail.docx", "A 21371-2020")</f>
        <v/>
      </c>
    </row>
    <row r="67" ht="15" customHeight="1">
      <c r="A67" t="inlineStr">
        <is>
          <t>A 1769-2022</t>
        </is>
      </c>
      <c r="B67" s="1" t="n">
        <v>44574</v>
      </c>
      <c r="C67" s="1" t="n">
        <v>45844</v>
      </c>
      <c r="D67" t="inlineStr">
        <is>
          <t>GOTLANDS LÄN</t>
        </is>
      </c>
      <c r="E67" t="inlineStr">
        <is>
          <t>GOTLAND</t>
        </is>
      </c>
      <c r="G67" t="n">
        <v>31.3</v>
      </c>
      <c r="H67" t="n">
        <v>5</v>
      </c>
      <c r="I67" t="n">
        <v>1</v>
      </c>
      <c r="J67" t="n">
        <v>3</v>
      </c>
      <c r="K67" t="n">
        <v>0</v>
      </c>
      <c r="L67" t="n">
        <v>0</v>
      </c>
      <c r="M67" t="n">
        <v>0</v>
      </c>
      <c r="N67" t="n">
        <v>0</v>
      </c>
      <c r="O67" t="n">
        <v>3</v>
      </c>
      <c r="P67" t="n">
        <v>0</v>
      </c>
      <c r="Q67" t="n">
        <v>8</v>
      </c>
      <c r="R67" s="2" t="inlineStr">
        <is>
          <t>Loppstarr
Majviva
Ängsstarr
Flugblomster
Brudsporre
Dactylorhiza incarnata subsp. incarnata
Grönvit nattviol
Kärrknipprot</t>
        </is>
      </c>
      <c r="S67">
        <f>HYPERLINK("https://klasma.github.io/Logging_0980/artfynd/A 1769-2022 artfynd.xlsx", "A 1769-2022")</f>
        <v/>
      </c>
      <c r="T67">
        <f>HYPERLINK("https://klasma.github.io/Logging_0980/kartor/A 1769-2022 karta.png", "A 1769-2022")</f>
        <v/>
      </c>
      <c r="V67">
        <f>HYPERLINK("https://klasma.github.io/Logging_0980/klagomål/A 1769-2022 FSC-klagomål.docx", "A 1769-2022")</f>
        <v/>
      </c>
      <c r="W67">
        <f>HYPERLINK("https://klasma.github.io/Logging_0980/klagomålsmail/A 1769-2022 FSC-klagomål mail.docx", "A 1769-2022")</f>
        <v/>
      </c>
      <c r="X67">
        <f>HYPERLINK("https://klasma.github.io/Logging_0980/tillsyn/A 1769-2022 tillsynsbegäran.docx", "A 1769-2022")</f>
        <v/>
      </c>
      <c r="Y67">
        <f>HYPERLINK("https://klasma.github.io/Logging_0980/tillsynsmail/A 1769-2022 tillsynsbegäran mail.docx", "A 1769-2022")</f>
        <v/>
      </c>
    </row>
    <row r="68" ht="15" customHeight="1">
      <c r="A68" t="inlineStr">
        <is>
          <t>A 22318-2022</t>
        </is>
      </c>
      <c r="B68" s="1" t="n">
        <v>44712</v>
      </c>
      <c r="C68" s="1" t="n">
        <v>45844</v>
      </c>
      <c r="D68" t="inlineStr">
        <is>
          <t>GOTLANDS LÄN</t>
        </is>
      </c>
      <c r="E68" t="inlineStr">
        <is>
          <t>GOTLAND</t>
        </is>
      </c>
      <c r="G68" t="n">
        <v>3</v>
      </c>
      <c r="H68" t="n">
        <v>0</v>
      </c>
      <c r="I68" t="n">
        <v>4</v>
      </c>
      <c r="J68" t="n">
        <v>2</v>
      </c>
      <c r="K68" t="n">
        <v>2</v>
      </c>
      <c r="L68" t="n">
        <v>0</v>
      </c>
      <c r="M68" t="n">
        <v>0</v>
      </c>
      <c r="N68" t="n">
        <v>0</v>
      </c>
      <c r="O68" t="n">
        <v>4</v>
      </c>
      <c r="P68" t="n">
        <v>2</v>
      </c>
      <c r="Q68" t="n">
        <v>8</v>
      </c>
      <c r="R68" s="2" t="inlineStr">
        <is>
          <t>Duvspindling
Mörk kraterlav
Odörspindling
Svinrot
Anisspindling
Blå slemspindling
Rödgul trumpetsvamp
Svavelriska</t>
        </is>
      </c>
      <c r="S68">
        <f>HYPERLINK("https://klasma.github.io/Logging_0980/artfynd/A 22318-2022 artfynd.xlsx", "A 22318-2022")</f>
        <v/>
      </c>
      <c r="T68">
        <f>HYPERLINK("https://klasma.github.io/Logging_0980/kartor/A 22318-2022 karta.png", "A 22318-2022")</f>
        <v/>
      </c>
      <c r="V68">
        <f>HYPERLINK("https://klasma.github.io/Logging_0980/klagomål/A 22318-2022 FSC-klagomål.docx", "A 22318-2022")</f>
        <v/>
      </c>
      <c r="W68">
        <f>HYPERLINK("https://klasma.github.io/Logging_0980/klagomålsmail/A 22318-2022 FSC-klagomål mail.docx", "A 22318-2022")</f>
        <v/>
      </c>
      <c r="X68">
        <f>HYPERLINK("https://klasma.github.io/Logging_0980/tillsyn/A 22318-2022 tillsynsbegäran.docx", "A 22318-2022")</f>
        <v/>
      </c>
      <c r="Y68">
        <f>HYPERLINK("https://klasma.github.io/Logging_0980/tillsynsmail/A 22318-2022 tillsynsbegäran mail.docx", "A 22318-2022")</f>
        <v/>
      </c>
    </row>
    <row r="69" ht="15" customHeight="1">
      <c r="A69" t="inlineStr">
        <is>
          <t>A 2649-2023</t>
        </is>
      </c>
      <c r="B69" s="1" t="n">
        <v>44943</v>
      </c>
      <c r="C69" s="1" t="n">
        <v>45844</v>
      </c>
      <c r="D69" t="inlineStr">
        <is>
          <t>GOTLANDS LÄN</t>
        </is>
      </c>
      <c r="E69" t="inlineStr">
        <is>
          <t>GOTLAND</t>
        </is>
      </c>
      <c r="G69" t="n">
        <v>2.6</v>
      </c>
      <c r="H69" t="n">
        <v>1</v>
      </c>
      <c r="I69" t="n">
        <v>1</v>
      </c>
      <c r="J69" t="n">
        <v>1</v>
      </c>
      <c r="K69" t="n">
        <v>6</v>
      </c>
      <c r="L69" t="n">
        <v>0</v>
      </c>
      <c r="M69" t="n">
        <v>0</v>
      </c>
      <c r="N69" t="n">
        <v>0</v>
      </c>
      <c r="O69" t="n">
        <v>7</v>
      </c>
      <c r="P69" t="n">
        <v>6</v>
      </c>
      <c r="Q69" t="n">
        <v>8</v>
      </c>
      <c r="R69" s="2" t="inlineStr">
        <is>
          <t>Duvspindling
Garderönn
Granrotsspindling
Gul lammticka
Gulsträngad fagerspindling
Violettfläckig spindling
Svinrot
Anisspindling</t>
        </is>
      </c>
      <c r="S69">
        <f>HYPERLINK("https://klasma.github.io/Logging_0980/artfynd/A 2649-2023 artfynd.xlsx", "A 2649-2023")</f>
        <v/>
      </c>
      <c r="T69">
        <f>HYPERLINK("https://klasma.github.io/Logging_0980/kartor/A 2649-2023 karta.png", "A 2649-2023")</f>
        <v/>
      </c>
      <c r="V69">
        <f>HYPERLINK("https://klasma.github.io/Logging_0980/klagomål/A 2649-2023 FSC-klagomål.docx", "A 2649-2023")</f>
        <v/>
      </c>
      <c r="W69">
        <f>HYPERLINK("https://klasma.github.io/Logging_0980/klagomålsmail/A 2649-2023 FSC-klagomål mail.docx", "A 2649-2023")</f>
        <v/>
      </c>
      <c r="X69">
        <f>HYPERLINK("https://klasma.github.io/Logging_0980/tillsyn/A 2649-2023 tillsynsbegäran.docx", "A 2649-2023")</f>
        <v/>
      </c>
      <c r="Y69">
        <f>HYPERLINK("https://klasma.github.io/Logging_0980/tillsynsmail/A 2649-2023 tillsynsbegäran mail.docx", "A 2649-2023")</f>
        <v/>
      </c>
    </row>
    <row r="70" ht="15" customHeight="1">
      <c r="A70" t="inlineStr">
        <is>
          <t>A 7039-2023</t>
        </is>
      </c>
      <c r="B70" s="1" t="n">
        <v>44968</v>
      </c>
      <c r="C70" s="1" t="n">
        <v>45844</v>
      </c>
      <c r="D70" t="inlineStr">
        <is>
          <t>GOTLANDS LÄN</t>
        </is>
      </c>
      <c r="E70" t="inlineStr">
        <is>
          <t>GOTLAND</t>
        </is>
      </c>
      <c r="G70" t="n">
        <v>2.9</v>
      </c>
      <c r="H70" t="n">
        <v>1</v>
      </c>
      <c r="I70" t="n">
        <v>3</v>
      </c>
      <c r="J70" t="n">
        <v>1</v>
      </c>
      <c r="K70" t="n">
        <v>1</v>
      </c>
      <c r="L70" t="n">
        <v>1</v>
      </c>
      <c r="M70" t="n">
        <v>1</v>
      </c>
      <c r="N70" t="n">
        <v>0</v>
      </c>
      <c r="O70" t="n">
        <v>5</v>
      </c>
      <c r="P70" t="n">
        <v>3</v>
      </c>
      <c r="Q70" t="n">
        <v>8</v>
      </c>
      <c r="R70" s="2" t="inlineStr">
        <is>
          <t>Stor blanklav
Ädellav
Mörk kraterlav
Dårgräsfjäril
Frostig asplav
Havstulpanlav
Klippfrullania
Stubbspretmossa</t>
        </is>
      </c>
      <c r="S70">
        <f>HYPERLINK("https://klasma.github.io/Logging_0980/artfynd/A 7039-2023 artfynd.xlsx", "A 7039-2023")</f>
        <v/>
      </c>
      <c r="T70">
        <f>HYPERLINK("https://klasma.github.io/Logging_0980/kartor/A 7039-2023 karta.png", "A 7039-2023")</f>
        <v/>
      </c>
      <c r="V70">
        <f>HYPERLINK("https://klasma.github.io/Logging_0980/klagomål/A 7039-2023 FSC-klagomål.docx", "A 7039-2023")</f>
        <v/>
      </c>
      <c r="W70">
        <f>HYPERLINK("https://klasma.github.io/Logging_0980/klagomålsmail/A 7039-2023 FSC-klagomål mail.docx", "A 7039-2023")</f>
        <v/>
      </c>
      <c r="X70">
        <f>HYPERLINK("https://klasma.github.io/Logging_0980/tillsyn/A 7039-2023 tillsynsbegäran.docx", "A 7039-2023")</f>
        <v/>
      </c>
      <c r="Y70">
        <f>HYPERLINK("https://klasma.github.io/Logging_0980/tillsynsmail/A 7039-2023 tillsynsbegäran mail.docx", "A 7039-2023")</f>
        <v/>
      </c>
    </row>
    <row r="71" ht="15" customHeight="1">
      <c r="A71" t="inlineStr">
        <is>
          <t>A 3588-2024</t>
        </is>
      </c>
      <c r="B71" s="1" t="n">
        <v>45320</v>
      </c>
      <c r="C71" s="1" t="n">
        <v>45844</v>
      </c>
      <c r="D71" t="inlineStr">
        <is>
          <t>GOTLANDS LÄN</t>
        </is>
      </c>
      <c r="E71" t="inlineStr">
        <is>
          <t>GOTLAND</t>
        </is>
      </c>
      <c r="G71" t="n">
        <v>7.3</v>
      </c>
      <c r="H71" t="n">
        <v>2</v>
      </c>
      <c r="I71" t="n">
        <v>5</v>
      </c>
      <c r="J71" t="n">
        <v>1</v>
      </c>
      <c r="K71" t="n">
        <v>1</v>
      </c>
      <c r="L71" t="n">
        <v>0</v>
      </c>
      <c r="M71" t="n">
        <v>0</v>
      </c>
      <c r="N71" t="n">
        <v>0</v>
      </c>
      <c r="O71" t="n">
        <v>2</v>
      </c>
      <c r="P71" t="n">
        <v>1</v>
      </c>
      <c r="Q71" t="n">
        <v>8</v>
      </c>
      <c r="R71" s="2" t="inlineStr">
        <is>
          <t>Kopparspindling
Bittermusseron
Anisspindling
Besk kastanjemusseron
Granbarkgnagare
Grovticka
Skogsknipprot
Revlummer</t>
        </is>
      </c>
      <c r="S71">
        <f>HYPERLINK("https://klasma.github.io/Logging_0980/artfynd/A 3588-2024 artfynd.xlsx", "A 3588-2024")</f>
        <v/>
      </c>
      <c r="T71">
        <f>HYPERLINK("https://klasma.github.io/Logging_0980/kartor/A 3588-2024 karta.png", "A 3588-2024")</f>
        <v/>
      </c>
      <c r="V71">
        <f>HYPERLINK("https://klasma.github.io/Logging_0980/klagomål/A 3588-2024 FSC-klagomål.docx", "A 3588-2024")</f>
        <v/>
      </c>
      <c r="W71">
        <f>HYPERLINK("https://klasma.github.io/Logging_0980/klagomålsmail/A 3588-2024 FSC-klagomål mail.docx", "A 3588-2024")</f>
        <v/>
      </c>
      <c r="X71">
        <f>HYPERLINK("https://klasma.github.io/Logging_0980/tillsyn/A 3588-2024 tillsynsbegäran.docx", "A 3588-2024")</f>
        <v/>
      </c>
      <c r="Y71">
        <f>HYPERLINK("https://klasma.github.io/Logging_0980/tillsynsmail/A 3588-2024 tillsynsbegäran mail.docx", "A 3588-2024")</f>
        <v/>
      </c>
    </row>
    <row r="72" ht="15" customHeight="1">
      <c r="A72" t="inlineStr">
        <is>
          <t>A 21467-2024</t>
        </is>
      </c>
      <c r="B72" s="1" t="n">
        <v>45441</v>
      </c>
      <c r="C72" s="1" t="n">
        <v>45844</v>
      </c>
      <c r="D72" t="inlineStr">
        <is>
          <t>GOTLANDS LÄN</t>
        </is>
      </c>
      <c r="E72" t="inlineStr">
        <is>
          <t>GOTLAND</t>
        </is>
      </c>
      <c r="G72" t="n">
        <v>8.800000000000001</v>
      </c>
      <c r="H72" t="n">
        <v>5</v>
      </c>
      <c r="I72" t="n">
        <v>0</v>
      </c>
      <c r="J72" t="n">
        <v>6</v>
      </c>
      <c r="K72" t="n">
        <v>1</v>
      </c>
      <c r="L72" t="n">
        <v>0</v>
      </c>
      <c r="M72" t="n">
        <v>0</v>
      </c>
      <c r="N72" t="n">
        <v>0</v>
      </c>
      <c r="O72" t="n">
        <v>7</v>
      </c>
      <c r="P72" t="n">
        <v>1</v>
      </c>
      <c r="Q72" t="n">
        <v>8</v>
      </c>
      <c r="R72" s="2" t="inlineStr">
        <is>
          <t>Garderönn
Backtimjan
Dårgräsfjäril
Gulsparv
Jordtistel
Spillkråka
Svinrot
Blåsippa</t>
        </is>
      </c>
      <c r="S72">
        <f>HYPERLINK("https://klasma.github.io/Logging_0980/artfynd/A 21467-2024 artfynd.xlsx", "A 21467-2024")</f>
        <v/>
      </c>
      <c r="T72">
        <f>HYPERLINK("https://klasma.github.io/Logging_0980/kartor/A 21467-2024 karta.png", "A 21467-2024")</f>
        <v/>
      </c>
      <c r="V72">
        <f>HYPERLINK("https://klasma.github.io/Logging_0980/klagomål/A 21467-2024 FSC-klagomål.docx", "A 21467-2024")</f>
        <v/>
      </c>
      <c r="W72">
        <f>HYPERLINK("https://klasma.github.io/Logging_0980/klagomålsmail/A 21467-2024 FSC-klagomål mail.docx", "A 21467-2024")</f>
        <v/>
      </c>
      <c r="X72">
        <f>HYPERLINK("https://klasma.github.io/Logging_0980/tillsyn/A 21467-2024 tillsynsbegäran.docx", "A 21467-2024")</f>
        <v/>
      </c>
      <c r="Y72">
        <f>HYPERLINK("https://klasma.github.io/Logging_0980/tillsynsmail/A 21467-2024 tillsynsbegäran mail.docx", "A 21467-2024")</f>
        <v/>
      </c>
      <c r="Z72">
        <f>HYPERLINK("https://klasma.github.io/Logging_0980/fåglar/A 21467-2024 prioriterade fågelarter.docx", "A 21467-2024")</f>
        <v/>
      </c>
    </row>
    <row r="73" ht="15" customHeight="1">
      <c r="A73" t="inlineStr">
        <is>
          <t>A 34600-2019</t>
        </is>
      </c>
      <c r="B73" s="1" t="n">
        <v>43647</v>
      </c>
      <c r="C73" s="1" t="n">
        <v>45844</v>
      </c>
      <c r="D73" t="inlineStr">
        <is>
          <t>GOTLANDS LÄN</t>
        </is>
      </c>
      <c r="E73" t="inlineStr">
        <is>
          <t>GOTLAND</t>
        </is>
      </c>
      <c r="F73" t="inlineStr">
        <is>
          <t>Övriga statliga verk och myndigheter</t>
        </is>
      </c>
      <c r="G73" t="n">
        <v>2.3</v>
      </c>
      <c r="H73" t="n">
        <v>6</v>
      </c>
      <c r="I73" t="n">
        <v>1</v>
      </c>
      <c r="J73" t="n">
        <v>2</v>
      </c>
      <c r="K73" t="n">
        <v>1</v>
      </c>
      <c r="L73" t="n">
        <v>0</v>
      </c>
      <c r="M73" t="n">
        <v>0</v>
      </c>
      <c r="N73" t="n">
        <v>0</v>
      </c>
      <c r="O73" t="n">
        <v>3</v>
      </c>
      <c r="P73" t="n">
        <v>1</v>
      </c>
      <c r="Q73" t="n">
        <v>7</v>
      </c>
      <c r="R73" s="2" t="inlineStr">
        <is>
          <t>Garderönn
Dårgräsfjäril
Svinrot
Nästrot
Kungsfågel
Skogsduva
Fläcknycklar</t>
        </is>
      </c>
      <c r="S73">
        <f>HYPERLINK("https://klasma.github.io/Logging_0980/artfynd/A 34600-2019 artfynd.xlsx", "A 34600-2019")</f>
        <v/>
      </c>
      <c r="T73">
        <f>HYPERLINK("https://klasma.github.io/Logging_0980/kartor/A 34600-2019 karta.png", "A 34600-2019")</f>
        <v/>
      </c>
      <c r="V73">
        <f>HYPERLINK("https://klasma.github.io/Logging_0980/klagomål/A 34600-2019 FSC-klagomål.docx", "A 34600-2019")</f>
        <v/>
      </c>
      <c r="W73">
        <f>HYPERLINK("https://klasma.github.io/Logging_0980/klagomålsmail/A 34600-2019 FSC-klagomål mail.docx", "A 34600-2019")</f>
        <v/>
      </c>
      <c r="X73">
        <f>HYPERLINK("https://klasma.github.io/Logging_0980/tillsyn/A 34600-2019 tillsynsbegäran.docx", "A 34600-2019")</f>
        <v/>
      </c>
      <c r="Y73">
        <f>HYPERLINK("https://klasma.github.io/Logging_0980/tillsynsmail/A 34600-2019 tillsynsbegäran mail.docx", "A 34600-2019")</f>
        <v/>
      </c>
      <c r="Z73">
        <f>HYPERLINK("https://klasma.github.io/Logging_0980/fåglar/A 34600-2019 prioriterade fågelarter.docx", "A 34600-2019")</f>
        <v/>
      </c>
    </row>
    <row r="74" ht="15" customHeight="1">
      <c r="A74" t="inlineStr">
        <is>
          <t>A 16786-2020</t>
        </is>
      </c>
      <c r="B74" s="1" t="n">
        <v>43913</v>
      </c>
      <c r="C74" s="1" t="n">
        <v>45844</v>
      </c>
      <c r="D74" t="inlineStr">
        <is>
          <t>GOTLANDS LÄN</t>
        </is>
      </c>
      <c r="E74" t="inlineStr">
        <is>
          <t>GOTLAND</t>
        </is>
      </c>
      <c r="G74" t="n">
        <v>5.9</v>
      </c>
      <c r="H74" t="n">
        <v>1</v>
      </c>
      <c r="I74" t="n">
        <v>5</v>
      </c>
      <c r="J74" t="n">
        <v>1</v>
      </c>
      <c r="K74" t="n">
        <v>1</v>
      </c>
      <c r="L74" t="n">
        <v>0</v>
      </c>
      <c r="M74" t="n">
        <v>0</v>
      </c>
      <c r="N74" t="n">
        <v>0</v>
      </c>
      <c r="O74" t="n">
        <v>2</v>
      </c>
      <c r="P74" t="n">
        <v>1</v>
      </c>
      <c r="Q74" t="n">
        <v>7</v>
      </c>
      <c r="R74" s="2" t="inlineStr">
        <is>
          <t>Gulsträngad fagerspindling
Odörspindling
Anisspindling
Fjällig taggsvamp s.str.
Nästrot
Rödfläckig zontaggsvamp
Skarp dropptaggsvamp</t>
        </is>
      </c>
      <c r="S74">
        <f>HYPERLINK("https://klasma.github.io/Logging_0980/artfynd/A 16786-2020 artfynd.xlsx", "A 16786-2020")</f>
        <v/>
      </c>
      <c r="T74">
        <f>HYPERLINK("https://klasma.github.io/Logging_0980/kartor/A 16786-2020 karta.png", "A 16786-2020")</f>
        <v/>
      </c>
      <c r="V74">
        <f>HYPERLINK("https://klasma.github.io/Logging_0980/klagomål/A 16786-2020 FSC-klagomål.docx", "A 16786-2020")</f>
        <v/>
      </c>
      <c r="W74">
        <f>HYPERLINK("https://klasma.github.io/Logging_0980/klagomålsmail/A 16786-2020 FSC-klagomål mail.docx", "A 16786-2020")</f>
        <v/>
      </c>
      <c r="X74">
        <f>HYPERLINK("https://klasma.github.io/Logging_0980/tillsyn/A 16786-2020 tillsynsbegäran.docx", "A 16786-2020")</f>
        <v/>
      </c>
      <c r="Y74">
        <f>HYPERLINK("https://klasma.github.io/Logging_0980/tillsynsmail/A 16786-2020 tillsynsbegäran mail.docx", "A 16786-2020")</f>
        <v/>
      </c>
    </row>
    <row r="75" ht="15" customHeight="1">
      <c r="A75" t="inlineStr">
        <is>
          <t>A 25887-2020</t>
        </is>
      </c>
      <c r="B75" s="1" t="n">
        <v>43984</v>
      </c>
      <c r="C75" s="1" t="n">
        <v>45844</v>
      </c>
      <c r="D75" t="inlineStr">
        <is>
          <t>GOTLANDS LÄN</t>
        </is>
      </c>
      <c r="E75" t="inlineStr">
        <is>
          <t>GOTLAND</t>
        </is>
      </c>
      <c r="G75" t="n">
        <v>4.7</v>
      </c>
      <c r="H75" t="n">
        <v>1</v>
      </c>
      <c r="I75" t="n">
        <v>4</v>
      </c>
      <c r="J75" t="n">
        <v>1</v>
      </c>
      <c r="K75" t="n">
        <v>2</v>
      </c>
      <c r="L75" t="n">
        <v>0</v>
      </c>
      <c r="M75" t="n">
        <v>0</v>
      </c>
      <c r="N75" t="n">
        <v>0</v>
      </c>
      <c r="O75" t="n">
        <v>3</v>
      </c>
      <c r="P75" t="n">
        <v>2</v>
      </c>
      <c r="Q75" t="n">
        <v>7</v>
      </c>
      <c r="R75" s="2" t="inlineStr">
        <is>
          <t>Pluggtrattskivling
Svartgrön spindling
Odörspindling
Anisspindling
Blå slemspindling
Fjällig taggsvamp s.str.
Nästrot</t>
        </is>
      </c>
      <c r="S75">
        <f>HYPERLINK("https://klasma.github.io/Logging_0980/artfynd/A 25887-2020 artfynd.xlsx", "A 25887-2020")</f>
        <v/>
      </c>
      <c r="T75">
        <f>HYPERLINK("https://klasma.github.io/Logging_0980/kartor/A 25887-2020 karta.png", "A 25887-2020")</f>
        <v/>
      </c>
      <c r="V75">
        <f>HYPERLINK("https://klasma.github.io/Logging_0980/klagomål/A 25887-2020 FSC-klagomål.docx", "A 25887-2020")</f>
        <v/>
      </c>
      <c r="W75">
        <f>HYPERLINK("https://klasma.github.io/Logging_0980/klagomålsmail/A 25887-2020 FSC-klagomål mail.docx", "A 25887-2020")</f>
        <v/>
      </c>
      <c r="X75">
        <f>HYPERLINK("https://klasma.github.io/Logging_0980/tillsyn/A 25887-2020 tillsynsbegäran.docx", "A 25887-2020")</f>
        <v/>
      </c>
      <c r="Y75">
        <f>HYPERLINK("https://klasma.github.io/Logging_0980/tillsynsmail/A 25887-2020 tillsynsbegäran mail.docx", "A 25887-2020")</f>
        <v/>
      </c>
    </row>
    <row r="76" ht="15" customHeight="1">
      <c r="A76" t="inlineStr">
        <is>
          <t>A 27280-2023</t>
        </is>
      </c>
      <c r="B76" s="1" t="n">
        <v>45096</v>
      </c>
      <c r="C76" s="1" t="n">
        <v>45844</v>
      </c>
      <c r="D76" t="inlineStr">
        <is>
          <t>GOTLANDS LÄN</t>
        </is>
      </c>
      <c r="E76" t="inlineStr">
        <is>
          <t>GOTLAND</t>
        </is>
      </c>
      <c r="G76" t="n">
        <v>2.7</v>
      </c>
      <c r="H76" t="n">
        <v>7</v>
      </c>
      <c r="I76" t="n">
        <v>2</v>
      </c>
      <c r="J76" t="n">
        <v>1</v>
      </c>
      <c r="K76" t="n">
        <v>0</v>
      </c>
      <c r="L76" t="n">
        <v>0</v>
      </c>
      <c r="M76" t="n">
        <v>0</v>
      </c>
      <c r="N76" t="n">
        <v>0</v>
      </c>
      <c r="O76" t="n">
        <v>1</v>
      </c>
      <c r="P76" t="n">
        <v>0</v>
      </c>
      <c r="Q76" t="n">
        <v>7</v>
      </c>
      <c r="R76" s="2" t="inlineStr">
        <is>
          <t>Mindre hackspett
Skogsknipprot
Tvåblad
Brudsporre
Fläcknycklar
Grönvit nattviol
Nattviol</t>
        </is>
      </c>
      <c r="S76">
        <f>HYPERLINK("https://klasma.github.io/Logging_0980/artfynd/A 27280-2023 artfynd.xlsx", "A 27280-2023")</f>
        <v/>
      </c>
      <c r="T76">
        <f>HYPERLINK("https://klasma.github.io/Logging_0980/kartor/A 27280-2023 karta.png", "A 27280-2023")</f>
        <v/>
      </c>
      <c r="V76">
        <f>HYPERLINK("https://klasma.github.io/Logging_0980/klagomål/A 27280-2023 FSC-klagomål.docx", "A 27280-2023")</f>
        <v/>
      </c>
      <c r="W76">
        <f>HYPERLINK("https://klasma.github.io/Logging_0980/klagomålsmail/A 27280-2023 FSC-klagomål mail.docx", "A 27280-2023")</f>
        <v/>
      </c>
      <c r="X76">
        <f>HYPERLINK("https://klasma.github.io/Logging_0980/tillsyn/A 27280-2023 tillsynsbegäran.docx", "A 27280-2023")</f>
        <v/>
      </c>
      <c r="Y76">
        <f>HYPERLINK("https://klasma.github.io/Logging_0980/tillsynsmail/A 27280-2023 tillsynsbegäran mail.docx", "A 27280-2023")</f>
        <v/>
      </c>
      <c r="Z76">
        <f>HYPERLINK("https://klasma.github.io/Logging_0980/fåglar/A 27280-2023 prioriterade fågelarter.docx", "A 27280-2023")</f>
        <v/>
      </c>
    </row>
    <row r="77" ht="15" customHeight="1">
      <c r="A77" t="inlineStr">
        <is>
          <t>A 18541-2024</t>
        </is>
      </c>
      <c r="B77" s="1" t="n">
        <v>45425</v>
      </c>
      <c r="C77" s="1" t="n">
        <v>45844</v>
      </c>
      <c r="D77" t="inlineStr">
        <is>
          <t>GOTLANDS LÄN</t>
        </is>
      </c>
      <c r="E77" t="inlineStr">
        <is>
          <t>GOTLAND</t>
        </is>
      </c>
      <c r="F77" t="inlineStr">
        <is>
          <t>Övriga statliga verk och myndigheter</t>
        </is>
      </c>
      <c r="G77" t="n">
        <v>2.2</v>
      </c>
      <c r="H77" t="n">
        <v>6</v>
      </c>
      <c r="I77" t="n">
        <v>1</v>
      </c>
      <c r="J77" t="n">
        <v>2</v>
      </c>
      <c r="K77" t="n">
        <v>1</v>
      </c>
      <c r="L77" t="n">
        <v>0</v>
      </c>
      <c r="M77" t="n">
        <v>0</v>
      </c>
      <c r="N77" t="n">
        <v>0</v>
      </c>
      <c r="O77" t="n">
        <v>3</v>
      </c>
      <c r="P77" t="n">
        <v>1</v>
      </c>
      <c r="Q77" t="n">
        <v>7</v>
      </c>
      <c r="R77" s="2" t="inlineStr">
        <is>
          <t>Garderönn
Dårgräsfjäril
Svinrot
Nästrot
Kungsfågel
Skogsduva
Fläcknycklar</t>
        </is>
      </c>
      <c r="S77">
        <f>HYPERLINK("https://klasma.github.io/Logging_0980/artfynd/A 18541-2024 artfynd.xlsx", "A 18541-2024")</f>
        <v/>
      </c>
      <c r="T77">
        <f>HYPERLINK("https://klasma.github.io/Logging_0980/kartor/A 18541-2024 karta.png", "A 18541-2024")</f>
        <v/>
      </c>
      <c r="V77">
        <f>HYPERLINK("https://klasma.github.io/Logging_0980/klagomål/A 18541-2024 FSC-klagomål.docx", "A 18541-2024")</f>
        <v/>
      </c>
      <c r="W77">
        <f>HYPERLINK("https://klasma.github.io/Logging_0980/klagomålsmail/A 18541-2024 FSC-klagomål mail.docx", "A 18541-2024")</f>
        <v/>
      </c>
      <c r="X77">
        <f>HYPERLINK("https://klasma.github.io/Logging_0980/tillsyn/A 18541-2024 tillsynsbegäran.docx", "A 18541-2024")</f>
        <v/>
      </c>
      <c r="Y77">
        <f>HYPERLINK("https://klasma.github.io/Logging_0980/tillsynsmail/A 18541-2024 tillsynsbegäran mail.docx", "A 18541-2024")</f>
        <v/>
      </c>
      <c r="Z77">
        <f>HYPERLINK("https://klasma.github.io/Logging_0980/fåglar/A 18541-2024 prioriterade fågelarter.docx", "A 18541-2024")</f>
        <v/>
      </c>
    </row>
    <row r="78" ht="15" customHeight="1">
      <c r="A78" t="inlineStr">
        <is>
          <t>A 4572-2025</t>
        </is>
      </c>
      <c r="B78" s="1" t="n">
        <v>45687</v>
      </c>
      <c r="C78" s="1" t="n">
        <v>45844</v>
      </c>
      <c r="D78" t="inlineStr">
        <is>
          <t>GOTLANDS LÄN</t>
        </is>
      </c>
      <c r="E78" t="inlineStr">
        <is>
          <t>GOTLAND</t>
        </is>
      </c>
      <c r="G78" t="n">
        <v>6.2</v>
      </c>
      <c r="H78" t="n">
        <v>5</v>
      </c>
      <c r="I78" t="n">
        <v>1</v>
      </c>
      <c r="J78" t="n">
        <v>3</v>
      </c>
      <c r="K78" t="n">
        <v>0</v>
      </c>
      <c r="L78" t="n">
        <v>1</v>
      </c>
      <c r="M78" t="n">
        <v>0</v>
      </c>
      <c r="N78" t="n">
        <v>0</v>
      </c>
      <c r="O78" t="n">
        <v>4</v>
      </c>
      <c r="P78" t="n">
        <v>1</v>
      </c>
      <c r="Q78" t="n">
        <v>7</v>
      </c>
      <c r="R78" s="2" t="inlineStr">
        <is>
          <t>Brun glada
Axveronika
Solvända
Spillkråka
Skogsknipprot
Sankt pers nycklar
Blåsippa</t>
        </is>
      </c>
      <c r="S78">
        <f>HYPERLINK("https://klasma.github.io/Logging_0980/artfynd/A 4572-2025 artfynd.xlsx", "A 4572-2025")</f>
        <v/>
      </c>
      <c r="T78">
        <f>HYPERLINK("https://klasma.github.io/Logging_0980/kartor/A 4572-2025 karta.png", "A 4572-2025")</f>
        <v/>
      </c>
      <c r="V78">
        <f>HYPERLINK("https://klasma.github.io/Logging_0980/klagomål/A 4572-2025 FSC-klagomål.docx", "A 4572-2025")</f>
        <v/>
      </c>
      <c r="W78">
        <f>HYPERLINK("https://klasma.github.io/Logging_0980/klagomålsmail/A 4572-2025 FSC-klagomål mail.docx", "A 4572-2025")</f>
        <v/>
      </c>
      <c r="X78">
        <f>HYPERLINK("https://klasma.github.io/Logging_0980/tillsyn/A 4572-2025 tillsynsbegäran.docx", "A 4572-2025")</f>
        <v/>
      </c>
      <c r="Y78">
        <f>HYPERLINK("https://klasma.github.io/Logging_0980/tillsynsmail/A 4572-2025 tillsynsbegäran mail.docx", "A 4572-2025")</f>
        <v/>
      </c>
      <c r="Z78">
        <f>HYPERLINK("https://klasma.github.io/Logging_0980/fåglar/A 4572-2025 prioriterade fågelarter.docx", "A 4572-2025")</f>
        <v/>
      </c>
    </row>
    <row r="79" ht="15" customHeight="1">
      <c r="A79" t="inlineStr">
        <is>
          <t>A 6960-2025</t>
        </is>
      </c>
      <c r="B79" s="1" t="n">
        <v>45701</v>
      </c>
      <c r="C79" s="1" t="n">
        <v>45844</v>
      </c>
      <c r="D79" t="inlineStr">
        <is>
          <t>GOTLANDS LÄN</t>
        </is>
      </c>
      <c r="E79" t="inlineStr">
        <is>
          <t>GOTLAND</t>
        </is>
      </c>
      <c r="G79" t="n">
        <v>4</v>
      </c>
      <c r="H79" t="n">
        <v>4</v>
      </c>
      <c r="I79" t="n">
        <v>1</v>
      </c>
      <c r="J79" t="n">
        <v>4</v>
      </c>
      <c r="K79" t="n">
        <v>0</v>
      </c>
      <c r="L79" t="n">
        <v>0</v>
      </c>
      <c r="M79" t="n">
        <v>0</v>
      </c>
      <c r="N79" t="n">
        <v>0</v>
      </c>
      <c r="O79" t="n">
        <v>4</v>
      </c>
      <c r="P79" t="n">
        <v>0</v>
      </c>
      <c r="Q79" t="n">
        <v>7</v>
      </c>
      <c r="R79" s="2" t="inlineStr">
        <is>
          <t>Majviva
Spillkråka
Svinrot
Ängsstarr
Skogsknipprot
Dactylorhiza incarnata subsp. incarnata
Nattviol</t>
        </is>
      </c>
      <c r="S79">
        <f>HYPERLINK("https://klasma.github.io/Logging_0980/artfynd/A 6960-2025 artfynd.xlsx", "A 6960-2025")</f>
        <v/>
      </c>
      <c r="T79">
        <f>HYPERLINK("https://klasma.github.io/Logging_0980/kartor/A 6960-2025 karta.png", "A 6960-2025")</f>
        <v/>
      </c>
      <c r="U79">
        <f>HYPERLINK("https://klasma.github.io/Logging_0980/knärot/A 6960-2025 karta knärot.png", "A 6960-2025")</f>
        <v/>
      </c>
      <c r="V79">
        <f>HYPERLINK("https://klasma.github.io/Logging_0980/klagomål/A 6960-2025 FSC-klagomål.docx", "A 6960-2025")</f>
        <v/>
      </c>
      <c r="W79">
        <f>HYPERLINK("https://klasma.github.io/Logging_0980/klagomålsmail/A 6960-2025 FSC-klagomål mail.docx", "A 6960-2025")</f>
        <v/>
      </c>
      <c r="X79">
        <f>HYPERLINK("https://klasma.github.io/Logging_0980/tillsyn/A 6960-2025 tillsynsbegäran.docx", "A 6960-2025")</f>
        <v/>
      </c>
      <c r="Y79">
        <f>HYPERLINK("https://klasma.github.io/Logging_0980/tillsynsmail/A 6960-2025 tillsynsbegäran mail.docx", "A 6960-2025")</f>
        <v/>
      </c>
      <c r="Z79">
        <f>HYPERLINK("https://klasma.github.io/Logging_0980/fåglar/A 6960-2025 prioriterade fågelarter.docx", "A 6960-2025")</f>
        <v/>
      </c>
    </row>
    <row r="80" ht="15" customHeight="1">
      <c r="A80" t="inlineStr">
        <is>
          <t>A 10419-2025</t>
        </is>
      </c>
      <c r="B80" s="1" t="n">
        <v>45720</v>
      </c>
      <c r="C80" s="1" t="n">
        <v>45844</v>
      </c>
      <c r="D80" t="inlineStr">
        <is>
          <t>GOTLANDS LÄN</t>
        </is>
      </c>
      <c r="E80" t="inlineStr">
        <is>
          <t>GOTLAND</t>
        </is>
      </c>
      <c r="G80" t="n">
        <v>1.2</v>
      </c>
      <c r="H80" t="n">
        <v>0</v>
      </c>
      <c r="I80" t="n">
        <v>5</v>
      </c>
      <c r="J80" t="n">
        <v>0</v>
      </c>
      <c r="K80" t="n">
        <v>2</v>
      </c>
      <c r="L80" t="n">
        <v>0</v>
      </c>
      <c r="M80" t="n">
        <v>0</v>
      </c>
      <c r="N80" t="n">
        <v>0</v>
      </c>
      <c r="O80" t="n">
        <v>2</v>
      </c>
      <c r="P80" t="n">
        <v>2</v>
      </c>
      <c r="Q80" t="n">
        <v>7</v>
      </c>
      <c r="R80" s="2" t="inlineStr">
        <is>
          <t>Mörkfjällig olivspindling
Violettfläckig spindling
Anisspindling
Blå slemspindling
Fjällig taggsvamp s.str.
Kryddspindling
Olivspindling</t>
        </is>
      </c>
      <c r="S80">
        <f>HYPERLINK("https://klasma.github.io/Logging_090980/artfynd/A 10419-2025 artfynd.xlsx", "A 10419-2025")</f>
        <v/>
      </c>
      <c r="T80">
        <f>HYPERLINK("https://klasma.github.io/Logging_090980/kartor/A 10419-2025 karta.png", "A 10419-2025")</f>
        <v/>
      </c>
      <c r="V80">
        <f>HYPERLINK("https://klasma.github.io/Logging_090980/klagomål/A 10419-2025 FSC-klagomål.docx", "A 10419-2025")</f>
        <v/>
      </c>
      <c r="W80">
        <f>HYPERLINK("https://klasma.github.io/Logging_090980/klagomålsmail/A 10419-2025 FSC-klagomål mail.docx", "A 10419-2025")</f>
        <v/>
      </c>
      <c r="X80">
        <f>HYPERLINK("https://klasma.github.io/Logging_090980/tillsyn/A 10419-2025 tillsynsbegäran.docx", "A 10419-2025")</f>
        <v/>
      </c>
      <c r="Y80">
        <f>HYPERLINK("https://klasma.github.io/Logging_090980/tillsynsmail/A 10419-2025 tillsynsbegäran mail.docx", "A 10419-2025")</f>
        <v/>
      </c>
    </row>
    <row r="81" ht="15" customHeight="1">
      <c r="A81" t="inlineStr">
        <is>
          <t>A 16353-2025</t>
        </is>
      </c>
      <c r="B81" s="1" t="n">
        <v>45751</v>
      </c>
      <c r="C81" s="1" t="n">
        <v>45844</v>
      </c>
      <c r="D81" t="inlineStr">
        <is>
          <t>GOTLANDS LÄN</t>
        </is>
      </c>
      <c r="E81" t="inlineStr">
        <is>
          <t>GOTLAND</t>
        </is>
      </c>
      <c r="G81" t="n">
        <v>8.800000000000001</v>
      </c>
      <c r="H81" t="n">
        <v>0</v>
      </c>
      <c r="I81" t="n">
        <v>6</v>
      </c>
      <c r="J81" t="n">
        <v>1</v>
      </c>
      <c r="K81" t="n">
        <v>0</v>
      </c>
      <c r="L81" t="n">
        <v>0</v>
      </c>
      <c r="M81" t="n">
        <v>0</v>
      </c>
      <c r="N81" t="n">
        <v>0</v>
      </c>
      <c r="O81" t="n">
        <v>1</v>
      </c>
      <c r="P81" t="n">
        <v>0</v>
      </c>
      <c r="Q81" t="n">
        <v>7</v>
      </c>
      <c r="R81" s="2" t="inlineStr">
        <is>
          <t>Flattoppad klubbsvamp
Anisspindling
Fjällig taggsvamp s.str.
Guldkremla
Kryddspindling
Rödgul trumpetsvamp
Svavelriska</t>
        </is>
      </c>
      <c r="S81">
        <f>HYPERLINK("https://klasma.github.io/Logging_090980/artfynd/A 16353-2025 artfynd.xlsx", "A 16353-2025")</f>
        <v/>
      </c>
      <c r="T81">
        <f>HYPERLINK("https://klasma.github.io/Logging_090980/kartor/A 16353-2025 karta.png", "A 16353-2025")</f>
        <v/>
      </c>
      <c r="V81">
        <f>HYPERLINK("https://klasma.github.io/Logging_090980/klagomål/A 16353-2025 FSC-klagomål.docx", "A 16353-2025")</f>
        <v/>
      </c>
      <c r="W81">
        <f>HYPERLINK("https://klasma.github.io/Logging_090980/klagomålsmail/A 16353-2025 FSC-klagomål mail.docx", "A 16353-2025")</f>
        <v/>
      </c>
      <c r="X81">
        <f>HYPERLINK("https://klasma.github.io/Logging_090980/tillsyn/A 16353-2025 tillsynsbegäran.docx", "A 16353-2025")</f>
        <v/>
      </c>
      <c r="Y81">
        <f>HYPERLINK("https://klasma.github.io/Logging_090980/tillsynsmail/A 16353-2025 tillsynsbegäran mail.docx", "A 16353-2025")</f>
        <v/>
      </c>
    </row>
    <row r="82" ht="15" customHeight="1">
      <c r="A82" t="inlineStr">
        <is>
          <t>A 65819-2020</t>
        </is>
      </c>
      <c r="B82" s="1" t="n">
        <v>44174</v>
      </c>
      <c r="C82" s="1" t="n">
        <v>45844</v>
      </c>
      <c r="D82" t="inlineStr">
        <is>
          <t>GOTLANDS LÄN</t>
        </is>
      </c>
      <c r="E82" t="inlineStr">
        <is>
          <t>GOTLAND</t>
        </is>
      </c>
      <c r="G82" t="n">
        <v>4.3</v>
      </c>
      <c r="H82" t="n">
        <v>1</v>
      </c>
      <c r="I82" t="n">
        <v>3</v>
      </c>
      <c r="J82" t="n">
        <v>1</v>
      </c>
      <c r="K82" t="n">
        <v>2</v>
      </c>
      <c r="L82" t="n">
        <v>0</v>
      </c>
      <c r="M82" t="n">
        <v>0</v>
      </c>
      <c r="N82" t="n">
        <v>0</v>
      </c>
      <c r="O82" t="n">
        <v>3</v>
      </c>
      <c r="P82" t="n">
        <v>2</v>
      </c>
      <c r="Q82" t="n">
        <v>6</v>
      </c>
      <c r="R82" s="2" t="inlineStr">
        <is>
          <t>Tallvaxskivling
Vit taggsvamp
Skugglosta
Blå slemspindling
Kattfotslav
Nästrot</t>
        </is>
      </c>
      <c r="S82">
        <f>HYPERLINK("https://klasma.github.io/Logging_0980/artfynd/A 65819-2020 artfynd.xlsx", "A 65819-2020")</f>
        <v/>
      </c>
      <c r="T82">
        <f>HYPERLINK("https://klasma.github.io/Logging_0980/kartor/A 65819-2020 karta.png", "A 65819-2020")</f>
        <v/>
      </c>
      <c r="V82">
        <f>HYPERLINK("https://klasma.github.io/Logging_0980/klagomål/A 65819-2020 FSC-klagomål.docx", "A 65819-2020")</f>
        <v/>
      </c>
      <c r="W82">
        <f>HYPERLINK("https://klasma.github.io/Logging_0980/klagomålsmail/A 65819-2020 FSC-klagomål mail.docx", "A 65819-2020")</f>
        <v/>
      </c>
      <c r="X82">
        <f>HYPERLINK("https://klasma.github.io/Logging_0980/tillsyn/A 65819-2020 tillsynsbegäran.docx", "A 65819-2020")</f>
        <v/>
      </c>
      <c r="Y82">
        <f>HYPERLINK("https://klasma.github.io/Logging_0980/tillsynsmail/A 65819-2020 tillsynsbegäran mail.docx", "A 65819-2020")</f>
        <v/>
      </c>
    </row>
    <row r="83" ht="15" customHeight="1">
      <c r="A83" t="inlineStr">
        <is>
          <t>A 25205-2021</t>
        </is>
      </c>
      <c r="B83" s="1" t="n">
        <v>44342</v>
      </c>
      <c r="C83" s="1" t="n">
        <v>45844</v>
      </c>
      <c r="D83" t="inlineStr">
        <is>
          <t>GOTLANDS LÄN</t>
        </is>
      </c>
      <c r="E83" t="inlineStr">
        <is>
          <t>GOTLAND</t>
        </is>
      </c>
      <c r="G83" t="n">
        <v>2.8</v>
      </c>
      <c r="H83" t="n">
        <v>0</v>
      </c>
      <c r="I83" t="n">
        <v>4</v>
      </c>
      <c r="J83" t="n">
        <v>0</v>
      </c>
      <c r="K83" t="n">
        <v>1</v>
      </c>
      <c r="L83" t="n">
        <v>1</v>
      </c>
      <c r="M83" t="n">
        <v>0</v>
      </c>
      <c r="N83" t="n">
        <v>0</v>
      </c>
      <c r="O83" t="n">
        <v>2</v>
      </c>
      <c r="P83" t="n">
        <v>2</v>
      </c>
      <c r="Q83" t="n">
        <v>6</v>
      </c>
      <c r="R83" s="2" t="inlineStr">
        <is>
          <t>Ädellav
Mörk kraterlav
Hasselticka
Lönnlav
Rikfruktig blemlav
Slät lönnlav</t>
        </is>
      </c>
      <c r="S83">
        <f>HYPERLINK("https://klasma.github.io/Logging_0980/artfynd/A 25205-2021 artfynd.xlsx", "A 25205-2021")</f>
        <v/>
      </c>
      <c r="T83">
        <f>HYPERLINK("https://klasma.github.io/Logging_0980/kartor/A 25205-2021 karta.png", "A 25205-2021")</f>
        <v/>
      </c>
      <c r="V83">
        <f>HYPERLINK("https://klasma.github.io/Logging_0980/klagomål/A 25205-2021 FSC-klagomål.docx", "A 25205-2021")</f>
        <v/>
      </c>
      <c r="W83">
        <f>HYPERLINK("https://klasma.github.io/Logging_0980/klagomålsmail/A 25205-2021 FSC-klagomål mail.docx", "A 25205-2021")</f>
        <v/>
      </c>
      <c r="X83">
        <f>HYPERLINK("https://klasma.github.io/Logging_0980/tillsyn/A 25205-2021 tillsynsbegäran.docx", "A 25205-2021")</f>
        <v/>
      </c>
      <c r="Y83">
        <f>HYPERLINK("https://klasma.github.io/Logging_0980/tillsynsmail/A 25205-2021 tillsynsbegäran mail.docx", "A 25205-2021")</f>
        <v/>
      </c>
    </row>
    <row r="84" ht="15" customHeight="1">
      <c r="A84" t="inlineStr">
        <is>
          <t>A 59865-2022</t>
        </is>
      </c>
      <c r="B84" s="1" t="n">
        <v>44908</v>
      </c>
      <c r="C84" s="1" t="n">
        <v>45844</v>
      </c>
      <c r="D84" t="inlineStr">
        <is>
          <t>GOTLANDS LÄN</t>
        </is>
      </c>
      <c r="E84" t="inlineStr">
        <is>
          <t>GOTLAND</t>
        </is>
      </c>
      <c r="G84" t="n">
        <v>2.7</v>
      </c>
      <c r="H84" t="n">
        <v>0</v>
      </c>
      <c r="I84" t="n">
        <v>2</v>
      </c>
      <c r="J84" t="n">
        <v>2</v>
      </c>
      <c r="K84" t="n">
        <v>2</v>
      </c>
      <c r="L84" t="n">
        <v>0</v>
      </c>
      <c r="M84" t="n">
        <v>0</v>
      </c>
      <c r="N84" t="n">
        <v>0</v>
      </c>
      <c r="O84" t="n">
        <v>4</v>
      </c>
      <c r="P84" t="n">
        <v>2</v>
      </c>
      <c r="Q84" t="n">
        <v>6</v>
      </c>
      <c r="R84" s="2" t="inlineStr">
        <is>
          <t>Granrotsspindling
Svartgrön spindling
Denisespindling
Doftskinn
Blå slemspindling
Svavelriska</t>
        </is>
      </c>
      <c r="S84">
        <f>HYPERLINK("https://klasma.github.io/Logging_0980/artfynd/A 59865-2022 artfynd.xlsx", "A 59865-2022")</f>
        <v/>
      </c>
      <c r="T84">
        <f>HYPERLINK("https://klasma.github.io/Logging_0980/kartor/A 59865-2022 karta.png", "A 59865-2022")</f>
        <v/>
      </c>
      <c r="V84">
        <f>HYPERLINK("https://klasma.github.io/Logging_0980/klagomål/A 59865-2022 FSC-klagomål.docx", "A 59865-2022")</f>
        <v/>
      </c>
      <c r="W84">
        <f>HYPERLINK("https://klasma.github.io/Logging_0980/klagomålsmail/A 59865-2022 FSC-klagomål mail.docx", "A 59865-2022")</f>
        <v/>
      </c>
      <c r="X84">
        <f>HYPERLINK("https://klasma.github.io/Logging_0980/tillsyn/A 59865-2022 tillsynsbegäran.docx", "A 59865-2022")</f>
        <v/>
      </c>
      <c r="Y84">
        <f>HYPERLINK("https://klasma.github.io/Logging_0980/tillsynsmail/A 59865-2022 tillsynsbegäran mail.docx", "A 59865-2022")</f>
        <v/>
      </c>
    </row>
    <row r="85" ht="15" customHeight="1">
      <c r="A85" t="inlineStr">
        <is>
          <t>A 446-2023</t>
        </is>
      </c>
      <c r="B85" s="1" t="n">
        <v>44929</v>
      </c>
      <c r="C85" s="1" t="n">
        <v>45844</v>
      </c>
      <c r="D85" t="inlineStr">
        <is>
          <t>GOTLANDS LÄN</t>
        </is>
      </c>
      <c r="E85" t="inlineStr">
        <is>
          <t>GOTLAND</t>
        </is>
      </c>
      <c r="G85" t="n">
        <v>7.1</v>
      </c>
      <c r="H85" t="n">
        <v>2</v>
      </c>
      <c r="I85" t="n">
        <v>3</v>
      </c>
      <c r="J85" t="n">
        <v>2</v>
      </c>
      <c r="K85" t="n">
        <v>1</v>
      </c>
      <c r="L85" t="n">
        <v>0</v>
      </c>
      <c r="M85" t="n">
        <v>0</v>
      </c>
      <c r="N85" t="n">
        <v>0</v>
      </c>
      <c r="O85" t="n">
        <v>3</v>
      </c>
      <c r="P85" t="n">
        <v>1</v>
      </c>
      <c r="Q85" t="n">
        <v>6</v>
      </c>
      <c r="R85" s="2" t="inlineStr">
        <is>
          <t>Svartgrön spindling
Spillkråka
Äggspindling
Kastanjefjällskivling
Skogsknipprot
Svavelriska</t>
        </is>
      </c>
      <c r="S85">
        <f>HYPERLINK("https://klasma.github.io/Logging_0980/artfynd/A 446-2023 artfynd.xlsx", "A 446-2023")</f>
        <v/>
      </c>
      <c r="T85">
        <f>HYPERLINK("https://klasma.github.io/Logging_0980/kartor/A 446-2023 karta.png", "A 446-2023")</f>
        <v/>
      </c>
      <c r="V85">
        <f>HYPERLINK("https://klasma.github.io/Logging_0980/klagomål/A 446-2023 FSC-klagomål.docx", "A 446-2023")</f>
        <v/>
      </c>
      <c r="W85">
        <f>HYPERLINK("https://klasma.github.io/Logging_0980/klagomålsmail/A 446-2023 FSC-klagomål mail.docx", "A 446-2023")</f>
        <v/>
      </c>
      <c r="X85">
        <f>HYPERLINK("https://klasma.github.io/Logging_0980/tillsyn/A 446-2023 tillsynsbegäran.docx", "A 446-2023")</f>
        <v/>
      </c>
      <c r="Y85">
        <f>HYPERLINK("https://klasma.github.io/Logging_0980/tillsynsmail/A 446-2023 tillsynsbegäran mail.docx", "A 446-2023")</f>
        <v/>
      </c>
      <c r="Z85">
        <f>HYPERLINK("https://klasma.github.io/Logging_0980/fåglar/A 446-2023 prioriterade fågelarter.docx", "A 446-2023")</f>
        <v/>
      </c>
    </row>
    <row r="86" ht="15" customHeight="1">
      <c r="A86" t="inlineStr">
        <is>
          <t>A 2085-2023</t>
        </is>
      </c>
      <c r="B86" s="1" t="n">
        <v>44939</v>
      </c>
      <c r="C86" s="1" t="n">
        <v>45844</v>
      </c>
      <c r="D86" t="inlineStr">
        <is>
          <t>GOTLANDS LÄN</t>
        </is>
      </c>
      <c r="E86" t="inlineStr">
        <is>
          <t>GOTLAND</t>
        </is>
      </c>
      <c r="G86" t="n">
        <v>0.9</v>
      </c>
      <c r="H86" t="n">
        <v>2</v>
      </c>
      <c r="I86" t="n">
        <v>5</v>
      </c>
      <c r="J86" t="n">
        <v>0</v>
      </c>
      <c r="K86" t="n">
        <v>0</v>
      </c>
      <c r="L86" t="n">
        <v>0</v>
      </c>
      <c r="M86" t="n">
        <v>0</v>
      </c>
      <c r="N86" t="n">
        <v>0</v>
      </c>
      <c r="O86" t="n">
        <v>0</v>
      </c>
      <c r="P86" t="n">
        <v>0</v>
      </c>
      <c r="Q86" t="n">
        <v>6</v>
      </c>
      <c r="R86" s="2" t="inlineStr">
        <is>
          <t>Blå slemspindling
Blåmossa
Kattfotslav
Skogsknipprot
Vågbandad barkbock
Skogsduva</t>
        </is>
      </c>
      <c r="S86">
        <f>HYPERLINK("https://klasma.github.io/Logging_0980/artfynd/A 2085-2023 artfynd.xlsx", "A 2085-2023")</f>
        <v/>
      </c>
      <c r="T86">
        <f>HYPERLINK("https://klasma.github.io/Logging_0980/kartor/A 2085-2023 karta.png", "A 2085-2023")</f>
        <v/>
      </c>
      <c r="V86">
        <f>HYPERLINK("https://klasma.github.io/Logging_0980/klagomål/A 2085-2023 FSC-klagomål.docx", "A 2085-2023")</f>
        <v/>
      </c>
      <c r="W86">
        <f>HYPERLINK("https://klasma.github.io/Logging_0980/klagomålsmail/A 2085-2023 FSC-klagomål mail.docx", "A 2085-2023")</f>
        <v/>
      </c>
      <c r="X86">
        <f>HYPERLINK("https://klasma.github.io/Logging_0980/tillsyn/A 2085-2023 tillsynsbegäran.docx", "A 2085-2023")</f>
        <v/>
      </c>
      <c r="Y86">
        <f>HYPERLINK("https://klasma.github.io/Logging_0980/tillsynsmail/A 2085-2023 tillsynsbegäran mail.docx", "A 2085-2023")</f>
        <v/>
      </c>
      <c r="Z86">
        <f>HYPERLINK("https://klasma.github.io/Logging_0980/fåglar/A 2085-2023 prioriterade fågelarter.docx", "A 2085-2023")</f>
        <v/>
      </c>
    </row>
    <row r="87" ht="15" customHeight="1">
      <c r="A87" t="inlineStr">
        <is>
          <t>A 7038-2023</t>
        </is>
      </c>
      <c r="B87" s="1" t="n">
        <v>44968</v>
      </c>
      <c r="C87" s="1" t="n">
        <v>45844</v>
      </c>
      <c r="D87" t="inlineStr">
        <is>
          <t>GOTLANDS LÄN</t>
        </is>
      </c>
      <c r="E87" t="inlineStr">
        <is>
          <t>GOTLAND</t>
        </is>
      </c>
      <c r="G87" t="n">
        <v>5.2</v>
      </c>
      <c r="H87" t="n">
        <v>1</v>
      </c>
      <c r="I87" t="n">
        <v>1</v>
      </c>
      <c r="J87" t="n">
        <v>1</v>
      </c>
      <c r="K87" t="n">
        <v>0</v>
      </c>
      <c r="L87" t="n">
        <v>2</v>
      </c>
      <c r="M87" t="n">
        <v>0</v>
      </c>
      <c r="N87" t="n">
        <v>0</v>
      </c>
      <c r="O87" t="n">
        <v>5</v>
      </c>
      <c r="P87" t="n">
        <v>2</v>
      </c>
      <c r="Q87" t="n">
        <v>6</v>
      </c>
      <c r="R87" s="2" t="inlineStr">
        <is>
          <t>Liten ädellav
Ädellav
Dårgräsfjäril
Blemlavsklotter
Frostig asplav
Havstulpanlav</t>
        </is>
      </c>
      <c r="S87">
        <f>HYPERLINK("https://klasma.github.io/Logging_0980/artfynd/A 7038-2023 artfynd.xlsx", "A 7038-2023")</f>
        <v/>
      </c>
      <c r="T87">
        <f>HYPERLINK("https://klasma.github.io/Logging_0980/kartor/A 7038-2023 karta.png", "A 7038-2023")</f>
        <v/>
      </c>
      <c r="V87">
        <f>HYPERLINK("https://klasma.github.io/Logging_0980/klagomål/A 7038-2023 FSC-klagomål.docx", "A 7038-2023")</f>
        <v/>
      </c>
      <c r="W87">
        <f>HYPERLINK("https://klasma.github.io/Logging_0980/klagomålsmail/A 7038-2023 FSC-klagomål mail.docx", "A 7038-2023")</f>
        <v/>
      </c>
      <c r="X87">
        <f>HYPERLINK("https://klasma.github.io/Logging_0980/tillsyn/A 7038-2023 tillsynsbegäran.docx", "A 7038-2023")</f>
        <v/>
      </c>
      <c r="Y87">
        <f>HYPERLINK("https://klasma.github.io/Logging_0980/tillsynsmail/A 7038-2023 tillsynsbegäran mail.docx", "A 7038-2023")</f>
        <v/>
      </c>
    </row>
    <row r="88" ht="15" customHeight="1">
      <c r="A88" t="inlineStr">
        <is>
          <t>A 43199-2023</t>
        </is>
      </c>
      <c r="B88" s="1" t="n">
        <v>45183</v>
      </c>
      <c r="C88" s="1" t="n">
        <v>45844</v>
      </c>
      <c r="D88" t="inlineStr">
        <is>
          <t>GOTLANDS LÄN</t>
        </is>
      </c>
      <c r="E88" t="inlineStr">
        <is>
          <t>GOTLAND</t>
        </is>
      </c>
      <c r="G88" t="n">
        <v>3.8</v>
      </c>
      <c r="H88" t="n">
        <v>2</v>
      </c>
      <c r="I88" t="n">
        <v>4</v>
      </c>
      <c r="J88" t="n">
        <v>0</v>
      </c>
      <c r="K88" t="n">
        <v>1</v>
      </c>
      <c r="L88" t="n">
        <v>1</v>
      </c>
      <c r="M88" t="n">
        <v>0</v>
      </c>
      <c r="N88" t="n">
        <v>0</v>
      </c>
      <c r="O88" t="n">
        <v>2</v>
      </c>
      <c r="P88" t="n">
        <v>2</v>
      </c>
      <c r="Q88" t="n">
        <v>6</v>
      </c>
      <c r="R88" s="2" t="inlineStr">
        <is>
          <t>Ask
Gotlandsmåra
Nästrot
Skogsknipprot
Sårläka
Underviol</t>
        </is>
      </c>
      <c r="S88">
        <f>HYPERLINK("https://klasma.github.io/Logging_0980/artfynd/A 43199-2023 artfynd.xlsx", "A 43199-2023")</f>
        <v/>
      </c>
      <c r="T88">
        <f>HYPERLINK("https://klasma.github.io/Logging_0980/kartor/A 43199-2023 karta.png", "A 43199-2023")</f>
        <v/>
      </c>
      <c r="V88">
        <f>HYPERLINK("https://klasma.github.io/Logging_0980/klagomål/A 43199-2023 FSC-klagomål.docx", "A 43199-2023")</f>
        <v/>
      </c>
      <c r="W88">
        <f>HYPERLINK("https://klasma.github.io/Logging_0980/klagomålsmail/A 43199-2023 FSC-klagomål mail.docx", "A 43199-2023")</f>
        <v/>
      </c>
      <c r="X88">
        <f>HYPERLINK("https://klasma.github.io/Logging_0980/tillsyn/A 43199-2023 tillsynsbegäran.docx", "A 43199-2023")</f>
        <v/>
      </c>
      <c r="Y88">
        <f>HYPERLINK("https://klasma.github.io/Logging_0980/tillsynsmail/A 43199-2023 tillsynsbegäran mail.docx", "A 43199-2023")</f>
        <v/>
      </c>
    </row>
    <row r="89" ht="15" customHeight="1">
      <c r="A89" t="inlineStr">
        <is>
          <t>A 45695-2023</t>
        </is>
      </c>
      <c r="B89" s="1" t="n">
        <v>45195</v>
      </c>
      <c r="C89" s="1" t="n">
        <v>45844</v>
      </c>
      <c r="D89" t="inlineStr">
        <is>
          <t>GOTLANDS LÄN</t>
        </is>
      </c>
      <c r="E89" t="inlineStr">
        <is>
          <t>GOTLAND</t>
        </is>
      </c>
      <c r="G89" t="n">
        <v>20.3</v>
      </c>
      <c r="H89" t="n">
        <v>2</v>
      </c>
      <c r="I89" t="n">
        <v>1</v>
      </c>
      <c r="J89" t="n">
        <v>3</v>
      </c>
      <c r="K89" t="n">
        <v>0</v>
      </c>
      <c r="L89" t="n">
        <v>0</v>
      </c>
      <c r="M89" t="n">
        <v>0</v>
      </c>
      <c r="N89" t="n">
        <v>0</v>
      </c>
      <c r="O89" t="n">
        <v>3</v>
      </c>
      <c r="P89" t="n">
        <v>0</v>
      </c>
      <c r="Q89" t="n">
        <v>6</v>
      </c>
      <c r="R89" s="2" t="inlineStr">
        <is>
          <t>Loppstarr
Majviva
Svinrot
Axag
Brudsporre
Kärrknipprot</t>
        </is>
      </c>
      <c r="S89">
        <f>HYPERLINK("https://klasma.github.io/Logging_0980/artfynd/A 45695-2023 artfynd.xlsx", "A 45695-2023")</f>
        <v/>
      </c>
      <c r="T89">
        <f>HYPERLINK("https://klasma.github.io/Logging_0980/kartor/A 45695-2023 karta.png", "A 45695-2023")</f>
        <v/>
      </c>
      <c r="V89">
        <f>HYPERLINK("https://klasma.github.io/Logging_0980/klagomål/A 45695-2023 FSC-klagomål.docx", "A 45695-2023")</f>
        <v/>
      </c>
      <c r="W89">
        <f>HYPERLINK("https://klasma.github.io/Logging_0980/klagomålsmail/A 45695-2023 FSC-klagomål mail.docx", "A 45695-2023")</f>
        <v/>
      </c>
      <c r="X89">
        <f>HYPERLINK("https://klasma.github.io/Logging_0980/tillsyn/A 45695-2023 tillsynsbegäran.docx", "A 45695-2023")</f>
        <v/>
      </c>
      <c r="Y89">
        <f>HYPERLINK("https://klasma.github.io/Logging_0980/tillsynsmail/A 45695-2023 tillsynsbegäran mail.docx", "A 45695-2023")</f>
        <v/>
      </c>
    </row>
    <row r="90" ht="15" customHeight="1">
      <c r="A90" t="inlineStr">
        <is>
          <t>A 54527-2023</t>
        </is>
      </c>
      <c r="B90" s="1" t="n">
        <v>45233</v>
      </c>
      <c r="C90" s="1" t="n">
        <v>45844</v>
      </c>
      <c r="D90" t="inlineStr">
        <is>
          <t>GOTLANDS LÄN</t>
        </is>
      </c>
      <c r="E90" t="inlineStr">
        <is>
          <t>GOTLAND</t>
        </is>
      </c>
      <c r="G90" t="n">
        <v>28.5</v>
      </c>
      <c r="H90" t="n">
        <v>1</v>
      </c>
      <c r="I90" t="n">
        <v>0</v>
      </c>
      <c r="J90" t="n">
        <v>5</v>
      </c>
      <c r="K90" t="n">
        <v>0</v>
      </c>
      <c r="L90" t="n">
        <v>0</v>
      </c>
      <c r="M90" t="n">
        <v>0</v>
      </c>
      <c r="N90" t="n">
        <v>0</v>
      </c>
      <c r="O90" t="n">
        <v>5</v>
      </c>
      <c r="P90" t="n">
        <v>0</v>
      </c>
      <c r="Q90" t="n">
        <v>6</v>
      </c>
      <c r="R90" s="2" t="inlineStr">
        <is>
          <t>Backstarr
Backtimjan
Jordtistel
Sexfläckig bastardsvärmare
Solvända
Brudsporre</t>
        </is>
      </c>
      <c r="S90">
        <f>HYPERLINK("https://klasma.github.io/Logging_0980/artfynd/A 54527-2023 artfynd.xlsx", "A 54527-2023")</f>
        <v/>
      </c>
      <c r="T90">
        <f>HYPERLINK("https://klasma.github.io/Logging_0980/kartor/A 54527-2023 karta.png", "A 54527-2023")</f>
        <v/>
      </c>
      <c r="V90">
        <f>HYPERLINK("https://klasma.github.io/Logging_0980/klagomål/A 54527-2023 FSC-klagomål.docx", "A 54527-2023")</f>
        <v/>
      </c>
      <c r="W90">
        <f>HYPERLINK("https://klasma.github.io/Logging_0980/klagomålsmail/A 54527-2023 FSC-klagomål mail.docx", "A 54527-2023")</f>
        <v/>
      </c>
      <c r="X90">
        <f>HYPERLINK("https://klasma.github.io/Logging_0980/tillsyn/A 54527-2023 tillsynsbegäran.docx", "A 54527-2023")</f>
        <v/>
      </c>
      <c r="Y90">
        <f>HYPERLINK("https://klasma.github.io/Logging_0980/tillsynsmail/A 54527-2023 tillsynsbegäran mail.docx", "A 54527-2023")</f>
        <v/>
      </c>
    </row>
    <row r="91" ht="15" customHeight="1">
      <c r="A91" t="inlineStr">
        <is>
          <t>A 64658-2023</t>
        </is>
      </c>
      <c r="B91" s="1" t="n">
        <v>45281</v>
      </c>
      <c r="C91" s="1" t="n">
        <v>45844</v>
      </c>
      <c r="D91" t="inlineStr">
        <is>
          <t>GOTLANDS LÄN</t>
        </is>
      </c>
      <c r="E91" t="inlineStr">
        <is>
          <t>GOTLAND</t>
        </is>
      </c>
      <c r="G91" t="n">
        <v>9.699999999999999</v>
      </c>
      <c r="H91" t="n">
        <v>1</v>
      </c>
      <c r="I91" t="n">
        <v>2</v>
      </c>
      <c r="J91" t="n">
        <v>0</v>
      </c>
      <c r="K91" t="n">
        <v>3</v>
      </c>
      <c r="L91" t="n">
        <v>1</v>
      </c>
      <c r="M91" t="n">
        <v>0</v>
      </c>
      <c r="N91" t="n">
        <v>0</v>
      </c>
      <c r="O91" t="n">
        <v>4</v>
      </c>
      <c r="P91" t="n">
        <v>4</v>
      </c>
      <c r="Q91" t="n">
        <v>6</v>
      </c>
      <c r="R91" s="2" t="inlineStr">
        <is>
          <t>Ädellav
Blek kraterlav
Garderönn
Västlig njurlav
Strävlosta
Underviol</t>
        </is>
      </c>
      <c r="S91">
        <f>HYPERLINK("https://klasma.github.io/Logging_0980/artfynd/A 64658-2023 artfynd.xlsx", "A 64658-2023")</f>
        <v/>
      </c>
      <c r="T91">
        <f>HYPERLINK("https://klasma.github.io/Logging_0980/kartor/A 64658-2023 karta.png", "A 64658-2023")</f>
        <v/>
      </c>
      <c r="V91">
        <f>HYPERLINK("https://klasma.github.io/Logging_0980/klagomål/A 64658-2023 FSC-klagomål.docx", "A 64658-2023")</f>
        <v/>
      </c>
      <c r="W91">
        <f>HYPERLINK("https://klasma.github.io/Logging_0980/klagomålsmail/A 64658-2023 FSC-klagomål mail.docx", "A 64658-2023")</f>
        <v/>
      </c>
      <c r="X91">
        <f>HYPERLINK("https://klasma.github.io/Logging_0980/tillsyn/A 64658-2023 tillsynsbegäran.docx", "A 64658-2023")</f>
        <v/>
      </c>
      <c r="Y91">
        <f>HYPERLINK("https://klasma.github.io/Logging_0980/tillsynsmail/A 64658-2023 tillsynsbegäran mail.docx", "A 64658-2023")</f>
        <v/>
      </c>
    </row>
    <row r="92" ht="15" customHeight="1">
      <c r="A92" t="inlineStr">
        <is>
          <t>A 6050-2024</t>
        </is>
      </c>
      <c r="B92" s="1" t="n">
        <v>45336</v>
      </c>
      <c r="C92" s="1" t="n">
        <v>45844</v>
      </c>
      <c r="D92" t="inlineStr">
        <is>
          <t>GOTLANDS LÄN</t>
        </is>
      </c>
      <c r="E92" t="inlineStr">
        <is>
          <t>GOTLAND</t>
        </is>
      </c>
      <c r="G92" t="n">
        <v>5.1</v>
      </c>
      <c r="H92" t="n">
        <v>0</v>
      </c>
      <c r="I92" t="n">
        <v>4</v>
      </c>
      <c r="J92" t="n">
        <v>2</v>
      </c>
      <c r="K92" t="n">
        <v>0</v>
      </c>
      <c r="L92" t="n">
        <v>0</v>
      </c>
      <c r="M92" t="n">
        <v>0</v>
      </c>
      <c r="N92" t="n">
        <v>0</v>
      </c>
      <c r="O92" t="n">
        <v>2</v>
      </c>
      <c r="P92" t="n">
        <v>0</v>
      </c>
      <c r="Q92" t="n">
        <v>6</v>
      </c>
      <c r="R92" s="2" t="inlineStr">
        <is>
          <t>Blek fingersvamp
Vippärt
Anisspindling
Kryddspindling
Olivspindling
Strimspindling</t>
        </is>
      </c>
      <c r="S92">
        <f>HYPERLINK("https://klasma.github.io/Logging_0980/artfynd/A 6050-2024 artfynd.xlsx", "A 6050-2024")</f>
        <v/>
      </c>
      <c r="T92">
        <f>HYPERLINK("https://klasma.github.io/Logging_0980/kartor/A 6050-2024 karta.png", "A 6050-2024")</f>
        <v/>
      </c>
      <c r="V92">
        <f>HYPERLINK("https://klasma.github.io/Logging_0980/klagomål/A 6050-2024 FSC-klagomål.docx", "A 6050-2024")</f>
        <v/>
      </c>
      <c r="W92">
        <f>HYPERLINK("https://klasma.github.io/Logging_0980/klagomålsmail/A 6050-2024 FSC-klagomål mail.docx", "A 6050-2024")</f>
        <v/>
      </c>
      <c r="X92">
        <f>HYPERLINK("https://klasma.github.io/Logging_0980/tillsyn/A 6050-2024 tillsynsbegäran.docx", "A 6050-2024")</f>
        <v/>
      </c>
      <c r="Y92">
        <f>HYPERLINK("https://klasma.github.io/Logging_0980/tillsynsmail/A 6050-2024 tillsynsbegäran mail.docx", "A 6050-2024")</f>
        <v/>
      </c>
    </row>
    <row r="93" ht="15" customHeight="1">
      <c r="A93" t="inlineStr">
        <is>
          <t>A 16823-2024</t>
        </is>
      </c>
      <c r="B93" s="1" t="n">
        <v>45411</v>
      </c>
      <c r="C93" s="1" t="n">
        <v>45844</v>
      </c>
      <c r="D93" t="inlineStr">
        <is>
          <t>GOTLANDS LÄN</t>
        </is>
      </c>
      <c r="E93" t="inlineStr">
        <is>
          <t>GOTLAND</t>
        </is>
      </c>
      <c r="G93" t="n">
        <v>25.4</v>
      </c>
      <c r="H93" t="n">
        <v>5</v>
      </c>
      <c r="I93" t="n">
        <v>1</v>
      </c>
      <c r="J93" t="n">
        <v>2</v>
      </c>
      <c r="K93" t="n">
        <v>0</v>
      </c>
      <c r="L93" t="n">
        <v>0</v>
      </c>
      <c r="M93" t="n">
        <v>0</v>
      </c>
      <c r="N93" t="n">
        <v>0</v>
      </c>
      <c r="O93" t="n">
        <v>2</v>
      </c>
      <c r="P93" t="n">
        <v>0</v>
      </c>
      <c r="Q93" t="n">
        <v>6</v>
      </c>
      <c r="R93" s="2" t="inlineStr">
        <is>
          <t>Gulsparv
Jordtistel
Flugblomster
Brudsporre
Johannesnycklar
Sankt pers nycklar</t>
        </is>
      </c>
      <c r="S93">
        <f>HYPERLINK("https://klasma.github.io/Logging_0980/artfynd/A 16823-2024 artfynd.xlsx", "A 16823-2024")</f>
        <v/>
      </c>
      <c r="T93">
        <f>HYPERLINK("https://klasma.github.io/Logging_0980/kartor/A 16823-2024 karta.png", "A 16823-2024")</f>
        <v/>
      </c>
      <c r="V93">
        <f>HYPERLINK("https://klasma.github.io/Logging_0980/klagomål/A 16823-2024 FSC-klagomål.docx", "A 16823-2024")</f>
        <v/>
      </c>
      <c r="W93">
        <f>HYPERLINK("https://klasma.github.io/Logging_0980/klagomålsmail/A 16823-2024 FSC-klagomål mail.docx", "A 16823-2024")</f>
        <v/>
      </c>
      <c r="X93">
        <f>HYPERLINK("https://klasma.github.io/Logging_0980/tillsyn/A 16823-2024 tillsynsbegäran.docx", "A 16823-2024")</f>
        <v/>
      </c>
      <c r="Y93">
        <f>HYPERLINK("https://klasma.github.io/Logging_0980/tillsynsmail/A 16823-2024 tillsynsbegäran mail.docx", "A 16823-2024")</f>
        <v/>
      </c>
      <c r="Z93">
        <f>HYPERLINK("https://klasma.github.io/Logging_0980/fåglar/A 16823-2024 prioriterade fågelarter.docx", "A 16823-2024")</f>
        <v/>
      </c>
    </row>
    <row r="94" ht="15" customHeight="1">
      <c r="A94" t="inlineStr">
        <is>
          <t>A 45248-2024</t>
        </is>
      </c>
      <c r="B94" s="1" t="n">
        <v>45576</v>
      </c>
      <c r="C94" s="1" t="n">
        <v>45844</v>
      </c>
      <c r="D94" t="inlineStr">
        <is>
          <t>GOTLANDS LÄN</t>
        </is>
      </c>
      <c r="E94" t="inlineStr">
        <is>
          <t>GOTLAND</t>
        </is>
      </c>
      <c r="G94" t="n">
        <v>9.4</v>
      </c>
      <c r="H94" t="n">
        <v>0</v>
      </c>
      <c r="I94" t="n">
        <v>3</v>
      </c>
      <c r="J94" t="n">
        <v>1</v>
      </c>
      <c r="K94" t="n">
        <v>0</v>
      </c>
      <c r="L94" t="n">
        <v>1</v>
      </c>
      <c r="M94" t="n">
        <v>1</v>
      </c>
      <c r="N94" t="n">
        <v>0</v>
      </c>
      <c r="O94" t="n">
        <v>3</v>
      </c>
      <c r="P94" t="n">
        <v>2</v>
      </c>
      <c r="Q94" t="n">
        <v>6</v>
      </c>
      <c r="R94" s="2" t="inlineStr">
        <is>
          <t>Lundalm
Ask
Oxtungssvamp
Myskmadra
Stinkbrosking
Underviol</t>
        </is>
      </c>
      <c r="S94">
        <f>HYPERLINK("https://klasma.github.io/Logging_0980/artfynd/A 45248-2024 artfynd.xlsx", "A 45248-2024")</f>
        <v/>
      </c>
      <c r="T94">
        <f>HYPERLINK("https://klasma.github.io/Logging_0980/kartor/A 45248-2024 karta.png", "A 45248-2024")</f>
        <v/>
      </c>
      <c r="V94">
        <f>HYPERLINK("https://klasma.github.io/Logging_0980/klagomål/A 45248-2024 FSC-klagomål.docx", "A 45248-2024")</f>
        <v/>
      </c>
      <c r="W94">
        <f>HYPERLINK("https://klasma.github.io/Logging_0980/klagomålsmail/A 45248-2024 FSC-klagomål mail.docx", "A 45248-2024")</f>
        <v/>
      </c>
      <c r="X94">
        <f>HYPERLINK("https://klasma.github.io/Logging_0980/tillsyn/A 45248-2024 tillsynsbegäran.docx", "A 45248-2024")</f>
        <v/>
      </c>
      <c r="Y94">
        <f>HYPERLINK("https://klasma.github.io/Logging_0980/tillsynsmail/A 45248-2024 tillsynsbegäran mail.docx", "A 45248-2024")</f>
        <v/>
      </c>
    </row>
    <row r="95" ht="15" customHeight="1">
      <c r="A95" t="inlineStr">
        <is>
          <t>A 8645-2025</t>
        </is>
      </c>
      <c r="B95" s="1" t="n">
        <v>45712</v>
      </c>
      <c r="C95" s="1" t="n">
        <v>45844</v>
      </c>
      <c r="D95" t="inlineStr">
        <is>
          <t>GOTLANDS LÄN</t>
        </is>
      </c>
      <c r="E95" t="inlineStr">
        <is>
          <t>GOTLAND</t>
        </is>
      </c>
      <c r="G95" t="n">
        <v>21.9</v>
      </c>
      <c r="H95" t="n">
        <v>3</v>
      </c>
      <c r="I95" t="n">
        <v>4</v>
      </c>
      <c r="J95" t="n">
        <v>1</v>
      </c>
      <c r="K95" t="n">
        <v>0</v>
      </c>
      <c r="L95" t="n">
        <v>1</v>
      </c>
      <c r="M95" t="n">
        <v>0</v>
      </c>
      <c r="N95" t="n">
        <v>0</v>
      </c>
      <c r="O95" t="n">
        <v>2</v>
      </c>
      <c r="P95" t="n">
        <v>1</v>
      </c>
      <c r="Q95" t="n">
        <v>6</v>
      </c>
      <c r="R95" s="2" t="inlineStr">
        <is>
          <t>Ask
Spillkråka
Blåmossa
Kalktallört
Nästrot
Skogsknipprot</t>
        </is>
      </c>
      <c r="S95">
        <f>HYPERLINK("https://klasma.github.io/Logging_0980/artfynd/A 8645-2025 artfynd.xlsx", "A 8645-2025")</f>
        <v/>
      </c>
      <c r="T95">
        <f>HYPERLINK("https://klasma.github.io/Logging_0980/kartor/A 8645-2025 karta.png", "A 8645-2025")</f>
        <v/>
      </c>
      <c r="V95">
        <f>HYPERLINK("https://klasma.github.io/Logging_0980/klagomål/A 8645-2025 FSC-klagomål.docx", "A 8645-2025")</f>
        <v/>
      </c>
      <c r="W95">
        <f>HYPERLINK("https://klasma.github.io/Logging_0980/klagomålsmail/A 8645-2025 FSC-klagomål mail.docx", "A 8645-2025")</f>
        <v/>
      </c>
      <c r="X95">
        <f>HYPERLINK("https://klasma.github.io/Logging_0980/tillsyn/A 8645-2025 tillsynsbegäran.docx", "A 8645-2025")</f>
        <v/>
      </c>
      <c r="Y95">
        <f>HYPERLINK("https://klasma.github.io/Logging_0980/tillsynsmail/A 8645-2025 tillsynsbegäran mail.docx", "A 8645-2025")</f>
        <v/>
      </c>
      <c r="Z95">
        <f>HYPERLINK("https://klasma.github.io/Logging_0980/fåglar/A 8645-2025 prioriterade fågelarter.docx", "A 8645-2025")</f>
        <v/>
      </c>
    </row>
    <row r="96" ht="15" customHeight="1">
      <c r="A96" t="inlineStr">
        <is>
          <t>A 24309-2025</t>
        </is>
      </c>
      <c r="B96" s="1" t="n">
        <v>45797</v>
      </c>
      <c r="C96" s="1" t="n">
        <v>45844</v>
      </c>
      <c r="D96" t="inlineStr">
        <is>
          <t>GOTLANDS LÄN</t>
        </is>
      </c>
      <c r="E96" t="inlineStr">
        <is>
          <t>GOTLAND</t>
        </is>
      </c>
      <c r="F96" t="inlineStr">
        <is>
          <t>Kyrkan</t>
        </is>
      </c>
      <c r="G96" t="n">
        <v>7.8</v>
      </c>
      <c r="H96" t="n">
        <v>5</v>
      </c>
      <c r="I96" t="n">
        <v>1</v>
      </c>
      <c r="J96" t="n">
        <v>3</v>
      </c>
      <c r="K96" t="n">
        <v>1</v>
      </c>
      <c r="L96" t="n">
        <v>0</v>
      </c>
      <c r="M96" t="n">
        <v>0</v>
      </c>
      <c r="N96" t="n">
        <v>0</v>
      </c>
      <c r="O96" t="n">
        <v>4</v>
      </c>
      <c r="P96" t="n">
        <v>1</v>
      </c>
      <c r="Q96" t="n">
        <v>6</v>
      </c>
      <c r="R96" s="2" t="inlineStr">
        <is>
          <t>Garderönn
Dårgräsfjäril
Spillkråka
Svinrot
Skogsknipprot
Blåsippa</t>
        </is>
      </c>
      <c r="S96">
        <f>HYPERLINK("https://klasma.github.io/Logging_090980/artfynd/A 24309-2025 artfynd.xlsx", "A 24309-2025")</f>
        <v/>
      </c>
      <c r="T96">
        <f>HYPERLINK("https://klasma.github.io/Logging_090980/kartor/A 24309-2025 karta.png", "A 24309-2025")</f>
        <v/>
      </c>
      <c r="V96">
        <f>HYPERLINK("https://klasma.github.io/Logging_090980/klagomål/A 24309-2025 FSC-klagomål.docx", "A 24309-2025")</f>
        <v/>
      </c>
      <c r="W96">
        <f>HYPERLINK("https://klasma.github.io/Logging_090980/klagomålsmail/A 24309-2025 FSC-klagomål mail.docx", "A 24309-2025")</f>
        <v/>
      </c>
      <c r="X96">
        <f>HYPERLINK("https://klasma.github.io/Logging_090980/tillsyn/A 24309-2025 tillsynsbegäran.docx", "A 24309-2025")</f>
        <v/>
      </c>
      <c r="Y96">
        <f>HYPERLINK("https://klasma.github.io/Logging_090980/tillsynsmail/A 24309-2025 tillsynsbegäran mail.docx", "A 24309-2025")</f>
        <v/>
      </c>
      <c r="Z96">
        <f>HYPERLINK("https://klasma.github.io/Logging_090980/fåglar/A 24309-2025 prioriterade fågelarter.docx", "A 24309-2025")</f>
        <v/>
      </c>
    </row>
    <row r="97" ht="15" customHeight="1">
      <c r="A97" t="inlineStr">
        <is>
          <t>A 38183-2019</t>
        </is>
      </c>
      <c r="B97" s="1" t="n">
        <v>43684</v>
      </c>
      <c r="C97" s="1" t="n">
        <v>45844</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45844</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45844</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45844</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45844</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45844</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45844</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45844</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45844</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45844</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45844</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45844</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45844</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45844</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45844</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45844</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45844</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45844</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45844</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45844</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45844</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45844</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45844</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45844</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45844</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45844</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45844</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45844</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45844</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45844</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45844</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45844</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45844</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45844</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45844</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45844</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45844</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45844</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45844</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45844</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45844</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45844</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45844</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45844</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45844</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45844</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45844</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45844</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45844</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45844</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45844</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45844</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45844</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45844</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45844</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45844</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45844</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45844</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45844</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45844</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45844</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45844</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45844</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45844</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45844</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45844</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45844</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45844</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45844</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45844</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45844</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45844</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45844</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45844</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45844</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45844</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45844</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45844</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45844</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45844</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45844</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45844</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45844</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45844</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45844</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45844</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45844</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45844</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45844</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45844</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45844</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45844</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45844</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45844</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45844</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45844</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45844</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45844</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45844</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45844</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45844</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45844</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45844</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45844</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45844</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45844</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45844</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45844</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45844</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45844</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45844</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45844</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45844</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45844</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45844</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45844</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45844</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45844</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45844</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45844</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45844</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45844</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45844</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45844</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45844</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45844</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45844</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45844</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45844</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45844</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45844</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45844</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45844</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45844</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45844</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45844</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45844</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45844</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45844</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45844</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45844</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45844</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45844</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45844</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45844</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45844</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45844</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45844</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45844</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45844</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45844</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45844</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45844</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45844</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45844</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45844</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45844</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45844</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45844</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45844</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45844</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45844</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45844</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45844</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45844</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45844</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45844</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45844</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45844</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45844</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45844</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45844</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45844</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45844</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45844</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45844</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45844</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45844</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45844</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45844</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45844</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45844</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45844</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45844</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45844</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45844</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45844</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45844</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45844</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45844</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45844</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45844</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45844</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45844</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45844</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45844</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45844</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45844</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45844</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45844</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45844</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45844</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45844</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45844</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45844</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45844</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45844</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45844</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45844</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45844</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45844</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45844</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45844</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45844</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45844</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45844</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45844</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45844</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45844</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45844</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45844</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45844</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45844</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45844</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45844</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45844</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45844</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45844</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45844</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45844</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45844</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45844</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45844</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45844</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45844</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45844</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45844</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45844</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45844</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45844</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45844</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45844</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45844</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45844</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45844</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45844</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45844</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45844</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45844</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45844</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45844</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45844</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45844</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45844</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45844</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45844</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45844</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45844</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45844</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45844</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45844</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45844</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45844</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45844</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45844</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45844</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45844</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45844</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45844</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45844</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45844</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45844</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45844</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45844</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45844</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45844</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45844</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45844</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45844</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45844</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45844</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45844</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45844</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45844</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45844</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45844</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45844</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45844</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45844</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45844</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45844</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45844</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45844</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45844</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45844</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45844</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45844</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45844</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45844</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45844</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45844</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45844</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45844</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45844</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45844</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45844</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45844</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45844</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45844</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45844</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45844</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45844</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45844</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45844</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45844</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45844</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45844</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45844</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45844</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45844</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45844</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45844</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45844</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45844</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45844</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45844</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45844</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45844</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45844</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45844</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45844</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45844</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45844</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45844</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45844</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45844</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45844</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45844</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45844</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45844</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45844</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45844</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45844</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45844</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45844</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45844</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45844</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45844</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45844</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45844</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45844</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45844</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45844</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45844</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45844</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45844</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45844</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45844</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45844</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45844</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45844</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45844</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45844</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45844</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45844</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45844</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45844</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45844</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45844</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45844</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45844</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45844</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45844</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45844</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45844</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45844</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45844</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45844</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45844</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45844</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45844</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45844</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45844</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45844</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45844</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45844</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45844</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45844</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45844</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45844</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45844</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45844</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45844</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45844</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45844</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45844</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45844</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45844</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45844</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45844</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45844</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45844</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45844</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45844</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45844</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45844</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45844</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45844</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45844</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45844</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45844</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45844</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45844</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45844</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45844</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45844</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45844</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45844</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45844</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45844</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45844</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45844</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45844</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45844</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45844</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45844</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45844</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45844</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45844</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45844</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45844</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45844</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45844</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45844</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45844</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45844</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45844</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45844</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45844</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45844</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45844</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45844</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45844</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45844</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45844</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45844</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45844</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45844</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45844</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45844</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45844</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45844</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45844</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45844</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45844</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45844</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45844</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45844</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45844</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45844</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45844</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45844</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45844</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45844</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45844</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45844</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45844</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45844</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45844</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45844</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45844</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45844</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45844</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45844</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45844</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45844</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45844</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45844</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45844</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45844</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45844</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45844</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45844</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45844</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45844</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45844</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45844</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45844</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45844</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45844</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45844</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45844</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45844</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45844</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45844</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45844</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45844</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45844</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45844</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45844</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45844</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45844</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45844</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45844</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45844</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45844</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45844</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45844</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45844</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45844</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45844</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45844</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45844</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45844</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45844</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45844</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45844</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45844</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45844</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45844</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45844</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45844</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45844</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45844</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45844</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45844</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45844</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45844</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45844</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45844</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45844</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45844</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45844</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45844</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45844</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45844</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45844</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45844</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45844</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45844</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45844</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45844</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45844</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45844</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45844</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45844</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45844</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45844</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45844</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45844</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45844</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45844</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45844</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45844</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45844</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45844</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45844</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45844</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45844</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45844</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45844</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45844</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45844</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45844</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45844</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45844</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45844</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45844</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45844</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45844</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45844</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45844</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45844</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45844</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45844</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45844</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45844</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45844</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45844</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45844</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45844</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45844</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45844</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45844</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45844</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45844</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45844</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45844</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45844</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45844</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45844</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45844</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45844</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45844</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45844</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45844</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45844</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45844</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45844</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45844</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45844</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45844</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45844</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45844</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45844</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45844</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45844</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45844</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45844</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45844</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45844</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45844</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45844</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45844</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45844</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45844</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45844</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45844</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45844</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45844</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45844</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45844</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45844</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45844</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45844</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45844</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45844</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45844</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45844</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45844</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45844</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45844</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45844</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45844</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45844</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45844</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45844</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45844</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45844</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45844</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45844</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45844</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45844</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45844</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45844</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45844</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45844</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45844</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45844</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45844</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45844</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45844</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45844</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45844</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45844</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45844</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45844</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45844</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45844</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45844</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45844</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45844</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45844</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45844</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45844</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45844</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45844</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45844</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45844</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45844</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45844</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45844</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45844</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45844</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45844</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45844</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45844</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45844</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45844</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45844</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45844</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45844</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45844</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45844</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45844</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45844</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45844</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45844</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45844</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45844</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45844</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45844</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45844</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45844</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45844</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45844</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45844</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45844</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45844</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45844</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45844</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45844</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45844</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45844</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45844</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45844</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45844</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45844</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45844</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45844</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45844</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45844</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45844</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45844</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45844</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45844</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45844</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45844</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45844</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45844</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45844</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45844</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45844</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45844</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45844</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45844</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45844</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45844</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45844</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45844</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45844</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45844</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45844</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45844</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45844</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45844</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45844</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45844</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45844</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45844</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45844</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45844</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45844</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45844</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45844</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45844</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45844</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45844</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45844</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45844</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45844</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45844</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45844</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45844</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45844</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45844</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45844</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45844</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45844</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45844</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45844</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45844</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45844</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45844</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45844</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45844</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45844</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45844</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45844</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45844</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45844</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45844</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45844</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45844</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45844</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45844</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45844</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45844</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45844</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45844</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45844</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45844</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45844</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45844</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45844</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45844</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45844</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45844</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45844</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45844</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45844</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45844</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45844</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45844</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45844</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45844</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45844</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45844</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45844</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45844</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45844</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45844</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45844</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45844</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45844</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45844</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45844</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45844</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45844</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45844</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45844</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45844</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45844</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45844</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45844</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45844</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45844</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45844</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45844</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45844</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45844</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45844</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45844</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45844</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45844</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45844</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45844</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45844</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45844</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45844</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45844</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45844</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45844</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45844</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45844</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45844</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45844</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45844</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45844</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45844</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45844</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45844</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45844</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45844</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45844</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45844</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45844</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45844</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45844</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45844</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45844</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45844</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45844</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45844</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45844</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45844</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45844</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45844</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45844</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45844</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45844</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45844</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45844</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45844</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45844</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45844</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45844</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45844</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45844</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45844</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45844</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45844</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45844</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45844</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45844</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45844</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45844</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45844</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45844</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45844</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45844</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45844</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45844</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45844</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45844</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45844</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45844</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45844</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45844</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45844</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45844</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45844</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45844</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45844</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45844</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45844</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45844</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45844</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45844</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45844</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45844</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45844</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45844</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45844</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45844</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45844</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45844</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45844</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45844</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45844</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45844</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45844</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45844</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45844</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45844</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45844</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45844</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45844</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45844</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45844</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45844</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45844</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45844</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45844</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45844</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45844</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45844</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45844</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45844</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45844</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45844</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45844</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45844</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45844</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45844</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45844</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45844</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45844</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45844</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45844</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45844</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45844</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45844</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45844</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45844</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45844</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45844</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45844</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45844</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45844</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45844</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45844</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45844</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45844</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45844</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45844</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45844</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45844</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45844</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45844</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45844</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45844</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45844</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45844</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45844</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45844</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45844</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45844</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45844</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45844</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45844</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45844</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45844</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45844</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45844</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45844</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45844</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45844</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45844</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45844</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45844</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45844</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45844</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45844</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45844</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45844</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45844</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45844</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45844</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45844</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45844</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45844</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45844</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45844</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45844</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45844</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45844</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45844</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45844</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45844</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45844</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45844</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45844</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45844</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45844</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45844</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45844</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45844</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45844</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45844</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45844</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45844</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45844</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45844</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45844</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45844</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45844</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45844</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45844</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45844</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45844</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45844</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45844</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45844</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45844</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45844</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45844</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45844</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45844</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45844</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45844</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45844</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45844</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45844</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45844</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45844</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45844</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45844</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45844</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45844</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30157-2025</t>
        </is>
      </c>
      <c r="B1152" s="1" t="n">
        <v>45826</v>
      </c>
      <c r="C1152" s="1" t="n">
        <v>45844</v>
      </c>
      <c r="D1152" t="inlineStr">
        <is>
          <t>GOTLANDS LÄN</t>
        </is>
      </c>
      <c r="E1152" t="inlineStr">
        <is>
          <t>GOTLAND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30061-2025</t>
        </is>
      </c>
      <c r="B1153" s="1" t="n">
        <v>45826</v>
      </c>
      <c r="C1153" s="1" t="n">
        <v>45844</v>
      </c>
      <c r="D1153" t="inlineStr">
        <is>
          <t>GOTLANDS LÄN</t>
        </is>
      </c>
      <c r="E1153" t="inlineStr">
        <is>
          <t>GOTLAND</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45844</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45844</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45844</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45844</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45844</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45844</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45844</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45844</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32467-2025</t>
        </is>
      </c>
      <c r="B1162" s="1" t="n">
        <v>45838</v>
      </c>
      <c r="C1162" s="1" t="n">
        <v>45844</v>
      </c>
      <c r="D1162" t="inlineStr">
        <is>
          <t>GOTLANDS LÄN</t>
        </is>
      </c>
      <c r="E1162" t="inlineStr">
        <is>
          <t>GOTLAND</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32686-2025</t>
        </is>
      </c>
      <c r="B1163" s="1" t="n">
        <v>45838</v>
      </c>
      <c r="C1163" s="1" t="n">
        <v>45844</v>
      </c>
      <c r="D1163" t="inlineStr">
        <is>
          <t>GOTLANDS LÄN</t>
        </is>
      </c>
      <c r="E1163" t="inlineStr">
        <is>
          <t>GOTLAND</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33011-2025</t>
        </is>
      </c>
      <c r="B1164" s="1" t="n">
        <v>45840</v>
      </c>
      <c r="C1164" s="1" t="n">
        <v>45844</v>
      </c>
      <c r="D1164" t="inlineStr">
        <is>
          <t>GOTLANDS LÄN</t>
        </is>
      </c>
      <c r="E1164" t="inlineStr">
        <is>
          <t>GOTLAND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33078-2025</t>
        </is>
      </c>
      <c r="B1165" s="1" t="n">
        <v>45840</v>
      </c>
      <c r="C1165" s="1" t="n">
        <v>45844</v>
      </c>
      <c r="D1165" t="inlineStr">
        <is>
          <t>GOTLANDS LÄN</t>
        </is>
      </c>
      <c r="E1165" t="inlineStr">
        <is>
          <t>GOTLAND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45844</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45844</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2025-07-06T19:30:51Z</dcterms:created>
  <dcterms:modified xmlns:dcterms="http://purl.org/dc/terms/" xmlns:xsi="http://www.w3.org/2001/XMLSchema-instance" xsi:type="dcterms:W3CDTF">2025-07-06T19:30:52Z</dcterms:modified>
</cp:coreProperties>
</file>