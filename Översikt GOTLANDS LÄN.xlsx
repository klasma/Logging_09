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46070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46070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46070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46070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46070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46070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46070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46070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46070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46070</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46070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46070</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46070</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46070</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46070</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46070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46070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46070</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46070</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46070</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46070</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46070</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46070</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46070</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46070</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46070</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46070</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46070</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46070</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46070</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46070</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46070</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46070</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46070</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46070</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2804-2023</t>
        </is>
      </c>
      <c r="B37" s="1" t="n">
        <v>44944</v>
      </c>
      <c r="C37" s="1" t="n">
        <v>46070</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46070</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46070</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46070</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46070</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46070</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46070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46070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46070</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46070</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46070</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46070</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46070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46070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46070</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46070</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46070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46070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46070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46070</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46070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46070</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46070</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46070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46070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46070</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46070</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46070</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46070</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46070</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46070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46070</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46070</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46070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46070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46070</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46070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46070</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46070</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446-2023</t>
        </is>
      </c>
      <c r="B76" s="1" t="n">
        <v>44929</v>
      </c>
      <c r="C76" s="1" t="n">
        <v>46070</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57773-2025</t>
        </is>
      </c>
      <c r="B77" s="1" t="n">
        <v>45981.56349537037</v>
      </c>
      <c r="C77" s="1" t="n">
        <v>46070</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46070</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46070</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46070</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35293-2025</t>
        </is>
      </c>
      <c r="B81" s="1" t="n">
        <v>45854.39438657407</v>
      </c>
      <c r="C81" s="1" t="n">
        <v>46070</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32326-2024</t>
        </is>
      </c>
      <c r="B82" s="1" t="n">
        <v>45512</v>
      </c>
      <c r="C82" s="1" t="n">
        <v>46070</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6839-2026</t>
        </is>
      </c>
      <c r="B83" s="1" t="n">
        <v>46057.41193287037</v>
      </c>
      <c r="C83" s="1" t="n">
        <v>46070</v>
      </c>
      <c r="D83" t="inlineStr">
        <is>
          <t>GOTLANDS LÄN</t>
        </is>
      </c>
      <c r="E83" t="inlineStr">
        <is>
          <t>GOTLAND</t>
        </is>
      </c>
      <c r="G83" t="n">
        <v>4.9</v>
      </c>
      <c r="H83" t="n">
        <v>0</v>
      </c>
      <c r="I83" t="n">
        <v>1</v>
      </c>
      <c r="J83" t="n">
        <v>2</v>
      </c>
      <c r="K83" t="n">
        <v>2</v>
      </c>
      <c r="L83" t="n">
        <v>0</v>
      </c>
      <c r="M83" t="n">
        <v>0</v>
      </c>
      <c r="N83" t="n">
        <v>0</v>
      </c>
      <c r="O83" t="n">
        <v>4</v>
      </c>
      <c r="P83" t="n">
        <v>2</v>
      </c>
      <c r="Q83" t="n">
        <v>5</v>
      </c>
      <c r="R83" s="2" t="inlineStr">
        <is>
          <t>Mörk kraterlav
Skogskorn
Ekvaxskivling
Mjölmusseron
Besk kastanjemusseron</t>
        </is>
      </c>
      <c r="S83">
        <f>HYPERLINK("https://klasma.github.io/Logging_0980/artfynd/A 6839-2026 artfynd.xlsx", "A 6839-2026")</f>
        <v/>
      </c>
      <c r="T83">
        <f>HYPERLINK("https://klasma.github.io/Logging_0980/kartor/A 6839-2026 karta.png", "A 6839-2026")</f>
        <v/>
      </c>
      <c r="V83">
        <f>HYPERLINK("https://klasma.github.io/Logging_0980/klagomål/A 6839-2026 FSC-klagomål.docx", "A 6839-2026")</f>
        <v/>
      </c>
      <c r="W83">
        <f>HYPERLINK("https://klasma.github.io/Logging_0980/klagomålsmail/A 6839-2026 FSC-klagomål mail.docx", "A 6839-2026")</f>
        <v/>
      </c>
      <c r="X83">
        <f>HYPERLINK("https://klasma.github.io/Logging_0980/tillsyn/A 6839-2026 tillsynsbegäran.docx", "A 6839-2026")</f>
        <v/>
      </c>
      <c r="Y83">
        <f>HYPERLINK("https://klasma.github.io/Logging_0980/tillsynsmail/A 6839-2026 tillsynsbegäran mail.docx", "A 6839-2026")</f>
        <v/>
      </c>
    </row>
    <row r="84" ht="15" customHeight="1">
      <c r="A84" t="inlineStr">
        <is>
          <t>A 52245-2025</t>
        </is>
      </c>
      <c r="B84" s="1" t="n">
        <v>45953.47115740741</v>
      </c>
      <c r="C84" s="1" t="n">
        <v>46070</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46070</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46070</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42936-2024</t>
        </is>
      </c>
      <c r="B87" s="1" t="n">
        <v>45567</v>
      </c>
      <c r="C87" s="1" t="n">
        <v>46070</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46070</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46070</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40099-2025</t>
        </is>
      </c>
      <c r="B90" s="1" t="n">
        <v>45894.48462962963</v>
      </c>
      <c r="C90" s="1" t="n">
        <v>46070</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46070</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20833-2024</t>
        </is>
      </c>
      <c r="B92" s="1" t="n">
        <v>45439</v>
      </c>
      <c r="C92" s="1" t="n">
        <v>46070</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5904-2024</t>
        </is>
      </c>
      <c r="B93" s="1" t="n">
        <v>45335</v>
      </c>
      <c r="C93" s="1" t="n">
        <v>46070</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57463-2025</t>
        </is>
      </c>
      <c r="B94" s="1" t="n">
        <v>45980.54174768519</v>
      </c>
      <c r="C94" s="1" t="n">
        <v>46070</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2485-2025</t>
        </is>
      </c>
      <c r="B95" s="1" t="n">
        <v>45673</v>
      </c>
      <c r="C95" s="1" t="n">
        <v>46070</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6836-2026</t>
        </is>
      </c>
      <c r="B96" s="1" t="n">
        <v>46057.40902777778</v>
      </c>
      <c r="C96" s="1" t="n">
        <v>46070</v>
      </c>
      <c r="D96" t="inlineStr">
        <is>
          <t>GOTLANDS LÄN</t>
        </is>
      </c>
      <c r="E96" t="inlineStr">
        <is>
          <t>GOTLAND</t>
        </is>
      </c>
      <c r="G96" t="n">
        <v>3.8</v>
      </c>
      <c r="H96" t="n">
        <v>1</v>
      </c>
      <c r="I96" t="n">
        <v>3</v>
      </c>
      <c r="J96" t="n">
        <v>0</v>
      </c>
      <c r="K96" t="n">
        <v>1</v>
      </c>
      <c r="L96" t="n">
        <v>0</v>
      </c>
      <c r="M96" t="n">
        <v>0</v>
      </c>
      <c r="N96" t="n">
        <v>0</v>
      </c>
      <c r="O96" t="n">
        <v>1</v>
      </c>
      <c r="P96" t="n">
        <v>1</v>
      </c>
      <c r="Q96" t="n">
        <v>4</v>
      </c>
      <c r="R96" s="2" t="inlineStr">
        <is>
          <t>Knärot
Fransig jordstjärna
Rödgul trumpetsvamp
Svavelriska</t>
        </is>
      </c>
      <c r="S96">
        <f>HYPERLINK("https://klasma.github.io/Logging_0980/artfynd/A 6836-2026 artfynd.xlsx", "A 6836-2026")</f>
        <v/>
      </c>
      <c r="T96">
        <f>HYPERLINK("https://klasma.github.io/Logging_0980/kartor/A 6836-2026 karta.png", "A 6836-2026")</f>
        <v/>
      </c>
      <c r="U96">
        <f>HYPERLINK("https://klasma.github.io/Logging_0980/knärot/A 6836-2026 karta knärot.png", "A 6836-2026")</f>
        <v/>
      </c>
      <c r="V96">
        <f>HYPERLINK("https://klasma.github.io/Logging_0980/klagomål/A 6836-2026 FSC-klagomål.docx", "A 6836-2026")</f>
        <v/>
      </c>
      <c r="W96">
        <f>HYPERLINK("https://klasma.github.io/Logging_0980/klagomålsmail/A 6836-2026 FSC-klagomål mail.docx", "A 6836-2026")</f>
        <v/>
      </c>
      <c r="X96">
        <f>HYPERLINK("https://klasma.github.io/Logging_0980/tillsyn/A 6836-2026 tillsynsbegäran.docx", "A 6836-2026")</f>
        <v/>
      </c>
      <c r="Y96">
        <f>HYPERLINK("https://klasma.github.io/Logging_0980/tillsynsmail/A 6836-2026 tillsynsbegäran mail.docx", "A 6836-2026")</f>
        <v/>
      </c>
    </row>
    <row r="97" ht="15" customHeight="1">
      <c r="A97" t="inlineStr">
        <is>
          <t>A 6159-2023</t>
        </is>
      </c>
      <c r="B97" s="1" t="n">
        <v>44964</v>
      </c>
      <c r="C97" s="1" t="n">
        <v>46070</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43197-2023</t>
        </is>
      </c>
      <c r="B98" s="1" t="n">
        <v>45183</v>
      </c>
      <c r="C98" s="1" t="n">
        <v>46070</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52250-2025</t>
        </is>
      </c>
      <c r="B99" s="1" t="n">
        <v>45953.48998842593</v>
      </c>
      <c r="C99" s="1" t="n">
        <v>46070</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54523-2023</t>
        </is>
      </c>
      <c r="B100" s="1" t="n">
        <v>45233</v>
      </c>
      <c r="C100" s="1" t="n">
        <v>46070</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1971-2023</t>
        </is>
      </c>
      <c r="B101" s="1" t="n">
        <v>44939</v>
      </c>
      <c r="C101" s="1" t="n">
        <v>46070</v>
      </c>
      <c r="D101" t="inlineStr">
        <is>
          <t>GOTLANDS LÄN</t>
        </is>
      </c>
      <c r="E101" t="inlineStr">
        <is>
          <t>GOTLAND</t>
        </is>
      </c>
      <c r="G101" t="n">
        <v>5.5</v>
      </c>
      <c r="H101" t="n">
        <v>0</v>
      </c>
      <c r="I101" t="n">
        <v>2</v>
      </c>
      <c r="J101" t="n">
        <v>1</v>
      </c>
      <c r="K101" t="n">
        <v>1</v>
      </c>
      <c r="L101" t="n">
        <v>0</v>
      </c>
      <c r="M101" t="n">
        <v>0</v>
      </c>
      <c r="N101" t="n">
        <v>0</v>
      </c>
      <c r="O101" t="n">
        <v>2</v>
      </c>
      <c r="P101" t="n">
        <v>1</v>
      </c>
      <c r="Q101" t="n">
        <v>4</v>
      </c>
      <c r="R101" s="2" t="inlineStr">
        <is>
          <t>Gulsträngad fagerspindling
Svinrot
Fjällig taggsvamp s.str.
Olivspindling</t>
        </is>
      </c>
      <c r="S101">
        <f>HYPERLINK("https://klasma.github.io/Logging_0980/artfynd/A 1971-2023 artfynd.xlsx", "A 1971-2023")</f>
        <v/>
      </c>
      <c r="T101">
        <f>HYPERLINK("https://klasma.github.io/Logging_0980/kartor/A 1971-2023 karta.png", "A 1971-2023")</f>
        <v/>
      </c>
      <c r="V101">
        <f>HYPERLINK("https://klasma.github.io/Logging_0980/klagomål/A 1971-2023 FSC-klagomål.docx", "A 1971-2023")</f>
        <v/>
      </c>
      <c r="W101">
        <f>HYPERLINK("https://klasma.github.io/Logging_0980/klagomålsmail/A 1971-2023 FSC-klagomål mail.docx", "A 1971-2023")</f>
        <v/>
      </c>
      <c r="X101">
        <f>HYPERLINK("https://klasma.github.io/Logging_0980/tillsyn/A 1971-2023 tillsynsbegäran.docx", "A 1971-2023")</f>
        <v/>
      </c>
      <c r="Y101">
        <f>HYPERLINK("https://klasma.github.io/Logging_0980/tillsynsmail/A 1971-2023 tillsynsbegäran mail.docx", "A 1971-2023")</f>
        <v/>
      </c>
    </row>
    <row r="102" ht="15" customHeight="1">
      <c r="A102" t="inlineStr">
        <is>
          <t>A 186-2023</t>
        </is>
      </c>
      <c r="B102" s="1" t="n">
        <v>44928</v>
      </c>
      <c r="C102" s="1" t="n">
        <v>46070</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46070</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46070</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46070</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46070</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46070</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46070</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46070</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46070</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46070</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46070</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30490-2025</t>
        </is>
      </c>
      <c r="B113" s="1" t="n">
        <v>45830</v>
      </c>
      <c r="C113" s="1" t="n">
        <v>46070</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48126-2022</t>
        </is>
      </c>
      <c r="B114" s="1" t="n">
        <v>44857</v>
      </c>
      <c r="C114" s="1" t="n">
        <v>46070</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55334-2024</t>
        </is>
      </c>
      <c r="B115" s="1" t="n">
        <v>45621</v>
      </c>
      <c r="C115" s="1" t="n">
        <v>46070</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46070</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20831-2024</t>
        </is>
      </c>
      <c r="B117" s="1" t="n">
        <v>45439</v>
      </c>
      <c r="C117" s="1" t="n">
        <v>46070</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46070</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1520-2026</t>
        </is>
      </c>
      <c r="B119" s="1" t="n">
        <v>46034.35891203704</v>
      </c>
      <c r="C119" s="1" t="n">
        <v>46070</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17982-2023</t>
        </is>
      </c>
      <c r="B120" s="1" t="n">
        <v>45040</v>
      </c>
      <c r="C120" s="1" t="n">
        <v>46070</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53552-2021</t>
        </is>
      </c>
      <c r="B121" s="1" t="n">
        <v>44468</v>
      </c>
      <c r="C121" s="1" t="n">
        <v>46070</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46070</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46070</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46070</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46070</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46070</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46070</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46070</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46070</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46070</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46070</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63162-2025</t>
        </is>
      </c>
      <c r="B132" s="1" t="n">
        <v>46010.37629629629</v>
      </c>
      <c r="C132" s="1" t="n">
        <v>46070</v>
      </c>
      <c r="D132" t="inlineStr">
        <is>
          <t>GOTLANDS LÄN</t>
        </is>
      </c>
      <c r="E132" t="inlineStr">
        <is>
          <t>GOTLAND</t>
        </is>
      </c>
      <c r="G132" t="n">
        <v>3.5</v>
      </c>
      <c r="H132" t="n">
        <v>0</v>
      </c>
      <c r="I132" t="n">
        <v>1</v>
      </c>
      <c r="J132" t="n">
        <v>0</v>
      </c>
      <c r="K132" t="n">
        <v>1</v>
      </c>
      <c r="L132" t="n">
        <v>0</v>
      </c>
      <c r="M132" t="n">
        <v>0</v>
      </c>
      <c r="N132" t="n">
        <v>0</v>
      </c>
      <c r="O132" t="n">
        <v>1</v>
      </c>
      <c r="P132" t="n">
        <v>1</v>
      </c>
      <c r="Q132" t="n">
        <v>2</v>
      </c>
      <c r="R132" s="2" t="inlineStr">
        <is>
          <t>Gotlandsmåra
Myskmadra</t>
        </is>
      </c>
      <c r="S132">
        <f>HYPERLINK("https://klasma.github.io/Logging_0980/artfynd/A 63162-2025 artfynd.xlsx", "A 63162-2025")</f>
        <v/>
      </c>
      <c r="T132">
        <f>HYPERLINK("https://klasma.github.io/Logging_0980/kartor/A 63162-2025 karta.png", "A 63162-2025")</f>
        <v/>
      </c>
      <c r="V132">
        <f>HYPERLINK("https://klasma.github.io/Logging_0980/klagomål/A 63162-2025 FSC-klagomål.docx", "A 63162-2025")</f>
        <v/>
      </c>
      <c r="W132">
        <f>HYPERLINK("https://klasma.github.io/Logging_0980/klagomålsmail/A 63162-2025 FSC-klagomål mail.docx", "A 63162-2025")</f>
        <v/>
      </c>
      <c r="X132">
        <f>HYPERLINK("https://klasma.github.io/Logging_0980/tillsyn/A 63162-2025 tillsynsbegäran.docx", "A 63162-2025")</f>
        <v/>
      </c>
      <c r="Y132">
        <f>HYPERLINK("https://klasma.github.io/Logging_0980/tillsynsmail/A 63162-2025 tillsynsbegäran mail.docx", "A 63162-2025")</f>
        <v/>
      </c>
    </row>
    <row r="133" ht="15" customHeight="1">
      <c r="A133" t="inlineStr">
        <is>
          <t>A 12914-2025</t>
        </is>
      </c>
      <c r="B133" s="1" t="n">
        <v>45733</v>
      </c>
      <c r="C133" s="1" t="n">
        <v>46070</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62760-2025</t>
        </is>
      </c>
      <c r="B134" s="1" t="n">
        <v>46008</v>
      </c>
      <c r="C134" s="1" t="n">
        <v>46070</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54357-2024</t>
        </is>
      </c>
      <c r="B135" s="1" t="n">
        <v>45617.40662037037</v>
      </c>
      <c r="C135" s="1" t="n">
        <v>46070</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20838-2024</t>
        </is>
      </c>
      <c r="B136" s="1" t="n">
        <v>45439</v>
      </c>
      <c r="C136" s="1" t="n">
        <v>46070</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26077-2024</t>
        </is>
      </c>
      <c r="B137" s="1" t="n">
        <v>45467</v>
      </c>
      <c r="C137" s="1" t="n">
        <v>46070</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46070</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46070</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46070</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46070</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46070</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46070</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46070</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46070</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44308-2021</t>
        </is>
      </c>
      <c r="B146" s="1" t="n">
        <v>44434</v>
      </c>
      <c r="C146" s="1" t="n">
        <v>46070</v>
      </c>
      <c r="D146" t="inlineStr">
        <is>
          <t>GOTLANDS LÄN</t>
        </is>
      </c>
      <c r="E146" t="inlineStr">
        <is>
          <t>GOTLAND</t>
        </is>
      </c>
      <c r="G146" t="n">
        <v>5.9</v>
      </c>
      <c r="H146" t="n">
        <v>0</v>
      </c>
      <c r="I146" t="n">
        <v>1</v>
      </c>
      <c r="J146" t="n">
        <v>0</v>
      </c>
      <c r="K146" t="n">
        <v>0</v>
      </c>
      <c r="L146" t="n">
        <v>0</v>
      </c>
      <c r="M146" t="n">
        <v>0</v>
      </c>
      <c r="N146" t="n">
        <v>0</v>
      </c>
      <c r="O146" t="n">
        <v>0</v>
      </c>
      <c r="P146" t="n">
        <v>0</v>
      </c>
      <c r="Q146" t="n">
        <v>1</v>
      </c>
      <c r="R146" s="2" t="inlineStr">
        <is>
          <t>Svavelriska</t>
        </is>
      </c>
      <c r="S146">
        <f>HYPERLINK("https://klasma.github.io/Logging_0980/artfynd/A 44308-2021 artfynd.xlsx", "A 44308-2021")</f>
        <v/>
      </c>
      <c r="T146">
        <f>HYPERLINK("https://klasma.github.io/Logging_0980/kartor/A 44308-2021 karta.png", "A 44308-2021")</f>
        <v/>
      </c>
      <c r="V146">
        <f>HYPERLINK("https://klasma.github.io/Logging_0980/klagomål/A 44308-2021 FSC-klagomål.docx", "A 44308-2021")</f>
        <v/>
      </c>
      <c r="W146">
        <f>HYPERLINK("https://klasma.github.io/Logging_0980/klagomålsmail/A 44308-2021 FSC-klagomål mail.docx", "A 44308-2021")</f>
        <v/>
      </c>
      <c r="X146">
        <f>HYPERLINK("https://klasma.github.io/Logging_0980/tillsyn/A 44308-2021 tillsynsbegäran.docx", "A 44308-2021")</f>
        <v/>
      </c>
      <c r="Y146">
        <f>HYPERLINK("https://klasma.github.io/Logging_0980/tillsynsmail/A 44308-2021 tillsynsbegäran mail.docx", "A 44308-2021")</f>
        <v/>
      </c>
    </row>
    <row r="147" ht="15" customHeight="1">
      <c r="A147" t="inlineStr">
        <is>
          <t>A 39812-2025</t>
        </is>
      </c>
      <c r="B147" s="1" t="n">
        <v>45891</v>
      </c>
      <c r="C147" s="1" t="n">
        <v>46070</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26461-2025</t>
        </is>
      </c>
      <c r="B148" s="1" t="n">
        <v>45807.43337962963</v>
      </c>
      <c r="C148" s="1" t="n">
        <v>46070</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46527-2023</t>
        </is>
      </c>
      <c r="B149" s="1" t="n">
        <v>45197</v>
      </c>
      <c r="C149" s="1" t="n">
        <v>46070</v>
      </c>
      <c r="D149" t="inlineStr">
        <is>
          <t>GOTLANDS LÄN</t>
        </is>
      </c>
      <c r="E149" t="inlineStr">
        <is>
          <t>GOTLAND</t>
        </is>
      </c>
      <c r="G149" t="n">
        <v>0.9</v>
      </c>
      <c r="H149" t="n">
        <v>0</v>
      </c>
      <c r="I149" t="n">
        <v>0</v>
      </c>
      <c r="J149" t="n">
        <v>1</v>
      </c>
      <c r="K149" t="n">
        <v>0</v>
      </c>
      <c r="L149" t="n">
        <v>0</v>
      </c>
      <c r="M149" t="n">
        <v>0</v>
      </c>
      <c r="N149" t="n">
        <v>0</v>
      </c>
      <c r="O149" t="n">
        <v>1</v>
      </c>
      <c r="P149" t="n">
        <v>0</v>
      </c>
      <c r="Q149" t="n">
        <v>1</v>
      </c>
      <c r="R149" s="2" t="inlineStr">
        <is>
          <t>Guldgräshoppa</t>
        </is>
      </c>
      <c r="S149">
        <f>HYPERLINK("https://klasma.github.io/Logging_0980/artfynd/A 46527-2023 artfynd.xlsx", "A 46527-2023")</f>
        <v/>
      </c>
      <c r="T149">
        <f>HYPERLINK("https://klasma.github.io/Logging_0980/kartor/A 46527-2023 karta.png", "A 46527-2023")</f>
        <v/>
      </c>
      <c r="V149">
        <f>HYPERLINK("https://klasma.github.io/Logging_0980/klagomål/A 46527-2023 FSC-klagomål.docx", "A 46527-2023")</f>
        <v/>
      </c>
      <c r="W149">
        <f>HYPERLINK("https://klasma.github.io/Logging_0980/klagomålsmail/A 46527-2023 FSC-klagomål mail.docx", "A 46527-2023")</f>
        <v/>
      </c>
      <c r="X149">
        <f>HYPERLINK("https://klasma.github.io/Logging_0980/tillsyn/A 46527-2023 tillsynsbegäran.docx", "A 46527-2023")</f>
        <v/>
      </c>
      <c r="Y149">
        <f>HYPERLINK("https://klasma.github.io/Logging_0980/tillsynsmail/A 46527-2023 tillsynsbegäran mail.docx", "A 46527-2023")</f>
        <v/>
      </c>
    </row>
    <row r="150" ht="15" customHeight="1">
      <c r="A150" t="inlineStr">
        <is>
          <t>A 17723-2021</t>
        </is>
      </c>
      <c r="B150" s="1" t="n">
        <v>44300</v>
      </c>
      <c r="C150" s="1" t="n">
        <v>46070</v>
      </c>
      <c r="D150" t="inlineStr">
        <is>
          <t>GOTLANDS LÄN</t>
        </is>
      </c>
      <c r="E150" t="inlineStr">
        <is>
          <t>GOTLAND</t>
        </is>
      </c>
      <c r="G150" t="n">
        <v>1.5</v>
      </c>
      <c r="H150" t="n">
        <v>1</v>
      </c>
      <c r="I150" t="n">
        <v>1</v>
      </c>
      <c r="J150" t="n">
        <v>0</v>
      </c>
      <c r="K150" t="n">
        <v>0</v>
      </c>
      <c r="L150" t="n">
        <v>0</v>
      </c>
      <c r="M150" t="n">
        <v>0</v>
      </c>
      <c r="N150" t="n">
        <v>0</v>
      </c>
      <c r="O150" t="n">
        <v>0</v>
      </c>
      <c r="P150" t="n">
        <v>0</v>
      </c>
      <c r="Q150" t="n">
        <v>1</v>
      </c>
      <c r="R150" s="2" t="inlineStr">
        <is>
          <t>Vit skogslilja</t>
        </is>
      </c>
      <c r="S150">
        <f>HYPERLINK("https://klasma.github.io/Logging_0980/artfynd/A 17723-2021 artfynd.xlsx", "A 17723-2021")</f>
        <v/>
      </c>
      <c r="T150">
        <f>HYPERLINK("https://klasma.github.io/Logging_0980/kartor/A 17723-2021 karta.png", "A 17723-2021")</f>
        <v/>
      </c>
      <c r="V150">
        <f>HYPERLINK("https://klasma.github.io/Logging_0980/klagomål/A 17723-2021 FSC-klagomål.docx", "A 17723-2021")</f>
        <v/>
      </c>
      <c r="W150">
        <f>HYPERLINK("https://klasma.github.io/Logging_0980/klagomålsmail/A 17723-2021 FSC-klagomål mail.docx", "A 17723-2021")</f>
        <v/>
      </c>
      <c r="X150">
        <f>HYPERLINK("https://klasma.github.io/Logging_0980/tillsyn/A 17723-2021 tillsynsbegäran.docx", "A 17723-2021")</f>
        <v/>
      </c>
      <c r="Y150">
        <f>HYPERLINK("https://klasma.github.io/Logging_0980/tillsynsmail/A 17723-2021 tillsynsbegäran mail.docx", "A 17723-2021")</f>
        <v/>
      </c>
    </row>
    <row r="151" ht="15" customHeight="1">
      <c r="A151" t="inlineStr">
        <is>
          <t>A 35467-2021</t>
        </is>
      </c>
      <c r="B151" s="1" t="n">
        <v>44385</v>
      </c>
      <c r="C151" s="1" t="n">
        <v>46070</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44619-2025</t>
        </is>
      </c>
      <c r="B152" s="1" t="n">
        <v>45917</v>
      </c>
      <c r="C152" s="1" t="n">
        <v>46070</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6303-2024</t>
        </is>
      </c>
      <c r="B153" s="1" t="n">
        <v>45338.35376157407</v>
      </c>
      <c r="C153" s="1" t="n">
        <v>46070</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46070</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25977-2024</t>
        </is>
      </c>
      <c r="B155" s="1" t="n">
        <v>45467.69356481481</v>
      </c>
      <c r="C155" s="1" t="n">
        <v>46070</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46070</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9862-2024</t>
        </is>
      </c>
      <c r="B157" s="1" t="n">
        <v>45363</v>
      </c>
      <c r="C157" s="1" t="n">
        <v>46070</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34141-2024</t>
        </is>
      </c>
      <c r="B158" s="1" t="n">
        <v>45524.36229166666</v>
      </c>
      <c r="C158" s="1" t="n">
        <v>46070</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20429-2025</t>
        </is>
      </c>
      <c r="B159" s="1" t="n">
        <v>45775.47728009259</v>
      </c>
      <c r="C159" s="1" t="n">
        <v>46070</v>
      </c>
      <c r="D159" t="inlineStr">
        <is>
          <t>GOTLANDS LÄN</t>
        </is>
      </c>
      <c r="E159" t="inlineStr">
        <is>
          <t>GOTLAND</t>
        </is>
      </c>
      <c r="G159" t="n">
        <v>1.4</v>
      </c>
      <c r="H159" t="n">
        <v>1</v>
      </c>
      <c r="I159" t="n">
        <v>0</v>
      </c>
      <c r="J159" t="n">
        <v>0</v>
      </c>
      <c r="K159" t="n">
        <v>0</v>
      </c>
      <c r="L159" t="n">
        <v>0</v>
      </c>
      <c r="M159" t="n">
        <v>0</v>
      </c>
      <c r="N159" t="n">
        <v>0</v>
      </c>
      <c r="O159" t="n">
        <v>0</v>
      </c>
      <c r="P159" t="n">
        <v>0</v>
      </c>
      <c r="Q159" t="n">
        <v>1</v>
      </c>
      <c r="R159" s="2" t="inlineStr">
        <is>
          <t>Äkta lopplummer</t>
        </is>
      </c>
      <c r="S159">
        <f>HYPERLINK("https://klasma.github.io/Logging_0980/artfynd/A 20429-2025 artfynd.xlsx", "A 20429-2025")</f>
        <v/>
      </c>
      <c r="T159">
        <f>HYPERLINK("https://klasma.github.io/Logging_0980/kartor/A 20429-2025 karta.png", "A 20429-2025")</f>
        <v/>
      </c>
      <c r="V159">
        <f>HYPERLINK("https://klasma.github.io/Logging_0980/klagomål/A 20429-2025 FSC-klagomål.docx", "A 20429-2025")</f>
        <v/>
      </c>
      <c r="W159">
        <f>HYPERLINK("https://klasma.github.io/Logging_0980/klagomålsmail/A 20429-2025 FSC-klagomål mail.docx", "A 20429-2025")</f>
        <v/>
      </c>
      <c r="X159">
        <f>HYPERLINK("https://klasma.github.io/Logging_0980/tillsyn/A 20429-2025 tillsynsbegäran.docx", "A 20429-2025")</f>
        <v/>
      </c>
      <c r="Y159">
        <f>HYPERLINK("https://klasma.github.io/Logging_0980/tillsynsmail/A 20429-2025 tillsynsbegäran mail.docx", "A 20429-2025")</f>
        <v/>
      </c>
    </row>
    <row r="160" ht="15" customHeight="1">
      <c r="A160" t="inlineStr">
        <is>
          <t>A 65927-2021</t>
        </is>
      </c>
      <c r="B160" s="1" t="n">
        <v>44516</v>
      </c>
      <c r="C160" s="1" t="n">
        <v>46070</v>
      </c>
      <c r="D160" t="inlineStr">
        <is>
          <t>GOTLANDS LÄN</t>
        </is>
      </c>
      <c r="E160" t="inlineStr">
        <is>
          <t>GOTLAND</t>
        </is>
      </c>
      <c r="G160" t="n">
        <v>3.1</v>
      </c>
      <c r="H160" t="n">
        <v>1</v>
      </c>
      <c r="I160" t="n">
        <v>0</v>
      </c>
      <c r="J160" t="n">
        <v>0</v>
      </c>
      <c r="K160" t="n">
        <v>1</v>
      </c>
      <c r="L160" t="n">
        <v>0</v>
      </c>
      <c r="M160" t="n">
        <v>0</v>
      </c>
      <c r="N160" t="n">
        <v>0</v>
      </c>
      <c r="O160" t="n">
        <v>1</v>
      </c>
      <c r="P160" t="n">
        <v>1</v>
      </c>
      <c r="Q160" t="n">
        <v>1</v>
      </c>
      <c r="R160" s="2" t="inlineStr">
        <is>
          <t>Grenigt kungsljus</t>
        </is>
      </c>
      <c r="S160">
        <f>HYPERLINK("https://klasma.github.io/Logging_0980/artfynd/A 65927-2021 artfynd.xlsx", "A 65927-2021")</f>
        <v/>
      </c>
      <c r="T160">
        <f>HYPERLINK("https://klasma.github.io/Logging_0980/kartor/A 65927-2021 karta.png", "A 65927-2021")</f>
        <v/>
      </c>
      <c r="V160">
        <f>HYPERLINK("https://klasma.github.io/Logging_0980/klagomål/A 65927-2021 FSC-klagomål.docx", "A 65927-2021")</f>
        <v/>
      </c>
      <c r="W160">
        <f>HYPERLINK("https://klasma.github.io/Logging_0980/klagomålsmail/A 65927-2021 FSC-klagomål mail.docx", "A 65927-2021")</f>
        <v/>
      </c>
      <c r="X160">
        <f>HYPERLINK("https://klasma.github.io/Logging_0980/tillsyn/A 65927-2021 tillsynsbegäran.docx", "A 65927-2021")</f>
        <v/>
      </c>
      <c r="Y160">
        <f>HYPERLINK("https://klasma.github.io/Logging_0980/tillsynsmail/A 65927-2021 tillsynsbegäran mail.docx", "A 65927-2021")</f>
        <v/>
      </c>
    </row>
    <row r="161" ht="15" customHeight="1">
      <c r="A161" t="inlineStr">
        <is>
          <t>A 49726-2025</t>
        </is>
      </c>
      <c r="B161" s="1" t="n">
        <v>45939.84466435185</v>
      </c>
      <c r="C161" s="1" t="n">
        <v>46070</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947-2023</t>
        </is>
      </c>
      <c r="B162" s="1" t="n">
        <v>44934</v>
      </c>
      <c r="C162" s="1" t="n">
        <v>46070</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12924-2025</t>
        </is>
      </c>
      <c r="B163" s="1" t="n">
        <v>45734</v>
      </c>
      <c r="C163" s="1" t="n">
        <v>46070</v>
      </c>
      <c r="D163" t="inlineStr">
        <is>
          <t>GOTLANDS LÄN</t>
        </is>
      </c>
      <c r="E163" t="inlineStr">
        <is>
          <t>GOTLAND</t>
        </is>
      </c>
      <c r="G163" t="n">
        <v>11.7</v>
      </c>
      <c r="H163" t="n">
        <v>0</v>
      </c>
      <c r="I163" t="n">
        <v>0</v>
      </c>
      <c r="J163" t="n">
        <v>0</v>
      </c>
      <c r="K163" t="n">
        <v>1</v>
      </c>
      <c r="L163" t="n">
        <v>0</v>
      </c>
      <c r="M163" t="n">
        <v>0</v>
      </c>
      <c r="N163" t="n">
        <v>0</v>
      </c>
      <c r="O163" t="n">
        <v>1</v>
      </c>
      <c r="P163" t="n">
        <v>1</v>
      </c>
      <c r="Q163" t="n">
        <v>1</v>
      </c>
      <c r="R163" s="2" t="inlineStr">
        <is>
          <t>Gotlandsmåra</t>
        </is>
      </c>
      <c r="S163">
        <f>HYPERLINK("https://klasma.github.io/Logging_0980/artfynd/A 12924-2025 artfynd.xlsx", "A 12924-2025")</f>
        <v/>
      </c>
      <c r="T163">
        <f>HYPERLINK("https://klasma.github.io/Logging_0980/kartor/A 12924-2025 karta.png", "A 12924-2025")</f>
        <v/>
      </c>
      <c r="V163">
        <f>HYPERLINK("https://klasma.github.io/Logging_0980/klagomål/A 12924-2025 FSC-klagomål.docx", "A 12924-2025")</f>
        <v/>
      </c>
      <c r="W163">
        <f>HYPERLINK("https://klasma.github.io/Logging_0980/klagomålsmail/A 12924-2025 FSC-klagomål mail.docx", "A 12924-2025")</f>
        <v/>
      </c>
      <c r="X163">
        <f>HYPERLINK("https://klasma.github.io/Logging_0980/tillsyn/A 12924-2025 tillsynsbegäran.docx", "A 12924-2025")</f>
        <v/>
      </c>
      <c r="Y163">
        <f>HYPERLINK("https://klasma.github.io/Logging_0980/tillsynsmail/A 12924-2025 tillsynsbegäran mail.docx", "A 12924-2025")</f>
        <v/>
      </c>
    </row>
    <row r="164" ht="15" customHeight="1">
      <c r="A164" t="inlineStr">
        <is>
          <t>A 13939-2021</t>
        </is>
      </c>
      <c r="B164" s="1" t="n">
        <v>44277</v>
      </c>
      <c r="C164" s="1" t="n">
        <v>46070</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61561-2023</t>
        </is>
      </c>
      <c r="B165" s="1" t="n">
        <v>45265</v>
      </c>
      <c r="C165" s="1" t="n">
        <v>46070</v>
      </c>
      <c r="D165" t="inlineStr">
        <is>
          <t>GOTLANDS LÄN</t>
        </is>
      </c>
      <c r="E165" t="inlineStr">
        <is>
          <t>GOTLAND</t>
        </is>
      </c>
      <c r="G165" t="n">
        <v>7.4</v>
      </c>
      <c r="H165" t="n">
        <v>0</v>
      </c>
      <c r="I165" t="n">
        <v>0</v>
      </c>
      <c r="J165" t="n">
        <v>1</v>
      </c>
      <c r="K165" t="n">
        <v>0</v>
      </c>
      <c r="L165" t="n">
        <v>0</v>
      </c>
      <c r="M165" t="n">
        <v>0</v>
      </c>
      <c r="N165" t="n">
        <v>0</v>
      </c>
      <c r="O165" t="n">
        <v>1</v>
      </c>
      <c r="P165" t="n">
        <v>0</v>
      </c>
      <c r="Q165" t="n">
        <v>1</v>
      </c>
      <c r="R165" s="2" t="inlineStr">
        <is>
          <t>Loppstarr</t>
        </is>
      </c>
      <c r="S165">
        <f>HYPERLINK("https://klasma.github.io/Logging_0980/artfynd/A 61561-2023 artfynd.xlsx", "A 61561-2023")</f>
        <v/>
      </c>
      <c r="T165">
        <f>HYPERLINK("https://klasma.github.io/Logging_0980/kartor/A 61561-2023 karta.png", "A 61561-2023")</f>
        <v/>
      </c>
      <c r="V165">
        <f>HYPERLINK("https://klasma.github.io/Logging_0980/klagomål/A 61561-2023 FSC-klagomål.docx", "A 61561-2023")</f>
        <v/>
      </c>
      <c r="W165">
        <f>HYPERLINK("https://klasma.github.io/Logging_0980/klagomålsmail/A 61561-2023 FSC-klagomål mail.docx", "A 61561-2023")</f>
        <v/>
      </c>
      <c r="X165">
        <f>HYPERLINK("https://klasma.github.io/Logging_0980/tillsyn/A 61561-2023 tillsynsbegäran.docx", "A 61561-2023")</f>
        <v/>
      </c>
      <c r="Y165">
        <f>HYPERLINK("https://klasma.github.io/Logging_0980/tillsynsmail/A 61561-2023 tillsynsbegäran mail.docx", "A 61561-2023")</f>
        <v/>
      </c>
    </row>
    <row r="166" ht="15" customHeight="1">
      <c r="A166" t="inlineStr">
        <is>
          <t>A 12324-2025</t>
        </is>
      </c>
      <c r="B166" s="1" t="n">
        <v>45730</v>
      </c>
      <c r="C166" s="1" t="n">
        <v>46070</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63149-2025</t>
        </is>
      </c>
      <c r="B167" s="1" t="n">
        <v>46010</v>
      </c>
      <c r="C167" s="1" t="n">
        <v>46070</v>
      </c>
      <c r="D167" t="inlineStr">
        <is>
          <t>GOTLANDS LÄN</t>
        </is>
      </c>
      <c r="E167" t="inlineStr">
        <is>
          <t>GOTLAND</t>
        </is>
      </c>
      <c r="G167" t="n">
        <v>4.3</v>
      </c>
      <c r="H167" t="n">
        <v>0</v>
      </c>
      <c r="I167" t="n">
        <v>1</v>
      </c>
      <c r="J167" t="n">
        <v>0</v>
      </c>
      <c r="K167" t="n">
        <v>0</v>
      </c>
      <c r="L167" t="n">
        <v>0</v>
      </c>
      <c r="M167" t="n">
        <v>0</v>
      </c>
      <c r="N167" t="n">
        <v>0</v>
      </c>
      <c r="O167" t="n">
        <v>0</v>
      </c>
      <c r="P167" t="n">
        <v>0</v>
      </c>
      <c r="Q167" t="n">
        <v>1</v>
      </c>
      <c r="R167" s="2" t="inlineStr">
        <is>
          <t>Anisspindling</t>
        </is>
      </c>
      <c r="S167">
        <f>HYPERLINK("https://klasma.github.io/Logging_0980/artfynd/A 63149-2025 artfynd.xlsx", "A 63149-2025")</f>
        <v/>
      </c>
      <c r="T167">
        <f>HYPERLINK("https://klasma.github.io/Logging_0980/kartor/A 63149-2025 karta.png", "A 63149-2025")</f>
        <v/>
      </c>
      <c r="V167">
        <f>HYPERLINK("https://klasma.github.io/Logging_0980/klagomål/A 63149-2025 FSC-klagomål.docx", "A 63149-2025")</f>
        <v/>
      </c>
      <c r="W167">
        <f>HYPERLINK("https://klasma.github.io/Logging_0980/klagomålsmail/A 63149-2025 FSC-klagomål mail.docx", "A 63149-2025")</f>
        <v/>
      </c>
      <c r="X167">
        <f>HYPERLINK("https://klasma.github.io/Logging_0980/tillsyn/A 63149-2025 tillsynsbegäran.docx", "A 63149-2025")</f>
        <v/>
      </c>
      <c r="Y167">
        <f>HYPERLINK("https://klasma.github.io/Logging_0980/tillsynsmail/A 63149-2025 tillsynsbegäran mail.docx", "A 63149-2025")</f>
        <v/>
      </c>
    </row>
    <row r="168" ht="15" customHeight="1">
      <c r="A168" t="inlineStr">
        <is>
          <t>A 2476-2025</t>
        </is>
      </c>
      <c r="B168" s="1" t="n">
        <v>45673</v>
      </c>
      <c r="C168" s="1" t="n">
        <v>46070</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44304-2021</t>
        </is>
      </c>
      <c r="B169" s="1" t="n">
        <v>44434</v>
      </c>
      <c r="C169" s="1" t="n">
        <v>46070</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Svinrot</t>
        </is>
      </c>
      <c r="S169">
        <f>HYPERLINK("https://klasma.github.io/Logging_0980/artfynd/A 44304-2021 artfynd.xlsx", "A 44304-2021")</f>
        <v/>
      </c>
      <c r="T169">
        <f>HYPERLINK("https://klasma.github.io/Logging_0980/kartor/A 44304-2021 karta.png", "A 44304-2021")</f>
        <v/>
      </c>
      <c r="V169">
        <f>HYPERLINK("https://klasma.github.io/Logging_0980/klagomål/A 44304-2021 FSC-klagomål.docx", "A 44304-2021")</f>
        <v/>
      </c>
      <c r="W169">
        <f>HYPERLINK("https://klasma.github.io/Logging_0980/klagomålsmail/A 44304-2021 FSC-klagomål mail.docx", "A 44304-2021")</f>
        <v/>
      </c>
      <c r="X169">
        <f>HYPERLINK("https://klasma.github.io/Logging_0980/tillsyn/A 44304-2021 tillsynsbegäran.docx", "A 44304-2021")</f>
        <v/>
      </c>
      <c r="Y169">
        <f>HYPERLINK("https://klasma.github.io/Logging_0980/tillsynsmail/A 44304-2021 tillsynsbegäran mail.docx", "A 44304-2021")</f>
        <v/>
      </c>
    </row>
    <row r="170" ht="15" customHeight="1">
      <c r="A170" t="inlineStr">
        <is>
          <t>A 447-2023</t>
        </is>
      </c>
      <c r="B170" s="1" t="n">
        <v>44929</v>
      </c>
      <c r="C170" s="1" t="n">
        <v>46070</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34809-2024</t>
        </is>
      </c>
      <c r="B171" s="1" t="n">
        <v>45526</v>
      </c>
      <c r="C171" s="1" t="n">
        <v>46070</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49304-2024</t>
        </is>
      </c>
      <c r="B172" s="1" t="n">
        <v>45595.54996527778</v>
      </c>
      <c r="C172" s="1" t="n">
        <v>46070</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22782-2023</t>
        </is>
      </c>
      <c r="B173" s="1" t="n">
        <v>45072</v>
      </c>
      <c r="C173" s="1" t="n">
        <v>46070</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44088-2022</t>
        </is>
      </c>
      <c r="B174" s="1" t="n">
        <v>44839</v>
      </c>
      <c r="C174" s="1" t="n">
        <v>46070</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1477-2024</t>
        </is>
      </c>
      <c r="B175" s="1" t="n">
        <v>45305.37987268518</v>
      </c>
      <c r="C175" s="1" t="n">
        <v>46070</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46070</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46070</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46070</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46070</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46070</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46070</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46070</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46070</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46070</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46070</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46070</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46070</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46070</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46070</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46070</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46070</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46070</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46070</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46070</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46070</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46070</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46070</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46070</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46070</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46070</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46070</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46070</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46070</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46070</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46070</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46070</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46070</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46070</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46070</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46070</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46070</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46070</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46070</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46070</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46070</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46070</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46070</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46070</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46070</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46070</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46070</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46070</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46070</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46070</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46070</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46070</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46070</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46070</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46070</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46070</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46070</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13498-2022</t>
        </is>
      </c>
      <c r="B232" s="1" t="n">
        <v>44647.78866898148</v>
      </c>
      <c r="C232" s="1" t="n">
        <v>46070</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13500-2022</t>
        </is>
      </c>
      <c r="B233" s="1" t="n">
        <v>44647.79513888889</v>
      </c>
      <c r="C233" s="1" t="n">
        <v>46070</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21507-2021</t>
        </is>
      </c>
      <c r="B234" s="1" t="n">
        <v>44321</v>
      </c>
      <c r="C234" s="1" t="n">
        <v>46070</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46070</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17901-2023</t>
        </is>
      </c>
      <c r="B236" s="1" t="n">
        <v>45039</v>
      </c>
      <c r="C236" s="1" t="n">
        <v>46070</v>
      </c>
      <c r="D236" t="inlineStr">
        <is>
          <t>GOTLANDS LÄN</t>
        </is>
      </c>
      <c r="E236" t="inlineStr">
        <is>
          <t>GOTLAND</t>
        </is>
      </c>
      <c r="F236" t="inlineStr">
        <is>
          <t>Kyrkan</t>
        </is>
      </c>
      <c r="G236" t="n">
        <v>0.6</v>
      </c>
      <c r="H236" t="n">
        <v>0</v>
      </c>
      <c r="I236" t="n">
        <v>0</v>
      </c>
      <c r="J236" t="n">
        <v>0</v>
      </c>
      <c r="K236" t="n">
        <v>0</v>
      </c>
      <c r="L236" t="n">
        <v>0</v>
      </c>
      <c r="M236" t="n">
        <v>0</v>
      </c>
      <c r="N236" t="n">
        <v>0</v>
      </c>
      <c r="O236" t="n">
        <v>0</v>
      </c>
      <c r="P236" t="n">
        <v>0</v>
      </c>
      <c r="Q236" t="n">
        <v>0</v>
      </c>
      <c r="R236" s="2" t="inlineStr"/>
    </row>
    <row r="237" ht="15" customHeight="1">
      <c r="A237" t="inlineStr">
        <is>
          <t>A 456-2023</t>
        </is>
      </c>
      <c r="B237" s="1" t="n">
        <v>44929.87122685185</v>
      </c>
      <c r="C237" s="1" t="n">
        <v>46070</v>
      </c>
      <c r="D237" t="inlineStr">
        <is>
          <t>GOTLANDS LÄN</t>
        </is>
      </c>
      <c r="E237" t="inlineStr">
        <is>
          <t>GOTLAND</t>
        </is>
      </c>
      <c r="G237" t="n">
        <v>3.2</v>
      </c>
      <c r="H237" t="n">
        <v>0</v>
      </c>
      <c r="I237" t="n">
        <v>0</v>
      </c>
      <c r="J237" t="n">
        <v>0</v>
      </c>
      <c r="K237" t="n">
        <v>0</v>
      </c>
      <c r="L237" t="n">
        <v>0</v>
      </c>
      <c r="M237" t="n">
        <v>0</v>
      </c>
      <c r="N237" t="n">
        <v>0</v>
      </c>
      <c r="O237" t="n">
        <v>0</v>
      </c>
      <c r="P237" t="n">
        <v>0</v>
      </c>
      <c r="Q237" t="n">
        <v>0</v>
      </c>
      <c r="R237" s="2" t="inlineStr"/>
    </row>
    <row r="238" ht="15" customHeight="1">
      <c r="A238" t="inlineStr">
        <is>
          <t>A 58476-2022</t>
        </is>
      </c>
      <c r="B238" s="1" t="n">
        <v>44902</v>
      </c>
      <c r="C238" s="1" t="n">
        <v>46070</v>
      </c>
      <c r="D238" t="inlineStr">
        <is>
          <t>GOTLANDS LÄN</t>
        </is>
      </c>
      <c r="E238" t="inlineStr">
        <is>
          <t>GOTLAND</t>
        </is>
      </c>
      <c r="G238" t="n">
        <v>0.9</v>
      </c>
      <c r="H238" t="n">
        <v>0</v>
      </c>
      <c r="I238" t="n">
        <v>0</v>
      </c>
      <c r="J238" t="n">
        <v>0</v>
      </c>
      <c r="K238" t="n">
        <v>0</v>
      </c>
      <c r="L238" t="n">
        <v>0</v>
      </c>
      <c r="M238" t="n">
        <v>0</v>
      </c>
      <c r="N238" t="n">
        <v>0</v>
      </c>
      <c r="O238" t="n">
        <v>0</v>
      </c>
      <c r="P238" t="n">
        <v>0</v>
      </c>
      <c r="Q238" t="n">
        <v>0</v>
      </c>
      <c r="R238" s="2" t="inlineStr"/>
    </row>
    <row r="239" ht="15" customHeight="1">
      <c r="A239" t="inlineStr">
        <is>
          <t>A 61596-2023</t>
        </is>
      </c>
      <c r="B239" s="1" t="n">
        <v>45265</v>
      </c>
      <c r="C239" s="1" t="n">
        <v>46070</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63229-2021</t>
        </is>
      </c>
      <c r="B240" s="1" t="n">
        <v>44508.34518518519</v>
      </c>
      <c r="C240" s="1" t="n">
        <v>46070</v>
      </c>
      <c r="D240" t="inlineStr">
        <is>
          <t>GOTLANDS LÄN</t>
        </is>
      </c>
      <c r="E240" t="inlineStr">
        <is>
          <t>GOTLAND</t>
        </is>
      </c>
      <c r="F240" t="inlineStr">
        <is>
          <t>Kyrkan</t>
        </is>
      </c>
      <c r="G240" t="n">
        <v>3.8</v>
      </c>
      <c r="H240" t="n">
        <v>0</v>
      </c>
      <c r="I240" t="n">
        <v>0</v>
      </c>
      <c r="J240" t="n">
        <v>0</v>
      </c>
      <c r="K240" t="n">
        <v>0</v>
      </c>
      <c r="L240" t="n">
        <v>0</v>
      </c>
      <c r="M240" t="n">
        <v>0</v>
      </c>
      <c r="N240" t="n">
        <v>0</v>
      </c>
      <c r="O240" t="n">
        <v>0</v>
      </c>
      <c r="P240" t="n">
        <v>0</v>
      </c>
      <c r="Q240" t="n">
        <v>0</v>
      </c>
      <c r="R240" s="2" t="inlineStr"/>
    </row>
    <row r="241" ht="15" customHeight="1">
      <c r="A241" t="inlineStr">
        <is>
          <t>A 873-2024</t>
        </is>
      </c>
      <c r="B241" s="1" t="n">
        <v>45301</v>
      </c>
      <c r="C241" s="1" t="n">
        <v>46070</v>
      </c>
      <c r="D241" t="inlineStr">
        <is>
          <t>GOTLANDS LÄN</t>
        </is>
      </c>
      <c r="E241" t="inlineStr">
        <is>
          <t>GOTLAND</t>
        </is>
      </c>
      <c r="G241" t="n">
        <v>2.7</v>
      </c>
      <c r="H241" t="n">
        <v>0</v>
      </c>
      <c r="I241" t="n">
        <v>0</v>
      </c>
      <c r="J241" t="n">
        <v>0</v>
      </c>
      <c r="K241" t="n">
        <v>0</v>
      </c>
      <c r="L241" t="n">
        <v>0</v>
      </c>
      <c r="M241" t="n">
        <v>0</v>
      </c>
      <c r="N241" t="n">
        <v>0</v>
      </c>
      <c r="O241" t="n">
        <v>0</v>
      </c>
      <c r="P241" t="n">
        <v>0</v>
      </c>
      <c r="Q241" t="n">
        <v>0</v>
      </c>
      <c r="R241" s="2" t="inlineStr"/>
    </row>
    <row r="242" ht="15" customHeight="1">
      <c r="A242" t="inlineStr">
        <is>
          <t>A 44228-2022</t>
        </is>
      </c>
      <c r="B242" s="1" t="n">
        <v>44839.51599537037</v>
      </c>
      <c r="C242" s="1" t="n">
        <v>46070</v>
      </c>
      <c r="D242" t="inlineStr">
        <is>
          <t>GOTLANDS LÄN</t>
        </is>
      </c>
      <c r="E242" t="inlineStr">
        <is>
          <t>GOTLAND</t>
        </is>
      </c>
      <c r="G242" t="n">
        <v>2.1</v>
      </c>
      <c r="H242" t="n">
        <v>0</v>
      </c>
      <c r="I242" t="n">
        <v>0</v>
      </c>
      <c r="J242" t="n">
        <v>0</v>
      </c>
      <c r="K242" t="n">
        <v>0</v>
      </c>
      <c r="L242" t="n">
        <v>0</v>
      </c>
      <c r="M242" t="n">
        <v>0</v>
      </c>
      <c r="N242" t="n">
        <v>0</v>
      </c>
      <c r="O242" t="n">
        <v>0</v>
      </c>
      <c r="P242" t="n">
        <v>0</v>
      </c>
      <c r="Q242" t="n">
        <v>0</v>
      </c>
      <c r="R242" s="2" t="inlineStr"/>
    </row>
    <row r="243" ht="15" customHeight="1">
      <c r="A243" t="inlineStr">
        <is>
          <t>A 61386-2023</t>
        </is>
      </c>
      <c r="B243" s="1" t="n">
        <v>45264</v>
      </c>
      <c r="C243" s="1" t="n">
        <v>46070</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27593-2023</t>
        </is>
      </c>
      <c r="B244" s="1" t="n">
        <v>45097</v>
      </c>
      <c r="C244" s="1" t="n">
        <v>46070</v>
      </c>
      <c r="D244" t="inlineStr">
        <is>
          <t>GOTLANDS LÄN</t>
        </is>
      </c>
      <c r="E244" t="inlineStr">
        <is>
          <t>GOTLAND</t>
        </is>
      </c>
      <c r="G244" t="n">
        <v>3.1</v>
      </c>
      <c r="H244" t="n">
        <v>0</v>
      </c>
      <c r="I244" t="n">
        <v>0</v>
      </c>
      <c r="J244" t="n">
        <v>0</v>
      </c>
      <c r="K244" t="n">
        <v>0</v>
      </c>
      <c r="L244" t="n">
        <v>0</v>
      </c>
      <c r="M244" t="n">
        <v>0</v>
      </c>
      <c r="N244" t="n">
        <v>0</v>
      </c>
      <c r="O244" t="n">
        <v>0</v>
      </c>
      <c r="P244" t="n">
        <v>0</v>
      </c>
      <c r="Q244" t="n">
        <v>0</v>
      </c>
      <c r="R244" s="2" t="inlineStr"/>
    </row>
    <row r="245" ht="15" customHeight="1">
      <c r="A245" t="inlineStr">
        <is>
          <t>A 25129-2023</t>
        </is>
      </c>
      <c r="B245" s="1" t="n">
        <v>45086.44261574074</v>
      </c>
      <c r="C245" s="1" t="n">
        <v>46070</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3964-2024</t>
        </is>
      </c>
      <c r="B246" s="1" t="n">
        <v>45322</v>
      </c>
      <c r="C246" s="1" t="n">
        <v>46070</v>
      </c>
      <c r="D246" t="inlineStr">
        <is>
          <t>GOTLANDS LÄN</t>
        </is>
      </c>
      <c r="E246" t="inlineStr">
        <is>
          <t>GOTLAND</t>
        </is>
      </c>
      <c r="G246" t="n">
        <v>1.4</v>
      </c>
      <c r="H246" t="n">
        <v>0</v>
      </c>
      <c r="I246" t="n">
        <v>0</v>
      </c>
      <c r="J246" t="n">
        <v>0</v>
      </c>
      <c r="K246" t="n">
        <v>0</v>
      </c>
      <c r="L246" t="n">
        <v>0</v>
      </c>
      <c r="M246" t="n">
        <v>0</v>
      </c>
      <c r="N246" t="n">
        <v>0</v>
      </c>
      <c r="O246" t="n">
        <v>0</v>
      </c>
      <c r="P246" t="n">
        <v>0</v>
      </c>
      <c r="Q246" t="n">
        <v>0</v>
      </c>
      <c r="R246" s="2" t="inlineStr"/>
    </row>
    <row r="247" ht="15" customHeight="1">
      <c r="A247" t="inlineStr">
        <is>
          <t>A 56009-2024</t>
        </is>
      </c>
      <c r="B247" s="1" t="n">
        <v>45623.80864583333</v>
      </c>
      <c r="C247" s="1" t="n">
        <v>46070</v>
      </c>
      <c r="D247" t="inlineStr">
        <is>
          <t>GOTLANDS LÄN</t>
        </is>
      </c>
      <c r="E247" t="inlineStr">
        <is>
          <t>GOTLAND</t>
        </is>
      </c>
      <c r="G247" t="n">
        <v>2.8</v>
      </c>
      <c r="H247" t="n">
        <v>0</v>
      </c>
      <c r="I247" t="n">
        <v>0</v>
      </c>
      <c r="J247" t="n">
        <v>0</v>
      </c>
      <c r="K247" t="n">
        <v>0</v>
      </c>
      <c r="L247" t="n">
        <v>0</v>
      </c>
      <c r="M247" t="n">
        <v>0</v>
      </c>
      <c r="N247" t="n">
        <v>0</v>
      </c>
      <c r="O247" t="n">
        <v>0</v>
      </c>
      <c r="P247" t="n">
        <v>0</v>
      </c>
      <c r="Q247" t="n">
        <v>0</v>
      </c>
      <c r="R247" s="2" t="inlineStr"/>
    </row>
    <row r="248" ht="15" customHeight="1">
      <c r="A248" t="inlineStr">
        <is>
          <t>A 54073-2022</t>
        </is>
      </c>
      <c r="B248" s="1" t="n">
        <v>44881.50380787037</v>
      </c>
      <c r="C248" s="1" t="n">
        <v>46070</v>
      </c>
      <c r="D248" t="inlineStr">
        <is>
          <t>GOTLANDS LÄN</t>
        </is>
      </c>
      <c r="E248" t="inlineStr">
        <is>
          <t>GOTLAND</t>
        </is>
      </c>
      <c r="G248" t="n">
        <v>3.8</v>
      </c>
      <c r="H248" t="n">
        <v>0</v>
      </c>
      <c r="I248" t="n">
        <v>0</v>
      </c>
      <c r="J248" t="n">
        <v>0</v>
      </c>
      <c r="K248" t="n">
        <v>0</v>
      </c>
      <c r="L248" t="n">
        <v>0</v>
      </c>
      <c r="M248" t="n">
        <v>0</v>
      </c>
      <c r="N248" t="n">
        <v>0</v>
      </c>
      <c r="O248" t="n">
        <v>0</v>
      </c>
      <c r="P248" t="n">
        <v>0</v>
      </c>
      <c r="Q248" t="n">
        <v>0</v>
      </c>
      <c r="R248" s="2" t="inlineStr"/>
    </row>
    <row r="249" ht="15" customHeight="1">
      <c r="A249" t="inlineStr">
        <is>
          <t>A 7026-2023</t>
        </is>
      </c>
      <c r="B249" s="1" t="n">
        <v>44968.30340277778</v>
      </c>
      <c r="C249" s="1" t="n">
        <v>46070</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52892-2021</t>
        </is>
      </c>
      <c r="B250" s="1" t="n">
        <v>44467.49048611111</v>
      </c>
      <c r="C250" s="1" t="n">
        <v>46070</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45106-2024</t>
        </is>
      </c>
      <c r="B251" s="1" t="n">
        <v>45575</v>
      </c>
      <c r="C251" s="1" t="n">
        <v>46070</v>
      </c>
      <c r="D251" t="inlineStr">
        <is>
          <t>GOTLANDS LÄN</t>
        </is>
      </c>
      <c r="E251" t="inlineStr">
        <is>
          <t>GOTLAND</t>
        </is>
      </c>
      <c r="G251" t="n">
        <v>10</v>
      </c>
      <c r="H251" t="n">
        <v>0</v>
      </c>
      <c r="I251" t="n">
        <v>0</v>
      </c>
      <c r="J251" t="n">
        <v>0</v>
      </c>
      <c r="K251" t="n">
        <v>0</v>
      </c>
      <c r="L251" t="n">
        <v>0</v>
      </c>
      <c r="M251" t="n">
        <v>0</v>
      </c>
      <c r="N251" t="n">
        <v>0</v>
      </c>
      <c r="O251" t="n">
        <v>0</v>
      </c>
      <c r="P251" t="n">
        <v>0</v>
      </c>
      <c r="Q251" t="n">
        <v>0</v>
      </c>
      <c r="R251" s="2" t="inlineStr"/>
    </row>
    <row r="252" ht="15" customHeight="1">
      <c r="A252" t="inlineStr">
        <is>
          <t>A 45112-2024</t>
        </is>
      </c>
      <c r="B252" s="1" t="n">
        <v>45575</v>
      </c>
      <c r="C252" s="1" t="n">
        <v>46070</v>
      </c>
      <c r="D252" t="inlineStr">
        <is>
          <t>GOTLANDS LÄN</t>
        </is>
      </c>
      <c r="E252" t="inlineStr">
        <is>
          <t>GOTLAND</t>
        </is>
      </c>
      <c r="G252" t="n">
        <v>5.1</v>
      </c>
      <c r="H252" t="n">
        <v>0</v>
      </c>
      <c r="I252" t="n">
        <v>0</v>
      </c>
      <c r="J252" t="n">
        <v>0</v>
      </c>
      <c r="K252" t="n">
        <v>0</v>
      </c>
      <c r="L252" t="n">
        <v>0</v>
      </c>
      <c r="M252" t="n">
        <v>0</v>
      </c>
      <c r="N252" t="n">
        <v>0</v>
      </c>
      <c r="O252" t="n">
        <v>0</v>
      </c>
      <c r="P252" t="n">
        <v>0</v>
      </c>
      <c r="Q252" t="n">
        <v>0</v>
      </c>
      <c r="R252" s="2" t="inlineStr"/>
    </row>
    <row r="253" ht="15" customHeight="1">
      <c r="A253" t="inlineStr">
        <is>
          <t>A 1351-2025</t>
        </is>
      </c>
      <c r="B253" s="1" t="n">
        <v>45667.62246527777</v>
      </c>
      <c r="C253" s="1" t="n">
        <v>46070</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57356-2023</t>
        </is>
      </c>
      <c r="B254" s="1" t="n">
        <v>45240</v>
      </c>
      <c r="C254" s="1" t="n">
        <v>46070</v>
      </c>
      <c r="D254" t="inlineStr">
        <is>
          <t>GOTLANDS LÄN</t>
        </is>
      </c>
      <c r="E254" t="inlineStr">
        <is>
          <t>GOTLAND</t>
        </is>
      </c>
      <c r="G254" t="n">
        <v>6.4</v>
      </c>
      <c r="H254" t="n">
        <v>0</v>
      </c>
      <c r="I254" t="n">
        <v>0</v>
      </c>
      <c r="J254" t="n">
        <v>0</v>
      </c>
      <c r="K254" t="n">
        <v>0</v>
      </c>
      <c r="L254" t="n">
        <v>0</v>
      </c>
      <c r="M254" t="n">
        <v>0</v>
      </c>
      <c r="N254" t="n">
        <v>0</v>
      </c>
      <c r="O254" t="n">
        <v>0</v>
      </c>
      <c r="P254" t="n">
        <v>0</v>
      </c>
      <c r="Q254" t="n">
        <v>0</v>
      </c>
      <c r="R254" s="2" t="inlineStr"/>
    </row>
    <row r="255" ht="15" customHeight="1">
      <c r="A255" t="inlineStr">
        <is>
          <t>A 28506-2023</t>
        </is>
      </c>
      <c r="B255" s="1" t="n">
        <v>45103</v>
      </c>
      <c r="C255" s="1" t="n">
        <v>46070</v>
      </c>
      <c r="D255" t="inlineStr">
        <is>
          <t>GOTLANDS LÄN</t>
        </is>
      </c>
      <c r="E255" t="inlineStr">
        <is>
          <t>GOTLAND</t>
        </is>
      </c>
      <c r="G255" t="n">
        <v>3.2</v>
      </c>
      <c r="H255" t="n">
        <v>0</v>
      </c>
      <c r="I255" t="n">
        <v>0</v>
      </c>
      <c r="J255" t="n">
        <v>0</v>
      </c>
      <c r="K255" t="n">
        <v>0</v>
      </c>
      <c r="L255" t="n">
        <v>0</v>
      </c>
      <c r="M255" t="n">
        <v>0</v>
      </c>
      <c r="N255" t="n">
        <v>0</v>
      </c>
      <c r="O255" t="n">
        <v>0</v>
      </c>
      <c r="P255" t="n">
        <v>0</v>
      </c>
      <c r="Q255" t="n">
        <v>0</v>
      </c>
      <c r="R255" s="2" t="inlineStr"/>
    </row>
    <row r="256" ht="15" customHeight="1">
      <c r="A256" t="inlineStr">
        <is>
          <t>A 49874-2024</t>
        </is>
      </c>
      <c r="B256" s="1" t="n">
        <v>45597.49274305555</v>
      </c>
      <c r="C256" s="1" t="n">
        <v>46070</v>
      </c>
      <c r="D256" t="inlineStr">
        <is>
          <t>GOTLANDS LÄN</t>
        </is>
      </c>
      <c r="E256" t="inlineStr">
        <is>
          <t>GOTLAND</t>
        </is>
      </c>
      <c r="G256" t="n">
        <v>1.1</v>
      </c>
      <c r="H256" t="n">
        <v>0</v>
      </c>
      <c r="I256" t="n">
        <v>0</v>
      </c>
      <c r="J256" t="n">
        <v>0</v>
      </c>
      <c r="K256" t="n">
        <v>0</v>
      </c>
      <c r="L256" t="n">
        <v>0</v>
      </c>
      <c r="M256" t="n">
        <v>0</v>
      </c>
      <c r="N256" t="n">
        <v>0</v>
      </c>
      <c r="O256" t="n">
        <v>0</v>
      </c>
      <c r="P256" t="n">
        <v>0</v>
      </c>
      <c r="Q256" t="n">
        <v>0</v>
      </c>
      <c r="R256" s="2" t="inlineStr"/>
    </row>
    <row r="257" ht="15" customHeight="1">
      <c r="A257" t="inlineStr">
        <is>
          <t>A 23188-2025</t>
        </is>
      </c>
      <c r="B257" s="1" t="n">
        <v>45791</v>
      </c>
      <c r="C257" s="1" t="n">
        <v>46070</v>
      </c>
      <c r="D257" t="inlineStr">
        <is>
          <t>GOTLANDS LÄN</t>
        </is>
      </c>
      <c r="E257" t="inlineStr">
        <is>
          <t>GOTLAND</t>
        </is>
      </c>
      <c r="G257" t="n">
        <v>6.2</v>
      </c>
      <c r="H257" t="n">
        <v>0</v>
      </c>
      <c r="I257" t="n">
        <v>0</v>
      </c>
      <c r="J257" t="n">
        <v>0</v>
      </c>
      <c r="K257" t="n">
        <v>0</v>
      </c>
      <c r="L257" t="n">
        <v>0</v>
      </c>
      <c r="M257" t="n">
        <v>0</v>
      </c>
      <c r="N257" t="n">
        <v>0</v>
      </c>
      <c r="O257" t="n">
        <v>0</v>
      </c>
      <c r="P257" t="n">
        <v>0</v>
      </c>
      <c r="Q257" t="n">
        <v>0</v>
      </c>
      <c r="R257" s="2" t="inlineStr"/>
    </row>
    <row r="258" ht="15" customHeight="1">
      <c r="A258" t="inlineStr">
        <is>
          <t>A 20356-2022</t>
        </is>
      </c>
      <c r="B258" s="1" t="n">
        <v>44699</v>
      </c>
      <c r="C258" s="1" t="n">
        <v>46070</v>
      </c>
      <c r="D258" t="inlineStr">
        <is>
          <t>GOTLANDS LÄN</t>
        </is>
      </c>
      <c r="E258" t="inlineStr">
        <is>
          <t>GOTLAND</t>
        </is>
      </c>
      <c r="F258" t="inlineStr">
        <is>
          <t>Övriga Aktiebolag</t>
        </is>
      </c>
      <c r="G258" t="n">
        <v>4.4</v>
      </c>
      <c r="H258" t="n">
        <v>0</v>
      </c>
      <c r="I258" t="n">
        <v>0</v>
      </c>
      <c r="J258" t="n">
        <v>0</v>
      </c>
      <c r="K258" t="n">
        <v>0</v>
      </c>
      <c r="L258" t="n">
        <v>0</v>
      </c>
      <c r="M258" t="n">
        <v>0</v>
      </c>
      <c r="N258" t="n">
        <v>0</v>
      </c>
      <c r="O258" t="n">
        <v>0</v>
      </c>
      <c r="P258" t="n">
        <v>0</v>
      </c>
      <c r="Q258" t="n">
        <v>0</v>
      </c>
      <c r="R258" s="2" t="inlineStr"/>
    </row>
    <row r="259" ht="15" customHeight="1">
      <c r="A259" t="inlineStr">
        <is>
          <t>A 23856-2025</t>
        </is>
      </c>
      <c r="B259" s="1" t="n">
        <v>45793</v>
      </c>
      <c r="C259" s="1" t="n">
        <v>46070</v>
      </c>
      <c r="D259" t="inlineStr">
        <is>
          <t>GOTLANDS LÄN</t>
        </is>
      </c>
      <c r="E259" t="inlineStr">
        <is>
          <t>GOTLAND</t>
        </is>
      </c>
      <c r="G259" t="n">
        <v>4.4</v>
      </c>
      <c r="H259" t="n">
        <v>0</v>
      </c>
      <c r="I259" t="n">
        <v>0</v>
      </c>
      <c r="J259" t="n">
        <v>0</v>
      </c>
      <c r="K259" t="n">
        <v>0</v>
      </c>
      <c r="L259" t="n">
        <v>0</v>
      </c>
      <c r="M259" t="n">
        <v>0</v>
      </c>
      <c r="N259" t="n">
        <v>0</v>
      </c>
      <c r="O259" t="n">
        <v>0</v>
      </c>
      <c r="P259" t="n">
        <v>0</v>
      </c>
      <c r="Q259" t="n">
        <v>0</v>
      </c>
      <c r="R259" s="2" t="inlineStr"/>
    </row>
    <row r="260" ht="15" customHeight="1">
      <c r="A260" t="inlineStr">
        <is>
          <t>A 23473-2025</t>
        </is>
      </c>
      <c r="B260" s="1" t="n">
        <v>45792</v>
      </c>
      <c r="C260" s="1" t="n">
        <v>46070</v>
      </c>
      <c r="D260" t="inlineStr">
        <is>
          <t>GOTLANDS LÄN</t>
        </is>
      </c>
      <c r="E260" t="inlineStr">
        <is>
          <t>GOTLAND</t>
        </is>
      </c>
      <c r="G260" t="n">
        <v>3.6</v>
      </c>
      <c r="H260" t="n">
        <v>0</v>
      </c>
      <c r="I260" t="n">
        <v>0</v>
      </c>
      <c r="J260" t="n">
        <v>0</v>
      </c>
      <c r="K260" t="n">
        <v>0</v>
      </c>
      <c r="L260" t="n">
        <v>0</v>
      </c>
      <c r="M260" t="n">
        <v>0</v>
      </c>
      <c r="N260" t="n">
        <v>0</v>
      </c>
      <c r="O260" t="n">
        <v>0</v>
      </c>
      <c r="P260" t="n">
        <v>0</v>
      </c>
      <c r="Q260" t="n">
        <v>0</v>
      </c>
      <c r="R260" s="2" t="inlineStr"/>
    </row>
    <row r="261" ht="15" customHeight="1">
      <c r="A261" t="inlineStr">
        <is>
          <t>A 51782-2023</t>
        </is>
      </c>
      <c r="B261" s="1" t="n">
        <v>45222.80952546297</v>
      </c>
      <c r="C261" s="1" t="n">
        <v>46070</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60675-2021</t>
        </is>
      </c>
      <c r="B262" s="1" t="n">
        <v>44496.64855324074</v>
      </c>
      <c r="C262" s="1" t="n">
        <v>46070</v>
      </c>
      <c r="D262" t="inlineStr">
        <is>
          <t>GOTLANDS LÄN</t>
        </is>
      </c>
      <c r="E262" t="inlineStr">
        <is>
          <t>GOTLAND</t>
        </is>
      </c>
      <c r="G262" t="n">
        <v>4.6</v>
      </c>
      <c r="H262" t="n">
        <v>0</v>
      </c>
      <c r="I262" t="n">
        <v>0</v>
      </c>
      <c r="J262" t="n">
        <v>0</v>
      </c>
      <c r="K262" t="n">
        <v>0</v>
      </c>
      <c r="L262" t="n">
        <v>0</v>
      </c>
      <c r="M262" t="n">
        <v>0</v>
      </c>
      <c r="N262" t="n">
        <v>0</v>
      </c>
      <c r="O262" t="n">
        <v>0</v>
      </c>
      <c r="P262" t="n">
        <v>0</v>
      </c>
      <c r="Q262" t="n">
        <v>0</v>
      </c>
      <c r="R262" s="2" t="inlineStr"/>
    </row>
    <row r="263" ht="15" customHeight="1">
      <c r="A263" t="inlineStr">
        <is>
          <t>A 23698-2025</t>
        </is>
      </c>
      <c r="B263" s="1" t="n">
        <v>45793</v>
      </c>
      <c r="C263" s="1" t="n">
        <v>46070</v>
      </c>
      <c r="D263" t="inlineStr">
        <is>
          <t>GOTLANDS LÄN</t>
        </is>
      </c>
      <c r="E263" t="inlineStr">
        <is>
          <t>GOTLAND</t>
        </is>
      </c>
      <c r="G263" t="n">
        <v>0.8</v>
      </c>
      <c r="H263" t="n">
        <v>0</v>
      </c>
      <c r="I263" t="n">
        <v>0</v>
      </c>
      <c r="J263" t="n">
        <v>0</v>
      </c>
      <c r="K263" t="n">
        <v>0</v>
      </c>
      <c r="L263" t="n">
        <v>0</v>
      </c>
      <c r="M263" t="n">
        <v>0</v>
      </c>
      <c r="N263" t="n">
        <v>0</v>
      </c>
      <c r="O263" t="n">
        <v>0</v>
      </c>
      <c r="P263" t="n">
        <v>0</v>
      </c>
      <c r="Q263" t="n">
        <v>0</v>
      </c>
      <c r="R263" s="2" t="inlineStr"/>
    </row>
    <row r="264" ht="15" customHeight="1">
      <c r="A264" t="inlineStr">
        <is>
          <t>A 35142-2025</t>
        </is>
      </c>
      <c r="B264" s="1" t="n">
        <v>45852.65532407408</v>
      </c>
      <c r="C264" s="1" t="n">
        <v>46070</v>
      </c>
      <c r="D264" t="inlineStr">
        <is>
          <t>GOTLANDS LÄN</t>
        </is>
      </c>
      <c r="E264" t="inlineStr">
        <is>
          <t>GOTLAND</t>
        </is>
      </c>
      <c r="G264" t="n">
        <v>2.4</v>
      </c>
      <c r="H264" t="n">
        <v>0</v>
      </c>
      <c r="I264" t="n">
        <v>0</v>
      </c>
      <c r="J264" t="n">
        <v>0</v>
      </c>
      <c r="K264" t="n">
        <v>0</v>
      </c>
      <c r="L264" t="n">
        <v>0</v>
      </c>
      <c r="M264" t="n">
        <v>0</v>
      </c>
      <c r="N264" t="n">
        <v>0</v>
      </c>
      <c r="O264" t="n">
        <v>0</v>
      </c>
      <c r="P264" t="n">
        <v>0</v>
      </c>
      <c r="Q264" t="n">
        <v>0</v>
      </c>
      <c r="R264" s="2" t="inlineStr"/>
    </row>
    <row r="265" ht="15" customHeight="1">
      <c r="A265" t="inlineStr">
        <is>
          <t>A 15073-2025</t>
        </is>
      </c>
      <c r="B265" s="1" t="n">
        <v>45743</v>
      </c>
      <c r="C265" s="1" t="n">
        <v>46070</v>
      </c>
      <c r="D265" t="inlineStr">
        <is>
          <t>GOTLANDS LÄN</t>
        </is>
      </c>
      <c r="E265" t="inlineStr">
        <is>
          <t>GOTLAND</t>
        </is>
      </c>
      <c r="G265" t="n">
        <v>12.1</v>
      </c>
      <c r="H265" t="n">
        <v>0</v>
      </c>
      <c r="I265" t="n">
        <v>0</v>
      </c>
      <c r="J265" t="n">
        <v>0</v>
      </c>
      <c r="K265" t="n">
        <v>0</v>
      </c>
      <c r="L265" t="n">
        <v>0</v>
      </c>
      <c r="M265" t="n">
        <v>0</v>
      </c>
      <c r="N265" t="n">
        <v>0</v>
      </c>
      <c r="O265" t="n">
        <v>0</v>
      </c>
      <c r="P265" t="n">
        <v>0</v>
      </c>
      <c r="Q265" t="n">
        <v>0</v>
      </c>
      <c r="R265" s="2" t="inlineStr"/>
    </row>
    <row r="266" ht="15" customHeight="1">
      <c r="A266" t="inlineStr">
        <is>
          <t>A 5217-2023</t>
        </is>
      </c>
      <c r="B266" s="1" t="n">
        <v>44959.39582175926</v>
      </c>
      <c r="C266" s="1" t="n">
        <v>46070</v>
      </c>
      <c r="D266" t="inlineStr">
        <is>
          <t>GOTLANDS LÄN</t>
        </is>
      </c>
      <c r="E266" t="inlineStr">
        <is>
          <t>GOTLAND</t>
        </is>
      </c>
      <c r="G266" t="n">
        <v>1.9</v>
      </c>
      <c r="H266" t="n">
        <v>0</v>
      </c>
      <c r="I266" t="n">
        <v>0</v>
      </c>
      <c r="J266" t="n">
        <v>0</v>
      </c>
      <c r="K266" t="n">
        <v>0</v>
      </c>
      <c r="L266" t="n">
        <v>0</v>
      </c>
      <c r="M266" t="n">
        <v>0</v>
      </c>
      <c r="N266" t="n">
        <v>0</v>
      </c>
      <c r="O266" t="n">
        <v>0</v>
      </c>
      <c r="P266" t="n">
        <v>0</v>
      </c>
      <c r="Q266" t="n">
        <v>0</v>
      </c>
      <c r="R266" s="2" t="inlineStr"/>
    </row>
    <row r="267" ht="15" customHeight="1">
      <c r="A267" t="inlineStr">
        <is>
          <t>A 14638-2025</t>
        </is>
      </c>
      <c r="B267" s="1" t="n">
        <v>45742</v>
      </c>
      <c r="C267" s="1" t="n">
        <v>46070</v>
      </c>
      <c r="D267" t="inlineStr">
        <is>
          <t>GOTLANDS LÄN</t>
        </is>
      </c>
      <c r="E267" t="inlineStr">
        <is>
          <t>GOTLAND</t>
        </is>
      </c>
      <c r="G267" t="n">
        <v>13.4</v>
      </c>
      <c r="H267" t="n">
        <v>0</v>
      </c>
      <c r="I267" t="n">
        <v>0</v>
      </c>
      <c r="J267" t="n">
        <v>0</v>
      </c>
      <c r="K267" t="n">
        <v>0</v>
      </c>
      <c r="L267" t="n">
        <v>0</v>
      </c>
      <c r="M267" t="n">
        <v>0</v>
      </c>
      <c r="N267" t="n">
        <v>0</v>
      </c>
      <c r="O267" t="n">
        <v>0</v>
      </c>
      <c r="P267" t="n">
        <v>0</v>
      </c>
      <c r="Q267" t="n">
        <v>0</v>
      </c>
      <c r="R267" s="2" t="inlineStr"/>
    </row>
    <row r="268" ht="15" customHeight="1">
      <c r="A268" t="inlineStr">
        <is>
          <t>A 35141-2025</t>
        </is>
      </c>
      <c r="B268" s="1" t="n">
        <v>45852.65206018519</v>
      </c>
      <c r="C268" s="1" t="n">
        <v>46070</v>
      </c>
      <c r="D268" t="inlineStr">
        <is>
          <t>GOTLANDS LÄN</t>
        </is>
      </c>
      <c r="E268" t="inlineStr">
        <is>
          <t>GOTLAND</t>
        </is>
      </c>
      <c r="G268" t="n">
        <v>1</v>
      </c>
      <c r="H268" t="n">
        <v>0</v>
      </c>
      <c r="I268" t="n">
        <v>0</v>
      </c>
      <c r="J268" t="n">
        <v>0</v>
      </c>
      <c r="K268" t="n">
        <v>0</v>
      </c>
      <c r="L268" t="n">
        <v>0</v>
      </c>
      <c r="M268" t="n">
        <v>0</v>
      </c>
      <c r="N268" t="n">
        <v>0</v>
      </c>
      <c r="O268" t="n">
        <v>0</v>
      </c>
      <c r="P268" t="n">
        <v>0</v>
      </c>
      <c r="Q268" t="n">
        <v>0</v>
      </c>
      <c r="R268" s="2" t="inlineStr"/>
    </row>
    <row r="269" ht="15" customHeight="1">
      <c r="A269" t="inlineStr">
        <is>
          <t>A 4421-2024</t>
        </is>
      </c>
      <c r="B269" s="1" t="n">
        <v>45327.45173611111</v>
      </c>
      <c r="C269" s="1" t="n">
        <v>46070</v>
      </c>
      <c r="D269" t="inlineStr">
        <is>
          <t>GOTLANDS LÄN</t>
        </is>
      </c>
      <c r="E269" t="inlineStr">
        <is>
          <t>GOTLAND</t>
        </is>
      </c>
      <c r="G269" t="n">
        <v>5.1</v>
      </c>
      <c r="H269" t="n">
        <v>0</v>
      </c>
      <c r="I269" t="n">
        <v>0</v>
      </c>
      <c r="J269" t="n">
        <v>0</v>
      </c>
      <c r="K269" t="n">
        <v>0</v>
      </c>
      <c r="L269" t="n">
        <v>0</v>
      </c>
      <c r="M269" t="n">
        <v>0</v>
      </c>
      <c r="N269" t="n">
        <v>0</v>
      </c>
      <c r="O269" t="n">
        <v>0</v>
      </c>
      <c r="P269" t="n">
        <v>0</v>
      </c>
      <c r="Q269" t="n">
        <v>0</v>
      </c>
      <c r="R269" s="2" t="inlineStr"/>
    </row>
    <row r="270" ht="15" customHeight="1">
      <c r="A270" t="inlineStr">
        <is>
          <t>A 6749-2025</t>
        </is>
      </c>
      <c r="B270" s="1" t="n">
        <v>45700</v>
      </c>
      <c r="C270" s="1" t="n">
        <v>46070</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20165-2022</t>
        </is>
      </c>
      <c r="B271" s="1" t="n">
        <v>44698.49854166667</v>
      </c>
      <c r="C271" s="1" t="n">
        <v>46070</v>
      </c>
      <c r="D271" t="inlineStr">
        <is>
          <t>GOTLANDS LÄN</t>
        </is>
      </c>
      <c r="E271" t="inlineStr">
        <is>
          <t>GOTLAND</t>
        </is>
      </c>
      <c r="G271" t="n">
        <v>4.1</v>
      </c>
      <c r="H271" t="n">
        <v>0</v>
      </c>
      <c r="I271" t="n">
        <v>0</v>
      </c>
      <c r="J271" t="n">
        <v>0</v>
      </c>
      <c r="K271" t="n">
        <v>0</v>
      </c>
      <c r="L271" t="n">
        <v>0</v>
      </c>
      <c r="M271" t="n">
        <v>0</v>
      </c>
      <c r="N271" t="n">
        <v>0</v>
      </c>
      <c r="O271" t="n">
        <v>0</v>
      </c>
      <c r="P271" t="n">
        <v>0</v>
      </c>
      <c r="Q271" t="n">
        <v>0</v>
      </c>
      <c r="R271" s="2" t="inlineStr"/>
    </row>
    <row r="272" ht="15" customHeight="1">
      <c r="A272" t="inlineStr">
        <is>
          <t>A 31264-2021</t>
        </is>
      </c>
      <c r="B272" s="1" t="n">
        <v>44368</v>
      </c>
      <c r="C272" s="1" t="n">
        <v>46070</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5462-2025</t>
        </is>
      </c>
      <c r="B273" s="1" t="n">
        <v>45693.29331018519</v>
      </c>
      <c r="C273" s="1" t="n">
        <v>46070</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33876-2024</t>
        </is>
      </c>
      <c r="B274" s="1" t="n">
        <v>45521.87988425926</v>
      </c>
      <c r="C274" s="1" t="n">
        <v>46070</v>
      </c>
      <c r="D274" t="inlineStr">
        <is>
          <t>GOTLANDS LÄN</t>
        </is>
      </c>
      <c r="E274" t="inlineStr">
        <is>
          <t>GOTLAND</t>
        </is>
      </c>
      <c r="G274" t="n">
        <v>1.3</v>
      </c>
      <c r="H274" t="n">
        <v>0</v>
      </c>
      <c r="I274" t="n">
        <v>0</v>
      </c>
      <c r="J274" t="n">
        <v>0</v>
      </c>
      <c r="K274" t="n">
        <v>0</v>
      </c>
      <c r="L274" t="n">
        <v>0</v>
      </c>
      <c r="M274" t="n">
        <v>0</v>
      </c>
      <c r="N274" t="n">
        <v>0</v>
      </c>
      <c r="O274" t="n">
        <v>0</v>
      </c>
      <c r="P274" t="n">
        <v>0</v>
      </c>
      <c r="Q274" t="n">
        <v>0</v>
      </c>
      <c r="R274" s="2" t="inlineStr"/>
    </row>
    <row r="275" ht="15" customHeight="1">
      <c r="A275" t="inlineStr">
        <is>
          <t>A 39849-2025</t>
        </is>
      </c>
      <c r="B275" s="1" t="n">
        <v>45891.58502314815</v>
      </c>
      <c r="C275" s="1" t="n">
        <v>46070</v>
      </c>
      <c r="D275" t="inlineStr">
        <is>
          <t>GOTLANDS LÄN</t>
        </is>
      </c>
      <c r="E275" t="inlineStr">
        <is>
          <t>GOTLAND</t>
        </is>
      </c>
      <c r="G275" t="n">
        <v>6.1</v>
      </c>
      <c r="H275" t="n">
        <v>0</v>
      </c>
      <c r="I275" t="n">
        <v>0</v>
      </c>
      <c r="J275" t="n">
        <v>0</v>
      </c>
      <c r="K275" t="n">
        <v>0</v>
      </c>
      <c r="L275" t="n">
        <v>0</v>
      </c>
      <c r="M275" t="n">
        <v>0</v>
      </c>
      <c r="N275" t="n">
        <v>0</v>
      </c>
      <c r="O275" t="n">
        <v>0</v>
      </c>
      <c r="P275" t="n">
        <v>0</v>
      </c>
      <c r="Q275" t="n">
        <v>0</v>
      </c>
      <c r="R275" s="2" t="inlineStr"/>
    </row>
    <row r="276" ht="15" customHeight="1">
      <c r="A276" t="inlineStr">
        <is>
          <t>A 39814-2025</t>
        </is>
      </c>
      <c r="B276" s="1" t="n">
        <v>45891.52694444444</v>
      </c>
      <c r="C276" s="1" t="n">
        <v>46070</v>
      </c>
      <c r="D276" t="inlineStr">
        <is>
          <t>GOTLANDS LÄN</t>
        </is>
      </c>
      <c r="E276" t="inlineStr">
        <is>
          <t>GOTLAND</t>
        </is>
      </c>
      <c r="G276" t="n">
        <v>4.5</v>
      </c>
      <c r="H276" t="n">
        <v>0</v>
      </c>
      <c r="I276" t="n">
        <v>0</v>
      </c>
      <c r="J276" t="n">
        <v>0</v>
      </c>
      <c r="K276" t="n">
        <v>0</v>
      </c>
      <c r="L276" t="n">
        <v>0</v>
      </c>
      <c r="M276" t="n">
        <v>0</v>
      </c>
      <c r="N276" t="n">
        <v>0</v>
      </c>
      <c r="O276" t="n">
        <v>0</v>
      </c>
      <c r="P276" t="n">
        <v>0</v>
      </c>
      <c r="Q276" t="n">
        <v>0</v>
      </c>
      <c r="R276" s="2" t="inlineStr"/>
    </row>
    <row r="277" ht="15" customHeight="1">
      <c r="A277" t="inlineStr">
        <is>
          <t>A 43223-2023</t>
        </is>
      </c>
      <c r="B277" s="1" t="n">
        <v>45183.45642361111</v>
      </c>
      <c r="C277" s="1" t="n">
        <v>46070</v>
      </c>
      <c r="D277" t="inlineStr">
        <is>
          <t>GOTLANDS LÄN</t>
        </is>
      </c>
      <c r="E277" t="inlineStr">
        <is>
          <t>GOTLAND</t>
        </is>
      </c>
      <c r="G277" t="n">
        <v>1.8</v>
      </c>
      <c r="H277" t="n">
        <v>0</v>
      </c>
      <c r="I277" t="n">
        <v>0</v>
      </c>
      <c r="J277" t="n">
        <v>0</v>
      </c>
      <c r="K277" t="n">
        <v>0</v>
      </c>
      <c r="L277" t="n">
        <v>0</v>
      </c>
      <c r="M277" t="n">
        <v>0</v>
      </c>
      <c r="N277" t="n">
        <v>0</v>
      </c>
      <c r="O277" t="n">
        <v>0</v>
      </c>
      <c r="P277" t="n">
        <v>0</v>
      </c>
      <c r="Q277" t="n">
        <v>0</v>
      </c>
      <c r="R277" s="2" t="inlineStr"/>
    </row>
    <row r="278" ht="15" customHeight="1">
      <c r="A278" t="inlineStr">
        <is>
          <t>A 39819-2025</t>
        </is>
      </c>
      <c r="B278" s="1" t="n">
        <v>45891.53418981482</v>
      </c>
      <c r="C278" s="1" t="n">
        <v>46070</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61962-2024</t>
        </is>
      </c>
      <c r="B279" s="1" t="n">
        <v>45653.54340277778</v>
      </c>
      <c r="C279" s="1" t="n">
        <v>46070</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39752-2025</t>
        </is>
      </c>
      <c r="B280" s="1" t="n">
        <v>45891</v>
      </c>
      <c r="C280" s="1" t="n">
        <v>46070</v>
      </c>
      <c r="D280" t="inlineStr">
        <is>
          <t>GOTLANDS LÄN</t>
        </is>
      </c>
      <c r="E280" t="inlineStr">
        <is>
          <t>GOTLAND</t>
        </is>
      </c>
      <c r="G280" t="n">
        <v>5.3</v>
      </c>
      <c r="H280" t="n">
        <v>0</v>
      </c>
      <c r="I280" t="n">
        <v>0</v>
      </c>
      <c r="J280" t="n">
        <v>0</v>
      </c>
      <c r="K280" t="n">
        <v>0</v>
      </c>
      <c r="L280" t="n">
        <v>0</v>
      </c>
      <c r="M280" t="n">
        <v>0</v>
      </c>
      <c r="N280" t="n">
        <v>0</v>
      </c>
      <c r="O280" t="n">
        <v>0</v>
      </c>
      <c r="P280" t="n">
        <v>0</v>
      </c>
      <c r="Q280" t="n">
        <v>0</v>
      </c>
      <c r="R280" s="2" t="inlineStr"/>
    </row>
    <row r="281" ht="15" customHeight="1">
      <c r="A281" t="inlineStr">
        <is>
          <t>A 39816-2025</t>
        </is>
      </c>
      <c r="B281" s="1" t="n">
        <v>45891</v>
      </c>
      <c r="C281" s="1" t="n">
        <v>46070</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40372-2025</t>
        </is>
      </c>
      <c r="B282" s="1" t="n">
        <v>45895.5162037037</v>
      </c>
      <c r="C282" s="1" t="n">
        <v>46070</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27930-2021</t>
        </is>
      </c>
      <c r="B283" s="1" t="n">
        <v>44354</v>
      </c>
      <c r="C283" s="1" t="n">
        <v>46070</v>
      </c>
      <c r="D283" t="inlineStr">
        <is>
          <t>GOTLANDS LÄN</t>
        </is>
      </c>
      <c r="E283" t="inlineStr">
        <is>
          <t>GOTLAND</t>
        </is>
      </c>
      <c r="G283" t="n">
        <v>2.5</v>
      </c>
      <c r="H283" t="n">
        <v>0</v>
      </c>
      <c r="I283" t="n">
        <v>0</v>
      </c>
      <c r="J283" t="n">
        <v>0</v>
      </c>
      <c r="K283" t="n">
        <v>0</v>
      </c>
      <c r="L283" t="n">
        <v>0</v>
      </c>
      <c r="M283" t="n">
        <v>0</v>
      </c>
      <c r="N283" t="n">
        <v>0</v>
      </c>
      <c r="O283" t="n">
        <v>0</v>
      </c>
      <c r="P283" t="n">
        <v>0</v>
      </c>
      <c r="Q283" t="n">
        <v>0</v>
      </c>
      <c r="R283" s="2" t="inlineStr"/>
    </row>
    <row r="284" ht="15" customHeight="1">
      <c r="A284" t="inlineStr">
        <is>
          <t>A 59469-2024</t>
        </is>
      </c>
      <c r="B284" s="1" t="n">
        <v>45638</v>
      </c>
      <c r="C284" s="1" t="n">
        <v>46070</v>
      </c>
      <c r="D284" t="inlineStr">
        <is>
          <t>GOTLANDS LÄN</t>
        </is>
      </c>
      <c r="E284" t="inlineStr">
        <is>
          <t>GOTLAND</t>
        </is>
      </c>
      <c r="G284" t="n">
        <v>0.4</v>
      </c>
      <c r="H284" t="n">
        <v>0</v>
      </c>
      <c r="I284" t="n">
        <v>0</v>
      </c>
      <c r="J284" t="n">
        <v>0</v>
      </c>
      <c r="K284" t="n">
        <v>0</v>
      </c>
      <c r="L284" t="n">
        <v>0</v>
      </c>
      <c r="M284" t="n">
        <v>0</v>
      </c>
      <c r="N284" t="n">
        <v>0</v>
      </c>
      <c r="O284" t="n">
        <v>0</v>
      </c>
      <c r="P284" t="n">
        <v>0</v>
      </c>
      <c r="Q284" t="n">
        <v>0</v>
      </c>
      <c r="R284" s="2" t="inlineStr"/>
    </row>
    <row r="285" ht="15" customHeight="1">
      <c r="A285" t="inlineStr">
        <is>
          <t>A 40373-2025</t>
        </is>
      </c>
      <c r="B285" s="1" t="n">
        <v>45895.51821759259</v>
      </c>
      <c r="C285" s="1" t="n">
        <v>46070</v>
      </c>
      <c r="D285" t="inlineStr">
        <is>
          <t>GOTLANDS LÄN</t>
        </is>
      </c>
      <c r="E285" t="inlineStr">
        <is>
          <t>GOTLAND</t>
        </is>
      </c>
      <c r="G285" t="n">
        <v>0.6</v>
      </c>
      <c r="H285" t="n">
        <v>0</v>
      </c>
      <c r="I285" t="n">
        <v>0</v>
      </c>
      <c r="J285" t="n">
        <v>0</v>
      </c>
      <c r="K285" t="n">
        <v>0</v>
      </c>
      <c r="L285" t="n">
        <v>0</v>
      </c>
      <c r="M285" t="n">
        <v>0</v>
      </c>
      <c r="N285" t="n">
        <v>0</v>
      </c>
      <c r="O285" t="n">
        <v>0</v>
      </c>
      <c r="P285" t="n">
        <v>0</v>
      </c>
      <c r="Q285" t="n">
        <v>0</v>
      </c>
      <c r="R285" s="2" t="inlineStr"/>
    </row>
    <row r="286" ht="15" customHeight="1">
      <c r="A286" t="inlineStr">
        <is>
          <t>A 40103-2025</t>
        </is>
      </c>
      <c r="B286" s="1" t="n">
        <v>45894.4880324074</v>
      </c>
      <c r="C286" s="1" t="n">
        <v>46070</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25796-2025</t>
        </is>
      </c>
      <c r="B287" s="1" t="n">
        <v>45804.39543981481</v>
      </c>
      <c r="C287" s="1" t="n">
        <v>46070</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5751-2024</t>
        </is>
      </c>
      <c r="B288" s="1" t="n">
        <v>45335.32702546296</v>
      </c>
      <c r="C288" s="1" t="n">
        <v>46070</v>
      </c>
      <c r="D288" t="inlineStr">
        <is>
          <t>GOTLANDS LÄN</t>
        </is>
      </c>
      <c r="E288" t="inlineStr">
        <is>
          <t>GOTLAND</t>
        </is>
      </c>
      <c r="G288" t="n">
        <v>4.2</v>
      </c>
      <c r="H288" t="n">
        <v>0</v>
      </c>
      <c r="I288" t="n">
        <v>0</v>
      </c>
      <c r="J288" t="n">
        <v>0</v>
      </c>
      <c r="K288" t="n">
        <v>0</v>
      </c>
      <c r="L288" t="n">
        <v>0</v>
      </c>
      <c r="M288" t="n">
        <v>0</v>
      </c>
      <c r="N288" t="n">
        <v>0</v>
      </c>
      <c r="O288" t="n">
        <v>0</v>
      </c>
      <c r="P288" t="n">
        <v>0</v>
      </c>
      <c r="Q288" t="n">
        <v>0</v>
      </c>
      <c r="R288" s="2" t="inlineStr"/>
    </row>
    <row r="289" ht="15" customHeight="1">
      <c r="A289" t="inlineStr">
        <is>
          <t>A 6696-2023</t>
        </is>
      </c>
      <c r="B289" s="1" t="n">
        <v>44966.66425925926</v>
      </c>
      <c r="C289" s="1" t="n">
        <v>46070</v>
      </c>
      <c r="D289" t="inlineStr">
        <is>
          <t>GOTLANDS LÄN</t>
        </is>
      </c>
      <c r="E289" t="inlineStr">
        <is>
          <t>GOTLAND</t>
        </is>
      </c>
      <c r="G289" t="n">
        <v>1.5</v>
      </c>
      <c r="H289" t="n">
        <v>0</v>
      </c>
      <c r="I289" t="n">
        <v>0</v>
      </c>
      <c r="J289" t="n">
        <v>0</v>
      </c>
      <c r="K289" t="n">
        <v>0</v>
      </c>
      <c r="L289" t="n">
        <v>0</v>
      </c>
      <c r="M289" t="n">
        <v>0</v>
      </c>
      <c r="N289" t="n">
        <v>0</v>
      </c>
      <c r="O289" t="n">
        <v>0</v>
      </c>
      <c r="P289" t="n">
        <v>0</v>
      </c>
      <c r="Q289" t="n">
        <v>0</v>
      </c>
      <c r="R289" s="2" t="inlineStr"/>
    </row>
    <row r="290" ht="15" customHeight="1">
      <c r="A290" t="inlineStr">
        <is>
          <t>A 28480-2023</t>
        </is>
      </c>
      <c r="B290" s="1" t="n">
        <v>45103</v>
      </c>
      <c r="C290" s="1" t="n">
        <v>46070</v>
      </c>
      <c r="D290" t="inlineStr">
        <is>
          <t>GOTLANDS LÄN</t>
        </is>
      </c>
      <c r="E290" t="inlineStr">
        <is>
          <t>GOTLAND</t>
        </is>
      </c>
      <c r="G290" t="n">
        <v>5.7</v>
      </c>
      <c r="H290" t="n">
        <v>0</v>
      </c>
      <c r="I290" t="n">
        <v>0</v>
      </c>
      <c r="J290" t="n">
        <v>0</v>
      </c>
      <c r="K290" t="n">
        <v>0</v>
      </c>
      <c r="L290" t="n">
        <v>0</v>
      </c>
      <c r="M290" t="n">
        <v>0</v>
      </c>
      <c r="N290" t="n">
        <v>0</v>
      </c>
      <c r="O290" t="n">
        <v>0</v>
      </c>
      <c r="P290" t="n">
        <v>0</v>
      </c>
      <c r="Q290" t="n">
        <v>0</v>
      </c>
      <c r="R290" s="2" t="inlineStr"/>
    </row>
    <row r="291" ht="15" customHeight="1">
      <c r="A291" t="inlineStr">
        <is>
          <t>A 28485-2023</t>
        </is>
      </c>
      <c r="B291" s="1" t="n">
        <v>45103.43731481482</v>
      </c>
      <c r="C291" s="1" t="n">
        <v>46070</v>
      </c>
      <c r="D291" t="inlineStr">
        <is>
          <t>GOTLANDS LÄN</t>
        </is>
      </c>
      <c r="E291" t="inlineStr">
        <is>
          <t>GOTLAND</t>
        </is>
      </c>
      <c r="G291" t="n">
        <v>2.3</v>
      </c>
      <c r="H291" t="n">
        <v>0</v>
      </c>
      <c r="I291" t="n">
        <v>0</v>
      </c>
      <c r="J291" t="n">
        <v>0</v>
      </c>
      <c r="K291" t="n">
        <v>0</v>
      </c>
      <c r="L291" t="n">
        <v>0</v>
      </c>
      <c r="M291" t="n">
        <v>0</v>
      </c>
      <c r="N291" t="n">
        <v>0</v>
      </c>
      <c r="O291" t="n">
        <v>0</v>
      </c>
      <c r="P291" t="n">
        <v>0</v>
      </c>
      <c r="Q291" t="n">
        <v>0</v>
      </c>
      <c r="R291" s="2" t="inlineStr"/>
    </row>
    <row r="292" ht="15" customHeight="1">
      <c r="A292" t="inlineStr">
        <is>
          <t>A 4990-2025</t>
        </is>
      </c>
      <c r="B292" s="1" t="n">
        <v>45691</v>
      </c>
      <c r="C292" s="1" t="n">
        <v>46070</v>
      </c>
      <c r="D292" t="inlineStr">
        <is>
          <t>GOTLANDS LÄN</t>
        </is>
      </c>
      <c r="E292" t="inlineStr">
        <is>
          <t>GOTLAND</t>
        </is>
      </c>
      <c r="G292" t="n">
        <v>7.7</v>
      </c>
      <c r="H292" t="n">
        <v>0</v>
      </c>
      <c r="I292" t="n">
        <v>0</v>
      </c>
      <c r="J292" t="n">
        <v>0</v>
      </c>
      <c r="K292" t="n">
        <v>0</v>
      </c>
      <c r="L292" t="n">
        <v>0</v>
      </c>
      <c r="M292" t="n">
        <v>0</v>
      </c>
      <c r="N292" t="n">
        <v>0</v>
      </c>
      <c r="O292" t="n">
        <v>0</v>
      </c>
      <c r="P292" t="n">
        <v>0</v>
      </c>
      <c r="Q292" t="n">
        <v>0</v>
      </c>
      <c r="R292" s="2" t="inlineStr"/>
    </row>
    <row r="293" ht="15" customHeight="1">
      <c r="A293" t="inlineStr">
        <is>
          <t>A 40499-2025</t>
        </is>
      </c>
      <c r="B293" s="1" t="n">
        <v>45896.32517361111</v>
      </c>
      <c r="C293" s="1" t="n">
        <v>46070</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26465-2025</t>
        </is>
      </c>
      <c r="B294" s="1" t="n">
        <v>45807.44377314814</v>
      </c>
      <c r="C294" s="1" t="n">
        <v>46070</v>
      </c>
      <c r="D294" t="inlineStr">
        <is>
          <t>GOTLANDS LÄN</t>
        </is>
      </c>
      <c r="E294" t="inlineStr">
        <is>
          <t>GOTLAND</t>
        </is>
      </c>
      <c r="G294" t="n">
        <v>4.5</v>
      </c>
      <c r="H294" t="n">
        <v>0</v>
      </c>
      <c r="I294" t="n">
        <v>0</v>
      </c>
      <c r="J294" t="n">
        <v>0</v>
      </c>
      <c r="K294" t="n">
        <v>0</v>
      </c>
      <c r="L294" t="n">
        <v>0</v>
      </c>
      <c r="M294" t="n">
        <v>0</v>
      </c>
      <c r="N294" t="n">
        <v>0</v>
      </c>
      <c r="O294" t="n">
        <v>0</v>
      </c>
      <c r="P294" t="n">
        <v>0</v>
      </c>
      <c r="Q294" t="n">
        <v>0</v>
      </c>
      <c r="R294" s="2" t="inlineStr"/>
    </row>
    <row r="295" ht="15" customHeight="1">
      <c r="A295" t="inlineStr">
        <is>
          <t>A 26457-2025</t>
        </is>
      </c>
      <c r="B295" s="1" t="n">
        <v>45807.42773148148</v>
      </c>
      <c r="C295" s="1" t="n">
        <v>46070</v>
      </c>
      <c r="D295" t="inlineStr">
        <is>
          <t>GOTLANDS LÄN</t>
        </is>
      </c>
      <c r="E295" t="inlineStr">
        <is>
          <t>GOTLAND</t>
        </is>
      </c>
      <c r="G295" t="n">
        <v>5.7</v>
      </c>
      <c r="H295" t="n">
        <v>0</v>
      </c>
      <c r="I295" t="n">
        <v>0</v>
      </c>
      <c r="J295" t="n">
        <v>0</v>
      </c>
      <c r="K295" t="n">
        <v>0</v>
      </c>
      <c r="L295" t="n">
        <v>0</v>
      </c>
      <c r="M295" t="n">
        <v>0</v>
      </c>
      <c r="N295" t="n">
        <v>0</v>
      </c>
      <c r="O295" t="n">
        <v>0</v>
      </c>
      <c r="P295" t="n">
        <v>0</v>
      </c>
      <c r="Q295" t="n">
        <v>0</v>
      </c>
      <c r="R295" s="2" t="inlineStr"/>
    </row>
    <row r="296" ht="15" customHeight="1">
      <c r="A296" t="inlineStr">
        <is>
          <t>A 26467-2025</t>
        </is>
      </c>
      <c r="B296" s="1" t="n">
        <v>45807.44640046296</v>
      </c>
      <c r="C296" s="1" t="n">
        <v>46070</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41551-2025</t>
        </is>
      </c>
      <c r="B297" s="1" t="n">
        <v>45901.58854166666</v>
      </c>
      <c r="C297" s="1" t="n">
        <v>46070</v>
      </c>
      <c r="D297" t="inlineStr">
        <is>
          <t>GOTLANDS LÄN</t>
        </is>
      </c>
      <c r="E297" t="inlineStr">
        <is>
          <t>GOTLAND</t>
        </is>
      </c>
      <c r="G297" t="n">
        <v>5.6</v>
      </c>
      <c r="H297" t="n">
        <v>0</v>
      </c>
      <c r="I297" t="n">
        <v>0</v>
      </c>
      <c r="J297" t="n">
        <v>0</v>
      </c>
      <c r="K297" t="n">
        <v>0</v>
      </c>
      <c r="L297" t="n">
        <v>0</v>
      </c>
      <c r="M297" t="n">
        <v>0</v>
      </c>
      <c r="N297" t="n">
        <v>0</v>
      </c>
      <c r="O297" t="n">
        <v>0</v>
      </c>
      <c r="P297" t="n">
        <v>0</v>
      </c>
      <c r="Q297" t="n">
        <v>0</v>
      </c>
      <c r="R297" s="2" t="inlineStr"/>
    </row>
    <row r="298" ht="15" customHeight="1">
      <c r="A298" t="inlineStr">
        <is>
          <t>A 38165-2023</t>
        </is>
      </c>
      <c r="B298" s="1" t="n">
        <v>45161</v>
      </c>
      <c r="C298" s="1" t="n">
        <v>46070</v>
      </c>
      <c r="D298" t="inlineStr">
        <is>
          <t>GOTLANDS LÄN</t>
        </is>
      </c>
      <c r="E298" t="inlineStr">
        <is>
          <t>GOTLAND</t>
        </is>
      </c>
      <c r="G298" t="n">
        <v>2.6</v>
      </c>
      <c r="H298" t="n">
        <v>0</v>
      </c>
      <c r="I298" t="n">
        <v>0</v>
      </c>
      <c r="J298" t="n">
        <v>0</v>
      </c>
      <c r="K298" t="n">
        <v>0</v>
      </c>
      <c r="L298" t="n">
        <v>0</v>
      </c>
      <c r="M298" t="n">
        <v>0</v>
      </c>
      <c r="N298" t="n">
        <v>0</v>
      </c>
      <c r="O298" t="n">
        <v>0</v>
      </c>
      <c r="P298" t="n">
        <v>0</v>
      </c>
      <c r="Q298" t="n">
        <v>0</v>
      </c>
      <c r="R298" s="2" t="inlineStr"/>
    </row>
    <row r="299" ht="15" customHeight="1">
      <c r="A299" t="inlineStr">
        <is>
          <t>A 39278-2025</t>
        </is>
      </c>
      <c r="B299" s="1" t="n">
        <v>45889</v>
      </c>
      <c r="C299" s="1" t="n">
        <v>46070</v>
      </c>
      <c r="D299" t="inlineStr">
        <is>
          <t>GOTLANDS LÄN</t>
        </is>
      </c>
      <c r="E299" t="inlineStr">
        <is>
          <t>GOTLAND</t>
        </is>
      </c>
      <c r="G299" t="n">
        <v>3.7</v>
      </c>
      <c r="H299" t="n">
        <v>0</v>
      </c>
      <c r="I299" t="n">
        <v>0</v>
      </c>
      <c r="J299" t="n">
        <v>0</v>
      </c>
      <c r="K299" t="n">
        <v>0</v>
      </c>
      <c r="L299" t="n">
        <v>0</v>
      </c>
      <c r="M299" t="n">
        <v>0</v>
      </c>
      <c r="N299" t="n">
        <v>0</v>
      </c>
      <c r="O299" t="n">
        <v>0</v>
      </c>
      <c r="P299" t="n">
        <v>0</v>
      </c>
      <c r="Q299" t="n">
        <v>0</v>
      </c>
      <c r="R299" s="2" t="inlineStr"/>
    </row>
    <row r="300" ht="15" customHeight="1">
      <c r="A300" t="inlineStr">
        <is>
          <t>A 26660-2025</t>
        </is>
      </c>
      <c r="B300" s="1" t="n">
        <v>45810.39737268518</v>
      </c>
      <c r="C300" s="1" t="n">
        <v>46070</v>
      </c>
      <c r="D300" t="inlineStr">
        <is>
          <t>GOTLANDS LÄN</t>
        </is>
      </c>
      <c r="E300" t="inlineStr">
        <is>
          <t>GOTLAND</t>
        </is>
      </c>
      <c r="G300" t="n">
        <v>1.8</v>
      </c>
      <c r="H300" t="n">
        <v>0</v>
      </c>
      <c r="I300" t="n">
        <v>0</v>
      </c>
      <c r="J300" t="n">
        <v>0</v>
      </c>
      <c r="K300" t="n">
        <v>0</v>
      </c>
      <c r="L300" t="n">
        <v>0</v>
      </c>
      <c r="M300" t="n">
        <v>0</v>
      </c>
      <c r="N300" t="n">
        <v>0</v>
      </c>
      <c r="O300" t="n">
        <v>0</v>
      </c>
      <c r="P300" t="n">
        <v>0</v>
      </c>
      <c r="Q300" t="n">
        <v>0</v>
      </c>
      <c r="R300" s="2" t="inlineStr"/>
    </row>
    <row r="301" ht="15" customHeight="1">
      <c r="A301" t="inlineStr">
        <is>
          <t>A 41435-2025</t>
        </is>
      </c>
      <c r="B301" s="1" t="n">
        <v>45901.39974537037</v>
      </c>
      <c r="C301" s="1" t="n">
        <v>46070</v>
      </c>
      <c r="D301" t="inlineStr">
        <is>
          <t>GOTLANDS LÄN</t>
        </is>
      </c>
      <c r="E301" t="inlineStr">
        <is>
          <t>GOTLAND</t>
        </is>
      </c>
      <c r="G301" t="n">
        <v>4.9</v>
      </c>
      <c r="H301" t="n">
        <v>0</v>
      </c>
      <c r="I301" t="n">
        <v>0</v>
      </c>
      <c r="J301" t="n">
        <v>0</v>
      </c>
      <c r="K301" t="n">
        <v>0</v>
      </c>
      <c r="L301" t="n">
        <v>0</v>
      </c>
      <c r="M301" t="n">
        <v>0</v>
      </c>
      <c r="N301" t="n">
        <v>0</v>
      </c>
      <c r="O301" t="n">
        <v>0</v>
      </c>
      <c r="P301" t="n">
        <v>0</v>
      </c>
      <c r="Q301" t="n">
        <v>0</v>
      </c>
      <c r="R301" s="2" t="inlineStr"/>
    </row>
    <row r="302" ht="15" customHeight="1">
      <c r="A302" t="inlineStr">
        <is>
          <t>A 27355-2025</t>
        </is>
      </c>
      <c r="B302" s="1" t="n">
        <v>45812</v>
      </c>
      <c r="C302" s="1" t="n">
        <v>46070</v>
      </c>
      <c r="D302" t="inlineStr">
        <is>
          <t>GOTLANDS LÄN</t>
        </is>
      </c>
      <c r="E302" t="inlineStr">
        <is>
          <t>GOTLAND</t>
        </is>
      </c>
      <c r="G302" t="n">
        <v>1.1</v>
      </c>
      <c r="H302" t="n">
        <v>0</v>
      </c>
      <c r="I302" t="n">
        <v>0</v>
      </c>
      <c r="J302" t="n">
        <v>0</v>
      </c>
      <c r="K302" t="n">
        <v>0</v>
      </c>
      <c r="L302" t="n">
        <v>0</v>
      </c>
      <c r="M302" t="n">
        <v>0</v>
      </c>
      <c r="N302" t="n">
        <v>0</v>
      </c>
      <c r="O302" t="n">
        <v>0</v>
      </c>
      <c r="P302" t="n">
        <v>0</v>
      </c>
      <c r="Q302" t="n">
        <v>0</v>
      </c>
      <c r="R302" s="2" t="inlineStr"/>
    </row>
    <row r="303" ht="15" customHeight="1">
      <c r="A303" t="inlineStr">
        <is>
          <t>A 27371-2025</t>
        </is>
      </c>
      <c r="B303" s="1" t="n">
        <v>45812</v>
      </c>
      <c r="C303" s="1" t="n">
        <v>46070</v>
      </c>
      <c r="D303" t="inlineStr">
        <is>
          <t>GOTLANDS LÄN</t>
        </is>
      </c>
      <c r="E303" t="inlineStr">
        <is>
          <t>GOTLAND</t>
        </is>
      </c>
      <c r="G303" t="n">
        <v>8</v>
      </c>
      <c r="H303" t="n">
        <v>0</v>
      </c>
      <c r="I303" t="n">
        <v>0</v>
      </c>
      <c r="J303" t="n">
        <v>0</v>
      </c>
      <c r="K303" t="n">
        <v>0</v>
      </c>
      <c r="L303" t="n">
        <v>0</v>
      </c>
      <c r="M303" t="n">
        <v>0</v>
      </c>
      <c r="N303" t="n">
        <v>0</v>
      </c>
      <c r="O303" t="n">
        <v>0</v>
      </c>
      <c r="P303" t="n">
        <v>0</v>
      </c>
      <c r="Q303" t="n">
        <v>0</v>
      </c>
      <c r="R303" s="2" t="inlineStr"/>
    </row>
    <row r="304" ht="15" customHeight="1">
      <c r="A304" t="inlineStr">
        <is>
          <t>A 4670-2026</t>
        </is>
      </c>
      <c r="B304" s="1" t="n">
        <v>46048.41733796296</v>
      </c>
      <c r="C304" s="1" t="n">
        <v>46070</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4662-2026</t>
        </is>
      </c>
      <c r="B305" s="1" t="n">
        <v>46048.40949074074</v>
      </c>
      <c r="C305" s="1" t="n">
        <v>46070</v>
      </c>
      <c r="D305" t="inlineStr">
        <is>
          <t>GOTLANDS LÄN</t>
        </is>
      </c>
      <c r="E305" t="inlineStr">
        <is>
          <t>GOTLAND</t>
        </is>
      </c>
      <c r="G305" t="n">
        <v>7.6</v>
      </c>
      <c r="H305" t="n">
        <v>0</v>
      </c>
      <c r="I305" t="n">
        <v>0</v>
      </c>
      <c r="J305" t="n">
        <v>0</v>
      </c>
      <c r="K305" t="n">
        <v>0</v>
      </c>
      <c r="L305" t="n">
        <v>0</v>
      </c>
      <c r="M305" t="n">
        <v>0</v>
      </c>
      <c r="N305" t="n">
        <v>0</v>
      </c>
      <c r="O305" t="n">
        <v>0</v>
      </c>
      <c r="P305" t="n">
        <v>0</v>
      </c>
      <c r="Q305" t="n">
        <v>0</v>
      </c>
      <c r="R305" s="2" t="inlineStr"/>
    </row>
    <row r="306" ht="15" customHeight="1">
      <c r="A306" t="inlineStr">
        <is>
          <t>A 49693-2023</t>
        </is>
      </c>
      <c r="B306" s="1" t="n">
        <v>45212.38138888889</v>
      </c>
      <c r="C306" s="1" t="n">
        <v>46070</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49697-2023</t>
        </is>
      </c>
      <c r="B307" s="1" t="n">
        <v>45212.38909722222</v>
      </c>
      <c r="C307" s="1" t="n">
        <v>46070</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34312-2024</t>
        </is>
      </c>
      <c r="B308" s="1" t="n">
        <v>45524.69703703704</v>
      </c>
      <c r="C308" s="1" t="n">
        <v>46070</v>
      </c>
      <c r="D308" t="inlineStr">
        <is>
          <t>GOTLANDS LÄN</t>
        </is>
      </c>
      <c r="E308" t="inlineStr">
        <is>
          <t>GOTLAND</t>
        </is>
      </c>
      <c r="G308" t="n">
        <v>2</v>
      </c>
      <c r="H308" t="n">
        <v>0</v>
      </c>
      <c r="I308" t="n">
        <v>0</v>
      </c>
      <c r="J308" t="n">
        <v>0</v>
      </c>
      <c r="K308" t="n">
        <v>0</v>
      </c>
      <c r="L308" t="n">
        <v>0</v>
      </c>
      <c r="M308" t="n">
        <v>0</v>
      </c>
      <c r="N308" t="n">
        <v>0</v>
      </c>
      <c r="O308" t="n">
        <v>0</v>
      </c>
      <c r="P308" t="n">
        <v>0</v>
      </c>
      <c r="Q308" t="n">
        <v>0</v>
      </c>
      <c r="R308" s="2" t="inlineStr"/>
    </row>
    <row r="309" ht="15" customHeight="1">
      <c r="A309" t="inlineStr">
        <is>
          <t>A 7850-2025</t>
        </is>
      </c>
      <c r="B309" s="1" t="n">
        <v>45706</v>
      </c>
      <c r="C309" s="1" t="n">
        <v>46070</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6739-2025</t>
        </is>
      </c>
      <c r="B310" s="1" t="n">
        <v>45700</v>
      </c>
      <c r="C310" s="1" t="n">
        <v>46070</v>
      </c>
      <c r="D310" t="inlineStr">
        <is>
          <t>GOTLANDS LÄN</t>
        </is>
      </c>
      <c r="E310" t="inlineStr">
        <is>
          <t>GOTLAND</t>
        </is>
      </c>
      <c r="G310" t="n">
        <v>4.5</v>
      </c>
      <c r="H310" t="n">
        <v>0</v>
      </c>
      <c r="I310" t="n">
        <v>0</v>
      </c>
      <c r="J310" t="n">
        <v>0</v>
      </c>
      <c r="K310" t="n">
        <v>0</v>
      </c>
      <c r="L310" t="n">
        <v>0</v>
      </c>
      <c r="M310" t="n">
        <v>0</v>
      </c>
      <c r="N310" t="n">
        <v>0</v>
      </c>
      <c r="O310" t="n">
        <v>0</v>
      </c>
      <c r="P310" t="n">
        <v>0</v>
      </c>
      <c r="Q310" t="n">
        <v>0</v>
      </c>
      <c r="R310" s="2" t="inlineStr"/>
    </row>
    <row r="311" ht="15" customHeight="1">
      <c r="A311" t="inlineStr">
        <is>
          <t>A 48503-2023</t>
        </is>
      </c>
      <c r="B311" s="1" t="n">
        <v>45207</v>
      </c>
      <c r="C311" s="1" t="n">
        <v>46070</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8444-2025</t>
        </is>
      </c>
      <c r="B312" s="1" t="n">
        <v>45709</v>
      </c>
      <c r="C312" s="1" t="n">
        <v>46070</v>
      </c>
      <c r="D312" t="inlineStr">
        <is>
          <t>GOTLANDS LÄN</t>
        </is>
      </c>
      <c r="E312" t="inlineStr">
        <is>
          <t>GOTLAND</t>
        </is>
      </c>
      <c r="G312" t="n">
        <v>5.2</v>
      </c>
      <c r="H312" t="n">
        <v>0</v>
      </c>
      <c r="I312" t="n">
        <v>0</v>
      </c>
      <c r="J312" t="n">
        <v>0</v>
      </c>
      <c r="K312" t="n">
        <v>0</v>
      </c>
      <c r="L312" t="n">
        <v>0</v>
      </c>
      <c r="M312" t="n">
        <v>0</v>
      </c>
      <c r="N312" t="n">
        <v>0</v>
      </c>
      <c r="O312" t="n">
        <v>0</v>
      </c>
      <c r="P312" t="n">
        <v>0</v>
      </c>
      <c r="Q312" t="n">
        <v>0</v>
      </c>
      <c r="R312" s="2" t="inlineStr"/>
    </row>
    <row r="313" ht="15" customHeight="1">
      <c r="A313" t="inlineStr">
        <is>
          <t>A 42608-2025</t>
        </is>
      </c>
      <c r="B313" s="1" t="n">
        <v>45905</v>
      </c>
      <c r="C313" s="1" t="n">
        <v>46070</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19905-2025</t>
        </is>
      </c>
      <c r="B314" s="1" t="n">
        <v>45771</v>
      </c>
      <c r="C314" s="1" t="n">
        <v>46070</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24825-2024</t>
        </is>
      </c>
      <c r="B315" s="1" t="n">
        <v>45461</v>
      </c>
      <c r="C315" s="1" t="n">
        <v>46070</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16373-2025</t>
        </is>
      </c>
      <c r="B316" s="1" t="n">
        <v>45751</v>
      </c>
      <c r="C316" s="1" t="n">
        <v>46070</v>
      </c>
      <c r="D316" t="inlineStr">
        <is>
          <t>GOTLANDS LÄN</t>
        </is>
      </c>
      <c r="E316" t="inlineStr">
        <is>
          <t>GOTLAND</t>
        </is>
      </c>
      <c r="G316" t="n">
        <v>1.5</v>
      </c>
      <c r="H316" t="n">
        <v>0</v>
      </c>
      <c r="I316" t="n">
        <v>0</v>
      </c>
      <c r="J316" t="n">
        <v>0</v>
      </c>
      <c r="K316" t="n">
        <v>0</v>
      </c>
      <c r="L316" t="n">
        <v>0</v>
      </c>
      <c r="M316" t="n">
        <v>0</v>
      </c>
      <c r="N316" t="n">
        <v>0</v>
      </c>
      <c r="O316" t="n">
        <v>0</v>
      </c>
      <c r="P316" t="n">
        <v>0</v>
      </c>
      <c r="Q316" t="n">
        <v>0</v>
      </c>
      <c r="R316" s="2" t="inlineStr"/>
    </row>
    <row r="317" ht="15" customHeight="1">
      <c r="A317" t="inlineStr">
        <is>
          <t>A 4646-2026</t>
        </is>
      </c>
      <c r="B317" s="1" t="n">
        <v>46048.40357638889</v>
      </c>
      <c r="C317" s="1" t="n">
        <v>46070</v>
      </c>
      <c r="D317" t="inlineStr">
        <is>
          <t>GOTLANDS LÄN</t>
        </is>
      </c>
      <c r="E317" t="inlineStr">
        <is>
          <t>GOTLAND</t>
        </is>
      </c>
      <c r="G317" t="n">
        <v>2.7</v>
      </c>
      <c r="H317" t="n">
        <v>0</v>
      </c>
      <c r="I317" t="n">
        <v>0</v>
      </c>
      <c r="J317" t="n">
        <v>0</v>
      </c>
      <c r="K317" t="n">
        <v>0</v>
      </c>
      <c r="L317" t="n">
        <v>0</v>
      </c>
      <c r="M317" t="n">
        <v>0</v>
      </c>
      <c r="N317" t="n">
        <v>0</v>
      </c>
      <c r="O317" t="n">
        <v>0</v>
      </c>
      <c r="P317" t="n">
        <v>0</v>
      </c>
      <c r="Q317" t="n">
        <v>0</v>
      </c>
      <c r="R317" s="2" t="inlineStr"/>
    </row>
    <row r="318" ht="15" customHeight="1">
      <c r="A318" t="inlineStr">
        <is>
          <t>A 22031-2024</t>
        </is>
      </c>
      <c r="B318" s="1" t="n">
        <v>45443.60075231481</v>
      </c>
      <c r="C318" s="1" t="n">
        <v>46070</v>
      </c>
      <c r="D318" t="inlineStr">
        <is>
          <t>GOTLANDS LÄN</t>
        </is>
      </c>
      <c r="E318" t="inlineStr">
        <is>
          <t>GOTLAND</t>
        </is>
      </c>
      <c r="G318" t="n">
        <v>2.3</v>
      </c>
      <c r="H318" t="n">
        <v>0</v>
      </c>
      <c r="I318" t="n">
        <v>0</v>
      </c>
      <c r="J318" t="n">
        <v>0</v>
      </c>
      <c r="K318" t="n">
        <v>0</v>
      </c>
      <c r="L318" t="n">
        <v>0</v>
      </c>
      <c r="M318" t="n">
        <v>0</v>
      </c>
      <c r="N318" t="n">
        <v>0</v>
      </c>
      <c r="O318" t="n">
        <v>0</v>
      </c>
      <c r="P318" t="n">
        <v>0</v>
      </c>
      <c r="Q318" t="n">
        <v>0</v>
      </c>
      <c r="R318" s="2" t="inlineStr"/>
    </row>
    <row r="319" ht="15" customHeight="1">
      <c r="A319" t="inlineStr">
        <is>
          <t>A 17688-2024</t>
        </is>
      </c>
      <c r="B319" s="1" t="n">
        <v>45418.43575231481</v>
      </c>
      <c r="C319" s="1" t="n">
        <v>46070</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4639-2026</t>
        </is>
      </c>
      <c r="B320" s="1" t="n">
        <v>46048.39880787037</v>
      </c>
      <c r="C320" s="1" t="n">
        <v>46070</v>
      </c>
      <c r="D320" t="inlineStr">
        <is>
          <t>GOTLANDS LÄN</t>
        </is>
      </c>
      <c r="E320" t="inlineStr">
        <is>
          <t>GOTLAND</t>
        </is>
      </c>
      <c r="G320" t="n">
        <v>0.8</v>
      </c>
      <c r="H320" t="n">
        <v>0</v>
      </c>
      <c r="I320" t="n">
        <v>0</v>
      </c>
      <c r="J320" t="n">
        <v>0</v>
      </c>
      <c r="K320" t="n">
        <v>0</v>
      </c>
      <c r="L320" t="n">
        <v>0</v>
      </c>
      <c r="M320" t="n">
        <v>0</v>
      </c>
      <c r="N320" t="n">
        <v>0</v>
      </c>
      <c r="O320" t="n">
        <v>0</v>
      </c>
      <c r="P320" t="n">
        <v>0</v>
      </c>
      <c r="Q320" t="n">
        <v>0</v>
      </c>
      <c r="R320" s="2" t="inlineStr"/>
    </row>
    <row r="321" ht="15" customHeight="1">
      <c r="A321" t="inlineStr">
        <is>
          <t>A 29207-2025</t>
        </is>
      </c>
      <c r="B321" s="1" t="n">
        <v>45823</v>
      </c>
      <c r="C321" s="1" t="n">
        <v>46070</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29196-2025</t>
        </is>
      </c>
      <c r="B322" s="1" t="n">
        <v>45822</v>
      </c>
      <c r="C322" s="1" t="n">
        <v>46070</v>
      </c>
      <c r="D322" t="inlineStr">
        <is>
          <t>GOTLANDS LÄN</t>
        </is>
      </c>
      <c r="E322" t="inlineStr">
        <is>
          <t>GOTLAND</t>
        </is>
      </c>
      <c r="G322" t="n">
        <v>0.5</v>
      </c>
      <c r="H322" t="n">
        <v>0</v>
      </c>
      <c r="I322" t="n">
        <v>0</v>
      </c>
      <c r="J322" t="n">
        <v>0</v>
      </c>
      <c r="K322" t="n">
        <v>0</v>
      </c>
      <c r="L322" t="n">
        <v>0</v>
      </c>
      <c r="M322" t="n">
        <v>0</v>
      </c>
      <c r="N322" t="n">
        <v>0</v>
      </c>
      <c r="O322" t="n">
        <v>0</v>
      </c>
      <c r="P322" t="n">
        <v>0</v>
      </c>
      <c r="Q322" t="n">
        <v>0</v>
      </c>
      <c r="R322" s="2" t="inlineStr"/>
    </row>
    <row r="323" ht="15" customHeight="1">
      <c r="A323" t="inlineStr">
        <is>
          <t>A 62066-2025</t>
        </is>
      </c>
      <c r="B323" s="1" t="n">
        <v>46006.34738425926</v>
      </c>
      <c r="C323" s="1" t="n">
        <v>46070</v>
      </c>
      <c r="D323" t="inlineStr">
        <is>
          <t>GOTLANDS LÄN</t>
        </is>
      </c>
      <c r="E323" t="inlineStr">
        <is>
          <t>GOTLAND</t>
        </is>
      </c>
      <c r="G323" t="n">
        <v>1.7</v>
      </c>
      <c r="H323" t="n">
        <v>0</v>
      </c>
      <c r="I323" t="n">
        <v>0</v>
      </c>
      <c r="J323" t="n">
        <v>0</v>
      </c>
      <c r="K323" t="n">
        <v>0</v>
      </c>
      <c r="L323" t="n">
        <v>0</v>
      </c>
      <c r="M323" t="n">
        <v>0</v>
      </c>
      <c r="N323" t="n">
        <v>0</v>
      </c>
      <c r="O323" t="n">
        <v>0</v>
      </c>
      <c r="P323" t="n">
        <v>0</v>
      </c>
      <c r="Q323" t="n">
        <v>0</v>
      </c>
      <c r="R323" s="2" t="inlineStr"/>
    </row>
    <row r="324" ht="15" customHeight="1">
      <c r="A324" t="inlineStr">
        <is>
          <t>A 62103-2025</t>
        </is>
      </c>
      <c r="B324" s="1" t="n">
        <v>46006</v>
      </c>
      <c r="C324" s="1" t="n">
        <v>46070</v>
      </c>
      <c r="D324" t="inlineStr">
        <is>
          <t>GOTLANDS LÄN</t>
        </is>
      </c>
      <c r="E324" t="inlineStr">
        <is>
          <t>GOTLAND</t>
        </is>
      </c>
      <c r="F324" t="inlineStr">
        <is>
          <t>Övriga Aktiebolag</t>
        </is>
      </c>
      <c r="G324" t="n">
        <v>1.7</v>
      </c>
      <c r="H324" t="n">
        <v>0</v>
      </c>
      <c r="I324" t="n">
        <v>0</v>
      </c>
      <c r="J324" t="n">
        <v>0</v>
      </c>
      <c r="K324" t="n">
        <v>0</v>
      </c>
      <c r="L324" t="n">
        <v>0</v>
      </c>
      <c r="M324" t="n">
        <v>0</v>
      </c>
      <c r="N324" t="n">
        <v>0</v>
      </c>
      <c r="O324" t="n">
        <v>0</v>
      </c>
      <c r="P324" t="n">
        <v>0</v>
      </c>
      <c r="Q324" t="n">
        <v>0</v>
      </c>
      <c r="R324" s="2" t="inlineStr"/>
    </row>
    <row r="325" ht="15" customHeight="1">
      <c r="A325" t="inlineStr">
        <is>
          <t>A 10158-2025</t>
        </is>
      </c>
      <c r="B325" s="1" t="n">
        <v>45719</v>
      </c>
      <c r="C325" s="1" t="n">
        <v>46070</v>
      </c>
      <c r="D325" t="inlineStr">
        <is>
          <t>GOTLANDS LÄN</t>
        </is>
      </c>
      <c r="E325" t="inlineStr">
        <is>
          <t>GOTLAND</t>
        </is>
      </c>
      <c r="G325" t="n">
        <v>3.5</v>
      </c>
      <c r="H325" t="n">
        <v>0</v>
      </c>
      <c r="I325" t="n">
        <v>0</v>
      </c>
      <c r="J325" t="n">
        <v>0</v>
      </c>
      <c r="K325" t="n">
        <v>0</v>
      </c>
      <c r="L325" t="n">
        <v>0</v>
      </c>
      <c r="M325" t="n">
        <v>0</v>
      </c>
      <c r="N325" t="n">
        <v>0</v>
      </c>
      <c r="O325" t="n">
        <v>0</v>
      </c>
      <c r="P325" t="n">
        <v>0</v>
      </c>
      <c r="Q325" t="n">
        <v>0</v>
      </c>
      <c r="R325" s="2" t="inlineStr"/>
    </row>
    <row r="326" ht="15" customHeight="1">
      <c r="A326" t="inlineStr">
        <is>
          <t>A 27694-2024</t>
        </is>
      </c>
      <c r="B326" s="1" t="n">
        <v>45475</v>
      </c>
      <c r="C326" s="1" t="n">
        <v>46070</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4634-2026</t>
        </is>
      </c>
      <c r="B327" s="1" t="n">
        <v>46048.39304398148</v>
      </c>
      <c r="C327" s="1" t="n">
        <v>46070</v>
      </c>
      <c r="D327" t="inlineStr">
        <is>
          <t>GOTLANDS LÄN</t>
        </is>
      </c>
      <c r="E327" t="inlineStr">
        <is>
          <t>GOTLAND</t>
        </is>
      </c>
      <c r="G327" t="n">
        <v>7.8</v>
      </c>
      <c r="H327" t="n">
        <v>0</v>
      </c>
      <c r="I327" t="n">
        <v>0</v>
      </c>
      <c r="J327" t="n">
        <v>0</v>
      </c>
      <c r="K327" t="n">
        <v>0</v>
      </c>
      <c r="L327" t="n">
        <v>0</v>
      </c>
      <c r="M327" t="n">
        <v>0</v>
      </c>
      <c r="N327" t="n">
        <v>0</v>
      </c>
      <c r="O327" t="n">
        <v>0</v>
      </c>
      <c r="P327" t="n">
        <v>0</v>
      </c>
      <c r="Q327" t="n">
        <v>0</v>
      </c>
      <c r="R327" s="2" t="inlineStr"/>
    </row>
    <row r="328" ht="15" customHeight="1">
      <c r="A328" t="inlineStr">
        <is>
          <t>A 39764-2022</t>
        </is>
      </c>
      <c r="B328" s="1" t="n">
        <v>44819</v>
      </c>
      <c r="C328" s="1" t="n">
        <v>46070</v>
      </c>
      <c r="D328" t="inlineStr">
        <is>
          <t>GOTLANDS LÄN</t>
        </is>
      </c>
      <c r="E328" t="inlineStr">
        <is>
          <t>GOTLAND</t>
        </is>
      </c>
      <c r="F328" t="inlineStr">
        <is>
          <t>Kyrkan</t>
        </is>
      </c>
      <c r="G328" t="n">
        <v>3.7</v>
      </c>
      <c r="H328" t="n">
        <v>0</v>
      </c>
      <c r="I328" t="n">
        <v>0</v>
      </c>
      <c r="J328" t="n">
        <v>0</v>
      </c>
      <c r="K328" t="n">
        <v>0</v>
      </c>
      <c r="L328" t="n">
        <v>0</v>
      </c>
      <c r="M328" t="n">
        <v>0</v>
      </c>
      <c r="N328" t="n">
        <v>0</v>
      </c>
      <c r="O328" t="n">
        <v>0</v>
      </c>
      <c r="P328" t="n">
        <v>0</v>
      </c>
      <c r="Q328" t="n">
        <v>0</v>
      </c>
      <c r="R328" s="2" t="inlineStr"/>
    </row>
    <row r="329" ht="15" customHeight="1">
      <c r="A329" t="inlineStr">
        <is>
          <t>A 43911-2025</t>
        </is>
      </c>
      <c r="B329" s="1" t="n">
        <v>45914.3881712963</v>
      </c>
      <c r="C329" s="1" t="n">
        <v>46070</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6099-2024</t>
        </is>
      </c>
      <c r="B330" s="1" t="n">
        <v>45337</v>
      </c>
      <c r="C330" s="1" t="n">
        <v>46070</v>
      </c>
      <c r="D330" t="inlineStr">
        <is>
          <t>GOTLANDS LÄN</t>
        </is>
      </c>
      <c r="E330" t="inlineStr">
        <is>
          <t>GOTLAND</t>
        </is>
      </c>
      <c r="G330" t="n">
        <v>12.6</v>
      </c>
      <c r="H330" t="n">
        <v>0</v>
      </c>
      <c r="I330" t="n">
        <v>0</v>
      </c>
      <c r="J330" t="n">
        <v>0</v>
      </c>
      <c r="K330" t="n">
        <v>0</v>
      </c>
      <c r="L330" t="n">
        <v>0</v>
      </c>
      <c r="M330" t="n">
        <v>0</v>
      </c>
      <c r="N330" t="n">
        <v>0</v>
      </c>
      <c r="O330" t="n">
        <v>0</v>
      </c>
      <c r="P330" t="n">
        <v>0</v>
      </c>
      <c r="Q330" t="n">
        <v>0</v>
      </c>
      <c r="R330" s="2" t="inlineStr"/>
    </row>
    <row r="331" ht="15" customHeight="1">
      <c r="A331" t="inlineStr">
        <is>
          <t>A 8260-2023</t>
        </is>
      </c>
      <c r="B331" s="1" t="n">
        <v>44974.61608796296</v>
      </c>
      <c r="C331" s="1" t="n">
        <v>46070</v>
      </c>
      <c r="D331" t="inlineStr">
        <is>
          <t>GOTLANDS LÄN</t>
        </is>
      </c>
      <c r="E331" t="inlineStr">
        <is>
          <t>GOTLAND</t>
        </is>
      </c>
      <c r="G331" t="n">
        <v>2.9</v>
      </c>
      <c r="H331" t="n">
        <v>0</v>
      </c>
      <c r="I331" t="n">
        <v>0</v>
      </c>
      <c r="J331" t="n">
        <v>0</v>
      </c>
      <c r="K331" t="n">
        <v>0</v>
      </c>
      <c r="L331" t="n">
        <v>0</v>
      </c>
      <c r="M331" t="n">
        <v>0</v>
      </c>
      <c r="N331" t="n">
        <v>0</v>
      </c>
      <c r="O331" t="n">
        <v>0</v>
      </c>
      <c r="P331" t="n">
        <v>0</v>
      </c>
      <c r="Q331" t="n">
        <v>0</v>
      </c>
      <c r="R331" s="2" t="inlineStr"/>
    </row>
    <row r="332" ht="15" customHeight="1">
      <c r="A332" t="inlineStr">
        <is>
          <t>A 30061-2025</t>
        </is>
      </c>
      <c r="B332" s="1" t="n">
        <v>45826.61488425926</v>
      </c>
      <c r="C332" s="1" t="n">
        <v>46070</v>
      </c>
      <c r="D332" t="inlineStr">
        <is>
          <t>GOTLANDS LÄN</t>
        </is>
      </c>
      <c r="E332" t="inlineStr">
        <is>
          <t>GOTLAND</t>
        </is>
      </c>
      <c r="G332" t="n">
        <v>4.1</v>
      </c>
      <c r="H332" t="n">
        <v>0</v>
      </c>
      <c r="I332" t="n">
        <v>0</v>
      </c>
      <c r="J332" t="n">
        <v>0</v>
      </c>
      <c r="K332" t="n">
        <v>0</v>
      </c>
      <c r="L332" t="n">
        <v>0</v>
      </c>
      <c r="M332" t="n">
        <v>0</v>
      </c>
      <c r="N332" t="n">
        <v>0</v>
      </c>
      <c r="O332" t="n">
        <v>0</v>
      </c>
      <c r="P332" t="n">
        <v>0</v>
      </c>
      <c r="Q332" t="n">
        <v>0</v>
      </c>
      <c r="R332" s="2" t="inlineStr"/>
    </row>
    <row r="333" ht="15" customHeight="1">
      <c r="A333" t="inlineStr">
        <is>
          <t>A 63000-2025</t>
        </is>
      </c>
      <c r="B333" s="1" t="n">
        <v>46009</v>
      </c>
      <c r="C333" s="1" t="n">
        <v>46070</v>
      </c>
      <c r="D333" t="inlineStr">
        <is>
          <t>GOTLANDS LÄN</t>
        </is>
      </c>
      <c r="E333" t="inlineStr">
        <is>
          <t>GOTLAND</t>
        </is>
      </c>
      <c r="F333" t="inlineStr">
        <is>
          <t>Övriga Aktiebolag</t>
        </is>
      </c>
      <c r="G333" t="n">
        <v>1.7</v>
      </c>
      <c r="H333" t="n">
        <v>0</v>
      </c>
      <c r="I333" t="n">
        <v>0</v>
      </c>
      <c r="J333" t="n">
        <v>0</v>
      </c>
      <c r="K333" t="n">
        <v>0</v>
      </c>
      <c r="L333" t="n">
        <v>0</v>
      </c>
      <c r="M333" t="n">
        <v>0</v>
      </c>
      <c r="N333" t="n">
        <v>0</v>
      </c>
      <c r="O333" t="n">
        <v>0</v>
      </c>
      <c r="P333" t="n">
        <v>0</v>
      </c>
      <c r="Q333" t="n">
        <v>0</v>
      </c>
      <c r="R333" s="2" t="inlineStr"/>
    </row>
    <row r="334" ht="15" customHeight="1">
      <c r="A334" t="inlineStr">
        <is>
          <t>A 43951-2025</t>
        </is>
      </c>
      <c r="B334" s="1" t="n">
        <v>45915.38119212963</v>
      </c>
      <c r="C334" s="1" t="n">
        <v>46070</v>
      </c>
      <c r="D334" t="inlineStr">
        <is>
          <t>GOTLANDS LÄN</t>
        </is>
      </c>
      <c r="E334" t="inlineStr">
        <is>
          <t>GOTLAND</t>
        </is>
      </c>
      <c r="G334" t="n">
        <v>4.4</v>
      </c>
      <c r="H334" t="n">
        <v>0</v>
      </c>
      <c r="I334" t="n">
        <v>0</v>
      </c>
      <c r="J334" t="n">
        <v>0</v>
      </c>
      <c r="K334" t="n">
        <v>0</v>
      </c>
      <c r="L334" t="n">
        <v>0</v>
      </c>
      <c r="M334" t="n">
        <v>0</v>
      </c>
      <c r="N334" t="n">
        <v>0</v>
      </c>
      <c r="O334" t="n">
        <v>0</v>
      </c>
      <c r="P334" t="n">
        <v>0</v>
      </c>
      <c r="Q334" t="n">
        <v>0</v>
      </c>
      <c r="R334" s="2" t="inlineStr"/>
    </row>
    <row r="335" ht="15" customHeight="1">
      <c r="A335" t="inlineStr">
        <is>
          <t>A 22287-2022</t>
        </is>
      </c>
      <c r="B335" s="1" t="n">
        <v>44712</v>
      </c>
      <c r="C335" s="1" t="n">
        <v>46070</v>
      </c>
      <c r="D335" t="inlineStr">
        <is>
          <t>GOTLANDS LÄN</t>
        </is>
      </c>
      <c r="E335" t="inlineStr">
        <is>
          <t>GOTLAND</t>
        </is>
      </c>
      <c r="G335" t="n">
        <v>6.1</v>
      </c>
      <c r="H335" t="n">
        <v>0</v>
      </c>
      <c r="I335" t="n">
        <v>0</v>
      </c>
      <c r="J335" t="n">
        <v>0</v>
      </c>
      <c r="K335" t="n">
        <v>0</v>
      </c>
      <c r="L335" t="n">
        <v>0</v>
      </c>
      <c r="M335" t="n">
        <v>0</v>
      </c>
      <c r="N335" t="n">
        <v>0</v>
      </c>
      <c r="O335" t="n">
        <v>0</v>
      </c>
      <c r="P335" t="n">
        <v>0</v>
      </c>
      <c r="Q335" t="n">
        <v>0</v>
      </c>
      <c r="R335" s="2" t="inlineStr"/>
    </row>
    <row r="336" ht="15" customHeight="1">
      <c r="A336" t="inlineStr">
        <is>
          <t>A 44410-2025</t>
        </is>
      </c>
      <c r="B336" s="1" t="n">
        <v>45916.53699074074</v>
      </c>
      <c r="C336" s="1" t="n">
        <v>46070</v>
      </c>
      <c r="D336" t="inlineStr">
        <is>
          <t>GOTLANDS LÄN</t>
        </is>
      </c>
      <c r="E336" t="inlineStr">
        <is>
          <t>GOTLAND</t>
        </is>
      </c>
      <c r="G336" t="n">
        <v>2.3</v>
      </c>
      <c r="H336" t="n">
        <v>0</v>
      </c>
      <c r="I336" t="n">
        <v>0</v>
      </c>
      <c r="J336" t="n">
        <v>0</v>
      </c>
      <c r="K336" t="n">
        <v>0</v>
      </c>
      <c r="L336" t="n">
        <v>0</v>
      </c>
      <c r="M336" t="n">
        <v>0</v>
      </c>
      <c r="N336" t="n">
        <v>0</v>
      </c>
      <c r="O336" t="n">
        <v>0</v>
      </c>
      <c r="P336" t="n">
        <v>0</v>
      </c>
      <c r="Q336" t="n">
        <v>0</v>
      </c>
      <c r="R336" s="2" t="inlineStr"/>
    </row>
    <row r="337" ht="15" customHeight="1">
      <c r="A337" t="inlineStr">
        <is>
          <t>A 57534-2022</t>
        </is>
      </c>
      <c r="B337" s="1" t="n">
        <v>44896</v>
      </c>
      <c r="C337" s="1" t="n">
        <v>46070</v>
      </c>
      <c r="D337" t="inlineStr">
        <is>
          <t>GOTLANDS LÄN</t>
        </is>
      </c>
      <c r="E337" t="inlineStr">
        <is>
          <t>GOTLAND</t>
        </is>
      </c>
      <c r="G337" t="n">
        <v>0.6</v>
      </c>
      <c r="H337" t="n">
        <v>0</v>
      </c>
      <c r="I337" t="n">
        <v>0</v>
      </c>
      <c r="J337" t="n">
        <v>0</v>
      </c>
      <c r="K337" t="n">
        <v>0</v>
      </c>
      <c r="L337" t="n">
        <v>0</v>
      </c>
      <c r="M337" t="n">
        <v>0</v>
      </c>
      <c r="N337" t="n">
        <v>0</v>
      </c>
      <c r="O337" t="n">
        <v>0</v>
      </c>
      <c r="P337" t="n">
        <v>0</v>
      </c>
      <c r="Q337" t="n">
        <v>0</v>
      </c>
      <c r="R337" s="2" t="inlineStr"/>
    </row>
    <row r="338" ht="15" customHeight="1">
      <c r="A338" t="inlineStr">
        <is>
          <t>A 58160-2024</t>
        </is>
      </c>
      <c r="B338" s="1" t="n">
        <v>45632.44927083333</v>
      </c>
      <c r="C338" s="1" t="n">
        <v>46070</v>
      </c>
      <c r="D338" t="inlineStr">
        <is>
          <t>GOTLANDS LÄN</t>
        </is>
      </c>
      <c r="E338" t="inlineStr">
        <is>
          <t>GOTLAND</t>
        </is>
      </c>
      <c r="G338" t="n">
        <v>5.6</v>
      </c>
      <c r="H338" t="n">
        <v>0</v>
      </c>
      <c r="I338" t="n">
        <v>0</v>
      </c>
      <c r="J338" t="n">
        <v>0</v>
      </c>
      <c r="K338" t="n">
        <v>0</v>
      </c>
      <c r="L338" t="n">
        <v>0</v>
      </c>
      <c r="M338" t="n">
        <v>0</v>
      </c>
      <c r="N338" t="n">
        <v>0</v>
      </c>
      <c r="O338" t="n">
        <v>0</v>
      </c>
      <c r="P338" t="n">
        <v>0</v>
      </c>
      <c r="Q338" t="n">
        <v>0</v>
      </c>
      <c r="R338" s="2" t="inlineStr"/>
    </row>
    <row r="339" ht="15" customHeight="1">
      <c r="A339" t="inlineStr">
        <is>
          <t>A 44405-2025</t>
        </is>
      </c>
      <c r="B339" s="1" t="n">
        <v>45916.52405092592</v>
      </c>
      <c r="C339" s="1" t="n">
        <v>46070</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62751-2025</t>
        </is>
      </c>
      <c r="B340" s="1" t="n">
        <v>46008</v>
      </c>
      <c r="C340" s="1" t="n">
        <v>46070</v>
      </c>
      <c r="D340" t="inlineStr">
        <is>
          <t>GOTLANDS LÄN</t>
        </is>
      </c>
      <c r="E340" t="inlineStr">
        <is>
          <t>GOTLAND</t>
        </is>
      </c>
      <c r="F340" t="inlineStr">
        <is>
          <t>Övriga Aktiebolag</t>
        </is>
      </c>
      <c r="G340" t="n">
        <v>7.8</v>
      </c>
      <c r="H340" t="n">
        <v>0</v>
      </c>
      <c r="I340" t="n">
        <v>0</v>
      </c>
      <c r="J340" t="n">
        <v>0</v>
      </c>
      <c r="K340" t="n">
        <v>0</v>
      </c>
      <c r="L340" t="n">
        <v>0</v>
      </c>
      <c r="M340" t="n">
        <v>0</v>
      </c>
      <c r="N340" t="n">
        <v>0</v>
      </c>
      <c r="O340" t="n">
        <v>0</v>
      </c>
      <c r="P340" t="n">
        <v>0</v>
      </c>
      <c r="Q340" t="n">
        <v>0</v>
      </c>
      <c r="R340" s="2" t="inlineStr"/>
    </row>
    <row r="341" ht="15" customHeight="1">
      <c r="A341" t="inlineStr">
        <is>
          <t>A 47147-2025</t>
        </is>
      </c>
      <c r="B341" s="1" t="n">
        <v>45929</v>
      </c>
      <c r="C341" s="1" t="n">
        <v>46070</v>
      </c>
      <c r="D341" t="inlineStr">
        <is>
          <t>GOTLANDS LÄN</t>
        </is>
      </c>
      <c r="E341" t="inlineStr">
        <is>
          <t>GOTLAND</t>
        </is>
      </c>
      <c r="G341" t="n">
        <v>2.3</v>
      </c>
      <c r="H341" t="n">
        <v>0</v>
      </c>
      <c r="I341" t="n">
        <v>0</v>
      </c>
      <c r="J341" t="n">
        <v>0</v>
      </c>
      <c r="K341" t="n">
        <v>0</v>
      </c>
      <c r="L341" t="n">
        <v>0</v>
      </c>
      <c r="M341" t="n">
        <v>0</v>
      </c>
      <c r="N341" t="n">
        <v>0</v>
      </c>
      <c r="O341" t="n">
        <v>0</v>
      </c>
      <c r="P341" t="n">
        <v>0</v>
      </c>
      <c r="Q341" t="n">
        <v>0</v>
      </c>
      <c r="R341" s="2" t="inlineStr"/>
    </row>
    <row r="342" ht="15" customHeight="1">
      <c r="A342" t="inlineStr">
        <is>
          <t>A 62754-2025</t>
        </is>
      </c>
      <c r="B342" s="1" t="n">
        <v>46008</v>
      </c>
      <c r="C342" s="1" t="n">
        <v>46070</v>
      </c>
      <c r="D342" t="inlineStr">
        <is>
          <t>GOTLANDS LÄN</t>
        </is>
      </c>
      <c r="E342" t="inlineStr">
        <is>
          <t>GOTLAND</t>
        </is>
      </c>
      <c r="F342" t="inlineStr">
        <is>
          <t>Övriga Aktiebolag</t>
        </is>
      </c>
      <c r="G342" t="n">
        <v>2.9</v>
      </c>
      <c r="H342" t="n">
        <v>0</v>
      </c>
      <c r="I342" t="n">
        <v>0</v>
      </c>
      <c r="J342" t="n">
        <v>0</v>
      </c>
      <c r="K342" t="n">
        <v>0</v>
      </c>
      <c r="L342" t="n">
        <v>0</v>
      </c>
      <c r="M342" t="n">
        <v>0</v>
      </c>
      <c r="N342" t="n">
        <v>0</v>
      </c>
      <c r="O342" t="n">
        <v>0</v>
      </c>
      <c r="P342" t="n">
        <v>0</v>
      </c>
      <c r="Q342" t="n">
        <v>0</v>
      </c>
      <c r="R342" s="2" t="inlineStr"/>
    </row>
    <row r="343" ht="15" customHeight="1">
      <c r="A343" t="inlineStr">
        <is>
          <t>A 63002-2025</t>
        </is>
      </c>
      <c r="B343" s="1" t="n">
        <v>46009.56564814815</v>
      </c>
      <c r="C343" s="1" t="n">
        <v>46070</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64660-2023</t>
        </is>
      </c>
      <c r="B344" s="1" t="n">
        <v>45281.60122685185</v>
      </c>
      <c r="C344" s="1" t="n">
        <v>46070</v>
      </c>
      <c r="D344" t="inlineStr">
        <is>
          <t>GOTLANDS LÄN</t>
        </is>
      </c>
      <c r="E344" t="inlineStr">
        <is>
          <t>GOTLAND</t>
        </is>
      </c>
      <c r="G344" t="n">
        <v>6.3</v>
      </c>
      <c r="H344" t="n">
        <v>0</v>
      </c>
      <c r="I344" t="n">
        <v>0</v>
      </c>
      <c r="J344" t="n">
        <v>0</v>
      </c>
      <c r="K344" t="n">
        <v>0</v>
      </c>
      <c r="L344" t="n">
        <v>0</v>
      </c>
      <c r="M344" t="n">
        <v>0</v>
      </c>
      <c r="N344" t="n">
        <v>0</v>
      </c>
      <c r="O344" t="n">
        <v>0</v>
      </c>
      <c r="P344" t="n">
        <v>0</v>
      </c>
      <c r="Q344" t="n">
        <v>0</v>
      </c>
      <c r="R344" s="2" t="inlineStr"/>
    </row>
    <row r="345" ht="15" customHeight="1">
      <c r="A345" t="inlineStr">
        <is>
          <t>A 6207-2026</t>
        </is>
      </c>
      <c r="B345" s="1" t="n">
        <v>46055.42083333333</v>
      </c>
      <c r="C345" s="1" t="n">
        <v>46070</v>
      </c>
      <c r="D345" t="inlineStr">
        <is>
          <t>GOTLANDS LÄN</t>
        </is>
      </c>
      <c r="E345" t="inlineStr">
        <is>
          <t>GOTLAND</t>
        </is>
      </c>
      <c r="G345" t="n">
        <v>7.6</v>
      </c>
      <c r="H345" t="n">
        <v>0</v>
      </c>
      <c r="I345" t="n">
        <v>0</v>
      </c>
      <c r="J345" t="n">
        <v>0</v>
      </c>
      <c r="K345" t="n">
        <v>0</v>
      </c>
      <c r="L345" t="n">
        <v>0</v>
      </c>
      <c r="M345" t="n">
        <v>0</v>
      </c>
      <c r="N345" t="n">
        <v>0</v>
      </c>
      <c r="O345" t="n">
        <v>0</v>
      </c>
      <c r="P345" t="n">
        <v>0</v>
      </c>
      <c r="Q345" t="n">
        <v>0</v>
      </c>
      <c r="R345" s="2" t="inlineStr"/>
    </row>
    <row r="346" ht="15" customHeight="1">
      <c r="A346" t="inlineStr">
        <is>
          <t>A 16109-2025</t>
        </is>
      </c>
      <c r="B346" s="1" t="n">
        <v>45750</v>
      </c>
      <c r="C346" s="1" t="n">
        <v>46070</v>
      </c>
      <c r="D346" t="inlineStr">
        <is>
          <t>GOTLANDS LÄN</t>
        </is>
      </c>
      <c r="E346" t="inlineStr">
        <is>
          <t>GOTLAND</t>
        </is>
      </c>
      <c r="G346" t="n">
        <v>4.9</v>
      </c>
      <c r="H346" t="n">
        <v>0</v>
      </c>
      <c r="I346" t="n">
        <v>0</v>
      </c>
      <c r="J346" t="n">
        <v>0</v>
      </c>
      <c r="K346" t="n">
        <v>0</v>
      </c>
      <c r="L346" t="n">
        <v>0</v>
      </c>
      <c r="M346" t="n">
        <v>0</v>
      </c>
      <c r="N346" t="n">
        <v>0</v>
      </c>
      <c r="O346" t="n">
        <v>0</v>
      </c>
      <c r="P346" t="n">
        <v>0</v>
      </c>
      <c r="Q346" t="n">
        <v>0</v>
      </c>
      <c r="R346" s="2" t="inlineStr"/>
    </row>
    <row r="347" ht="15" customHeight="1">
      <c r="A347" t="inlineStr">
        <is>
          <t>A 32467-2025</t>
        </is>
      </c>
      <c r="B347" s="1" t="n">
        <v>45838.42111111111</v>
      </c>
      <c r="C347" s="1" t="n">
        <v>46070</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32379-2025</t>
        </is>
      </c>
      <c r="B348" s="1" t="n">
        <v>45837</v>
      </c>
      <c r="C348" s="1" t="n">
        <v>46070</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20855-2023</t>
        </is>
      </c>
      <c r="B349" s="1" t="n">
        <v>45058.82172453704</v>
      </c>
      <c r="C349" s="1" t="n">
        <v>46070</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33007-2025</t>
        </is>
      </c>
      <c r="B350" s="1" t="n">
        <v>45840</v>
      </c>
      <c r="C350" s="1" t="n">
        <v>46070</v>
      </c>
      <c r="D350" t="inlineStr">
        <is>
          <t>GOTLANDS LÄN</t>
        </is>
      </c>
      <c r="E350" t="inlineStr">
        <is>
          <t>GOTLAND</t>
        </is>
      </c>
      <c r="G350" t="n">
        <v>4.9</v>
      </c>
      <c r="H350" t="n">
        <v>0</v>
      </c>
      <c r="I350" t="n">
        <v>0</v>
      </c>
      <c r="J350" t="n">
        <v>0</v>
      </c>
      <c r="K350" t="n">
        <v>0</v>
      </c>
      <c r="L350" t="n">
        <v>0</v>
      </c>
      <c r="M350" t="n">
        <v>0</v>
      </c>
      <c r="N350" t="n">
        <v>0</v>
      </c>
      <c r="O350" t="n">
        <v>0</v>
      </c>
      <c r="P350" t="n">
        <v>0</v>
      </c>
      <c r="Q350" t="n">
        <v>0</v>
      </c>
      <c r="R350" s="2" t="inlineStr"/>
    </row>
    <row r="351" ht="15" customHeight="1">
      <c r="A351" t="inlineStr">
        <is>
          <t>A 26391-2025</t>
        </is>
      </c>
      <c r="B351" s="1" t="n">
        <v>45806</v>
      </c>
      <c r="C351" s="1" t="n">
        <v>46070</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60709-2023</t>
        </is>
      </c>
      <c r="B352" s="1" t="n">
        <v>45260</v>
      </c>
      <c r="C352" s="1" t="n">
        <v>46070</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1000-2024</t>
        </is>
      </c>
      <c r="B353" s="1" t="n">
        <v>45301.63371527778</v>
      </c>
      <c r="C353" s="1" t="n">
        <v>46070</v>
      </c>
      <c r="D353" t="inlineStr">
        <is>
          <t>GOTLANDS LÄN</t>
        </is>
      </c>
      <c r="E353" t="inlineStr">
        <is>
          <t>GOTLAND</t>
        </is>
      </c>
      <c r="G353" t="n">
        <v>1</v>
      </c>
      <c r="H353" t="n">
        <v>0</v>
      </c>
      <c r="I353" t="n">
        <v>0</v>
      </c>
      <c r="J353" t="n">
        <v>0</v>
      </c>
      <c r="K353" t="n">
        <v>0</v>
      </c>
      <c r="L353" t="n">
        <v>0</v>
      </c>
      <c r="M353" t="n">
        <v>0</v>
      </c>
      <c r="N353" t="n">
        <v>0</v>
      </c>
      <c r="O353" t="n">
        <v>0</v>
      </c>
      <c r="P353" t="n">
        <v>0</v>
      </c>
      <c r="Q353" t="n">
        <v>0</v>
      </c>
      <c r="R353" s="2" t="inlineStr"/>
    </row>
    <row r="354" ht="15" customHeight="1">
      <c r="A354" t="inlineStr">
        <is>
          <t>A 1010-2024</t>
        </is>
      </c>
      <c r="B354" s="1" t="n">
        <v>45301</v>
      </c>
      <c r="C354" s="1" t="n">
        <v>46070</v>
      </c>
      <c r="D354" t="inlineStr">
        <is>
          <t>GOTLANDS LÄN</t>
        </is>
      </c>
      <c r="E354" t="inlineStr">
        <is>
          <t>GOTLAND</t>
        </is>
      </c>
      <c r="G354" t="n">
        <v>2.4</v>
      </c>
      <c r="H354" t="n">
        <v>0</v>
      </c>
      <c r="I354" t="n">
        <v>0</v>
      </c>
      <c r="J354" t="n">
        <v>0</v>
      </c>
      <c r="K354" t="n">
        <v>0</v>
      </c>
      <c r="L354" t="n">
        <v>0</v>
      </c>
      <c r="M354" t="n">
        <v>0</v>
      </c>
      <c r="N354" t="n">
        <v>0</v>
      </c>
      <c r="O354" t="n">
        <v>0</v>
      </c>
      <c r="P354" t="n">
        <v>0</v>
      </c>
      <c r="Q354" t="n">
        <v>0</v>
      </c>
      <c r="R354" s="2" t="inlineStr"/>
    </row>
    <row r="355" ht="15" customHeight="1">
      <c r="A355" t="inlineStr">
        <is>
          <t>A 65249-2023</t>
        </is>
      </c>
      <c r="B355" s="1" t="n">
        <v>45290</v>
      </c>
      <c r="C355" s="1" t="n">
        <v>46070</v>
      </c>
      <c r="D355" t="inlineStr">
        <is>
          <t>GOTLANDS LÄN</t>
        </is>
      </c>
      <c r="E355" t="inlineStr">
        <is>
          <t>GOTLAND</t>
        </is>
      </c>
      <c r="G355" t="n">
        <v>2.4</v>
      </c>
      <c r="H355" t="n">
        <v>0</v>
      </c>
      <c r="I355" t="n">
        <v>0</v>
      </c>
      <c r="J355" t="n">
        <v>0</v>
      </c>
      <c r="K355" t="n">
        <v>0</v>
      </c>
      <c r="L355" t="n">
        <v>0</v>
      </c>
      <c r="M355" t="n">
        <v>0</v>
      </c>
      <c r="N355" t="n">
        <v>0</v>
      </c>
      <c r="O355" t="n">
        <v>0</v>
      </c>
      <c r="P355" t="n">
        <v>0</v>
      </c>
      <c r="Q355" t="n">
        <v>0</v>
      </c>
      <c r="R355" s="2" t="inlineStr"/>
    </row>
    <row r="356" ht="15" customHeight="1">
      <c r="A356" t="inlineStr">
        <is>
          <t>A 30956-2024</t>
        </is>
      </c>
      <c r="B356" s="1" t="n">
        <v>45499.42527777778</v>
      </c>
      <c r="C356" s="1" t="n">
        <v>46070</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46836-2025</t>
        </is>
      </c>
      <c r="B357" s="1" t="n">
        <v>45928.31511574074</v>
      </c>
      <c r="C357" s="1" t="n">
        <v>46070</v>
      </c>
      <c r="D357" t="inlineStr">
        <is>
          <t>GOTLANDS LÄN</t>
        </is>
      </c>
      <c r="E357" t="inlineStr">
        <is>
          <t>GOTLAND</t>
        </is>
      </c>
      <c r="G357" t="n">
        <v>2.8</v>
      </c>
      <c r="H357" t="n">
        <v>0</v>
      </c>
      <c r="I357" t="n">
        <v>0</v>
      </c>
      <c r="J357" t="n">
        <v>0</v>
      </c>
      <c r="K357" t="n">
        <v>0</v>
      </c>
      <c r="L357" t="n">
        <v>0</v>
      </c>
      <c r="M357" t="n">
        <v>0</v>
      </c>
      <c r="N357" t="n">
        <v>0</v>
      </c>
      <c r="O357" t="n">
        <v>0</v>
      </c>
      <c r="P357" t="n">
        <v>0</v>
      </c>
      <c r="Q357" t="n">
        <v>0</v>
      </c>
      <c r="R357" s="2" t="inlineStr"/>
    </row>
    <row r="358" ht="15" customHeight="1">
      <c r="A358" t="inlineStr">
        <is>
          <t>A 12596-2023</t>
        </is>
      </c>
      <c r="B358" s="1" t="n">
        <v>45000.43310185185</v>
      </c>
      <c r="C358" s="1" t="n">
        <v>46070</v>
      </c>
      <c r="D358" t="inlineStr">
        <is>
          <t>GOTLANDS LÄN</t>
        </is>
      </c>
      <c r="E358" t="inlineStr">
        <is>
          <t>GOTLAND</t>
        </is>
      </c>
      <c r="G358" t="n">
        <v>4.1</v>
      </c>
      <c r="H358" t="n">
        <v>0</v>
      </c>
      <c r="I358" t="n">
        <v>0</v>
      </c>
      <c r="J358" t="n">
        <v>0</v>
      </c>
      <c r="K358" t="n">
        <v>0</v>
      </c>
      <c r="L358" t="n">
        <v>0</v>
      </c>
      <c r="M358" t="n">
        <v>0</v>
      </c>
      <c r="N358" t="n">
        <v>0</v>
      </c>
      <c r="O358" t="n">
        <v>0</v>
      </c>
      <c r="P358" t="n">
        <v>0</v>
      </c>
      <c r="Q358" t="n">
        <v>0</v>
      </c>
      <c r="R358" s="2" t="inlineStr"/>
    </row>
    <row r="359" ht="15" customHeight="1">
      <c r="A359" t="inlineStr">
        <is>
          <t>A 8045-2022</t>
        </is>
      </c>
      <c r="B359" s="1" t="n">
        <v>44609</v>
      </c>
      <c r="C359" s="1" t="n">
        <v>46070</v>
      </c>
      <c r="D359" t="inlineStr">
        <is>
          <t>GOTLANDS LÄN</t>
        </is>
      </c>
      <c r="E359" t="inlineStr">
        <is>
          <t>GOTLAND</t>
        </is>
      </c>
      <c r="G359" t="n">
        <v>7</v>
      </c>
      <c r="H359" t="n">
        <v>0</v>
      </c>
      <c r="I359" t="n">
        <v>0</v>
      </c>
      <c r="J359" t="n">
        <v>0</v>
      </c>
      <c r="K359" t="n">
        <v>0</v>
      </c>
      <c r="L359" t="n">
        <v>0</v>
      </c>
      <c r="M359" t="n">
        <v>0</v>
      </c>
      <c r="N359" t="n">
        <v>0</v>
      </c>
      <c r="O359" t="n">
        <v>0</v>
      </c>
      <c r="P359" t="n">
        <v>0</v>
      </c>
      <c r="Q359" t="n">
        <v>0</v>
      </c>
      <c r="R359" s="2" t="inlineStr"/>
    </row>
    <row r="360" ht="15" customHeight="1">
      <c r="A360" t="inlineStr">
        <is>
          <t>A 47637-2025</t>
        </is>
      </c>
      <c r="B360" s="1" t="n">
        <v>45931.49753472222</v>
      </c>
      <c r="C360" s="1" t="n">
        <v>46070</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15413-2025</t>
        </is>
      </c>
      <c r="B361" s="1" t="n">
        <v>45747.451875</v>
      </c>
      <c r="C361" s="1" t="n">
        <v>46070</v>
      </c>
      <c r="D361" t="inlineStr">
        <is>
          <t>GOTLANDS LÄN</t>
        </is>
      </c>
      <c r="E361" t="inlineStr">
        <is>
          <t>GOTLAND</t>
        </is>
      </c>
      <c r="G361" t="n">
        <v>0.6</v>
      </c>
      <c r="H361" t="n">
        <v>0</v>
      </c>
      <c r="I361" t="n">
        <v>0</v>
      </c>
      <c r="J361" t="n">
        <v>0</v>
      </c>
      <c r="K361" t="n">
        <v>0</v>
      </c>
      <c r="L361" t="n">
        <v>0</v>
      </c>
      <c r="M361" t="n">
        <v>0</v>
      </c>
      <c r="N361" t="n">
        <v>0</v>
      </c>
      <c r="O361" t="n">
        <v>0</v>
      </c>
      <c r="P361" t="n">
        <v>0</v>
      </c>
      <c r="Q361" t="n">
        <v>0</v>
      </c>
      <c r="R361" s="2" t="inlineStr"/>
    </row>
    <row r="362" ht="15" customHeight="1">
      <c r="A362" t="inlineStr">
        <is>
          <t>A 32378-2025</t>
        </is>
      </c>
      <c r="B362" s="1" t="n">
        <v>45837</v>
      </c>
      <c r="C362" s="1" t="n">
        <v>46070</v>
      </c>
      <c r="D362" t="inlineStr">
        <is>
          <t>GOTLANDS LÄN</t>
        </is>
      </c>
      <c r="E362" t="inlineStr">
        <is>
          <t>GOTLAND</t>
        </is>
      </c>
      <c r="G362" t="n">
        <v>4.1</v>
      </c>
      <c r="H362" t="n">
        <v>0</v>
      </c>
      <c r="I362" t="n">
        <v>0</v>
      </c>
      <c r="J362" t="n">
        <v>0</v>
      </c>
      <c r="K362" t="n">
        <v>0</v>
      </c>
      <c r="L362" t="n">
        <v>0</v>
      </c>
      <c r="M362" t="n">
        <v>0</v>
      </c>
      <c r="N362" t="n">
        <v>0</v>
      </c>
      <c r="O362" t="n">
        <v>0</v>
      </c>
      <c r="P362" t="n">
        <v>0</v>
      </c>
      <c r="Q362" t="n">
        <v>0</v>
      </c>
      <c r="R362" s="2" t="inlineStr"/>
    </row>
    <row r="363" ht="15" customHeight="1">
      <c r="A363" t="inlineStr">
        <is>
          <t>A 35096-2025</t>
        </is>
      </c>
      <c r="B363" s="1" t="n">
        <v>45852.54356481481</v>
      </c>
      <c r="C363" s="1" t="n">
        <v>46070</v>
      </c>
      <c r="D363" t="inlineStr">
        <is>
          <t>GOTLANDS LÄN</t>
        </is>
      </c>
      <c r="E363" t="inlineStr">
        <is>
          <t>GOTLAND</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999-2024</t>
        </is>
      </c>
      <c r="B364" s="1" t="n">
        <v>45301</v>
      </c>
      <c r="C364" s="1" t="n">
        <v>46070</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65901-2021</t>
        </is>
      </c>
      <c r="B365" s="1" t="n">
        <v>44516</v>
      </c>
      <c r="C365" s="1" t="n">
        <v>46070</v>
      </c>
      <c r="D365" t="inlineStr">
        <is>
          <t>GOTLANDS LÄN</t>
        </is>
      </c>
      <c r="E365" t="inlineStr">
        <is>
          <t>GOTLAND</t>
        </is>
      </c>
      <c r="G365" t="n">
        <v>4.9</v>
      </c>
      <c r="H365" t="n">
        <v>0</v>
      </c>
      <c r="I365" t="n">
        <v>0</v>
      </c>
      <c r="J365" t="n">
        <v>0</v>
      </c>
      <c r="K365" t="n">
        <v>0</v>
      </c>
      <c r="L365" t="n">
        <v>0</v>
      </c>
      <c r="M365" t="n">
        <v>0</v>
      </c>
      <c r="N365" t="n">
        <v>0</v>
      </c>
      <c r="O365" t="n">
        <v>0</v>
      </c>
      <c r="P365" t="n">
        <v>0</v>
      </c>
      <c r="Q365" t="n">
        <v>0</v>
      </c>
      <c r="R365" s="2" t="inlineStr"/>
    </row>
    <row r="366" ht="15" customHeight="1">
      <c r="A366" t="inlineStr">
        <is>
          <t>A 35123-2025</t>
        </is>
      </c>
      <c r="B366" s="1" t="n">
        <v>45852.614375</v>
      </c>
      <c r="C366" s="1" t="n">
        <v>46070</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47762-2023</t>
        </is>
      </c>
      <c r="B367" s="1" t="n">
        <v>45203.86256944444</v>
      </c>
      <c r="C367" s="1" t="n">
        <v>46070</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35290-2025</t>
        </is>
      </c>
      <c r="B368" s="1" t="n">
        <v>45854.38502314815</v>
      </c>
      <c r="C368" s="1" t="n">
        <v>46070</v>
      </c>
      <c r="D368" t="inlineStr">
        <is>
          <t>GOTLANDS LÄN</t>
        </is>
      </c>
      <c r="E368" t="inlineStr">
        <is>
          <t>GOTLAND</t>
        </is>
      </c>
      <c r="G368" t="n">
        <v>5.4</v>
      </c>
      <c r="H368" t="n">
        <v>0</v>
      </c>
      <c r="I368" t="n">
        <v>0</v>
      </c>
      <c r="J368" t="n">
        <v>0</v>
      </c>
      <c r="K368" t="n">
        <v>0</v>
      </c>
      <c r="L368" t="n">
        <v>0</v>
      </c>
      <c r="M368" t="n">
        <v>0</v>
      </c>
      <c r="N368" t="n">
        <v>0</v>
      </c>
      <c r="O368" t="n">
        <v>0</v>
      </c>
      <c r="P368" t="n">
        <v>0</v>
      </c>
      <c r="Q368" t="n">
        <v>0</v>
      </c>
      <c r="R368" s="2" t="inlineStr"/>
    </row>
    <row r="369" ht="15" customHeight="1">
      <c r="A369" t="inlineStr">
        <is>
          <t>A 30104-2025</t>
        </is>
      </c>
      <c r="B369" s="1" t="n">
        <v>45826.68806712963</v>
      </c>
      <c r="C369" s="1" t="n">
        <v>46070</v>
      </c>
      <c r="D369" t="inlineStr">
        <is>
          <t>GOTLANDS LÄN</t>
        </is>
      </c>
      <c r="E369" t="inlineStr">
        <is>
          <t>GOTLAND</t>
        </is>
      </c>
      <c r="G369" t="n">
        <v>15.4</v>
      </c>
      <c r="H369" t="n">
        <v>0</v>
      </c>
      <c r="I369" t="n">
        <v>0</v>
      </c>
      <c r="J369" t="n">
        <v>0</v>
      </c>
      <c r="K369" t="n">
        <v>0</v>
      </c>
      <c r="L369" t="n">
        <v>0</v>
      </c>
      <c r="M369" t="n">
        <v>0</v>
      </c>
      <c r="N369" t="n">
        <v>0</v>
      </c>
      <c r="O369" t="n">
        <v>0</v>
      </c>
      <c r="P369" t="n">
        <v>0</v>
      </c>
      <c r="Q369" t="n">
        <v>0</v>
      </c>
      <c r="R369" s="2" t="inlineStr"/>
    </row>
    <row r="370" ht="15" customHeight="1">
      <c r="A370" t="inlineStr">
        <is>
          <t>A 40294-2022</t>
        </is>
      </c>
      <c r="B370" s="1" t="n">
        <v>44821</v>
      </c>
      <c r="C370" s="1" t="n">
        <v>46070</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27602-2023</t>
        </is>
      </c>
      <c r="B371" s="1" t="n">
        <v>45097</v>
      </c>
      <c r="C371" s="1" t="n">
        <v>46070</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32669-2024</t>
        </is>
      </c>
      <c r="B372" s="1" t="n">
        <v>45514</v>
      </c>
      <c r="C372" s="1" t="n">
        <v>46070</v>
      </c>
      <c r="D372" t="inlineStr">
        <is>
          <t>GOTLANDS LÄN</t>
        </is>
      </c>
      <c r="E372" t="inlineStr">
        <is>
          <t>GOTLAND</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58780-2024</t>
        </is>
      </c>
      <c r="B373" s="1" t="n">
        <v>45635.84113425926</v>
      </c>
      <c r="C373" s="1" t="n">
        <v>46070</v>
      </c>
      <c r="D373" t="inlineStr">
        <is>
          <t>GOTLANDS LÄN</t>
        </is>
      </c>
      <c r="E373" t="inlineStr">
        <is>
          <t>GOTLAND</t>
        </is>
      </c>
      <c r="G373" t="n">
        <v>2.6</v>
      </c>
      <c r="H373" t="n">
        <v>0</v>
      </c>
      <c r="I373" t="n">
        <v>0</v>
      </c>
      <c r="J373" t="n">
        <v>0</v>
      </c>
      <c r="K373" t="n">
        <v>0</v>
      </c>
      <c r="L373" t="n">
        <v>0</v>
      </c>
      <c r="M373" t="n">
        <v>0</v>
      </c>
      <c r="N373" t="n">
        <v>0</v>
      </c>
      <c r="O373" t="n">
        <v>0</v>
      </c>
      <c r="P373" t="n">
        <v>0</v>
      </c>
      <c r="Q373" t="n">
        <v>0</v>
      </c>
      <c r="R373" s="2" t="inlineStr"/>
    </row>
    <row r="374" ht="15" customHeight="1">
      <c r="A374" t="inlineStr">
        <is>
          <t>A 12322-2025</t>
        </is>
      </c>
      <c r="B374" s="1" t="n">
        <v>45730</v>
      </c>
      <c r="C374" s="1" t="n">
        <v>46070</v>
      </c>
      <c r="D374" t="inlineStr">
        <is>
          <t>GOTLANDS LÄN</t>
        </is>
      </c>
      <c r="E374" t="inlineStr">
        <is>
          <t>GOTLAND</t>
        </is>
      </c>
      <c r="G374" t="n">
        <v>1.4</v>
      </c>
      <c r="H374" t="n">
        <v>0</v>
      </c>
      <c r="I374" t="n">
        <v>0</v>
      </c>
      <c r="J374" t="n">
        <v>0</v>
      </c>
      <c r="K374" t="n">
        <v>0</v>
      </c>
      <c r="L374" t="n">
        <v>0</v>
      </c>
      <c r="M374" t="n">
        <v>0</v>
      </c>
      <c r="N374" t="n">
        <v>0</v>
      </c>
      <c r="O374" t="n">
        <v>0</v>
      </c>
      <c r="P374" t="n">
        <v>0</v>
      </c>
      <c r="Q374" t="n">
        <v>0</v>
      </c>
      <c r="R374" s="2" t="inlineStr"/>
    </row>
    <row r="375" ht="15" customHeight="1">
      <c r="A375" t="inlineStr">
        <is>
          <t>A 35550-2025</t>
        </is>
      </c>
      <c r="B375" s="1" t="n">
        <v>45856.49324074074</v>
      </c>
      <c r="C375" s="1" t="n">
        <v>46070</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35537-2025</t>
        </is>
      </c>
      <c r="B376" s="1" t="n">
        <v>45856</v>
      </c>
      <c r="C376" s="1" t="n">
        <v>46070</v>
      </c>
      <c r="D376" t="inlineStr">
        <is>
          <t>GOTLANDS LÄN</t>
        </is>
      </c>
      <c r="E376" t="inlineStr">
        <is>
          <t>GOTLAND</t>
        </is>
      </c>
      <c r="G376" t="n">
        <v>16.8</v>
      </c>
      <c r="H376" t="n">
        <v>0</v>
      </c>
      <c r="I376" t="n">
        <v>0</v>
      </c>
      <c r="J376" t="n">
        <v>0</v>
      </c>
      <c r="K376" t="n">
        <v>0</v>
      </c>
      <c r="L376" t="n">
        <v>0</v>
      </c>
      <c r="M376" t="n">
        <v>0</v>
      </c>
      <c r="N376" t="n">
        <v>0</v>
      </c>
      <c r="O376" t="n">
        <v>0</v>
      </c>
      <c r="P376" t="n">
        <v>0</v>
      </c>
      <c r="Q376" t="n">
        <v>0</v>
      </c>
      <c r="R376" s="2" t="inlineStr"/>
    </row>
    <row r="377" ht="15" customHeight="1">
      <c r="A377" t="inlineStr">
        <is>
          <t>A 47578-2025</t>
        </is>
      </c>
      <c r="B377" s="1" t="n">
        <v>45931</v>
      </c>
      <c r="C377" s="1" t="n">
        <v>46070</v>
      </c>
      <c r="D377" t="inlineStr">
        <is>
          <t>GOTLANDS LÄN</t>
        </is>
      </c>
      <c r="E377" t="inlineStr">
        <is>
          <t>GOTLAND</t>
        </is>
      </c>
      <c r="G377" t="n">
        <v>9.199999999999999</v>
      </c>
      <c r="H377" t="n">
        <v>0</v>
      </c>
      <c r="I377" t="n">
        <v>0</v>
      </c>
      <c r="J377" t="n">
        <v>0</v>
      </c>
      <c r="K377" t="n">
        <v>0</v>
      </c>
      <c r="L377" t="n">
        <v>0</v>
      </c>
      <c r="M377" t="n">
        <v>0</v>
      </c>
      <c r="N377" t="n">
        <v>0</v>
      </c>
      <c r="O377" t="n">
        <v>0</v>
      </c>
      <c r="P377" t="n">
        <v>0</v>
      </c>
      <c r="Q377" t="n">
        <v>0</v>
      </c>
      <c r="R377" s="2" t="inlineStr"/>
    </row>
    <row r="378" ht="15" customHeight="1">
      <c r="A378" t="inlineStr">
        <is>
          <t>A 24192-2023</t>
        </is>
      </c>
      <c r="B378" s="1" t="n">
        <v>45079</v>
      </c>
      <c r="C378" s="1" t="n">
        <v>46070</v>
      </c>
      <c r="D378" t="inlineStr">
        <is>
          <t>GOTLANDS LÄN</t>
        </is>
      </c>
      <c r="E378" t="inlineStr">
        <is>
          <t>GOTLAND</t>
        </is>
      </c>
      <c r="G378" t="n">
        <v>2.1</v>
      </c>
      <c r="H378" t="n">
        <v>0</v>
      </c>
      <c r="I378" t="n">
        <v>0</v>
      </c>
      <c r="J378" t="n">
        <v>0</v>
      </c>
      <c r="K378" t="n">
        <v>0</v>
      </c>
      <c r="L378" t="n">
        <v>0</v>
      </c>
      <c r="M378" t="n">
        <v>0</v>
      </c>
      <c r="N378" t="n">
        <v>0</v>
      </c>
      <c r="O378" t="n">
        <v>0</v>
      </c>
      <c r="P378" t="n">
        <v>0</v>
      </c>
      <c r="Q378" t="n">
        <v>0</v>
      </c>
      <c r="R378" s="2" t="inlineStr"/>
    </row>
    <row r="379" ht="15" customHeight="1">
      <c r="A379" t="inlineStr">
        <is>
          <t>A 30282-2022</t>
        </is>
      </c>
      <c r="B379" s="1" t="n">
        <v>44760</v>
      </c>
      <c r="C379" s="1" t="n">
        <v>46070</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33011-2025</t>
        </is>
      </c>
      <c r="B380" s="1" t="n">
        <v>45840</v>
      </c>
      <c r="C380" s="1" t="n">
        <v>46070</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7835-2024</t>
        </is>
      </c>
      <c r="B381" s="1" t="n">
        <v>45349.83138888889</v>
      </c>
      <c r="C381" s="1" t="n">
        <v>46070</v>
      </c>
      <c r="D381" t="inlineStr">
        <is>
          <t>GOTLANDS LÄN</t>
        </is>
      </c>
      <c r="E381" t="inlineStr">
        <is>
          <t>GOTLAND</t>
        </is>
      </c>
      <c r="G381" t="n">
        <v>3.8</v>
      </c>
      <c r="H381" t="n">
        <v>0</v>
      </c>
      <c r="I381" t="n">
        <v>0</v>
      </c>
      <c r="J381" t="n">
        <v>0</v>
      </c>
      <c r="K381" t="n">
        <v>0</v>
      </c>
      <c r="L381" t="n">
        <v>0</v>
      </c>
      <c r="M381" t="n">
        <v>0</v>
      </c>
      <c r="N381" t="n">
        <v>0</v>
      </c>
      <c r="O381" t="n">
        <v>0</v>
      </c>
      <c r="P381" t="n">
        <v>0</v>
      </c>
      <c r="Q381" t="n">
        <v>0</v>
      </c>
      <c r="R381" s="2" t="inlineStr"/>
    </row>
    <row r="382" ht="15" customHeight="1">
      <c r="A382" t="inlineStr">
        <is>
          <t>A 49690-2025</t>
        </is>
      </c>
      <c r="B382" s="1" t="n">
        <v>45939.66730324074</v>
      </c>
      <c r="C382" s="1" t="n">
        <v>46070</v>
      </c>
      <c r="D382" t="inlineStr">
        <is>
          <t>GOTLANDS LÄN</t>
        </is>
      </c>
      <c r="E382" t="inlineStr">
        <is>
          <t>GOTLAND</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10650-2022</t>
        </is>
      </c>
      <c r="B383" s="1" t="n">
        <v>44624.57945601852</v>
      </c>
      <c r="C383" s="1" t="n">
        <v>46070</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5863-2026</t>
        </is>
      </c>
      <c r="B384" s="1" t="n">
        <v>46052.36697916667</v>
      </c>
      <c r="C384" s="1" t="n">
        <v>46070</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26810-2021</t>
        </is>
      </c>
      <c r="B385" s="1" t="n">
        <v>44349.55087962963</v>
      </c>
      <c r="C385" s="1" t="n">
        <v>46070</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30488-2025</t>
        </is>
      </c>
      <c r="B386" s="1" t="n">
        <v>45830</v>
      </c>
      <c r="C386" s="1" t="n">
        <v>46070</v>
      </c>
      <c r="D386" t="inlineStr">
        <is>
          <t>GOTLANDS LÄN</t>
        </is>
      </c>
      <c r="E386" t="inlineStr">
        <is>
          <t>GOTLAND</t>
        </is>
      </c>
      <c r="F386" t="inlineStr">
        <is>
          <t>Kyrkan</t>
        </is>
      </c>
      <c r="G386" t="n">
        <v>3.9</v>
      </c>
      <c r="H386" t="n">
        <v>0</v>
      </c>
      <c r="I386" t="n">
        <v>0</v>
      </c>
      <c r="J386" t="n">
        <v>0</v>
      </c>
      <c r="K386" t="n">
        <v>0</v>
      </c>
      <c r="L386" t="n">
        <v>0</v>
      </c>
      <c r="M386" t="n">
        <v>0</v>
      </c>
      <c r="N386" t="n">
        <v>0</v>
      </c>
      <c r="O386" t="n">
        <v>0</v>
      </c>
      <c r="P386" t="n">
        <v>0</v>
      </c>
      <c r="Q386" t="n">
        <v>0</v>
      </c>
      <c r="R386" s="2" t="inlineStr"/>
    </row>
    <row r="387" ht="15" customHeight="1">
      <c r="A387" t="inlineStr">
        <is>
          <t>A 15216-2025</t>
        </is>
      </c>
      <c r="B387" s="1" t="n">
        <v>45744</v>
      </c>
      <c r="C387" s="1" t="n">
        <v>46070</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15001-2025</t>
        </is>
      </c>
      <c r="B388" s="1" t="n">
        <v>45743</v>
      </c>
      <c r="C388" s="1" t="n">
        <v>46070</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43790-2024</t>
        </is>
      </c>
      <c r="B389" s="1" t="n">
        <v>45571</v>
      </c>
      <c r="C389" s="1" t="n">
        <v>46070</v>
      </c>
      <c r="D389" t="inlineStr">
        <is>
          <t>GOTLANDS LÄN</t>
        </is>
      </c>
      <c r="E389" t="inlineStr">
        <is>
          <t>GOTLAND</t>
        </is>
      </c>
      <c r="G389" t="n">
        <v>3.5</v>
      </c>
      <c r="H389" t="n">
        <v>0</v>
      </c>
      <c r="I389" t="n">
        <v>0</v>
      </c>
      <c r="J389" t="n">
        <v>0</v>
      </c>
      <c r="K389" t="n">
        <v>0</v>
      </c>
      <c r="L389" t="n">
        <v>0</v>
      </c>
      <c r="M389" t="n">
        <v>0</v>
      </c>
      <c r="N389" t="n">
        <v>0</v>
      </c>
      <c r="O389" t="n">
        <v>0</v>
      </c>
      <c r="P389" t="n">
        <v>0</v>
      </c>
      <c r="Q389" t="n">
        <v>0</v>
      </c>
      <c r="R389" s="2" t="inlineStr"/>
    </row>
    <row r="390" ht="15" customHeight="1">
      <c r="A390" t="inlineStr">
        <is>
          <t>A 17847-2025</t>
        </is>
      </c>
      <c r="B390" s="1" t="n">
        <v>45758</v>
      </c>
      <c r="C390" s="1" t="n">
        <v>46070</v>
      </c>
      <c r="D390" t="inlineStr">
        <is>
          <t>GOTLANDS LÄN</t>
        </is>
      </c>
      <c r="E390" t="inlineStr">
        <is>
          <t>GOTLAND</t>
        </is>
      </c>
      <c r="G390" t="n">
        <v>1.9</v>
      </c>
      <c r="H390" t="n">
        <v>0</v>
      </c>
      <c r="I390" t="n">
        <v>0</v>
      </c>
      <c r="J390" t="n">
        <v>0</v>
      </c>
      <c r="K390" t="n">
        <v>0</v>
      </c>
      <c r="L390" t="n">
        <v>0</v>
      </c>
      <c r="M390" t="n">
        <v>0</v>
      </c>
      <c r="N390" t="n">
        <v>0</v>
      </c>
      <c r="O390" t="n">
        <v>0</v>
      </c>
      <c r="P390" t="n">
        <v>0</v>
      </c>
      <c r="Q390" t="n">
        <v>0</v>
      </c>
      <c r="R390" s="2" t="inlineStr"/>
    </row>
    <row r="391" ht="15" customHeight="1">
      <c r="A391" t="inlineStr">
        <is>
          <t>A 18742-2025</t>
        </is>
      </c>
      <c r="B391" s="1" t="n">
        <v>45763</v>
      </c>
      <c r="C391" s="1" t="n">
        <v>46070</v>
      </c>
      <c r="D391" t="inlineStr">
        <is>
          <t>GOTLANDS LÄN</t>
        </is>
      </c>
      <c r="E391" t="inlineStr">
        <is>
          <t>GOTLAND</t>
        </is>
      </c>
      <c r="G391" t="n">
        <v>3.4</v>
      </c>
      <c r="H391" t="n">
        <v>0</v>
      </c>
      <c r="I391" t="n">
        <v>0</v>
      </c>
      <c r="J391" t="n">
        <v>0</v>
      </c>
      <c r="K391" t="n">
        <v>0</v>
      </c>
      <c r="L391" t="n">
        <v>0</v>
      </c>
      <c r="M391" t="n">
        <v>0</v>
      </c>
      <c r="N391" t="n">
        <v>0</v>
      </c>
      <c r="O391" t="n">
        <v>0</v>
      </c>
      <c r="P391" t="n">
        <v>0</v>
      </c>
      <c r="Q391" t="n">
        <v>0</v>
      </c>
      <c r="R391" s="2" t="inlineStr"/>
    </row>
    <row r="392" ht="15" customHeight="1">
      <c r="A392" t="inlineStr">
        <is>
          <t>A 35129-2025</t>
        </is>
      </c>
      <c r="B392" s="1" t="n">
        <v>45852.63224537037</v>
      </c>
      <c r="C392" s="1" t="n">
        <v>46070</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49724-2025</t>
        </is>
      </c>
      <c r="B393" s="1" t="n">
        <v>45939.83730324074</v>
      </c>
      <c r="C393" s="1" t="n">
        <v>46070</v>
      </c>
      <c r="D393" t="inlineStr">
        <is>
          <t>GOTLANDS LÄN</t>
        </is>
      </c>
      <c r="E393" t="inlineStr">
        <is>
          <t>GOTLAND</t>
        </is>
      </c>
      <c r="F393" t="inlineStr">
        <is>
          <t>Kyrkan</t>
        </is>
      </c>
      <c r="G393" t="n">
        <v>3.1</v>
      </c>
      <c r="H393" t="n">
        <v>0</v>
      </c>
      <c r="I393" t="n">
        <v>0</v>
      </c>
      <c r="J393" t="n">
        <v>0</v>
      </c>
      <c r="K393" t="n">
        <v>0</v>
      </c>
      <c r="L393" t="n">
        <v>0</v>
      </c>
      <c r="M393" t="n">
        <v>0</v>
      </c>
      <c r="N393" t="n">
        <v>0</v>
      </c>
      <c r="O393" t="n">
        <v>0</v>
      </c>
      <c r="P393" t="n">
        <v>0</v>
      </c>
      <c r="Q393" t="n">
        <v>0</v>
      </c>
      <c r="R393" s="2" t="inlineStr"/>
    </row>
    <row r="394" ht="15" customHeight="1">
      <c r="A394" t="inlineStr">
        <is>
          <t>A 49730-2025</t>
        </is>
      </c>
      <c r="B394" s="1" t="n">
        <v>45939.87613425926</v>
      </c>
      <c r="C394" s="1" t="n">
        <v>46070</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28425-2023</t>
        </is>
      </c>
      <c r="B395" s="1" t="n">
        <v>45102</v>
      </c>
      <c r="C395" s="1" t="n">
        <v>46070</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50421-2025</t>
        </is>
      </c>
      <c r="B396" s="1" t="n">
        <v>45944.66049768519</v>
      </c>
      <c r="C396" s="1" t="n">
        <v>46070</v>
      </c>
      <c r="D396" t="inlineStr">
        <is>
          <t>GOTLANDS LÄN</t>
        </is>
      </c>
      <c r="E396" t="inlineStr">
        <is>
          <t>GOTLAND</t>
        </is>
      </c>
      <c r="G396" t="n">
        <v>3.9</v>
      </c>
      <c r="H396" t="n">
        <v>0</v>
      </c>
      <c r="I396" t="n">
        <v>0</v>
      </c>
      <c r="J396" t="n">
        <v>0</v>
      </c>
      <c r="K396" t="n">
        <v>0</v>
      </c>
      <c r="L396" t="n">
        <v>0</v>
      </c>
      <c r="M396" t="n">
        <v>0</v>
      </c>
      <c r="N396" t="n">
        <v>0</v>
      </c>
      <c r="O396" t="n">
        <v>0</v>
      </c>
      <c r="P396" t="n">
        <v>0</v>
      </c>
      <c r="Q396" t="n">
        <v>0</v>
      </c>
      <c r="R396" s="2" t="inlineStr"/>
    </row>
    <row r="397" ht="15" customHeight="1">
      <c r="A397" t="inlineStr">
        <is>
          <t>A 50431-2025</t>
        </is>
      </c>
      <c r="B397" s="1" t="n">
        <v>45944.68453703704</v>
      </c>
      <c r="C397" s="1" t="n">
        <v>46070</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13037-2025</t>
        </is>
      </c>
      <c r="B398" s="1" t="n">
        <v>45734</v>
      </c>
      <c r="C398" s="1" t="n">
        <v>46070</v>
      </c>
      <c r="D398" t="inlineStr">
        <is>
          <t>GOTLANDS LÄN</t>
        </is>
      </c>
      <c r="E398" t="inlineStr">
        <is>
          <t>GOTLAND</t>
        </is>
      </c>
      <c r="G398" t="n">
        <v>9.5</v>
      </c>
      <c r="H398" t="n">
        <v>0</v>
      </c>
      <c r="I398" t="n">
        <v>0</v>
      </c>
      <c r="J398" t="n">
        <v>0</v>
      </c>
      <c r="K398" t="n">
        <v>0</v>
      </c>
      <c r="L398" t="n">
        <v>0</v>
      </c>
      <c r="M398" t="n">
        <v>0</v>
      </c>
      <c r="N398" t="n">
        <v>0</v>
      </c>
      <c r="O398" t="n">
        <v>0</v>
      </c>
      <c r="P398" t="n">
        <v>0</v>
      </c>
      <c r="Q398" t="n">
        <v>0</v>
      </c>
      <c r="R398" s="2" t="inlineStr"/>
    </row>
    <row r="399" ht="15" customHeight="1">
      <c r="A399" t="inlineStr">
        <is>
          <t>A 6218-2026</t>
        </is>
      </c>
      <c r="B399" s="1" t="n">
        <v>46055.42859953704</v>
      </c>
      <c r="C399" s="1" t="n">
        <v>46070</v>
      </c>
      <c r="D399" t="inlineStr">
        <is>
          <t>GOTLANDS LÄN</t>
        </is>
      </c>
      <c r="E399" t="inlineStr">
        <is>
          <t>GOTLAND</t>
        </is>
      </c>
      <c r="G399" t="n">
        <v>4.3</v>
      </c>
      <c r="H399" t="n">
        <v>0</v>
      </c>
      <c r="I399" t="n">
        <v>0</v>
      </c>
      <c r="J399" t="n">
        <v>0</v>
      </c>
      <c r="K399" t="n">
        <v>0</v>
      </c>
      <c r="L399" t="n">
        <v>0</v>
      </c>
      <c r="M399" t="n">
        <v>0</v>
      </c>
      <c r="N399" t="n">
        <v>0</v>
      </c>
      <c r="O399" t="n">
        <v>0</v>
      </c>
      <c r="P399" t="n">
        <v>0</v>
      </c>
      <c r="Q399" t="n">
        <v>0</v>
      </c>
      <c r="R399" s="2" t="inlineStr"/>
    </row>
    <row r="400" ht="15" customHeight="1">
      <c r="A400" t="inlineStr">
        <is>
          <t>A 6960-2026</t>
        </is>
      </c>
      <c r="B400" s="1" t="n">
        <v>46057.58105324074</v>
      </c>
      <c r="C400" s="1" t="n">
        <v>46070</v>
      </c>
      <c r="D400" t="inlineStr">
        <is>
          <t>GOTLANDS LÄN</t>
        </is>
      </c>
      <c r="E400" t="inlineStr">
        <is>
          <t>GOTLAND</t>
        </is>
      </c>
      <c r="F400" t="inlineStr">
        <is>
          <t>Kyrkan</t>
        </is>
      </c>
      <c r="G400" t="n">
        <v>2.4</v>
      </c>
      <c r="H400" t="n">
        <v>0</v>
      </c>
      <c r="I400" t="n">
        <v>0</v>
      </c>
      <c r="J400" t="n">
        <v>0</v>
      </c>
      <c r="K400" t="n">
        <v>0</v>
      </c>
      <c r="L400" t="n">
        <v>0</v>
      </c>
      <c r="M400" t="n">
        <v>0</v>
      </c>
      <c r="N400" t="n">
        <v>0</v>
      </c>
      <c r="O400" t="n">
        <v>0</v>
      </c>
      <c r="P400" t="n">
        <v>0</v>
      </c>
      <c r="Q400" t="n">
        <v>0</v>
      </c>
      <c r="R400" s="2" t="inlineStr"/>
    </row>
    <row r="401" ht="15" customHeight="1">
      <c r="A401" t="inlineStr">
        <is>
          <t>A 50928-2025</t>
        </is>
      </c>
      <c r="B401" s="1" t="n">
        <v>45946.67896990741</v>
      </c>
      <c r="C401" s="1" t="n">
        <v>46070</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51262-2025</t>
        </is>
      </c>
      <c r="B402" s="1" t="n">
        <v>45949.49872685185</v>
      </c>
      <c r="C402" s="1" t="n">
        <v>46070</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30489-2025</t>
        </is>
      </c>
      <c r="B403" s="1" t="n">
        <v>45830</v>
      </c>
      <c r="C403" s="1" t="n">
        <v>46070</v>
      </c>
      <c r="D403" t="inlineStr">
        <is>
          <t>GOTLANDS LÄN</t>
        </is>
      </c>
      <c r="E403" t="inlineStr">
        <is>
          <t>GOTLAND</t>
        </is>
      </c>
      <c r="G403" t="n">
        <v>4.6</v>
      </c>
      <c r="H403" t="n">
        <v>0</v>
      </c>
      <c r="I403" t="n">
        <v>0</v>
      </c>
      <c r="J403" t="n">
        <v>0</v>
      </c>
      <c r="K403" t="n">
        <v>0</v>
      </c>
      <c r="L403" t="n">
        <v>0</v>
      </c>
      <c r="M403" t="n">
        <v>0</v>
      </c>
      <c r="N403" t="n">
        <v>0</v>
      </c>
      <c r="O403" t="n">
        <v>0</v>
      </c>
      <c r="P403" t="n">
        <v>0</v>
      </c>
      <c r="Q403" t="n">
        <v>0</v>
      </c>
      <c r="R403" s="2" t="inlineStr"/>
    </row>
    <row r="404" ht="15" customHeight="1">
      <c r="A404" t="inlineStr">
        <is>
          <t>A 21142-2025</t>
        </is>
      </c>
      <c r="B404" s="1" t="n">
        <v>45779</v>
      </c>
      <c r="C404" s="1" t="n">
        <v>46070</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6108-2025</t>
        </is>
      </c>
      <c r="B405" s="1" t="n">
        <v>45698.29880787037</v>
      </c>
      <c r="C405" s="1" t="n">
        <v>46070</v>
      </c>
      <c r="D405" t="inlineStr">
        <is>
          <t>GOTLANDS LÄN</t>
        </is>
      </c>
      <c r="E405" t="inlineStr">
        <is>
          <t>GOTLAND</t>
        </is>
      </c>
      <c r="G405" t="n">
        <v>2.8</v>
      </c>
      <c r="H405" t="n">
        <v>0</v>
      </c>
      <c r="I405" t="n">
        <v>0</v>
      </c>
      <c r="J405" t="n">
        <v>0</v>
      </c>
      <c r="K405" t="n">
        <v>0</v>
      </c>
      <c r="L405" t="n">
        <v>0</v>
      </c>
      <c r="M405" t="n">
        <v>0</v>
      </c>
      <c r="N405" t="n">
        <v>0</v>
      </c>
      <c r="O405" t="n">
        <v>0</v>
      </c>
      <c r="P405" t="n">
        <v>0</v>
      </c>
      <c r="Q405" t="n">
        <v>0</v>
      </c>
      <c r="R405" s="2" t="inlineStr"/>
    </row>
    <row r="406" ht="15" customHeight="1">
      <c r="A406" t="inlineStr">
        <is>
          <t>A 17343-2025</t>
        </is>
      </c>
      <c r="B406" s="1" t="n">
        <v>45756.6687037037</v>
      </c>
      <c r="C406" s="1" t="n">
        <v>46070</v>
      </c>
      <c r="D406" t="inlineStr">
        <is>
          <t>GOTLANDS LÄN</t>
        </is>
      </c>
      <c r="E406" t="inlineStr">
        <is>
          <t>GOTLAND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18938-2025</t>
        </is>
      </c>
      <c r="B407" s="1" t="n">
        <v>45764.49172453704</v>
      </c>
      <c r="C407" s="1" t="n">
        <v>46070</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20307-2025</t>
        </is>
      </c>
      <c r="B408" s="1" t="n">
        <v>45774.95546296296</v>
      </c>
      <c r="C408" s="1" t="n">
        <v>46070</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10746-2025</t>
        </is>
      </c>
      <c r="B409" s="1" t="n">
        <v>45722.42766203704</v>
      </c>
      <c r="C409" s="1" t="n">
        <v>46070</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52249-2025</t>
        </is>
      </c>
      <c r="B410" s="1" t="n">
        <v>45953.48637731482</v>
      </c>
      <c r="C410" s="1" t="n">
        <v>46070</v>
      </c>
      <c r="D410" t="inlineStr">
        <is>
          <t>GOTLANDS LÄN</t>
        </is>
      </c>
      <c r="E410" t="inlineStr">
        <is>
          <t>GOTLAND</t>
        </is>
      </c>
      <c r="F410" t="inlineStr">
        <is>
          <t>Övriga Aktiebolag</t>
        </is>
      </c>
      <c r="G410" t="n">
        <v>1</v>
      </c>
      <c r="H410" t="n">
        <v>0</v>
      </c>
      <c r="I410" t="n">
        <v>0</v>
      </c>
      <c r="J410" t="n">
        <v>0</v>
      </c>
      <c r="K410" t="n">
        <v>0</v>
      </c>
      <c r="L410" t="n">
        <v>0</v>
      </c>
      <c r="M410" t="n">
        <v>0</v>
      </c>
      <c r="N410" t="n">
        <v>0</v>
      </c>
      <c r="O410" t="n">
        <v>0</v>
      </c>
      <c r="P410" t="n">
        <v>0</v>
      </c>
      <c r="Q410" t="n">
        <v>0</v>
      </c>
      <c r="R410" s="2" t="inlineStr"/>
    </row>
    <row r="411" ht="15" customHeight="1">
      <c r="A411" t="inlineStr">
        <is>
          <t>A 52637-2025</t>
        </is>
      </c>
      <c r="B411" s="1" t="n">
        <v>45954.75099537037</v>
      </c>
      <c r="C411" s="1" t="n">
        <v>46070</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54584-2025</t>
        </is>
      </c>
      <c r="B412" s="1" t="n">
        <v>45965.71788194445</v>
      </c>
      <c r="C412" s="1" t="n">
        <v>46070</v>
      </c>
      <c r="D412" t="inlineStr">
        <is>
          <t>GOTLANDS LÄN</t>
        </is>
      </c>
      <c r="E412" t="inlineStr">
        <is>
          <t>GOTLAND</t>
        </is>
      </c>
      <c r="G412" t="n">
        <v>3.5</v>
      </c>
      <c r="H412" t="n">
        <v>0</v>
      </c>
      <c r="I412" t="n">
        <v>0</v>
      </c>
      <c r="J412" t="n">
        <v>0</v>
      </c>
      <c r="K412" t="n">
        <v>0</v>
      </c>
      <c r="L412" t="n">
        <v>0</v>
      </c>
      <c r="M412" t="n">
        <v>0</v>
      </c>
      <c r="N412" t="n">
        <v>0</v>
      </c>
      <c r="O412" t="n">
        <v>0</v>
      </c>
      <c r="P412" t="n">
        <v>0</v>
      </c>
      <c r="Q412" t="n">
        <v>0</v>
      </c>
      <c r="R412" s="2" t="inlineStr"/>
    </row>
    <row r="413" ht="15" customHeight="1">
      <c r="A413" t="inlineStr">
        <is>
          <t>A 18993-2025</t>
        </is>
      </c>
      <c r="B413" s="1" t="n">
        <v>45764</v>
      </c>
      <c r="C413" s="1" t="n">
        <v>46070</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30135-2025</t>
        </is>
      </c>
      <c r="B414" s="1" t="n">
        <v>45826</v>
      </c>
      <c r="C414" s="1" t="n">
        <v>46070</v>
      </c>
      <c r="D414" t="inlineStr">
        <is>
          <t>GOTLANDS LÄN</t>
        </is>
      </c>
      <c r="E414" t="inlineStr">
        <is>
          <t>GOTLAND</t>
        </is>
      </c>
      <c r="G414" t="n">
        <v>2.7</v>
      </c>
      <c r="H414" t="n">
        <v>0</v>
      </c>
      <c r="I414" t="n">
        <v>0</v>
      </c>
      <c r="J414" t="n">
        <v>0</v>
      </c>
      <c r="K414" t="n">
        <v>0</v>
      </c>
      <c r="L414" t="n">
        <v>0</v>
      </c>
      <c r="M414" t="n">
        <v>0</v>
      </c>
      <c r="N414" t="n">
        <v>0</v>
      </c>
      <c r="O414" t="n">
        <v>0</v>
      </c>
      <c r="P414" t="n">
        <v>0</v>
      </c>
      <c r="Q414" t="n">
        <v>0</v>
      </c>
      <c r="R414" s="2" t="inlineStr"/>
    </row>
    <row r="415" ht="15" customHeight="1">
      <c r="A415" t="inlineStr">
        <is>
          <t>A 6959-2026</t>
        </is>
      </c>
      <c r="B415" s="1" t="n">
        <v>46057.580625</v>
      </c>
      <c r="C415" s="1" t="n">
        <v>46070</v>
      </c>
      <c r="D415" t="inlineStr">
        <is>
          <t>GOTLANDS LÄN</t>
        </is>
      </c>
      <c r="E415" t="inlineStr">
        <is>
          <t>GOTLAND</t>
        </is>
      </c>
      <c r="F415" t="inlineStr">
        <is>
          <t>Kyrkan</t>
        </is>
      </c>
      <c r="G415" t="n">
        <v>1.2</v>
      </c>
      <c r="H415" t="n">
        <v>0</v>
      </c>
      <c r="I415" t="n">
        <v>0</v>
      </c>
      <c r="J415" t="n">
        <v>0</v>
      </c>
      <c r="K415" t="n">
        <v>0</v>
      </c>
      <c r="L415" t="n">
        <v>0</v>
      </c>
      <c r="M415" t="n">
        <v>0</v>
      </c>
      <c r="N415" t="n">
        <v>0</v>
      </c>
      <c r="O415" t="n">
        <v>0</v>
      </c>
      <c r="P415" t="n">
        <v>0</v>
      </c>
      <c r="Q415" t="n">
        <v>0</v>
      </c>
      <c r="R415" s="2" t="inlineStr"/>
    </row>
    <row r="416" ht="15" customHeight="1">
      <c r="A416" t="inlineStr">
        <is>
          <t>A 43229-2023</t>
        </is>
      </c>
      <c r="B416" s="1" t="n">
        <v>45183.46704861111</v>
      </c>
      <c r="C416" s="1" t="n">
        <v>46070</v>
      </c>
      <c r="D416" t="inlineStr">
        <is>
          <t>GOTLANDS LÄN</t>
        </is>
      </c>
      <c r="E416" t="inlineStr">
        <is>
          <t>GOTLAND</t>
        </is>
      </c>
      <c r="G416" t="n">
        <v>7.1</v>
      </c>
      <c r="H416" t="n">
        <v>0</v>
      </c>
      <c r="I416" t="n">
        <v>0</v>
      </c>
      <c r="J416" t="n">
        <v>0</v>
      </c>
      <c r="K416" t="n">
        <v>0</v>
      </c>
      <c r="L416" t="n">
        <v>0</v>
      </c>
      <c r="M416" t="n">
        <v>0</v>
      </c>
      <c r="N416" t="n">
        <v>0</v>
      </c>
      <c r="O416" t="n">
        <v>0</v>
      </c>
      <c r="P416" t="n">
        <v>0</v>
      </c>
      <c r="Q416" t="n">
        <v>0</v>
      </c>
      <c r="R416" s="2" t="inlineStr"/>
    </row>
    <row r="417" ht="15" customHeight="1">
      <c r="A417" t="inlineStr">
        <is>
          <t>A 12599-2025</t>
        </is>
      </c>
      <c r="B417" s="1" t="n">
        <v>45733.29546296296</v>
      </c>
      <c r="C417" s="1" t="n">
        <v>46070</v>
      </c>
      <c r="D417" t="inlineStr">
        <is>
          <t>GOTLANDS LÄN</t>
        </is>
      </c>
      <c r="E417" t="inlineStr">
        <is>
          <t>GOTLAND</t>
        </is>
      </c>
      <c r="G417" t="n">
        <v>4.7</v>
      </c>
      <c r="H417" t="n">
        <v>0</v>
      </c>
      <c r="I417" t="n">
        <v>0</v>
      </c>
      <c r="J417" t="n">
        <v>0</v>
      </c>
      <c r="K417" t="n">
        <v>0</v>
      </c>
      <c r="L417" t="n">
        <v>0</v>
      </c>
      <c r="M417" t="n">
        <v>0</v>
      </c>
      <c r="N417" t="n">
        <v>0</v>
      </c>
      <c r="O417" t="n">
        <v>0</v>
      </c>
      <c r="P417" t="n">
        <v>0</v>
      </c>
      <c r="Q417" t="n">
        <v>0</v>
      </c>
      <c r="R417" s="2" t="inlineStr"/>
    </row>
    <row r="418" ht="15" customHeight="1">
      <c r="A418" t="inlineStr">
        <is>
          <t>A 38649-2025</t>
        </is>
      </c>
      <c r="B418" s="1" t="n">
        <v>45884</v>
      </c>
      <c r="C418" s="1" t="n">
        <v>46070</v>
      </c>
      <c r="D418" t="inlineStr">
        <is>
          <t>GOTLANDS LÄN</t>
        </is>
      </c>
      <c r="E418" t="inlineStr">
        <is>
          <t>GOTLAND</t>
        </is>
      </c>
      <c r="G418" t="n">
        <v>1.5</v>
      </c>
      <c r="H418" t="n">
        <v>0</v>
      </c>
      <c r="I418" t="n">
        <v>0</v>
      </c>
      <c r="J418" t="n">
        <v>0</v>
      </c>
      <c r="K418" t="n">
        <v>0</v>
      </c>
      <c r="L418" t="n">
        <v>0</v>
      </c>
      <c r="M418" t="n">
        <v>0</v>
      </c>
      <c r="N418" t="n">
        <v>0</v>
      </c>
      <c r="O418" t="n">
        <v>0</v>
      </c>
      <c r="P418" t="n">
        <v>0</v>
      </c>
      <c r="Q418" t="n">
        <v>0</v>
      </c>
      <c r="R418" s="2" t="inlineStr"/>
    </row>
    <row r="419" ht="15" customHeight="1">
      <c r="A419" t="inlineStr">
        <is>
          <t>A 53577-2025</t>
        </is>
      </c>
      <c r="B419" s="1" t="n">
        <v>45960.42224537037</v>
      </c>
      <c r="C419" s="1" t="n">
        <v>46070</v>
      </c>
      <c r="D419" t="inlineStr">
        <is>
          <t>GOTLANDS LÄN</t>
        </is>
      </c>
      <c r="E419" t="inlineStr">
        <is>
          <t>GOTLAND</t>
        </is>
      </c>
      <c r="F419" t="inlineStr">
        <is>
          <t>Övriga Aktiebolag</t>
        </is>
      </c>
      <c r="G419" t="n">
        <v>3.3</v>
      </c>
      <c r="H419" t="n">
        <v>0</v>
      </c>
      <c r="I419" t="n">
        <v>0</v>
      </c>
      <c r="J419" t="n">
        <v>0</v>
      </c>
      <c r="K419" t="n">
        <v>0</v>
      </c>
      <c r="L419" t="n">
        <v>0</v>
      </c>
      <c r="M419" t="n">
        <v>0</v>
      </c>
      <c r="N419" t="n">
        <v>0</v>
      </c>
      <c r="O419" t="n">
        <v>0</v>
      </c>
      <c r="P419" t="n">
        <v>0</v>
      </c>
      <c r="Q419" t="n">
        <v>0</v>
      </c>
      <c r="R419" s="2" t="inlineStr"/>
    </row>
    <row r="420" ht="15" customHeight="1">
      <c r="A420" t="inlineStr">
        <is>
          <t>A 41038-2023</t>
        </is>
      </c>
      <c r="B420" s="1" t="n">
        <v>45173.60959490741</v>
      </c>
      <c r="C420" s="1" t="n">
        <v>46070</v>
      </c>
      <c r="D420" t="inlineStr">
        <is>
          <t>GOTLANDS LÄN</t>
        </is>
      </c>
      <c r="E420" t="inlineStr">
        <is>
          <t>GOTLAND</t>
        </is>
      </c>
      <c r="G420" t="n">
        <v>2.7</v>
      </c>
      <c r="H420" t="n">
        <v>0</v>
      </c>
      <c r="I420" t="n">
        <v>0</v>
      </c>
      <c r="J420" t="n">
        <v>0</v>
      </c>
      <c r="K420" t="n">
        <v>0</v>
      </c>
      <c r="L420" t="n">
        <v>0</v>
      </c>
      <c r="M420" t="n">
        <v>0</v>
      </c>
      <c r="N420" t="n">
        <v>0</v>
      </c>
      <c r="O420" t="n">
        <v>0</v>
      </c>
      <c r="P420" t="n">
        <v>0</v>
      </c>
      <c r="Q420" t="n">
        <v>0</v>
      </c>
      <c r="R420" s="2" t="inlineStr"/>
    </row>
    <row r="421" ht="15" customHeight="1">
      <c r="A421" t="inlineStr">
        <is>
          <t>A 53569-2025</t>
        </is>
      </c>
      <c r="B421" s="1" t="n">
        <v>45960.41155092593</v>
      </c>
      <c r="C421" s="1" t="n">
        <v>46070</v>
      </c>
      <c r="D421" t="inlineStr">
        <is>
          <t>GOTLANDS LÄN</t>
        </is>
      </c>
      <c r="E421" t="inlineStr">
        <is>
          <t>GOTLAND</t>
        </is>
      </c>
      <c r="F421" t="inlineStr">
        <is>
          <t>Övriga Aktiebolag</t>
        </is>
      </c>
      <c r="G421" t="n">
        <v>11.3</v>
      </c>
      <c r="H421" t="n">
        <v>0</v>
      </c>
      <c r="I421" t="n">
        <v>0</v>
      </c>
      <c r="J421" t="n">
        <v>0</v>
      </c>
      <c r="K421" t="n">
        <v>0</v>
      </c>
      <c r="L421" t="n">
        <v>0</v>
      </c>
      <c r="M421" t="n">
        <v>0</v>
      </c>
      <c r="N421" t="n">
        <v>0</v>
      </c>
      <c r="O421" t="n">
        <v>0</v>
      </c>
      <c r="P421" t="n">
        <v>0</v>
      </c>
      <c r="Q421" t="n">
        <v>0</v>
      </c>
      <c r="R421" s="2" t="inlineStr"/>
    </row>
    <row r="422" ht="15" customHeight="1">
      <c r="A422" t="inlineStr">
        <is>
          <t>A 24966-2023</t>
        </is>
      </c>
      <c r="B422" s="1" t="n">
        <v>45085</v>
      </c>
      <c r="C422" s="1" t="n">
        <v>46070</v>
      </c>
      <c r="D422" t="inlineStr">
        <is>
          <t>GOTLANDS LÄN</t>
        </is>
      </c>
      <c r="E422" t="inlineStr">
        <is>
          <t>GOTLAND</t>
        </is>
      </c>
      <c r="G422" t="n">
        <v>7</v>
      </c>
      <c r="H422" t="n">
        <v>0</v>
      </c>
      <c r="I422" t="n">
        <v>0</v>
      </c>
      <c r="J422" t="n">
        <v>0</v>
      </c>
      <c r="K422" t="n">
        <v>0</v>
      </c>
      <c r="L422" t="n">
        <v>0</v>
      </c>
      <c r="M422" t="n">
        <v>0</v>
      </c>
      <c r="N422" t="n">
        <v>0</v>
      </c>
      <c r="O422" t="n">
        <v>0</v>
      </c>
      <c r="P422" t="n">
        <v>0</v>
      </c>
      <c r="Q422" t="n">
        <v>0</v>
      </c>
      <c r="R422" s="2" t="inlineStr"/>
    </row>
    <row r="423" ht="15" customHeight="1">
      <c r="A423" t="inlineStr">
        <is>
          <t>A 57652-2023</t>
        </is>
      </c>
      <c r="B423" s="1" t="n">
        <v>45246</v>
      </c>
      <c r="C423" s="1" t="n">
        <v>46070</v>
      </c>
      <c r="D423" t="inlineStr">
        <is>
          <t>GOTLANDS LÄN</t>
        </is>
      </c>
      <c r="E423" t="inlineStr">
        <is>
          <t>GOTLAND</t>
        </is>
      </c>
      <c r="G423" t="n">
        <v>7.2</v>
      </c>
      <c r="H423" t="n">
        <v>0</v>
      </c>
      <c r="I423" t="n">
        <v>0</v>
      </c>
      <c r="J423" t="n">
        <v>0</v>
      </c>
      <c r="K423" t="n">
        <v>0</v>
      </c>
      <c r="L423" t="n">
        <v>0</v>
      </c>
      <c r="M423" t="n">
        <v>0</v>
      </c>
      <c r="N423" t="n">
        <v>0</v>
      </c>
      <c r="O423" t="n">
        <v>0</v>
      </c>
      <c r="P423" t="n">
        <v>0</v>
      </c>
      <c r="Q423" t="n">
        <v>0</v>
      </c>
      <c r="R423" s="2" t="inlineStr"/>
    </row>
    <row r="424" ht="15" customHeight="1">
      <c r="A424" t="inlineStr">
        <is>
          <t>A 46189-2022</t>
        </is>
      </c>
      <c r="B424" s="1" t="n">
        <v>44847</v>
      </c>
      <c r="C424" s="1" t="n">
        <v>46070</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57522-2022</t>
        </is>
      </c>
      <c r="B425" s="1" t="n">
        <v>44896</v>
      </c>
      <c r="C425" s="1" t="n">
        <v>46070</v>
      </c>
      <c r="D425" t="inlineStr">
        <is>
          <t>GOTLANDS LÄN</t>
        </is>
      </c>
      <c r="E425" t="inlineStr">
        <is>
          <t>GOTLAND</t>
        </is>
      </c>
      <c r="G425" t="n">
        <v>2</v>
      </c>
      <c r="H425" t="n">
        <v>0</v>
      </c>
      <c r="I425" t="n">
        <v>0</v>
      </c>
      <c r="J425" t="n">
        <v>0</v>
      </c>
      <c r="K425" t="n">
        <v>0</v>
      </c>
      <c r="L425" t="n">
        <v>0</v>
      </c>
      <c r="M425" t="n">
        <v>0</v>
      </c>
      <c r="N425" t="n">
        <v>0</v>
      </c>
      <c r="O425" t="n">
        <v>0</v>
      </c>
      <c r="P425" t="n">
        <v>0</v>
      </c>
      <c r="Q425" t="n">
        <v>0</v>
      </c>
      <c r="R425" s="2" t="inlineStr"/>
    </row>
    <row r="426" ht="15" customHeight="1">
      <c r="A426" t="inlineStr">
        <is>
          <t>A 14797-2024</t>
        </is>
      </c>
      <c r="B426" s="1" t="n">
        <v>45397.87030092593</v>
      </c>
      <c r="C426" s="1" t="n">
        <v>46070</v>
      </c>
      <c r="D426" t="inlineStr">
        <is>
          <t>GOTLANDS LÄN</t>
        </is>
      </c>
      <c r="E426" t="inlineStr">
        <is>
          <t>GOTLAND</t>
        </is>
      </c>
      <c r="G426" t="n">
        <v>8.1</v>
      </c>
      <c r="H426" t="n">
        <v>0</v>
      </c>
      <c r="I426" t="n">
        <v>0</v>
      </c>
      <c r="J426" t="n">
        <v>0</v>
      </c>
      <c r="K426" t="n">
        <v>0</v>
      </c>
      <c r="L426" t="n">
        <v>0</v>
      </c>
      <c r="M426" t="n">
        <v>0</v>
      </c>
      <c r="N426" t="n">
        <v>0</v>
      </c>
      <c r="O426" t="n">
        <v>0</v>
      </c>
      <c r="P426" t="n">
        <v>0</v>
      </c>
      <c r="Q426" t="n">
        <v>0</v>
      </c>
      <c r="R426" s="2" t="inlineStr"/>
    </row>
    <row r="427" ht="15" customHeight="1">
      <c r="A427" t="inlineStr">
        <is>
          <t>A 7625-2026</t>
        </is>
      </c>
      <c r="B427" s="1" t="n">
        <v>46062.35135416667</v>
      </c>
      <c r="C427" s="1" t="n">
        <v>46070</v>
      </c>
      <c r="D427" t="inlineStr">
        <is>
          <t>GOTLANDS LÄN</t>
        </is>
      </c>
      <c r="E427" t="inlineStr">
        <is>
          <t>GOTLAND</t>
        </is>
      </c>
      <c r="G427" t="n">
        <v>2.1</v>
      </c>
      <c r="H427" t="n">
        <v>0</v>
      </c>
      <c r="I427" t="n">
        <v>0</v>
      </c>
      <c r="J427" t="n">
        <v>0</v>
      </c>
      <c r="K427" t="n">
        <v>0</v>
      </c>
      <c r="L427" t="n">
        <v>0</v>
      </c>
      <c r="M427" t="n">
        <v>0</v>
      </c>
      <c r="N427" t="n">
        <v>0</v>
      </c>
      <c r="O427" t="n">
        <v>0</v>
      </c>
      <c r="P427" t="n">
        <v>0</v>
      </c>
      <c r="Q427" t="n">
        <v>0</v>
      </c>
      <c r="R427" s="2" t="inlineStr"/>
    </row>
    <row r="428" ht="15" customHeight="1">
      <c r="A428" t="inlineStr">
        <is>
          <t>A 7627-2026</t>
        </is>
      </c>
      <c r="B428" s="1" t="n">
        <v>46062.35465277778</v>
      </c>
      <c r="C428" s="1" t="n">
        <v>46070</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7837-2024</t>
        </is>
      </c>
      <c r="B429" s="1" t="n">
        <v>45349.83787037037</v>
      </c>
      <c r="C429" s="1" t="n">
        <v>46070</v>
      </c>
      <c r="D429" t="inlineStr">
        <is>
          <t>GOTLANDS LÄN</t>
        </is>
      </c>
      <c r="E429" t="inlineStr">
        <is>
          <t>GOTLAND</t>
        </is>
      </c>
      <c r="G429" t="n">
        <v>5</v>
      </c>
      <c r="H429" t="n">
        <v>0</v>
      </c>
      <c r="I429" t="n">
        <v>0</v>
      </c>
      <c r="J429" t="n">
        <v>0</v>
      </c>
      <c r="K429" t="n">
        <v>0</v>
      </c>
      <c r="L429" t="n">
        <v>0</v>
      </c>
      <c r="M429" t="n">
        <v>0</v>
      </c>
      <c r="N429" t="n">
        <v>0</v>
      </c>
      <c r="O429" t="n">
        <v>0</v>
      </c>
      <c r="P429" t="n">
        <v>0</v>
      </c>
      <c r="Q429" t="n">
        <v>0</v>
      </c>
      <c r="R429" s="2" t="inlineStr"/>
    </row>
    <row r="430" ht="15" customHeight="1">
      <c r="A430" t="inlineStr">
        <is>
          <t>A 61078-2025</t>
        </is>
      </c>
      <c r="B430" s="1" t="n">
        <v>46000</v>
      </c>
      <c r="C430" s="1" t="n">
        <v>46070</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1394-2023</t>
        </is>
      </c>
      <c r="B431" s="1" t="n">
        <v>44936.72997685185</v>
      </c>
      <c r="C431" s="1" t="n">
        <v>46070</v>
      </c>
      <c r="D431" t="inlineStr">
        <is>
          <t>GOTLANDS LÄN</t>
        </is>
      </c>
      <c r="E431" t="inlineStr">
        <is>
          <t>GOTLAND</t>
        </is>
      </c>
      <c r="G431" t="n">
        <v>2.1</v>
      </c>
      <c r="H431" t="n">
        <v>0</v>
      </c>
      <c r="I431" t="n">
        <v>0</v>
      </c>
      <c r="J431" t="n">
        <v>0</v>
      </c>
      <c r="K431" t="n">
        <v>0</v>
      </c>
      <c r="L431" t="n">
        <v>0</v>
      </c>
      <c r="M431" t="n">
        <v>0</v>
      </c>
      <c r="N431" t="n">
        <v>0</v>
      </c>
      <c r="O431" t="n">
        <v>0</v>
      </c>
      <c r="P431" t="n">
        <v>0</v>
      </c>
      <c r="Q431" t="n">
        <v>0</v>
      </c>
      <c r="R431" s="2" t="inlineStr"/>
    </row>
    <row r="432" ht="15" customHeight="1">
      <c r="A432" t="inlineStr">
        <is>
          <t>A 53561-2025</t>
        </is>
      </c>
      <c r="B432" s="1" t="n">
        <v>45960.4059375</v>
      </c>
      <c r="C432" s="1" t="n">
        <v>46070</v>
      </c>
      <c r="D432" t="inlineStr">
        <is>
          <t>GOTLANDS LÄN</t>
        </is>
      </c>
      <c r="E432" t="inlineStr">
        <is>
          <t>GOTLAND</t>
        </is>
      </c>
      <c r="F432" t="inlineStr">
        <is>
          <t>Övriga Aktiebolag</t>
        </is>
      </c>
      <c r="G432" t="n">
        <v>2.4</v>
      </c>
      <c r="H432" t="n">
        <v>0</v>
      </c>
      <c r="I432" t="n">
        <v>0</v>
      </c>
      <c r="J432" t="n">
        <v>0</v>
      </c>
      <c r="K432" t="n">
        <v>0</v>
      </c>
      <c r="L432" t="n">
        <v>0</v>
      </c>
      <c r="M432" t="n">
        <v>0</v>
      </c>
      <c r="N432" t="n">
        <v>0</v>
      </c>
      <c r="O432" t="n">
        <v>0</v>
      </c>
      <c r="P432" t="n">
        <v>0</v>
      </c>
      <c r="Q432" t="n">
        <v>0</v>
      </c>
      <c r="R432" s="2" t="inlineStr"/>
    </row>
    <row r="433" ht="15" customHeight="1">
      <c r="A433" t="inlineStr">
        <is>
          <t>A 2676-2023</t>
        </is>
      </c>
      <c r="B433" s="1" t="n">
        <v>44944</v>
      </c>
      <c r="C433" s="1" t="n">
        <v>46070</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4387-2023</t>
        </is>
      </c>
      <c r="B434" s="1" t="n">
        <v>44955.73359953704</v>
      </c>
      <c r="C434" s="1" t="n">
        <v>46070</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49411-2023</t>
        </is>
      </c>
      <c r="B435" s="1" t="n">
        <v>45205</v>
      </c>
      <c r="C435" s="1" t="n">
        <v>46070</v>
      </c>
      <c r="D435" t="inlineStr">
        <is>
          <t>GOTLANDS LÄN</t>
        </is>
      </c>
      <c r="E435" t="inlineStr">
        <is>
          <t>GOTLAND</t>
        </is>
      </c>
      <c r="G435" t="n">
        <v>2</v>
      </c>
      <c r="H435" t="n">
        <v>0</v>
      </c>
      <c r="I435" t="n">
        <v>0</v>
      </c>
      <c r="J435" t="n">
        <v>0</v>
      </c>
      <c r="K435" t="n">
        <v>0</v>
      </c>
      <c r="L435" t="n">
        <v>0</v>
      </c>
      <c r="M435" t="n">
        <v>0</v>
      </c>
      <c r="N435" t="n">
        <v>0</v>
      </c>
      <c r="O435" t="n">
        <v>0</v>
      </c>
      <c r="P435" t="n">
        <v>0</v>
      </c>
      <c r="Q435" t="n">
        <v>0</v>
      </c>
      <c r="R435" s="2" t="inlineStr"/>
    </row>
    <row r="436" ht="15" customHeight="1">
      <c r="A436" t="inlineStr">
        <is>
          <t>A 56688-2025</t>
        </is>
      </c>
      <c r="B436" s="1" t="n">
        <v>45975.84331018518</v>
      </c>
      <c r="C436" s="1" t="n">
        <v>46070</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37728-2024</t>
        </is>
      </c>
      <c r="B437" s="1" t="n">
        <v>45541</v>
      </c>
      <c r="C437" s="1" t="n">
        <v>46070</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63105-2025</t>
        </is>
      </c>
      <c r="B438" s="1" t="n">
        <v>46009</v>
      </c>
      <c r="C438" s="1" t="n">
        <v>46070</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56799-2025</t>
        </is>
      </c>
      <c r="B439" s="1" t="n">
        <v>45978.43392361111</v>
      </c>
      <c r="C439" s="1" t="n">
        <v>46070</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2241-2025</t>
        </is>
      </c>
      <c r="B440" s="1" t="n">
        <v>45673.48710648148</v>
      </c>
      <c r="C440" s="1" t="n">
        <v>46070</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62836-2025</t>
        </is>
      </c>
      <c r="B441" s="1" t="n">
        <v>46008</v>
      </c>
      <c r="C441" s="1" t="n">
        <v>46070</v>
      </c>
      <c r="D441" t="inlineStr">
        <is>
          <t>GOTLANDS LÄN</t>
        </is>
      </c>
      <c r="E441" t="inlineStr">
        <is>
          <t>GOTLAND</t>
        </is>
      </c>
      <c r="G441" t="n">
        <v>6.5</v>
      </c>
      <c r="H441" t="n">
        <v>0</v>
      </c>
      <c r="I441" t="n">
        <v>0</v>
      </c>
      <c r="J441" t="n">
        <v>0</v>
      </c>
      <c r="K441" t="n">
        <v>0</v>
      </c>
      <c r="L441" t="n">
        <v>0</v>
      </c>
      <c r="M441" t="n">
        <v>0</v>
      </c>
      <c r="N441" t="n">
        <v>0</v>
      </c>
      <c r="O441" t="n">
        <v>0</v>
      </c>
      <c r="P441" t="n">
        <v>0</v>
      </c>
      <c r="Q441" t="n">
        <v>0</v>
      </c>
      <c r="R441" s="2" t="inlineStr"/>
    </row>
    <row r="442" ht="15" customHeight="1">
      <c r="A442" t="inlineStr">
        <is>
          <t>A 53587-2025</t>
        </is>
      </c>
      <c r="B442" s="1" t="n">
        <v>45960.43681712963</v>
      </c>
      <c r="C442" s="1" t="n">
        <v>46070</v>
      </c>
      <c r="D442" t="inlineStr">
        <is>
          <t>GOTLANDS LÄN</t>
        </is>
      </c>
      <c r="E442" t="inlineStr">
        <is>
          <t>GOTLAND</t>
        </is>
      </c>
      <c r="F442" t="inlineStr">
        <is>
          <t>Övriga Aktiebolag</t>
        </is>
      </c>
      <c r="G442" t="n">
        <v>1.7</v>
      </c>
      <c r="H442" t="n">
        <v>0</v>
      </c>
      <c r="I442" t="n">
        <v>0</v>
      </c>
      <c r="J442" t="n">
        <v>0</v>
      </c>
      <c r="K442" t="n">
        <v>0</v>
      </c>
      <c r="L442" t="n">
        <v>0</v>
      </c>
      <c r="M442" t="n">
        <v>0</v>
      </c>
      <c r="N442" t="n">
        <v>0</v>
      </c>
      <c r="O442" t="n">
        <v>0</v>
      </c>
      <c r="P442" t="n">
        <v>0</v>
      </c>
      <c r="Q442" t="n">
        <v>0</v>
      </c>
      <c r="R442" s="2" t="inlineStr"/>
    </row>
    <row r="443" ht="15" customHeight="1">
      <c r="A443" t="inlineStr">
        <is>
          <t>A 61080-2025</t>
        </is>
      </c>
      <c r="B443" s="1" t="n">
        <v>46000</v>
      </c>
      <c r="C443" s="1" t="n">
        <v>46070</v>
      </c>
      <c r="D443" t="inlineStr">
        <is>
          <t>GOTLANDS LÄN</t>
        </is>
      </c>
      <c r="E443" t="inlineStr">
        <is>
          <t>GOTLAND</t>
        </is>
      </c>
      <c r="G443" t="n">
        <v>2.3</v>
      </c>
      <c r="H443" t="n">
        <v>0</v>
      </c>
      <c r="I443" t="n">
        <v>0</v>
      </c>
      <c r="J443" t="n">
        <v>0</v>
      </c>
      <c r="K443" t="n">
        <v>0</v>
      </c>
      <c r="L443" t="n">
        <v>0</v>
      </c>
      <c r="M443" t="n">
        <v>0</v>
      </c>
      <c r="N443" t="n">
        <v>0</v>
      </c>
      <c r="O443" t="n">
        <v>0</v>
      </c>
      <c r="P443" t="n">
        <v>0</v>
      </c>
      <c r="Q443" t="n">
        <v>0</v>
      </c>
      <c r="R443" s="2" t="inlineStr"/>
    </row>
    <row r="444" ht="15" customHeight="1">
      <c r="A444" t="inlineStr">
        <is>
          <t>A 22275-2023</t>
        </is>
      </c>
      <c r="B444" s="1" t="n">
        <v>45070.39875</v>
      </c>
      <c r="C444" s="1" t="n">
        <v>46070</v>
      </c>
      <c r="D444" t="inlineStr">
        <is>
          <t>GOTLANDS LÄN</t>
        </is>
      </c>
      <c r="E444" t="inlineStr">
        <is>
          <t>GOTLAND</t>
        </is>
      </c>
      <c r="G444" t="n">
        <v>7.2</v>
      </c>
      <c r="H444" t="n">
        <v>0</v>
      </c>
      <c r="I444" t="n">
        <v>0</v>
      </c>
      <c r="J444" t="n">
        <v>0</v>
      </c>
      <c r="K444" t="n">
        <v>0</v>
      </c>
      <c r="L444" t="n">
        <v>0</v>
      </c>
      <c r="M444" t="n">
        <v>0</v>
      </c>
      <c r="N444" t="n">
        <v>0</v>
      </c>
      <c r="O444" t="n">
        <v>0</v>
      </c>
      <c r="P444" t="n">
        <v>0</v>
      </c>
      <c r="Q444" t="n">
        <v>0</v>
      </c>
      <c r="R444" s="2" t="inlineStr"/>
    </row>
    <row r="445" ht="15" customHeight="1">
      <c r="A445" t="inlineStr">
        <is>
          <t>A 14635-2023</t>
        </is>
      </c>
      <c r="B445" s="1" t="n">
        <v>45013.69365740741</v>
      </c>
      <c r="C445" s="1" t="n">
        <v>46070</v>
      </c>
      <c r="D445" t="inlineStr">
        <is>
          <t>GOTLANDS LÄN</t>
        </is>
      </c>
      <c r="E445" t="inlineStr">
        <is>
          <t>GOTLAND</t>
        </is>
      </c>
      <c r="G445" t="n">
        <v>3.1</v>
      </c>
      <c r="H445" t="n">
        <v>0</v>
      </c>
      <c r="I445" t="n">
        <v>0</v>
      </c>
      <c r="J445" t="n">
        <v>0</v>
      </c>
      <c r="K445" t="n">
        <v>0</v>
      </c>
      <c r="L445" t="n">
        <v>0</v>
      </c>
      <c r="M445" t="n">
        <v>0</v>
      </c>
      <c r="N445" t="n">
        <v>0</v>
      </c>
      <c r="O445" t="n">
        <v>0</v>
      </c>
      <c r="P445" t="n">
        <v>0</v>
      </c>
      <c r="Q445" t="n">
        <v>0</v>
      </c>
      <c r="R445" s="2" t="inlineStr"/>
    </row>
    <row r="446" ht="15" customHeight="1">
      <c r="A446" t="inlineStr">
        <is>
          <t>A 63763-2023</t>
        </is>
      </c>
      <c r="B446" s="1" t="n">
        <v>45278.33944444444</v>
      </c>
      <c r="C446" s="1" t="n">
        <v>46070</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7635-2025</t>
        </is>
      </c>
      <c r="B447" s="1" t="n">
        <v>45705</v>
      </c>
      <c r="C447" s="1" t="n">
        <v>46070</v>
      </c>
      <c r="D447" t="inlineStr">
        <is>
          <t>GOTLANDS LÄN</t>
        </is>
      </c>
      <c r="E447" t="inlineStr">
        <is>
          <t>GOTLAND</t>
        </is>
      </c>
      <c r="G447" t="n">
        <v>0.9</v>
      </c>
      <c r="H447" t="n">
        <v>0</v>
      </c>
      <c r="I447" t="n">
        <v>0</v>
      </c>
      <c r="J447" t="n">
        <v>0</v>
      </c>
      <c r="K447" t="n">
        <v>0</v>
      </c>
      <c r="L447" t="n">
        <v>0</v>
      </c>
      <c r="M447" t="n">
        <v>0</v>
      </c>
      <c r="N447" t="n">
        <v>0</v>
      </c>
      <c r="O447" t="n">
        <v>0</v>
      </c>
      <c r="P447" t="n">
        <v>0</v>
      </c>
      <c r="Q447" t="n">
        <v>0</v>
      </c>
      <c r="R447" s="2" t="inlineStr"/>
    </row>
    <row r="448" ht="15" customHeight="1">
      <c r="A448" t="inlineStr">
        <is>
          <t>A 7636-2025</t>
        </is>
      </c>
      <c r="B448" s="1" t="n">
        <v>45705.7687962963</v>
      </c>
      <c r="C448" s="1" t="n">
        <v>46070</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7639-2025</t>
        </is>
      </c>
      <c r="B449" s="1" t="n">
        <v>45705.77465277778</v>
      </c>
      <c r="C449" s="1" t="n">
        <v>46070</v>
      </c>
      <c r="D449" t="inlineStr">
        <is>
          <t>GOTLANDS LÄN</t>
        </is>
      </c>
      <c r="E449" t="inlineStr">
        <is>
          <t>GOTLAND</t>
        </is>
      </c>
      <c r="G449" t="n">
        <v>1</v>
      </c>
      <c r="H449" t="n">
        <v>0</v>
      </c>
      <c r="I449" t="n">
        <v>0</v>
      </c>
      <c r="J449" t="n">
        <v>0</v>
      </c>
      <c r="K449" t="n">
        <v>0</v>
      </c>
      <c r="L449" t="n">
        <v>0</v>
      </c>
      <c r="M449" t="n">
        <v>0</v>
      </c>
      <c r="N449" t="n">
        <v>0</v>
      </c>
      <c r="O449" t="n">
        <v>0</v>
      </c>
      <c r="P449" t="n">
        <v>0</v>
      </c>
      <c r="Q449" t="n">
        <v>0</v>
      </c>
      <c r="R449" s="2" t="inlineStr"/>
    </row>
    <row r="450" ht="15" customHeight="1">
      <c r="A450" t="inlineStr">
        <is>
          <t>A 61682-2024</t>
        </is>
      </c>
      <c r="B450" s="1" t="n">
        <v>45647.48824074074</v>
      </c>
      <c r="C450" s="1" t="n">
        <v>46070</v>
      </c>
      <c r="D450" t="inlineStr">
        <is>
          <t>GOTLANDS LÄN</t>
        </is>
      </c>
      <c r="E450" t="inlineStr">
        <is>
          <t>GOTLAND</t>
        </is>
      </c>
      <c r="G450" t="n">
        <v>1.9</v>
      </c>
      <c r="H450" t="n">
        <v>0</v>
      </c>
      <c r="I450" t="n">
        <v>0</v>
      </c>
      <c r="J450" t="n">
        <v>0</v>
      </c>
      <c r="K450" t="n">
        <v>0</v>
      </c>
      <c r="L450" t="n">
        <v>0</v>
      </c>
      <c r="M450" t="n">
        <v>0</v>
      </c>
      <c r="N450" t="n">
        <v>0</v>
      </c>
      <c r="O450" t="n">
        <v>0</v>
      </c>
      <c r="P450" t="n">
        <v>0</v>
      </c>
      <c r="Q450" t="n">
        <v>0</v>
      </c>
      <c r="R450" s="2" t="inlineStr"/>
    </row>
    <row r="451" ht="15" customHeight="1">
      <c r="A451" t="inlineStr">
        <is>
          <t>A 15434-2024</t>
        </is>
      </c>
      <c r="B451" s="1" t="n">
        <v>45401.38836805556</v>
      </c>
      <c r="C451" s="1" t="n">
        <v>46070</v>
      </c>
      <c r="D451" t="inlineStr">
        <is>
          <t>GOTLANDS LÄN</t>
        </is>
      </c>
      <c r="E451" t="inlineStr">
        <is>
          <t>GOTLAND</t>
        </is>
      </c>
      <c r="G451" t="n">
        <v>2.5</v>
      </c>
      <c r="H451" t="n">
        <v>0</v>
      </c>
      <c r="I451" t="n">
        <v>0</v>
      </c>
      <c r="J451" t="n">
        <v>0</v>
      </c>
      <c r="K451" t="n">
        <v>0</v>
      </c>
      <c r="L451" t="n">
        <v>0</v>
      </c>
      <c r="M451" t="n">
        <v>0</v>
      </c>
      <c r="N451" t="n">
        <v>0</v>
      </c>
      <c r="O451" t="n">
        <v>0</v>
      </c>
      <c r="P451" t="n">
        <v>0</v>
      </c>
      <c r="Q451" t="n">
        <v>0</v>
      </c>
      <c r="R451" s="2" t="inlineStr"/>
    </row>
    <row r="452" ht="15" customHeight="1">
      <c r="A452" t="inlineStr">
        <is>
          <t>A 36-2026</t>
        </is>
      </c>
      <c r="B452" s="1" t="n">
        <v>46024.38886574074</v>
      </c>
      <c r="C452" s="1" t="n">
        <v>46070</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7034-2023</t>
        </is>
      </c>
      <c r="B453" s="1" t="n">
        <v>44968.32108796296</v>
      </c>
      <c r="C453" s="1" t="n">
        <v>46070</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7042-2023</t>
        </is>
      </c>
      <c r="B454" s="1" t="n">
        <v>44968</v>
      </c>
      <c r="C454" s="1" t="n">
        <v>46070</v>
      </c>
      <c r="D454" t="inlineStr">
        <is>
          <t>GOTLANDS LÄN</t>
        </is>
      </c>
      <c r="E454" t="inlineStr">
        <is>
          <t>GOTLAND</t>
        </is>
      </c>
      <c r="G454" t="n">
        <v>0.7</v>
      </c>
      <c r="H454" t="n">
        <v>0</v>
      </c>
      <c r="I454" t="n">
        <v>0</v>
      </c>
      <c r="J454" t="n">
        <v>0</v>
      </c>
      <c r="K454" t="n">
        <v>0</v>
      </c>
      <c r="L454" t="n">
        <v>0</v>
      </c>
      <c r="M454" t="n">
        <v>0</v>
      </c>
      <c r="N454" t="n">
        <v>0</v>
      </c>
      <c r="O454" t="n">
        <v>0</v>
      </c>
      <c r="P454" t="n">
        <v>0</v>
      </c>
      <c r="Q454" t="n">
        <v>0</v>
      </c>
      <c r="R454" s="2" t="inlineStr"/>
    </row>
    <row r="455" ht="15" customHeight="1">
      <c r="A455" t="inlineStr">
        <is>
          <t>A 63152-2025</t>
        </is>
      </c>
      <c r="B455" s="1" t="n">
        <v>46010</v>
      </c>
      <c r="C455" s="1" t="n">
        <v>46070</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2180-2025</t>
        </is>
      </c>
      <c r="B456" s="1" t="n">
        <v>45673</v>
      </c>
      <c r="C456" s="1" t="n">
        <v>46070</v>
      </c>
      <c r="D456" t="inlineStr">
        <is>
          <t>GOTLANDS LÄN</t>
        </is>
      </c>
      <c r="E456" t="inlineStr">
        <is>
          <t>GOTLAND</t>
        </is>
      </c>
      <c r="G456" t="n">
        <v>0.7</v>
      </c>
      <c r="H456" t="n">
        <v>0</v>
      </c>
      <c r="I456" t="n">
        <v>0</v>
      </c>
      <c r="J456" t="n">
        <v>0</v>
      </c>
      <c r="K456" t="n">
        <v>0</v>
      </c>
      <c r="L456" t="n">
        <v>0</v>
      </c>
      <c r="M456" t="n">
        <v>0</v>
      </c>
      <c r="N456" t="n">
        <v>0</v>
      </c>
      <c r="O456" t="n">
        <v>0</v>
      </c>
      <c r="P456" t="n">
        <v>0</v>
      </c>
      <c r="Q456" t="n">
        <v>0</v>
      </c>
      <c r="R456" s="2" t="inlineStr"/>
    </row>
    <row r="457" ht="15" customHeight="1">
      <c r="A457" t="inlineStr">
        <is>
          <t>A 54074-2022</t>
        </is>
      </c>
      <c r="B457" s="1" t="n">
        <v>44881</v>
      </c>
      <c r="C457" s="1" t="n">
        <v>46070</v>
      </c>
      <c r="D457" t="inlineStr">
        <is>
          <t>GOTLANDS LÄN</t>
        </is>
      </c>
      <c r="E457" t="inlineStr">
        <is>
          <t>GOTLAND</t>
        </is>
      </c>
      <c r="G457" t="n">
        <v>0.9</v>
      </c>
      <c r="H457" t="n">
        <v>0</v>
      </c>
      <c r="I457" t="n">
        <v>0</v>
      </c>
      <c r="J457" t="n">
        <v>0</v>
      </c>
      <c r="K457" t="n">
        <v>0</v>
      </c>
      <c r="L457" t="n">
        <v>0</v>
      </c>
      <c r="M457" t="n">
        <v>0</v>
      </c>
      <c r="N457" t="n">
        <v>0</v>
      </c>
      <c r="O457" t="n">
        <v>0</v>
      </c>
      <c r="P457" t="n">
        <v>0</v>
      </c>
      <c r="Q457" t="n">
        <v>0</v>
      </c>
      <c r="R457" s="2" t="inlineStr"/>
    </row>
    <row r="458" ht="15" customHeight="1">
      <c r="A458" t="inlineStr">
        <is>
          <t>A 61694-2023</t>
        </is>
      </c>
      <c r="B458" s="1" t="n">
        <v>45264</v>
      </c>
      <c r="C458" s="1" t="n">
        <v>46070</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64208-2021</t>
        </is>
      </c>
      <c r="B459" s="1" t="n">
        <v>44510</v>
      </c>
      <c r="C459" s="1" t="n">
        <v>46070</v>
      </c>
      <c r="D459" t="inlineStr">
        <is>
          <t>GOTLANDS LÄN</t>
        </is>
      </c>
      <c r="E459" t="inlineStr">
        <is>
          <t>GOTLAND</t>
        </is>
      </c>
      <c r="G459" t="n">
        <v>4.7</v>
      </c>
      <c r="H459" t="n">
        <v>0</v>
      </c>
      <c r="I459" t="n">
        <v>0</v>
      </c>
      <c r="J459" t="n">
        <v>0</v>
      </c>
      <c r="K459" t="n">
        <v>0</v>
      </c>
      <c r="L459" t="n">
        <v>0</v>
      </c>
      <c r="M459" t="n">
        <v>0</v>
      </c>
      <c r="N459" t="n">
        <v>0</v>
      </c>
      <c r="O459" t="n">
        <v>0</v>
      </c>
      <c r="P459" t="n">
        <v>0</v>
      </c>
      <c r="Q459" t="n">
        <v>0</v>
      </c>
      <c r="R459" s="2" t="inlineStr"/>
    </row>
    <row r="460" ht="15" customHeight="1">
      <c r="A460" t="inlineStr">
        <is>
          <t>A 60384-2025</t>
        </is>
      </c>
      <c r="B460" s="1" t="n">
        <v>45995</v>
      </c>
      <c r="C460" s="1" t="n">
        <v>46070</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54268-2022</t>
        </is>
      </c>
      <c r="B461" s="1" t="n">
        <v>44882</v>
      </c>
      <c r="C461" s="1" t="n">
        <v>46070</v>
      </c>
      <c r="D461" t="inlineStr">
        <is>
          <t>GOTLANDS LÄN</t>
        </is>
      </c>
      <c r="E461" t="inlineStr">
        <is>
          <t>GOTLAND</t>
        </is>
      </c>
      <c r="G461" t="n">
        <v>2.7</v>
      </c>
      <c r="H461" t="n">
        <v>0</v>
      </c>
      <c r="I461" t="n">
        <v>0</v>
      </c>
      <c r="J461" t="n">
        <v>0</v>
      </c>
      <c r="K461" t="n">
        <v>0</v>
      </c>
      <c r="L461" t="n">
        <v>0</v>
      </c>
      <c r="M461" t="n">
        <v>0</v>
      </c>
      <c r="N461" t="n">
        <v>0</v>
      </c>
      <c r="O461" t="n">
        <v>0</v>
      </c>
      <c r="P461" t="n">
        <v>0</v>
      </c>
      <c r="Q461" t="n">
        <v>0</v>
      </c>
      <c r="R461" s="2" t="inlineStr"/>
    </row>
    <row r="462" ht="15" customHeight="1">
      <c r="A462" t="inlineStr">
        <is>
          <t>A 1446-2025</t>
        </is>
      </c>
      <c r="B462" s="1" t="n">
        <v>45669.86035879629</v>
      </c>
      <c r="C462" s="1" t="n">
        <v>46070</v>
      </c>
      <c r="D462" t="inlineStr">
        <is>
          <t>GOTLANDS LÄN</t>
        </is>
      </c>
      <c r="E462" t="inlineStr">
        <is>
          <t>GOTLAND</t>
        </is>
      </c>
      <c r="G462" t="n">
        <v>3.1</v>
      </c>
      <c r="H462" t="n">
        <v>0</v>
      </c>
      <c r="I462" t="n">
        <v>0</v>
      </c>
      <c r="J462" t="n">
        <v>0</v>
      </c>
      <c r="K462" t="n">
        <v>0</v>
      </c>
      <c r="L462" t="n">
        <v>0</v>
      </c>
      <c r="M462" t="n">
        <v>0</v>
      </c>
      <c r="N462" t="n">
        <v>0</v>
      </c>
      <c r="O462" t="n">
        <v>0</v>
      </c>
      <c r="P462" t="n">
        <v>0</v>
      </c>
      <c r="Q462" t="n">
        <v>0</v>
      </c>
      <c r="R462" s="2" t="inlineStr"/>
    </row>
    <row r="463" ht="15" customHeight="1">
      <c r="A463" t="inlineStr">
        <is>
          <t>A 1462-2025</t>
        </is>
      </c>
      <c r="B463" s="1" t="n">
        <v>45670.36319444444</v>
      </c>
      <c r="C463" s="1" t="n">
        <v>46070</v>
      </c>
      <c r="D463" t="inlineStr">
        <is>
          <t>GOTLANDS LÄN</t>
        </is>
      </c>
      <c r="E463" t="inlineStr">
        <is>
          <t>GOTLAND</t>
        </is>
      </c>
      <c r="G463" t="n">
        <v>2.8</v>
      </c>
      <c r="H463" t="n">
        <v>0</v>
      </c>
      <c r="I463" t="n">
        <v>0</v>
      </c>
      <c r="J463" t="n">
        <v>0</v>
      </c>
      <c r="K463" t="n">
        <v>0</v>
      </c>
      <c r="L463" t="n">
        <v>0</v>
      </c>
      <c r="M463" t="n">
        <v>0</v>
      </c>
      <c r="N463" t="n">
        <v>0</v>
      </c>
      <c r="O463" t="n">
        <v>0</v>
      </c>
      <c r="P463" t="n">
        <v>0</v>
      </c>
      <c r="Q463" t="n">
        <v>0</v>
      </c>
      <c r="R463" s="2" t="inlineStr"/>
    </row>
    <row r="464" ht="15" customHeight="1">
      <c r="A464" t="inlineStr">
        <is>
          <t>A 57685-2022</t>
        </is>
      </c>
      <c r="B464" s="1" t="n">
        <v>44897.4777662037</v>
      </c>
      <c r="C464" s="1" t="n">
        <v>46070</v>
      </c>
      <c r="D464" t="inlineStr">
        <is>
          <t>GOTLANDS LÄN</t>
        </is>
      </c>
      <c r="E464" t="inlineStr">
        <is>
          <t>GOTLAND</t>
        </is>
      </c>
      <c r="G464" t="n">
        <v>3.7</v>
      </c>
      <c r="H464" t="n">
        <v>0</v>
      </c>
      <c r="I464" t="n">
        <v>0</v>
      </c>
      <c r="J464" t="n">
        <v>0</v>
      </c>
      <c r="K464" t="n">
        <v>0</v>
      </c>
      <c r="L464" t="n">
        <v>0</v>
      </c>
      <c r="M464" t="n">
        <v>0</v>
      </c>
      <c r="N464" t="n">
        <v>0</v>
      </c>
      <c r="O464" t="n">
        <v>0</v>
      </c>
      <c r="P464" t="n">
        <v>0</v>
      </c>
      <c r="Q464" t="n">
        <v>0</v>
      </c>
      <c r="R464" s="2" t="inlineStr"/>
    </row>
    <row r="465" ht="15" customHeight="1">
      <c r="A465" t="inlineStr">
        <is>
          <t>A 811-2023</t>
        </is>
      </c>
      <c r="B465" s="1" t="n">
        <v>44931</v>
      </c>
      <c r="C465" s="1" t="n">
        <v>46070</v>
      </c>
      <c r="D465" t="inlineStr">
        <is>
          <t>GOTLANDS LÄN</t>
        </is>
      </c>
      <c r="E465" t="inlineStr">
        <is>
          <t>GOTLAND</t>
        </is>
      </c>
      <c r="G465" t="n">
        <v>0.6</v>
      </c>
      <c r="H465" t="n">
        <v>0</v>
      </c>
      <c r="I465" t="n">
        <v>0</v>
      </c>
      <c r="J465" t="n">
        <v>0</v>
      </c>
      <c r="K465" t="n">
        <v>0</v>
      </c>
      <c r="L465" t="n">
        <v>0</v>
      </c>
      <c r="M465" t="n">
        <v>0</v>
      </c>
      <c r="N465" t="n">
        <v>0</v>
      </c>
      <c r="O465" t="n">
        <v>0</v>
      </c>
      <c r="P465" t="n">
        <v>0</v>
      </c>
      <c r="Q465" t="n">
        <v>0</v>
      </c>
      <c r="R465" s="2" t="inlineStr"/>
    </row>
    <row r="466" ht="15" customHeight="1">
      <c r="A466" t="inlineStr">
        <is>
          <t>A 62674-2025</t>
        </is>
      </c>
      <c r="B466" s="1" t="n">
        <v>46008</v>
      </c>
      <c r="C466" s="1" t="n">
        <v>46070</v>
      </c>
      <c r="D466" t="inlineStr">
        <is>
          <t>GOTLANDS LÄN</t>
        </is>
      </c>
      <c r="E466" t="inlineStr">
        <is>
          <t>GOTLAND</t>
        </is>
      </c>
      <c r="G466" t="n">
        <v>5</v>
      </c>
      <c r="H466" t="n">
        <v>0</v>
      </c>
      <c r="I466" t="n">
        <v>0</v>
      </c>
      <c r="J466" t="n">
        <v>0</v>
      </c>
      <c r="K466" t="n">
        <v>0</v>
      </c>
      <c r="L466" t="n">
        <v>0</v>
      </c>
      <c r="M466" t="n">
        <v>0</v>
      </c>
      <c r="N466" t="n">
        <v>0</v>
      </c>
      <c r="O466" t="n">
        <v>0</v>
      </c>
      <c r="P466" t="n">
        <v>0</v>
      </c>
      <c r="Q466" t="n">
        <v>0</v>
      </c>
      <c r="R466" s="2" t="inlineStr"/>
    </row>
    <row r="467" ht="15" customHeight="1">
      <c r="A467" t="inlineStr">
        <is>
          <t>A 59197-2025</t>
        </is>
      </c>
      <c r="B467" s="1" t="n">
        <v>45988.59846064815</v>
      </c>
      <c r="C467" s="1" t="n">
        <v>46070</v>
      </c>
      <c r="D467" t="inlineStr">
        <is>
          <t>GOTLANDS LÄN</t>
        </is>
      </c>
      <c r="E467" t="inlineStr">
        <is>
          <t>GOTLAND</t>
        </is>
      </c>
      <c r="G467" t="n">
        <v>2.3</v>
      </c>
      <c r="H467" t="n">
        <v>0</v>
      </c>
      <c r="I467" t="n">
        <v>0</v>
      </c>
      <c r="J467" t="n">
        <v>0</v>
      </c>
      <c r="K467" t="n">
        <v>0</v>
      </c>
      <c r="L467" t="n">
        <v>0</v>
      </c>
      <c r="M467" t="n">
        <v>0</v>
      </c>
      <c r="N467" t="n">
        <v>0</v>
      </c>
      <c r="O467" t="n">
        <v>0</v>
      </c>
      <c r="P467" t="n">
        <v>0</v>
      </c>
      <c r="Q467" t="n">
        <v>0</v>
      </c>
      <c r="R467" s="2" t="inlineStr"/>
    </row>
    <row r="468" ht="15" customHeight="1">
      <c r="A468" t="inlineStr">
        <is>
          <t>A 1355-2026</t>
        </is>
      </c>
      <c r="B468" s="1" t="n">
        <v>46031.59909722222</v>
      </c>
      <c r="C468" s="1" t="n">
        <v>46070</v>
      </c>
      <c r="D468" t="inlineStr">
        <is>
          <t>GOTLANDS LÄN</t>
        </is>
      </c>
      <c r="E468" t="inlineStr">
        <is>
          <t>GOTLAND</t>
        </is>
      </c>
      <c r="G468" t="n">
        <v>3.1</v>
      </c>
      <c r="H468" t="n">
        <v>0</v>
      </c>
      <c r="I468" t="n">
        <v>0</v>
      </c>
      <c r="J468" t="n">
        <v>0</v>
      </c>
      <c r="K468" t="n">
        <v>0</v>
      </c>
      <c r="L468" t="n">
        <v>0</v>
      </c>
      <c r="M468" t="n">
        <v>0</v>
      </c>
      <c r="N468" t="n">
        <v>0</v>
      </c>
      <c r="O468" t="n">
        <v>0</v>
      </c>
      <c r="P468" t="n">
        <v>0</v>
      </c>
      <c r="Q468" t="n">
        <v>0</v>
      </c>
      <c r="R468" s="2" t="inlineStr"/>
    </row>
    <row r="469" ht="15" customHeight="1">
      <c r="A469" t="inlineStr">
        <is>
          <t>A 5905-2024</t>
        </is>
      </c>
      <c r="B469" s="1" t="n">
        <v>45335.88993055555</v>
      </c>
      <c r="C469" s="1" t="n">
        <v>46070</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3431-2025</t>
        </is>
      </c>
      <c r="B470" s="1" t="n">
        <v>45680.42935185185</v>
      </c>
      <c r="C470" s="1" t="n">
        <v>46070</v>
      </c>
      <c r="D470" t="inlineStr">
        <is>
          <t>GOTLANDS LÄN</t>
        </is>
      </c>
      <c r="E470" t="inlineStr">
        <is>
          <t>GOTLAND</t>
        </is>
      </c>
      <c r="G470" t="n">
        <v>4.8</v>
      </c>
      <c r="H470" t="n">
        <v>0</v>
      </c>
      <c r="I470" t="n">
        <v>0</v>
      </c>
      <c r="J470" t="n">
        <v>0</v>
      </c>
      <c r="K470" t="n">
        <v>0</v>
      </c>
      <c r="L470" t="n">
        <v>0</v>
      </c>
      <c r="M470" t="n">
        <v>0</v>
      </c>
      <c r="N470" t="n">
        <v>0</v>
      </c>
      <c r="O470" t="n">
        <v>0</v>
      </c>
      <c r="P470" t="n">
        <v>0</v>
      </c>
      <c r="Q470" t="n">
        <v>0</v>
      </c>
      <c r="R470" s="2" t="inlineStr"/>
    </row>
    <row r="471" ht="15" customHeight="1">
      <c r="A471" t="inlineStr">
        <is>
          <t>A 34407-2023</t>
        </is>
      </c>
      <c r="B471" s="1" t="n">
        <v>45132</v>
      </c>
      <c r="C471" s="1" t="n">
        <v>46070</v>
      </c>
      <c r="D471" t="inlineStr">
        <is>
          <t>GOTLANDS LÄN</t>
        </is>
      </c>
      <c r="E471" t="inlineStr">
        <is>
          <t>GOTLAND</t>
        </is>
      </c>
      <c r="G471" t="n">
        <v>4.4</v>
      </c>
      <c r="H471" t="n">
        <v>0</v>
      </c>
      <c r="I471" t="n">
        <v>0</v>
      </c>
      <c r="J471" t="n">
        <v>0</v>
      </c>
      <c r="K471" t="n">
        <v>0</v>
      </c>
      <c r="L471" t="n">
        <v>0</v>
      </c>
      <c r="M471" t="n">
        <v>0</v>
      </c>
      <c r="N471" t="n">
        <v>0</v>
      </c>
      <c r="O471" t="n">
        <v>0</v>
      </c>
      <c r="P471" t="n">
        <v>0</v>
      </c>
      <c r="Q471" t="n">
        <v>0</v>
      </c>
      <c r="R471" s="2" t="inlineStr"/>
    </row>
    <row r="472" ht="15" customHeight="1">
      <c r="A472" t="inlineStr">
        <is>
          <t>A 30892-2024</t>
        </is>
      </c>
      <c r="B472" s="1" t="n">
        <v>45491</v>
      </c>
      <c r="C472" s="1" t="n">
        <v>46070</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32958-2021</t>
        </is>
      </c>
      <c r="B473" s="1" t="n">
        <v>44376</v>
      </c>
      <c r="C473" s="1" t="n">
        <v>46070</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36319-2025</t>
        </is>
      </c>
      <c r="B474" s="1" t="n">
        <v>45868</v>
      </c>
      <c r="C474" s="1" t="n">
        <v>46070</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7858-2025</t>
        </is>
      </c>
      <c r="B475" s="1" t="n">
        <v>45706.68633101852</v>
      </c>
      <c r="C475" s="1" t="n">
        <v>46070</v>
      </c>
      <c r="D475" t="inlineStr">
        <is>
          <t>GOTLANDS LÄN</t>
        </is>
      </c>
      <c r="E475" t="inlineStr">
        <is>
          <t>GOTLAND</t>
        </is>
      </c>
      <c r="G475" t="n">
        <v>3</v>
      </c>
      <c r="H475" t="n">
        <v>0</v>
      </c>
      <c r="I475" t="n">
        <v>0</v>
      </c>
      <c r="J475" t="n">
        <v>0</v>
      </c>
      <c r="K475" t="n">
        <v>0</v>
      </c>
      <c r="L475" t="n">
        <v>0</v>
      </c>
      <c r="M475" t="n">
        <v>0</v>
      </c>
      <c r="N475" t="n">
        <v>0</v>
      </c>
      <c r="O475" t="n">
        <v>0</v>
      </c>
      <c r="P475" t="n">
        <v>0</v>
      </c>
      <c r="Q475" t="n">
        <v>0</v>
      </c>
      <c r="R475" s="2" t="inlineStr"/>
    </row>
    <row r="476" ht="15" customHeight="1">
      <c r="A476" t="inlineStr">
        <is>
          <t>A 46545-2024</t>
        </is>
      </c>
      <c r="B476" s="1" t="n">
        <v>45582.65831018519</v>
      </c>
      <c r="C476" s="1" t="n">
        <v>46070</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999-2023</t>
        </is>
      </c>
      <c r="B477" s="1" t="n">
        <v>44935</v>
      </c>
      <c r="C477" s="1" t="n">
        <v>46070</v>
      </c>
      <c r="D477" t="inlineStr">
        <is>
          <t>GOTLANDS LÄN</t>
        </is>
      </c>
      <c r="E477" t="inlineStr">
        <is>
          <t>GOTLAND</t>
        </is>
      </c>
      <c r="G477" t="n">
        <v>4.7</v>
      </c>
      <c r="H477" t="n">
        <v>0</v>
      </c>
      <c r="I477" t="n">
        <v>0</v>
      </c>
      <c r="J477" t="n">
        <v>0</v>
      </c>
      <c r="K477" t="n">
        <v>0</v>
      </c>
      <c r="L477" t="n">
        <v>0</v>
      </c>
      <c r="M477" t="n">
        <v>0</v>
      </c>
      <c r="N477" t="n">
        <v>0</v>
      </c>
      <c r="O477" t="n">
        <v>0</v>
      </c>
      <c r="P477" t="n">
        <v>0</v>
      </c>
      <c r="Q477" t="n">
        <v>0</v>
      </c>
      <c r="R477" s="2" t="inlineStr"/>
    </row>
    <row r="478" ht="15" customHeight="1">
      <c r="A478" t="inlineStr">
        <is>
          <t>A 1839-2026</t>
        </is>
      </c>
      <c r="B478" s="1" t="n">
        <v>46035.3942824074</v>
      </c>
      <c r="C478" s="1" t="n">
        <v>46070</v>
      </c>
      <c r="D478" t="inlineStr">
        <is>
          <t>GOTLANDS LÄN</t>
        </is>
      </c>
      <c r="E478" t="inlineStr">
        <is>
          <t>GOTLAND</t>
        </is>
      </c>
      <c r="G478" t="n">
        <v>3.5</v>
      </c>
      <c r="H478" t="n">
        <v>0</v>
      </c>
      <c r="I478" t="n">
        <v>0</v>
      </c>
      <c r="J478" t="n">
        <v>0</v>
      </c>
      <c r="K478" t="n">
        <v>0</v>
      </c>
      <c r="L478" t="n">
        <v>0</v>
      </c>
      <c r="M478" t="n">
        <v>0</v>
      </c>
      <c r="N478" t="n">
        <v>0</v>
      </c>
      <c r="O478" t="n">
        <v>0</v>
      </c>
      <c r="P478" t="n">
        <v>0</v>
      </c>
      <c r="Q478" t="n">
        <v>0</v>
      </c>
      <c r="R478" s="2" t="inlineStr"/>
    </row>
    <row r="479" ht="15" customHeight="1">
      <c r="A479" t="inlineStr">
        <is>
          <t>A 1364-2025</t>
        </is>
      </c>
      <c r="B479" s="1" t="n">
        <v>45667.63929398148</v>
      </c>
      <c r="C479" s="1" t="n">
        <v>46070</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2125-2025</t>
        </is>
      </c>
      <c r="B480" s="1" t="n">
        <v>45672.64940972222</v>
      </c>
      <c r="C480" s="1" t="n">
        <v>46070</v>
      </c>
      <c r="D480" t="inlineStr">
        <is>
          <t>GOTLANDS LÄN</t>
        </is>
      </c>
      <c r="E480" t="inlineStr">
        <is>
          <t>GOTLAND</t>
        </is>
      </c>
      <c r="G480" t="n">
        <v>2.3</v>
      </c>
      <c r="H480" t="n">
        <v>0</v>
      </c>
      <c r="I480" t="n">
        <v>0</v>
      </c>
      <c r="J480" t="n">
        <v>0</v>
      </c>
      <c r="K480" t="n">
        <v>0</v>
      </c>
      <c r="L480" t="n">
        <v>0</v>
      </c>
      <c r="M480" t="n">
        <v>0</v>
      </c>
      <c r="N480" t="n">
        <v>0</v>
      </c>
      <c r="O480" t="n">
        <v>0</v>
      </c>
      <c r="P480" t="n">
        <v>0</v>
      </c>
      <c r="Q480" t="n">
        <v>0</v>
      </c>
      <c r="R480" s="2" t="inlineStr"/>
    </row>
    <row r="481" ht="15" customHeight="1">
      <c r="A481" t="inlineStr">
        <is>
          <t>A 1898-2026</t>
        </is>
      </c>
      <c r="B481" s="1" t="n">
        <v>46035.52024305556</v>
      </c>
      <c r="C481" s="1" t="n">
        <v>46070</v>
      </c>
      <c r="D481" t="inlineStr">
        <is>
          <t>GOTLANDS LÄN</t>
        </is>
      </c>
      <c r="E481" t="inlineStr">
        <is>
          <t>GOTLAND</t>
        </is>
      </c>
      <c r="G481" t="n">
        <v>3.7</v>
      </c>
      <c r="H481" t="n">
        <v>0</v>
      </c>
      <c r="I481" t="n">
        <v>0</v>
      </c>
      <c r="J481" t="n">
        <v>0</v>
      </c>
      <c r="K481" t="n">
        <v>0</v>
      </c>
      <c r="L481" t="n">
        <v>0</v>
      </c>
      <c r="M481" t="n">
        <v>0</v>
      </c>
      <c r="N481" t="n">
        <v>0</v>
      </c>
      <c r="O481" t="n">
        <v>0</v>
      </c>
      <c r="P481" t="n">
        <v>0</v>
      </c>
      <c r="Q481" t="n">
        <v>0</v>
      </c>
      <c r="R481" s="2" t="inlineStr"/>
    </row>
    <row r="482" ht="15" customHeight="1">
      <c r="A482" t="inlineStr">
        <is>
          <t>A 1854-2026</t>
        </is>
      </c>
      <c r="B482" s="1" t="n">
        <v>46035.4171875</v>
      </c>
      <c r="C482" s="1" t="n">
        <v>46070</v>
      </c>
      <c r="D482" t="inlineStr">
        <is>
          <t>GOTLANDS LÄN</t>
        </is>
      </c>
      <c r="E482" t="inlineStr">
        <is>
          <t>GOTLAND</t>
        </is>
      </c>
      <c r="G482" t="n">
        <v>3</v>
      </c>
      <c r="H482" t="n">
        <v>0</v>
      </c>
      <c r="I482" t="n">
        <v>0</v>
      </c>
      <c r="J482" t="n">
        <v>0</v>
      </c>
      <c r="K482" t="n">
        <v>0</v>
      </c>
      <c r="L482" t="n">
        <v>0</v>
      </c>
      <c r="M482" t="n">
        <v>0</v>
      </c>
      <c r="N482" t="n">
        <v>0</v>
      </c>
      <c r="O482" t="n">
        <v>0</v>
      </c>
      <c r="P482" t="n">
        <v>0</v>
      </c>
      <c r="Q482" t="n">
        <v>0</v>
      </c>
      <c r="R482" s="2" t="inlineStr"/>
    </row>
    <row r="483" ht="15" customHeight="1">
      <c r="A483" t="inlineStr">
        <is>
          <t>A 2415-2026</t>
        </is>
      </c>
      <c r="B483" s="1" t="n">
        <v>46036.76203703704</v>
      </c>
      <c r="C483" s="1" t="n">
        <v>46070</v>
      </c>
      <c r="D483" t="inlineStr">
        <is>
          <t>GOTLANDS LÄN</t>
        </is>
      </c>
      <c r="E483" t="inlineStr">
        <is>
          <t>GOTLAND</t>
        </is>
      </c>
      <c r="G483" t="n">
        <v>6.9</v>
      </c>
      <c r="H483" t="n">
        <v>0</v>
      </c>
      <c r="I483" t="n">
        <v>0</v>
      </c>
      <c r="J483" t="n">
        <v>0</v>
      </c>
      <c r="K483" t="n">
        <v>0</v>
      </c>
      <c r="L483" t="n">
        <v>0</v>
      </c>
      <c r="M483" t="n">
        <v>0</v>
      </c>
      <c r="N483" t="n">
        <v>0</v>
      </c>
      <c r="O483" t="n">
        <v>0</v>
      </c>
      <c r="P483" t="n">
        <v>0</v>
      </c>
      <c r="Q483" t="n">
        <v>0</v>
      </c>
      <c r="R483" s="2" t="inlineStr"/>
    </row>
    <row r="484" ht="15" customHeight="1">
      <c r="A484" t="inlineStr">
        <is>
          <t>A 2134-2026</t>
        </is>
      </c>
      <c r="B484" s="1" t="n">
        <v>46036</v>
      </c>
      <c r="C484" s="1" t="n">
        <v>46070</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2135-2026</t>
        </is>
      </c>
      <c r="B485" s="1" t="n">
        <v>46036</v>
      </c>
      <c r="C485" s="1" t="n">
        <v>46070</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14141-2024</t>
        </is>
      </c>
      <c r="B486" s="1" t="n">
        <v>45392.85193287037</v>
      </c>
      <c r="C486" s="1" t="n">
        <v>46070</v>
      </c>
      <c r="D486" t="inlineStr">
        <is>
          <t>GOTLANDS LÄN</t>
        </is>
      </c>
      <c r="E486" t="inlineStr">
        <is>
          <t>GOTLAND</t>
        </is>
      </c>
      <c r="G486" t="n">
        <v>5.3</v>
      </c>
      <c r="H486" t="n">
        <v>0</v>
      </c>
      <c r="I486" t="n">
        <v>0</v>
      </c>
      <c r="J486" t="n">
        <v>0</v>
      </c>
      <c r="K486" t="n">
        <v>0</v>
      </c>
      <c r="L486" t="n">
        <v>0</v>
      </c>
      <c r="M486" t="n">
        <v>0</v>
      </c>
      <c r="N486" t="n">
        <v>0</v>
      </c>
      <c r="O486" t="n">
        <v>0</v>
      </c>
      <c r="P486" t="n">
        <v>0</v>
      </c>
      <c r="Q486" t="n">
        <v>0</v>
      </c>
      <c r="R486" s="2" t="inlineStr"/>
    </row>
    <row r="487" ht="15" customHeight="1">
      <c r="A487" t="inlineStr">
        <is>
          <t>A 12155-2023</t>
        </is>
      </c>
      <c r="B487" s="1" t="n">
        <v>44998.49106481481</v>
      </c>
      <c r="C487" s="1" t="n">
        <v>46070</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2774-2024</t>
        </is>
      </c>
      <c r="B488" s="1" t="n">
        <v>45314.62375</v>
      </c>
      <c r="C488" s="1" t="n">
        <v>46070</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9947-2024</t>
        </is>
      </c>
      <c r="B489" s="1" t="n">
        <v>45363</v>
      </c>
      <c r="C489" s="1" t="n">
        <v>46070</v>
      </c>
      <c r="D489" t="inlineStr">
        <is>
          <t>GOTLANDS LÄN</t>
        </is>
      </c>
      <c r="E489" t="inlineStr">
        <is>
          <t>GOTLAND</t>
        </is>
      </c>
      <c r="G489" t="n">
        <v>2</v>
      </c>
      <c r="H489" t="n">
        <v>0</v>
      </c>
      <c r="I489" t="n">
        <v>0</v>
      </c>
      <c r="J489" t="n">
        <v>0</v>
      </c>
      <c r="K489" t="n">
        <v>0</v>
      </c>
      <c r="L489" t="n">
        <v>0</v>
      </c>
      <c r="M489" t="n">
        <v>0</v>
      </c>
      <c r="N489" t="n">
        <v>0</v>
      </c>
      <c r="O489" t="n">
        <v>0</v>
      </c>
      <c r="P489" t="n">
        <v>0</v>
      </c>
      <c r="Q489" t="n">
        <v>0</v>
      </c>
      <c r="R489" s="2" t="inlineStr"/>
    </row>
    <row r="490" ht="15" customHeight="1">
      <c r="A490" t="inlineStr">
        <is>
          <t>A 42007-2023</t>
        </is>
      </c>
      <c r="B490" s="1" t="n">
        <v>45177</v>
      </c>
      <c r="C490" s="1" t="n">
        <v>46070</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3067-2026</t>
        </is>
      </c>
      <c r="B491" s="1" t="n">
        <v>46040.59025462963</v>
      </c>
      <c r="C491" s="1" t="n">
        <v>46070</v>
      </c>
      <c r="D491" t="inlineStr">
        <is>
          <t>GOTLANDS LÄN</t>
        </is>
      </c>
      <c r="E491" t="inlineStr">
        <is>
          <t>GOTLAND</t>
        </is>
      </c>
      <c r="G491" t="n">
        <v>7.8</v>
      </c>
      <c r="H491" t="n">
        <v>0</v>
      </c>
      <c r="I491" t="n">
        <v>0</v>
      </c>
      <c r="J491" t="n">
        <v>0</v>
      </c>
      <c r="K491" t="n">
        <v>0</v>
      </c>
      <c r="L491" t="n">
        <v>0</v>
      </c>
      <c r="M491" t="n">
        <v>0</v>
      </c>
      <c r="N491" t="n">
        <v>0</v>
      </c>
      <c r="O491" t="n">
        <v>0</v>
      </c>
      <c r="P491" t="n">
        <v>0</v>
      </c>
      <c r="Q491" t="n">
        <v>0</v>
      </c>
      <c r="R491" s="2" t="inlineStr"/>
    </row>
    <row r="492" ht="15" customHeight="1">
      <c r="A492" t="inlineStr">
        <is>
          <t>A 3253-2026</t>
        </is>
      </c>
      <c r="B492" s="1" t="n">
        <v>46041.58902777778</v>
      </c>
      <c r="C492" s="1" t="n">
        <v>46070</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15083-2025</t>
        </is>
      </c>
      <c r="B493" s="1" t="n">
        <v>45743</v>
      </c>
      <c r="C493" s="1" t="n">
        <v>46070</v>
      </c>
      <c r="D493" t="inlineStr">
        <is>
          <t>GOTLANDS LÄN</t>
        </is>
      </c>
      <c r="E493" t="inlineStr">
        <is>
          <t>GOTLAND</t>
        </is>
      </c>
      <c r="G493" t="n">
        <v>2.3</v>
      </c>
      <c r="H493" t="n">
        <v>0</v>
      </c>
      <c r="I493" t="n">
        <v>0</v>
      </c>
      <c r="J493" t="n">
        <v>0</v>
      </c>
      <c r="K493" t="n">
        <v>0</v>
      </c>
      <c r="L493" t="n">
        <v>0</v>
      </c>
      <c r="M493" t="n">
        <v>0</v>
      </c>
      <c r="N493" t="n">
        <v>0</v>
      </c>
      <c r="O493" t="n">
        <v>0</v>
      </c>
      <c r="P493" t="n">
        <v>0</v>
      </c>
      <c r="Q493" t="n">
        <v>0</v>
      </c>
      <c r="R493" s="2" t="inlineStr"/>
    </row>
    <row r="494" ht="15" customHeight="1">
      <c r="A494" t="inlineStr">
        <is>
          <t>A 1066-2024</t>
        </is>
      </c>
      <c r="B494" s="1" t="n">
        <v>45302.285</v>
      </c>
      <c r="C494" s="1" t="n">
        <v>46070</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37202-2024</t>
        </is>
      </c>
      <c r="B495" s="1" t="n">
        <v>45539.67310185185</v>
      </c>
      <c r="C495" s="1" t="n">
        <v>46070</v>
      </c>
      <c r="D495" t="inlineStr">
        <is>
          <t>GOTLANDS LÄN</t>
        </is>
      </c>
      <c r="E495" t="inlineStr">
        <is>
          <t>GOTLAND</t>
        </is>
      </c>
      <c r="G495" t="n">
        <v>0.3</v>
      </c>
      <c r="H495" t="n">
        <v>0</v>
      </c>
      <c r="I495" t="n">
        <v>0</v>
      </c>
      <c r="J495" t="n">
        <v>0</v>
      </c>
      <c r="K495" t="n">
        <v>0</v>
      </c>
      <c r="L495" t="n">
        <v>0</v>
      </c>
      <c r="M495" t="n">
        <v>0</v>
      </c>
      <c r="N495" t="n">
        <v>0</v>
      </c>
      <c r="O495" t="n">
        <v>0</v>
      </c>
      <c r="P495" t="n">
        <v>0</v>
      </c>
      <c r="Q495" t="n">
        <v>0</v>
      </c>
      <c r="R495" s="2" t="inlineStr"/>
    </row>
    <row r="496" ht="15" customHeight="1">
      <c r="A496" t="inlineStr">
        <is>
          <t>A 30815-2023</t>
        </is>
      </c>
      <c r="B496" s="1" t="n">
        <v>45112</v>
      </c>
      <c r="C496" s="1" t="n">
        <v>46070</v>
      </c>
      <c r="D496" t="inlineStr">
        <is>
          <t>GOTLANDS LÄN</t>
        </is>
      </c>
      <c r="E496" t="inlineStr">
        <is>
          <t>GOTLAND</t>
        </is>
      </c>
      <c r="G496" t="n">
        <v>6</v>
      </c>
      <c r="H496" t="n">
        <v>0</v>
      </c>
      <c r="I496" t="n">
        <v>0</v>
      </c>
      <c r="J496" t="n">
        <v>0</v>
      </c>
      <c r="K496" t="n">
        <v>0</v>
      </c>
      <c r="L496" t="n">
        <v>0</v>
      </c>
      <c r="M496" t="n">
        <v>0</v>
      </c>
      <c r="N496" t="n">
        <v>0</v>
      </c>
      <c r="O496" t="n">
        <v>0</v>
      </c>
      <c r="P496" t="n">
        <v>0</v>
      </c>
      <c r="Q496" t="n">
        <v>0</v>
      </c>
      <c r="R496" s="2" t="inlineStr"/>
    </row>
    <row r="497" ht="15" customHeight="1">
      <c r="A497" t="inlineStr">
        <is>
          <t>A 46400-2023</t>
        </is>
      </c>
      <c r="B497" s="1" t="n">
        <v>45197.49290509259</v>
      </c>
      <c r="C497" s="1" t="n">
        <v>46070</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10492-2023</t>
        </is>
      </c>
      <c r="B498" s="1" t="n">
        <v>44987</v>
      </c>
      <c r="C498" s="1" t="n">
        <v>46070</v>
      </c>
      <c r="D498" t="inlineStr">
        <is>
          <t>GOTLANDS LÄN</t>
        </is>
      </c>
      <c r="E498" t="inlineStr">
        <is>
          <t>GOTLAND</t>
        </is>
      </c>
      <c r="G498" t="n">
        <v>1</v>
      </c>
      <c r="H498" t="n">
        <v>0</v>
      </c>
      <c r="I498" t="n">
        <v>0</v>
      </c>
      <c r="J498" t="n">
        <v>0</v>
      </c>
      <c r="K498" t="n">
        <v>0</v>
      </c>
      <c r="L498" t="n">
        <v>0</v>
      </c>
      <c r="M498" t="n">
        <v>0</v>
      </c>
      <c r="N498" t="n">
        <v>0</v>
      </c>
      <c r="O498" t="n">
        <v>0</v>
      </c>
      <c r="P498" t="n">
        <v>0</v>
      </c>
      <c r="Q498" t="n">
        <v>0</v>
      </c>
      <c r="R498" s="2" t="inlineStr"/>
    </row>
    <row r="499" ht="15" customHeight="1">
      <c r="A499" t="inlineStr">
        <is>
          <t>A 44919-2022</t>
        </is>
      </c>
      <c r="B499" s="1" t="n">
        <v>44841</v>
      </c>
      <c r="C499" s="1" t="n">
        <v>46070</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16501-2023</t>
        </is>
      </c>
      <c r="B500" s="1" t="n">
        <v>45029</v>
      </c>
      <c r="C500" s="1" t="n">
        <v>46070</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46070</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458-2023</t>
        </is>
      </c>
      <c r="B502" s="1" t="n">
        <v>44929</v>
      </c>
      <c r="C502" s="1" t="n">
        <v>46070</v>
      </c>
      <c r="D502" t="inlineStr">
        <is>
          <t>GOTLANDS LÄN</t>
        </is>
      </c>
      <c r="E502" t="inlineStr">
        <is>
          <t>GOTLAND</t>
        </is>
      </c>
      <c r="G502" t="n">
        <v>3.6</v>
      </c>
      <c r="H502" t="n">
        <v>0</v>
      </c>
      <c r="I502" t="n">
        <v>0</v>
      </c>
      <c r="J502" t="n">
        <v>0</v>
      </c>
      <c r="K502" t="n">
        <v>0</v>
      </c>
      <c r="L502" t="n">
        <v>0</v>
      </c>
      <c r="M502" t="n">
        <v>0</v>
      </c>
      <c r="N502" t="n">
        <v>0</v>
      </c>
      <c r="O502" t="n">
        <v>0</v>
      </c>
      <c r="P502" t="n">
        <v>0</v>
      </c>
      <c r="Q502" t="n">
        <v>0</v>
      </c>
      <c r="R502" s="2" t="inlineStr"/>
    </row>
    <row r="503" ht="15" customHeight="1">
      <c r="A503" t="inlineStr">
        <is>
          <t>A 1291-2023</t>
        </is>
      </c>
      <c r="B503" s="1" t="n">
        <v>44936.47561342592</v>
      </c>
      <c r="C503" s="1" t="n">
        <v>46070</v>
      </c>
      <c r="D503" t="inlineStr">
        <is>
          <t>GOTLANDS LÄN</t>
        </is>
      </c>
      <c r="E503" t="inlineStr">
        <is>
          <t>GOTLAND</t>
        </is>
      </c>
      <c r="G503" t="n">
        <v>7.4</v>
      </c>
      <c r="H503" t="n">
        <v>0</v>
      </c>
      <c r="I503" t="n">
        <v>0</v>
      </c>
      <c r="J503" t="n">
        <v>0</v>
      </c>
      <c r="K503" t="n">
        <v>0</v>
      </c>
      <c r="L503" t="n">
        <v>0</v>
      </c>
      <c r="M503" t="n">
        <v>0</v>
      </c>
      <c r="N503" t="n">
        <v>0</v>
      </c>
      <c r="O503" t="n">
        <v>0</v>
      </c>
      <c r="P503" t="n">
        <v>0</v>
      </c>
      <c r="Q503" t="n">
        <v>0</v>
      </c>
      <c r="R503" s="2" t="inlineStr"/>
    </row>
    <row r="504" ht="15" customHeight="1">
      <c r="A504" t="inlineStr">
        <is>
          <t>A 32330-2024</t>
        </is>
      </c>
      <c r="B504" s="1" t="n">
        <v>45512</v>
      </c>
      <c r="C504" s="1" t="n">
        <v>46070</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5891-2025</t>
        </is>
      </c>
      <c r="B505" s="1" t="n">
        <v>45695.38327546296</v>
      </c>
      <c r="C505" s="1" t="n">
        <v>46070</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14804-2021</t>
        </is>
      </c>
      <c r="B506" s="1" t="n">
        <v>44280</v>
      </c>
      <c r="C506" s="1" t="n">
        <v>46070</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2719-2023</t>
        </is>
      </c>
      <c r="B507" s="1" t="n">
        <v>44944.55361111111</v>
      </c>
      <c r="C507" s="1" t="n">
        <v>46070</v>
      </c>
      <c r="D507" t="inlineStr">
        <is>
          <t>GOTLANDS LÄN</t>
        </is>
      </c>
      <c r="E507" t="inlineStr">
        <is>
          <t>GOTLAND</t>
        </is>
      </c>
      <c r="G507" t="n">
        <v>0.5</v>
      </c>
      <c r="H507" t="n">
        <v>0</v>
      </c>
      <c r="I507" t="n">
        <v>0</v>
      </c>
      <c r="J507" t="n">
        <v>0</v>
      </c>
      <c r="K507" t="n">
        <v>0</v>
      </c>
      <c r="L507" t="n">
        <v>0</v>
      </c>
      <c r="M507" t="n">
        <v>0</v>
      </c>
      <c r="N507" t="n">
        <v>0</v>
      </c>
      <c r="O507" t="n">
        <v>0</v>
      </c>
      <c r="P507" t="n">
        <v>0</v>
      </c>
      <c r="Q507" t="n">
        <v>0</v>
      </c>
      <c r="R507" s="2" t="inlineStr"/>
    </row>
    <row r="508" ht="15" customHeight="1">
      <c r="A508" t="inlineStr">
        <is>
          <t>A 17144-2025</t>
        </is>
      </c>
      <c r="B508" s="1" t="n">
        <v>45755.9499537037</v>
      </c>
      <c r="C508" s="1" t="n">
        <v>46070</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49314-2024</t>
        </is>
      </c>
      <c r="B509" s="1" t="n">
        <v>45595.55893518519</v>
      </c>
      <c r="C509" s="1" t="n">
        <v>46070</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9875-2025</t>
        </is>
      </c>
      <c r="B510" s="1" t="n">
        <v>45716</v>
      </c>
      <c r="C510" s="1" t="n">
        <v>46070</v>
      </c>
      <c r="D510" t="inlineStr">
        <is>
          <t>GOTLANDS LÄN</t>
        </is>
      </c>
      <c r="E510" t="inlineStr">
        <is>
          <t>GOTLAND</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29809-2022</t>
        </is>
      </c>
      <c r="B511" s="1" t="n">
        <v>44755.8713425926</v>
      </c>
      <c r="C511" s="1" t="n">
        <v>46070</v>
      </c>
      <c r="D511" t="inlineStr">
        <is>
          <t>GOTLANDS LÄN</t>
        </is>
      </c>
      <c r="E511" t="inlineStr">
        <is>
          <t>GOTLAND</t>
        </is>
      </c>
      <c r="G511" t="n">
        <v>11.5</v>
      </c>
      <c r="H511" t="n">
        <v>0</v>
      </c>
      <c r="I511" t="n">
        <v>0</v>
      </c>
      <c r="J511" t="n">
        <v>0</v>
      </c>
      <c r="K511" t="n">
        <v>0</v>
      </c>
      <c r="L511" t="n">
        <v>0</v>
      </c>
      <c r="M511" t="n">
        <v>0</v>
      </c>
      <c r="N511" t="n">
        <v>0</v>
      </c>
      <c r="O511" t="n">
        <v>0</v>
      </c>
      <c r="P511" t="n">
        <v>0</v>
      </c>
      <c r="Q511" t="n">
        <v>0</v>
      </c>
      <c r="R511" s="2" t="inlineStr"/>
    </row>
    <row r="512" ht="15" customHeight="1">
      <c r="A512" t="inlineStr">
        <is>
          <t>A 16361-2024</t>
        </is>
      </c>
      <c r="B512" s="1" t="n">
        <v>45407</v>
      </c>
      <c r="C512" s="1" t="n">
        <v>46070</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43081-2022</t>
        </is>
      </c>
      <c r="B513" s="1" t="n">
        <v>44833</v>
      </c>
      <c r="C513" s="1" t="n">
        <v>46070</v>
      </c>
      <c r="D513" t="inlineStr">
        <is>
          <t>GOTLANDS LÄN</t>
        </is>
      </c>
      <c r="E513" t="inlineStr">
        <is>
          <t>GOTLAND</t>
        </is>
      </c>
      <c r="G513" t="n">
        <v>6.8</v>
      </c>
      <c r="H513" t="n">
        <v>0</v>
      </c>
      <c r="I513" t="n">
        <v>0</v>
      </c>
      <c r="J513" t="n">
        <v>0</v>
      </c>
      <c r="K513" t="n">
        <v>0</v>
      </c>
      <c r="L513" t="n">
        <v>0</v>
      </c>
      <c r="M513" t="n">
        <v>0</v>
      </c>
      <c r="N513" t="n">
        <v>0</v>
      </c>
      <c r="O513" t="n">
        <v>0</v>
      </c>
      <c r="P513" t="n">
        <v>0</v>
      </c>
      <c r="Q513" t="n">
        <v>0</v>
      </c>
      <c r="R513" s="2" t="inlineStr"/>
    </row>
    <row r="514" ht="15" customHeight="1">
      <c r="A514" t="inlineStr">
        <is>
          <t>A 1175-2025</t>
        </is>
      </c>
      <c r="B514" s="1" t="n">
        <v>45667.34449074074</v>
      </c>
      <c r="C514" s="1" t="n">
        <v>46070</v>
      </c>
      <c r="D514" t="inlineStr">
        <is>
          <t>GOTLANDS LÄN</t>
        </is>
      </c>
      <c r="E514" t="inlineStr">
        <is>
          <t>GOTLAND</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42201-2023</t>
        </is>
      </c>
      <c r="B515" s="1" t="n">
        <v>45179</v>
      </c>
      <c r="C515" s="1" t="n">
        <v>46070</v>
      </c>
      <c r="D515" t="inlineStr">
        <is>
          <t>GOTLANDS LÄN</t>
        </is>
      </c>
      <c r="E515" t="inlineStr">
        <is>
          <t>GOTLAND</t>
        </is>
      </c>
      <c r="G515" t="n">
        <v>11.9</v>
      </c>
      <c r="H515" t="n">
        <v>0</v>
      </c>
      <c r="I515" t="n">
        <v>0</v>
      </c>
      <c r="J515" t="n">
        <v>0</v>
      </c>
      <c r="K515" t="n">
        <v>0</v>
      </c>
      <c r="L515" t="n">
        <v>0</v>
      </c>
      <c r="M515" t="n">
        <v>0</v>
      </c>
      <c r="N515" t="n">
        <v>0</v>
      </c>
      <c r="O515" t="n">
        <v>0</v>
      </c>
      <c r="P515" t="n">
        <v>0</v>
      </c>
      <c r="Q515" t="n">
        <v>0</v>
      </c>
      <c r="R515" s="2" t="inlineStr"/>
    </row>
    <row r="516" ht="15" customHeight="1">
      <c r="A516" t="inlineStr">
        <is>
          <t>A 3150-2025</t>
        </is>
      </c>
      <c r="B516" s="1" t="n">
        <v>45679.28974537037</v>
      </c>
      <c r="C516" s="1" t="n">
        <v>46070</v>
      </c>
      <c r="D516" t="inlineStr">
        <is>
          <t>GOTLANDS LÄN</t>
        </is>
      </c>
      <c r="E516" t="inlineStr">
        <is>
          <t>GOTLAND</t>
        </is>
      </c>
      <c r="G516" t="n">
        <v>2.5</v>
      </c>
      <c r="H516" t="n">
        <v>0</v>
      </c>
      <c r="I516" t="n">
        <v>0</v>
      </c>
      <c r="J516" t="n">
        <v>0</v>
      </c>
      <c r="K516" t="n">
        <v>0</v>
      </c>
      <c r="L516" t="n">
        <v>0</v>
      </c>
      <c r="M516" t="n">
        <v>0</v>
      </c>
      <c r="N516" t="n">
        <v>0</v>
      </c>
      <c r="O516" t="n">
        <v>0</v>
      </c>
      <c r="P516" t="n">
        <v>0</v>
      </c>
      <c r="Q516" t="n">
        <v>0</v>
      </c>
      <c r="R516" s="2" t="inlineStr"/>
    </row>
    <row r="517" ht="15" customHeight="1">
      <c r="A517" t="inlineStr">
        <is>
          <t>A 42041-2024</t>
        </is>
      </c>
      <c r="B517" s="1" t="n">
        <v>45561</v>
      </c>
      <c r="C517" s="1" t="n">
        <v>46070</v>
      </c>
      <c r="D517" t="inlineStr">
        <is>
          <t>GOTLANDS LÄN</t>
        </is>
      </c>
      <c r="E517" t="inlineStr">
        <is>
          <t>GOTLAND</t>
        </is>
      </c>
      <c r="G517" t="n">
        <v>3.2</v>
      </c>
      <c r="H517" t="n">
        <v>0</v>
      </c>
      <c r="I517" t="n">
        <v>0</v>
      </c>
      <c r="J517" t="n">
        <v>0</v>
      </c>
      <c r="K517" t="n">
        <v>0</v>
      </c>
      <c r="L517" t="n">
        <v>0</v>
      </c>
      <c r="M517" t="n">
        <v>0</v>
      </c>
      <c r="N517" t="n">
        <v>0</v>
      </c>
      <c r="O517" t="n">
        <v>0</v>
      </c>
      <c r="P517" t="n">
        <v>0</v>
      </c>
      <c r="Q517" t="n">
        <v>0</v>
      </c>
      <c r="R517" s="2" t="inlineStr"/>
    </row>
    <row r="518" ht="15" customHeight="1">
      <c r="A518" t="inlineStr">
        <is>
          <t>A 15436-2025</t>
        </is>
      </c>
      <c r="B518" s="1" t="n">
        <v>45747.47462962963</v>
      </c>
      <c r="C518" s="1" t="n">
        <v>46070</v>
      </c>
      <c r="D518" t="inlineStr">
        <is>
          <t>GOTLANDS LÄN</t>
        </is>
      </c>
      <c r="E518" t="inlineStr">
        <is>
          <t>GOTLAND</t>
        </is>
      </c>
      <c r="G518" t="n">
        <v>4.1</v>
      </c>
      <c r="H518" t="n">
        <v>0</v>
      </c>
      <c r="I518" t="n">
        <v>0</v>
      </c>
      <c r="J518" t="n">
        <v>0</v>
      </c>
      <c r="K518" t="n">
        <v>0</v>
      </c>
      <c r="L518" t="n">
        <v>0</v>
      </c>
      <c r="M518" t="n">
        <v>0</v>
      </c>
      <c r="N518" t="n">
        <v>0</v>
      </c>
      <c r="O518" t="n">
        <v>0</v>
      </c>
      <c r="P518" t="n">
        <v>0</v>
      </c>
      <c r="Q518" t="n">
        <v>0</v>
      </c>
      <c r="R518" s="2" t="inlineStr"/>
    </row>
    <row r="519" ht="15" customHeight="1">
      <c r="A519" t="inlineStr">
        <is>
          <t>A 21247-2022</t>
        </is>
      </c>
      <c r="B519" s="1" t="n">
        <v>44705.38832175926</v>
      </c>
      <c r="C519" s="1" t="n">
        <v>46070</v>
      </c>
      <c r="D519" t="inlineStr">
        <is>
          <t>GOTLANDS LÄN</t>
        </is>
      </c>
      <c r="E519" t="inlineStr">
        <is>
          <t>GOTLAND</t>
        </is>
      </c>
      <c r="G519" t="n">
        <v>16.2</v>
      </c>
      <c r="H519" t="n">
        <v>0</v>
      </c>
      <c r="I519" t="n">
        <v>0</v>
      </c>
      <c r="J519" t="n">
        <v>0</v>
      </c>
      <c r="K519" t="n">
        <v>0</v>
      </c>
      <c r="L519" t="n">
        <v>0</v>
      </c>
      <c r="M519" t="n">
        <v>0</v>
      </c>
      <c r="N519" t="n">
        <v>0</v>
      </c>
      <c r="O519" t="n">
        <v>0</v>
      </c>
      <c r="P519" t="n">
        <v>0</v>
      </c>
      <c r="Q519" t="n">
        <v>0</v>
      </c>
      <c r="R519" s="2" t="inlineStr"/>
    </row>
    <row r="520" ht="15" customHeight="1">
      <c r="A520" t="inlineStr">
        <is>
          <t>A 17780-2022</t>
        </is>
      </c>
      <c r="B520" s="1" t="n">
        <v>44682.82622685185</v>
      </c>
      <c r="C520" s="1" t="n">
        <v>46070</v>
      </c>
      <c r="D520" t="inlineStr">
        <is>
          <t>GOTLANDS LÄN</t>
        </is>
      </c>
      <c r="E520" t="inlineStr">
        <is>
          <t>GOTLAND</t>
        </is>
      </c>
      <c r="G520" t="n">
        <v>2.2</v>
      </c>
      <c r="H520" t="n">
        <v>0</v>
      </c>
      <c r="I520" t="n">
        <v>0</v>
      </c>
      <c r="J520" t="n">
        <v>0</v>
      </c>
      <c r="K520" t="n">
        <v>0</v>
      </c>
      <c r="L520" t="n">
        <v>0</v>
      </c>
      <c r="M520" t="n">
        <v>0</v>
      </c>
      <c r="N520" t="n">
        <v>0</v>
      </c>
      <c r="O520" t="n">
        <v>0</v>
      </c>
      <c r="P520" t="n">
        <v>0</v>
      </c>
      <c r="Q520" t="n">
        <v>0</v>
      </c>
      <c r="R520" s="2" t="inlineStr"/>
    </row>
    <row r="521" ht="15" customHeight="1">
      <c r="A521" t="inlineStr">
        <is>
          <t>A 63516-2023</t>
        </is>
      </c>
      <c r="B521" s="1" t="n">
        <v>45274</v>
      </c>
      <c r="C521" s="1" t="n">
        <v>46070</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53935-2024</t>
        </is>
      </c>
      <c r="B522" s="1" t="n">
        <v>45615</v>
      </c>
      <c r="C522" s="1" t="n">
        <v>46070</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69112-2021</t>
        </is>
      </c>
      <c r="B523" s="1" t="n">
        <v>44530</v>
      </c>
      <c r="C523" s="1" t="n">
        <v>46070</v>
      </c>
      <c r="D523" t="inlineStr">
        <is>
          <t>GOTLANDS LÄN</t>
        </is>
      </c>
      <c r="E523" t="inlineStr">
        <is>
          <t>GOTLAND</t>
        </is>
      </c>
      <c r="G523" t="n">
        <v>4.2</v>
      </c>
      <c r="H523" t="n">
        <v>0</v>
      </c>
      <c r="I523" t="n">
        <v>0</v>
      </c>
      <c r="J523" t="n">
        <v>0</v>
      </c>
      <c r="K523" t="n">
        <v>0</v>
      </c>
      <c r="L523" t="n">
        <v>0</v>
      </c>
      <c r="M523" t="n">
        <v>0</v>
      </c>
      <c r="N523" t="n">
        <v>0</v>
      </c>
      <c r="O523" t="n">
        <v>0</v>
      </c>
      <c r="P523" t="n">
        <v>0</v>
      </c>
      <c r="Q523" t="n">
        <v>0</v>
      </c>
      <c r="R523" s="2" t="inlineStr"/>
    </row>
    <row r="524" ht="15" customHeight="1">
      <c r="A524" t="inlineStr">
        <is>
          <t>A 48734-2022</t>
        </is>
      </c>
      <c r="B524" s="1" t="n">
        <v>44855</v>
      </c>
      <c r="C524" s="1" t="n">
        <v>46070</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23516-2023</t>
        </is>
      </c>
      <c r="B525" s="1" t="n">
        <v>45076.93391203704</v>
      </c>
      <c r="C525" s="1" t="n">
        <v>46070</v>
      </c>
      <c r="D525" t="inlineStr">
        <is>
          <t>GOTLANDS LÄN</t>
        </is>
      </c>
      <c r="E525" t="inlineStr">
        <is>
          <t>GOTLAND</t>
        </is>
      </c>
      <c r="G525" t="n">
        <v>1.4</v>
      </c>
      <c r="H525" t="n">
        <v>0</v>
      </c>
      <c r="I525" t="n">
        <v>0</v>
      </c>
      <c r="J525" t="n">
        <v>0</v>
      </c>
      <c r="K525" t="n">
        <v>0</v>
      </c>
      <c r="L525" t="n">
        <v>0</v>
      </c>
      <c r="M525" t="n">
        <v>0</v>
      </c>
      <c r="N525" t="n">
        <v>0</v>
      </c>
      <c r="O525" t="n">
        <v>0</v>
      </c>
      <c r="P525" t="n">
        <v>0</v>
      </c>
      <c r="Q525" t="n">
        <v>0</v>
      </c>
      <c r="R525" s="2" t="inlineStr"/>
    </row>
    <row r="526" ht="15" customHeight="1">
      <c r="A526" t="inlineStr">
        <is>
          <t>A 43231-2023</t>
        </is>
      </c>
      <c r="B526" s="1" t="n">
        <v>45183.47025462963</v>
      </c>
      <c r="C526" s="1" t="n">
        <v>46070</v>
      </c>
      <c r="D526" t="inlineStr">
        <is>
          <t>GOTLANDS LÄN</t>
        </is>
      </c>
      <c r="E526" t="inlineStr">
        <is>
          <t>GOTLAND</t>
        </is>
      </c>
      <c r="G526" t="n">
        <v>3.6</v>
      </c>
      <c r="H526" t="n">
        <v>0</v>
      </c>
      <c r="I526" t="n">
        <v>0</v>
      </c>
      <c r="J526" t="n">
        <v>0</v>
      </c>
      <c r="K526" t="n">
        <v>0</v>
      </c>
      <c r="L526" t="n">
        <v>0</v>
      </c>
      <c r="M526" t="n">
        <v>0</v>
      </c>
      <c r="N526" t="n">
        <v>0</v>
      </c>
      <c r="O526" t="n">
        <v>0</v>
      </c>
      <c r="P526" t="n">
        <v>0</v>
      </c>
      <c r="Q526" t="n">
        <v>0</v>
      </c>
      <c r="R526" s="2" t="inlineStr"/>
    </row>
    <row r="527" ht="15" customHeight="1">
      <c r="A527" t="inlineStr">
        <is>
          <t>A 58230-2024</t>
        </is>
      </c>
      <c r="B527" s="1" t="n">
        <v>45632.51625</v>
      </c>
      <c r="C527" s="1" t="n">
        <v>46070</v>
      </c>
      <c r="D527" t="inlineStr">
        <is>
          <t>GOTLANDS LÄN</t>
        </is>
      </c>
      <c r="E527" t="inlineStr">
        <is>
          <t>GOTLAND</t>
        </is>
      </c>
      <c r="G527" t="n">
        <v>7.3</v>
      </c>
      <c r="H527" t="n">
        <v>0</v>
      </c>
      <c r="I527" t="n">
        <v>0</v>
      </c>
      <c r="J527" t="n">
        <v>0</v>
      </c>
      <c r="K527" t="n">
        <v>0</v>
      </c>
      <c r="L527" t="n">
        <v>0</v>
      </c>
      <c r="M527" t="n">
        <v>0</v>
      </c>
      <c r="N527" t="n">
        <v>0</v>
      </c>
      <c r="O527" t="n">
        <v>0</v>
      </c>
      <c r="P527" t="n">
        <v>0</v>
      </c>
      <c r="Q527" t="n">
        <v>0</v>
      </c>
      <c r="R527" s="2" t="inlineStr"/>
    </row>
    <row r="528" ht="15" customHeight="1">
      <c r="A528" t="inlineStr">
        <is>
          <t>A 64555-2023</t>
        </is>
      </c>
      <c r="B528" s="1" t="n">
        <v>45281</v>
      </c>
      <c r="C528" s="1" t="n">
        <v>46070</v>
      </c>
      <c r="D528" t="inlineStr">
        <is>
          <t>GOTLANDS LÄN</t>
        </is>
      </c>
      <c r="E528" t="inlineStr">
        <is>
          <t>GOTLAND</t>
        </is>
      </c>
      <c r="G528" t="n">
        <v>3.5</v>
      </c>
      <c r="H528" t="n">
        <v>0</v>
      </c>
      <c r="I528" t="n">
        <v>0</v>
      </c>
      <c r="J528" t="n">
        <v>0</v>
      </c>
      <c r="K528" t="n">
        <v>0</v>
      </c>
      <c r="L528" t="n">
        <v>0</v>
      </c>
      <c r="M528" t="n">
        <v>0</v>
      </c>
      <c r="N528" t="n">
        <v>0</v>
      </c>
      <c r="O528" t="n">
        <v>0</v>
      </c>
      <c r="P528" t="n">
        <v>0</v>
      </c>
      <c r="Q528" t="n">
        <v>0</v>
      </c>
      <c r="R528" s="2" t="inlineStr"/>
    </row>
    <row r="529" ht="15" customHeight="1">
      <c r="A529" t="inlineStr">
        <is>
          <t>A 457-2023</t>
        </is>
      </c>
      <c r="B529" s="1" t="n">
        <v>44929.87238425926</v>
      </c>
      <c r="C529" s="1" t="n">
        <v>46070</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459-2023</t>
        </is>
      </c>
      <c r="B530" s="1" t="n">
        <v>44929.87423611111</v>
      </c>
      <c r="C530" s="1" t="n">
        <v>46070</v>
      </c>
      <c r="D530" t="inlineStr">
        <is>
          <t>GOTLANDS LÄN</t>
        </is>
      </c>
      <c r="E530" t="inlineStr">
        <is>
          <t>GOTLAND</t>
        </is>
      </c>
      <c r="G530" t="n">
        <v>4.2</v>
      </c>
      <c r="H530" t="n">
        <v>0</v>
      </c>
      <c r="I530" t="n">
        <v>0</v>
      </c>
      <c r="J530" t="n">
        <v>0</v>
      </c>
      <c r="K530" t="n">
        <v>0</v>
      </c>
      <c r="L530" t="n">
        <v>0</v>
      </c>
      <c r="M530" t="n">
        <v>0</v>
      </c>
      <c r="N530" t="n">
        <v>0</v>
      </c>
      <c r="O530" t="n">
        <v>0</v>
      </c>
      <c r="P530" t="n">
        <v>0</v>
      </c>
      <c r="Q530" t="n">
        <v>0</v>
      </c>
      <c r="R530" s="2" t="inlineStr"/>
    </row>
    <row r="531" ht="15" customHeight="1">
      <c r="A531" t="inlineStr">
        <is>
          <t>A 876-2024</t>
        </is>
      </c>
      <c r="B531" s="1" t="n">
        <v>45301</v>
      </c>
      <c r="C531" s="1" t="n">
        <v>46070</v>
      </c>
      <c r="D531" t="inlineStr">
        <is>
          <t>GOTLANDS LÄN</t>
        </is>
      </c>
      <c r="E531" t="inlineStr">
        <is>
          <t>GOTLAND</t>
        </is>
      </c>
      <c r="G531" t="n">
        <v>5.3</v>
      </c>
      <c r="H531" t="n">
        <v>0</v>
      </c>
      <c r="I531" t="n">
        <v>0</v>
      </c>
      <c r="J531" t="n">
        <v>0</v>
      </c>
      <c r="K531" t="n">
        <v>0</v>
      </c>
      <c r="L531" t="n">
        <v>0</v>
      </c>
      <c r="M531" t="n">
        <v>0</v>
      </c>
      <c r="N531" t="n">
        <v>0</v>
      </c>
      <c r="O531" t="n">
        <v>0</v>
      </c>
      <c r="P531" t="n">
        <v>0</v>
      </c>
      <c r="Q531" t="n">
        <v>0</v>
      </c>
      <c r="R531" s="2" t="inlineStr"/>
    </row>
    <row r="532" ht="15" customHeight="1">
      <c r="A532" t="inlineStr">
        <is>
          <t>A 26891-2024</t>
        </is>
      </c>
      <c r="B532" s="1" t="n">
        <v>45470.65540509259</v>
      </c>
      <c r="C532" s="1" t="n">
        <v>46070</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14536-2021</t>
        </is>
      </c>
      <c r="B533" s="1" t="n">
        <v>44279.66168981481</v>
      </c>
      <c r="C533" s="1" t="n">
        <v>46070</v>
      </c>
      <c r="D533" t="inlineStr">
        <is>
          <t>GOTLANDS LÄN</t>
        </is>
      </c>
      <c r="E533" t="inlineStr">
        <is>
          <t>GOTLAND</t>
        </is>
      </c>
      <c r="G533" t="n">
        <v>8.5</v>
      </c>
      <c r="H533" t="n">
        <v>0</v>
      </c>
      <c r="I533" t="n">
        <v>0</v>
      </c>
      <c r="J533" t="n">
        <v>0</v>
      </c>
      <c r="K533" t="n">
        <v>0</v>
      </c>
      <c r="L533" t="n">
        <v>0</v>
      </c>
      <c r="M533" t="n">
        <v>0</v>
      </c>
      <c r="N533" t="n">
        <v>0</v>
      </c>
      <c r="O533" t="n">
        <v>0</v>
      </c>
      <c r="P533" t="n">
        <v>0</v>
      </c>
      <c r="Q533" t="n">
        <v>0</v>
      </c>
      <c r="R533" s="2" t="inlineStr"/>
    </row>
    <row r="534" ht="15" customHeight="1">
      <c r="A534" t="inlineStr">
        <is>
          <t>A 5923-2023</t>
        </is>
      </c>
      <c r="B534" s="1" t="n">
        <v>44963.69503472222</v>
      </c>
      <c r="C534" s="1" t="n">
        <v>46070</v>
      </c>
      <c r="D534" t="inlineStr">
        <is>
          <t>GOTLANDS LÄN</t>
        </is>
      </c>
      <c r="E534" t="inlineStr">
        <is>
          <t>GOTLAND</t>
        </is>
      </c>
      <c r="G534" t="n">
        <v>2.6</v>
      </c>
      <c r="H534" t="n">
        <v>0</v>
      </c>
      <c r="I534" t="n">
        <v>0</v>
      </c>
      <c r="J534" t="n">
        <v>0</v>
      </c>
      <c r="K534" t="n">
        <v>0</v>
      </c>
      <c r="L534" t="n">
        <v>0</v>
      </c>
      <c r="M534" t="n">
        <v>0</v>
      </c>
      <c r="N534" t="n">
        <v>0</v>
      </c>
      <c r="O534" t="n">
        <v>0</v>
      </c>
      <c r="P534" t="n">
        <v>0</v>
      </c>
      <c r="Q534" t="n">
        <v>0</v>
      </c>
      <c r="R534" s="2" t="inlineStr"/>
    </row>
    <row r="535" ht="15" customHeight="1">
      <c r="A535" t="inlineStr">
        <is>
          <t>A 50482-2024</t>
        </is>
      </c>
      <c r="B535" s="1" t="n">
        <v>45601.48114583334</v>
      </c>
      <c r="C535" s="1" t="n">
        <v>46070</v>
      </c>
      <c r="D535" t="inlineStr">
        <is>
          <t>GOTLANDS LÄN</t>
        </is>
      </c>
      <c r="E535" t="inlineStr">
        <is>
          <t>GOTLAND</t>
        </is>
      </c>
      <c r="G535" t="n">
        <v>2.3</v>
      </c>
      <c r="H535" t="n">
        <v>0</v>
      </c>
      <c r="I535" t="n">
        <v>0</v>
      </c>
      <c r="J535" t="n">
        <v>0</v>
      </c>
      <c r="K535" t="n">
        <v>0</v>
      </c>
      <c r="L535" t="n">
        <v>0</v>
      </c>
      <c r="M535" t="n">
        <v>0</v>
      </c>
      <c r="N535" t="n">
        <v>0</v>
      </c>
      <c r="O535" t="n">
        <v>0</v>
      </c>
      <c r="P535" t="n">
        <v>0</v>
      </c>
      <c r="Q535" t="n">
        <v>0</v>
      </c>
      <c r="R535" s="2" t="inlineStr"/>
    </row>
    <row r="536" ht="15" customHeight="1">
      <c r="A536" t="inlineStr">
        <is>
          <t>A 5943-2024</t>
        </is>
      </c>
      <c r="B536" s="1" t="n">
        <v>45336</v>
      </c>
      <c r="C536" s="1" t="n">
        <v>46070</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38234-2023</t>
        </is>
      </c>
      <c r="B537" s="1" t="n">
        <v>45161.56663194444</v>
      </c>
      <c r="C537" s="1" t="n">
        <v>46070</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1273-2023</t>
        </is>
      </c>
      <c r="B538" s="1" t="n">
        <v>44936</v>
      </c>
      <c r="C538" s="1" t="n">
        <v>46070</v>
      </c>
      <c r="D538" t="inlineStr">
        <is>
          <t>GOTLANDS LÄN</t>
        </is>
      </c>
      <c r="E538" t="inlineStr">
        <is>
          <t>GOTLAND</t>
        </is>
      </c>
      <c r="G538" t="n">
        <v>4.5</v>
      </c>
      <c r="H538" t="n">
        <v>0</v>
      </c>
      <c r="I538" t="n">
        <v>0</v>
      </c>
      <c r="J538" t="n">
        <v>0</v>
      </c>
      <c r="K538" t="n">
        <v>0</v>
      </c>
      <c r="L538" t="n">
        <v>0</v>
      </c>
      <c r="M538" t="n">
        <v>0</v>
      </c>
      <c r="N538" t="n">
        <v>0</v>
      </c>
      <c r="O538" t="n">
        <v>0</v>
      </c>
      <c r="P538" t="n">
        <v>0</v>
      </c>
      <c r="Q538" t="n">
        <v>0</v>
      </c>
      <c r="R538" s="2" t="inlineStr"/>
    </row>
    <row r="539" ht="15" customHeight="1">
      <c r="A539" t="inlineStr">
        <is>
          <t>A 17724-2024</t>
        </is>
      </c>
      <c r="B539" s="1" t="n">
        <v>45418.55096064815</v>
      </c>
      <c r="C539" s="1" t="n">
        <v>46070</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23978-2023</t>
        </is>
      </c>
      <c r="B540" s="1" t="n">
        <v>45078</v>
      </c>
      <c r="C540" s="1" t="n">
        <v>46070</v>
      </c>
      <c r="D540" t="inlineStr">
        <is>
          <t>GOTLANDS LÄN</t>
        </is>
      </c>
      <c r="E540" t="inlineStr">
        <is>
          <t>GOTLAND</t>
        </is>
      </c>
      <c r="F540" t="inlineStr">
        <is>
          <t>Naturvårdsverket</t>
        </is>
      </c>
      <c r="G540" t="n">
        <v>1.7</v>
      </c>
      <c r="H540" t="n">
        <v>0</v>
      </c>
      <c r="I540" t="n">
        <v>0</v>
      </c>
      <c r="J540" t="n">
        <v>0</v>
      </c>
      <c r="K540" t="n">
        <v>0</v>
      </c>
      <c r="L540" t="n">
        <v>0</v>
      </c>
      <c r="M540" t="n">
        <v>0</v>
      </c>
      <c r="N540" t="n">
        <v>0</v>
      </c>
      <c r="O540" t="n">
        <v>0</v>
      </c>
      <c r="P540" t="n">
        <v>0</v>
      </c>
      <c r="Q540" t="n">
        <v>0</v>
      </c>
      <c r="R540" s="2" t="inlineStr"/>
    </row>
    <row r="541" ht="15" customHeight="1">
      <c r="A541" t="inlineStr">
        <is>
          <t>A 49884-2023</t>
        </is>
      </c>
      <c r="B541" s="1" t="n">
        <v>45213</v>
      </c>
      <c r="C541" s="1" t="n">
        <v>46070</v>
      </c>
      <c r="D541" t="inlineStr">
        <is>
          <t>GOTLANDS LÄN</t>
        </is>
      </c>
      <c r="E541" t="inlineStr">
        <is>
          <t>GOTLAND</t>
        </is>
      </c>
      <c r="G541" t="n">
        <v>8.9</v>
      </c>
      <c r="H541" t="n">
        <v>0</v>
      </c>
      <c r="I541" t="n">
        <v>0</v>
      </c>
      <c r="J541" t="n">
        <v>0</v>
      </c>
      <c r="K541" t="n">
        <v>0</v>
      </c>
      <c r="L541" t="n">
        <v>0</v>
      </c>
      <c r="M541" t="n">
        <v>0</v>
      </c>
      <c r="N541" t="n">
        <v>0</v>
      </c>
      <c r="O541" t="n">
        <v>0</v>
      </c>
      <c r="P541" t="n">
        <v>0</v>
      </c>
      <c r="Q541" t="n">
        <v>0</v>
      </c>
      <c r="R541" s="2" t="inlineStr"/>
    </row>
    <row r="542" ht="15" customHeight="1">
      <c r="A542" t="inlineStr">
        <is>
          <t>A 12846-2025</t>
        </is>
      </c>
      <c r="B542" s="1" t="n">
        <v>45733.65049768519</v>
      </c>
      <c r="C542" s="1" t="n">
        <v>46070</v>
      </c>
      <c r="D542" t="inlineStr">
        <is>
          <t>GOTLANDS LÄN</t>
        </is>
      </c>
      <c r="E542" t="inlineStr">
        <is>
          <t>GOTLAND</t>
        </is>
      </c>
      <c r="G542" t="n">
        <v>1.7</v>
      </c>
      <c r="H542" t="n">
        <v>0</v>
      </c>
      <c r="I542" t="n">
        <v>0</v>
      </c>
      <c r="J542" t="n">
        <v>0</v>
      </c>
      <c r="K542" t="n">
        <v>0</v>
      </c>
      <c r="L542" t="n">
        <v>0</v>
      </c>
      <c r="M542" t="n">
        <v>0</v>
      </c>
      <c r="N542" t="n">
        <v>0</v>
      </c>
      <c r="O542" t="n">
        <v>0</v>
      </c>
      <c r="P542" t="n">
        <v>0</v>
      </c>
      <c r="Q542" t="n">
        <v>0</v>
      </c>
      <c r="R542" s="2" t="inlineStr"/>
    </row>
    <row r="543" ht="15" customHeight="1">
      <c r="A543" t="inlineStr">
        <is>
          <t>A 43200-2023</t>
        </is>
      </c>
      <c r="B543" s="1" t="n">
        <v>45183</v>
      </c>
      <c r="C543" s="1" t="n">
        <v>46070</v>
      </c>
      <c r="D543" t="inlineStr">
        <is>
          <t>GOTLANDS LÄN</t>
        </is>
      </c>
      <c r="E543" t="inlineStr">
        <is>
          <t>GOTLAND</t>
        </is>
      </c>
      <c r="G543" t="n">
        <v>0.5</v>
      </c>
      <c r="H543" t="n">
        <v>0</v>
      </c>
      <c r="I543" t="n">
        <v>0</v>
      </c>
      <c r="J543" t="n">
        <v>0</v>
      </c>
      <c r="K543" t="n">
        <v>0</v>
      </c>
      <c r="L543" t="n">
        <v>0</v>
      </c>
      <c r="M543" t="n">
        <v>0</v>
      </c>
      <c r="N543" t="n">
        <v>0</v>
      </c>
      <c r="O543" t="n">
        <v>0</v>
      </c>
      <c r="P543" t="n">
        <v>0</v>
      </c>
      <c r="Q543" t="n">
        <v>0</v>
      </c>
      <c r="R543" s="2" t="inlineStr"/>
    </row>
    <row r="544" ht="15" customHeight="1">
      <c r="A544" t="inlineStr">
        <is>
          <t>A 3935-2025</t>
        </is>
      </c>
      <c r="B544" s="1" t="n">
        <v>45684.46070601852</v>
      </c>
      <c r="C544" s="1" t="n">
        <v>46070</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21792-2024</t>
        </is>
      </c>
      <c r="B545" s="1" t="n">
        <v>45442.64326388889</v>
      </c>
      <c r="C545" s="1" t="n">
        <v>46070</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48843-2024</t>
        </is>
      </c>
      <c r="B546" s="1" t="n">
        <v>45593</v>
      </c>
      <c r="C546" s="1" t="n">
        <v>46070</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10653-2023</t>
        </is>
      </c>
      <c r="B547" s="1" t="n">
        <v>44988.48859953704</v>
      </c>
      <c r="C547" s="1" t="n">
        <v>46070</v>
      </c>
      <c r="D547" t="inlineStr">
        <is>
          <t>GOTLANDS LÄN</t>
        </is>
      </c>
      <c r="E547" t="inlineStr">
        <is>
          <t>GOTLAND</t>
        </is>
      </c>
      <c r="F547" t="inlineStr">
        <is>
          <t>Kyrkan</t>
        </is>
      </c>
      <c r="G547" t="n">
        <v>3</v>
      </c>
      <c r="H547" t="n">
        <v>0</v>
      </c>
      <c r="I547" t="n">
        <v>0</v>
      </c>
      <c r="J547" t="n">
        <v>0</v>
      </c>
      <c r="K547" t="n">
        <v>0</v>
      </c>
      <c r="L547" t="n">
        <v>0</v>
      </c>
      <c r="M547" t="n">
        <v>0</v>
      </c>
      <c r="N547" t="n">
        <v>0</v>
      </c>
      <c r="O547" t="n">
        <v>0</v>
      </c>
      <c r="P547" t="n">
        <v>0</v>
      </c>
      <c r="Q547" t="n">
        <v>0</v>
      </c>
      <c r="R547" s="2" t="inlineStr"/>
    </row>
    <row r="548" ht="15" customHeight="1">
      <c r="A548" t="inlineStr">
        <is>
          <t>A 35512-2023</t>
        </is>
      </c>
      <c r="B548" s="1" t="n">
        <v>45147.25623842593</v>
      </c>
      <c r="C548" s="1" t="n">
        <v>46070</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11874-2024</t>
        </is>
      </c>
      <c r="B549" s="1" t="n">
        <v>45376.46956018519</v>
      </c>
      <c r="C549" s="1" t="n">
        <v>46070</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20225-2025</t>
        </is>
      </c>
      <c r="B550" s="1" t="n">
        <v>45772.65802083333</v>
      </c>
      <c r="C550" s="1" t="n">
        <v>46070</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1677-2023</t>
        </is>
      </c>
      <c r="B551" s="1" t="n">
        <v>44938</v>
      </c>
      <c r="C551" s="1" t="n">
        <v>46070</v>
      </c>
      <c r="D551" t="inlineStr">
        <is>
          <t>GOTLANDS LÄN</t>
        </is>
      </c>
      <c r="E551" t="inlineStr">
        <is>
          <t>GOTLAND</t>
        </is>
      </c>
      <c r="G551" t="n">
        <v>1.6</v>
      </c>
      <c r="H551" t="n">
        <v>0</v>
      </c>
      <c r="I551" t="n">
        <v>0</v>
      </c>
      <c r="J551" t="n">
        <v>0</v>
      </c>
      <c r="K551" t="n">
        <v>0</v>
      </c>
      <c r="L551" t="n">
        <v>0</v>
      </c>
      <c r="M551" t="n">
        <v>0</v>
      </c>
      <c r="N551" t="n">
        <v>0</v>
      </c>
      <c r="O551" t="n">
        <v>0</v>
      </c>
      <c r="P551" t="n">
        <v>0</v>
      </c>
      <c r="Q551" t="n">
        <v>0</v>
      </c>
      <c r="R551" s="2" t="inlineStr"/>
    </row>
    <row r="552" ht="15" customHeight="1">
      <c r="A552" t="inlineStr">
        <is>
          <t>A 64831-2023</t>
        </is>
      </c>
      <c r="B552" s="1" t="n">
        <v>45282.44924768519</v>
      </c>
      <c r="C552" s="1" t="n">
        <v>46070</v>
      </c>
      <c r="D552" t="inlineStr">
        <is>
          <t>GOTLANDS LÄN</t>
        </is>
      </c>
      <c r="E552" t="inlineStr">
        <is>
          <t>GOTLAND</t>
        </is>
      </c>
      <c r="G552" t="n">
        <v>1.9</v>
      </c>
      <c r="H552" t="n">
        <v>0</v>
      </c>
      <c r="I552" t="n">
        <v>0</v>
      </c>
      <c r="J552" t="n">
        <v>0</v>
      </c>
      <c r="K552" t="n">
        <v>0</v>
      </c>
      <c r="L552" t="n">
        <v>0</v>
      </c>
      <c r="M552" t="n">
        <v>0</v>
      </c>
      <c r="N552" t="n">
        <v>0</v>
      </c>
      <c r="O552" t="n">
        <v>0</v>
      </c>
      <c r="P552" t="n">
        <v>0</v>
      </c>
      <c r="Q552" t="n">
        <v>0</v>
      </c>
      <c r="R552" s="2" t="inlineStr"/>
    </row>
    <row r="553" ht="15" customHeight="1">
      <c r="A553" t="inlineStr">
        <is>
          <t>A 8036-2022</t>
        </is>
      </c>
      <c r="B553" s="1" t="n">
        <v>44609.44362268518</v>
      </c>
      <c r="C553" s="1" t="n">
        <v>46070</v>
      </c>
      <c r="D553" t="inlineStr">
        <is>
          <t>GOTLANDS LÄN</t>
        </is>
      </c>
      <c r="E553" t="inlineStr">
        <is>
          <t>GOTLAND</t>
        </is>
      </c>
      <c r="G553" t="n">
        <v>6.1</v>
      </c>
      <c r="H553" t="n">
        <v>0</v>
      </c>
      <c r="I553" t="n">
        <v>0</v>
      </c>
      <c r="J553" t="n">
        <v>0</v>
      </c>
      <c r="K553" t="n">
        <v>0</v>
      </c>
      <c r="L553" t="n">
        <v>0</v>
      </c>
      <c r="M553" t="n">
        <v>0</v>
      </c>
      <c r="N553" t="n">
        <v>0</v>
      </c>
      <c r="O553" t="n">
        <v>0</v>
      </c>
      <c r="P553" t="n">
        <v>0</v>
      </c>
      <c r="Q553" t="n">
        <v>0</v>
      </c>
      <c r="R553" s="2" t="inlineStr"/>
    </row>
    <row r="554" ht="15" customHeight="1">
      <c r="A554" t="inlineStr">
        <is>
          <t>A 46375-2024</t>
        </is>
      </c>
      <c r="B554" s="1" t="n">
        <v>45582</v>
      </c>
      <c r="C554" s="1" t="n">
        <v>46070</v>
      </c>
      <c r="D554" t="inlineStr">
        <is>
          <t>GOTLANDS LÄN</t>
        </is>
      </c>
      <c r="E554" t="inlineStr">
        <is>
          <t>GOTLAND</t>
        </is>
      </c>
      <c r="G554" t="n">
        <v>3</v>
      </c>
      <c r="H554" t="n">
        <v>0</v>
      </c>
      <c r="I554" t="n">
        <v>0</v>
      </c>
      <c r="J554" t="n">
        <v>0</v>
      </c>
      <c r="K554" t="n">
        <v>0</v>
      </c>
      <c r="L554" t="n">
        <v>0</v>
      </c>
      <c r="M554" t="n">
        <v>0</v>
      </c>
      <c r="N554" t="n">
        <v>0</v>
      </c>
      <c r="O554" t="n">
        <v>0</v>
      </c>
      <c r="P554" t="n">
        <v>0</v>
      </c>
      <c r="Q554" t="n">
        <v>0</v>
      </c>
      <c r="R554" s="2" t="inlineStr"/>
    </row>
    <row r="555" ht="15" customHeight="1">
      <c r="A555" t="inlineStr">
        <is>
          <t>A 62915-2021</t>
        </is>
      </c>
      <c r="B555" s="1" t="n">
        <v>44504</v>
      </c>
      <c r="C555" s="1" t="n">
        <v>46070</v>
      </c>
      <c r="D555" t="inlineStr">
        <is>
          <t>GOTLANDS LÄN</t>
        </is>
      </c>
      <c r="E555" t="inlineStr">
        <is>
          <t>GOTLAND</t>
        </is>
      </c>
      <c r="G555" t="n">
        <v>1.1</v>
      </c>
      <c r="H555" t="n">
        <v>0</v>
      </c>
      <c r="I555" t="n">
        <v>0</v>
      </c>
      <c r="J555" t="n">
        <v>0</v>
      </c>
      <c r="K555" t="n">
        <v>0</v>
      </c>
      <c r="L555" t="n">
        <v>0</v>
      </c>
      <c r="M555" t="n">
        <v>0</v>
      </c>
      <c r="N555" t="n">
        <v>0</v>
      </c>
      <c r="O555" t="n">
        <v>0</v>
      </c>
      <c r="P555" t="n">
        <v>0</v>
      </c>
      <c r="Q555" t="n">
        <v>0</v>
      </c>
      <c r="R555" s="2" t="inlineStr"/>
    </row>
    <row r="556" ht="15" customHeight="1">
      <c r="A556" t="inlineStr">
        <is>
          <t>A 7638-2025</t>
        </is>
      </c>
      <c r="B556" s="1" t="n">
        <v>45705.77306712963</v>
      </c>
      <c r="C556" s="1" t="n">
        <v>46070</v>
      </c>
      <c r="D556" t="inlineStr">
        <is>
          <t>GOTLANDS LÄN</t>
        </is>
      </c>
      <c r="E556" t="inlineStr">
        <is>
          <t>GOTLAND</t>
        </is>
      </c>
      <c r="G556" t="n">
        <v>2.2</v>
      </c>
      <c r="H556" t="n">
        <v>0</v>
      </c>
      <c r="I556" t="n">
        <v>0</v>
      </c>
      <c r="J556" t="n">
        <v>0</v>
      </c>
      <c r="K556" t="n">
        <v>0</v>
      </c>
      <c r="L556" t="n">
        <v>0</v>
      </c>
      <c r="M556" t="n">
        <v>0</v>
      </c>
      <c r="N556" t="n">
        <v>0</v>
      </c>
      <c r="O556" t="n">
        <v>0</v>
      </c>
      <c r="P556" t="n">
        <v>0</v>
      </c>
      <c r="Q556" t="n">
        <v>0</v>
      </c>
      <c r="R556" s="2" t="inlineStr"/>
    </row>
    <row r="557" ht="15" customHeight="1">
      <c r="A557" t="inlineStr">
        <is>
          <t>A 4377-2023</t>
        </is>
      </c>
      <c r="B557" s="1" t="n">
        <v>44955.5502662037</v>
      </c>
      <c r="C557" s="1" t="n">
        <v>46070</v>
      </c>
      <c r="D557" t="inlineStr">
        <is>
          <t>GOTLANDS LÄN</t>
        </is>
      </c>
      <c r="E557" t="inlineStr">
        <is>
          <t>GOTLAND</t>
        </is>
      </c>
      <c r="F557" t="inlineStr">
        <is>
          <t>Kyrkan</t>
        </is>
      </c>
      <c r="G557" t="n">
        <v>0.6</v>
      </c>
      <c r="H557" t="n">
        <v>0</v>
      </c>
      <c r="I557" t="n">
        <v>0</v>
      </c>
      <c r="J557" t="n">
        <v>0</v>
      </c>
      <c r="K557" t="n">
        <v>0</v>
      </c>
      <c r="L557" t="n">
        <v>0</v>
      </c>
      <c r="M557" t="n">
        <v>0</v>
      </c>
      <c r="N557" t="n">
        <v>0</v>
      </c>
      <c r="O557" t="n">
        <v>0</v>
      </c>
      <c r="P557" t="n">
        <v>0</v>
      </c>
      <c r="Q557" t="n">
        <v>0</v>
      </c>
      <c r="R557" s="2" t="inlineStr"/>
    </row>
    <row r="558" ht="15" customHeight="1">
      <c r="A558" t="inlineStr">
        <is>
          <t>A 43901-2023</t>
        </is>
      </c>
      <c r="B558" s="1" t="n">
        <v>45187</v>
      </c>
      <c r="C558" s="1" t="n">
        <v>46070</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17532-2024</t>
        </is>
      </c>
      <c r="B559" s="1" t="n">
        <v>45415</v>
      </c>
      <c r="C559" s="1" t="n">
        <v>46070</v>
      </c>
      <c r="D559" t="inlineStr">
        <is>
          <t>GOTLANDS LÄN</t>
        </is>
      </c>
      <c r="E559" t="inlineStr">
        <is>
          <t>GOTLAND</t>
        </is>
      </c>
      <c r="G559" t="n">
        <v>4.3</v>
      </c>
      <c r="H559" t="n">
        <v>0</v>
      </c>
      <c r="I559" t="n">
        <v>0</v>
      </c>
      <c r="J559" t="n">
        <v>0</v>
      </c>
      <c r="K559" t="n">
        <v>0</v>
      </c>
      <c r="L559" t="n">
        <v>0</v>
      </c>
      <c r="M559" t="n">
        <v>0</v>
      </c>
      <c r="N559" t="n">
        <v>0</v>
      </c>
      <c r="O559" t="n">
        <v>0</v>
      </c>
      <c r="P559" t="n">
        <v>0</v>
      </c>
      <c r="Q559" t="n">
        <v>0</v>
      </c>
      <c r="R559" s="2" t="inlineStr"/>
    </row>
    <row r="560" ht="15" customHeight="1">
      <c r="A560" t="inlineStr">
        <is>
          <t>A 45692-2023</t>
        </is>
      </c>
      <c r="B560" s="1" t="n">
        <v>45195</v>
      </c>
      <c r="C560" s="1" t="n">
        <v>46070</v>
      </c>
      <c r="D560" t="inlineStr">
        <is>
          <t>GOTLANDS LÄN</t>
        </is>
      </c>
      <c r="E560" t="inlineStr">
        <is>
          <t>GOTLAND</t>
        </is>
      </c>
      <c r="G560" t="n">
        <v>5.3</v>
      </c>
      <c r="H560" t="n">
        <v>0</v>
      </c>
      <c r="I560" t="n">
        <v>0</v>
      </c>
      <c r="J560" t="n">
        <v>0</v>
      </c>
      <c r="K560" t="n">
        <v>0</v>
      </c>
      <c r="L560" t="n">
        <v>0</v>
      </c>
      <c r="M560" t="n">
        <v>0</v>
      </c>
      <c r="N560" t="n">
        <v>0</v>
      </c>
      <c r="O560" t="n">
        <v>0</v>
      </c>
      <c r="P560" t="n">
        <v>0</v>
      </c>
      <c r="Q560" t="n">
        <v>0</v>
      </c>
      <c r="R560" s="2" t="inlineStr"/>
    </row>
    <row r="561" ht="15" customHeight="1">
      <c r="A561" t="inlineStr">
        <is>
          <t>A 37222-2021</t>
        </is>
      </c>
      <c r="B561" s="1" t="n">
        <v>44396</v>
      </c>
      <c r="C561" s="1" t="n">
        <v>46070</v>
      </c>
      <c r="D561" t="inlineStr">
        <is>
          <t>GOTLANDS LÄN</t>
        </is>
      </c>
      <c r="E561" t="inlineStr">
        <is>
          <t>GOTLAND</t>
        </is>
      </c>
      <c r="G561" t="n">
        <v>3</v>
      </c>
      <c r="H561" t="n">
        <v>0</v>
      </c>
      <c r="I561" t="n">
        <v>0</v>
      </c>
      <c r="J561" t="n">
        <v>0</v>
      </c>
      <c r="K561" t="n">
        <v>0</v>
      </c>
      <c r="L561" t="n">
        <v>0</v>
      </c>
      <c r="M561" t="n">
        <v>0</v>
      </c>
      <c r="N561" t="n">
        <v>0</v>
      </c>
      <c r="O561" t="n">
        <v>0</v>
      </c>
      <c r="P561" t="n">
        <v>0</v>
      </c>
      <c r="Q561" t="n">
        <v>0</v>
      </c>
      <c r="R561" s="2" t="inlineStr"/>
    </row>
    <row r="562" ht="15" customHeight="1">
      <c r="A562" t="inlineStr">
        <is>
          <t>A 46396-2023</t>
        </is>
      </c>
      <c r="B562" s="1" t="n">
        <v>45197</v>
      </c>
      <c r="C562" s="1" t="n">
        <v>46070</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58388-2022</t>
        </is>
      </c>
      <c r="B563" s="1" t="n">
        <v>44894</v>
      </c>
      <c r="C563" s="1" t="n">
        <v>46070</v>
      </c>
      <c r="D563" t="inlineStr">
        <is>
          <t>GOTLANDS LÄN</t>
        </is>
      </c>
      <c r="E563" t="inlineStr">
        <is>
          <t>GOTLAND</t>
        </is>
      </c>
      <c r="F563" t="inlineStr">
        <is>
          <t>Övriga statliga verk och myndigheter</t>
        </is>
      </c>
      <c r="G563" t="n">
        <v>3.1</v>
      </c>
      <c r="H563" t="n">
        <v>0</v>
      </c>
      <c r="I563" t="n">
        <v>0</v>
      </c>
      <c r="J563" t="n">
        <v>0</v>
      </c>
      <c r="K563" t="n">
        <v>0</v>
      </c>
      <c r="L563" t="n">
        <v>0</v>
      </c>
      <c r="M563" t="n">
        <v>0</v>
      </c>
      <c r="N563" t="n">
        <v>0</v>
      </c>
      <c r="O563" t="n">
        <v>0</v>
      </c>
      <c r="P563" t="n">
        <v>0</v>
      </c>
      <c r="Q563" t="n">
        <v>0</v>
      </c>
      <c r="R563" s="2" t="inlineStr"/>
    </row>
    <row r="564" ht="15" customHeight="1">
      <c r="A564" t="inlineStr">
        <is>
          <t>A 53934-2024</t>
        </is>
      </c>
      <c r="B564" s="1" t="n">
        <v>45615</v>
      </c>
      <c r="C564" s="1" t="n">
        <v>46070</v>
      </c>
      <c r="D564" t="inlineStr">
        <is>
          <t>GOTLANDS LÄN</t>
        </is>
      </c>
      <c r="E564" t="inlineStr">
        <is>
          <t>GOTLAND</t>
        </is>
      </c>
      <c r="G564" t="n">
        <v>5</v>
      </c>
      <c r="H564" t="n">
        <v>0</v>
      </c>
      <c r="I564" t="n">
        <v>0</v>
      </c>
      <c r="J564" t="n">
        <v>0</v>
      </c>
      <c r="K564" t="n">
        <v>0</v>
      </c>
      <c r="L564" t="n">
        <v>0</v>
      </c>
      <c r="M564" t="n">
        <v>0</v>
      </c>
      <c r="N564" t="n">
        <v>0</v>
      </c>
      <c r="O564" t="n">
        <v>0</v>
      </c>
      <c r="P564" t="n">
        <v>0</v>
      </c>
      <c r="Q564" t="n">
        <v>0</v>
      </c>
      <c r="R564" s="2" t="inlineStr"/>
    </row>
    <row r="565" ht="15" customHeight="1">
      <c r="A565" t="inlineStr">
        <is>
          <t>A 58132-2023</t>
        </is>
      </c>
      <c r="B565" s="1" t="n">
        <v>45250</v>
      </c>
      <c r="C565" s="1" t="n">
        <v>46070</v>
      </c>
      <c r="D565" t="inlineStr">
        <is>
          <t>GOTLANDS LÄN</t>
        </is>
      </c>
      <c r="E565" t="inlineStr">
        <is>
          <t>GOTLAND</t>
        </is>
      </c>
      <c r="G565" t="n">
        <v>3.1</v>
      </c>
      <c r="H565" t="n">
        <v>0</v>
      </c>
      <c r="I565" t="n">
        <v>0</v>
      </c>
      <c r="J565" t="n">
        <v>0</v>
      </c>
      <c r="K565" t="n">
        <v>0</v>
      </c>
      <c r="L565" t="n">
        <v>0</v>
      </c>
      <c r="M565" t="n">
        <v>0</v>
      </c>
      <c r="N565" t="n">
        <v>0</v>
      </c>
      <c r="O565" t="n">
        <v>0</v>
      </c>
      <c r="P565" t="n">
        <v>0</v>
      </c>
      <c r="Q565" t="n">
        <v>0</v>
      </c>
      <c r="R565" s="2" t="inlineStr"/>
    </row>
    <row r="566" ht="15" customHeight="1">
      <c r="A566" t="inlineStr">
        <is>
          <t>A 22899-2023</t>
        </is>
      </c>
      <c r="B566" s="1" t="n">
        <v>45072</v>
      </c>
      <c r="C566" s="1" t="n">
        <v>46070</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28285-2024</t>
        </is>
      </c>
      <c r="B567" s="1" t="n">
        <v>45477</v>
      </c>
      <c r="C567" s="1" t="n">
        <v>46070</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51963-2024</t>
        </is>
      </c>
      <c r="B568" s="1" t="n">
        <v>45607.64833333333</v>
      </c>
      <c r="C568" s="1" t="n">
        <v>46070</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1734-2025</t>
        </is>
      </c>
      <c r="B569" s="1" t="n">
        <v>45671.3840625</v>
      </c>
      <c r="C569" s="1" t="n">
        <v>46070</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30365-2024</t>
        </is>
      </c>
      <c r="B570" s="1" t="n">
        <v>45491.3716087963</v>
      </c>
      <c r="C570" s="1" t="n">
        <v>46070</v>
      </c>
      <c r="D570" t="inlineStr">
        <is>
          <t>GOTLANDS LÄN</t>
        </is>
      </c>
      <c r="E570" t="inlineStr">
        <is>
          <t>GOTLAND</t>
        </is>
      </c>
      <c r="G570" t="n">
        <v>0.5</v>
      </c>
      <c r="H570" t="n">
        <v>0</v>
      </c>
      <c r="I570" t="n">
        <v>0</v>
      </c>
      <c r="J570" t="n">
        <v>0</v>
      </c>
      <c r="K570" t="n">
        <v>0</v>
      </c>
      <c r="L570" t="n">
        <v>0</v>
      </c>
      <c r="M570" t="n">
        <v>0</v>
      </c>
      <c r="N570" t="n">
        <v>0</v>
      </c>
      <c r="O570" t="n">
        <v>0</v>
      </c>
      <c r="P570" t="n">
        <v>0</v>
      </c>
      <c r="Q570" t="n">
        <v>0</v>
      </c>
      <c r="R570" s="2" t="inlineStr"/>
    </row>
    <row r="571" ht="15" customHeight="1">
      <c r="A571" t="inlineStr">
        <is>
          <t>A 2674-2023</t>
        </is>
      </c>
      <c r="B571" s="1" t="n">
        <v>44944</v>
      </c>
      <c r="C571" s="1" t="n">
        <v>46070</v>
      </c>
      <c r="D571" t="inlineStr">
        <is>
          <t>GOTLANDS LÄN</t>
        </is>
      </c>
      <c r="E571" t="inlineStr">
        <is>
          <t>GOTLAND</t>
        </is>
      </c>
      <c r="G571" t="n">
        <v>2.5</v>
      </c>
      <c r="H571" t="n">
        <v>0</v>
      </c>
      <c r="I571" t="n">
        <v>0</v>
      </c>
      <c r="J571" t="n">
        <v>0</v>
      </c>
      <c r="K571" t="n">
        <v>0</v>
      </c>
      <c r="L571" t="n">
        <v>0</v>
      </c>
      <c r="M571" t="n">
        <v>0</v>
      </c>
      <c r="N571" t="n">
        <v>0</v>
      </c>
      <c r="O571" t="n">
        <v>0</v>
      </c>
      <c r="P571" t="n">
        <v>0</v>
      </c>
      <c r="Q571" t="n">
        <v>0</v>
      </c>
      <c r="R571" s="2" t="inlineStr"/>
    </row>
    <row r="572" ht="15" customHeight="1">
      <c r="A572" t="inlineStr">
        <is>
          <t>A 61100-2022</t>
        </is>
      </c>
      <c r="B572" s="1" t="n">
        <v>44915</v>
      </c>
      <c r="C572" s="1" t="n">
        <v>46070</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581-2023</t>
        </is>
      </c>
      <c r="B573" s="1" t="n">
        <v>44930</v>
      </c>
      <c r="C573" s="1" t="n">
        <v>46070</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10655-2023</t>
        </is>
      </c>
      <c r="B574" s="1" t="n">
        <v>44988.49543981482</v>
      </c>
      <c r="C574" s="1" t="n">
        <v>46070</v>
      </c>
      <c r="D574" t="inlineStr">
        <is>
          <t>GOTLANDS LÄN</t>
        </is>
      </c>
      <c r="E574" t="inlineStr">
        <is>
          <t>GOTLAND</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44649-2021</t>
        </is>
      </c>
      <c r="B575" s="1" t="n">
        <v>44437</v>
      </c>
      <c r="C575" s="1" t="n">
        <v>46070</v>
      </c>
      <c r="D575" t="inlineStr">
        <is>
          <t>GOTLANDS LÄN</t>
        </is>
      </c>
      <c r="E575" t="inlineStr">
        <is>
          <t>GOTLAND</t>
        </is>
      </c>
      <c r="G575" t="n">
        <v>8.1</v>
      </c>
      <c r="H575" t="n">
        <v>0</v>
      </c>
      <c r="I575" t="n">
        <v>0</v>
      </c>
      <c r="J575" t="n">
        <v>0</v>
      </c>
      <c r="K575" t="n">
        <v>0</v>
      </c>
      <c r="L575" t="n">
        <v>0</v>
      </c>
      <c r="M575" t="n">
        <v>0</v>
      </c>
      <c r="N575" t="n">
        <v>0</v>
      </c>
      <c r="O575" t="n">
        <v>0</v>
      </c>
      <c r="P575" t="n">
        <v>0</v>
      </c>
      <c r="Q575" t="n">
        <v>0</v>
      </c>
      <c r="R575" s="2" t="inlineStr"/>
    </row>
    <row r="576" ht="15" customHeight="1">
      <c r="A576" t="inlineStr">
        <is>
          <t>A 8484-2025</t>
        </is>
      </c>
      <c r="B576" s="1" t="n">
        <v>45709</v>
      </c>
      <c r="C576" s="1" t="n">
        <v>46070</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49962-2023</t>
        </is>
      </c>
      <c r="B577" s="1" t="n">
        <v>45215.38775462963</v>
      </c>
      <c r="C577" s="1" t="n">
        <v>46070</v>
      </c>
      <c r="D577" t="inlineStr">
        <is>
          <t>GOTLANDS LÄN</t>
        </is>
      </c>
      <c r="E577" t="inlineStr">
        <is>
          <t>GOTLAND</t>
        </is>
      </c>
      <c r="G577" t="n">
        <v>1.4</v>
      </c>
      <c r="H577" t="n">
        <v>0</v>
      </c>
      <c r="I577" t="n">
        <v>0</v>
      </c>
      <c r="J577" t="n">
        <v>0</v>
      </c>
      <c r="K577" t="n">
        <v>0</v>
      </c>
      <c r="L577" t="n">
        <v>0</v>
      </c>
      <c r="M577" t="n">
        <v>0</v>
      </c>
      <c r="N577" t="n">
        <v>0</v>
      </c>
      <c r="O577" t="n">
        <v>0</v>
      </c>
      <c r="P577" t="n">
        <v>0</v>
      </c>
      <c r="Q577" t="n">
        <v>0</v>
      </c>
      <c r="R577" s="2" t="inlineStr"/>
    </row>
    <row r="578" ht="15" customHeight="1">
      <c r="A578" t="inlineStr">
        <is>
          <t>A 50744-2024</t>
        </is>
      </c>
      <c r="B578" s="1" t="n">
        <v>45602.4187037037</v>
      </c>
      <c r="C578" s="1" t="n">
        <v>46070</v>
      </c>
      <c r="D578" t="inlineStr">
        <is>
          <t>GOTLANDS LÄN</t>
        </is>
      </c>
      <c r="E578" t="inlineStr">
        <is>
          <t>GOTLAND</t>
        </is>
      </c>
      <c r="G578" t="n">
        <v>3.2</v>
      </c>
      <c r="H578" t="n">
        <v>0</v>
      </c>
      <c r="I578" t="n">
        <v>0</v>
      </c>
      <c r="J578" t="n">
        <v>0</v>
      </c>
      <c r="K578" t="n">
        <v>0</v>
      </c>
      <c r="L578" t="n">
        <v>0</v>
      </c>
      <c r="M578" t="n">
        <v>0</v>
      </c>
      <c r="N578" t="n">
        <v>0</v>
      </c>
      <c r="O578" t="n">
        <v>0</v>
      </c>
      <c r="P578" t="n">
        <v>0</v>
      </c>
      <c r="Q578" t="n">
        <v>0</v>
      </c>
      <c r="R578" s="2" t="inlineStr"/>
    </row>
    <row r="579" ht="15" customHeight="1">
      <c r="A579" t="inlineStr">
        <is>
          <t>A 45244-2024</t>
        </is>
      </c>
      <c r="B579" s="1" t="n">
        <v>45576</v>
      </c>
      <c r="C579" s="1" t="n">
        <v>46070</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38787-2023</t>
        </is>
      </c>
      <c r="B580" s="1" t="n">
        <v>45163</v>
      </c>
      <c r="C580" s="1" t="n">
        <v>46070</v>
      </c>
      <c r="D580" t="inlineStr">
        <is>
          <t>GOTLANDS LÄN</t>
        </is>
      </c>
      <c r="E580" t="inlineStr">
        <is>
          <t>GOTLAND</t>
        </is>
      </c>
      <c r="G580" t="n">
        <v>0.4</v>
      </c>
      <c r="H580" t="n">
        <v>0</v>
      </c>
      <c r="I580" t="n">
        <v>0</v>
      </c>
      <c r="J580" t="n">
        <v>0</v>
      </c>
      <c r="K580" t="n">
        <v>0</v>
      </c>
      <c r="L580" t="n">
        <v>0</v>
      </c>
      <c r="M580" t="n">
        <v>0</v>
      </c>
      <c r="N580" t="n">
        <v>0</v>
      </c>
      <c r="O580" t="n">
        <v>0</v>
      </c>
      <c r="P580" t="n">
        <v>0</v>
      </c>
      <c r="Q580" t="n">
        <v>0</v>
      </c>
      <c r="R580" s="2" t="inlineStr"/>
    </row>
    <row r="581" ht="15" customHeight="1">
      <c r="A581" t="inlineStr">
        <is>
          <t>A 2714-2023</t>
        </is>
      </c>
      <c r="B581" s="1" t="n">
        <v>44944.54896990741</v>
      </c>
      <c r="C581" s="1" t="n">
        <v>46070</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22897-2023</t>
        </is>
      </c>
      <c r="B582" s="1" t="n">
        <v>45072.55239583334</v>
      </c>
      <c r="C582" s="1" t="n">
        <v>46070</v>
      </c>
      <c r="D582" t="inlineStr">
        <is>
          <t>GOTLANDS LÄN</t>
        </is>
      </c>
      <c r="E582" t="inlineStr">
        <is>
          <t>GOTLAND</t>
        </is>
      </c>
      <c r="G582" t="n">
        <v>1.1</v>
      </c>
      <c r="H582" t="n">
        <v>0</v>
      </c>
      <c r="I582" t="n">
        <v>0</v>
      </c>
      <c r="J582" t="n">
        <v>0</v>
      </c>
      <c r="K582" t="n">
        <v>0</v>
      </c>
      <c r="L582" t="n">
        <v>0</v>
      </c>
      <c r="M582" t="n">
        <v>0</v>
      </c>
      <c r="N582" t="n">
        <v>0</v>
      </c>
      <c r="O582" t="n">
        <v>0</v>
      </c>
      <c r="P582" t="n">
        <v>0</v>
      </c>
      <c r="Q582" t="n">
        <v>0</v>
      </c>
      <c r="R582" s="2" t="inlineStr"/>
    </row>
    <row r="583" ht="15" customHeight="1">
      <c r="A583" t="inlineStr">
        <is>
          <t>A 4568-2025</t>
        </is>
      </c>
      <c r="B583" s="1" t="n">
        <v>45687</v>
      </c>
      <c r="C583" s="1" t="n">
        <v>46070</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1681-2023</t>
        </is>
      </c>
      <c r="B584" s="1" t="n">
        <v>44938.39715277778</v>
      </c>
      <c r="C584" s="1" t="n">
        <v>46070</v>
      </c>
      <c r="D584" t="inlineStr">
        <is>
          <t>GOTLANDS LÄN</t>
        </is>
      </c>
      <c r="E584" t="inlineStr">
        <is>
          <t>GOTLAND</t>
        </is>
      </c>
      <c r="G584" t="n">
        <v>2.4</v>
      </c>
      <c r="H584" t="n">
        <v>0</v>
      </c>
      <c r="I584" t="n">
        <v>0</v>
      </c>
      <c r="J584" t="n">
        <v>0</v>
      </c>
      <c r="K584" t="n">
        <v>0</v>
      </c>
      <c r="L584" t="n">
        <v>0</v>
      </c>
      <c r="M584" t="n">
        <v>0</v>
      </c>
      <c r="N584" t="n">
        <v>0</v>
      </c>
      <c r="O584" t="n">
        <v>0</v>
      </c>
      <c r="P584" t="n">
        <v>0</v>
      </c>
      <c r="Q584" t="n">
        <v>0</v>
      </c>
      <c r="R584" s="2" t="inlineStr"/>
    </row>
    <row r="585" ht="15" customHeight="1">
      <c r="A585" t="inlineStr">
        <is>
          <t>A 42338-2023</t>
        </is>
      </c>
      <c r="B585" s="1" t="n">
        <v>45180</v>
      </c>
      <c r="C585" s="1" t="n">
        <v>46070</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18918-2025</t>
        </is>
      </c>
      <c r="B586" s="1" t="n">
        <v>45764</v>
      </c>
      <c r="C586" s="1" t="n">
        <v>46070</v>
      </c>
      <c r="D586" t="inlineStr">
        <is>
          <t>GOTLANDS LÄN</t>
        </is>
      </c>
      <c r="E586" t="inlineStr">
        <is>
          <t>GOTLAND</t>
        </is>
      </c>
      <c r="G586" t="n">
        <v>1.7</v>
      </c>
      <c r="H586" t="n">
        <v>0</v>
      </c>
      <c r="I586" t="n">
        <v>0</v>
      </c>
      <c r="J586" t="n">
        <v>0</v>
      </c>
      <c r="K586" t="n">
        <v>0</v>
      </c>
      <c r="L586" t="n">
        <v>0</v>
      </c>
      <c r="M586" t="n">
        <v>0</v>
      </c>
      <c r="N586" t="n">
        <v>0</v>
      </c>
      <c r="O586" t="n">
        <v>0</v>
      </c>
      <c r="P586" t="n">
        <v>0</v>
      </c>
      <c r="Q586" t="n">
        <v>0</v>
      </c>
      <c r="R586" s="2" t="inlineStr"/>
    </row>
    <row r="587" ht="15" customHeight="1">
      <c r="A587" t="inlineStr">
        <is>
          <t>A 11013-2024</t>
        </is>
      </c>
      <c r="B587" s="1" t="n">
        <v>45370</v>
      </c>
      <c r="C587" s="1" t="n">
        <v>46070</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45084-2024</t>
        </is>
      </c>
      <c r="B588" s="1" t="n">
        <v>45575</v>
      </c>
      <c r="C588" s="1" t="n">
        <v>46070</v>
      </c>
      <c r="D588" t="inlineStr">
        <is>
          <t>GOTLANDS LÄN</t>
        </is>
      </c>
      <c r="E588" t="inlineStr">
        <is>
          <t>GOTLAND</t>
        </is>
      </c>
      <c r="G588" t="n">
        <v>6.8</v>
      </c>
      <c r="H588" t="n">
        <v>0</v>
      </c>
      <c r="I588" t="n">
        <v>0</v>
      </c>
      <c r="J588" t="n">
        <v>0</v>
      </c>
      <c r="K588" t="n">
        <v>0</v>
      </c>
      <c r="L588" t="n">
        <v>0</v>
      </c>
      <c r="M588" t="n">
        <v>0</v>
      </c>
      <c r="N588" t="n">
        <v>0</v>
      </c>
      <c r="O588" t="n">
        <v>0</v>
      </c>
      <c r="P588" t="n">
        <v>0</v>
      </c>
      <c r="Q588" t="n">
        <v>0</v>
      </c>
      <c r="R588" s="2" t="inlineStr"/>
    </row>
    <row r="589" ht="15" customHeight="1">
      <c r="A589" t="inlineStr">
        <is>
          <t>A 20356-2022</t>
        </is>
      </c>
      <c r="B589" s="1" t="n">
        <v>44699</v>
      </c>
      <c r="C589" s="1" t="n">
        <v>46070</v>
      </c>
      <c r="D589" t="inlineStr">
        <is>
          <t>GOTLANDS LÄN</t>
        </is>
      </c>
      <c r="E589" t="inlineStr">
        <is>
          <t>GOTLAND</t>
        </is>
      </c>
      <c r="F589" t="inlineStr">
        <is>
          <t>Övriga Aktiebolag</t>
        </is>
      </c>
      <c r="G589" t="n">
        <v>4.4</v>
      </c>
      <c r="H589" t="n">
        <v>0</v>
      </c>
      <c r="I589" t="n">
        <v>0</v>
      </c>
      <c r="J589" t="n">
        <v>0</v>
      </c>
      <c r="K589" t="n">
        <v>0</v>
      </c>
      <c r="L589" t="n">
        <v>0</v>
      </c>
      <c r="M589" t="n">
        <v>0</v>
      </c>
      <c r="N589" t="n">
        <v>0</v>
      </c>
      <c r="O589" t="n">
        <v>0</v>
      </c>
      <c r="P589" t="n">
        <v>0</v>
      </c>
      <c r="Q589" t="n">
        <v>0</v>
      </c>
      <c r="R589" s="2" t="inlineStr"/>
    </row>
    <row r="590" ht="15" customHeight="1">
      <c r="A590" t="inlineStr">
        <is>
          <t>A 4868-2024</t>
        </is>
      </c>
      <c r="B590" s="1" t="n">
        <v>45329</v>
      </c>
      <c r="C590" s="1" t="n">
        <v>46070</v>
      </c>
      <c r="D590" t="inlineStr">
        <is>
          <t>GOTLANDS LÄN</t>
        </is>
      </c>
      <c r="E590" t="inlineStr">
        <is>
          <t>GOTLAND</t>
        </is>
      </c>
      <c r="G590" t="n">
        <v>7.1</v>
      </c>
      <c r="H590" t="n">
        <v>0</v>
      </c>
      <c r="I590" t="n">
        <v>0</v>
      </c>
      <c r="J590" t="n">
        <v>0</v>
      </c>
      <c r="K590" t="n">
        <v>0</v>
      </c>
      <c r="L590" t="n">
        <v>0</v>
      </c>
      <c r="M590" t="n">
        <v>0</v>
      </c>
      <c r="N590" t="n">
        <v>0</v>
      </c>
      <c r="O590" t="n">
        <v>0</v>
      </c>
      <c r="P590" t="n">
        <v>0</v>
      </c>
      <c r="Q590" t="n">
        <v>0</v>
      </c>
      <c r="R590" s="2" t="inlineStr"/>
    </row>
    <row r="591" ht="15" customHeight="1">
      <c r="A591" t="inlineStr">
        <is>
          <t>A 9613-2025</t>
        </is>
      </c>
      <c r="B591" s="1" t="n">
        <v>45715</v>
      </c>
      <c r="C591" s="1" t="n">
        <v>46070</v>
      </c>
      <c r="D591" t="inlineStr">
        <is>
          <t>GOTLANDS LÄN</t>
        </is>
      </c>
      <c r="E591" t="inlineStr">
        <is>
          <t>GOTLAND</t>
        </is>
      </c>
      <c r="G591" t="n">
        <v>3.5</v>
      </c>
      <c r="H591" t="n">
        <v>0</v>
      </c>
      <c r="I591" t="n">
        <v>0</v>
      </c>
      <c r="J591" t="n">
        <v>0</v>
      </c>
      <c r="K591" t="n">
        <v>0</v>
      </c>
      <c r="L591" t="n">
        <v>0</v>
      </c>
      <c r="M591" t="n">
        <v>0</v>
      </c>
      <c r="N591" t="n">
        <v>0</v>
      </c>
      <c r="O591" t="n">
        <v>0</v>
      </c>
      <c r="P591" t="n">
        <v>0</v>
      </c>
      <c r="Q591" t="n">
        <v>0</v>
      </c>
      <c r="R591" s="2" t="inlineStr"/>
    </row>
    <row r="592" ht="15" customHeight="1">
      <c r="A592" t="inlineStr">
        <is>
          <t>A 5386-2023</t>
        </is>
      </c>
      <c r="B592" s="1" t="n">
        <v>44959</v>
      </c>
      <c r="C592" s="1" t="n">
        <v>46070</v>
      </c>
      <c r="D592" t="inlineStr">
        <is>
          <t>GOTLANDS LÄN</t>
        </is>
      </c>
      <c r="E592" t="inlineStr">
        <is>
          <t>GOTLAND</t>
        </is>
      </c>
      <c r="G592" t="n">
        <v>5.4</v>
      </c>
      <c r="H592" t="n">
        <v>0</v>
      </c>
      <c r="I592" t="n">
        <v>0</v>
      </c>
      <c r="J592" t="n">
        <v>0</v>
      </c>
      <c r="K592" t="n">
        <v>0</v>
      </c>
      <c r="L592" t="n">
        <v>0</v>
      </c>
      <c r="M592" t="n">
        <v>0</v>
      </c>
      <c r="N592" t="n">
        <v>0</v>
      </c>
      <c r="O592" t="n">
        <v>0</v>
      </c>
      <c r="P592" t="n">
        <v>0</v>
      </c>
      <c r="Q592" t="n">
        <v>0</v>
      </c>
      <c r="R592" s="2" t="inlineStr"/>
    </row>
    <row r="593" ht="15" customHeight="1">
      <c r="A593" t="inlineStr">
        <is>
          <t>A 58211-2024</t>
        </is>
      </c>
      <c r="B593" s="1" t="n">
        <v>45632.49292824074</v>
      </c>
      <c r="C593" s="1" t="n">
        <v>46070</v>
      </c>
      <c r="D593" t="inlineStr">
        <is>
          <t>GOTLANDS LÄN</t>
        </is>
      </c>
      <c r="E593" t="inlineStr">
        <is>
          <t>GOTLAND</t>
        </is>
      </c>
      <c r="G593" t="n">
        <v>5.4</v>
      </c>
      <c r="H593" t="n">
        <v>0</v>
      </c>
      <c r="I593" t="n">
        <v>0</v>
      </c>
      <c r="J593" t="n">
        <v>0</v>
      </c>
      <c r="K593" t="n">
        <v>0</v>
      </c>
      <c r="L593" t="n">
        <v>0</v>
      </c>
      <c r="M593" t="n">
        <v>0</v>
      </c>
      <c r="N593" t="n">
        <v>0</v>
      </c>
      <c r="O593" t="n">
        <v>0</v>
      </c>
      <c r="P593" t="n">
        <v>0</v>
      </c>
      <c r="Q593" t="n">
        <v>0</v>
      </c>
      <c r="R593" s="2" t="inlineStr"/>
    </row>
    <row r="594" ht="15" customHeight="1">
      <c r="A594" t="inlineStr">
        <is>
          <t>A 11634-2024</t>
        </is>
      </c>
      <c r="B594" s="1" t="n">
        <v>45373</v>
      </c>
      <c r="C594" s="1" t="n">
        <v>46070</v>
      </c>
      <c r="D594" t="inlineStr">
        <is>
          <t>GOTLANDS LÄN</t>
        </is>
      </c>
      <c r="E594" t="inlineStr">
        <is>
          <t>GOTLAND</t>
        </is>
      </c>
      <c r="G594" t="n">
        <v>3</v>
      </c>
      <c r="H594" t="n">
        <v>0</v>
      </c>
      <c r="I594" t="n">
        <v>0</v>
      </c>
      <c r="J594" t="n">
        <v>0</v>
      </c>
      <c r="K594" t="n">
        <v>0</v>
      </c>
      <c r="L594" t="n">
        <v>0</v>
      </c>
      <c r="M594" t="n">
        <v>0</v>
      </c>
      <c r="N594" t="n">
        <v>0</v>
      </c>
      <c r="O594" t="n">
        <v>0</v>
      </c>
      <c r="P594" t="n">
        <v>0</v>
      </c>
      <c r="Q594" t="n">
        <v>0</v>
      </c>
      <c r="R594" s="2" t="inlineStr"/>
    </row>
    <row r="595" ht="15" customHeight="1">
      <c r="A595" t="inlineStr">
        <is>
          <t>A 5884-2025</t>
        </is>
      </c>
      <c r="B595" s="1" t="n">
        <v>45695.37482638889</v>
      </c>
      <c r="C595" s="1" t="n">
        <v>46070</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5897-2025</t>
        </is>
      </c>
      <c r="B596" s="1" t="n">
        <v>45695.39273148148</v>
      </c>
      <c r="C596" s="1" t="n">
        <v>46070</v>
      </c>
      <c r="D596" t="inlineStr">
        <is>
          <t>GOTLANDS LÄN</t>
        </is>
      </c>
      <c r="E596" t="inlineStr">
        <is>
          <t>GOTLAND</t>
        </is>
      </c>
      <c r="G596" t="n">
        <v>3.7</v>
      </c>
      <c r="H596" t="n">
        <v>0</v>
      </c>
      <c r="I596" t="n">
        <v>0</v>
      </c>
      <c r="J596" t="n">
        <v>0</v>
      </c>
      <c r="K596" t="n">
        <v>0</v>
      </c>
      <c r="L596" t="n">
        <v>0</v>
      </c>
      <c r="M596" t="n">
        <v>0</v>
      </c>
      <c r="N596" t="n">
        <v>0</v>
      </c>
      <c r="O596" t="n">
        <v>0</v>
      </c>
      <c r="P596" t="n">
        <v>0</v>
      </c>
      <c r="Q596" t="n">
        <v>0</v>
      </c>
      <c r="R596" s="2" t="inlineStr"/>
    </row>
    <row r="597" ht="15" customHeight="1">
      <c r="A597" t="inlineStr">
        <is>
          <t>A 5909-2025</t>
        </is>
      </c>
      <c r="B597" s="1" t="n">
        <v>45695.40634259259</v>
      </c>
      <c r="C597" s="1" t="n">
        <v>46070</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60086-2022</t>
        </is>
      </c>
      <c r="B598" s="1" t="n">
        <v>44909</v>
      </c>
      <c r="C598" s="1" t="n">
        <v>46070</v>
      </c>
      <c r="D598" t="inlineStr">
        <is>
          <t>GOTLANDS LÄN</t>
        </is>
      </c>
      <c r="E598" t="inlineStr">
        <is>
          <t>GOTLAND</t>
        </is>
      </c>
      <c r="G598" t="n">
        <v>2.1</v>
      </c>
      <c r="H598" t="n">
        <v>0</v>
      </c>
      <c r="I598" t="n">
        <v>0</v>
      </c>
      <c r="J598" t="n">
        <v>0</v>
      </c>
      <c r="K598" t="n">
        <v>0</v>
      </c>
      <c r="L598" t="n">
        <v>0</v>
      </c>
      <c r="M598" t="n">
        <v>0</v>
      </c>
      <c r="N598" t="n">
        <v>0</v>
      </c>
      <c r="O598" t="n">
        <v>0</v>
      </c>
      <c r="P598" t="n">
        <v>0</v>
      </c>
      <c r="Q598" t="n">
        <v>0</v>
      </c>
      <c r="R598" s="2" t="inlineStr"/>
    </row>
    <row r="599" ht="15" customHeight="1">
      <c r="A599" t="inlineStr">
        <is>
          <t>A 22704-2023</t>
        </is>
      </c>
      <c r="B599" s="1" t="n">
        <v>45071</v>
      </c>
      <c r="C599" s="1" t="n">
        <v>46070</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25866-2022</t>
        </is>
      </c>
      <c r="B600" s="1" t="n">
        <v>44733</v>
      </c>
      <c r="C600" s="1" t="n">
        <v>46070</v>
      </c>
      <c r="D600" t="inlineStr">
        <is>
          <t>GOTLANDS LÄN</t>
        </is>
      </c>
      <c r="E600" t="inlineStr">
        <is>
          <t>GOTLAND</t>
        </is>
      </c>
      <c r="G600" t="n">
        <v>2.9</v>
      </c>
      <c r="H600" t="n">
        <v>0</v>
      </c>
      <c r="I600" t="n">
        <v>0</v>
      </c>
      <c r="J600" t="n">
        <v>0</v>
      </c>
      <c r="K600" t="n">
        <v>0</v>
      </c>
      <c r="L600" t="n">
        <v>0</v>
      </c>
      <c r="M600" t="n">
        <v>0</v>
      </c>
      <c r="N600" t="n">
        <v>0</v>
      </c>
      <c r="O600" t="n">
        <v>0</v>
      </c>
      <c r="P600" t="n">
        <v>0</v>
      </c>
      <c r="Q600" t="n">
        <v>0</v>
      </c>
      <c r="R600" s="2" t="inlineStr"/>
    </row>
    <row r="601" ht="15" customHeight="1">
      <c r="A601" t="inlineStr">
        <is>
          <t>A 9887-2025</t>
        </is>
      </c>
      <c r="B601" s="1" t="n">
        <v>45716</v>
      </c>
      <c r="C601" s="1" t="n">
        <v>46070</v>
      </c>
      <c r="D601" t="inlineStr">
        <is>
          <t>GOTLANDS LÄN</t>
        </is>
      </c>
      <c r="E601" t="inlineStr">
        <is>
          <t>GOTLAND</t>
        </is>
      </c>
      <c r="G601" t="n">
        <v>7.5</v>
      </c>
      <c r="H601" t="n">
        <v>0</v>
      </c>
      <c r="I601" t="n">
        <v>0</v>
      </c>
      <c r="J601" t="n">
        <v>0</v>
      </c>
      <c r="K601" t="n">
        <v>0</v>
      </c>
      <c r="L601" t="n">
        <v>0</v>
      </c>
      <c r="M601" t="n">
        <v>0</v>
      </c>
      <c r="N601" t="n">
        <v>0</v>
      </c>
      <c r="O601" t="n">
        <v>0</v>
      </c>
      <c r="P601" t="n">
        <v>0</v>
      </c>
      <c r="Q601" t="n">
        <v>0</v>
      </c>
      <c r="R601" s="2" t="inlineStr"/>
    </row>
    <row r="602" ht="15" customHeight="1">
      <c r="A602" t="inlineStr">
        <is>
          <t>A 12209-2024</t>
        </is>
      </c>
      <c r="B602" s="1" t="n">
        <v>45378</v>
      </c>
      <c r="C602" s="1" t="n">
        <v>46070</v>
      </c>
      <c r="D602" t="inlineStr">
        <is>
          <t>GOTLANDS LÄN</t>
        </is>
      </c>
      <c r="E602" t="inlineStr">
        <is>
          <t>GOTLAND</t>
        </is>
      </c>
      <c r="G602" t="n">
        <v>5.3</v>
      </c>
      <c r="H602" t="n">
        <v>0</v>
      </c>
      <c r="I602" t="n">
        <v>0</v>
      </c>
      <c r="J602" t="n">
        <v>0</v>
      </c>
      <c r="K602" t="n">
        <v>0</v>
      </c>
      <c r="L602" t="n">
        <v>0</v>
      </c>
      <c r="M602" t="n">
        <v>0</v>
      </c>
      <c r="N602" t="n">
        <v>0</v>
      </c>
      <c r="O602" t="n">
        <v>0</v>
      </c>
      <c r="P602" t="n">
        <v>0</v>
      </c>
      <c r="Q602" t="n">
        <v>0</v>
      </c>
      <c r="R602" s="2" t="inlineStr"/>
    </row>
    <row r="603" ht="15" customHeight="1">
      <c r="A603" t="inlineStr">
        <is>
          <t>A 12210-2024</t>
        </is>
      </c>
      <c r="B603" s="1" t="n">
        <v>45378</v>
      </c>
      <c r="C603" s="1" t="n">
        <v>46070</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59986-2022</t>
        </is>
      </c>
      <c r="B604" s="1" t="n">
        <v>44909</v>
      </c>
      <c r="C604" s="1" t="n">
        <v>46070</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31802-2024</t>
        </is>
      </c>
      <c r="B605" s="1" t="n">
        <v>45509</v>
      </c>
      <c r="C605" s="1" t="n">
        <v>46070</v>
      </c>
      <c r="D605" t="inlineStr">
        <is>
          <t>GOTLANDS LÄN</t>
        </is>
      </c>
      <c r="E605" t="inlineStr">
        <is>
          <t>GOTLAND</t>
        </is>
      </c>
      <c r="G605" t="n">
        <v>2.8</v>
      </c>
      <c r="H605" t="n">
        <v>0</v>
      </c>
      <c r="I605" t="n">
        <v>0</v>
      </c>
      <c r="J605" t="n">
        <v>0</v>
      </c>
      <c r="K605" t="n">
        <v>0</v>
      </c>
      <c r="L605" t="n">
        <v>0</v>
      </c>
      <c r="M605" t="n">
        <v>0</v>
      </c>
      <c r="N605" t="n">
        <v>0</v>
      </c>
      <c r="O605" t="n">
        <v>0</v>
      </c>
      <c r="P605" t="n">
        <v>0</v>
      </c>
      <c r="Q605" t="n">
        <v>0</v>
      </c>
      <c r="R605" s="2" t="inlineStr"/>
    </row>
    <row r="606" ht="15" customHeight="1">
      <c r="A606" t="inlineStr">
        <is>
          <t>A 20993-2023</t>
        </is>
      </c>
      <c r="B606" s="1" t="n">
        <v>45056</v>
      </c>
      <c r="C606" s="1" t="n">
        <v>46070</v>
      </c>
      <c r="D606" t="inlineStr">
        <is>
          <t>GOTLANDS LÄN</t>
        </is>
      </c>
      <c r="E606" t="inlineStr">
        <is>
          <t>GOTLAND</t>
        </is>
      </c>
      <c r="G606" t="n">
        <v>7.1</v>
      </c>
      <c r="H606" t="n">
        <v>0</v>
      </c>
      <c r="I606" t="n">
        <v>0</v>
      </c>
      <c r="J606" t="n">
        <v>0</v>
      </c>
      <c r="K606" t="n">
        <v>0</v>
      </c>
      <c r="L606" t="n">
        <v>0</v>
      </c>
      <c r="M606" t="n">
        <v>0</v>
      </c>
      <c r="N606" t="n">
        <v>0</v>
      </c>
      <c r="O606" t="n">
        <v>0</v>
      </c>
      <c r="P606" t="n">
        <v>0</v>
      </c>
      <c r="Q606" t="n">
        <v>0</v>
      </c>
      <c r="R606" s="2" t="inlineStr"/>
    </row>
    <row r="607" ht="15" customHeight="1">
      <c r="A607" t="inlineStr">
        <is>
          <t>A 15042-2025</t>
        </is>
      </c>
      <c r="B607" s="1" t="n">
        <v>45743</v>
      </c>
      <c r="C607" s="1" t="n">
        <v>46070</v>
      </c>
      <c r="D607" t="inlineStr">
        <is>
          <t>GOTLANDS LÄN</t>
        </is>
      </c>
      <c r="E607" t="inlineStr">
        <is>
          <t>GOTLAND</t>
        </is>
      </c>
      <c r="G607" t="n">
        <v>8.5</v>
      </c>
      <c r="H607" t="n">
        <v>0</v>
      </c>
      <c r="I607" t="n">
        <v>0</v>
      </c>
      <c r="J607" t="n">
        <v>0</v>
      </c>
      <c r="K607" t="n">
        <v>0</v>
      </c>
      <c r="L607" t="n">
        <v>0</v>
      </c>
      <c r="M607" t="n">
        <v>0</v>
      </c>
      <c r="N607" t="n">
        <v>0</v>
      </c>
      <c r="O607" t="n">
        <v>0</v>
      </c>
      <c r="P607" t="n">
        <v>0</v>
      </c>
      <c r="Q607" t="n">
        <v>0</v>
      </c>
      <c r="R607" s="2" t="inlineStr"/>
    </row>
    <row r="608" ht="15" customHeight="1">
      <c r="A608" t="inlineStr">
        <is>
          <t>A 12327-2025</t>
        </is>
      </c>
      <c r="B608" s="1" t="n">
        <v>45730</v>
      </c>
      <c r="C608" s="1" t="n">
        <v>46070</v>
      </c>
      <c r="D608" t="inlineStr">
        <is>
          <t>GOTLANDS LÄN</t>
        </is>
      </c>
      <c r="E608" t="inlineStr">
        <is>
          <t>GOTLAND</t>
        </is>
      </c>
      <c r="G608" t="n">
        <v>1.8</v>
      </c>
      <c r="H608" t="n">
        <v>0</v>
      </c>
      <c r="I608" t="n">
        <v>0</v>
      </c>
      <c r="J608" t="n">
        <v>0</v>
      </c>
      <c r="K608" t="n">
        <v>0</v>
      </c>
      <c r="L608" t="n">
        <v>0</v>
      </c>
      <c r="M608" t="n">
        <v>0</v>
      </c>
      <c r="N608" t="n">
        <v>0</v>
      </c>
      <c r="O608" t="n">
        <v>0</v>
      </c>
      <c r="P608" t="n">
        <v>0</v>
      </c>
      <c r="Q608" t="n">
        <v>0</v>
      </c>
      <c r="R608" s="2" t="inlineStr"/>
    </row>
    <row r="609" ht="15" customHeight="1">
      <c r="A609" t="inlineStr">
        <is>
          <t>A 4420-2025</t>
        </is>
      </c>
      <c r="B609" s="1" t="n">
        <v>45686.47157407407</v>
      </c>
      <c r="C609" s="1" t="n">
        <v>46070</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14427-2024</t>
        </is>
      </c>
      <c r="B610" s="1" t="n">
        <v>45394</v>
      </c>
      <c r="C610" s="1" t="n">
        <v>46070</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49257-2024</t>
        </is>
      </c>
      <c r="B611" s="1" t="n">
        <v>45595.47627314815</v>
      </c>
      <c r="C611" s="1" t="n">
        <v>46070</v>
      </c>
      <c r="D611" t="inlineStr">
        <is>
          <t>GOTLANDS LÄN</t>
        </is>
      </c>
      <c r="E611" t="inlineStr">
        <is>
          <t>GOTLAND</t>
        </is>
      </c>
      <c r="G611" t="n">
        <v>6.3</v>
      </c>
      <c r="H611" t="n">
        <v>0</v>
      </c>
      <c r="I611" t="n">
        <v>0</v>
      </c>
      <c r="J611" t="n">
        <v>0</v>
      </c>
      <c r="K611" t="n">
        <v>0</v>
      </c>
      <c r="L611" t="n">
        <v>0</v>
      </c>
      <c r="M611" t="n">
        <v>0</v>
      </c>
      <c r="N611" t="n">
        <v>0</v>
      </c>
      <c r="O611" t="n">
        <v>0</v>
      </c>
      <c r="P611" t="n">
        <v>0</v>
      </c>
      <c r="Q611" t="n">
        <v>0</v>
      </c>
      <c r="R611" s="2" t="inlineStr"/>
    </row>
    <row r="612" ht="15" customHeight="1">
      <c r="A612" t="inlineStr">
        <is>
          <t>A 49315-2024</t>
        </is>
      </c>
      <c r="B612" s="1" t="n">
        <v>45595</v>
      </c>
      <c r="C612" s="1" t="n">
        <v>46070</v>
      </c>
      <c r="D612" t="inlineStr">
        <is>
          <t>GOTLANDS LÄN</t>
        </is>
      </c>
      <c r="E612" t="inlineStr">
        <is>
          <t>GOTLAND</t>
        </is>
      </c>
      <c r="G612" t="n">
        <v>1.5</v>
      </c>
      <c r="H612" t="n">
        <v>0</v>
      </c>
      <c r="I612" t="n">
        <v>0</v>
      </c>
      <c r="J612" t="n">
        <v>0</v>
      </c>
      <c r="K612" t="n">
        <v>0</v>
      </c>
      <c r="L612" t="n">
        <v>0</v>
      </c>
      <c r="M612" t="n">
        <v>0</v>
      </c>
      <c r="N612" t="n">
        <v>0</v>
      </c>
      <c r="O612" t="n">
        <v>0</v>
      </c>
      <c r="P612" t="n">
        <v>0</v>
      </c>
      <c r="Q612" t="n">
        <v>0</v>
      </c>
      <c r="R612" s="2" t="inlineStr"/>
    </row>
    <row r="613" ht="15" customHeight="1">
      <c r="A613" t="inlineStr">
        <is>
          <t>A 27596-2023</t>
        </is>
      </c>
      <c r="B613" s="1" t="n">
        <v>45097</v>
      </c>
      <c r="C613" s="1" t="n">
        <v>46070</v>
      </c>
      <c r="D613" t="inlineStr">
        <is>
          <t>GOTLANDS LÄN</t>
        </is>
      </c>
      <c r="E613" t="inlineStr">
        <is>
          <t>GOTLAND</t>
        </is>
      </c>
      <c r="G613" t="n">
        <v>3.6</v>
      </c>
      <c r="H613" t="n">
        <v>0</v>
      </c>
      <c r="I613" t="n">
        <v>0</v>
      </c>
      <c r="J613" t="n">
        <v>0</v>
      </c>
      <c r="K613" t="n">
        <v>0</v>
      </c>
      <c r="L613" t="n">
        <v>0</v>
      </c>
      <c r="M613" t="n">
        <v>0</v>
      </c>
      <c r="N613" t="n">
        <v>0</v>
      </c>
      <c r="O613" t="n">
        <v>0</v>
      </c>
      <c r="P613" t="n">
        <v>0</v>
      </c>
      <c r="Q613" t="n">
        <v>0</v>
      </c>
      <c r="R613" s="2" t="inlineStr"/>
    </row>
    <row r="614" ht="15" customHeight="1">
      <c r="A614" t="inlineStr">
        <is>
          <t>A 56115-2023</t>
        </is>
      </c>
      <c r="B614" s="1" t="n">
        <v>45236</v>
      </c>
      <c r="C614" s="1" t="n">
        <v>46070</v>
      </c>
      <c r="D614" t="inlineStr">
        <is>
          <t>GOTLANDS LÄN</t>
        </is>
      </c>
      <c r="E614" t="inlineStr">
        <is>
          <t>GOTLAND</t>
        </is>
      </c>
      <c r="G614" t="n">
        <v>2</v>
      </c>
      <c r="H614" t="n">
        <v>0</v>
      </c>
      <c r="I614" t="n">
        <v>0</v>
      </c>
      <c r="J614" t="n">
        <v>0</v>
      </c>
      <c r="K614" t="n">
        <v>0</v>
      </c>
      <c r="L614" t="n">
        <v>0</v>
      </c>
      <c r="M614" t="n">
        <v>0</v>
      </c>
      <c r="N614" t="n">
        <v>0</v>
      </c>
      <c r="O614" t="n">
        <v>0</v>
      </c>
      <c r="P614" t="n">
        <v>0</v>
      </c>
      <c r="Q614" t="n">
        <v>0</v>
      </c>
      <c r="R614" s="2" t="inlineStr"/>
    </row>
    <row r="615" ht="15" customHeight="1">
      <c r="A615" t="inlineStr">
        <is>
          <t>A 64969-2023</t>
        </is>
      </c>
      <c r="B615" s="1" t="n">
        <v>45284.54009259259</v>
      </c>
      <c r="C615" s="1" t="n">
        <v>46070</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33853-2024</t>
        </is>
      </c>
      <c r="B616" s="1" t="n">
        <v>45520.64298611111</v>
      </c>
      <c r="C616" s="1" t="n">
        <v>46070</v>
      </c>
      <c r="D616" t="inlineStr">
        <is>
          <t>GOTLANDS LÄN</t>
        </is>
      </c>
      <c r="E616" t="inlineStr">
        <is>
          <t>GOTLAND</t>
        </is>
      </c>
      <c r="G616" t="n">
        <v>3.9</v>
      </c>
      <c r="H616" t="n">
        <v>0</v>
      </c>
      <c r="I616" t="n">
        <v>0</v>
      </c>
      <c r="J616" t="n">
        <v>0</v>
      </c>
      <c r="K616" t="n">
        <v>0</v>
      </c>
      <c r="L616" t="n">
        <v>0</v>
      </c>
      <c r="M616" t="n">
        <v>0</v>
      </c>
      <c r="N616" t="n">
        <v>0</v>
      </c>
      <c r="O616" t="n">
        <v>0</v>
      </c>
      <c r="P616" t="n">
        <v>0</v>
      </c>
      <c r="Q616" t="n">
        <v>0</v>
      </c>
      <c r="R616" s="2" t="inlineStr"/>
    </row>
    <row r="617" ht="15" customHeight="1">
      <c r="A617" t="inlineStr">
        <is>
          <t>A 18223-2025</t>
        </is>
      </c>
      <c r="B617" s="1" t="n">
        <v>45761</v>
      </c>
      <c r="C617" s="1" t="n">
        <v>46070</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46949-2024</t>
        </is>
      </c>
      <c r="B618" s="1" t="n">
        <v>45585</v>
      </c>
      <c r="C618" s="1" t="n">
        <v>46070</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24001-2021</t>
        </is>
      </c>
      <c r="B619" s="1" t="n">
        <v>44335</v>
      </c>
      <c r="C619" s="1" t="n">
        <v>46070</v>
      </c>
      <c r="D619" t="inlineStr">
        <is>
          <t>GOTLANDS LÄN</t>
        </is>
      </c>
      <c r="E619" t="inlineStr">
        <is>
          <t>GOTLAND</t>
        </is>
      </c>
      <c r="G619" t="n">
        <v>3.4</v>
      </c>
      <c r="H619" t="n">
        <v>0</v>
      </c>
      <c r="I619" t="n">
        <v>0</v>
      </c>
      <c r="J619" t="n">
        <v>0</v>
      </c>
      <c r="K619" t="n">
        <v>0</v>
      </c>
      <c r="L619" t="n">
        <v>0</v>
      </c>
      <c r="M619" t="n">
        <v>0</v>
      </c>
      <c r="N619" t="n">
        <v>0</v>
      </c>
      <c r="O619" t="n">
        <v>0</v>
      </c>
      <c r="P619" t="n">
        <v>0</v>
      </c>
      <c r="Q619" t="n">
        <v>0</v>
      </c>
      <c r="R619" s="2" t="inlineStr"/>
    </row>
    <row r="620" ht="15" customHeight="1">
      <c r="A620" t="inlineStr">
        <is>
          <t>A 39479-2022</t>
        </is>
      </c>
      <c r="B620" s="1" t="n">
        <v>44818</v>
      </c>
      <c r="C620" s="1" t="n">
        <v>46070</v>
      </c>
      <c r="D620" t="inlineStr">
        <is>
          <t>GOTLANDS LÄN</t>
        </is>
      </c>
      <c r="E620" t="inlineStr">
        <is>
          <t>GOTLAND</t>
        </is>
      </c>
      <c r="G620" t="n">
        <v>1.1</v>
      </c>
      <c r="H620" t="n">
        <v>0</v>
      </c>
      <c r="I620" t="n">
        <v>0</v>
      </c>
      <c r="J620" t="n">
        <v>0</v>
      </c>
      <c r="K620" t="n">
        <v>0</v>
      </c>
      <c r="L620" t="n">
        <v>0</v>
      </c>
      <c r="M620" t="n">
        <v>0</v>
      </c>
      <c r="N620" t="n">
        <v>0</v>
      </c>
      <c r="O620" t="n">
        <v>0</v>
      </c>
      <c r="P620" t="n">
        <v>0</v>
      </c>
      <c r="Q620" t="n">
        <v>0</v>
      </c>
      <c r="R620" s="2" t="inlineStr"/>
    </row>
    <row r="621" ht="15" customHeight="1">
      <c r="A621" t="inlineStr">
        <is>
          <t>A 39496-2022</t>
        </is>
      </c>
      <c r="B621" s="1" t="n">
        <v>44818</v>
      </c>
      <c r="C621" s="1" t="n">
        <v>46070</v>
      </c>
      <c r="D621" t="inlineStr">
        <is>
          <t>GOTLANDS LÄN</t>
        </is>
      </c>
      <c r="E621" t="inlineStr">
        <is>
          <t>GOTLAND</t>
        </is>
      </c>
      <c r="G621" t="n">
        <v>2.4</v>
      </c>
      <c r="H621" t="n">
        <v>0</v>
      </c>
      <c r="I621" t="n">
        <v>0</v>
      </c>
      <c r="J621" t="n">
        <v>0</v>
      </c>
      <c r="K621" t="n">
        <v>0</v>
      </c>
      <c r="L621" t="n">
        <v>0</v>
      </c>
      <c r="M621" t="n">
        <v>0</v>
      </c>
      <c r="N621" t="n">
        <v>0</v>
      </c>
      <c r="O621" t="n">
        <v>0</v>
      </c>
      <c r="P621" t="n">
        <v>0</v>
      </c>
      <c r="Q621" t="n">
        <v>0</v>
      </c>
      <c r="R621" s="2" t="inlineStr"/>
    </row>
    <row r="622" ht="15" customHeight="1">
      <c r="A622" t="inlineStr">
        <is>
          <t>A 46389-2021</t>
        </is>
      </c>
      <c r="B622" s="1" t="n">
        <v>44443</v>
      </c>
      <c r="C622" s="1" t="n">
        <v>46070</v>
      </c>
      <c r="D622" t="inlineStr">
        <is>
          <t>GOTLANDS LÄN</t>
        </is>
      </c>
      <c r="E622" t="inlineStr">
        <is>
          <t>GOTLAND</t>
        </is>
      </c>
      <c r="F622" t="inlineStr">
        <is>
          <t>Kyrkan</t>
        </is>
      </c>
      <c r="G622" t="n">
        <v>2.1</v>
      </c>
      <c r="H622" t="n">
        <v>0</v>
      </c>
      <c r="I622" t="n">
        <v>0</v>
      </c>
      <c r="J622" t="n">
        <v>0</v>
      </c>
      <c r="K622" t="n">
        <v>0</v>
      </c>
      <c r="L622" t="n">
        <v>0</v>
      </c>
      <c r="M622" t="n">
        <v>0</v>
      </c>
      <c r="N622" t="n">
        <v>0</v>
      </c>
      <c r="O622" t="n">
        <v>0</v>
      </c>
      <c r="P622" t="n">
        <v>0</v>
      </c>
      <c r="Q622" t="n">
        <v>0</v>
      </c>
      <c r="R622" s="2" t="inlineStr"/>
    </row>
    <row r="623" ht="15" customHeight="1">
      <c r="A623" t="inlineStr">
        <is>
          <t>A 44949-2023</t>
        </is>
      </c>
      <c r="B623" s="1" t="n">
        <v>45190.69520833333</v>
      </c>
      <c r="C623" s="1" t="n">
        <v>46070</v>
      </c>
      <c r="D623" t="inlineStr">
        <is>
          <t>GOTLANDS LÄN</t>
        </is>
      </c>
      <c r="E623" t="inlineStr">
        <is>
          <t>GOTLAND</t>
        </is>
      </c>
      <c r="G623" t="n">
        <v>1.4</v>
      </c>
      <c r="H623" t="n">
        <v>0</v>
      </c>
      <c r="I623" t="n">
        <v>0</v>
      </c>
      <c r="J623" t="n">
        <v>0</v>
      </c>
      <c r="K623" t="n">
        <v>0</v>
      </c>
      <c r="L623" t="n">
        <v>0</v>
      </c>
      <c r="M623" t="n">
        <v>0</v>
      </c>
      <c r="N623" t="n">
        <v>0</v>
      </c>
      <c r="O623" t="n">
        <v>0</v>
      </c>
      <c r="P623" t="n">
        <v>0</v>
      </c>
      <c r="Q623" t="n">
        <v>0</v>
      </c>
      <c r="R623" s="2" t="inlineStr"/>
    </row>
    <row r="624" ht="15" customHeight="1">
      <c r="A624" t="inlineStr">
        <is>
          <t>A 17682-2024</t>
        </is>
      </c>
      <c r="B624" s="1" t="n">
        <v>45418.42966435185</v>
      </c>
      <c r="C624" s="1" t="n">
        <v>46070</v>
      </c>
      <c r="D624" t="inlineStr">
        <is>
          <t>GOTLANDS LÄN</t>
        </is>
      </c>
      <c r="E624" t="inlineStr">
        <is>
          <t>GOTLAND</t>
        </is>
      </c>
      <c r="G624" t="n">
        <v>2.9</v>
      </c>
      <c r="H624" t="n">
        <v>0</v>
      </c>
      <c r="I624" t="n">
        <v>0</v>
      </c>
      <c r="J624" t="n">
        <v>0</v>
      </c>
      <c r="K624" t="n">
        <v>0</v>
      </c>
      <c r="L624" t="n">
        <v>0</v>
      </c>
      <c r="M624" t="n">
        <v>0</v>
      </c>
      <c r="N624" t="n">
        <v>0</v>
      </c>
      <c r="O624" t="n">
        <v>0</v>
      </c>
      <c r="P624" t="n">
        <v>0</v>
      </c>
      <c r="Q624" t="n">
        <v>0</v>
      </c>
      <c r="R624" s="2" t="inlineStr"/>
    </row>
    <row r="625" ht="15" customHeight="1">
      <c r="A625" t="inlineStr">
        <is>
          <t>A 61897-2024</t>
        </is>
      </c>
      <c r="B625" s="1" t="n">
        <v>45652.75685185185</v>
      </c>
      <c r="C625" s="1" t="n">
        <v>46070</v>
      </c>
      <c r="D625" t="inlineStr">
        <is>
          <t>GOTLANDS LÄN</t>
        </is>
      </c>
      <c r="E625" t="inlineStr">
        <is>
          <t>GOTLAND</t>
        </is>
      </c>
      <c r="G625" t="n">
        <v>6.4</v>
      </c>
      <c r="H625" t="n">
        <v>0</v>
      </c>
      <c r="I625" t="n">
        <v>0</v>
      </c>
      <c r="J625" t="n">
        <v>0</v>
      </c>
      <c r="K625" t="n">
        <v>0</v>
      </c>
      <c r="L625" t="n">
        <v>0</v>
      </c>
      <c r="M625" t="n">
        <v>0</v>
      </c>
      <c r="N625" t="n">
        <v>0</v>
      </c>
      <c r="O625" t="n">
        <v>0</v>
      </c>
      <c r="P625" t="n">
        <v>0</v>
      </c>
      <c r="Q625" t="n">
        <v>0</v>
      </c>
      <c r="R625" s="2" t="inlineStr"/>
    </row>
    <row r="626" ht="15" customHeight="1">
      <c r="A626" t="inlineStr">
        <is>
          <t>A 12032-2025</t>
        </is>
      </c>
      <c r="B626" s="1" t="n">
        <v>45728.64472222222</v>
      </c>
      <c r="C626" s="1" t="n">
        <v>46070</v>
      </c>
      <c r="D626" t="inlineStr">
        <is>
          <t>GOTLANDS LÄN</t>
        </is>
      </c>
      <c r="E626" t="inlineStr">
        <is>
          <t>GOTLAND</t>
        </is>
      </c>
      <c r="G626" t="n">
        <v>1.4</v>
      </c>
      <c r="H626" t="n">
        <v>0</v>
      </c>
      <c r="I626" t="n">
        <v>0</v>
      </c>
      <c r="J626" t="n">
        <v>0</v>
      </c>
      <c r="K626" t="n">
        <v>0</v>
      </c>
      <c r="L626" t="n">
        <v>0</v>
      </c>
      <c r="M626" t="n">
        <v>0</v>
      </c>
      <c r="N626" t="n">
        <v>0</v>
      </c>
      <c r="O626" t="n">
        <v>0</v>
      </c>
      <c r="P626" t="n">
        <v>0</v>
      </c>
      <c r="Q626" t="n">
        <v>0</v>
      </c>
      <c r="R626" s="2" t="inlineStr"/>
    </row>
    <row r="627" ht="15" customHeight="1">
      <c r="A627" t="inlineStr">
        <is>
          <t>A 15595-2024</t>
        </is>
      </c>
      <c r="B627" s="1" t="n">
        <v>45401.81480324074</v>
      </c>
      <c r="C627" s="1" t="n">
        <v>46070</v>
      </c>
      <c r="D627" t="inlineStr">
        <is>
          <t>GOTLANDS LÄN</t>
        </is>
      </c>
      <c r="E627" t="inlineStr">
        <is>
          <t>GOTLAND</t>
        </is>
      </c>
      <c r="G627" t="n">
        <v>6.4</v>
      </c>
      <c r="H627" t="n">
        <v>0</v>
      </c>
      <c r="I627" t="n">
        <v>0</v>
      </c>
      <c r="J627" t="n">
        <v>0</v>
      </c>
      <c r="K627" t="n">
        <v>0</v>
      </c>
      <c r="L627" t="n">
        <v>0</v>
      </c>
      <c r="M627" t="n">
        <v>0</v>
      </c>
      <c r="N627" t="n">
        <v>0</v>
      </c>
      <c r="O627" t="n">
        <v>0</v>
      </c>
      <c r="P627" t="n">
        <v>0</v>
      </c>
      <c r="Q627" t="n">
        <v>0</v>
      </c>
      <c r="R627" s="2" t="inlineStr"/>
    </row>
    <row r="628" ht="15" customHeight="1">
      <c r="A628" t="inlineStr">
        <is>
          <t>A 21164-2024</t>
        </is>
      </c>
      <c r="B628" s="1" t="n">
        <v>45440</v>
      </c>
      <c r="C628" s="1" t="n">
        <v>46070</v>
      </c>
      <c r="D628" t="inlineStr">
        <is>
          <t>GOTLANDS LÄN</t>
        </is>
      </c>
      <c r="E628" t="inlineStr">
        <is>
          <t>GOTLAND</t>
        </is>
      </c>
      <c r="G628" t="n">
        <v>6.3</v>
      </c>
      <c r="H628" t="n">
        <v>0</v>
      </c>
      <c r="I628" t="n">
        <v>0</v>
      </c>
      <c r="J628" t="n">
        <v>0</v>
      </c>
      <c r="K628" t="n">
        <v>0</v>
      </c>
      <c r="L628" t="n">
        <v>0</v>
      </c>
      <c r="M628" t="n">
        <v>0</v>
      </c>
      <c r="N628" t="n">
        <v>0</v>
      </c>
      <c r="O628" t="n">
        <v>0</v>
      </c>
      <c r="P628" t="n">
        <v>0</v>
      </c>
      <c r="Q628" t="n">
        <v>0</v>
      </c>
      <c r="R628" s="2" t="inlineStr"/>
    </row>
    <row r="629" ht="15" customHeight="1">
      <c r="A629" t="inlineStr">
        <is>
          <t>A 17541-2024</t>
        </is>
      </c>
      <c r="B629" s="1" t="n">
        <v>45415</v>
      </c>
      <c r="C629" s="1" t="n">
        <v>46070</v>
      </c>
      <c r="D629" t="inlineStr">
        <is>
          <t>GOTLANDS LÄN</t>
        </is>
      </c>
      <c r="E629" t="inlineStr">
        <is>
          <t>GOTLAND</t>
        </is>
      </c>
      <c r="G629" t="n">
        <v>2.6</v>
      </c>
      <c r="H629" t="n">
        <v>0</v>
      </c>
      <c r="I629" t="n">
        <v>0</v>
      </c>
      <c r="J629" t="n">
        <v>0</v>
      </c>
      <c r="K629" t="n">
        <v>0</v>
      </c>
      <c r="L629" t="n">
        <v>0</v>
      </c>
      <c r="M629" t="n">
        <v>0</v>
      </c>
      <c r="N629" t="n">
        <v>0</v>
      </c>
      <c r="O629" t="n">
        <v>0</v>
      </c>
      <c r="P629" t="n">
        <v>0</v>
      </c>
      <c r="Q629" t="n">
        <v>0</v>
      </c>
      <c r="R629" s="2" t="inlineStr"/>
    </row>
    <row r="630" ht="15" customHeight="1">
      <c r="A630" t="inlineStr">
        <is>
          <t>A 883-2025</t>
        </is>
      </c>
      <c r="B630" s="1" t="n">
        <v>45665</v>
      </c>
      <c r="C630" s="1" t="n">
        <v>46070</v>
      </c>
      <c r="D630" t="inlineStr">
        <is>
          <t>GOTLANDS LÄN</t>
        </is>
      </c>
      <c r="E630" t="inlineStr">
        <is>
          <t>GOTLAND</t>
        </is>
      </c>
      <c r="G630" t="n">
        <v>1.3</v>
      </c>
      <c r="H630" t="n">
        <v>0</v>
      </c>
      <c r="I630" t="n">
        <v>0</v>
      </c>
      <c r="J630" t="n">
        <v>0</v>
      </c>
      <c r="K630" t="n">
        <v>0</v>
      </c>
      <c r="L630" t="n">
        <v>0</v>
      </c>
      <c r="M630" t="n">
        <v>0</v>
      </c>
      <c r="N630" t="n">
        <v>0</v>
      </c>
      <c r="O630" t="n">
        <v>0</v>
      </c>
      <c r="P630" t="n">
        <v>0</v>
      </c>
      <c r="Q630" t="n">
        <v>0</v>
      </c>
      <c r="R630" s="2" t="inlineStr"/>
    </row>
    <row r="631" ht="15" customHeight="1">
      <c r="A631" t="inlineStr">
        <is>
          <t>A 13910-2025</t>
        </is>
      </c>
      <c r="B631" s="1" t="n">
        <v>45737</v>
      </c>
      <c r="C631" s="1" t="n">
        <v>46070</v>
      </c>
      <c r="D631" t="inlineStr">
        <is>
          <t>GOTLANDS LÄN</t>
        </is>
      </c>
      <c r="E631" t="inlineStr">
        <is>
          <t>GOTLAND</t>
        </is>
      </c>
      <c r="F631" t="inlineStr">
        <is>
          <t>Kommuner</t>
        </is>
      </c>
      <c r="G631" t="n">
        <v>3.2</v>
      </c>
      <c r="H631" t="n">
        <v>0</v>
      </c>
      <c r="I631" t="n">
        <v>0</v>
      </c>
      <c r="J631" t="n">
        <v>0</v>
      </c>
      <c r="K631" t="n">
        <v>0</v>
      </c>
      <c r="L631" t="n">
        <v>0</v>
      </c>
      <c r="M631" t="n">
        <v>0</v>
      </c>
      <c r="N631" t="n">
        <v>0</v>
      </c>
      <c r="O631" t="n">
        <v>0</v>
      </c>
      <c r="P631" t="n">
        <v>0</v>
      </c>
      <c r="Q631" t="n">
        <v>0</v>
      </c>
      <c r="R631" s="2" t="inlineStr"/>
    </row>
    <row r="632" ht="15" customHeight="1">
      <c r="A632" t="inlineStr">
        <is>
          <t>A 20794-2025</t>
        </is>
      </c>
      <c r="B632" s="1" t="n">
        <v>45776</v>
      </c>
      <c r="C632" s="1" t="n">
        <v>46070</v>
      </c>
      <c r="D632" t="inlineStr">
        <is>
          <t>GOTLANDS LÄN</t>
        </is>
      </c>
      <c r="E632" t="inlineStr">
        <is>
          <t>GOTLAND</t>
        </is>
      </c>
      <c r="G632" t="n">
        <v>6</v>
      </c>
      <c r="H632" t="n">
        <v>0</v>
      </c>
      <c r="I632" t="n">
        <v>0</v>
      </c>
      <c r="J632" t="n">
        <v>0</v>
      </c>
      <c r="K632" t="n">
        <v>0</v>
      </c>
      <c r="L632" t="n">
        <v>0</v>
      </c>
      <c r="M632" t="n">
        <v>0</v>
      </c>
      <c r="N632" t="n">
        <v>0</v>
      </c>
      <c r="O632" t="n">
        <v>0</v>
      </c>
      <c r="P632" t="n">
        <v>0</v>
      </c>
      <c r="Q632" t="n">
        <v>0</v>
      </c>
      <c r="R632" s="2" t="inlineStr"/>
    </row>
    <row r="633" ht="15" customHeight="1">
      <c r="A633" t="inlineStr">
        <is>
          <t>A 20805-2025</t>
        </is>
      </c>
      <c r="B633" s="1" t="n">
        <v>45776</v>
      </c>
      <c r="C633" s="1" t="n">
        <v>46070</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21389-2025</t>
        </is>
      </c>
      <c r="B634" s="1" t="n">
        <v>45782</v>
      </c>
      <c r="C634" s="1" t="n">
        <v>46070</v>
      </c>
      <c r="D634" t="inlineStr">
        <is>
          <t>GOTLANDS LÄN</t>
        </is>
      </c>
      <c r="E634" t="inlineStr">
        <is>
          <t>GOTLAND</t>
        </is>
      </c>
      <c r="G634" t="n">
        <v>4.1</v>
      </c>
      <c r="H634" t="n">
        <v>0</v>
      </c>
      <c r="I634" t="n">
        <v>0</v>
      </c>
      <c r="J634" t="n">
        <v>0</v>
      </c>
      <c r="K634" t="n">
        <v>0</v>
      </c>
      <c r="L634" t="n">
        <v>0</v>
      </c>
      <c r="M634" t="n">
        <v>0</v>
      </c>
      <c r="N634" t="n">
        <v>0</v>
      </c>
      <c r="O634" t="n">
        <v>0</v>
      </c>
      <c r="P634" t="n">
        <v>0</v>
      </c>
      <c r="Q634" t="n">
        <v>0</v>
      </c>
      <c r="R634" s="2" t="inlineStr"/>
    </row>
    <row r="635" ht="15" customHeight="1">
      <c r="A635" t="inlineStr">
        <is>
          <t>A 21651-2025</t>
        </is>
      </c>
      <c r="B635" s="1" t="n">
        <v>45783</v>
      </c>
      <c r="C635" s="1" t="n">
        <v>46070</v>
      </c>
      <c r="D635" t="inlineStr">
        <is>
          <t>GOTLANDS LÄN</t>
        </is>
      </c>
      <c r="E635" t="inlineStr">
        <is>
          <t>GOTLAND</t>
        </is>
      </c>
      <c r="G635" t="n">
        <v>4.2</v>
      </c>
      <c r="H635" t="n">
        <v>0</v>
      </c>
      <c r="I635" t="n">
        <v>0</v>
      </c>
      <c r="J635" t="n">
        <v>0</v>
      </c>
      <c r="K635" t="n">
        <v>0</v>
      </c>
      <c r="L635" t="n">
        <v>0</v>
      </c>
      <c r="M635" t="n">
        <v>0</v>
      </c>
      <c r="N635" t="n">
        <v>0</v>
      </c>
      <c r="O635" t="n">
        <v>0</v>
      </c>
      <c r="P635" t="n">
        <v>0</v>
      </c>
      <c r="Q635" t="n">
        <v>0</v>
      </c>
      <c r="R635" s="2" t="inlineStr"/>
    </row>
    <row r="636" ht="15" customHeight="1">
      <c r="A636" t="inlineStr">
        <is>
          <t>A 21420-2024</t>
        </is>
      </c>
      <c r="B636" s="1" t="n">
        <v>45441.38293981482</v>
      </c>
      <c r="C636" s="1" t="n">
        <v>46070</v>
      </c>
      <c r="D636" t="inlineStr">
        <is>
          <t>GOTLANDS LÄN</t>
        </is>
      </c>
      <c r="E636" t="inlineStr">
        <is>
          <t>GOTLAND</t>
        </is>
      </c>
      <c r="G636" t="n">
        <v>4.1</v>
      </c>
      <c r="H636" t="n">
        <v>0</v>
      </c>
      <c r="I636" t="n">
        <v>0</v>
      </c>
      <c r="J636" t="n">
        <v>0</v>
      </c>
      <c r="K636" t="n">
        <v>0</v>
      </c>
      <c r="L636" t="n">
        <v>0</v>
      </c>
      <c r="M636" t="n">
        <v>0</v>
      </c>
      <c r="N636" t="n">
        <v>0</v>
      </c>
      <c r="O636" t="n">
        <v>0</v>
      </c>
      <c r="P636" t="n">
        <v>0</v>
      </c>
      <c r="Q636" t="n">
        <v>0</v>
      </c>
      <c r="R636" s="2" t="inlineStr"/>
    </row>
    <row r="637">
      <c r="A637" t="inlineStr">
        <is>
          <t>A 10656-2024</t>
        </is>
      </c>
      <c r="B637" s="1" t="n">
        <v>45368</v>
      </c>
      <c r="C637" s="1" t="n">
        <v>46070</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2026-02-17T11:37:57Z</dcterms:created>
  <dcterms:modified xmlns:dcterms="http://purl.org/dc/terms/" xmlns:xsi="http://www.w3.org/2001/XMLSchema-instance" xsi:type="dcterms:W3CDTF">2026-02-17T11:37:57Z</dcterms:modified>
</cp:coreProperties>
</file>