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45754</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45754</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45754</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45754</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45754</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45754</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45754</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45754</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45754</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45754</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45754</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45754</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45754</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45754</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45754</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45754</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45754</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45754</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2485-2025</t>
        </is>
      </c>
      <c r="B126" s="1" t="n">
        <v>45673</v>
      </c>
      <c r="C126" s="1" t="n">
        <v>45754</v>
      </c>
      <c r="D126" t="inlineStr">
        <is>
          <t>GOTLANDS LÄN</t>
        </is>
      </c>
      <c r="E126" t="inlineStr">
        <is>
          <t>GOTLAND</t>
        </is>
      </c>
      <c r="G126" t="n">
        <v>5</v>
      </c>
      <c r="H126" t="n">
        <v>2</v>
      </c>
      <c r="I126" t="n">
        <v>2</v>
      </c>
      <c r="J126" t="n">
        <v>0</v>
      </c>
      <c r="K126" t="n">
        <v>2</v>
      </c>
      <c r="L126" t="n">
        <v>0</v>
      </c>
      <c r="M126" t="n">
        <v>0</v>
      </c>
      <c r="N126" t="n">
        <v>0</v>
      </c>
      <c r="O126" t="n">
        <v>2</v>
      </c>
      <c r="P126" t="n">
        <v>2</v>
      </c>
      <c r="Q126" t="n">
        <v>4</v>
      </c>
      <c r="R126" s="2" t="inlineStr">
        <is>
          <t>Gotlandsmåra
Skogskorn
Nästrot
Skogsknipprot</t>
        </is>
      </c>
      <c r="S126">
        <f>HYPERLINK("https://klasma.github.io/Logging_0980/artfynd/A 2485-2025 artfynd.xlsx", "A 2485-2025")</f>
        <v/>
      </c>
      <c r="T126">
        <f>HYPERLINK("https://klasma.github.io/Logging_0980/kartor/A 2485-2025 karta.png", "A 2485-2025")</f>
        <v/>
      </c>
      <c r="V126">
        <f>HYPERLINK("https://klasma.github.io/Logging_0980/klagomål/A 2485-2025 FSC-klagomål.docx", "A 2485-2025")</f>
        <v/>
      </c>
      <c r="W126">
        <f>HYPERLINK("https://klasma.github.io/Logging_0980/klagomålsmail/A 2485-2025 FSC-klagomål mail.docx", "A 2485-2025")</f>
        <v/>
      </c>
      <c r="X126">
        <f>HYPERLINK("https://klasma.github.io/Logging_0980/tillsyn/A 2485-2025 tillsynsbegäran.docx", "A 2485-2025")</f>
        <v/>
      </c>
      <c r="Y126">
        <f>HYPERLINK("https://klasma.github.io/Logging_0980/tillsynsmail/A 2485-2025 tillsynsbegäran mail.docx", "A 2485-2025")</f>
        <v/>
      </c>
    </row>
    <row r="127" ht="15" customHeight="1">
      <c r="A127" t="inlineStr">
        <is>
          <t>A 66053-2019</t>
        </is>
      </c>
      <c r="B127" s="1" t="n">
        <v>43806</v>
      </c>
      <c r="C127" s="1" t="n">
        <v>45754</v>
      </c>
      <c r="D127" t="inlineStr">
        <is>
          <t>GOTLANDS LÄN</t>
        </is>
      </c>
      <c r="E127" t="inlineStr">
        <is>
          <t>GOTLAND</t>
        </is>
      </c>
      <c r="G127" t="n">
        <v>58.6</v>
      </c>
      <c r="H127" t="n">
        <v>2</v>
      </c>
      <c r="I127" t="n">
        <v>0</v>
      </c>
      <c r="J127" t="n">
        <v>1</v>
      </c>
      <c r="K127" t="n">
        <v>2</v>
      </c>
      <c r="L127" t="n">
        <v>0</v>
      </c>
      <c r="M127" t="n">
        <v>0</v>
      </c>
      <c r="N127" t="n">
        <v>0</v>
      </c>
      <c r="O127" t="n">
        <v>3</v>
      </c>
      <c r="P127" t="n">
        <v>2</v>
      </c>
      <c r="Q127" t="n">
        <v>3</v>
      </c>
      <c r="R127" s="2" t="inlineStr">
        <is>
          <t>Falsk guldskivlav
Garderönn
Apollofjäril</t>
        </is>
      </c>
      <c r="S127">
        <f>HYPERLINK("https://klasma.github.io/Logging_0980/artfynd/A 66053-2019 artfynd.xlsx", "A 66053-2019")</f>
        <v/>
      </c>
      <c r="T127">
        <f>HYPERLINK("https://klasma.github.io/Logging_0980/kartor/A 66053-2019 karta.png", "A 66053-2019")</f>
        <v/>
      </c>
      <c r="V127">
        <f>HYPERLINK("https://klasma.github.io/Logging_0980/klagomål/A 66053-2019 FSC-klagomål.docx", "A 66053-2019")</f>
        <v/>
      </c>
      <c r="W127">
        <f>HYPERLINK("https://klasma.github.io/Logging_0980/klagomålsmail/A 66053-2019 FSC-klagomål mail.docx", "A 66053-2019")</f>
        <v/>
      </c>
      <c r="X127">
        <f>HYPERLINK("https://klasma.github.io/Logging_0980/tillsyn/A 66053-2019 tillsynsbegäran.docx", "A 66053-2019")</f>
        <v/>
      </c>
      <c r="Y127">
        <f>HYPERLINK("https://klasma.github.io/Logging_0980/tillsynsmail/A 66053-2019 tillsynsbegäran mail.docx", "A 66053-2019")</f>
        <v/>
      </c>
    </row>
    <row r="128" ht="15" customHeight="1">
      <c r="A128" t="inlineStr">
        <is>
          <t>A 2536-2020</t>
        </is>
      </c>
      <c r="B128" s="1" t="n">
        <v>43847</v>
      </c>
      <c r="C128" s="1" t="n">
        <v>45754</v>
      </c>
      <c r="D128" t="inlineStr">
        <is>
          <t>GOTLANDS LÄN</t>
        </is>
      </c>
      <c r="E128" t="inlineStr">
        <is>
          <t>GOTLAND</t>
        </is>
      </c>
      <c r="G128" t="n">
        <v>4.2</v>
      </c>
      <c r="H128" t="n">
        <v>1</v>
      </c>
      <c r="I128" t="n">
        <v>0</v>
      </c>
      <c r="J128" t="n">
        <v>2</v>
      </c>
      <c r="K128" t="n">
        <v>0</v>
      </c>
      <c r="L128" t="n">
        <v>0</v>
      </c>
      <c r="M128" t="n">
        <v>0</v>
      </c>
      <c r="N128" t="n">
        <v>0</v>
      </c>
      <c r="O128" t="n">
        <v>2</v>
      </c>
      <c r="P128" t="n">
        <v>0</v>
      </c>
      <c r="Q128" t="n">
        <v>3</v>
      </c>
      <c r="R128" s="2" t="inlineStr">
        <is>
          <t>Backklöver
Svinrot
Blåsippa</t>
        </is>
      </c>
      <c r="S128">
        <f>HYPERLINK("https://klasma.github.io/Logging_0980/artfynd/A 2536-2020 artfynd.xlsx", "A 2536-2020")</f>
        <v/>
      </c>
      <c r="T128">
        <f>HYPERLINK("https://klasma.github.io/Logging_0980/kartor/A 2536-2020 karta.png", "A 2536-2020")</f>
        <v/>
      </c>
      <c r="V128">
        <f>HYPERLINK("https://klasma.github.io/Logging_0980/klagomål/A 2536-2020 FSC-klagomål.docx", "A 2536-2020")</f>
        <v/>
      </c>
      <c r="W128">
        <f>HYPERLINK("https://klasma.github.io/Logging_0980/klagomålsmail/A 2536-2020 FSC-klagomål mail.docx", "A 2536-2020")</f>
        <v/>
      </c>
      <c r="X128">
        <f>HYPERLINK("https://klasma.github.io/Logging_0980/tillsyn/A 2536-2020 tillsynsbegäran.docx", "A 2536-2020")</f>
        <v/>
      </c>
      <c r="Y128">
        <f>HYPERLINK("https://klasma.github.io/Logging_0980/tillsynsmail/A 2536-2020 tillsynsbegäran mail.docx", "A 2536-2020")</f>
        <v/>
      </c>
    </row>
    <row r="129" ht="15" customHeight="1">
      <c r="A129" t="inlineStr">
        <is>
          <t>A 3218-2020</t>
        </is>
      </c>
      <c r="B129" s="1" t="n">
        <v>43851</v>
      </c>
      <c r="C129" s="1" t="n">
        <v>45754</v>
      </c>
      <c r="D129" t="inlineStr">
        <is>
          <t>GOTLANDS LÄN</t>
        </is>
      </c>
      <c r="E129" t="inlineStr">
        <is>
          <t>GOTLAND</t>
        </is>
      </c>
      <c r="G129" t="n">
        <v>7.8</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HYPERLINK("https://klasma.github.io/Logging_0980/artfynd/A 3218-2020 artfynd.xlsx", "A 3218-2020")</f>
        <v/>
      </c>
      <c r="T129">
        <f>HYPERLINK("https://klasma.github.io/Logging_0980/kartor/A 3218-2020 karta.png", "A 3218-2020")</f>
        <v/>
      </c>
      <c r="V129">
        <f>HYPERLINK("https://klasma.github.io/Logging_0980/klagomål/A 3218-2020 FSC-klagomål.docx", "A 3218-2020")</f>
        <v/>
      </c>
      <c r="W129">
        <f>HYPERLINK("https://klasma.github.io/Logging_0980/klagomålsmail/A 3218-2020 FSC-klagomål mail.docx", "A 3218-2020")</f>
        <v/>
      </c>
      <c r="X129">
        <f>HYPERLINK("https://klasma.github.io/Logging_0980/tillsyn/A 3218-2020 tillsynsbegäran.docx", "A 3218-2020")</f>
        <v/>
      </c>
      <c r="Y129">
        <f>HYPERLINK("https://klasma.github.io/Logging_0980/tillsynsmail/A 3218-2020 tillsynsbegäran mail.docx", "A 3218-2020")</f>
        <v/>
      </c>
    </row>
    <row r="130" ht="15" customHeight="1">
      <c r="A130" t="inlineStr">
        <is>
          <t>A 7156-2020</t>
        </is>
      </c>
      <c r="B130" s="1" t="n">
        <v>43870</v>
      </c>
      <c r="C130" s="1" t="n">
        <v>45754</v>
      </c>
      <c r="D130" t="inlineStr">
        <is>
          <t>GOTLANDS LÄN</t>
        </is>
      </c>
      <c r="E130" t="inlineStr">
        <is>
          <t>GOTLAND</t>
        </is>
      </c>
      <c r="G130" t="n">
        <v>1.5</v>
      </c>
      <c r="H130" t="n">
        <v>1</v>
      </c>
      <c r="I130" t="n">
        <v>0</v>
      </c>
      <c r="J130" t="n">
        <v>2</v>
      </c>
      <c r="K130" t="n">
        <v>0</v>
      </c>
      <c r="L130" t="n">
        <v>0</v>
      </c>
      <c r="M130" t="n">
        <v>0</v>
      </c>
      <c r="N130" t="n">
        <v>0</v>
      </c>
      <c r="O130" t="n">
        <v>2</v>
      </c>
      <c r="P130" t="n">
        <v>0</v>
      </c>
      <c r="Q130" t="n">
        <v>3</v>
      </c>
      <c r="R130" s="2" t="inlineStr">
        <is>
          <t>Bolmört
Solvända
Sankt pers nycklar</t>
        </is>
      </c>
      <c r="S130">
        <f>HYPERLINK("https://klasma.github.io/Logging_0980/artfynd/A 7156-2020 artfynd.xlsx", "A 7156-2020")</f>
        <v/>
      </c>
      <c r="T130">
        <f>HYPERLINK("https://klasma.github.io/Logging_0980/kartor/A 7156-2020 karta.png", "A 7156-2020")</f>
        <v/>
      </c>
      <c r="V130">
        <f>HYPERLINK("https://klasma.github.io/Logging_0980/klagomål/A 7156-2020 FSC-klagomål.docx", "A 7156-2020")</f>
        <v/>
      </c>
      <c r="W130">
        <f>HYPERLINK("https://klasma.github.io/Logging_0980/klagomålsmail/A 7156-2020 FSC-klagomål mail.docx", "A 7156-2020")</f>
        <v/>
      </c>
      <c r="X130">
        <f>HYPERLINK("https://klasma.github.io/Logging_0980/tillsyn/A 7156-2020 tillsynsbegäran.docx", "A 7156-2020")</f>
        <v/>
      </c>
      <c r="Y130">
        <f>HYPERLINK("https://klasma.github.io/Logging_0980/tillsynsmail/A 7156-2020 tillsynsbegäran mail.docx", "A 7156-2020")</f>
        <v/>
      </c>
    </row>
    <row r="131" ht="15" customHeight="1">
      <c r="A131" t="inlineStr">
        <is>
          <t>A 10707-2020</t>
        </is>
      </c>
      <c r="B131" s="1" t="n">
        <v>43888</v>
      </c>
      <c r="C131" s="1" t="n">
        <v>45754</v>
      </c>
      <c r="D131" t="inlineStr">
        <is>
          <t>GOTLANDS LÄN</t>
        </is>
      </c>
      <c r="E131" t="inlineStr">
        <is>
          <t>GOTLAND</t>
        </is>
      </c>
      <c r="F131" t="inlineStr">
        <is>
          <t>Övriga statliga verk och myndigheter</t>
        </is>
      </c>
      <c r="G131" t="n">
        <v>27.7</v>
      </c>
      <c r="H131" t="n">
        <v>0</v>
      </c>
      <c r="I131" t="n">
        <v>0</v>
      </c>
      <c r="J131" t="n">
        <v>3</v>
      </c>
      <c r="K131" t="n">
        <v>0</v>
      </c>
      <c r="L131" t="n">
        <v>0</v>
      </c>
      <c r="M131" t="n">
        <v>0</v>
      </c>
      <c r="N131" t="n">
        <v>0</v>
      </c>
      <c r="O131" t="n">
        <v>3</v>
      </c>
      <c r="P131" t="n">
        <v>0</v>
      </c>
      <c r="Q131" t="n">
        <v>3</v>
      </c>
      <c r="R131" s="2" t="inlineStr">
        <is>
          <t>Grådådra
Mindre blåvinge
Ängsnätfjäril</t>
        </is>
      </c>
      <c r="S131">
        <f>HYPERLINK("https://klasma.github.io/Logging_0980/artfynd/A 10707-2020 artfynd.xlsx", "A 10707-2020")</f>
        <v/>
      </c>
      <c r="T131">
        <f>HYPERLINK("https://klasma.github.io/Logging_0980/kartor/A 10707-2020 karta.png", "A 10707-2020")</f>
        <v/>
      </c>
      <c r="V131">
        <f>HYPERLINK("https://klasma.github.io/Logging_0980/klagomål/A 10707-2020 FSC-klagomål.docx", "A 10707-2020")</f>
        <v/>
      </c>
      <c r="W131">
        <f>HYPERLINK("https://klasma.github.io/Logging_0980/klagomålsmail/A 10707-2020 FSC-klagomål mail.docx", "A 10707-2020")</f>
        <v/>
      </c>
      <c r="X131">
        <f>HYPERLINK("https://klasma.github.io/Logging_0980/tillsyn/A 10707-2020 tillsynsbegäran.docx", "A 10707-2020")</f>
        <v/>
      </c>
      <c r="Y131">
        <f>HYPERLINK("https://klasma.github.io/Logging_0980/tillsynsmail/A 10707-2020 tillsynsbegäran mail.docx", "A 10707-2020")</f>
        <v/>
      </c>
    </row>
    <row r="132" ht="15" customHeight="1">
      <c r="A132" t="inlineStr">
        <is>
          <t>A 55029-2020</t>
        </is>
      </c>
      <c r="B132" s="1" t="n">
        <v>44130</v>
      </c>
      <c r="C132" s="1" t="n">
        <v>45754</v>
      </c>
      <c r="D132" t="inlineStr">
        <is>
          <t>GOTLANDS LÄN</t>
        </is>
      </c>
      <c r="E132" t="inlineStr">
        <is>
          <t>GOTLAND</t>
        </is>
      </c>
      <c r="G132" t="n">
        <v>6.9</v>
      </c>
      <c r="H132" t="n">
        <v>1</v>
      </c>
      <c r="I132" t="n">
        <v>2</v>
      </c>
      <c r="J132" t="n">
        <v>1</v>
      </c>
      <c r="K132" t="n">
        <v>0</v>
      </c>
      <c r="L132" t="n">
        <v>0</v>
      </c>
      <c r="M132" t="n">
        <v>0</v>
      </c>
      <c r="N132" t="n">
        <v>0</v>
      </c>
      <c r="O132" t="n">
        <v>1</v>
      </c>
      <c r="P132" t="n">
        <v>0</v>
      </c>
      <c r="Q132" t="n">
        <v>3</v>
      </c>
      <c r="R132" s="2" t="inlineStr">
        <is>
          <t>Dårgräsfjäril
Anisspindling
Granbarkgnagare</t>
        </is>
      </c>
      <c r="S132">
        <f>HYPERLINK("https://klasma.github.io/Logging_0980/artfynd/A 55029-2020 artfynd.xlsx", "A 55029-2020")</f>
        <v/>
      </c>
      <c r="T132">
        <f>HYPERLINK("https://klasma.github.io/Logging_0980/kartor/A 55029-2020 karta.png", "A 55029-2020")</f>
        <v/>
      </c>
      <c r="V132">
        <f>HYPERLINK("https://klasma.github.io/Logging_0980/klagomål/A 55029-2020 FSC-klagomål.docx", "A 55029-2020")</f>
        <v/>
      </c>
      <c r="W132">
        <f>HYPERLINK("https://klasma.github.io/Logging_0980/klagomålsmail/A 55029-2020 FSC-klagomål mail.docx", "A 55029-2020")</f>
        <v/>
      </c>
      <c r="X132">
        <f>HYPERLINK("https://klasma.github.io/Logging_0980/tillsyn/A 55029-2020 tillsynsbegäran.docx", "A 55029-2020")</f>
        <v/>
      </c>
      <c r="Y132">
        <f>HYPERLINK("https://klasma.github.io/Logging_0980/tillsynsmail/A 55029-2020 tillsynsbegäran mail.docx", "A 55029-2020")</f>
        <v/>
      </c>
    </row>
    <row r="133" ht="15" customHeight="1">
      <c r="A133" t="inlineStr">
        <is>
          <t>A 62326-2020</t>
        </is>
      </c>
      <c r="B133" s="1" t="n">
        <v>44160</v>
      </c>
      <c r="C133" s="1" t="n">
        <v>45754</v>
      </c>
      <c r="D133" t="inlineStr">
        <is>
          <t>GOTLANDS LÄN</t>
        </is>
      </c>
      <c r="E133" t="inlineStr">
        <is>
          <t>GOTLAND</t>
        </is>
      </c>
      <c r="G133" t="n">
        <v>7.4</v>
      </c>
      <c r="H133" t="n">
        <v>1</v>
      </c>
      <c r="I133" t="n">
        <v>3</v>
      </c>
      <c r="J133" t="n">
        <v>0</v>
      </c>
      <c r="K133" t="n">
        <v>0</v>
      </c>
      <c r="L133" t="n">
        <v>0</v>
      </c>
      <c r="M133" t="n">
        <v>0</v>
      </c>
      <c r="N133" t="n">
        <v>0</v>
      </c>
      <c r="O133" t="n">
        <v>0</v>
      </c>
      <c r="P133" t="n">
        <v>0</v>
      </c>
      <c r="Q133" t="n">
        <v>3</v>
      </c>
      <c r="R133" s="2" t="inlineStr">
        <is>
          <t>Anisspindling
Blåmossa
Skogsknipprot</t>
        </is>
      </c>
      <c r="S133">
        <f>HYPERLINK("https://klasma.github.io/Logging_0980/artfynd/A 62326-2020 artfynd.xlsx", "A 62326-2020")</f>
        <v/>
      </c>
      <c r="T133">
        <f>HYPERLINK("https://klasma.github.io/Logging_0980/kartor/A 62326-2020 karta.png", "A 62326-2020")</f>
        <v/>
      </c>
      <c r="V133">
        <f>HYPERLINK("https://klasma.github.io/Logging_0980/klagomål/A 62326-2020 FSC-klagomål.docx", "A 62326-2020")</f>
        <v/>
      </c>
      <c r="W133">
        <f>HYPERLINK("https://klasma.github.io/Logging_0980/klagomålsmail/A 62326-2020 FSC-klagomål mail.docx", "A 62326-2020")</f>
        <v/>
      </c>
      <c r="X133">
        <f>HYPERLINK("https://klasma.github.io/Logging_0980/tillsyn/A 62326-2020 tillsynsbegäran.docx", "A 62326-2020")</f>
        <v/>
      </c>
      <c r="Y133">
        <f>HYPERLINK("https://klasma.github.io/Logging_0980/tillsynsmail/A 62326-2020 tillsynsbegäran mail.docx", "A 62326-2020")</f>
        <v/>
      </c>
    </row>
    <row r="134" ht="15" customHeight="1">
      <c r="A134" t="inlineStr">
        <is>
          <t>A 2332-2021</t>
        </is>
      </c>
      <c r="B134" s="1" t="n">
        <v>44214</v>
      </c>
      <c r="C134" s="1" t="n">
        <v>45754</v>
      </c>
      <c r="D134" t="inlineStr">
        <is>
          <t>GOTLANDS LÄN</t>
        </is>
      </c>
      <c r="E134" t="inlineStr">
        <is>
          <t>GOTLAND</t>
        </is>
      </c>
      <c r="G134" t="n">
        <v>2.3</v>
      </c>
      <c r="H134" t="n">
        <v>2</v>
      </c>
      <c r="I134" t="n">
        <v>0</v>
      </c>
      <c r="J134" t="n">
        <v>1</v>
      </c>
      <c r="K134" t="n">
        <v>0</v>
      </c>
      <c r="L134" t="n">
        <v>0</v>
      </c>
      <c r="M134" t="n">
        <v>0</v>
      </c>
      <c r="N134" t="n">
        <v>0</v>
      </c>
      <c r="O134" t="n">
        <v>1</v>
      </c>
      <c r="P134" t="n">
        <v>0</v>
      </c>
      <c r="Q134" t="n">
        <v>3</v>
      </c>
      <c r="R134" s="2" t="inlineStr">
        <is>
          <t>Korpnopping
Sankt pers nycklar
Blåsippa</t>
        </is>
      </c>
      <c r="S134">
        <f>HYPERLINK("https://klasma.github.io/Logging_0980/artfynd/A 2332-2021 artfynd.xlsx", "A 2332-2021")</f>
        <v/>
      </c>
      <c r="T134">
        <f>HYPERLINK("https://klasma.github.io/Logging_0980/kartor/A 2332-2021 karta.png", "A 2332-2021")</f>
        <v/>
      </c>
      <c r="V134">
        <f>HYPERLINK("https://klasma.github.io/Logging_0980/klagomål/A 2332-2021 FSC-klagomål.docx", "A 2332-2021")</f>
        <v/>
      </c>
      <c r="W134">
        <f>HYPERLINK("https://klasma.github.io/Logging_0980/klagomålsmail/A 2332-2021 FSC-klagomål mail.docx", "A 2332-2021")</f>
        <v/>
      </c>
      <c r="X134">
        <f>HYPERLINK("https://klasma.github.io/Logging_0980/tillsyn/A 2332-2021 tillsynsbegäran.docx", "A 2332-2021")</f>
        <v/>
      </c>
      <c r="Y134">
        <f>HYPERLINK("https://klasma.github.io/Logging_0980/tillsynsmail/A 2332-2021 tillsynsbegäran mail.docx", "A 2332-2021")</f>
        <v/>
      </c>
    </row>
    <row r="135" ht="15" customHeight="1">
      <c r="A135" t="inlineStr">
        <is>
          <t>A 12519-2021</t>
        </is>
      </c>
      <c r="B135" s="1" t="n">
        <v>44269</v>
      </c>
      <c r="C135" s="1" t="n">
        <v>45754</v>
      </c>
      <c r="D135" t="inlineStr">
        <is>
          <t>GOTLANDS LÄN</t>
        </is>
      </c>
      <c r="E135" t="inlineStr">
        <is>
          <t>GOTLAND</t>
        </is>
      </c>
      <c r="F135" t="inlineStr">
        <is>
          <t>Kyrkan</t>
        </is>
      </c>
      <c r="G135" t="n">
        <v>3.4</v>
      </c>
      <c r="H135" t="n">
        <v>0</v>
      </c>
      <c r="I135" t="n">
        <v>2</v>
      </c>
      <c r="J135" t="n">
        <v>1</v>
      </c>
      <c r="K135" t="n">
        <v>0</v>
      </c>
      <c r="L135" t="n">
        <v>0</v>
      </c>
      <c r="M135" t="n">
        <v>0</v>
      </c>
      <c r="N135" t="n">
        <v>0</v>
      </c>
      <c r="O135" t="n">
        <v>1</v>
      </c>
      <c r="P135" t="n">
        <v>0</v>
      </c>
      <c r="Q135" t="n">
        <v>3</v>
      </c>
      <c r="R135" s="2" t="inlineStr">
        <is>
          <t>Loppstarr
Rödgul trumpetsvamp
Vågbandad barkbock</t>
        </is>
      </c>
      <c r="S135">
        <f>HYPERLINK("https://klasma.github.io/Logging_0980/artfynd/A 12519-2021 artfynd.xlsx", "A 12519-2021")</f>
        <v/>
      </c>
      <c r="T135">
        <f>HYPERLINK("https://klasma.github.io/Logging_0980/kartor/A 12519-2021 karta.png", "A 12519-2021")</f>
        <v/>
      </c>
      <c r="V135">
        <f>HYPERLINK("https://klasma.github.io/Logging_0980/klagomål/A 12519-2021 FSC-klagomål.docx", "A 12519-2021")</f>
        <v/>
      </c>
      <c r="W135">
        <f>HYPERLINK("https://klasma.github.io/Logging_0980/klagomålsmail/A 12519-2021 FSC-klagomål mail.docx", "A 12519-2021")</f>
        <v/>
      </c>
      <c r="X135">
        <f>HYPERLINK("https://klasma.github.io/Logging_0980/tillsyn/A 12519-2021 tillsynsbegäran.docx", "A 12519-2021")</f>
        <v/>
      </c>
      <c r="Y135">
        <f>HYPERLINK("https://klasma.github.io/Logging_0980/tillsynsmail/A 12519-2021 tillsynsbegäran mail.docx", "A 12519-2021")</f>
        <v/>
      </c>
    </row>
    <row r="136" ht="15" customHeight="1">
      <c r="A136" t="inlineStr">
        <is>
          <t>A 32666-2021</t>
        </is>
      </c>
      <c r="B136" s="1" t="n">
        <v>44375</v>
      </c>
      <c r="C136" s="1" t="n">
        <v>45754</v>
      </c>
      <c r="D136" t="inlineStr">
        <is>
          <t>GOTLANDS LÄN</t>
        </is>
      </c>
      <c r="E136" t="inlineStr">
        <is>
          <t>GOTLAND</t>
        </is>
      </c>
      <c r="G136" t="n">
        <v>0.9</v>
      </c>
      <c r="H136" t="n">
        <v>1</v>
      </c>
      <c r="I136" t="n">
        <v>2</v>
      </c>
      <c r="J136" t="n">
        <v>0</v>
      </c>
      <c r="K136" t="n">
        <v>1</v>
      </c>
      <c r="L136" t="n">
        <v>0</v>
      </c>
      <c r="M136" t="n">
        <v>0</v>
      </c>
      <c r="N136" t="n">
        <v>0</v>
      </c>
      <c r="O136" t="n">
        <v>1</v>
      </c>
      <c r="P136" t="n">
        <v>1</v>
      </c>
      <c r="Q136" t="n">
        <v>3</v>
      </c>
      <c r="R136" s="2" t="inlineStr">
        <is>
          <t>Skogskorn
Myskmadra
Vit skogslilja</t>
        </is>
      </c>
      <c r="S136">
        <f>HYPERLINK("https://klasma.github.io/Logging_0980/artfynd/A 32666-2021 artfynd.xlsx", "A 32666-2021")</f>
        <v/>
      </c>
      <c r="T136">
        <f>HYPERLINK("https://klasma.github.io/Logging_0980/kartor/A 32666-2021 karta.png", "A 32666-2021")</f>
        <v/>
      </c>
      <c r="V136">
        <f>HYPERLINK("https://klasma.github.io/Logging_0980/klagomål/A 32666-2021 FSC-klagomål.docx", "A 32666-2021")</f>
        <v/>
      </c>
      <c r="W136">
        <f>HYPERLINK("https://klasma.github.io/Logging_0980/klagomålsmail/A 32666-2021 FSC-klagomål mail.docx", "A 32666-2021")</f>
        <v/>
      </c>
      <c r="X136">
        <f>HYPERLINK("https://klasma.github.io/Logging_0980/tillsyn/A 32666-2021 tillsynsbegäran.docx", "A 32666-2021")</f>
        <v/>
      </c>
      <c r="Y136">
        <f>HYPERLINK("https://klasma.github.io/Logging_0980/tillsynsmail/A 32666-2021 tillsynsbegäran mail.docx", "A 32666-2021")</f>
        <v/>
      </c>
    </row>
    <row r="137" ht="15" customHeight="1">
      <c r="A137" t="inlineStr">
        <is>
          <t>A 32718-2021</t>
        </is>
      </c>
      <c r="B137" s="1" t="n">
        <v>44375</v>
      </c>
      <c r="C137" s="1" t="n">
        <v>45754</v>
      </c>
      <c r="D137" t="inlineStr">
        <is>
          <t>GOTLANDS LÄN</t>
        </is>
      </c>
      <c r="E137" t="inlineStr">
        <is>
          <t>GOTLAND</t>
        </is>
      </c>
      <c r="G137" t="n">
        <v>2.1</v>
      </c>
      <c r="H137" t="n">
        <v>0</v>
      </c>
      <c r="I137" t="n">
        <v>1</v>
      </c>
      <c r="J137" t="n">
        <v>1</v>
      </c>
      <c r="K137" t="n">
        <v>1</v>
      </c>
      <c r="L137" t="n">
        <v>0</v>
      </c>
      <c r="M137" t="n">
        <v>0</v>
      </c>
      <c r="N137" t="n">
        <v>0</v>
      </c>
      <c r="O137" t="n">
        <v>2</v>
      </c>
      <c r="P137" t="n">
        <v>1</v>
      </c>
      <c r="Q137" t="n">
        <v>3</v>
      </c>
      <c r="R137" s="2" t="inlineStr">
        <is>
          <t>Skogskorn
Skugglosta
Strävlosta</t>
        </is>
      </c>
      <c r="S137">
        <f>HYPERLINK("https://klasma.github.io/Logging_0980/artfynd/A 32718-2021 artfynd.xlsx", "A 32718-2021")</f>
        <v/>
      </c>
      <c r="T137">
        <f>HYPERLINK("https://klasma.github.io/Logging_0980/kartor/A 32718-2021 karta.png", "A 32718-2021")</f>
        <v/>
      </c>
      <c r="V137">
        <f>HYPERLINK("https://klasma.github.io/Logging_0980/klagomål/A 32718-2021 FSC-klagomål.docx", "A 32718-2021")</f>
        <v/>
      </c>
      <c r="W137">
        <f>HYPERLINK("https://klasma.github.io/Logging_0980/klagomålsmail/A 32718-2021 FSC-klagomål mail.docx", "A 32718-2021")</f>
        <v/>
      </c>
      <c r="X137">
        <f>HYPERLINK("https://klasma.github.io/Logging_0980/tillsyn/A 32718-2021 tillsynsbegäran.docx", "A 32718-2021")</f>
        <v/>
      </c>
      <c r="Y137">
        <f>HYPERLINK("https://klasma.github.io/Logging_0980/tillsynsmail/A 32718-2021 tillsynsbegäran mail.docx", "A 32718-2021")</f>
        <v/>
      </c>
    </row>
    <row r="138" ht="15" customHeight="1">
      <c r="A138" t="inlineStr">
        <is>
          <t>A 44323-2021</t>
        </is>
      </c>
      <c r="B138" s="1" t="n">
        <v>44434</v>
      </c>
      <c r="C138" s="1" t="n">
        <v>45754</v>
      </c>
      <c r="D138" t="inlineStr">
        <is>
          <t>GOTLANDS LÄN</t>
        </is>
      </c>
      <c r="E138" t="inlineStr">
        <is>
          <t>GOTLAND</t>
        </is>
      </c>
      <c r="G138" t="n">
        <v>7.5</v>
      </c>
      <c r="H138" t="n">
        <v>1</v>
      </c>
      <c r="I138" t="n">
        <v>3</v>
      </c>
      <c r="J138" t="n">
        <v>0</v>
      </c>
      <c r="K138" t="n">
        <v>0</v>
      </c>
      <c r="L138" t="n">
        <v>0</v>
      </c>
      <c r="M138" t="n">
        <v>0</v>
      </c>
      <c r="N138" t="n">
        <v>0</v>
      </c>
      <c r="O138" t="n">
        <v>0</v>
      </c>
      <c r="P138" t="n">
        <v>0</v>
      </c>
      <c r="Q138" t="n">
        <v>3</v>
      </c>
      <c r="R138" s="2" t="inlineStr">
        <is>
          <t>Anisspindling
Barrfagerspindling
Skogsknipprot</t>
        </is>
      </c>
      <c r="S138">
        <f>HYPERLINK("https://klasma.github.io/Logging_0980/artfynd/A 44323-2021 artfynd.xlsx", "A 44323-2021")</f>
        <v/>
      </c>
      <c r="T138">
        <f>HYPERLINK("https://klasma.github.io/Logging_0980/kartor/A 44323-2021 karta.png", "A 44323-2021")</f>
        <v/>
      </c>
      <c r="V138">
        <f>HYPERLINK("https://klasma.github.io/Logging_0980/klagomål/A 44323-2021 FSC-klagomål.docx", "A 44323-2021")</f>
        <v/>
      </c>
      <c r="W138">
        <f>HYPERLINK("https://klasma.github.io/Logging_0980/klagomålsmail/A 44323-2021 FSC-klagomål mail.docx", "A 44323-2021")</f>
        <v/>
      </c>
      <c r="X138">
        <f>HYPERLINK("https://klasma.github.io/Logging_0980/tillsyn/A 44323-2021 tillsynsbegäran.docx", "A 44323-2021")</f>
        <v/>
      </c>
      <c r="Y138">
        <f>HYPERLINK("https://klasma.github.io/Logging_0980/tillsynsmail/A 44323-2021 tillsynsbegäran mail.docx", "A 44323-2021")</f>
        <v/>
      </c>
    </row>
    <row r="139" ht="15" customHeight="1">
      <c r="A139" t="inlineStr">
        <is>
          <t>A 53552-2021</t>
        </is>
      </c>
      <c r="B139" s="1" t="n">
        <v>44468</v>
      </c>
      <c r="C139" s="1" t="n">
        <v>45754</v>
      </c>
      <c r="D139" t="inlineStr">
        <is>
          <t>GOTLANDS LÄN</t>
        </is>
      </c>
      <c r="E139" t="inlineStr">
        <is>
          <t>GOTLAND</t>
        </is>
      </c>
      <c r="G139" t="n">
        <v>6.2</v>
      </c>
      <c r="H139" t="n">
        <v>2</v>
      </c>
      <c r="I139" t="n">
        <v>0</v>
      </c>
      <c r="J139" t="n">
        <v>1</v>
      </c>
      <c r="K139" t="n">
        <v>0</v>
      </c>
      <c r="L139" t="n">
        <v>0</v>
      </c>
      <c r="M139" t="n">
        <v>0</v>
      </c>
      <c r="N139" t="n">
        <v>0</v>
      </c>
      <c r="O139" t="n">
        <v>1</v>
      </c>
      <c r="P139" t="n">
        <v>0</v>
      </c>
      <c r="Q139" t="n">
        <v>3</v>
      </c>
      <c r="R139" s="2" t="inlineStr">
        <is>
          <t>Bredbrämad bastardsvärmare
Grönvit nattviol
Gullviva</t>
        </is>
      </c>
      <c r="S139">
        <f>HYPERLINK("https://klasma.github.io/Logging_0980/artfynd/A 53552-2021 artfynd.xlsx", "A 53552-2021")</f>
        <v/>
      </c>
      <c r="T139">
        <f>HYPERLINK("https://klasma.github.io/Logging_0980/kartor/A 53552-2021 karta.png", "A 53552-2021")</f>
        <v/>
      </c>
      <c r="V139">
        <f>HYPERLINK("https://klasma.github.io/Logging_0980/klagomål/A 53552-2021 FSC-klagomål.docx", "A 53552-2021")</f>
        <v/>
      </c>
      <c r="W139">
        <f>HYPERLINK("https://klasma.github.io/Logging_0980/klagomålsmail/A 53552-2021 FSC-klagomål mail.docx", "A 53552-2021")</f>
        <v/>
      </c>
      <c r="X139">
        <f>HYPERLINK("https://klasma.github.io/Logging_0980/tillsyn/A 53552-2021 tillsynsbegäran.docx", "A 53552-2021")</f>
        <v/>
      </c>
      <c r="Y139">
        <f>HYPERLINK("https://klasma.github.io/Logging_0980/tillsynsmail/A 53552-2021 tillsynsbegäran mail.docx", "A 53552-2021")</f>
        <v/>
      </c>
    </row>
    <row r="140" ht="15" customHeight="1">
      <c r="A140" t="inlineStr">
        <is>
          <t>A 58821-2021</t>
        </is>
      </c>
      <c r="B140" s="1" t="n">
        <v>44489</v>
      </c>
      <c r="C140" s="1" t="n">
        <v>45754</v>
      </c>
      <c r="D140" t="inlineStr">
        <is>
          <t>GOTLANDS LÄN</t>
        </is>
      </c>
      <c r="E140" t="inlineStr">
        <is>
          <t>GOTLAND</t>
        </is>
      </c>
      <c r="G140" t="n">
        <v>2.5</v>
      </c>
      <c r="H140" t="n">
        <v>3</v>
      </c>
      <c r="I140" t="n">
        <v>1</v>
      </c>
      <c r="J140" t="n">
        <v>2</v>
      </c>
      <c r="K140" t="n">
        <v>0</v>
      </c>
      <c r="L140" t="n">
        <v>0</v>
      </c>
      <c r="M140" t="n">
        <v>0</v>
      </c>
      <c r="N140" t="n">
        <v>0</v>
      </c>
      <c r="O140" t="n">
        <v>2</v>
      </c>
      <c r="P140" t="n">
        <v>0</v>
      </c>
      <c r="Q140" t="n">
        <v>3</v>
      </c>
      <c r="R140" s="2" t="inlineStr">
        <is>
          <t>Apollofjäril
Svartfläckig blåvinge
Nästrot</t>
        </is>
      </c>
      <c r="S140">
        <f>HYPERLINK("https://klasma.github.io/Logging_0980/artfynd/A 58821-2021 artfynd.xlsx", "A 58821-2021")</f>
        <v/>
      </c>
      <c r="T140">
        <f>HYPERLINK("https://klasma.github.io/Logging_0980/kartor/A 58821-2021 karta.png", "A 58821-2021")</f>
        <v/>
      </c>
      <c r="V140">
        <f>HYPERLINK("https://klasma.github.io/Logging_0980/klagomål/A 58821-2021 FSC-klagomål.docx", "A 58821-2021")</f>
        <v/>
      </c>
      <c r="W140">
        <f>HYPERLINK("https://klasma.github.io/Logging_0980/klagomålsmail/A 58821-2021 FSC-klagomål mail.docx", "A 58821-2021")</f>
        <v/>
      </c>
      <c r="X140">
        <f>HYPERLINK("https://klasma.github.io/Logging_0980/tillsyn/A 58821-2021 tillsynsbegäran.docx", "A 58821-2021")</f>
        <v/>
      </c>
      <c r="Y140">
        <f>HYPERLINK("https://klasma.github.io/Logging_0980/tillsynsmail/A 58821-2021 tillsynsbegäran mail.docx", "A 58821-2021")</f>
        <v/>
      </c>
    </row>
    <row r="141" ht="15" customHeight="1">
      <c r="A141" t="inlineStr">
        <is>
          <t>A 13499-2022</t>
        </is>
      </c>
      <c r="B141" s="1" t="n">
        <v>44647</v>
      </c>
      <c r="C141" s="1" t="n">
        <v>45754</v>
      </c>
      <c r="D141" t="inlineStr">
        <is>
          <t>GOTLANDS LÄN</t>
        </is>
      </c>
      <c r="E141" t="inlineStr">
        <is>
          <t>GOTLAND</t>
        </is>
      </c>
      <c r="G141" t="n">
        <v>6.8</v>
      </c>
      <c r="H141" t="n">
        <v>3</v>
      </c>
      <c r="I141" t="n">
        <v>0</v>
      </c>
      <c r="J141" t="n">
        <v>1</v>
      </c>
      <c r="K141" t="n">
        <v>0</v>
      </c>
      <c r="L141" t="n">
        <v>0</v>
      </c>
      <c r="M141" t="n">
        <v>0</v>
      </c>
      <c r="N141" t="n">
        <v>0</v>
      </c>
      <c r="O141" t="n">
        <v>1</v>
      </c>
      <c r="P141" t="n">
        <v>0</v>
      </c>
      <c r="Q141" t="n">
        <v>3</v>
      </c>
      <c r="R141" s="2" t="inlineStr">
        <is>
          <t>Spillkråka
Sankt pers nycklar
Blåsippa</t>
        </is>
      </c>
      <c r="S141">
        <f>HYPERLINK("https://klasma.github.io/Logging_0980/artfynd/A 13499-2022 artfynd.xlsx", "A 13499-2022")</f>
        <v/>
      </c>
      <c r="T141">
        <f>HYPERLINK("https://klasma.github.io/Logging_0980/kartor/A 13499-2022 karta.png", "A 13499-2022")</f>
        <v/>
      </c>
      <c r="V141">
        <f>HYPERLINK("https://klasma.github.io/Logging_0980/klagomål/A 13499-2022 FSC-klagomål.docx", "A 13499-2022")</f>
        <v/>
      </c>
      <c r="W141">
        <f>HYPERLINK("https://klasma.github.io/Logging_0980/klagomålsmail/A 13499-2022 FSC-klagomål mail.docx", "A 13499-2022")</f>
        <v/>
      </c>
      <c r="X141">
        <f>HYPERLINK("https://klasma.github.io/Logging_0980/tillsyn/A 13499-2022 tillsynsbegäran.docx", "A 13499-2022")</f>
        <v/>
      </c>
      <c r="Y141">
        <f>HYPERLINK("https://klasma.github.io/Logging_0980/tillsynsmail/A 13499-2022 tillsynsbegäran mail.docx", "A 13499-2022")</f>
        <v/>
      </c>
      <c r="Z141">
        <f>HYPERLINK("https://klasma.github.io/Logging_0980/fåglar/A 13499-2022 prioriterade fågelarter.docx", "A 13499-2022")</f>
        <v/>
      </c>
    </row>
    <row r="142" ht="15" customHeight="1">
      <c r="A142" t="inlineStr">
        <is>
          <t>A 43013-2022</t>
        </is>
      </c>
      <c r="B142" s="1" t="n">
        <v>44833</v>
      </c>
      <c r="C142" s="1" t="n">
        <v>45754</v>
      </c>
      <c r="D142" t="inlineStr">
        <is>
          <t>GOTLANDS LÄN</t>
        </is>
      </c>
      <c r="E142" t="inlineStr">
        <is>
          <t>GOTLAND</t>
        </is>
      </c>
      <c r="G142" t="n">
        <v>9.300000000000001</v>
      </c>
      <c r="H142" t="n">
        <v>0</v>
      </c>
      <c r="I142" t="n">
        <v>2</v>
      </c>
      <c r="J142" t="n">
        <v>0</v>
      </c>
      <c r="K142" t="n">
        <v>1</v>
      </c>
      <c r="L142" t="n">
        <v>0</v>
      </c>
      <c r="M142" t="n">
        <v>0</v>
      </c>
      <c r="N142" t="n">
        <v>0</v>
      </c>
      <c r="O142" t="n">
        <v>1</v>
      </c>
      <c r="P142" t="n">
        <v>1</v>
      </c>
      <c r="Q142" t="n">
        <v>3</v>
      </c>
      <c r="R142" s="2" t="inlineStr">
        <is>
          <t>Violettfläckig spindling
Anisspindling
Blå slemspindling</t>
        </is>
      </c>
      <c r="S142">
        <f>HYPERLINK("https://klasma.github.io/Logging_0980/artfynd/A 43013-2022 artfynd.xlsx", "A 43013-2022")</f>
        <v/>
      </c>
      <c r="T142">
        <f>HYPERLINK("https://klasma.github.io/Logging_0980/kartor/A 43013-2022 karta.png", "A 43013-2022")</f>
        <v/>
      </c>
      <c r="V142">
        <f>HYPERLINK("https://klasma.github.io/Logging_0980/klagomål/A 43013-2022 FSC-klagomål.docx", "A 43013-2022")</f>
        <v/>
      </c>
      <c r="W142">
        <f>HYPERLINK("https://klasma.github.io/Logging_0980/klagomålsmail/A 43013-2022 FSC-klagomål mail.docx", "A 43013-2022")</f>
        <v/>
      </c>
      <c r="X142">
        <f>HYPERLINK("https://klasma.github.io/Logging_0980/tillsyn/A 43013-2022 tillsynsbegäran.docx", "A 43013-2022")</f>
        <v/>
      </c>
      <c r="Y142">
        <f>HYPERLINK("https://klasma.github.io/Logging_0980/tillsynsmail/A 43013-2022 tillsynsbegäran mail.docx", "A 43013-2022")</f>
        <v/>
      </c>
    </row>
    <row r="143" ht="15" customHeight="1">
      <c r="A143" t="inlineStr">
        <is>
          <t>A 44913-2022</t>
        </is>
      </c>
      <c r="B143" s="1" t="n">
        <v>44841</v>
      </c>
      <c r="C143" s="1" t="n">
        <v>45754</v>
      </c>
      <c r="D143" t="inlineStr">
        <is>
          <t>GOTLANDS LÄN</t>
        </is>
      </c>
      <c r="E143" t="inlineStr">
        <is>
          <t>GOTLAND</t>
        </is>
      </c>
      <c r="G143" t="n">
        <v>8.800000000000001</v>
      </c>
      <c r="H143" t="n">
        <v>1</v>
      </c>
      <c r="I143" t="n">
        <v>1</v>
      </c>
      <c r="J143" t="n">
        <v>1</v>
      </c>
      <c r="K143" t="n">
        <v>0</v>
      </c>
      <c r="L143" t="n">
        <v>0</v>
      </c>
      <c r="M143" t="n">
        <v>0</v>
      </c>
      <c r="N143" t="n">
        <v>0</v>
      </c>
      <c r="O143" t="n">
        <v>1</v>
      </c>
      <c r="P143" t="n">
        <v>0</v>
      </c>
      <c r="Q143" t="n">
        <v>3</v>
      </c>
      <c r="R143" s="2" t="inlineStr">
        <is>
          <t>Odörspindling
Granbarkgnagare
Kärrknipprot</t>
        </is>
      </c>
      <c r="S143">
        <f>HYPERLINK("https://klasma.github.io/Logging_0980/artfynd/A 44913-2022 artfynd.xlsx", "A 44913-2022")</f>
        <v/>
      </c>
      <c r="T143">
        <f>HYPERLINK("https://klasma.github.io/Logging_0980/kartor/A 44913-2022 karta.png", "A 44913-2022")</f>
        <v/>
      </c>
      <c r="V143">
        <f>HYPERLINK("https://klasma.github.io/Logging_0980/klagomål/A 44913-2022 FSC-klagomål.docx", "A 44913-2022")</f>
        <v/>
      </c>
      <c r="W143">
        <f>HYPERLINK("https://klasma.github.io/Logging_0980/klagomålsmail/A 44913-2022 FSC-klagomål mail.docx", "A 44913-2022")</f>
        <v/>
      </c>
      <c r="X143">
        <f>HYPERLINK("https://klasma.github.io/Logging_0980/tillsyn/A 44913-2022 tillsynsbegäran.docx", "A 44913-2022")</f>
        <v/>
      </c>
      <c r="Y143">
        <f>HYPERLINK("https://klasma.github.io/Logging_0980/tillsynsmail/A 44913-2022 tillsynsbegäran mail.docx", "A 44913-2022")</f>
        <v/>
      </c>
    </row>
    <row r="144" ht="15" customHeight="1">
      <c r="A144" t="inlineStr">
        <is>
          <t>A 17982-2023</t>
        </is>
      </c>
      <c r="B144" s="1" t="n">
        <v>45040</v>
      </c>
      <c r="C144" s="1" t="n">
        <v>45754</v>
      </c>
      <c r="D144" t="inlineStr">
        <is>
          <t>GOTLANDS LÄN</t>
        </is>
      </c>
      <c r="E144" t="inlineStr">
        <is>
          <t>GOTLAND</t>
        </is>
      </c>
      <c r="G144" t="n">
        <v>2.2</v>
      </c>
      <c r="H144" t="n">
        <v>0</v>
      </c>
      <c r="I144" t="n">
        <v>0</v>
      </c>
      <c r="J144" t="n">
        <v>2</v>
      </c>
      <c r="K144" t="n">
        <v>0</v>
      </c>
      <c r="L144" t="n">
        <v>0</v>
      </c>
      <c r="M144" t="n">
        <v>1</v>
      </c>
      <c r="N144" t="n">
        <v>0</v>
      </c>
      <c r="O144" t="n">
        <v>3</v>
      </c>
      <c r="P144" t="n">
        <v>1</v>
      </c>
      <c r="Q144" t="n">
        <v>3</v>
      </c>
      <c r="R144" s="2" t="inlineStr">
        <is>
          <t>Lundalm
Krusfrö
Ängsskära</t>
        </is>
      </c>
      <c r="S144">
        <f>HYPERLINK("https://klasma.github.io/Logging_0980/artfynd/A 17982-2023 artfynd.xlsx", "A 17982-2023")</f>
        <v/>
      </c>
      <c r="T144">
        <f>HYPERLINK("https://klasma.github.io/Logging_0980/kartor/A 17982-2023 karta.png", "A 17982-2023")</f>
        <v/>
      </c>
      <c r="V144">
        <f>HYPERLINK("https://klasma.github.io/Logging_0980/klagomål/A 17982-2023 FSC-klagomål.docx", "A 17982-2023")</f>
        <v/>
      </c>
      <c r="W144">
        <f>HYPERLINK("https://klasma.github.io/Logging_0980/klagomålsmail/A 17982-2023 FSC-klagomål mail.docx", "A 17982-2023")</f>
        <v/>
      </c>
      <c r="X144">
        <f>HYPERLINK("https://klasma.github.io/Logging_0980/tillsyn/A 17982-2023 tillsynsbegäran.docx", "A 17982-2023")</f>
        <v/>
      </c>
      <c r="Y144">
        <f>HYPERLINK("https://klasma.github.io/Logging_0980/tillsynsmail/A 17982-2023 tillsynsbegäran mail.docx", "A 17982-2023")</f>
        <v/>
      </c>
    </row>
    <row r="145" ht="15" customHeight="1">
      <c r="A145" t="inlineStr">
        <is>
          <t>A 27041-2023</t>
        </is>
      </c>
      <c r="B145" s="1" t="n">
        <v>45095</v>
      </c>
      <c r="C145" s="1" t="n">
        <v>45754</v>
      </c>
      <c r="D145" t="inlineStr">
        <is>
          <t>GOTLANDS LÄN</t>
        </is>
      </c>
      <c r="E145" t="inlineStr">
        <is>
          <t>GOTLAND</t>
        </is>
      </c>
      <c r="G145" t="n">
        <v>5.3</v>
      </c>
      <c r="H145" t="n">
        <v>0</v>
      </c>
      <c r="I145" t="n">
        <v>2</v>
      </c>
      <c r="J145" t="n">
        <v>1</v>
      </c>
      <c r="K145" t="n">
        <v>0</v>
      </c>
      <c r="L145" t="n">
        <v>0</v>
      </c>
      <c r="M145" t="n">
        <v>0</v>
      </c>
      <c r="N145" t="n">
        <v>0</v>
      </c>
      <c r="O145" t="n">
        <v>1</v>
      </c>
      <c r="P145" t="n">
        <v>0</v>
      </c>
      <c r="Q145" t="n">
        <v>3</v>
      </c>
      <c r="R145" s="2" t="inlineStr">
        <is>
          <t>Odörspindling
Anisspindling
Besk kastanjemusseron</t>
        </is>
      </c>
      <c r="S145">
        <f>HYPERLINK("https://klasma.github.io/Logging_0980/artfynd/A 27041-2023 artfynd.xlsx", "A 27041-2023")</f>
        <v/>
      </c>
      <c r="T145">
        <f>HYPERLINK("https://klasma.github.io/Logging_0980/kartor/A 27041-2023 karta.png", "A 27041-2023")</f>
        <v/>
      </c>
      <c r="V145">
        <f>HYPERLINK("https://klasma.github.io/Logging_0980/klagomål/A 27041-2023 FSC-klagomål.docx", "A 27041-2023")</f>
        <v/>
      </c>
      <c r="W145">
        <f>HYPERLINK("https://klasma.github.io/Logging_0980/klagomålsmail/A 27041-2023 FSC-klagomål mail.docx", "A 27041-2023")</f>
        <v/>
      </c>
      <c r="X145">
        <f>HYPERLINK("https://klasma.github.io/Logging_0980/tillsyn/A 27041-2023 tillsynsbegäran.docx", "A 27041-2023")</f>
        <v/>
      </c>
      <c r="Y145">
        <f>HYPERLINK("https://klasma.github.io/Logging_0980/tillsynsmail/A 27041-2023 tillsynsbegäran mail.docx", "A 27041-2023")</f>
        <v/>
      </c>
    </row>
    <row r="146" ht="15" customHeight="1">
      <c r="A146" t="inlineStr">
        <is>
          <t>A 27280-2023</t>
        </is>
      </c>
      <c r="B146" s="1" t="n">
        <v>45096</v>
      </c>
      <c r="C146" s="1" t="n">
        <v>45754</v>
      </c>
      <c r="D146" t="inlineStr">
        <is>
          <t>GOTLANDS LÄN</t>
        </is>
      </c>
      <c r="E146" t="inlineStr">
        <is>
          <t>GOTLAND</t>
        </is>
      </c>
      <c r="G146" t="n">
        <v>2.7</v>
      </c>
      <c r="H146" t="n">
        <v>3</v>
      </c>
      <c r="I146" t="n">
        <v>0</v>
      </c>
      <c r="J146" t="n">
        <v>1</v>
      </c>
      <c r="K146" t="n">
        <v>0</v>
      </c>
      <c r="L146" t="n">
        <v>0</v>
      </c>
      <c r="M146" t="n">
        <v>0</v>
      </c>
      <c r="N146" t="n">
        <v>0</v>
      </c>
      <c r="O146" t="n">
        <v>1</v>
      </c>
      <c r="P146" t="n">
        <v>0</v>
      </c>
      <c r="Q146" t="n">
        <v>3</v>
      </c>
      <c r="R146" s="2" t="inlineStr">
        <is>
          <t>Mindre hackspett
Fläcknycklar
Grönvit nattviol</t>
        </is>
      </c>
      <c r="S146">
        <f>HYPERLINK("https://klasma.github.io/Logging_0980/artfynd/A 27280-2023 artfynd.xlsx", "A 27280-2023")</f>
        <v/>
      </c>
      <c r="T146">
        <f>HYPERLINK("https://klasma.github.io/Logging_0980/kartor/A 27280-2023 karta.png", "A 27280-2023")</f>
        <v/>
      </c>
      <c r="V146">
        <f>HYPERLINK("https://klasma.github.io/Logging_0980/klagomål/A 27280-2023 FSC-klagomål.docx", "A 27280-2023")</f>
        <v/>
      </c>
      <c r="W146">
        <f>HYPERLINK("https://klasma.github.io/Logging_0980/klagomålsmail/A 27280-2023 FSC-klagomål mail.docx", "A 27280-2023")</f>
        <v/>
      </c>
      <c r="X146">
        <f>HYPERLINK("https://klasma.github.io/Logging_0980/tillsyn/A 27280-2023 tillsynsbegäran.docx", "A 27280-2023")</f>
        <v/>
      </c>
      <c r="Y146">
        <f>HYPERLINK("https://klasma.github.io/Logging_0980/tillsynsmail/A 27280-2023 tillsynsbegäran mail.docx", "A 27280-2023")</f>
        <v/>
      </c>
      <c r="Z146">
        <f>HYPERLINK("https://klasma.github.io/Logging_0980/fåglar/A 27280-2023 prioriterade fågelarter.docx", "A 27280-2023")</f>
        <v/>
      </c>
    </row>
    <row r="147" ht="15" customHeight="1">
      <c r="A147" t="inlineStr">
        <is>
          <t>A 16542-2024</t>
        </is>
      </c>
      <c r="B147" s="1" t="n">
        <v>45408</v>
      </c>
      <c r="C147" s="1" t="n">
        <v>45754</v>
      </c>
      <c r="D147" t="inlineStr">
        <is>
          <t>GOTLANDS LÄN</t>
        </is>
      </c>
      <c r="E147" t="inlineStr">
        <is>
          <t>GOTLAND</t>
        </is>
      </c>
      <c r="G147" t="n">
        <v>1.6</v>
      </c>
      <c r="H147" t="n">
        <v>2</v>
      </c>
      <c r="I147" t="n">
        <v>2</v>
      </c>
      <c r="J147" t="n">
        <v>1</v>
      </c>
      <c r="K147" t="n">
        <v>0</v>
      </c>
      <c r="L147" t="n">
        <v>0</v>
      </c>
      <c r="M147" t="n">
        <v>0</v>
      </c>
      <c r="N147" t="n">
        <v>0</v>
      </c>
      <c r="O147" t="n">
        <v>1</v>
      </c>
      <c r="P147" t="n">
        <v>0</v>
      </c>
      <c r="Q147" t="n">
        <v>3</v>
      </c>
      <c r="R147" s="2" t="inlineStr">
        <is>
          <t>Tallticka
Nästrot
Tvåblad</t>
        </is>
      </c>
      <c r="S147">
        <f>HYPERLINK("https://klasma.github.io/Logging_0980/artfynd/A 16542-2024 artfynd.xlsx", "A 16542-2024")</f>
        <v/>
      </c>
      <c r="T147">
        <f>HYPERLINK("https://klasma.github.io/Logging_0980/kartor/A 16542-2024 karta.png", "A 16542-2024")</f>
        <v/>
      </c>
      <c r="V147">
        <f>HYPERLINK("https://klasma.github.io/Logging_0980/klagomål/A 16542-2024 FSC-klagomål.docx", "A 16542-2024")</f>
        <v/>
      </c>
      <c r="W147">
        <f>HYPERLINK("https://klasma.github.io/Logging_0980/klagomålsmail/A 16542-2024 FSC-klagomål mail.docx", "A 16542-2024")</f>
        <v/>
      </c>
      <c r="X147">
        <f>HYPERLINK("https://klasma.github.io/Logging_0980/tillsyn/A 16542-2024 tillsynsbegäran.docx", "A 16542-2024")</f>
        <v/>
      </c>
      <c r="Y147">
        <f>HYPERLINK("https://klasma.github.io/Logging_0980/tillsynsmail/A 16542-2024 tillsynsbegäran mail.docx", "A 16542-2024")</f>
        <v/>
      </c>
    </row>
    <row r="148" ht="15" customHeight="1">
      <c r="A148" t="inlineStr">
        <is>
          <t>A 17975-2024</t>
        </is>
      </c>
      <c r="B148" s="1" t="n">
        <v>45419</v>
      </c>
      <c r="C148" s="1" t="n">
        <v>45754</v>
      </c>
      <c r="D148" t="inlineStr">
        <is>
          <t>GOTLANDS LÄN</t>
        </is>
      </c>
      <c r="E148" t="inlineStr">
        <is>
          <t>GOTLAND</t>
        </is>
      </c>
      <c r="G148" t="n">
        <v>7.9</v>
      </c>
      <c r="H148" t="n">
        <v>0</v>
      </c>
      <c r="I148" t="n">
        <v>1</v>
      </c>
      <c r="J148" t="n">
        <v>1</v>
      </c>
      <c r="K148" t="n">
        <v>0</v>
      </c>
      <c r="L148" t="n">
        <v>1</v>
      </c>
      <c r="M148" t="n">
        <v>0</v>
      </c>
      <c r="N148" t="n">
        <v>0</v>
      </c>
      <c r="O148" t="n">
        <v>2</v>
      </c>
      <c r="P148" t="n">
        <v>1</v>
      </c>
      <c r="Q148" t="n">
        <v>3</v>
      </c>
      <c r="R148" s="2" t="inlineStr">
        <is>
          <t>Ask
Skugglosta
Strävlosta</t>
        </is>
      </c>
      <c r="S148">
        <f>HYPERLINK("https://klasma.github.io/Logging_0980/artfynd/A 17975-2024 artfynd.xlsx", "A 17975-2024")</f>
        <v/>
      </c>
      <c r="T148">
        <f>HYPERLINK("https://klasma.github.io/Logging_0980/kartor/A 17975-2024 karta.png", "A 17975-2024")</f>
        <v/>
      </c>
      <c r="V148">
        <f>HYPERLINK("https://klasma.github.io/Logging_0980/klagomål/A 17975-2024 FSC-klagomål.docx", "A 17975-2024")</f>
        <v/>
      </c>
      <c r="W148">
        <f>HYPERLINK("https://klasma.github.io/Logging_0980/klagomålsmail/A 17975-2024 FSC-klagomål mail.docx", "A 17975-2024")</f>
        <v/>
      </c>
      <c r="X148">
        <f>HYPERLINK("https://klasma.github.io/Logging_0980/tillsyn/A 17975-2024 tillsynsbegäran.docx", "A 17975-2024")</f>
        <v/>
      </c>
      <c r="Y148">
        <f>HYPERLINK("https://klasma.github.io/Logging_0980/tillsynsmail/A 17975-2024 tillsynsbegäran mail.docx", "A 17975-2024")</f>
        <v/>
      </c>
    </row>
    <row r="149" ht="15" customHeight="1">
      <c r="A149" t="inlineStr">
        <is>
          <t>A 24345-2024</t>
        </is>
      </c>
      <c r="B149" s="1" t="n">
        <v>45457</v>
      </c>
      <c r="C149" s="1" t="n">
        <v>45754</v>
      </c>
      <c r="D149" t="inlineStr">
        <is>
          <t>GOTLANDS LÄN</t>
        </is>
      </c>
      <c r="E149" t="inlineStr">
        <is>
          <t>GOTLAND</t>
        </is>
      </c>
      <c r="G149" t="n">
        <v>5.2</v>
      </c>
      <c r="H149" t="n">
        <v>1</v>
      </c>
      <c r="I149" t="n">
        <v>1</v>
      </c>
      <c r="J149" t="n">
        <v>2</v>
      </c>
      <c r="K149" t="n">
        <v>0</v>
      </c>
      <c r="L149" t="n">
        <v>0</v>
      </c>
      <c r="M149" t="n">
        <v>0</v>
      </c>
      <c r="N149" t="n">
        <v>0</v>
      </c>
      <c r="O149" t="n">
        <v>2</v>
      </c>
      <c r="P149" t="n">
        <v>0</v>
      </c>
      <c r="Q149" t="n">
        <v>3</v>
      </c>
      <c r="R149" s="2" t="inlineStr">
        <is>
          <t>Backtimjan
Dårgräsfjäril
Rödgul trumpetsvamp</t>
        </is>
      </c>
      <c r="S149">
        <f>HYPERLINK("https://klasma.github.io/Logging_0980/artfynd/A 24345-2024 artfynd.xlsx", "A 24345-2024")</f>
        <v/>
      </c>
      <c r="T149">
        <f>HYPERLINK("https://klasma.github.io/Logging_0980/kartor/A 24345-2024 karta.png", "A 24345-2024")</f>
        <v/>
      </c>
      <c r="V149">
        <f>HYPERLINK("https://klasma.github.io/Logging_0980/klagomål/A 24345-2024 FSC-klagomål.docx", "A 24345-2024")</f>
        <v/>
      </c>
      <c r="W149">
        <f>HYPERLINK("https://klasma.github.io/Logging_0980/klagomålsmail/A 24345-2024 FSC-klagomål mail.docx", "A 24345-2024")</f>
        <v/>
      </c>
      <c r="X149">
        <f>HYPERLINK("https://klasma.github.io/Logging_0980/tillsyn/A 24345-2024 tillsynsbegäran.docx", "A 24345-2024")</f>
        <v/>
      </c>
      <c r="Y149">
        <f>HYPERLINK("https://klasma.github.io/Logging_0980/tillsynsmail/A 24345-2024 tillsynsbegäran mail.docx", "A 24345-2024")</f>
        <v/>
      </c>
    </row>
    <row r="150" ht="15" customHeight="1">
      <c r="A150" t="inlineStr">
        <is>
          <t>A 25981-2024</t>
        </is>
      </c>
      <c r="B150" s="1" t="n">
        <v>45467</v>
      </c>
      <c r="C150" s="1" t="n">
        <v>45754</v>
      </c>
      <c r="D150" t="inlineStr">
        <is>
          <t>GOTLANDS LÄN</t>
        </is>
      </c>
      <c r="E150" t="inlineStr">
        <is>
          <t>GOTLAND</t>
        </is>
      </c>
      <c r="G150" t="n">
        <v>5.9</v>
      </c>
      <c r="H150" t="n">
        <v>3</v>
      </c>
      <c r="I150" t="n">
        <v>2</v>
      </c>
      <c r="J150" t="n">
        <v>0</v>
      </c>
      <c r="K150" t="n">
        <v>0</v>
      </c>
      <c r="L150" t="n">
        <v>0</v>
      </c>
      <c r="M150" t="n">
        <v>0</v>
      </c>
      <c r="N150" t="n">
        <v>0</v>
      </c>
      <c r="O150" t="n">
        <v>0</v>
      </c>
      <c r="P150" t="n">
        <v>0</v>
      </c>
      <c r="Q150" t="n">
        <v>3</v>
      </c>
      <c r="R150" s="2" t="inlineStr">
        <is>
          <t>Purpurknipprot
Skogsknipprot
Fläcknycklar</t>
        </is>
      </c>
      <c r="S150">
        <f>HYPERLINK("https://klasma.github.io/Logging_0980/artfynd/A 25981-2024 artfynd.xlsx", "A 25981-2024")</f>
        <v/>
      </c>
      <c r="T150">
        <f>HYPERLINK("https://klasma.github.io/Logging_0980/kartor/A 25981-2024 karta.png", "A 25981-2024")</f>
        <v/>
      </c>
      <c r="V150">
        <f>HYPERLINK("https://klasma.github.io/Logging_0980/klagomål/A 25981-2024 FSC-klagomål.docx", "A 25981-2024")</f>
        <v/>
      </c>
      <c r="W150">
        <f>HYPERLINK("https://klasma.github.io/Logging_0980/klagomålsmail/A 25981-2024 FSC-klagomål mail.docx", "A 25981-2024")</f>
        <v/>
      </c>
      <c r="X150">
        <f>HYPERLINK("https://klasma.github.io/Logging_0980/tillsyn/A 25981-2024 tillsynsbegäran.docx", "A 25981-2024")</f>
        <v/>
      </c>
      <c r="Y150">
        <f>HYPERLINK("https://klasma.github.io/Logging_0980/tillsynsmail/A 25981-2024 tillsynsbegäran mail.docx", "A 25981-2024")</f>
        <v/>
      </c>
    </row>
    <row r="151" ht="15" customHeight="1">
      <c r="A151" t="inlineStr">
        <is>
          <t>A 54940-2024</t>
        </is>
      </c>
      <c r="B151" s="1" t="n">
        <v>45618</v>
      </c>
      <c r="C151" s="1" t="n">
        <v>45754</v>
      </c>
      <c r="D151" t="inlineStr">
        <is>
          <t>GOTLANDS LÄN</t>
        </is>
      </c>
      <c r="E151" t="inlineStr">
        <is>
          <t>GOTLAND</t>
        </is>
      </c>
      <c r="G151" t="n">
        <v>1.2</v>
      </c>
      <c r="H151" t="n">
        <v>2</v>
      </c>
      <c r="I151" t="n">
        <v>0</v>
      </c>
      <c r="J151" t="n">
        <v>1</v>
      </c>
      <c r="K151" t="n">
        <v>0</v>
      </c>
      <c r="L151" t="n">
        <v>0</v>
      </c>
      <c r="M151" t="n">
        <v>0</v>
      </c>
      <c r="N151" t="n">
        <v>0</v>
      </c>
      <c r="O151" t="n">
        <v>1</v>
      </c>
      <c r="P151" t="n">
        <v>0</v>
      </c>
      <c r="Q151" t="n">
        <v>3</v>
      </c>
      <c r="R151" s="2" t="inlineStr">
        <is>
          <t>Ängsstarr
Brudsporre
Dactylorhiza incarnata subsp. incarnata</t>
        </is>
      </c>
      <c r="S151">
        <f>HYPERLINK("https://klasma.github.io/Logging_0980/artfynd/A 54940-2024 artfynd.xlsx", "A 54940-2024")</f>
        <v/>
      </c>
      <c r="T151">
        <f>HYPERLINK("https://klasma.github.io/Logging_0980/kartor/A 54940-2024 karta.png", "A 54940-2024")</f>
        <v/>
      </c>
      <c r="V151">
        <f>HYPERLINK("https://klasma.github.io/Logging_0980/klagomål/A 54940-2024 FSC-klagomål.docx", "A 54940-2024")</f>
        <v/>
      </c>
      <c r="W151">
        <f>HYPERLINK("https://klasma.github.io/Logging_0980/klagomålsmail/A 54940-2024 FSC-klagomål mail.docx", "A 54940-2024")</f>
        <v/>
      </c>
      <c r="X151">
        <f>HYPERLINK("https://klasma.github.io/Logging_0980/tillsyn/A 54940-2024 tillsynsbegäran.docx", "A 54940-2024")</f>
        <v/>
      </c>
      <c r="Y151">
        <f>HYPERLINK("https://klasma.github.io/Logging_0980/tillsynsmail/A 54940-2024 tillsynsbegäran mail.docx", "A 54940-2024")</f>
        <v/>
      </c>
    </row>
    <row r="152" ht="15" customHeight="1">
      <c r="A152" t="inlineStr">
        <is>
          <t>A 58191-2024</t>
        </is>
      </c>
      <c r="B152" s="1" t="n">
        <v>45632</v>
      </c>
      <c r="C152" s="1" t="n">
        <v>45754</v>
      </c>
      <c r="D152" t="inlineStr">
        <is>
          <t>GOTLANDS LÄN</t>
        </is>
      </c>
      <c r="E152" t="inlineStr">
        <is>
          <t>GOTLAND</t>
        </is>
      </c>
      <c r="G152" t="n">
        <v>14.2</v>
      </c>
      <c r="H152" t="n">
        <v>2</v>
      </c>
      <c r="I152" t="n">
        <v>0</v>
      </c>
      <c r="J152" t="n">
        <v>3</v>
      </c>
      <c r="K152" t="n">
        <v>0</v>
      </c>
      <c r="L152" t="n">
        <v>0</v>
      </c>
      <c r="M152" t="n">
        <v>0</v>
      </c>
      <c r="N152" t="n">
        <v>0</v>
      </c>
      <c r="O152" t="n">
        <v>3</v>
      </c>
      <c r="P152" t="n">
        <v>0</v>
      </c>
      <c r="Q152" t="n">
        <v>3</v>
      </c>
      <c r="R152" s="2" t="inlineStr">
        <is>
          <t>Björktrast
Crepis tectorum subsp. tectorum
Spillkråka</t>
        </is>
      </c>
      <c r="S152">
        <f>HYPERLINK("https://klasma.github.io/Logging_0980/artfynd/A 58191-2024 artfynd.xlsx", "A 58191-2024")</f>
        <v/>
      </c>
      <c r="T152">
        <f>HYPERLINK("https://klasma.github.io/Logging_0980/kartor/A 58191-2024 karta.png", "A 58191-2024")</f>
        <v/>
      </c>
      <c r="V152">
        <f>HYPERLINK("https://klasma.github.io/Logging_0980/klagomål/A 58191-2024 FSC-klagomål.docx", "A 58191-2024")</f>
        <v/>
      </c>
      <c r="W152">
        <f>HYPERLINK("https://klasma.github.io/Logging_0980/klagomålsmail/A 58191-2024 FSC-klagomål mail.docx", "A 58191-2024")</f>
        <v/>
      </c>
      <c r="X152">
        <f>HYPERLINK("https://klasma.github.io/Logging_0980/tillsyn/A 58191-2024 tillsynsbegäran.docx", "A 58191-2024")</f>
        <v/>
      </c>
      <c r="Y152">
        <f>HYPERLINK("https://klasma.github.io/Logging_0980/tillsynsmail/A 58191-2024 tillsynsbegäran mail.docx", "A 58191-2024")</f>
        <v/>
      </c>
      <c r="Z152">
        <f>HYPERLINK("https://klasma.github.io/Logging_0980/fåglar/A 58191-2024 prioriterade fågelarter.docx", "A 58191-2024")</f>
        <v/>
      </c>
    </row>
    <row r="153" ht="15" customHeight="1">
      <c r="A153" t="inlineStr">
        <is>
          <t>A 2318-2025</t>
        </is>
      </c>
      <c r="B153" s="1" t="n">
        <v>45673</v>
      </c>
      <c r="C153" s="1" t="n">
        <v>45754</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45754</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45754</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45754</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45754</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45754</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45754</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45754</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45754</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45754</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45754</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45754</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45754</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45754</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45754</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45754</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45754</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45754</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45754</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45754</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45754</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45754</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45754</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45754</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45754</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45754</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45754</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45754</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45754</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45754</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45754</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45754</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45754</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45754</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45754</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45754</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45754</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45754</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45754</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45754</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45754</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45754</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45754</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45754</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45754</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45754</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45754</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45754</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45754</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45754</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45754</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45754</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45754</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45754</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45754</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45754</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45754</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45754</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45754</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45754</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45754</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45754</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45754</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45754</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45754</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45754</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45754</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45754</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45754</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45754</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45754</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45754</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45754</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45754</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45754</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45754</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45754</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45754</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45754</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45754</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45754</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45754</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45754</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45754</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45754</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45754</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45754</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45754</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45754</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45754</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45754</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45754</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45754</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45754</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45754</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45754</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45754</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45754</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45754</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45754</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45754</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45754</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45754</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45754</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45754</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45754</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45754</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45754</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45754</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45754</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45754</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45754</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45754</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45754</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45754</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45754</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45754</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45754</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45754</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45754</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45754</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45754</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45754</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49304-2024</t>
        </is>
      </c>
      <c r="B277" s="1" t="n">
        <v>45595</v>
      </c>
      <c r="C277" s="1" t="n">
        <v>45754</v>
      </c>
      <c r="D277" t="inlineStr">
        <is>
          <t>GOTLANDS LÄN</t>
        </is>
      </c>
      <c r="E277" t="inlineStr">
        <is>
          <t>GOTLAND</t>
        </is>
      </c>
      <c r="G277" t="n">
        <v>10.8</v>
      </c>
      <c r="H277" t="n">
        <v>0</v>
      </c>
      <c r="I277" t="n">
        <v>0</v>
      </c>
      <c r="J277" t="n">
        <v>1</v>
      </c>
      <c r="K277" t="n">
        <v>0</v>
      </c>
      <c r="L277" t="n">
        <v>0</v>
      </c>
      <c r="M277" t="n">
        <v>0</v>
      </c>
      <c r="N277" t="n">
        <v>0</v>
      </c>
      <c r="O277" t="n">
        <v>1</v>
      </c>
      <c r="P277" t="n">
        <v>0</v>
      </c>
      <c r="Q277" t="n">
        <v>1</v>
      </c>
      <c r="R277" s="2" t="inlineStr">
        <is>
          <t>Åkerranunkel</t>
        </is>
      </c>
      <c r="S277">
        <f>HYPERLINK("https://klasma.github.io/Logging_0980/artfynd/A 49304-2024 artfynd.xlsx", "A 49304-2024")</f>
        <v/>
      </c>
      <c r="T277">
        <f>HYPERLINK("https://klasma.github.io/Logging_0980/kartor/A 49304-2024 karta.png", "A 49304-2024")</f>
        <v/>
      </c>
      <c r="V277">
        <f>HYPERLINK("https://klasma.github.io/Logging_0980/klagomål/A 49304-2024 FSC-klagomål.docx", "A 49304-2024")</f>
        <v/>
      </c>
      <c r="W277">
        <f>HYPERLINK("https://klasma.github.io/Logging_0980/klagomålsmail/A 49304-2024 FSC-klagomål mail.docx", "A 49304-2024")</f>
        <v/>
      </c>
      <c r="X277">
        <f>HYPERLINK("https://klasma.github.io/Logging_0980/tillsyn/A 49304-2024 tillsynsbegäran.docx", "A 49304-2024")</f>
        <v/>
      </c>
      <c r="Y277">
        <f>HYPERLINK("https://klasma.github.io/Logging_0980/tillsynsmail/A 49304-2024 tillsynsbegäran mail.docx", "A 49304-2024")</f>
        <v/>
      </c>
    </row>
    <row r="278" ht="15" customHeight="1">
      <c r="A278" t="inlineStr">
        <is>
          <t>A 2476-2025</t>
        </is>
      </c>
      <c r="B278" s="1" t="n">
        <v>45673</v>
      </c>
      <c r="C278" s="1" t="n">
        <v>45754</v>
      </c>
      <c r="D278" t="inlineStr">
        <is>
          <t>GOTLANDS LÄN</t>
        </is>
      </c>
      <c r="E278" t="inlineStr">
        <is>
          <t>GOTLAND</t>
        </is>
      </c>
      <c r="G278" t="n">
        <v>3.1</v>
      </c>
      <c r="H278" t="n">
        <v>0</v>
      </c>
      <c r="I278" t="n">
        <v>1</v>
      </c>
      <c r="J278" t="n">
        <v>0</v>
      </c>
      <c r="K278" t="n">
        <v>0</v>
      </c>
      <c r="L278" t="n">
        <v>0</v>
      </c>
      <c r="M278" t="n">
        <v>0</v>
      </c>
      <c r="N278" t="n">
        <v>0</v>
      </c>
      <c r="O278" t="n">
        <v>0</v>
      </c>
      <c r="P278" t="n">
        <v>0</v>
      </c>
      <c r="Q278" t="n">
        <v>1</v>
      </c>
      <c r="R278" s="2" t="inlineStr">
        <is>
          <t>Kryddspindling</t>
        </is>
      </c>
      <c r="S278">
        <f>HYPERLINK("https://klasma.github.io/Logging_0980/artfynd/A 2476-2025 artfynd.xlsx", "A 2476-2025")</f>
        <v/>
      </c>
      <c r="T278">
        <f>HYPERLINK("https://klasma.github.io/Logging_0980/kartor/A 2476-2025 karta.png", "A 2476-2025")</f>
        <v/>
      </c>
      <c r="V278">
        <f>HYPERLINK("https://klasma.github.io/Logging_0980/klagomål/A 2476-2025 FSC-klagomål.docx", "A 2476-2025")</f>
        <v/>
      </c>
      <c r="W278">
        <f>HYPERLINK("https://klasma.github.io/Logging_0980/klagomålsmail/A 2476-2025 FSC-klagomål mail.docx", "A 2476-2025")</f>
        <v/>
      </c>
      <c r="X278">
        <f>HYPERLINK("https://klasma.github.io/Logging_0980/tillsyn/A 2476-2025 tillsynsbegäran.docx", "A 2476-2025")</f>
        <v/>
      </c>
      <c r="Y278">
        <f>HYPERLINK("https://klasma.github.io/Logging_0980/tillsynsmail/A 2476-2025 tillsynsbegäran mail.docx", "A 2476-2025")</f>
        <v/>
      </c>
    </row>
    <row r="279" ht="15" customHeight="1">
      <c r="A279" t="inlineStr">
        <is>
          <t>A 4984-2025</t>
        </is>
      </c>
      <c r="B279" s="1" t="n">
        <v>45691</v>
      </c>
      <c r="C279" s="1" t="n">
        <v>45754</v>
      </c>
      <c r="D279" t="inlineStr">
        <is>
          <t>GOTLANDS LÄN</t>
        </is>
      </c>
      <c r="E279" t="inlineStr">
        <is>
          <t>GOTLAND</t>
        </is>
      </c>
      <c r="G279" t="n">
        <v>1.3</v>
      </c>
      <c r="H279" t="n">
        <v>1</v>
      </c>
      <c r="I279" t="n">
        <v>0</v>
      </c>
      <c r="J279" t="n">
        <v>0</v>
      </c>
      <c r="K279" t="n">
        <v>0</v>
      </c>
      <c r="L279" t="n">
        <v>0</v>
      </c>
      <c r="M279" t="n">
        <v>0</v>
      </c>
      <c r="N279" t="n">
        <v>0</v>
      </c>
      <c r="O279" t="n">
        <v>0</v>
      </c>
      <c r="P279" t="n">
        <v>0</v>
      </c>
      <c r="Q279" t="n">
        <v>1</v>
      </c>
      <c r="R279" s="2" t="inlineStr">
        <is>
          <t>Kärrknipprot</t>
        </is>
      </c>
      <c r="S279">
        <f>HYPERLINK("https://klasma.github.io/Logging_0980/artfynd/A 4984-2025 artfynd.xlsx", "A 4984-2025")</f>
        <v/>
      </c>
      <c r="T279">
        <f>HYPERLINK("https://klasma.github.io/Logging_0980/kartor/A 4984-2025 karta.png", "A 4984-2025")</f>
        <v/>
      </c>
      <c r="V279">
        <f>HYPERLINK("https://klasma.github.io/Logging_0980/klagomål/A 4984-2025 FSC-klagomål.docx", "A 4984-2025")</f>
        <v/>
      </c>
      <c r="W279">
        <f>HYPERLINK("https://klasma.github.io/Logging_0980/klagomålsmail/A 4984-2025 FSC-klagomål mail.docx", "A 4984-2025")</f>
        <v/>
      </c>
      <c r="X279">
        <f>HYPERLINK("https://klasma.github.io/Logging_0980/tillsyn/A 4984-2025 tillsynsbegäran.docx", "A 4984-2025")</f>
        <v/>
      </c>
      <c r="Y279">
        <f>HYPERLINK("https://klasma.github.io/Logging_0980/tillsynsmail/A 4984-2025 tillsynsbegäran mail.docx", "A 4984-2025")</f>
        <v/>
      </c>
    </row>
    <row r="280" ht="15" customHeight="1">
      <c r="A280" t="inlineStr">
        <is>
          <t>A 7637-2025</t>
        </is>
      </c>
      <c r="B280" s="1" t="n">
        <v>45705</v>
      </c>
      <c r="C280" s="1" t="n">
        <v>45754</v>
      </c>
      <c r="D280" t="inlineStr">
        <is>
          <t>GOTLANDS LÄN</t>
        </is>
      </c>
      <c r="E280" t="inlineStr">
        <is>
          <t>GOTLAND</t>
        </is>
      </c>
      <c r="G280" t="n">
        <v>3.7</v>
      </c>
      <c r="H280" t="n">
        <v>0</v>
      </c>
      <c r="I280" t="n">
        <v>0</v>
      </c>
      <c r="J280" t="n">
        <v>0</v>
      </c>
      <c r="K280" t="n">
        <v>0</v>
      </c>
      <c r="L280" t="n">
        <v>0</v>
      </c>
      <c r="M280" t="n">
        <v>1</v>
      </c>
      <c r="N280" t="n">
        <v>0</v>
      </c>
      <c r="O280" t="n">
        <v>1</v>
      </c>
      <c r="P280" t="n">
        <v>1</v>
      </c>
      <c r="Q280" t="n">
        <v>1</v>
      </c>
      <c r="R280" s="2" t="inlineStr">
        <is>
          <t>Skogsalm</t>
        </is>
      </c>
      <c r="S280">
        <f>HYPERLINK("https://klasma.github.io/Logging_0980/artfynd/A 7637-2025 artfynd.xlsx", "A 7637-2025")</f>
        <v/>
      </c>
      <c r="T280">
        <f>HYPERLINK("https://klasma.github.io/Logging_0980/kartor/A 7637-2025 karta.png", "A 7637-2025")</f>
        <v/>
      </c>
      <c r="V280">
        <f>HYPERLINK("https://klasma.github.io/Logging_0980/klagomål/A 7637-2025 FSC-klagomål.docx", "A 7637-2025")</f>
        <v/>
      </c>
      <c r="W280">
        <f>HYPERLINK("https://klasma.github.io/Logging_0980/klagomålsmail/A 7637-2025 FSC-klagomål mail.docx", "A 7637-2025")</f>
        <v/>
      </c>
      <c r="X280">
        <f>HYPERLINK("https://klasma.github.io/Logging_0980/tillsyn/A 7637-2025 tillsynsbegäran.docx", "A 7637-2025")</f>
        <v/>
      </c>
      <c r="Y280">
        <f>HYPERLINK("https://klasma.github.io/Logging_0980/tillsynsmail/A 7637-2025 tillsynsbegäran mail.docx", "A 7637-2025")</f>
        <v/>
      </c>
    </row>
    <row r="281" ht="15" customHeight="1">
      <c r="A281" t="inlineStr">
        <is>
          <t>A 8725-2025</t>
        </is>
      </c>
      <c r="B281" s="1" t="n">
        <v>45712</v>
      </c>
      <c r="C281" s="1" t="n">
        <v>45754</v>
      </c>
      <c r="D281" t="inlineStr">
        <is>
          <t>GOTLANDS LÄN</t>
        </is>
      </c>
      <c r="E281" t="inlineStr">
        <is>
          <t>GOTLAND</t>
        </is>
      </c>
      <c r="G281" t="n">
        <v>4.4</v>
      </c>
      <c r="H281" t="n">
        <v>1</v>
      </c>
      <c r="I281" t="n">
        <v>0</v>
      </c>
      <c r="J281" t="n">
        <v>1</v>
      </c>
      <c r="K281" t="n">
        <v>0</v>
      </c>
      <c r="L281" t="n">
        <v>0</v>
      </c>
      <c r="M281" t="n">
        <v>0</v>
      </c>
      <c r="N281" t="n">
        <v>0</v>
      </c>
      <c r="O281" t="n">
        <v>1</v>
      </c>
      <c r="P281" t="n">
        <v>0</v>
      </c>
      <c r="Q281" t="n">
        <v>1</v>
      </c>
      <c r="R281" s="2" t="inlineStr">
        <is>
          <t>Spillkråka</t>
        </is>
      </c>
      <c r="S281">
        <f>HYPERLINK("https://klasma.github.io/Logging_0980/artfynd/A 8725-2025 artfynd.xlsx", "A 8725-2025")</f>
        <v/>
      </c>
      <c r="T281">
        <f>HYPERLINK("https://klasma.github.io/Logging_0980/kartor/A 8725-2025 karta.png", "A 8725-2025")</f>
        <v/>
      </c>
      <c r="V281">
        <f>HYPERLINK("https://klasma.github.io/Logging_0980/klagomål/A 8725-2025 FSC-klagomål.docx", "A 8725-2025")</f>
        <v/>
      </c>
      <c r="W281">
        <f>HYPERLINK("https://klasma.github.io/Logging_0980/klagomålsmail/A 8725-2025 FSC-klagomål mail.docx", "A 8725-2025")</f>
        <v/>
      </c>
      <c r="X281">
        <f>HYPERLINK("https://klasma.github.io/Logging_0980/tillsyn/A 8725-2025 tillsynsbegäran.docx", "A 8725-2025")</f>
        <v/>
      </c>
      <c r="Y281">
        <f>HYPERLINK("https://klasma.github.io/Logging_0980/tillsynsmail/A 8725-2025 tillsynsbegäran mail.docx", "A 8725-2025")</f>
        <v/>
      </c>
      <c r="Z281">
        <f>HYPERLINK("https://klasma.github.io/Logging_0980/fåglar/A 8725-2025 prioriterade fågelarter.docx", "A 8725-2025")</f>
        <v/>
      </c>
    </row>
    <row r="282" ht="15" customHeight="1">
      <c r="A282" t="inlineStr">
        <is>
          <t>A 10780-2025</t>
        </is>
      </c>
      <c r="B282" s="1" t="n">
        <v>45722</v>
      </c>
      <c r="C282" s="1" t="n">
        <v>45754</v>
      </c>
      <c r="D282" t="inlineStr">
        <is>
          <t>GOTLANDS LÄN</t>
        </is>
      </c>
      <c r="E282" t="inlineStr">
        <is>
          <t>GOTLAND</t>
        </is>
      </c>
      <c r="G282" t="n">
        <v>6.1</v>
      </c>
      <c r="H282" t="n">
        <v>1</v>
      </c>
      <c r="I282" t="n">
        <v>0</v>
      </c>
      <c r="J282" t="n">
        <v>0</v>
      </c>
      <c r="K282" t="n">
        <v>1</v>
      </c>
      <c r="L282" t="n">
        <v>0</v>
      </c>
      <c r="M282" t="n">
        <v>0</v>
      </c>
      <c r="N282" t="n">
        <v>0</v>
      </c>
      <c r="O282" t="n">
        <v>1</v>
      </c>
      <c r="P282" t="n">
        <v>1</v>
      </c>
      <c r="Q282" t="n">
        <v>1</v>
      </c>
      <c r="R282" s="2" t="inlineStr">
        <is>
          <t>Knärot</t>
        </is>
      </c>
      <c r="S282">
        <f>HYPERLINK("https://klasma.github.io/Logging_090980/artfynd/A 10780-2025 artfynd.xlsx", "A 10780-2025")</f>
        <v/>
      </c>
      <c r="T282">
        <f>HYPERLINK("https://klasma.github.io/Logging_090980/kartor/A 10780-2025 karta.png", "A 10780-2025")</f>
        <v/>
      </c>
      <c r="U282">
        <f>HYPERLINK("https://klasma.github.io/Logging_090980/knärot/A 10780-2025 karta knärot.png", "A 10780-2025")</f>
        <v/>
      </c>
      <c r="V282">
        <f>HYPERLINK("https://klasma.github.io/Logging_090980/klagomål/A 10780-2025 FSC-klagomål.docx", "A 10780-2025")</f>
        <v/>
      </c>
      <c r="W282">
        <f>HYPERLINK("https://klasma.github.io/Logging_090980/klagomålsmail/A 10780-2025 FSC-klagomål mail.docx", "A 10780-2025")</f>
        <v/>
      </c>
      <c r="X282">
        <f>HYPERLINK("https://klasma.github.io/Logging_090980/tillsyn/A 10780-2025 tillsynsbegäran.docx", "A 10780-2025")</f>
        <v/>
      </c>
      <c r="Y282">
        <f>HYPERLINK("https://klasma.github.io/Logging_090980/tillsynsmail/A 10780-2025 tillsynsbegäran mail.docx", "A 10780-2025")</f>
        <v/>
      </c>
    </row>
    <row r="283" ht="15" customHeight="1">
      <c r="A283" t="inlineStr">
        <is>
          <t>A 12324-2025</t>
        </is>
      </c>
      <c r="B283" s="1" t="n">
        <v>45730</v>
      </c>
      <c r="C283" s="1" t="n">
        <v>45754</v>
      </c>
      <c r="D283" t="inlineStr">
        <is>
          <t>GOTLANDS LÄN</t>
        </is>
      </c>
      <c r="E283" t="inlineStr">
        <is>
          <t>GOTLAND</t>
        </is>
      </c>
      <c r="G283" t="n">
        <v>5</v>
      </c>
      <c r="H283" t="n">
        <v>0</v>
      </c>
      <c r="I283" t="n">
        <v>0</v>
      </c>
      <c r="J283" t="n">
        <v>0</v>
      </c>
      <c r="K283" t="n">
        <v>1</v>
      </c>
      <c r="L283" t="n">
        <v>0</v>
      </c>
      <c r="M283" t="n">
        <v>0</v>
      </c>
      <c r="N283" t="n">
        <v>0</v>
      </c>
      <c r="O283" t="n">
        <v>1</v>
      </c>
      <c r="P283" t="n">
        <v>1</v>
      </c>
      <c r="Q283" t="n">
        <v>1</v>
      </c>
      <c r="R283" s="2" t="inlineStr">
        <is>
          <t>Sommarklynne</t>
        </is>
      </c>
      <c r="S283">
        <f>HYPERLINK("https://klasma.github.io/Logging_090980/artfynd/A 12324-2025 artfynd.xlsx", "A 12324-2025")</f>
        <v/>
      </c>
      <c r="T283">
        <f>HYPERLINK("https://klasma.github.io/Logging_090980/kartor/A 12324-2025 karta.png", "A 12324-2025")</f>
        <v/>
      </c>
      <c r="V283">
        <f>HYPERLINK("https://klasma.github.io/Logging_090980/klagomål/A 12324-2025 FSC-klagomål.docx", "A 12324-2025")</f>
        <v/>
      </c>
      <c r="W283">
        <f>HYPERLINK("https://klasma.github.io/Logging_090980/klagomålsmail/A 12324-2025 FSC-klagomål mail.docx", "A 12324-2025")</f>
        <v/>
      </c>
      <c r="X283">
        <f>HYPERLINK("https://klasma.github.io/Logging_090980/tillsyn/A 12324-2025 tillsynsbegäran.docx", "A 12324-2025")</f>
        <v/>
      </c>
      <c r="Y283">
        <f>HYPERLINK("https://klasma.github.io/Logging_090980/tillsynsmail/A 12324-2025 tillsynsbegäran mail.docx", "A 12324-2025")</f>
        <v/>
      </c>
    </row>
    <row r="284" ht="15" customHeight="1">
      <c r="A284" t="inlineStr">
        <is>
          <t>A 12924-2025</t>
        </is>
      </c>
      <c r="B284" s="1" t="n">
        <v>45734</v>
      </c>
      <c r="C284" s="1" t="n">
        <v>45754</v>
      </c>
      <c r="D284" t="inlineStr">
        <is>
          <t>GOTLANDS LÄN</t>
        </is>
      </c>
      <c r="E284" t="inlineStr">
        <is>
          <t>GOTLAND</t>
        </is>
      </c>
      <c r="G284" t="n">
        <v>11.7</v>
      </c>
      <c r="H284" t="n">
        <v>0</v>
      </c>
      <c r="I284" t="n">
        <v>0</v>
      </c>
      <c r="J284" t="n">
        <v>0</v>
      </c>
      <c r="K284" t="n">
        <v>1</v>
      </c>
      <c r="L284" t="n">
        <v>0</v>
      </c>
      <c r="M284" t="n">
        <v>0</v>
      </c>
      <c r="N284" t="n">
        <v>0</v>
      </c>
      <c r="O284" t="n">
        <v>1</v>
      </c>
      <c r="P284" t="n">
        <v>1</v>
      </c>
      <c r="Q284" t="n">
        <v>1</v>
      </c>
      <c r="R284" s="2" t="inlineStr">
        <is>
          <t>Gotlandsmåra</t>
        </is>
      </c>
      <c r="S284">
        <f>HYPERLINK("https://klasma.github.io/Logging_090980/artfynd/A 12924-2025 artfynd.xlsx", "A 12924-2025")</f>
        <v/>
      </c>
      <c r="T284">
        <f>HYPERLINK("https://klasma.github.io/Logging_090980/kartor/A 12924-2025 karta.png", "A 12924-2025")</f>
        <v/>
      </c>
      <c r="V284">
        <f>HYPERLINK("https://klasma.github.io/Logging_090980/klagomål/A 12924-2025 FSC-klagomål.docx", "A 12924-2025")</f>
        <v/>
      </c>
      <c r="W284">
        <f>HYPERLINK("https://klasma.github.io/Logging_090980/klagomålsmail/A 12924-2025 FSC-klagomål mail.docx", "A 12924-2025")</f>
        <v/>
      </c>
      <c r="X284">
        <f>HYPERLINK("https://klasma.github.io/Logging_090980/tillsyn/A 12924-2025 tillsynsbegäran.docx", "A 12924-2025")</f>
        <v/>
      </c>
      <c r="Y284">
        <f>HYPERLINK("https://klasma.github.io/Logging_090980/tillsynsmail/A 12924-2025 tillsynsbegäran mail.docx", "A 12924-2025")</f>
        <v/>
      </c>
    </row>
    <row r="285" ht="15" customHeight="1">
      <c r="A285" t="inlineStr">
        <is>
          <t>A 19159-2019</t>
        </is>
      </c>
      <c r="B285" s="1" t="n">
        <v>43564</v>
      </c>
      <c r="C285" s="1" t="n">
        <v>45754</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21380-2019</t>
        </is>
      </c>
      <c r="B286" s="1" t="n">
        <v>43579</v>
      </c>
      <c r="C286" s="1" t="n">
        <v>45754</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21894-2019</t>
        </is>
      </c>
      <c r="B287" s="1" t="n">
        <v>43584</v>
      </c>
      <c r="C287" s="1" t="n">
        <v>45754</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21925-2019</t>
        </is>
      </c>
      <c r="B288" s="1" t="n">
        <v>43584</v>
      </c>
      <c r="C288" s="1" t="n">
        <v>45754</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22457-2019</t>
        </is>
      </c>
      <c r="B289" s="1" t="n">
        <v>43587</v>
      </c>
      <c r="C289" s="1" t="n">
        <v>45754</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23044-2019</t>
        </is>
      </c>
      <c r="B290" s="1" t="n">
        <v>43591</v>
      </c>
      <c r="C290" s="1" t="n">
        <v>45754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26595-2019</t>
        </is>
      </c>
      <c r="B291" s="1" t="n">
        <v>43612</v>
      </c>
      <c r="C291" s="1" t="n">
        <v>45754</v>
      </c>
      <c r="D291" t="inlineStr">
        <is>
          <t>GOTLANDS LÄN</t>
        </is>
      </c>
      <c r="E291" t="inlineStr">
        <is>
          <t>GOTLAND</t>
        </is>
      </c>
      <c r="G291" t="n">
        <v>0.2</v>
      </c>
      <c r="H291" t="n">
        <v>0</v>
      </c>
      <c r="I291" t="n">
        <v>0</v>
      </c>
      <c r="J291" t="n">
        <v>0</v>
      </c>
      <c r="K291" t="n">
        <v>0</v>
      </c>
      <c r="L291" t="n">
        <v>0</v>
      </c>
      <c r="M291" t="n">
        <v>0</v>
      </c>
      <c r="N291" t="n">
        <v>0</v>
      </c>
      <c r="O291" t="n">
        <v>0</v>
      </c>
      <c r="P291" t="n">
        <v>0</v>
      </c>
      <c r="Q291" t="n">
        <v>0</v>
      </c>
      <c r="R291" s="2" t="inlineStr"/>
    </row>
    <row r="292" ht="15" customHeight="1">
      <c r="A292" t="inlineStr">
        <is>
          <t>A 27795-2019</t>
        </is>
      </c>
      <c r="B292" s="1" t="n">
        <v>43612</v>
      </c>
      <c r="C292" s="1" t="n">
        <v>45754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28977-2019</t>
        </is>
      </c>
      <c r="B293" s="1" t="n">
        <v>43628</v>
      </c>
      <c r="C293" s="1" t="n">
        <v>45754</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29470-2019</t>
        </is>
      </c>
      <c r="B294" s="1" t="n">
        <v>43629</v>
      </c>
      <c r="C294" s="1" t="n">
        <v>45754</v>
      </c>
      <c r="D294" t="inlineStr">
        <is>
          <t>GOTLANDS LÄN</t>
        </is>
      </c>
      <c r="E294" t="inlineStr">
        <is>
          <t>GOTLAND</t>
        </is>
      </c>
      <c r="G294" t="n">
        <v>2.7</v>
      </c>
      <c r="H294" t="n">
        <v>0</v>
      </c>
      <c r="I294" t="n">
        <v>0</v>
      </c>
      <c r="J294" t="n">
        <v>0</v>
      </c>
      <c r="K294" t="n">
        <v>0</v>
      </c>
      <c r="L294" t="n">
        <v>0</v>
      </c>
      <c r="M294" t="n">
        <v>0</v>
      </c>
      <c r="N294" t="n">
        <v>0</v>
      </c>
      <c r="O294" t="n">
        <v>0</v>
      </c>
      <c r="P294" t="n">
        <v>0</v>
      </c>
      <c r="Q294" t="n">
        <v>0</v>
      </c>
      <c r="R294" s="2" t="inlineStr"/>
    </row>
    <row r="295" ht="15" customHeight="1">
      <c r="A295" t="inlineStr">
        <is>
          <t>A 29469-2019</t>
        </is>
      </c>
      <c r="B295" s="1" t="n">
        <v>43629</v>
      </c>
      <c r="C295" s="1" t="n">
        <v>45754</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30033-2019</t>
        </is>
      </c>
      <c r="B296" s="1" t="n">
        <v>43630</v>
      </c>
      <c r="C296" s="1" t="n">
        <v>45754</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31396-2019</t>
        </is>
      </c>
      <c r="B297" s="1" t="n">
        <v>43636</v>
      </c>
      <c r="C297" s="1" t="n">
        <v>45754</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32061-2019</t>
        </is>
      </c>
      <c r="B298" s="1" t="n">
        <v>43643</v>
      </c>
      <c r="C298" s="1" t="n">
        <v>45754</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45754</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45754</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45754</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45754</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45754</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45754</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45754</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45754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45754</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45754</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45754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45754</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45754</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45754</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45754</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45754</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45754</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45754</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45754</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45754</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45754</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45754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45754</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45754</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45754</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45754</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45754</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45754</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45754</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45754</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45754</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45754</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45754</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45754</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45754</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45754</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768-2020</t>
        </is>
      </c>
      <c r="B335" s="1" t="n">
        <v>43838</v>
      </c>
      <c r="C335" s="1" t="n">
        <v>45754</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1384-2020</t>
        </is>
      </c>
      <c r="B336" s="1" t="n">
        <v>43843</v>
      </c>
      <c r="C336" s="1" t="n">
        <v>45754</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1541-2020</t>
        </is>
      </c>
      <c r="B337" s="1" t="n">
        <v>43843</v>
      </c>
      <c r="C337" s="1" t="n">
        <v>45754</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2675-2020</t>
        </is>
      </c>
      <c r="B338" s="1" t="n">
        <v>43849</v>
      </c>
      <c r="C338" s="1" t="n">
        <v>45754</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4409-2020</t>
        </is>
      </c>
      <c r="B339" s="1" t="n">
        <v>43850</v>
      </c>
      <c r="C339" s="1" t="n">
        <v>45754</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5724-2020</t>
        </is>
      </c>
      <c r="B340" s="1" t="n">
        <v>43862</v>
      </c>
      <c r="C340" s="1" t="n">
        <v>45754</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5731-2020</t>
        </is>
      </c>
      <c r="B341" s="1" t="n">
        <v>43862</v>
      </c>
      <c r="C341" s="1" t="n">
        <v>45754</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5723-2020</t>
        </is>
      </c>
      <c r="B342" s="1" t="n">
        <v>43862</v>
      </c>
      <c r="C342" s="1" t="n">
        <v>45754</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5727-2020</t>
        </is>
      </c>
      <c r="B343" s="1" t="n">
        <v>43862</v>
      </c>
      <c r="C343" s="1" t="n">
        <v>45754</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6226-2020</t>
        </is>
      </c>
      <c r="B344" s="1" t="n">
        <v>43865</v>
      </c>
      <c r="C344" s="1" t="n">
        <v>45754</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6611-2020</t>
        </is>
      </c>
      <c r="B345" s="1" t="n">
        <v>43867</v>
      </c>
      <c r="C345" s="1" t="n">
        <v>45754</v>
      </c>
      <c r="D345" t="inlineStr">
        <is>
          <t>GOTLANDS LÄN</t>
        </is>
      </c>
      <c r="E345" t="inlineStr">
        <is>
          <t>GOTLAND</t>
        </is>
      </c>
      <c r="G345" t="n">
        <v>3.3</v>
      </c>
      <c r="H345" t="n">
        <v>0</v>
      </c>
      <c r="I345" t="n">
        <v>0</v>
      </c>
      <c r="J345" t="n">
        <v>0</v>
      </c>
      <c r="K345" t="n">
        <v>0</v>
      </c>
      <c r="L345" t="n">
        <v>0</v>
      </c>
      <c r="M345" t="n">
        <v>0</v>
      </c>
      <c r="N345" t="n">
        <v>0</v>
      </c>
      <c r="O345" t="n">
        <v>0</v>
      </c>
      <c r="P345" t="n">
        <v>0</v>
      </c>
      <c r="Q345" t="n">
        <v>0</v>
      </c>
      <c r="R345" s="2" t="inlineStr"/>
    </row>
    <row r="346" ht="15" customHeight="1">
      <c r="A346" t="inlineStr">
        <is>
          <t>A 8217-2020</t>
        </is>
      </c>
      <c r="B346" s="1" t="n">
        <v>43874</v>
      </c>
      <c r="C346" s="1" t="n">
        <v>45754</v>
      </c>
      <c r="D346" t="inlineStr">
        <is>
          <t>GOTLANDS LÄN</t>
        </is>
      </c>
      <c r="E346" t="inlineStr">
        <is>
          <t>GOTLAND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8872-2020</t>
        </is>
      </c>
      <c r="B347" s="1" t="n">
        <v>43878</v>
      </c>
      <c r="C347" s="1" t="n">
        <v>45754</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9502-2020</t>
        </is>
      </c>
      <c r="B348" s="1" t="n">
        <v>43880</v>
      </c>
      <c r="C348" s="1" t="n">
        <v>45754</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10932-2020</t>
        </is>
      </c>
      <c r="B349" s="1" t="n">
        <v>43889</v>
      </c>
      <c r="C349" s="1" t="n">
        <v>45754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10931-2020</t>
        </is>
      </c>
      <c r="B350" s="1" t="n">
        <v>43889</v>
      </c>
      <c r="C350" s="1" t="n">
        <v>45754</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12309-2020</t>
        </is>
      </c>
      <c r="B351" s="1" t="n">
        <v>43895</v>
      </c>
      <c r="C351" s="1" t="n">
        <v>45754</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13940-2020</t>
        </is>
      </c>
      <c r="B352" s="1" t="n">
        <v>43903</v>
      </c>
      <c r="C352" s="1" t="n">
        <v>45754</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13930-2020</t>
        </is>
      </c>
      <c r="B353" s="1" t="n">
        <v>43906</v>
      </c>
      <c r="C353" s="1" t="n">
        <v>45754</v>
      </c>
      <c r="D353" t="inlineStr">
        <is>
          <t>GOTLANDS LÄN</t>
        </is>
      </c>
      <c r="E353" t="inlineStr">
        <is>
          <t>GOTLAND</t>
        </is>
      </c>
      <c r="G353" t="n">
        <v>4</v>
      </c>
      <c r="H353" t="n">
        <v>0</v>
      </c>
      <c r="I353" t="n">
        <v>0</v>
      </c>
      <c r="J353" t="n">
        <v>0</v>
      </c>
      <c r="K353" t="n">
        <v>0</v>
      </c>
      <c r="L353" t="n">
        <v>0</v>
      </c>
      <c r="M353" t="n">
        <v>0</v>
      </c>
      <c r="N353" t="n">
        <v>0</v>
      </c>
      <c r="O353" t="n">
        <v>0</v>
      </c>
      <c r="P353" t="n">
        <v>0</v>
      </c>
      <c r="Q353" t="n">
        <v>0</v>
      </c>
      <c r="R353" s="2" t="inlineStr"/>
    </row>
    <row r="354" ht="15" customHeight="1">
      <c r="A354" t="inlineStr">
        <is>
          <t>A 13995-2020</t>
        </is>
      </c>
      <c r="B354" s="1" t="n">
        <v>43906</v>
      </c>
      <c r="C354" s="1" t="n">
        <v>45754</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13987-2020</t>
        </is>
      </c>
      <c r="B355" s="1" t="n">
        <v>43906</v>
      </c>
      <c r="C355" s="1" t="n">
        <v>45754</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14073-2020</t>
        </is>
      </c>
      <c r="B356" s="1" t="n">
        <v>43907</v>
      </c>
      <c r="C356" s="1" t="n">
        <v>45754</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14074-2020</t>
        </is>
      </c>
      <c r="B357" s="1" t="n">
        <v>43907</v>
      </c>
      <c r="C357" s="1" t="n">
        <v>45754</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16452-2020</t>
        </is>
      </c>
      <c r="B358" s="1" t="n">
        <v>43909</v>
      </c>
      <c r="C358" s="1" t="n">
        <v>45754</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14995-2020</t>
        </is>
      </c>
      <c r="B359" s="1" t="n">
        <v>43910</v>
      </c>
      <c r="C359" s="1" t="n">
        <v>45754</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15202-2020</t>
        </is>
      </c>
      <c r="B360" s="1" t="n">
        <v>43913</v>
      </c>
      <c r="C360" s="1" t="n">
        <v>45754</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15197-2020</t>
        </is>
      </c>
      <c r="B361" s="1" t="n">
        <v>43913</v>
      </c>
      <c r="C361" s="1" t="n">
        <v>45754</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15888-2020</t>
        </is>
      </c>
      <c r="B362" s="1" t="n">
        <v>43915</v>
      </c>
      <c r="C362" s="1" t="n">
        <v>45754</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16133-2020</t>
        </is>
      </c>
      <c r="B363" s="1" t="n">
        <v>43916</v>
      </c>
      <c r="C363" s="1" t="n">
        <v>45754</v>
      </c>
      <c r="D363" t="inlineStr">
        <is>
          <t>GOTLANDS LÄN</t>
        </is>
      </c>
      <c r="E363" t="inlineStr">
        <is>
          <t>GOTLAND</t>
        </is>
      </c>
      <c r="G363" t="n">
        <v>6.7</v>
      </c>
      <c r="H363" t="n">
        <v>0</v>
      </c>
      <c r="I363" t="n">
        <v>0</v>
      </c>
      <c r="J363" t="n">
        <v>0</v>
      </c>
      <c r="K363" t="n">
        <v>0</v>
      </c>
      <c r="L363" t="n">
        <v>0</v>
      </c>
      <c r="M363" t="n">
        <v>0</v>
      </c>
      <c r="N363" t="n">
        <v>0</v>
      </c>
      <c r="O363" t="n">
        <v>0</v>
      </c>
      <c r="P363" t="n">
        <v>0</v>
      </c>
      <c r="Q363" t="n">
        <v>0</v>
      </c>
      <c r="R363" s="2" t="inlineStr"/>
    </row>
    <row r="364" ht="15" customHeight="1">
      <c r="A364" t="inlineStr">
        <is>
          <t>A 17403-2020</t>
        </is>
      </c>
      <c r="B364" s="1" t="n">
        <v>43917</v>
      </c>
      <c r="C364" s="1" t="n">
        <v>45754</v>
      </c>
      <c r="D364" t="inlineStr">
        <is>
          <t>GOTLANDS LÄN</t>
        </is>
      </c>
      <c r="E364" t="inlineStr">
        <is>
          <t>GOTLAND</t>
        </is>
      </c>
      <c r="G364" t="n">
        <v>4.4</v>
      </c>
      <c r="H364" t="n">
        <v>0</v>
      </c>
      <c r="I364" t="n">
        <v>0</v>
      </c>
      <c r="J364" t="n">
        <v>0</v>
      </c>
      <c r="K364" t="n">
        <v>0</v>
      </c>
      <c r="L364" t="n">
        <v>0</v>
      </c>
      <c r="M364" t="n">
        <v>0</v>
      </c>
      <c r="N364" t="n">
        <v>0</v>
      </c>
      <c r="O364" t="n">
        <v>0</v>
      </c>
      <c r="P364" t="n">
        <v>0</v>
      </c>
      <c r="Q364" t="n">
        <v>0</v>
      </c>
      <c r="R364" s="2" t="inlineStr"/>
    </row>
    <row r="365" ht="15" customHeight="1">
      <c r="A365" t="inlineStr">
        <is>
          <t>A 17869-2020</t>
        </is>
      </c>
      <c r="B365" s="1" t="n">
        <v>43924</v>
      </c>
      <c r="C365" s="1" t="n">
        <v>45754</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19900-2020</t>
        </is>
      </c>
      <c r="B366" s="1" t="n">
        <v>43942</v>
      </c>
      <c r="C366" s="1" t="n">
        <v>45754</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21568-2020</t>
        </is>
      </c>
      <c r="B367" s="1" t="n">
        <v>43956</v>
      </c>
      <c r="C367" s="1" t="n">
        <v>45754</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22093-2020</t>
        </is>
      </c>
      <c r="B368" s="1" t="n">
        <v>43959</v>
      </c>
      <c r="C368" s="1" t="n">
        <v>45754</v>
      </c>
      <c r="D368" t="inlineStr">
        <is>
          <t>GOTLANDS LÄN</t>
        </is>
      </c>
      <c r="E368" t="inlineStr">
        <is>
          <t>GOTLAND</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22329-2020</t>
        </is>
      </c>
      <c r="B369" s="1" t="n">
        <v>43962</v>
      </c>
      <c r="C369" s="1" t="n">
        <v>45754</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22333-2020</t>
        </is>
      </c>
      <c r="B370" s="1" t="n">
        <v>43962</v>
      </c>
      <c r="C370" s="1" t="n">
        <v>45754</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23498-2020</t>
        </is>
      </c>
      <c r="B371" s="1" t="n">
        <v>43969</v>
      </c>
      <c r="C371" s="1" t="n">
        <v>45754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23728-2020</t>
        </is>
      </c>
      <c r="B372" s="1" t="n">
        <v>43970</v>
      </c>
      <c r="C372" s="1" t="n">
        <v>45754</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24537-2020</t>
        </is>
      </c>
      <c r="B373" s="1" t="n">
        <v>43977</v>
      </c>
      <c r="C373" s="1" t="n">
        <v>45754</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25039-2020</t>
        </is>
      </c>
      <c r="B374" s="1" t="n">
        <v>43979</v>
      </c>
      <c r="C374" s="1" t="n">
        <v>45754</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26117-2020</t>
        </is>
      </c>
      <c r="B375" s="1" t="n">
        <v>43985</v>
      </c>
      <c r="C375" s="1" t="n">
        <v>45754</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27322-2020</t>
        </is>
      </c>
      <c r="B376" s="1" t="n">
        <v>43992</v>
      </c>
      <c r="C376" s="1" t="n">
        <v>45754</v>
      </c>
      <c r="D376" t="inlineStr">
        <is>
          <t>GOTLANDS LÄN</t>
        </is>
      </c>
      <c r="E376" t="inlineStr">
        <is>
          <t>GOTLAND</t>
        </is>
      </c>
      <c r="F376" t="inlineStr">
        <is>
          <t>Övriga statliga verk och myndigheter</t>
        </is>
      </c>
      <c r="G376" t="n">
        <v>7.4</v>
      </c>
      <c r="H376" t="n">
        <v>0</v>
      </c>
      <c r="I376" t="n">
        <v>0</v>
      </c>
      <c r="J376" t="n">
        <v>0</v>
      </c>
      <c r="K376" t="n">
        <v>0</v>
      </c>
      <c r="L376" t="n">
        <v>0</v>
      </c>
      <c r="M376" t="n">
        <v>0</v>
      </c>
      <c r="N376" t="n">
        <v>0</v>
      </c>
      <c r="O376" t="n">
        <v>0</v>
      </c>
      <c r="P376" t="n">
        <v>0</v>
      </c>
      <c r="Q376" t="n">
        <v>0</v>
      </c>
      <c r="R376" s="2" t="inlineStr"/>
    </row>
    <row r="377" ht="15" customHeight="1">
      <c r="A377" t="inlineStr">
        <is>
          <t>A 27334-2020</t>
        </is>
      </c>
      <c r="B377" s="1" t="n">
        <v>43992</v>
      </c>
      <c r="C377" s="1" t="n">
        <v>45754</v>
      </c>
      <c r="D377" t="inlineStr">
        <is>
          <t>GOTLANDS LÄN</t>
        </is>
      </c>
      <c r="E377" t="inlineStr">
        <is>
          <t>GOTLAND</t>
        </is>
      </c>
      <c r="F377" t="inlineStr">
        <is>
          <t>Övriga statliga verk och myndigheter</t>
        </is>
      </c>
      <c r="G377" t="n">
        <v>5.4</v>
      </c>
      <c r="H377" t="n">
        <v>0</v>
      </c>
      <c r="I377" t="n">
        <v>0</v>
      </c>
      <c r="J377" t="n">
        <v>0</v>
      </c>
      <c r="K377" t="n">
        <v>0</v>
      </c>
      <c r="L377" t="n">
        <v>0</v>
      </c>
      <c r="M377" t="n">
        <v>0</v>
      </c>
      <c r="N377" t="n">
        <v>0</v>
      </c>
      <c r="O377" t="n">
        <v>0</v>
      </c>
      <c r="P377" t="n">
        <v>0</v>
      </c>
      <c r="Q377" t="n">
        <v>0</v>
      </c>
      <c r="R377" s="2" t="inlineStr"/>
    </row>
    <row r="378" ht="15" customHeight="1">
      <c r="A378" t="inlineStr">
        <is>
          <t>A 27723-2020</t>
        </is>
      </c>
      <c r="B378" s="1" t="n">
        <v>43994</v>
      </c>
      <c r="C378" s="1" t="n">
        <v>45754</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27719-2020</t>
        </is>
      </c>
      <c r="B379" s="1" t="n">
        <v>43994</v>
      </c>
      <c r="C379" s="1" t="n">
        <v>45754</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27713-2020</t>
        </is>
      </c>
      <c r="B380" s="1" t="n">
        <v>43994</v>
      </c>
      <c r="C380" s="1" t="n">
        <v>45754</v>
      </c>
      <c r="D380" t="inlineStr">
        <is>
          <t>GOTLANDS LÄN</t>
        </is>
      </c>
      <c r="E380" t="inlineStr">
        <is>
          <t>GOTLAND</t>
        </is>
      </c>
      <c r="F380" t="inlineStr">
        <is>
          <t>Övriga statliga verk och myndigheter</t>
        </is>
      </c>
      <c r="G380" t="n">
        <v>0.8</v>
      </c>
      <c r="H380" t="n">
        <v>0</v>
      </c>
      <c r="I380" t="n">
        <v>0</v>
      </c>
      <c r="J380" t="n">
        <v>0</v>
      </c>
      <c r="K380" t="n">
        <v>0</v>
      </c>
      <c r="L380" t="n">
        <v>0</v>
      </c>
      <c r="M380" t="n">
        <v>0</v>
      </c>
      <c r="N380" t="n">
        <v>0</v>
      </c>
      <c r="O380" t="n">
        <v>0</v>
      </c>
      <c r="P380" t="n">
        <v>0</v>
      </c>
      <c r="Q380" t="n">
        <v>0</v>
      </c>
      <c r="R380" s="2" t="inlineStr"/>
    </row>
    <row r="381" ht="15" customHeight="1">
      <c r="A381" t="inlineStr">
        <is>
          <t>A 29529-2020</t>
        </is>
      </c>
      <c r="B381" s="1" t="n">
        <v>44005</v>
      </c>
      <c r="C381" s="1" t="n">
        <v>45754</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29915-2020</t>
        </is>
      </c>
      <c r="B382" s="1" t="n">
        <v>44006</v>
      </c>
      <c r="C382" s="1" t="n">
        <v>45754</v>
      </c>
      <c r="D382" t="inlineStr">
        <is>
          <t>GOTLANDS LÄN</t>
        </is>
      </c>
      <c r="E382" t="inlineStr">
        <is>
          <t>GOTLAND</t>
        </is>
      </c>
      <c r="F382" t="inlineStr">
        <is>
          <t>Kommuner</t>
        </is>
      </c>
      <c r="G382" t="n">
        <v>5.8</v>
      </c>
      <c r="H382" t="n">
        <v>0</v>
      </c>
      <c r="I382" t="n">
        <v>0</v>
      </c>
      <c r="J382" t="n">
        <v>0</v>
      </c>
      <c r="K382" t="n">
        <v>0</v>
      </c>
      <c r="L382" t="n">
        <v>0</v>
      </c>
      <c r="M382" t="n">
        <v>0</v>
      </c>
      <c r="N382" t="n">
        <v>0</v>
      </c>
      <c r="O382" t="n">
        <v>0</v>
      </c>
      <c r="P382" t="n">
        <v>0</v>
      </c>
      <c r="Q382" t="n">
        <v>0</v>
      </c>
      <c r="R382" s="2" t="inlineStr"/>
    </row>
    <row r="383" ht="15" customHeight="1">
      <c r="A383" t="inlineStr">
        <is>
          <t>A 30980-2020</t>
        </is>
      </c>
      <c r="B383" s="1" t="n">
        <v>44011</v>
      </c>
      <c r="C383" s="1" t="n">
        <v>45754</v>
      </c>
      <c r="D383" t="inlineStr">
        <is>
          <t>GOTLANDS LÄN</t>
        </is>
      </c>
      <c r="E383" t="inlineStr">
        <is>
          <t>GOTLAND</t>
        </is>
      </c>
      <c r="G383" t="n">
        <v>17.9</v>
      </c>
      <c r="H383" t="n">
        <v>0</v>
      </c>
      <c r="I383" t="n">
        <v>0</v>
      </c>
      <c r="J383" t="n">
        <v>0</v>
      </c>
      <c r="K383" t="n">
        <v>0</v>
      </c>
      <c r="L383" t="n">
        <v>0</v>
      </c>
      <c r="M383" t="n">
        <v>0</v>
      </c>
      <c r="N383" t="n">
        <v>0</v>
      </c>
      <c r="O383" t="n">
        <v>0</v>
      </c>
      <c r="P383" t="n">
        <v>0</v>
      </c>
      <c r="Q383" t="n">
        <v>0</v>
      </c>
      <c r="R383" s="2" t="inlineStr"/>
    </row>
    <row r="384" ht="15" customHeight="1">
      <c r="A384" t="inlineStr">
        <is>
          <t>A 32804-2020</t>
        </is>
      </c>
      <c r="B384" s="1" t="n">
        <v>44018</v>
      </c>
      <c r="C384" s="1" t="n">
        <v>45754</v>
      </c>
      <c r="D384" t="inlineStr">
        <is>
          <t>GOTLANDS LÄN</t>
        </is>
      </c>
      <c r="E384" t="inlineStr">
        <is>
          <t>GOTLAND</t>
        </is>
      </c>
      <c r="G384" t="n">
        <v>19.3</v>
      </c>
      <c r="H384" t="n">
        <v>0</v>
      </c>
      <c r="I384" t="n">
        <v>0</v>
      </c>
      <c r="J384" t="n">
        <v>0</v>
      </c>
      <c r="K384" t="n">
        <v>0</v>
      </c>
      <c r="L384" t="n">
        <v>0</v>
      </c>
      <c r="M384" t="n">
        <v>0</v>
      </c>
      <c r="N384" t="n">
        <v>0</v>
      </c>
      <c r="O384" t="n">
        <v>0</v>
      </c>
      <c r="P384" t="n">
        <v>0</v>
      </c>
      <c r="Q384" t="n">
        <v>0</v>
      </c>
      <c r="R384" s="2" t="inlineStr"/>
    </row>
    <row r="385" ht="15" customHeight="1">
      <c r="A385" t="inlineStr">
        <is>
          <t>A 32974-2020</t>
        </is>
      </c>
      <c r="B385" s="1" t="n">
        <v>44020</v>
      </c>
      <c r="C385" s="1" t="n">
        <v>45754</v>
      </c>
      <c r="D385" t="inlineStr">
        <is>
          <t>GOTLANDS LÄN</t>
        </is>
      </c>
      <c r="E385" t="inlineStr">
        <is>
          <t>GOTLAND</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35074-2020</t>
        </is>
      </c>
      <c r="B386" s="1" t="n">
        <v>44039</v>
      </c>
      <c r="C386" s="1" t="n">
        <v>45754</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36073-2020</t>
        </is>
      </c>
      <c r="B387" s="1" t="n">
        <v>44048</v>
      </c>
      <c r="C387" s="1" t="n">
        <v>45754</v>
      </c>
      <c r="D387" t="inlineStr">
        <is>
          <t>GOTLANDS LÄN</t>
        </is>
      </c>
      <c r="E387" t="inlineStr">
        <is>
          <t>GOTLAND</t>
        </is>
      </c>
      <c r="G387" t="n">
        <v>10.1</v>
      </c>
      <c r="H387" t="n">
        <v>0</v>
      </c>
      <c r="I387" t="n">
        <v>0</v>
      </c>
      <c r="J387" t="n">
        <v>0</v>
      </c>
      <c r="K387" t="n">
        <v>0</v>
      </c>
      <c r="L387" t="n">
        <v>0</v>
      </c>
      <c r="M387" t="n">
        <v>0</v>
      </c>
      <c r="N387" t="n">
        <v>0</v>
      </c>
      <c r="O387" t="n">
        <v>0</v>
      </c>
      <c r="P387" t="n">
        <v>0</v>
      </c>
      <c r="Q387" t="n">
        <v>0</v>
      </c>
      <c r="R387" s="2" t="inlineStr"/>
    </row>
    <row r="388" ht="15" customHeight="1">
      <c r="A388" t="inlineStr">
        <is>
          <t>A 36076-2020</t>
        </is>
      </c>
      <c r="B388" s="1" t="n">
        <v>44048</v>
      </c>
      <c r="C388" s="1" t="n">
        <v>45754</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36284-2020</t>
        </is>
      </c>
      <c r="B389" s="1" t="n">
        <v>44049</v>
      </c>
      <c r="C389" s="1" t="n">
        <v>45754</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37204-2020</t>
        </is>
      </c>
      <c r="B390" s="1" t="n">
        <v>44054</v>
      </c>
      <c r="C390" s="1" t="n">
        <v>45754</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38709-2020</t>
        </is>
      </c>
      <c r="B391" s="1" t="n">
        <v>44061</v>
      </c>
      <c r="C391" s="1" t="n">
        <v>45754</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39477-2020</t>
        </is>
      </c>
      <c r="B392" s="1" t="n">
        <v>44064</v>
      </c>
      <c r="C392" s="1" t="n">
        <v>45754</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41109-2020</t>
        </is>
      </c>
      <c r="B393" s="1" t="n">
        <v>44069</v>
      </c>
      <c r="C393" s="1" t="n">
        <v>45754</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41576-2020</t>
        </is>
      </c>
      <c r="B394" s="1" t="n">
        <v>44074</v>
      </c>
      <c r="C394" s="1" t="n">
        <v>45754</v>
      </c>
      <c r="D394" t="inlineStr">
        <is>
          <t>GOTLANDS LÄN</t>
        </is>
      </c>
      <c r="E394" t="inlineStr">
        <is>
          <t>GOTLAND</t>
        </is>
      </c>
      <c r="G394" t="n">
        <v>8.4</v>
      </c>
      <c r="H394" t="n">
        <v>0</v>
      </c>
      <c r="I394" t="n">
        <v>0</v>
      </c>
      <c r="J394" t="n">
        <v>0</v>
      </c>
      <c r="K394" t="n">
        <v>0</v>
      </c>
      <c r="L394" t="n">
        <v>0</v>
      </c>
      <c r="M394" t="n">
        <v>0</v>
      </c>
      <c r="N394" t="n">
        <v>0</v>
      </c>
      <c r="O394" t="n">
        <v>0</v>
      </c>
      <c r="P394" t="n">
        <v>0</v>
      </c>
      <c r="Q394" t="n">
        <v>0</v>
      </c>
      <c r="R394" s="2" t="inlineStr"/>
    </row>
    <row r="395" ht="15" customHeight="1">
      <c r="A395" t="inlineStr">
        <is>
          <t>A 45921-2020</t>
        </is>
      </c>
      <c r="B395" s="1" t="n">
        <v>44088</v>
      </c>
      <c r="C395" s="1" t="n">
        <v>45754</v>
      </c>
      <c r="D395" t="inlineStr">
        <is>
          <t>GOTLANDS LÄN</t>
        </is>
      </c>
      <c r="E395" t="inlineStr">
        <is>
          <t>GOTLAND</t>
        </is>
      </c>
      <c r="G395" t="n">
        <v>6.5</v>
      </c>
      <c r="H395" t="n">
        <v>0</v>
      </c>
      <c r="I395" t="n">
        <v>0</v>
      </c>
      <c r="J395" t="n">
        <v>0</v>
      </c>
      <c r="K395" t="n">
        <v>0</v>
      </c>
      <c r="L395" t="n">
        <v>0</v>
      </c>
      <c r="M395" t="n">
        <v>0</v>
      </c>
      <c r="N395" t="n">
        <v>0</v>
      </c>
      <c r="O395" t="n">
        <v>0</v>
      </c>
      <c r="P395" t="n">
        <v>0</v>
      </c>
      <c r="Q395" t="n">
        <v>0</v>
      </c>
      <c r="R395" s="2" t="inlineStr"/>
    </row>
    <row r="396" ht="15" customHeight="1">
      <c r="A396" t="inlineStr">
        <is>
          <t>A 46019-2020</t>
        </is>
      </c>
      <c r="B396" s="1" t="n">
        <v>44091</v>
      </c>
      <c r="C396" s="1" t="n">
        <v>45754</v>
      </c>
      <c r="D396" t="inlineStr">
        <is>
          <t>GOTLANDS LÄN</t>
        </is>
      </c>
      <c r="E396" t="inlineStr">
        <is>
          <t>GOTLAND</t>
        </is>
      </c>
      <c r="G396" t="n">
        <v>1.8</v>
      </c>
      <c r="H396" t="n">
        <v>0</v>
      </c>
      <c r="I396" t="n">
        <v>0</v>
      </c>
      <c r="J396" t="n">
        <v>0</v>
      </c>
      <c r="K396" t="n">
        <v>0</v>
      </c>
      <c r="L396" t="n">
        <v>0</v>
      </c>
      <c r="M396" t="n">
        <v>0</v>
      </c>
      <c r="N396" t="n">
        <v>0</v>
      </c>
      <c r="O396" t="n">
        <v>0</v>
      </c>
      <c r="P396" t="n">
        <v>0</v>
      </c>
      <c r="Q396" t="n">
        <v>0</v>
      </c>
      <c r="R396" s="2" t="inlineStr"/>
    </row>
    <row r="397" ht="15" customHeight="1">
      <c r="A397" t="inlineStr">
        <is>
          <t>A 46778-2020</t>
        </is>
      </c>
      <c r="B397" s="1" t="n">
        <v>44096</v>
      </c>
      <c r="C397" s="1" t="n">
        <v>45754</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53641-2020</t>
        </is>
      </c>
      <c r="B398" s="1" t="n">
        <v>44124</v>
      </c>
      <c r="C398" s="1" t="n">
        <v>45754</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53665-2020</t>
        </is>
      </c>
      <c r="B399" s="1" t="n">
        <v>44124</v>
      </c>
      <c r="C399" s="1" t="n">
        <v>45754</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59052-2020</t>
        </is>
      </c>
      <c r="B400" s="1" t="n">
        <v>44147</v>
      </c>
      <c r="C400" s="1" t="n">
        <v>45754</v>
      </c>
      <c r="D400" t="inlineStr">
        <is>
          <t>GOTLANDS LÄN</t>
        </is>
      </c>
      <c r="E400" t="inlineStr">
        <is>
          <t>GOTLAND</t>
        </is>
      </c>
      <c r="G400" t="n">
        <v>3.4</v>
      </c>
      <c r="H400" t="n">
        <v>0</v>
      </c>
      <c r="I400" t="n">
        <v>0</v>
      </c>
      <c r="J400" t="n">
        <v>0</v>
      </c>
      <c r="K400" t="n">
        <v>0</v>
      </c>
      <c r="L400" t="n">
        <v>0</v>
      </c>
      <c r="M400" t="n">
        <v>0</v>
      </c>
      <c r="N400" t="n">
        <v>0</v>
      </c>
      <c r="O400" t="n">
        <v>0</v>
      </c>
      <c r="P400" t="n">
        <v>0</v>
      </c>
      <c r="Q400" t="n">
        <v>0</v>
      </c>
      <c r="R400" s="2" t="inlineStr"/>
    </row>
    <row r="401" ht="15" customHeight="1">
      <c r="A401" t="inlineStr">
        <is>
          <t>A 59630-2020</t>
        </is>
      </c>
      <c r="B401" s="1" t="n">
        <v>44150</v>
      </c>
      <c r="C401" s="1" t="n">
        <v>45754</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60356-2020</t>
        </is>
      </c>
      <c r="B402" s="1" t="n">
        <v>44152</v>
      </c>
      <c r="C402" s="1" t="n">
        <v>45754</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62120-2020</t>
        </is>
      </c>
      <c r="B403" s="1" t="n">
        <v>44158</v>
      </c>
      <c r="C403" s="1" t="n">
        <v>45754</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64380-2020</t>
        </is>
      </c>
      <c r="B404" s="1" t="n">
        <v>44168</v>
      </c>
      <c r="C404" s="1" t="n">
        <v>45754</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65126-2020</t>
        </is>
      </c>
      <c r="B405" s="1" t="n">
        <v>44168</v>
      </c>
      <c r="C405" s="1" t="n">
        <v>45754</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65537-2020</t>
        </is>
      </c>
      <c r="B406" s="1" t="n">
        <v>44173</v>
      </c>
      <c r="C406" s="1" t="n">
        <v>45754</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69643-2020</t>
        </is>
      </c>
      <c r="B407" s="1" t="n">
        <v>44195</v>
      </c>
      <c r="C407" s="1" t="n">
        <v>45754</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14-2021</t>
        </is>
      </c>
      <c r="B408" s="1" t="n">
        <v>44197</v>
      </c>
      <c r="C408" s="1" t="n">
        <v>45754</v>
      </c>
      <c r="D408" t="inlineStr">
        <is>
          <t>GOTLANDS LÄN</t>
        </is>
      </c>
      <c r="E408" t="inlineStr">
        <is>
          <t>GOTLAND</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1229-2021</t>
        </is>
      </c>
      <c r="B409" s="1" t="n">
        <v>44208</v>
      </c>
      <c r="C409" s="1" t="n">
        <v>45754</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2292-2021</t>
        </is>
      </c>
      <c r="B410" s="1" t="n">
        <v>44212</v>
      </c>
      <c r="C410" s="1" t="n">
        <v>45754</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2608-2021</t>
        </is>
      </c>
      <c r="B411" s="1" t="n">
        <v>44214</v>
      </c>
      <c r="C411" s="1" t="n">
        <v>45754</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3319-2021</t>
        </is>
      </c>
      <c r="B412" s="1" t="n">
        <v>44216</v>
      </c>
      <c r="C412" s="1" t="n">
        <v>45754</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3172-2021</t>
        </is>
      </c>
      <c r="B413" s="1" t="n">
        <v>44217</v>
      </c>
      <c r="C413" s="1" t="n">
        <v>45754</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3271-2021</t>
        </is>
      </c>
      <c r="B414" s="1" t="n">
        <v>44217</v>
      </c>
      <c r="C414" s="1" t="n">
        <v>45754</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8329-2021</t>
        </is>
      </c>
      <c r="B415" s="1" t="n">
        <v>44244</v>
      </c>
      <c r="C415" s="1" t="n">
        <v>45754</v>
      </c>
      <c r="D415" t="inlineStr">
        <is>
          <t>GOTLANDS LÄN</t>
        </is>
      </c>
      <c r="E415" t="inlineStr">
        <is>
          <t>GOTLAND</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8700-2021</t>
        </is>
      </c>
      <c r="B416" s="1" t="n">
        <v>44246</v>
      </c>
      <c r="C416" s="1" t="n">
        <v>45754</v>
      </c>
      <c r="D416" t="inlineStr">
        <is>
          <t>GOTLANDS LÄN</t>
        </is>
      </c>
      <c r="E416" t="inlineStr">
        <is>
          <t>GOTLAND</t>
        </is>
      </c>
      <c r="G416" t="n">
        <v>0.1</v>
      </c>
      <c r="H416" t="n">
        <v>0</v>
      </c>
      <c r="I416" t="n">
        <v>0</v>
      </c>
      <c r="J416" t="n">
        <v>0</v>
      </c>
      <c r="K416" t="n">
        <v>0</v>
      </c>
      <c r="L416" t="n">
        <v>0</v>
      </c>
      <c r="M416" t="n">
        <v>0</v>
      </c>
      <c r="N416" t="n">
        <v>0</v>
      </c>
      <c r="O416" t="n">
        <v>0</v>
      </c>
      <c r="P416" t="n">
        <v>0</v>
      </c>
      <c r="Q416" t="n">
        <v>0</v>
      </c>
      <c r="R416" s="2" t="inlineStr"/>
    </row>
    <row r="417" ht="15" customHeight="1">
      <c r="A417" t="inlineStr">
        <is>
          <t>A 11400-2021</t>
        </is>
      </c>
      <c r="B417" s="1" t="n">
        <v>44263</v>
      </c>
      <c r="C417" s="1" t="n">
        <v>45754</v>
      </c>
      <c r="D417" t="inlineStr">
        <is>
          <t>GOTLANDS LÄN</t>
        </is>
      </c>
      <c r="E417" t="inlineStr">
        <is>
          <t>GOTLAND</t>
        </is>
      </c>
      <c r="G417" t="n">
        <v>5.6</v>
      </c>
      <c r="H417" t="n">
        <v>0</v>
      </c>
      <c r="I417" t="n">
        <v>0</v>
      </c>
      <c r="J417" t="n">
        <v>0</v>
      </c>
      <c r="K417" t="n">
        <v>0</v>
      </c>
      <c r="L417" t="n">
        <v>0</v>
      </c>
      <c r="M417" t="n">
        <v>0</v>
      </c>
      <c r="N417" t="n">
        <v>0</v>
      </c>
      <c r="O417" t="n">
        <v>0</v>
      </c>
      <c r="P417" t="n">
        <v>0</v>
      </c>
      <c r="Q417" t="n">
        <v>0</v>
      </c>
      <c r="R417" s="2" t="inlineStr"/>
    </row>
    <row r="418" ht="15" customHeight="1">
      <c r="A418" t="inlineStr">
        <is>
          <t>A 11402-2021</t>
        </is>
      </c>
      <c r="B418" s="1" t="n">
        <v>44263</v>
      </c>
      <c r="C418" s="1" t="n">
        <v>45754</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12318-2021</t>
        </is>
      </c>
      <c r="B419" s="1" t="n">
        <v>44266</v>
      </c>
      <c r="C419" s="1" t="n">
        <v>45754</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13274-2021</t>
        </is>
      </c>
      <c r="B420" s="1" t="n">
        <v>44272</v>
      </c>
      <c r="C420" s="1" t="n">
        <v>45754</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14536-2021</t>
        </is>
      </c>
      <c r="B421" s="1" t="n">
        <v>44279</v>
      </c>
      <c r="C421" s="1" t="n">
        <v>45754</v>
      </c>
      <c r="D421" t="inlineStr">
        <is>
          <t>GOTLANDS LÄN</t>
        </is>
      </c>
      <c r="E421" t="inlineStr">
        <is>
          <t>GOTLAND</t>
        </is>
      </c>
      <c r="G421" t="n">
        <v>8.5</v>
      </c>
      <c r="H421" t="n">
        <v>0</v>
      </c>
      <c r="I421" t="n">
        <v>0</v>
      </c>
      <c r="J421" t="n">
        <v>0</v>
      </c>
      <c r="K421" t="n">
        <v>0</v>
      </c>
      <c r="L421" t="n">
        <v>0</v>
      </c>
      <c r="M421" t="n">
        <v>0</v>
      </c>
      <c r="N421" t="n">
        <v>0</v>
      </c>
      <c r="O421" t="n">
        <v>0</v>
      </c>
      <c r="P421" t="n">
        <v>0</v>
      </c>
      <c r="Q421" t="n">
        <v>0</v>
      </c>
      <c r="R421" s="2" t="inlineStr"/>
    </row>
    <row r="422" ht="15" customHeight="1">
      <c r="A422" t="inlineStr">
        <is>
          <t>A 14804-2021</t>
        </is>
      </c>
      <c r="B422" s="1" t="n">
        <v>44280</v>
      </c>
      <c r="C422" s="1" t="n">
        <v>45754</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15127-2021</t>
        </is>
      </c>
      <c r="B423" s="1" t="n">
        <v>44283</v>
      </c>
      <c r="C423" s="1" t="n">
        <v>45754</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16435-2021</t>
        </is>
      </c>
      <c r="B424" s="1" t="n">
        <v>44293</v>
      </c>
      <c r="C424" s="1" t="n">
        <v>45754</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17254-2021</t>
        </is>
      </c>
      <c r="B425" s="1" t="n">
        <v>44298</v>
      </c>
      <c r="C425" s="1" t="n">
        <v>45754</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17227-2021</t>
        </is>
      </c>
      <c r="B426" s="1" t="n">
        <v>44298</v>
      </c>
      <c r="C426" s="1" t="n">
        <v>45754</v>
      </c>
      <c r="D426" t="inlineStr">
        <is>
          <t>GOTLANDS LÄN</t>
        </is>
      </c>
      <c r="E426" t="inlineStr">
        <is>
          <t>GOTLAND</t>
        </is>
      </c>
      <c r="G426" t="n">
        <v>6.2</v>
      </c>
      <c r="H426" t="n">
        <v>0</v>
      </c>
      <c r="I426" t="n">
        <v>0</v>
      </c>
      <c r="J426" t="n">
        <v>0</v>
      </c>
      <c r="K426" t="n">
        <v>0</v>
      </c>
      <c r="L426" t="n">
        <v>0</v>
      </c>
      <c r="M426" t="n">
        <v>0</v>
      </c>
      <c r="N426" t="n">
        <v>0</v>
      </c>
      <c r="O426" t="n">
        <v>0</v>
      </c>
      <c r="P426" t="n">
        <v>0</v>
      </c>
      <c r="Q426" t="n">
        <v>0</v>
      </c>
      <c r="R426" s="2" t="inlineStr"/>
    </row>
    <row r="427" ht="15" customHeight="1">
      <c r="A427" t="inlineStr">
        <is>
          <t>A 17199-2021</t>
        </is>
      </c>
      <c r="B427" s="1" t="n">
        <v>44298</v>
      </c>
      <c r="C427" s="1" t="n">
        <v>45754</v>
      </c>
      <c r="D427" t="inlineStr">
        <is>
          <t>GOTLANDS LÄN</t>
        </is>
      </c>
      <c r="E427" t="inlineStr">
        <is>
          <t>GOTLAND</t>
        </is>
      </c>
      <c r="G427" t="n">
        <v>9.6</v>
      </c>
      <c r="H427" t="n">
        <v>0</v>
      </c>
      <c r="I427" t="n">
        <v>0</v>
      </c>
      <c r="J427" t="n">
        <v>0</v>
      </c>
      <c r="K427" t="n">
        <v>0</v>
      </c>
      <c r="L427" t="n">
        <v>0</v>
      </c>
      <c r="M427" t="n">
        <v>0</v>
      </c>
      <c r="N427" t="n">
        <v>0</v>
      </c>
      <c r="O427" t="n">
        <v>0</v>
      </c>
      <c r="P427" t="n">
        <v>0</v>
      </c>
      <c r="Q427" t="n">
        <v>0</v>
      </c>
      <c r="R427" s="2" t="inlineStr"/>
    </row>
    <row r="428" ht="15" customHeight="1">
      <c r="A428" t="inlineStr">
        <is>
          <t>A 17585-2021</t>
        </is>
      </c>
      <c r="B428" s="1" t="n">
        <v>44299</v>
      </c>
      <c r="C428" s="1" t="n">
        <v>45754</v>
      </c>
      <c r="D428" t="inlineStr">
        <is>
          <t>GOTLANDS LÄN</t>
        </is>
      </c>
      <c r="E428" t="inlineStr">
        <is>
          <t>GOTLAND</t>
        </is>
      </c>
      <c r="G428" t="n">
        <v>5.4</v>
      </c>
      <c r="H428" t="n">
        <v>0</v>
      </c>
      <c r="I428" t="n">
        <v>0</v>
      </c>
      <c r="J428" t="n">
        <v>0</v>
      </c>
      <c r="K428" t="n">
        <v>0</v>
      </c>
      <c r="L428" t="n">
        <v>0</v>
      </c>
      <c r="M428" t="n">
        <v>0</v>
      </c>
      <c r="N428" t="n">
        <v>0</v>
      </c>
      <c r="O428" t="n">
        <v>0</v>
      </c>
      <c r="P428" t="n">
        <v>0</v>
      </c>
      <c r="Q428" t="n">
        <v>0</v>
      </c>
      <c r="R428" s="2" t="inlineStr"/>
    </row>
    <row r="429" ht="15" customHeight="1">
      <c r="A429" t="inlineStr">
        <is>
          <t>A 17920-2021</t>
        </is>
      </c>
      <c r="B429" s="1" t="n">
        <v>44301</v>
      </c>
      <c r="C429" s="1" t="n">
        <v>45754</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18038-2021</t>
        </is>
      </c>
      <c r="B430" s="1" t="n">
        <v>44302</v>
      </c>
      <c r="C430" s="1" t="n">
        <v>45754</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19447-2021</t>
        </is>
      </c>
      <c r="B431" s="1" t="n">
        <v>44310</v>
      </c>
      <c r="C431" s="1" t="n">
        <v>45754</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19448-2021</t>
        </is>
      </c>
      <c r="B432" s="1" t="n">
        <v>44310</v>
      </c>
      <c r="C432" s="1" t="n">
        <v>45754</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19892-2021</t>
        </is>
      </c>
      <c r="B433" s="1" t="n">
        <v>44312</v>
      </c>
      <c r="C433" s="1" t="n">
        <v>45754</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19901-2021</t>
        </is>
      </c>
      <c r="B434" s="1" t="n">
        <v>44312</v>
      </c>
      <c r="C434" s="1" t="n">
        <v>45754</v>
      </c>
      <c r="D434" t="inlineStr">
        <is>
          <t>GOTLANDS LÄN</t>
        </is>
      </c>
      <c r="E434" t="inlineStr">
        <is>
          <t>GOTLAND</t>
        </is>
      </c>
      <c r="G434" t="n">
        <v>4.5</v>
      </c>
      <c r="H434" t="n">
        <v>0</v>
      </c>
      <c r="I434" t="n">
        <v>0</v>
      </c>
      <c r="J434" t="n">
        <v>0</v>
      </c>
      <c r="K434" t="n">
        <v>0</v>
      </c>
      <c r="L434" t="n">
        <v>0</v>
      </c>
      <c r="M434" t="n">
        <v>0</v>
      </c>
      <c r="N434" t="n">
        <v>0</v>
      </c>
      <c r="O434" t="n">
        <v>0</v>
      </c>
      <c r="P434" t="n">
        <v>0</v>
      </c>
      <c r="Q434" t="n">
        <v>0</v>
      </c>
      <c r="R434" s="2" t="inlineStr"/>
    </row>
    <row r="435" ht="15" customHeight="1">
      <c r="A435" t="inlineStr">
        <is>
          <t>A 19939-2021</t>
        </is>
      </c>
      <c r="B435" s="1" t="n">
        <v>44313</v>
      </c>
      <c r="C435" s="1" t="n">
        <v>45754</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20111-2021</t>
        </is>
      </c>
      <c r="B436" s="1" t="n">
        <v>44314</v>
      </c>
      <c r="C436" s="1" t="n">
        <v>45754</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21507-2021</t>
        </is>
      </c>
      <c r="B437" s="1" t="n">
        <v>44321</v>
      </c>
      <c r="C437" s="1" t="n">
        <v>45754</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22155-2021</t>
        </is>
      </c>
      <c r="B438" s="1" t="n">
        <v>44325</v>
      </c>
      <c r="C438" s="1" t="n">
        <v>45754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23910-2021</t>
        </is>
      </c>
      <c r="B439" s="1" t="n">
        <v>44335</v>
      </c>
      <c r="C439" s="1" t="n">
        <v>45754</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24001-2021</t>
        </is>
      </c>
      <c r="B440" s="1" t="n">
        <v>44335</v>
      </c>
      <c r="C440" s="1" t="n">
        <v>45754</v>
      </c>
      <c r="D440" t="inlineStr">
        <is>
          <t>GOTLANDS LÄN</t>
        </is>
      </c>
      <c r="E440" t="inlineStr">
        <is>
          <t>GOTLAND</t>
        </is>
      </c>
      <c r="G440" t="n">
        <v>3.4</v>
      </c>
      <c r="H440" t="n">
        <v>0</v>
      </c>
      <c r="I440" t="n">
        <v>0</v>
      </c>
      <c r="J440" t="n">
        <v>0</v>
      </c>
      <c r="K440" t="n">
        <v>0</v>
      </c>
      <c r="L440" t="n">
        <v>0</v>
      </c>
      <c r="M440" t="n">
        <v>0</v>
      </c>
      <c r="N440" t="n">
        <v>0</v>
      </c>
      <c r="O440" t="n">
        <v>0</v>
      </c>
      <c r="P440" t="n">
        <v>0</v>
      </c>
      <c r="Q440" t="n">
        <v>0</v>
      </c>
      <c r="R440" s="2" t="inlineStr"/>
    </row>
    <row r="441" ht="15" customHeight="1">
      <c r="A441" t="inlineStr">
        <is>
          <t>A 26810-2021</t>
        </is>
      </c>
      <c r="B441" s="1" t="n">
        <v>44349</v>
      </c>
      <c r="C441" s="1" t="n">
        <v>45754</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26857-2021</t>
        </is>
      </c>
      <c r="B442" s="1" t="n">
        <v>44349</v>
      </c>
      <c r="C442" s="1" t="n">
        <v>45754</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26867-2021</t>
        </is>
      </c>
      <c r="B443" s="1" t="n">
        <v>44349</v>
      </c>
      <c r="C443" s="1" t="n">
        <v>45754</v>
      </c>
      <c r="D443" t="inlineStr">
        <is>
          <t>GOTLANDS LÄN</t>
        </is>
      </c>
      <c r="E443" t="inlineStr">
        <is>
          <t>GOTLAND</t>
        </is>
      </c>
      <c r="G443" t="n">
        <v>5.7</v>
      </c>
      <c r="H443" t="n">
        <v>0</v>
      </c>
      <c r="I443" t="n">
        <v>0</v>
      </c>
      <c r="J443" t="n">
        <v>0</v>
      </c>
      <c r="K443" t="n">
        <v>0</v>
      </c>
      <c r="L443" t="n">
        <v>0</v>
      </c>
      <c r="M443" t="n">
        <v>0</v>
      </c>
      <c r="N443" t="n">
        <v>0</v>
      </c>
      <c r="O443" t="n">
        <v>0</v>
      </c>
      <c r="P443" t="n">
        <v>0</v>
      </c>
      <c r="Q443" t="n">
        <v>0</v>
      </c>
      <c r="R443" s="2" t="inlineStr"/>
    </row>
    <row r="444" ht="15" customHeight="1">
      <c r="A444" t="inlineStr">
        <is>
          <t>A 27930-2021</t>
        </is>
      </c>
      <c r="B444" s="1" t="n">
        <v>44354</v>
      </c>
      <c r="C444" s="1" t="n">
        <v>45754</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30055-2021</t>
        </is>
      </c>
      <c r="B445" s="1" t="n">
        <v>44363</v>
      </c>
      <c r="C445" s="1" t="n">
        <v>45754</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31264-2021</t>
        </is>
      </c>
      <c r="B446" s="1" t="n">
        <v>44368</v>
      </c>
      <c r="C446" s="1" t="n">
        <v>45754</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31981-2021</t>
        </is>
      </c>
      <c r="B447" s="1" t="n">
        <v>44370</v>
      </c>
      <c r="C447" s="1" t="n">
        <v>45754</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32647-2021</t>
        </is>
      </c>
      <c r="B448" s="1" t="n">
        <v>44375</v>
      </c>
      <c r="C448" s="1" t="n">
        <v>45754</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32691-2021</t>
        </is>
      </c>
      <c r="B449" s="1" t="n">
        <v>44375</v>
      </c>
      <c r="C449" s="1" t="n">
        <v>45754</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32958-2021</t>
        </is>
      </c>
      <c r="B450" s="1" t="n">
        <v>44376</v>
      </c>
      <c r="C450" s="1" t="n">
        <v>45754</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36313-2021</t>
        </is>
      </c>
      <c r="B451" s="1" t="n">
        <v>44390</v>
      </c>
      <c r="C451" s="1" t="n">
        <v>45754</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37037-2021</t>
        </is>
      </c>
      <c r="B452" s="1" t="n">
        <v>44393</v>
      </c>
      <c r="C452" s="1" t="n">
        <v>45754</v>
      </c>
      <c r="D452" t="inlineStr">
        <is>
          <t>GOTLANDS LÄN</t>
        </is>
      </c>
      <c r="E452" t="inlineStr">
        <is>
          <t>GOTLAND</t>
        </is>
      </c>
      <c r="G452" t="n">
        <v>10.2</v>
      </c>
      <c r="H452" t="n">
        <v>0</v>
      </c>
      <c r="I452" t="n">
        <v>0</v>
      </c>
      <c r="J452" t="n">
        <v>0</v>
      </c>
      <c r="K452" t="n">
        <v>0</v>
      </c>
      <c r="L452" t="n">
        <v>0</v>
      </c>
      <c r="M452" t="n">
        <v>0</v>
      </c>
      <c r="N452" t="n">
        <v>0</v>
      </c>
      <c r="O452" t="n">
        <v>0</v>
      </c>
      <c r="P452" t="n">
        <v>0</v>
      </c>
      <c r="Q452" t="n">
        <v>0</v>
      </c>
      <c r="R452" s="2" t="inlineStr"/>
    </row>
    <row r="453" ht="15" customHeight="1">
      <c r="A453" t="inlineStr">
        <is>
          <t>A 37222-2021</t>
        </is>
      </c>
      <c r="B453" s="1" t="n">
        <v>44396</v>
      </c>
      <c r="C453" s="1" t="n">
        <v>45754</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42688-2021</t>
        </is>
      </c>
      <c r="B454" s="1" t="n">
        <v>44428</v>
      </c>
      <c r="C454" s="1" t="n">
        <v>45754</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44304-2021</t>
        </is>
      </c>
      <c r="B455" s="1" t="n">
        <v>44434</v>
      </c>
      <c r="C455" s="1" t="n">
        <v>45754</v>
      </c>
      <c r="D455" t="inlineStr">
        <is>
          <t>GOTLANDS LÄN</t>
        </is>
      </c>
      <c r="E455" t="inlineStr">
        <is>
          <t>GOTLAND</t>
        </is>
      </c>
      <c r="G455" t="n">
        <v>5.8</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45754</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46362-2021</t>
        </is>
      </c>
      <c r="B457" s="1" t="n">
        <v>44442</v>
      </c>
      <c r="C457" s="1" t="n">
        <v>45754</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46389-2021</t>
        </is>
      </c>
      <c r="B458" s="1" t="n">
        <v>44443</v>
      </c>
      <c r="C458" s="1" t="n">
        <v>45754</v>
      </c>
      <c r="D458" t="inlineStr">
        <is>
          <t>GOTLANDS LÄN</t>
        </is>
      </c>
      <c r="E458" t="inlineStr">
        <is>
          <t>GOTLAND</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47369-2021</t>
        </is>
      </c>
      <c r="B459" s="1" t="n">
        <v>44447</v>
      </c>
      <c r="C459" s="1" t="n">
        <v>45754</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50892-2021</t>
        </is>
      </c>
      <c r="B460" s="1" t="n">
        <v>44459</v>
      </c>
      <c r="C460" s="1" t="n">
        <v>45754</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52892-2021</t>
        </is>
      </c>
      <c r="B461" s="1" t="n">
        <v>44467</v>
      </c>
      <c r="C461" s="1" t="n">
        <v>45754</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53479-2021</t>
        </is>
      </c>
      <c r="B462" s="1" t="n">
        <v>44468</v>
      </c>
      <c r="C462" s="1" t="n">
        <v>45754</v>
      </c>
      <c r="D462" t="inlineStr">
        <is>
          <t>GOTLANDS LÄN</t>
        </is>
      </c>
      <c r="E462" t="inlineStr">
        <is>
          <t>GOTLAND</t>
        </is>
      </c>
      <c r="G462" t="n">
        <v>8</v>
      </c>
      <c r="H462" t="n">
        <v>0</v>
      </c>
      <c r="I462" t="n">
        <v>0</v>
      </c>
      <c r="J462" t="n">
        <v>0</v>
      </c>
      <c r="K462" t="n">
        <v>0</v>
      </c>
      <c r="L462" t="n">
        <v>0</v>
      </c>
      <c r="M462" t="n">
        <v>0</v>
      </c>
      <c r="N462" t="n">
        <v>0</v>
      </c>
      <c r="O462" t="n">
        <v>0</v>
      </c>
      <c r="P462" t="n">
        <v>0</v>
      </c>
      <c r="Q462" t="n">
        <v>0</v>
      </c>
      <c r="R462" s="2" t="inlineStr"/>
    </row>
    <row r="463" ht="15" customHeight="1">
      <c r="A463" t="inlineStr">
        <is>
          <t>A 56951-2021</t>
        </is>
      </c>
      <c r="B463" s="1" t="n">
        <v>44482</v>
      </c>
      <c r="C463" s="1" t="n">
        <v>45754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57219-2021</t>
        </is>
      </c>
      <c r="B464" s="1" t="n">
        <v>44483</v>
      </c>
      <c r="C464" s="1" t="n">
        <v>45754</v>
      </c>
      <c r="D464" t="inlineStr">
        <is>
          <t>GOTLANDS LÄN</t>
        </is>
      </c>
      <c r="E464" t="inlineStr">
        <is>
          <t>GOTLAND</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58224-2021</t>
        </is>
      </c>
      <c r="B465" s="1" t="n">
        <v>44487</v>
      </c>
      <c r="C465" s="1" t="n">
        <v>45754</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58600-2021</t>
        </is>
      </c>
      <c r="B466" s="1" t="n">
        <v>44488</v>
      </c>
      <c r="C466" s="1" t="n">
        <v>45754</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58815-2021</t>
        </is>
      </c>
      <c r="B467" s="1" t="n">
        <v>44489</v>
      </c>
      <c r="C467" s="1" t="n">
        <v>45754</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60607-2021</t>
        </is>
      </c>
      <c r="B468" s="1" t="n">
        <v>44496</v>
      </c>
      <c r="C468" s="1" t="n">
        <v>45754</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60675-2021</t>
        </is>
      </c>
      <c r="B469" s="1" t="n">
        <v>44496</v>
      </c>
      <c r="C469" s="1" t="n">
        <v>45754</v>
      </c>
      <c r="D469" t="inlineStr">
        <is>
          <t>GOTLANDS LÄN</t>
        </is>
      </c>
      <c r="E469" t="inlineStr">
        <is>
          <t>GOTLAND</t>
        </is>
      </c>
      <c r="G469" t="n">
        <v>4.6</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45754</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63229-2021</t>
        </is>
      </c>
      <c r="B471" s="1" t="n">
        <v>44508</v>
      </c>
      <c r="C471" s="1" t="n">
        <v>45754</v>
      </c>
      <c r="D471" t="inlineStr">
        <is>
          <t>GOTLANDS LÄN</t>
        </is>
      </c>
      <c r="E471" t="inlineStr">
        <is>
          <t>GOTLAND</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64208-2021</t>
        </is>
      </c>
      <c r="B472" s="1" t="n">
        <v>44510</v>
      </c>
      <c r="C472" s="1" t="n">
        <v>45754</v>
      </c>
      <c r="D472" t="inlineStr">
        <is>
          <t>GOTLANDS LÄN</t>
        </is>
      </c>
      <c r="E472" t="inlineStr">
        <is>
          <t>GOTLAND</t>
        </is>
      </c>
      <c r="G472" t="n">
        <v>4.7</v>
      </c>
      <c r="H472" t="n">
        <v>0</v>
      </c>
      <c r="I472" t="n">
        <v>0</v>
      </c>
      <c r="J472" t="n">
        <v>0</v>
      </c>
      <c r="K472" t="n">
        <v>0</v>
      </c>
      <c r="L472" t="n">
        <v>0</v>
      </c>
      <c r="M472" t="n">
        <v>0</v>
      </c>
      <c r="N472" t="n">
        <v>0</v>
      </c>
      <c r="O472" t="n">
        <v>0</v>
      </c>
      <c r="P472" t="n">
        <v>0</v>
      </c>
      <c r="Q472" t="n">
        <v>0</v>
      </c>
      <c r="R472" s="2" t="inlineStr"/>
    </row>
    <row r="473" ht="15" customHeight="1">
      <c r="A473" t="inlineStr">
        <is>
          <t>A 65393-2021</t>
        </is>
      </c>
      <c r="B473" s="1" t="n">
        <v>44515</v>
      </c>
      <c r="C473" s="1" t="n">
        <v>45754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65901-2021</t>
        </is>
      </c>
      <c r="B474" s="1" t="n">
        <v>44516</v>
      </c>
      <c r="C474" s="1" t="n">
        <v>45754</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45754</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70997-2021</t>
        </is>
      </c>
      <c r="B476" s="1" t="n">
        <v>44538</v>
      </c>
      <c r="C476" s="1" t="n">
        <v>45754</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71010-2021</t>
        </is>
      </c>
      <c r="B477" s="1" t="n">
        <v>44538</v>
      </c>
      <c r="C477" s="1" t="n">
        <v>45754</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71620-2021</t>
        </is>
      </c>
      <c r="B478" s="1" t="n">
        <v>44542</v>
      </c>
      <c r="C478" s="1" t="n">
        <v>45754</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72626-2021</t>
        </is>
      </c>
      <c r="B479" s="1" t="n">
        <v>44546</v>
      </c>
      <c r="C479" s="1" t="n">
        <v>45754</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411-2022</t>
        </is>
      </c>
      <c r="B480" s="1" t="n">
        <v>44565</v>
      </c>
      <c r="C480" s="1" t="n">
        <v>45754</v>
      </c>
      <c r="D480" t="inlineStr">
        <is>
          <t>GOTLANDS LÄN</t>
        </is>
      </c>
      <c r="E480" t="inlineStr">
        <is>
          <t>GOTLAND</t>
        </is>
      </c>
      <c r="G480" t="n">
        <v>3.9</v>
      </c>
      <c r="H480" t="n">
        <v>0</v>
      </c>
      <c r="I480" t="n">
        <v>0</v>
      </c>
      <c r="J480" t="n">
        <v>0</v>
      </c>
      <c r="K480" t="n">
        <v>0</v>
      </c>
      <c r="L480" t="n">
        <v>0</v>
      </c>
      <c r="M480" t="n">
        <v>0</v>
      </c>
      <c r="N480" t="n">
        <v>0</v>
      </c>
      <c r="O480" t="n">
        <v>0</v>
      </c>
      <c r="P480" t="n">
        <v>0</v>
      </c>
      <c r="Q480" t="n">
        <v>0</v>
      </c>
      <c r="R480" s="2" t="inlineStr"/>
    </row>
    <row r="481" ht="15" customHeight="1">
      <c r="A481" t="inlineStr">
        <is>
          <t>A 4262-2022</t>
        </is>
      </c>
      <c r="B481" s="1" t="n">
        <v>44588</v>
      </c>
      <c r="C481" s="1" t="n">
        <v>45754</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8055-2022</t>
        </is>
      </c>
      <c r="B482" s="1" t="n">
        <v>44609</v>
      </c>
      <c r="C482" s="1" t="n">
        <v>45754</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v>
      </c>
      <c r="C483" s="1" t="n">
        <v>45754</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8045-2022</t>
        </is>
      </c>
      <c r="B484" s="1" t="n">
        <v>44609</v>
      </c>
      <c r="C484" s="1" t="n">
        <v>45754</v>
      </c>
      <c r="D484" t="inlineStr">
        <is>
          <t>GOTLANDS LÄN</t>
        </is>
      </c>
      <c r="E484" t="inlineStr">
        <is>
          <t>GOTLAND</t>
        </is>
      </c>
      <c r="G484" t="n">
        <v>7</v>
      </c>
      <c r="H484" t="n">
        <v>0</v>
      </c>
      <c r="I484" t="n">
        <v>0</v>
      </c>
      <c r="J484" t="n">
        <v>0</v>
      </c>
      <c r="K484" t="n">
        <v>0</v>
      </c>
      <c r="L484" t="n">
        <v>0</v>
      </c>
      <c r="M484" t="n">
        <v>0</v>
      </c>
      <c r="N484" t="n">
        <v>0</v>
      </c>
      <c r="O484" t="n">
        <v>0</v>
      </c>
      <c r="P484" t="n">
        <v>0</v>
      </c>
      <c r="Q484" t="n">
        <v>0</v>
      </c>
      <c r="R484" s="2" t="inlineStr"/>
    </row>
    <row r="485" ht="15" customHeight="1">
      <c r="A485" t="inlineStr">
        <is>
          <t>A 10650-2022</t>
        </is>
      </c>
      <c r="B485" s="1" t="n">
        <v>44624</v>
      </c>
      <c r="C485" s="1" t="n">
        <v>45754</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11029-2022</t>
        </is>
      </c>
      <c r="B486" s="1" t="n">
        <v>44628</v>
      </c>
      <c r="C486" s="1" t="n">
        <v>45754</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13498-2022</t>
        </is>
      </c>
      <c r="B487" s="1" t="n">
        <v>44647</v>
      </c>
      <c r="C487" s="1" t="n">
        <v>45754</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13500-2022</t>
        </is>
      </c>
      <c r="B488" s="1" t="n">
        <v>44647</v>
      </c>
      <c r="C488" s="1" t="n">
        <v>45754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13643-2022</t>
        </is>
      </c>
      <c r="B489" s="1" t="n">
        <v>44648</v>
      </c>
      <c r="C489" s="1" t="n">
        <v>45754</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14413-2022</t>
        </is>
      </c>
      <c r="B490" s="1" t="n">
        <v>44652</v>
      </c>
      <c r="C490" s="1" t="n">
        <v>45754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15713-2022</t>
        </is>
      </c>
      <c r="B491" s="1" t="n">
        <v>44663</v>
      </c>
      <c r="C491" s="1" t="n">
        <v>45754</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15710-2022</t>
        </is>
      </c>
      <c r="B492" s="1" t="n">
        <v>44663</v>
      </c>
      <c r="C492" s="1" t="n">
        <v>45754</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16858-2022</t>
        </is>
      </c>
      <c r="B493" s="1" t="n">
        <v>44674</v>
      </c>
      <c r="C493" s="1" t="n">
        <v>45754</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17147-2022</t>
        </is>
      </c>
      <c r="B494" s="1" t="n">
        <v>44677</v>
      </c>
      <c r="C494" s="1" t="n">
        <v>45754</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17354-2022</t>
        </is>
      </c>
      <c r="B495" s="1" t="n">
        <v>44678</v>
      </c>
      <c r="C495" s="1" t="n">
        <v>45754</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17381-2022</t>
        </is>
      </c>
      <c r="B496" s="1" t="n">
        <v>44678</v>
      </c>
      <c r="C496" s="1" t="n">
        <v>45754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17780-2022</t>
        </is>
      </c>
      <c r="B497" s="1" t="n">
        <v>44682</v>
      </c>
      <c r="C497" s="1" t="n">
        <v>45754</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20165-2022</t>
        </is>
      </c>
      <c r="B498" s="1" t="n">
        <v>44698</v>
      </c>
      <c r="C498" s="1" t="n">
        <v>45754</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20356-2022</t>
        </is>
      </c>
      <c r="B499" s="1" t="n">
        <v>44699</v>
      </c>
      <c r="C499" s="1" t="n">
        <v>45754</v>
      </c>
      <c r="D499" t="inlineStr">
        <is>
          <t>GOTLANDS LÄN</t>
        </is>
      </c>
      <c r="E499" t="inlineStr">
        <is>
          <t>GOTLAND</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20990-2022</t>
        </is>
      </c>
      <c r="B500" s="1" t="n">
        <v>44703</v>
      </c>
      <c r="C500" s="1" t="n">
        <v>45754</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20993-2022</t>
        </is>
      </c>
      <c r="B501" s="1" t="n">
        <v>44703</v>
      </c>
      <c r="C501" s="1" t="n">
        <v>45754</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v>
      </c>
      <c r="C502" s="1" t="n">
        <v>45754</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22287-2022</t>
        </is>
      </c>
      <c r="B503" s="1" t="n">
        <v>44712</v>
      </c>
      <c r="C503" s="1" t="n">
        <v>45754</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22498-2022</t>
        </is>
      </c>
      <c r="B504" s="1" t="n">
        <v>44713</v>
      </c>
      <c r="C504" s="1" t="n">
        <v>45754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22495-2022</t>
        </is>
      </c>
      <c r="B505" s="1" t="n">
        <v>44713</v>
      </c>
      <c r="C505" s="1" t="n">
        <v>45754</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24123-2022</t>
        </is>
      </c>
      <c r="B506" s="1" t="n">
        <v>44725</v>
      </c>
      <c r="C506" s="1" t="n">
        <v>45754</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24235-2022</t>
        </is>
      </c>
      <c r="B507" s="1" t="n">
        <v>44725</v>
      </c>
      <c r="C507" s="1" t="n">
        <v>45754</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45754</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27095-2022</t>
        </is>
      </c>
      <c r="B509" s="1" t="n">
        <v>44741</v>
      </c>
      <c r="C509" s="1" t="n">
        <v>45754</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v>
      </c>
      <c r="C510" s="1" t="n">
        <v>45754</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30282-2022</t>
        </is>
      </c>
      <c r="B511" s="1" t="n">
        <v>44760</v>
      </c>
      <c r="C511" s="1" t="n">
        <v>45754</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31239-2022</t>
        </is>
      </c>
      <c r="B512" s="1" t="n">
        <v>44771</v>
      </c>
      <c r="C512" s="1" t="n">
        <v>45754</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37569-2022</t>
        </is>
      </c>
      <c r="B513" s="1" t="n">
        <v>44809</v>
      </c>
      <c r="C513" s="1" t="n">
        <v>45754</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39302-2022</t>
        </is>
      </c>
      <c r="B514" s="1" t="n">
        <v>44817</v>
      </c>
      <c r="C514" s="1" t="n">
        <v>45754</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39496-2022</t>
        </is>
      </c>
      <c r="B515" s="1" t="n">
        <v>44818</v>
      </c>
      <c r="C515" s="1" t="n">
        <v>45754</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45754</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39764-2022</t>
        </is>
      </c>
      <c r="B517" s="1" t="n">
        <v>44819</v>
      </c>
      <c r="C517" s="1" t="n">
        <v>45754</v>
      </c>
      <c r="D517" t="inlineStr">
        <is>
          <t>GOTLANDS LÄN</t>
        </is>
      </c>
      <c r="E517" t="inlineStr">
        <is>
          <t>GOTLAND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40294-2022</t>
        </is>
      </c>
      <c r="B518" s="1" t="n">
        <v>44821</v>
      </c>
      <c r="C518" s="1" t="n">
        <v>45754</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40478-2022</t>
        </is>
      </c>
      <c r="B519" s="1" t="n">
        <v>44823</v>
      </c>
      <c r="C519" s="1" t="n">
        <v>45754</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43081-2022</t>
        </is>
      </c>
      <c r="B520" s="1" t="n">
        <v>44833</v>
      </c>
      <c r="C520" s="1" t="n">
        <v>45754</v>
      </c>
      <c r="D520" t="inlineStr">
        <is>
          <t>GOTLANDS LÄN</t>
        </is>
      </c>
      <c r="E520" t="inlineStr">
        <is>
          <t>GOTLAND</t>
        </is>
      </c>
      <c r="G520" t="n">
        <v>6.8</v>
      </c>
      <c r="H520" t="n">
        <v>0</v>
      </c>
      <c r="I520" t="n">
        <v>0</v>
      </c>
      <c r="J520" t="n">
        <v>0</v>
      </c>
      <c r="K520" t="n">
        <v>0</v>
      </c>
      <c r="L520" t="n">
        <v>0</v>
      </c>
      <c r="M520" t="n">
        <v>0</v>
      </c>
      <c r="N520" t="n">
        <v>0</v>
      </c>
      <c r="O520" t="n">
        <v>0</v>
      </c>
      <c r="P520" t="n">
        <v>0</v>
      </c>
      <c r="Q520" t="n">
        <v>0</v>
      </c>
      <c r="R520" s="2" t="inlineStr"/>
    </row>
    <row r="521" ht="15" customHeight="1">
      <c r="A521" t="inlineStr">
        <is>
          <t>A 44102-2022</t>
        </is>
      </c>
      <c r="B521" s="1" t="n">
        <v>44839</v>
      </c>
      <c r="C521" s="1" t="n">
        <v>45754</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44108-2022</t>
        </is>
      </c>
      <c r="B522" s="1" t="n">
        <v>44839</v>
      </c>
      <c r="C522" s="1" t="n">
        <v>45754</v>
      </c>
      <c r="D522" t="inlineStr">
        <is>
          <t>GOTLANDS LÄN</t>
        </is>
      </c>
      <c r="E522" t="inlineStr">
        <is>
          <t>GOTLAND</t>
        </is>
      </c>
      <c r="G522" t="n">
        <v>12.9</v>
      </c>
      <c r="H522" t="n">
        <v>0</v>
      </c>
      <c r="I522" t="n">
        <v>0</v>
      </c>
      <c r="J522" t="n">
        <v>0</v>
      </c>
      <c r="K522" t="n">
        <v>0</v>
      </c>
      <c r="L522" t="n">
        <v>0</v>
      </c>
      <c r="M522" t="n">
        <v>0</v>
      </c>
      <c r="N522" t="n">
        <v>0</v>
      </c>
      <c r="O522" t="n">
        <v>0</v>
      </c>
      <c r="P522" t="n">
        <v>0</v>
      </c>
      <c r="Q522" t="n">
        <v>0</v>
      </c>
      <c r="R522" s="2" t="inlineStr"/>
    </row>
    <row r="523" ht="15" customHeight="1">
      <c r="A523" t="inlineStr">
        <is>
          <t>A 44207-2022</t>
        </is>
      </c>
      <c r="B523" s="1" t="n">
        <v>44839</v>
      </c>
      <c r="C523" s="1" t="n">
        <v>45754</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44204-2022</t>
        </is>
      </c>
      <c r="B524" s="1" t="n">
        <v>44839</v>
      </c>
      <c r="C524" s="1" t="n">
        <v>45754</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v>
      </c>
      <c r="C525" s="1" t="n">
        <v>45754</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44878-2022</t>
        </is>
      </c>
      <c r="B526" s="1" t="n">
        <v>44839</v>
      </c>
      <c r="C526" s="1" t="n">
        <v>45754</v>
      </c>
      <c r="D526" t="inlineStr">
        <is>
          <t>GOTLANDS LÄN</t>
        </is>
      </c>
      <c r="E526" t="inlineStr">
        <is>
          <t>GOTLAND</t>
        </is>
      </c>
      <c r="G526" t="n">
        <v>4</v>
      </c>
      <c r="H526" t="n">
        <v>0</v>
      </c>
      <c r="I526" t="n">
        <v>0</v>
      </c>
      <c r="J526" t="n">
        <v>0</v>
      </c>
      <c r="K526" t="n">
        <v>0</v>
      </c>
      <c r="L526" t="n">
        <v>0</v>
      </c>
      <c r="M526" t="n">
        <v>0</v>
      </c>
      <c r="N526" t="n">
        <v>0</v>
      </c>
      <c r="O526" t="n">
        <v>0</v>
      </c>
      <c r="P526" t="n">
        <v>0</v>
      </c>
      <c r="Q526" t="n">
        <v>0</v>
      </c>
      <c r="R526" s="2" t="inlineStr"/>
    </row>
    <row r="527" ht="15" customHeight="1">
      <c r="A527" t="inlineStr">
        <is>
          <t>A 44919-2022</t>
        </is>
      </c>
      <c r="B527" s="1" t="n">
        <v>44841</v>
      </c>
      <c r="C527" s="1" t="n">
        <v>45754</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44942-2022</t>
        </is>
      </c>
      <c r="B528" s="1" t="n">
        <v>44841</v>
      </c>
      <c r="C528" s="1" t="n">
        <v>45754</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46189-2022</t>
        </is>
      </c>
      <c r="B529" s="1" t="n">
        <v>44847</v>
      </c>
      <c r="C529" s="1" t="n">
        <v>45754</v>
      </c>
      <c r="D529" t="inlineStr">
        <is>
          <t>GOTLANDS LÄN</t>
        </is>
      </c>
      <c r="E529" t="inlineStr">
        <is>
          <t>GOTLAND</t>
        </is>
      </c>
      <c r="G529" t="n">
        <v>0.4</v>
      </c>
      <c r="H529" t="n">
        <v>0</v>
      </c>
      <c r="I529" t="n">
        <v>0</v>
      </c>
      <c r="J529" t="n">
        <v>0</v>
      </c>
      <c r="K529" t="n">
        <v>0</v>
      </c>
      <c r="L529" t="n">
        <v>0</v>
      </c>
      <c r="M529" t="n">
        <v>0</v>
      </c>
      <c r="N529" t="n">
        <v>0</v>
      </c>
      <c r="O529" t="n">
        <v>0</v>
      </c>
      <c r="P529" t="n">
        <v>0</v>
      </c>
      <c r="Q529" t="n">
        <v>0</v>
      </c>
      <c r="R529" s="2" t="inlineStr"/>
    </row>
    <row r="530" ht="15" customHeight="1">
      <c r="A530" t="inlineStr">
        <is>
          <t>A 47231-2022</t>
        </is>
      </c>
      <c r="B530" s="1" t="n">
        <v>44852</v>
      </c>
      <c r="C530" s="1" t="n">
        <v>45754</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48734-2022</t>
        </is>
      </c>
      <c r="B531" s="1" t="n">
        <v>44855</v>
      </c>
      <c r="C531" s="1" t="n">
        <v>45754</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49812-2022</t>
        </is>
      </c>
      <c r="B532" s="1" t="n">
        <v>44862</v>
      </c>
      <c r="C532" s="1" t="n">
        <v>45754</v>
      </c>
      <c r="D532" t="inlineStr">
        <is>
          <t>GOTLANDS LÄN</t>
        </is>
      </c>
      <c r="E532" t="inlineStr">
        <is>
          <t>GOTLAND</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50810-2022</t>
        </is>
      </c>
      <c r="B533" s="1" t="n">
        <v>44867</v>
      </c>
      <c r="C533" s="1" t="n">
        <v>45754</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51591-2022</t>
        </is>
      </c>
      <c r="B534" s="1" t="n">
        <v>44871</v>
      </c>
      <c r="C534" s="1" t="n">
        <v>45754</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53725-2022</t>
        </is>
      </c>
      <c r="B535" s="1" t="n">
        <v>44875</v>
      </c>
      <c r="C535" s="1" t="n">
        <v>45754</v>
      </c>
      <c r="D535" t="inlineStr">
        <is>
          <t>GOTLANDS LÄN</t>
        </is>
      </c>
      <c r="E535" t="inlineStr">
        <is>
          <t>GOTLAND</t>
        </is>
      </c>
      <c r="F535" t="inlineStr">
        <is>
          <t>Övriga statliga verk och myndigheter</t>
        </is>
      </c>
      <c r="G535" t="n">
        <v>6.2</v>
      </c>
      <c r="H535" t="n">
        <v>0</v>
      </c>
      <c r="I535" t="n">
        <v>0</v>
      </c>
      <c r="J535" t="n">
        <v>0</v>
      </c>
      <c r="K535" t="n">
        <v>0</v>
      </c>
      <c r="L535" t="n">
        <v>0</v>
      </c>
      <c r="M535" t="n">
        <v>0</v>
      </c>
      <c r="N535" t="n">
        <v>0</v>
      </c>
      <c r="O535" t="n">
        <v>0</v>
      </c>
      <c r="P535" t="n">
        <v>0</v>
      </c>
      <c r="Q535" t="n">
        <v>0</v>
      </c>
      <c r="R535" s="2" t="inlineStr"/>
    </row>
    <row r="536" ht="15" customHeight="1">
      <c r="A536" t="inlineStr">
        <is>
          <t>A 53722-2022</t>
        </is>
      </c>
      <c r="B536" s="1" t="n">
        <v>44875</v>
      </c>
      <c r="C536" s="1" t="n">
        <v>45754</v>
      </c>
      <c r="D536" t="inlineStr">
        <is>
          <t>GOTLANDS LÄN</t>
        </is>
      </c>
      <c r="E536" t="inlineStr">
        <is>
          <t>GOTLAND</t>
        </is>
      </c>
      <c r="F536" t="inlineStr">
        <is>
          <t>Övriga statliga verk och myndigheter</t>
        </is>
      </c>
      <c r="G536" t="n">
        <v>8</v>
      </c>
      <c r="H536" t="n">
        <v>0</v>
      </c>
      <c r="I536" t="n">
        <v>0</v>
      </c>
      <c r="J536" t="n">
        <v>0</v>
      </c>
      <c r="K536" t="n">
        <v>0</v>
      </c>
      <c r="L536" t="n">
        <v>0</v>
      </c>
      <c r="M536" t="n">
        <v>0</v>
      </c>
      <c r="N536" t="n">
        <v>0</v>
      </c>
      <c r="O536" t="n">
        <v>0</v>
      </c>
      <c r="P536" t="n">
        <v>0</v>
      </c>
      <c r="Q536" t="n">
        <v>0</v>
      </c>
      <c r="R536" s="2" t="inlineStr"/>
    </row>
    <row r="537" ht="15" customHeight="1">
      <c r="A537" t="inlineStr">
        <is>
          <t>A 53727-2022</t>
        </is>
      </c>
      <c r="B537" s="1" t="n">
        <v>44875</v>
      </c>
      <c r="C537" s="1" t="n">
        <v>45754</v>
      </c>
      <c r="D537" t="inlineStr">
        <is>
          <t>GOTLANDS LÄN</t>
        </is>
      </c>
      <c r="E537" t="inlineStr">
        <is>
          <t>GOTLAND</t>
        </is>
      </c>
      <c r="F537" t="inlineStr">
        <is>
          <t>Övriga statliga verk och myndigheter</t>
        </is>
      </c>
      <c r="G537" t="n">
        <v>3.6</v>
      </c>
      <c r="H537" t="n">
        <v>0</v>
      </c>
      <c r="I537" t="n">
        <v>0</v>
      </c>
      <c r="J537" t="n">
        <v>0</v>
      </c>
      <c r="K537" t="n">
        <v>0</v>
      </c>
      <c r="L537" t="n">
        <v>0</v>
      </c>
      <c r="M537" t="n">
        <v>0</v>
      </c>
      <c r="N537" t="n">
        <v>0</v>
      </c>
      <c r="O537" t="n">
        <v>0</v>
      </c>
      <c r="P537" t="n">
        <v>0</v>
      </c>
      <c r="Q537" t="n">
        <v>0</v>
      </c>
      <c r="R537" s="2" t="inlineStr"/>
    </row>
    <row r="538" ht="15" customHeight="1">
      <c r="A538" t="inlineStr">
        <is>
          <t>A 53225-2022</t>
        </is>
      </c>
      <c r="B538" s="1" t="n">
        <v>44876</v>
      </c>
      <c r="C538" s="1" t="n">
        <v>45754</v>
      </c>
      <c r="D538" t="inlineStr">
        <is>
          <t>GOTLANDS LÄN</t>
        </is>
      </c>
      <c r="E538" t="inlineStr">
        <is>
          <t>GOTLAND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45754</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54073-2022</t>
        </is>
      </c>
      <c r="B540" s="1" t="n">
        <v>44881</v>
      </c>
      <c r="C540" s="1" t="n">
        <v>45754</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45754</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55866-2022</t>
        </is>
      </c>
      <c r="B542" s="1" t="n">
        <v>44888</v>
      </c>
      <c r="C542" s="1" t="n">
        <v>45754</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56928-2022</t>
        </is>
      </c>
      <c r="B543" s="1" t="n">
        <v>44894</v>
      </c>
      <c r="C543" s="1" t="n">
        <v>45754</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45754</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57534-2022</t>
        </is>
      </c>
      <c r="B545" s="1" t="n">
        <v>44896</v>
      </c>
      <c r="C545" s="1" t="n">
        <v>45754</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57522-2022</t>
        </is>
      </c>
      <c r="B546" s="1" t="n">
        <v>44896</v>
      </c>
      <c r="C546" s="1" t="n">
        <v>45754</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v>
      </c>
      <c r="C547" s="1" t="n">
        <v>45754</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57947-2022</t>
        </is>
      </c>
      <c r="B548" s="1" t="n">
        <v>44900</v>
      </c>
      <c r="C548" s="1" t="n">
        <v>45754</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58479-2022</t>
        </is>
      </c>
      <c r="B549" s="1" t="n">
        <v>44902</v>
      </c>
      <c r="C549" s="1" t="n">
        <v>45754</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58476-2022</t>
        </is>
      </c>
      <c r="B550" s="1" t="n">
        <v>44902</v>
      </c>
      <c r="C550" s="1" t="n">
        <v>45754</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59874-2022</t>
        </is>
      </c>
      <c r="B551" s="1" t="n">
        <v>44908</v>
      </c>
      <c r="C551" s="1" t="n">
        <v>45754</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60086-2022</t>
        </is>
      </c>
      <c r="B552" s="1" t="n">
        <v>44909</v>
      </c>
      <c r="C552" s="1" t="n">
        <v>45754</v>
      </c>
      <c r="D552" t="inlineStr">
        <is>
          <t>GOTLANDS LÄN</t>
        </is>
      </c>
      <c r="E552" t="inlineStr">
        <is>
          <t>GOTLAND</t>
        </is>
      </c>
      <c r="G552" t="n">
        <v>2.1</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45754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60372-2022</t>
        </is>
      </c>
      <c r="B554" s="1" t="n">
        <v>44910</v>
      </c>
      <c r="C554" s="1" t="n">
        <v>45754</v>
      </c>
      <c r="D554" t="inlineStr">
        <is>
          <t>GOTLANDS LÄN</t>
        </is>
      </c>
      <c r="E554" t="inlineStr">
        <is>
          <t>GOTLAND</t>
        </is>
      </c>
      <c r="G554" t="n">
        <v>3.9</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45754</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61570-2022</t>
        </is>
      </c>
      <c r="B556" s="1" t="n">
        <v>44916</v>
      </c>
      <c r="C556" s="1" t="n">
        <v>45754</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61563-2022</t>
        </is>
      </c>
      <c r="B557" s="1" t="n">
        <v>44916</v>
      </c>
      <c r="C557" s="1" t="n">
        <v>45754</v>
      </c>
      <c r="D557" t="inlineStr">
        <is>
          <t>GOTLANDS LÄN</t>
        </is>
      </c>
      <c r="E557" t="inlineStr">
        <is>
          <t>GOTLAND</t>
        </is>
      </c>
      <c r="G557" t="n">
        <v>3.4</v>
      </c>
      <c r="H557" t="n">
        <v>0</v>
      </c>
      <c r="I557" t="n">
        <v>0</v>
      </c>
      <c r="J557" t="n">
        <v>0</v>
      </c>
      <c r="K557" t="n">
        <v>0</v>
      </c>
      <c r="L557" t="n">
        <v>0</v>
      </c>
      <c r="M557" t="n">
        <v>0</v>
      </c>
      <c r="N557" t="n">
        <v>0</v>
      </c>
      <c r="O557" t="n">
        <v>0</v>
      </c>
      <c r="P557" t="n">
        <v>0</v>
      </c>
      <c r="Q557" t="n">
        <v>0</v>
      </c>
      <c r="R557" s="2" t="inlineStr"/>
    </row>
    <row r="558" ht="15" customHeight="1">
      <c r="A558" t="inlineStr">
        <is>
          <t>A 62155-2022</t>
        </is>
      </c>
      <c r="B558" s="1" t="n">
        <v>44922</v>
      </c>
      <c r="C558" s="1" t="n">
        <v>45754</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62164-2022</t>
        </is>
      </c>
      <c r="B559" s="1" t="n">
        <v>44922</v>
      </c>
      <c r="C559" s="1" t="n">
        <v>45754</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62182-2022</t>
        </is>
      </c>
      <c r="B560" s="1" t="n">
        <v>44922</v>
      </c>
      <c r="C560" s="1" t="n">
        <v>45754</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62193-2022</t>
        </is>
      </c>
      <c r="B561" s="1" t="n">
        <v>44922</v>
      </c>
      <c r="C561" s="1" t="n">
        <v>45754</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62151-2022</t>
        </is>
      </c>
      <c r="B562" s="1" t="n">
        <v>44922</v>
      </c>
      <c r="C562" s="1" t="n">
        <v>45754</v>
      </c>
      <c r="D562" t="inlineStr">
        <is>
          <t>GOTLANDS LÄN</t>
        </is>
      </c>
      <c r="E562" t="inlineStr">
        <is>
          <t>GOTLAND</t>
        </is>
      </c>
      <c r="G562" t="n">
        <v>6.5</v>
      </c>
      <c r="H562" t="n">
        <v>0</v>
      </c>
      <c r="I562" t="n">
        <v>0</v>
      </c>
      <c r="J562" t="n">
        <v>0</v>
      </c>
      <c r="K562" t="n">
        <v>0</v>
      </c>
      <c r="L562" t="n">
        <v>0</v>
      </c>
      <c r="M562" t="n">
        <v>0</v>
      </c>
      <c r="N562" t="n">
        <v>0</v>
      </c>
      <c r="O562" t="n">
        <v>0</v>
      </c>
      <c r="P562" t="n">
        <v>0</v>
      </c>
      <c r="Q562" t="n">
        <v>0</v>
      </c>
      <c r="R562" s="2" t="inlineStr"/>
    </row>
    <row r="563" ht="15" customHeight="1">
      <c r="A563" t="inlineStr">
        <is>
          <t>A 62186-2022</t>
        </is>
      </c>
      <c r="B563" s="1" t="n">
        <v>44922</v>
      </c>
      <c r="C563" s="1" t="n">
        <v>45754</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62184-2022</t>
        </is>
      </c>
      <c r="B564" s="1" t="n">
        <v>44922</v>
      </c>
      <c r="C564" s="1" t="n">
        <v>45754</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163-2023</t>
        </is>
      </c>
      <c r="B565" s="1" t="n">
        <v>44928</v>
      </c>
      <c r="C565" s="1" t="n">
        <v>45754</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458-2023</t>
        </is>
      </c>
      <c r="B566" s="1" t="n">
        <v>44929</v>
      </c>
      <c r="C566" s="1" t="n">
        <v>45754</v>
      </c>
      <c r="D566" t="inlineStr">
        <is>
          <t>GOTLANDS LÄN</t>
        </is>
      </c>
      <c r="E566" t="inlineStr">
        <is>
          <t>GOTLAND</t>
        </is>
      </c>
      <c r="G566" t="n">
        <v>3.6</v>
      </c>
      <c r="H566" t="n">
        <v>0</v>
      </c>
      <c r="I566" t="n">
        <v>0</v>
      </c>
      <c r="J566" t="n">
        <v>0</v>
      </c>
      <c r="K566" t="n">
        <v>0</v>
      </c>
      <c r="L566" t="n">
        <v>0</v>
      </c>
      <c r="M566" t="n">
        <v>0</v>
      </c>
      <c r="N566" t="n">
        <v>0</v>
      </c>
      <c r="O566" t="n">
        <v>0</v>
      </c>
      <c r="P566" t="n">
        <v>0</v>
      </c>
      <c r="Q566" t="n">
        <v>0</v>
      </c>
      <c r="R566" s="2" t="inlineStr"/>
    </row>
    <row r="567" ht="15" customHeight="1">
      <c r="A567" t="inlineStr">
        <is>
          <t>A 457-2023</t>
        </is>
      </c>
      <c r="B567" s="1" t="n">
        <v>44929</v>
      </c>
      <c r="C567" s="1" t="n">
        <v>45754</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v>
      </c>
      <c r="C568" s="1" t="n">
        <v>45754</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459-2023</t>
        </is>
      </c>
      <c r="B569" s="1" t="n">
        <v>44929</v>
      </c>
      <c r="C569" s="1" t="n">
        <v>45754</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581-2023</t>
        </is>
      </c>
      <c r="B570" s="1" t="n">
        <v>44930</v>
      </c>
      <c r="C570" s="1" t="n">
        <v>45754</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45754</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45754</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1284-2023</t>
        </is>
      </c>
      <c r="B573" s="1" t="n">
        <v>44936</v>
      </c>
      <c r="C573" s="1" t="n">
        <v>45754</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1273-2023</t>
        </is>
      </c>
      <c r="B574" s="1" t="n">
        <v>44936</v>
      </c>
      <c r="C574" s="1" t="n">
        <v>45754</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1291-2023</t>
        </is>
      </c>
      <c r="B575" s="1" t="n">
        <v>44936</v>
      </c>
      <c r="C575" s="1" t="n">
        <v>45754</v>
      </c>
      <c r="D575" t="inlineStr">
        <is>
          <t>GOTLANDS LÄN</t>
        </is>
      </c>
      <c r="E575" t="inlineStr">
        <is>
          <t>GOTLAND</t>
        </is>
      </c>
      <c r="G575" t="n">
        <v>7.4</v>
      </c>
      <c r="H575" t="n">
        <v>0</v>
      </c>
      <c r="I575" t="n">
        <v>0</v>
      </c>
      <c r="J575" t="n">
        <v>0</v>
      </c>
      <c r="K575" t="n">
        <v>0</v>
      </c>
      <c r="L575" t="n">
        <v>0</v>
      </c>
      <c r="M575" t="n">
        <v>0</v>
      </c>
      <c r="N575" t="n">
        <v>0</v>
      </c>
      <c r="O575" t="n">
        <v>0</v>
      </c>
      <c r="P575" t="n">
        <v>0</v>
      </c>
      <c r="Q575" t="n">
        <v>0</v>
      </c>
      <c r="R575" s="2" t="inlineStr"/>
    </row>
    <row r="576" ht="15" customHeight="1">
      <c r="A576" t="inlineStr">
        <is>
          <t>A 1394-2023</t>
        </is>
      </c>
      <c r="B576" s="1" t="n">
        <v>44936</v>
      </c>
      <c r="C576" s="1" t="n">
        <v>45754</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1677-2023</t>
        </is>
      </c>
      <c r="B577" s="1" t="n">
        <v>44938</v>
      </c>
      <c r="C577" s="1" t="n">
        <v>45754</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v>
      </c>
      <c r="C578" s="1" t="n">
        <v>45754</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45754</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2676-2023</t>
        </is>
      </c>
      <c r="B580" s="1" t="n">
        <v>44944</v>
      </c>
      <c r="C580" s="1" t="n">
        <v>45754</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v>
      </c>
      <c r="C581" s="1" t="n">
        <v>45754</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2727-2023</t>
        </is>
      </c>
      <c r="B582" s="1" t="n">
        <v>44944</v>
      </c>
      <c r="C582" s="1" t="n">
        <v>45754</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v>
      </c>
      <c r="C583" s="1" t="n">
        <v>45754</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2805-2023</t>
        </is>
      </c>
      <c r="B584" s="1" t="n">
        <v>44944</v>
      </c>
      <c r="C584" s="1" t="n">
        <v>45754</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2815-2023</t>
        </is>
      </c>
      <c r="B585" s="1" t="n">
        <v>44944</v>
      </c>
      <c r="C585" s="1" t="n">
        <v>45754</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3230-2023</t>
        </is>
      </c>
      <c r="B586" s="1" t="n">
        <v>44946</v>
      </c>
      <c r="C586" s="1" t="n">
        <v>45754</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4378-2023</t>
        </is>
      </c>
      <c r="B587" s="1" t="n">
        <v>44955</v>
      </c>
      <c r="C587" s="1" t="n">
        <v>45754</v>
      </c>
      <c r="D587" t="inlineStr">
        <is>
          <t>GOTLANDS LÄN</t>
        </is>
      </c>
      <c r="E587" t="inlineStr">
        <is>
          <t>GOTLAND</t>
        </is>
      </c>
      <c r="F587" t="inlineStr">
        <is>
          <t>Kyrkan</t>
        </is>
      </c>
      <c r="G587" t="n">
        <v>1.5</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v>
      </c>
      <c r="C588" s="1" t="n">
        <v>45754</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4387-2023</t>
        </is>
      </c>
      <c r="B589" s="1" t="n">
        <v>44955</v>
      </c>
      <c r="C589" s="1" t="n">
        <v>45754</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4565-2023</t>
        </is>
      </c>
      <c r="B590" s="1" t="n">
        <v>44956</v>
      </c>
      <c r="C590" s="1" t="n">
        <v>45754</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5217-2023</t>
        </is>
      </c>
      <c r="B591" s="1" t="n">
        <v>44959</v>
      </c>
      <c r="C591" s="1" t="n">
        <v>45754</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5379-2023</t>
        </is>
      </c>
      <c r="B592" s="1" t="n">
        <v>44959</v>
      </c>
      <c r="C592" s="1" t="n">
        <v>45754</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5386-2023</t>
        </is>
      </c>
      <c r="B593" s="1" t="n">
        <v>44959</v>
      </c>
      <c r="C593" s="1" t="n">
        <v>45754</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5923-2023</t>
        </is>
      </c>
      <c r="B594" s="1" t="n">
        <v>44963</v>
      </c>
      <c r="C594" s="1" t="n">
        <v>45754</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6721-2023</t>
        </is>
      </c>
      <c r="B595" s="1" t="n">
        <v>44966</v>
      </c>
      <c r="C595" s="1" t="n">
        <v>45754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6717-2023</t>
        </is>
      </c>
      <c r="B596" s="1" t="n">
        <v>44966</v>
      </c>
      <c r="C596" s="1" t="n">
        <v>45754</v>
      </c>
      <c r="D596" t="inlineStr">
        <is>
          <t>GOTLANDS LÄN</t>
        </is>
      </c>
      <c r="E596" t="inlineStr">
        <is>
          <t>GOTLAND</t>
        </is>
      </c>
      <c r="F596" t="inlineStr">
        <is>
          <t>Naturvårdsverket</t>
        </is>
      </c>
      <c r="G596" t="n">
        <v>1.4</v>
      </c>
      <c r="H596" t="n">
        <v>0</v>
      </c>
      <c r="I596" t="n">
        <v>0</v>
      </c>
      <c r="J596" t="n">
        <v>0</v>
      </c>
      <c r="K596" t="n">
        <v>0</v>
      </c>
      <c r="L596" t="n">
        <v>0</v>
      </c>
      <c r="M596" t="n">
        <v>0</v>
      </c>
      <c r="N596" t="n">
        <v>0</v>
      </c>
      <c r="O596" t="n">
        <v>0</v>
      </c>
      <c r="P596" t="n">
        <v>0</v>
      </c>
      <c r="Q596" t="n">
        <v>0</v>
      </c>
      <c r="R596" s="2" t="inlineStr"/>
    </row>
    <row r="597" ht="15" customHeight="1">
      <c r="A597" t="inlineStr">
        <is>
          <t>A 7041-2023</t>
        </is>
      </c>
      <c r="B597" s="1" t="n">
        <v>44968</v>
      </c>
      <c r="C597" s="1" t="n">
        <v>45754</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7026-2023</t>
        </is>
      </c>
      <c r="B598" s="1" t="n">
        <v>44968</v>
      </c>
      <c r="C598" s="1" t="n">
        <v>45754</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7034-2023</t>
        </is>
      </c>
      <c r="B599" s="1" t="n">
        <v>44968</v>
      </c>
      <c r="C599" s="1" t="n">
        <v>45754</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7040-2023</t>
        </is>
      </c>
      <c r="B600" s="1" t="n">
        <v>44968</v>
      </c>
      <c r="C600" s="1" t="n">
        <v>45754</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7042-2023</t>
        </is>
      </c>
      <c r="B601" s="1" t="n">
        <v>44968</v>
      </c>
      <c r="C601" s="1" t="n">
        <v>45754</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8260-2023</t>
        </is>
      </c>
      <c r="B602" s="1" t="n">
        <v>44974</v>
      </c>
      <c r="C602" s="1" t="n">
        <v>45754</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8962-2023</t>
        </is>
      </c>
      <c r="B603" s="1" t="n">
        <v>44979</v>
      </c>
      <c r="C603" s="1" t="n">
        <v>45754</v>
      </c>
      <c r="D603" t="inlineStr">
        <is>
          <t>GOTLANDS LÄN</t>
        </is>
      </c>
      <c r="E603" t="inlineStr">
        <is>
          <t>GOTLAND</t>
        </is>
      </c>
      <c r="G603" t="n">
        <v>5.5</v>
      </c>
      <c r="H603" t="n">
        <v>0</v>
      </c>
      <c r="I603" t="n">
        <v>0</v>
      </c>
      <c r="J603" t="n">
        <v>0</v>
      </c>
      <c r="K603" t="n">
        <v>0</v>
      </c>
      <c r="L603" t="n">
        <v>0</v>
      </c>
      <c r="M603" t="n">
        <v>0</v>
      </c>
      <c r="N603" t="n">
        <v>0</v>
      </c>
      <c r="O603" t="n">
        <v>0</v>
      </c>
      <c r="P603" t="n">
        <v>0</v>
      </c>
      <c r="Q603" t="n">
        <v>0</v>
      </c>
      <c r="R603" s="2" t="inlineStr"/>
    </row>
    <row r="604" ht="15" customHeight="1">
      <c r="A604" t="inlineStr">
        <is>
          <t>A 10492-2023</t>
        </is>
      </c>
      <c r="B604" s="1" t="n">
        <v>44987</v>
      </c>
      <c r="C604" s="1" t="n">
        <v>45754</v>
      </c>
      <c r="D604" t="inlineStr">
        <is>
          <t>GOTLANDS LÄN</t>
        </is>
      </c>
      <c r="E604" t="inlineStr">
        <is>
          <t>GOTLAND</t>
        </is>
      </c>
      <c r="G604" t="n">
        <v>1</v>
      </c>
      <c r="H604" t="n">
        <v>0</v>
      </c>
      <c r="I604" t="n">
        <v>0</v>
      </c>
      <c r="J604" t="n">
        <v>0</v>
      </c>
      <c r="K604" t="n">
        <v>0</v>
      </c>
      <c r="L604" t="n">
        <v>0</v>
      </c>
      <c r="M604" t="n">
        <v>0</v>
      </c>
      <c r="N604" t="n">
        <v>0</v>
      </c>
      <c r="O604" t="n">
        <v>0</v>
      </c>
      <c r="P604" t="n">
        <v>0</v>
      </c>
      <c r="Q604" t="n">
        <v>0</v>
      </c>
      <c r="R604" s="2" t="inlineStr"/>
    </row>
    <row r="605" ht="15" customHeight="1">
      <c r="A605" t="inlineStr">
        <is>
          <t>A 10655-2023</t>
        </is>
      </c>
      <c r="B605" s="1" t="n">
        <v>44988</v>
      </c>
      <c r="C605" s="1" t="n">
        <v>45754</v>
      </c>
      <c r="D605" t="inlineStr">
        <is>
          <t>GOTLANDS LÄN</t>
        </is>
      </c>
      <c r="E605" t="inlineStr">
        <is>
          <t>GOTLAND</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10657-2023</t>
        </is>
      </c>
      <c r="B606" s="1" t="n">
        <v>44988</v>
      </c>
      <c r="C606" s="1" t="n">
        <v>45754</v>
      </c>
      <c r="D606" t="inlineStr">
        <is>
          <t>GOTLANDS LÄN</t>
        </is>
      </c>
      <c r="E606" t="inlineStr">
        <is>
          <t>GOTLAND</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10653-2023</t>
        </is>
      </c>
      <c r="B607" s="1" t="n">
        <v>44988</v>
      </c>
      <c r="C607" s="1" t="n">
        <v>45754</v>
      </c>
      <c r="D607" t="inlineStr">
        <is>
          <t>GOTLANDS LÄN</t>
        </is>
      </c>
      <c r="E607" t="inlineStr">
        <is>
          <t>GOTLAND</t>
        </is>
      </c>
      <c r="F607" t="inlineStr">
        <is>
          <t>Kyrkan</t>
        </is>
      </c>
      <c r="G607" t="n">
        <v>3</v>
      </c>
      <c r="H607" t="n">
        <v>0</v>
      </c>
      <c r="I607" t="n">
        <v>0</v>
      </c>
      <c r="J607" t="n">
        <v>0</v>
      </c>
      <c r="K607" t="n">
        <v>0</v>
      </c>
      <c r="L607" t="n">
        <v>0</v>
      </c>
      <c r="M607" t="n">
        <v>0</v>
      </c>
      <c r="N607" t="n">
        <v>0</v>
      </c>
      <c r="O607" t="n">
        <v>0</v>
      </c>
      <c r="P607" t="n">
        <v>0</v>
      </c>
      <c r="Q607" t="n">
        <v>0</v>
      </c>
      <c r="R607" s="2" t="inlineStr"/>
    </row>
    <row r="608" ht="15" customHeight="1">
      <c r="A608" t="inlineStr">
        <is>
          <t>A 11115-2023</t>
        </is>
      </c>
      <c r="B608" s="1" t="n">
        <v>44992</v>
      </c>
      <c r="C608" s="1" t="n">
        <v>45754</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12161-2023</t>
        </is>
      </c>
      <c r="B609" s="1" t="n">
        <v>44998</v>
      </c>
      <c r="C609" s="1" t="n">
        <v>45754</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12155-2023</t>
        </is>
      </c>
      <c r="B610" s="1" t="n">
        <v>44998</v>
      </c>
      <c r="C610" s="1" t="n">
        <v>45754</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12596-2023</t>
        </is>
      </c>
      <c r="B611" s="1" t="n">
        <v>45000</v>
      </c>
      <c r="C611" s="1" t="n">
        <v>45754</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13627-2023</t>
        </is>
      </c>
      <c r="B612" s="1" t="n">
        <v>45006</v>
      </c>
      <c r="C612" s="1" t="n">
        <v>45754</v>
      </c>
      <c r="D612" t="inlineStr">
        <is>
          <t>GOTLANDS LÄN</t>
        </is>
      </c>
      <c r="E612" t="inlineStr">
        <is>
          <t>GOTLAND</t>
        </is>
      </c>
      <c r="G612" t="n">
        <v>10.7</v>
      </c>
      <c r="H612" t="n">
        <v>0</v>
      </c>
      <c r="I612" t="n">
        <v>0</v>
      </c>
      <c r="J612" t="n">
        <v>0</v>
      </c>
      <c r="K612" t="n">
        <v>0</v>
      </c>
      <c r="L612" t="n">
        <v>0</v>
      </c>
      <c r="M612" t="n">
        <v>0</v>
      </c>
      <c r="N612" t="n">
        <v>0</v>
      </c>
      <c r="O612" t="n">
        <v>0</v>
      </c>
      <c r="P612" t="n">
        <v>0</v>
      </c>
      <c r="Q612" t="n">
        <v>0</v>
      </c>
      <c r="R612" s="2" t="inlineStr"/>
    </row>
    <row r="613" ht="15" customHeight="1">
      <c r="A613" t="inlineStr">
        <is>
          <t>A 13910-2023</t>
        </is>
      </c>
      <c r="B613" s="1" t="n">
        <v>45008</v>
      </c>
      <c r="C613" s="1" t="n">
        <v>45754</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v>
      </c>
      <c r="C614" s="1" t="n">
        <v>45754</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14704-2023</t>
        </is>
      </c>
      <c r="B615" s="1" t="n">
        <v>45014</v>
      </c>
      <c r="C615" s="1" t="n">
        <v>45754</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15182-2023</t>
        </is>
      </c>
      <c r="B616" s="1" t="n">
        <v>45016</v>
      </c>
      <c r="C616" s="1" t="n">
        <v>45754</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15216-2023</t>
        </is>
      </c>
      <c r="B617" s="1" t="n">
        <v>45019</v>
      </c>
      <c r="C617" s="1" t="n">
        <v>45754</v>
      </c>
      <c r="D617" t="inlineStr">
        <is>
          <t>GOTLANDS LÄN</t>
        </is>
      </c>
      <c r="E617" t="inlineStr">
        <is>
          <t>GOTLAND</t>
        </is>
      </c>
      <c r="G617" t="n">
        <v>5</v>
      </c>
      <c r="H617" t="n">
        <v>0</v>
      </c>
      <c r="I617" t="n">
        <v>0</v>
      </c>
      <c r="J617" t="n">
        <v>0</v>
      </c>
      <c r="K617" t="n">
        <v>0</v>
      </c>
      <c r="L617" t="n">
        <v>0</v>
      </c>
      <c r="M617" t="n">
        <v>0</v>
      </c>
      <c r="N617" t="n">
        <v>0</v>
      </c>
      <c r="O617" t="n">
        <v>0</v>
      </c>
      <c r="P617" t="n">
        <v>0</v>
      </c>
      <c r="Q617" t="n">
        <v>0</v>
      </c>
      <c r="R617" s="2" t="inlineStr"/>
    </row>
    <row r="618" ht="15" customHeight="1">
      <c r="A618" t="inlineStr">
        <is>
          <t>A 15617-2023</t>
        </is>
      </c>
      <c r="B618" s="1" t="n">
        <v>45020</v>
      </c>
      <c r="C618" s="1" t="n">
        <v>45754</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16501-2023</t>
        </is>
      </c>
      <c r="B619" s="1" t="n">
        <v>45029</v>
      </c>
      <c r="C619" s="1" t="n">
        <v>45754</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17080-2023</t>
        </is>
      </c>
      <c r="B620" s="1" t="n">
        <v>45033</v>
      </c>
      <c r="C620" s="1" t="n">
        <v>45754</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17901-2023</t>
        </is>
      </c>
      <c r="B621" s="1" t="n">
        <v>45039</v>
      </c>
      <c r="C621" s="1" t="n">
        <v>45754</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18889-2023</t>
        </is>
      </c>
      <c r="B622" s="1" t="n">
        <v>45044</v>
      </c>
      <c r="C622" s="1" t="n">
        <v>45754</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20993-2023</t>
        </is>
      </c>
      <c r="B623" s="1" t="n">
        <v>45056</v>
      </c>
      <c r="C623" s="1" t="n">
        <v>45754</v>
      </c>
      <c r="D623" t="inlineStr">
        <is>
          <t>GOTLANDS LÄN</t>
        </is>
      </c>
      <c r="E623" t="inlineStr">
        <is>
          <t>GOTLAND</t>
        </is>
      </c>
      <c r="G623" t="n">
        <v>7.1</v>
      </c>
      <c r="H623" t="n">
        <v>0</v>
      </c>
      <c r="I623" t="n">
        <v>0</v>
      </c>
      <c r="J623" t="n">
        <v>0</v>
      </c>
      <c r="K623" t="n">
        <v>0</v>
      </c>
      <c r="L623" t="n">
        <v>0</v>
      </c>
      <c r="M623" t="n">
        <v>0</v>
      </c>
      <c r="N623" t="n">
        <v>0</v>
      </c>
      <c r="O623" t="n">
        <v>0</v>
      </c>
      <c r="P623" t="n">
        <v>0</v>
      </c>
      <c r="Q623" t="n">
        <v>0</v>
      </c>
      <c r="R623" s="2" t="inlineStr"/>
    </row>
    <row r="624" ht="15" customHeight="1">
      <c r="A624" t="inlineStr">
        <is>
          <t>A 20855-2023</t>
        </is>
      </c>
      <c r="B624" s="1" t="n">
        <v>45058</v>
      </c>
      <c r="C624" s="1" t="n">
        <v>45754</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20856-2023</t>
        </is>
      </c>
      <c r="B625" s="1" t="n">
        <v>45058</v>
      </c>
      <c r="C625" s="1" t="n">
        <v>45754</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20857-2023</t>
        </is>
      </c>
      <c r="B626" s="1" t="n">
        <v>45058</v>
      </c>
      <c r="C626" s="1" t="n">
        <v>45754</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20854-2023</t>
        </is>
      </c>
      <c r="B627" s="1" t="n">
        <v>45058</v>
      </c>
      <c r="C627" s="1" t="n">
        <v>45754</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22275-2023</t>
        </is>
      </c>
      <c r="B628" s="1" t="n">
        <v>45070</v>
      </c>
      <c r="C628" s="1" t="n">
        <v>45754</v>
      </c>
      <c r="D628" t="inlineStr">
        <is>
          <t>GOTLANDS LÄN</t>
        </is>
      </c>
      <c r="E628" t="inlineStr">
        <is>
          <t>GOTLAND</t>
        </is>
      </c>
      <c r="G628" t="n">
        <v>7.2</v>
      </c>
      <c r="H628" t="n">
        <v>0</v>
      </c>
      <c r="I628" t="n">
        <v>0</v>
      </c>
      <c r="J628" t="n">
        <v>0</v>
      </c>
      <c r="K628" t="n">
        <v>0</v>
      </c>
      <c r="L628" t="n">
        <v>0</v>
      </c>
      <c r="M628" t="n">
        <v>0</v>
      </c>
      <c r="N628" t="n">
        <v>0</v>
      </c>
      <c r="O628" t="n">
        <v>0</v>
      </c>
      <c r="P628" t="n">
        <v>0</v>
      </c>
      <c r="Q628" t="n">
        <v>0</v>
      </c>
      <c r="R628" s="2" t="inlineStr"/>
    </row>
    <row r="629" ht="15" customHeight="1">
      <c r="A629" t="inlineStr">
        <is>
          <t>A 22412-2023</t>
        </is>
      </c>
      <c r="B629" s="1" t="n">
        <v>45070</v>
      </c>
      <c r="C629" s="1" t="n">
        <v>45754</v>
      </c>
      <c r="D629" t="inlineStr">
        <is>
          <t>GOTLANDS LÄN</t>
        </is>
      </c>
      <c r="E629" t="inlineStr">
        <is>
          <t>GOTLAND</t>
        </is>
      </c>
      <c r="G629" t="n">
        <v>7.3</v>
      </c>
      <c r="H629" t="n">
        <v>0</v>
      </c>
      <c r="I629" t="n">
        <v>0</v>
      </c>
      <c r="J629" t="n">
        <v>0</v>
      </c>
      <c r="K629" t="n">
        <v>0</v>
      </c>
      <c r="L629" t="n">
        <v>0</v>
      </c>
      <c r="M629" t="n">
        <v>0</v>
      </c>
      <c r="N629" t="n">
        <v>0</v>
      </c>
      <c r="O629" t="n">
        <v>0</v>
      </c>
      <c r="P629" t="n">
        <v>0</v>
      </c>
      <c r="Q629" t="n">
        <v>0</v>
      </c>
      <c r="R629" s="2" t="inlineStr"/>
    </row>
    <row r="630" ht="15" customHeight="1">
      <c r="A630" t="inlineStr">
        <is>
          <t>A 22709-2023</t>
        </is>
      </c>
      <c r="B630" s="1" t="n">
        <v>45071</v>
      </c>
      <c r="C630" s="1" t="n">
        <v>45754</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22704-2023</t>
        </is>
      </c>
      <c r="B631" s="1" t="n">
        <v>45071</v>
      </c>
      <c r="C631" s="1" t="n">
        <v>45754</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22708-2023</t>
        </is>
      </c>
      <c r="B632" s="1" t="n">
        <v>45071</v>
      </c>
      <c r="C632" s="1" t="n">
        <v>45754</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22707-2023</t>
        </is>
      </c>
      <c r="B633" s="1" t="n">
        <v>45071</v>
      </c>
      <c r="C633" s="1" t="n">
        <v>45754</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22723-2023</t>
        </is>
      </c>
      <c r="B634" s="1" t="n">
        <v>45071</v>
      </c>
      <c r="C634" s="1" t="n">
        <v>45754</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22706-2023</t>
        </is>
      </c>
      <c r="B635" s="1" t="n">
        <v>45071</v>
      </c>
      <c r="C635" s="1" t="n">
        <v>45754</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22890-2023</t>
        </is>
      </c>
      <c r="B636" s="1" t="n">
        <v>45072</v>
      </c>
      <c r="C636" s="1" t="n">
        <v>45754</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22899-2023</t>
        </is>
      </c>
      <c r="B637" s="1" t="n">
        <v>45072</v>
      </c>
      <c r="C637" s="1" t="n">
        <v>45754</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22903-2023</t>
        </is>
      </c>
      <c r="B638" s="1" t="n">
        <v>45072</v>
      </c>
      <c r="C638" s="1" t="n">
        <v>45754</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22897-2023</t>
        </is>
      </c>
      <c r="B639" s="1" t="n">
        <v>45072</v>
      </c>
      <c r="C639" s="1" t="n">
        <v>45754</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23511-2023</t>
        </is>
      </c>
      <c r="B640" s="1" t="n">
        <v>45077</v>
      </c>
      <c r="C640" s="1" t="n">
        <v>45754</v>
      </c>
      <c r="D640" t="inlineStr">
        <is>
          <t>GOTLANDS LÄN</t>
        </is>
      </c>
      <c r="E640" t="inlineStr">
        <is>
          <t>GOTLAND</t>
        </is>
      </c>
      <c r="G640" t="n">
        <v>11.2</v>
      </c>
      <c r="H640" t="n">
        <v>0</v>
      </c>
      <c r="I640" t="n">
        <v>0</v>
      </c>
      <c r="J640" t="n">
        <v>0</v>
      </c>
      <c r="K640" t="n">
        <v>0</v>
      </c>
      <c r="L640" t="n">
        <v>0</v>
      </c>
      <c r="M640" t="n">
        <v>0</v>
      </c>
      <c r="N640" t="n">
        <v>0</v>
      </c>
      <c r="O640" t="n">
        <v>0</v>
      </c>
      <c r="P640" t="n">
        <v>0</v>
      </c>
      <c r="Q640" t="n">
        <v>0</v>
      </c>
      <c r="R640" s="2" t="inlineStr"/>
    </row>
    <row r="641" ht="15" customHeight="1">
      <c r="A641" t="inlineStr">
        <is>
          <t>A 23516-2023</t>
        </is>
      </c>
      <c r="B641" s="1" t="n">
        <v>45077</v>
      </c>
      <c r="C641" s="1" t="n">
        <v>45754</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23858-2023</t>
        </is>
      </c>
      <c r="B642" s="1" t="n">
        <v>45078</v>
      </c>
      <c r="C642" s="1" t="n">
        <v>45754</v>
      </c>
      <c r="D642" t="inlineStr">
        <is>
          <t>GOTLANDS LÄN</t>
        </is>
      </c>
      <c r="E642" t="inlineStr">
        <is>
          <t>GOTLAND</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23966-2023</t>
        </is>
      </c>
      <c r="B643" s="1" t="n">
        <v>45078</v>
      </c>
      <c r="C643" s="1" t="n">
        <v>45754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23978-2023</t>
        </is>
      </c>
      <c r="B644" s="1" t="n">
        <v>45078</v>
      </c>
      <c r="C644" s="1" t="n">
        <v>45754</v>
      </c>
      <c r="D644" t="inlineStr">
        <is>
          <t>GOTLANDS LÄN</t>
        </is>
      </c>
      <c r="E644" t="inlineStr">
        <is>
          <t>GOTLAND</t>
        </is>
      </c>
      <c r="F644" t="inlineStr">
        <is>
          <t>Naturvårdsverket</t>
        </is>
      </c>
      <c r="G644" t="n">
        <v>1.7</v>
      </c>
      <c r="H644" t="n">
        <v>0</v>
      </c>
      <c r="I644" t="n">
        <v>0</v>
      </c>
      <c r="J644" t="n">
        <v>0</v>
      </c>
      <c r="K644" t="n">
        <v>0</v>
      </c>
      <c r="L644" t="n">
        <v>0</v>
      </c>
      <c r="M644" t="n">
        <v>0</v>
      </c>
      <c r="N644" t="n">
        <v>0</v>
      </c>
      <c r="O644" t="n">
        <v>0</v>
      </c>
      <c r="P644" t="n">
        <v>0</v>
      </c>
      <c r="Q644" t="n">
        <v>0</v>
      </c>
      <c r="R644" s="2" t="inlineStr"/>
    </row>
    <row r="645" ht="15" customHeight="1">
      <c r="A645" t="inlineStr">
        <is>
          <t>A 24192-2023</t>
        </is>
      </c>
      <c r="B645" s="1" t="n">
        <v>45079</v>
      </c>
      <c r="C645" s="1" t="n">
        <v>45754</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24719-2023</t>
        </is>
      </c>
      <c r="B646" s="1" t="n">
        <v>45084</v>
      </c>
      <c r="C646" s="1" t="n">
        <v>45754</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24966-2023</t>
        </is>
      </c>
      <c r="B647" s="1" t="n">
        <v>45085</v>
      </c>
      <c r="C647" s="1" t="n">
        <v>45754</v>
      </c>
      <c r="D647" t="inlineStr">
        <is>
          <t>GOTLANDS LÄN</t>
        </is>
      </c>
      <c r="E647" t="inlineStr">
        <is>
          <t>GOTLAND</t>
        </is>
      </c>
      <c r="G647" t="n">
        <v>7</v>
      </c>
      <c r="H647" t="n">
        <v>0</v>
      </c>
      <c r="I647" t="n">
        <v>0</v>
      </c>
      <c r="J647" t="n">
        <v>0</v>
      </c>
      <c r="K647" t="n">
        <v>0</v>
      </c>
      <c r="L647" t="n">
        <v>0</v>
      </c>
      <c r="M647" t="n">
        <v>0</v>
      </c>
      <c r="N647" t="n">
        <v>0</v>
      </c>
      <c r="O647" t="n">
        <v>0</v>
      </c>
      <c r="P647" t="n">
        <v>0</v>
      </c>
      <c r="Q647" t="n">
        <v>0</v>
      </c>
      <c r="R647" s="2" t="inlineStr"/>
    </row>
    <row r="648" ht="15" customHeight="1">
      <c r="A648" t="inlineStr">
        <is>
          <t>A 25129-2023</t>
        </is>
      </c>
      <c r="B648" s="1" t="n">
        <v>45086</v>
      </c>
      <c r="C648" s="1" t="n">
        <v>45754</v>
      </c>
      <c r="D648" t="inlineStr">
        <is>
          <t>GOTLANDS LÄN</t>
        </is>
      </c>
      <c r="E648" t="inlineStr">
        <is>
          <t>GOTLAND</t>
        </is>
      </c>
      <c r="G648" t="n">
        <v>1.5</v>
      </c>
      <c r="H648" t="n">
        <v>0</v>
      </c>
      <c r="I648" t="n">
        <v>0</v>
      </c>
      <c r="J648" t="n">
        <v>0</v>
      </c>
      <c r="K648" t="n">
        <v>0</v>
      </c>
      <c r="L648" t="n">
        <v>0</v>
      </c>
      <c r="M648" t="n">
        <v>0</v>
      </c>
      <c r="N648" t="n">
        <v>0</v>
      </c>
      <c r="O648" t="n">
        <v>0</v>
      </c>
      <c r="P648" t="n">
        <v>0</v>
      </c>
      <c r="Q648" t="n">
        <v>0</v>
      </c>
      <c r="R648" s="2" t="inlineStr"/>
    </row>
    <row r="649" ht="15" customHeight="1">
      <c r="A649" t="inlineStr">
        <is>
          <t>A 27593-2023</t>
        </is>
      </c>
      <c r="B649" s="1" t="n">
        <v>45097</v>
      </c>
      <c r="C649" s="1" t="n">
        <v>45754</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27597-2023</t>
        </is>
      </c>
      <c r="B650" s="1" t="n">
        <v>45097</v>
      </c>
      <c r="C650" s="1" t="n">
        <v>45754</v>
      </c>
      <c r="D650" t="inlineStr">
        <is>
          <t>GOTLANDS LÄN</t>
        </is>
      </c>
      <c r="E650" t="inlineStr">
        <is>
          <t>GOTLAND</t>
        </is>
      </c>
      <c r="G650" t="n">
        <v>1.9</v>
      </c>
      <c r="H650" t="n">
        <v>0</v>
      </c>
      <c r="I650" t="n">
        <v>0</v>
      </c>
      <c r="J650" t="n">
        <v>0</v>
      </c>
      <c r="K650" t="n">
        <v>0</v>
      </c>
      <c r="L650" t="n">
        <v>0</v>
      </c>
      <c r="M650" t="n">
        <v>0</v>
      </c>
      <c r="N650" t="n">
        <v>0</v>
      </c>
      <c r="O650" t="n">
        <v>0</v>
      </c>
      <c r="P650" t="n">
        <v>0</v>
      </c>
      <c r="Q650" t="n">
        <v>0</v>
      </c>
      <c r="R650" s="2" t="inlineStr"/>
    </row>
    <row r="651" ht="15" customHeight="1">
      <c r="A651" t="inlineStr">
        <is>
          <t>A 27602-2023</t>
        </is>
      </c>
      <c r="B651" s="1" t="n">
        <v>45097</v>
      </c>
      <c r="C651" s="1" t="n">
        <v>45754</v>
      </c>
      <c r="D651" t="inlineStr">
        <is>
          <t>GOTLANDS LÄN</t>
        </is>
      </c>
      <c r="E651" t="inlineStr">
        <is>
          <t>GOTLAND</t>
        </is>
      </c>
      <c r="G651" t="n">
        <v>2.7</v>
      </c>
      <c r="H651" t="n">
        <v>0</v>
      </c>
      <c r="I651" t="n">
        <v>0</v>
      </c>
      <c r="J651" t="n">
        <v>0</v>
      </c>
      <c r="K651" t="n">
        <v>0</v>
      </c>
      <c r="L651" t="n">
        <v>0</v>
      </c>
      <c r="M651" t="n">
        <v>0</v>
      </c>
      <c r="N651" t="n">
        <v>0</v>
      </c>
      <c r="O651" t="n">
        <v>0</v>
      </c>
      <c r="P651" t="n">
        <v>0</v>
      </c>
      <c r="Q651" t="n">
        <v>0</v>
      </c>
      <c r="R651" s="2" t="inlineStr"/>
    </row>
    <row r="652" ht="15" customHeight="1">
      <c r="A652" t="inlineStr">
        <is>
          <t>A 27596-2023</t>
        </is>
      </c>
      <c r="B652" s="1" t="n">
        <v>45097</v>
      </c>
      <c r="C652" s="1" t="n">
        <v>45754</v>
      </c>
      <c r="D652" t="inlineStr">
        <is>
          <t>GOTLANDS LÄN</t>
        </is>
      </c>
      <c r="E652" t="inlineStr">
        <is>
          <t>GOTLAND</t>
        </is>
      </c>
      <c r="G652" t="n">
        <v>3.6</v>
      </c>
      <c r="H652" t="n">
        <v>0</v>
      </c>
      <c r="I652" t="n">
        <v>0</v>
      </c>
      <c r="J652" t="n">
        <v>0</v>
      </c>
      <c r="K652" t="n">
        <v>0</v>
      </c>
      <c r="L652" t="n">
        <v>0</v>
      </c>
      <c r="M652" t="n">
        <v>0</v>
      </c>
      <c r="N652" t="n">
        <v>0</v>
      </c>
      <c r="O652" t="n">
        <v>0</v>
      </c>
      <c r="P652" t="n">
        <v>0</v>
      </c>
      <c r="Q652" t="n">
        <v>0</v>
      </c>
      <c r="R652" s="2" t="inlineStr"/>
    </row>
    <row r="653" ht="15" customHeight="1">
      <c r="A653" t="inlineStr">
        <is>
          <t>A 28228-2023</t>
        </is>
      </c>
      <c r="B653" s="1" t="n">
        <v>45099</v>
      </c>
      <c r="C653" s="1" t="n">
        <v>45754</v>
      </c>
      <c r="D653" t="inlineStr">
        <is>
          <t>GOTLANDS LÄN</t>
        </is>
      </c>
      <c r="E653" t="inlineStr">
        <is>
          <t>GOTLAND</t>
        </is>
      </c>
      <c r="G653" t="n">
        <v>1</v>
      </c>
      <c r="H653" t="n">
        <v>0</v>
      </c>
      <c r="I653" t="n">
        <v>0</v>
      </c>
      <c r="J653" t="n">
        <v>0</v>
      </c>
      <c r="K653" t="n">
        <v>0</v>
      </c>
      <c r="L653" t="n">
        <v>0</v>
      </c>
      <c r="M653" t="n">
        <v>0</v>
      </c>
      <c r="N653" t="n">
        <v>0</v>
      </c>
      <c r="O653" t="n">
        <v>0</v>
      </c>
      <c r="P653" t="n">
        <v>0</v>
      </c>
      <c r="Q653" t="n">
        <v>0</v>
      </c>
      <c r="R653" s="2" t="inlineStr"/>
    </row>
    <row r="654" ht="15" customHeight="1">
      <c r="A654" t="inlineStr">
        <is>
          <t>A 28425-2023</t>
        </is>
      </c>
      <c r="B654" s="1" t="n">
        <v>45102</v>
      </c>
      <c r="C654" s="1" t="n">
        <v>45754</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28486-2023</t>
        </is>
      </c>
      <c r="B655" s="1" t="n">
        <v>45103</v>
      </c>
      <c r="C655" s="1" t="n">
        <v>45754</v>
      </c>
      <c r="D655" t="inlineStr">
        <is>
          <t>GOTLANDS LÄN</t>
        </is>
      </c>
      <c r="E655" t="inlineStr">
        <is>
          <t>GOTLAND</t>
        </is>
      </c>
      <c r="G655" t="n">
        <v>7.7</v>
      </c>
      <c r="H655" t="n">
        <v>0</v>
      </c>
      <c r="I655" t="n">
        <v>0</v>
      </c>
      <c r="J655" t="n">
        <v>0</v>
      </c>
      <c r="K655" t="n">
        <v>0</v>
      </c>
      <c r="L655" t="n">
        <v>0</v>
      </c>
      <c r="M655" t="n">
        <v>0</v>
      </c>
      <c r="N655" t="n">
        <v>0</v>
      </c>
      <c r="O655" t="n">
        <v>0</v>
      </c>
      <c r="P655" t="n">
        <v>0</v>
      </c>
      <c r="Q655" t="n">
        <v>0</v>
      </c>
      <c r="R655" s="2" t="inlineStr"/>
    </row>
    <row r="656" ht="15" customHeight="1">
      <c r="A656" t="inlineStr">
        <is>
          <t>A 28485-2023</t>
        </is>
      </c>
      <c r="B656" s="1" t="n">
        <v>45103</v>
      </c>
      <c r="C656" s="1" t="n">
        <v>45754</v>
      </c>
      <c r="D656" t="inlineStr">
        <is>
          <t>GOTLANDS LÄN</t>
        </is>
      </c>
      <c r="E656" t="inlineStr">
        <is>
          <t>GOTLAND</t>
        </is>
      </c>
      <c r="G656" t="n">
        <v>2.3</v>
      </c>
      <c r="H656" t="n">
        <v>0</v>
      </c>
      <c r="I656" t="n">
        <v>0</v>
      </c>
      <c r="J656" t="n">
        <v>0</v>
      </c>
      <c r="K656" t="n">
        <v>0</v>
      </c>
      <c r="L656" t="n">
        <v>0</v>
      </c>
      <c r="M656" t="n">
        <v>0</v>
      </c>
      <c r="N656" t="n">
        <v>0</v>
      </c>
      <c r="O656" t="n">
        <v>0</v>
      </c>
      <c r="P656" t="n">
        <v>0</v>
      </c>
      <c r="Q656" t="n">
        <v>0</v>
      </c>
      <c r="R656" s="2" t="inlineStr"/>
    </row>
    <row r="657" ht="15" customHeight="1">
      <c r="A657" t="inlineStr">
        <is>
          <t>A 28480-2023</t>
        </is>
      </c>
      <c r="B657" s="1" t="n">
        <v>45103</v>
      </c>
      <c r="C657" s="1" t="n">
        <v>45754</v>
      </c>
      <c r="D657" t="inlineStr">
        <is>
          <t>GOTLANDS LÄN</t>
        </is>
      </c>
      <c r="E657" t="inlineStr">
        <is>
          <t>GOTLAND</t>
        </is>
      </c>
      <c r="G657" t="n">
        <v>5.7</v>
      </c>
      <c r="H657" t="n">
        <v>0</v>
      </c>
      <c r="I657" t="n">
        <v>0</v>
      </c>
      <c r="J657" t="n">
        <v>0</v>
      </c>
      <c r="K657" t="n">
        <v>0</v>
      </c>
      <c r="L657" t="n">
        <v>0</v>
      </c>
      <c r="M657" t="n">
        <v>0</v>
      </c>
      <c r="N657" t="n">
        <v>0</v>
      </c>
      <c r="O657" t="n">
        <v>0</v>
      </c>
      <c r="P657" t="n">
        <v>0</v>
      </c>
      <c r="Q657" t="n">
        <v>0</v>
      </c>
      <c r="R657" s="2" t="inlineStr"/>
    </row>
    <row r="658" ht="15" customHeight="1">
      <c r="A658" t="inlineStr">
        <is>
          <t>A 28506-2023</t>
        </is>
      </c>
      <c r="B658" s="1" t="n">
        <v>45103</v>
      </c>
      <c r="C658" s="1" t="n">
        <v>45754</v>
      </c>
      <c r="D658" t="inlineStr">
        <is>
          <t>GOTLANDS LÄN</t>
        </is>
      </c>
      <c r="E658" t="inlineStr">
        <is>
          <t>GOTLAND</t>
        </is>
      </c>
      <c r="G658" t="n">
        <v>3.2</v>
      </c>
      <c r="H658" t="n">
        <v>0</v>
      </c>
      <c r="I658" t="n">
        <v>0</v>
      </c>
      <c r="J658" t="n">
        <v>0</v>
      </c>
      <c r="K658" t="n">
        <v>0</v>
      </c>
      <c r="L658" t="n">
        <v>0</v>
      </c>
      <c r="M658" t="n">
        <v>0</v>
      </c>
      <c r="N658" t="n">
        <v>0</v>
      </c>
      <c r="O658" t="n">
        <v>0</v>
      </c>
      <c r="P658" t="n">
        <v>0</v>
      </c>
      <c r="Q658" t="n">
        <v>0</v>
      </c>
      <c r="R658" s="2" t="inlineStr"/>
    </row>
    <row r="659" ht="15" customHeight="1">
      <c r="A659" t="inlineStr">
        <is>
          <t>A 28560-2023</t>
        </is>
      </c>
      <c r="B659" s="1" t="n">
        <v>45103</v>
      </c>
      <c r="C659" s="1" t="n">
        <v>45754</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29126-2023</t>
        </is>
      </c>
      <c r="B660" s="1" t="n">
        <v>45105</v>
      </c>
      <c r="C660" s="1" t="n">
        <v>45754</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29499-2023</t>
        </is>
      </c>
      <c r="B661" s="1" t="n">
        <v>45106</v>
      </c>
      <c r="C661" s="1" t="n">
        <v>45754</v>
      </c>
      <c r="D661" t="inlineStr">
        <is>
          <t>GOTLANDS LÄN</t>
        </is>
      </c>
      <c r="E661" t="inlineStr">
        <is>
          <t>GOTLAND</t>
        </is>
      </c>
      <c r="G661" t="n">
        <v>2.5</v>
      </c>
      <c r="H661" t="n">
        <v>0</v>
      </c>
      <c r="I661" t="n">
        <v>0</v>
      </c>
      <c r="J661" t="n">
        <v>0</v>
      </c>
      <c r="K661" t="n">
        <v>0</v>
      </c>
      <c r="L661" t="n">
        <v>0</v>
      </c>
      <c r="M661" t="n">
        <v>0</v>
      </c>
      <c r="N661" t="n">
        <v>0</v>
      </c>
      <c r="O661" t="n">
        <v>0</v>
      </c>
      <c r="P661" t="n">
        <v>0</v>
      </c>
      <c r="Q661" t="n">
        <v>0</v>
      </c>
      <c r="R661" s="2" t="inlineStr"/>
    </row>
    <row r="662" ht="15" customHeight="1">
      <c r="A662" t="inlineStr">
        <is>
          <t>A 30164-2023</t>
        </is>
      </c>
      <c r="B662" s="1" t="n">
        <v>45110</v>
      </c>
      <c r="C662" s="1" t="n">
        <v>45754</v>
      </c>
      <c r="D662" t="inlineStr">
        <is>
          <t>GOTLANDS LÄN</t>
        </is>
      </c>
      <c r="E662" t="inlineStr">
        <is>
          <t>GOTLAND</t>
        </is>
      </c>
      <c r="G662" t="n">
        <v>5.5</v>
      </c>
      <c r="H662" t="n">
        <v>0</v>
      </c>
      <c r="I662" t="n">
        <v>0</v>
      </c>
      <c r="J662" t="n">
        <v>0</v>
      </c>
      <c r="K662" t="n">
        <v>0</v>
      </c>
      <c r="L662" t="n">
        <v>0</v>
      </c>
      <c r="M662" t="n">
        <v>0</v>
      </c>
      <c r="N662" t="n">
        <v>0</v>
      </c>
      <c r="O662" t="n">
        <v>0</v>
      </c>
      <c r="P662" t="n">
        <v>0</v>
      </c>
      <c r="Q662" t="n">
        <v>0</v>
      </c>
      <c r="R662" s="2" t="inlineStr"/>
    </row>
    <row r="663" ht="15" customHeight="1">
      <c r="A663" t="inlineStr">
        <is>
          <t>A 30815-2023</t>
        </is>
      </c>
      <c r="B663" s="1" t="n">
        <v>45112</v>
      </c>
      <c r="C663" s="1" t="n">
        <v>45754</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32737-2023</t>
        </is>
      </c>
      <c r="B664" s="1" t="n">
        <v>45122</v>
      </c>
      <c r="C664" s="1" t="n">
        <v>45754</v>
      </c>
      <c r="D664" t="inlineStr">
        <is>
          <t>GOTLANDS LÄN</t>
        </is>
      </c>
      <c r="E664" t="inlineStr">
        <is>
          <t>GOTLAND</t>
        </is>
      </c>
      <c r="F664" t="inlineStr">
        <is>
          <t>Kyrkan</t>
        </is>
      </c>
      <c r="G664" t="n">
        <v>15.4</v>
      </c>
      <c r="H664" t="n">
        <v>0</v>
      </c>
      <c r="I664" t="n">
        <v>0</v>
      </c>
      <c r="J664" t="n">
        <v>0</v>
      </c>
      <c r="K664" t="n">
        <v>0</v>
      </c>
      <c r="L664" t="n">
        <v>0</v>
      </c>
      <c r="M664" t="n">
        <v>0</v>
      </c>
      <c r="N664" t="n">
        <v>0</v>
      </c>
      <c r="O664" t="n">
        <v>0</v>
      </c>
      <c r="P664" t="n">
        <v>0</v>
      </c>
      <c r="Q664" t="n">
        <v>0</v>
      </c>
      <c r="R664" s="2" t="inlineStr"/>
    </row>
    <row r="665" ht="15" customHeight="1">
      <c r="A665" t="inlineStr">
        <is>
          <t>A 32783-2023</t>
        </is>
      </c>
      <c r="B665" s="1" t="n">
        <v>45124</v>
      </c>
      <c r="C665" s="1" t="n">
        <v>45754</v>
      </c>
      <c r="D665" t="inlineStr">
        <is>
          <t>GOTLANDS LÄN</t>
        </is>
      </c>
      <c r="E665" t="inlineStr">
        <is>
          <t>GOTLAND</t>
        </is>
      </c>
      <c r="G665" t="n">
        <v>17.8</v>
      </c>
      <c r="H665" t="n">
        <v>0</v>
      </c>
      <c r="I665" t="n">
        <v>0</v>
      </c>
      <c r="J665" t="n">
        <v>0</v>
      </c>
      <c r="K665" t="n">
        <v>0</v>
      </c>
      <c r="L665" t="n">
        <v>0</v>
      </c>
      <c r="M665" t="n">
        <v>0</v>
      </c>
      <c r="N665" t="n">
        <v>0</v>
      </c>
      <c r="O665" t="n">
        <v>0</v>
      </c>
      <c r="P665" t="n">
        <v>0</v>
      </c>
      <c r="Q665" t="n">
        <v>0</v>
      </c>
      <c r="R665" s="2" t="inlineStr"/>
    </row>
    <row r="666" ht="15" customHeight="1">
      <c r="A666" t="inlineStr">
        <is>
          <t>A 34081-2023</t>
        </is>
      </c>
      <c r="B666" s="1" t="n">
        <v>45125</v>
      </c>
      <c r="C666" s="1" t="n">
        <v>45754</v>
      </c>
      <c r="D666" t="inlineStr">
        <is>
          <t>GOTLANDS LÄN</t>
        </is>
      </c>
      <c r="E666" t="inlineStr">
        <is>
          <t>GOTLAND</t>
        </is>
      </c>
      <c r="G666" t="n">
        <v>6</v>
      </c>
      <c r="H666" t="n">
        <v>0</v>
      </c>
      <c r="I666" t="n">
        <v>0</v>
      </c>
      <c r="J666" t="n">
        <v>0</v>
      </c>
      <c r="K666" t="n">
        <v>0</v>
      </c>
      <c r="L666" t="n">
        <v>0</v>
      </c>
      <c r="M666" t="n">
        <v>0</v>
      </c>
      <c r="N666" t="n">
        <v>0</v>
      </c>
      <c r="O666" t="n">
        <v>0</v>
      </c>
      <c r="P666" t="n">
        <v>0</v>
      </c>
      <c r="Q666" t="n">
        <v>0</v>
      </c>
      <c r="R666" s="2" t="inlineStr"/>
    </row>
    <row r="667" ht="15" customHeight="1">
      <c r="A667" t="inlineStr">
        <is>
          <t>A 34407-2023</t>
        </is>
      </c>
      <c r="B667" s="1" t="n">
        <v>45132</v>
      </c>
      <c r="C667" s="1" t="n">
        <v>45754</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35478-2023</t>
        </is>
      </c>
      <c r="B668" s="1" t="n">
        <v>45146</v>
      </c>
      <c r="C668" s="1" t="n">
        <v>45754</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35512-2023</t>
        </is>
      </c>
      <c r="B669" s="1" t="n">
        <v>45147</v>
      </c>
      <c r="C669" s="1" t="n">
        <v>45754</v>
      </c>
      <c r="D669" t="inlineStr">
        <is>
          <t>GOTLANDS LÄN</t>
        </is>
      </c>
      <c r="E669" t="inlineStr">
        <is>
          <t>GOTLAND</t>
        </is>
      </c>
      <c r="G669" t="n">
        <v>1.2</v>
      </c>
      <c r="H669" t="n">
        <v>0</v>
      </c>
      <c r="I669" t="n">
        <v>0</v>
      </c>
      <c r="J669" t="n">
        <v>0</v>
      </c>
      <c r="K669" t="n">
        <v>0</v>
      </c>
      <c r="L669" t="n">
        <v>0</v>
      </c>
      <c r="M669" t="n">
        <v>0</v>
      </c>
      <c r="N669" t="n">
        <v>0</v>
      </c>
      <c r="O669" t="n">
        <v>0</v>
      </c>
      <c r="P669" t="n">
        <v>0</v>
      </c>
      <c r="Q669" t="n">
        <v>0</v>
      </c>
      <c r="R669" s="2" t="inlineStr"/>
    </row>
    <row r="670" ht="15" customHeight="1">
      <c r="A670" t="inlineStr">
        <is>
          <t>A 35595-2023</t>
        </is>
      </c>
      <c r="B670" s="1" t="n">
        <v>45147</v>
      </c>
      <c r="C670" s="1" t="n">
        <v>45754</v>
      </c>
      <c r="D670" t="inlineStr">
        <is>
          <t>GOTLANDS LÄN</t>
        </is>
      </c>
      <c r="E670" t="inlineStr">
        <is>
          <t>GOTLAND</t>
        </is>
      </c>
      <c r="G670" t="n">
        <v>4.2</v>
      </c>
      <c r="H670" t="n">
        <v>0</v>
      </c>
      <c r="I670" t="n">
        <v>0</v>
      </c>
      <c r="J670" t="n">
        <v>0</v>
      </c>
      <c r="K670" t="n">
        <v>0</v>
      </c>
      <c r="L670" t="n">
        <v>0</v>
      </c>
      <c r="M670" t="n">
        <v>0</v>
      </c>
      <c r="N670" t="n">
        <v>0</v>
      </c>
      <c r="O670" t="n">
        <v>0</v>
      </c>
      <c r="P670" t="n">
        <v>0</v>
      </c>
      <c r="Q670" t="n">
        <v>0</v>
      </c>
      <c r="R670" s="2" t="inlineStr"/>
    </row>
    <row r="671" ht="15" customHeight="1">
      <c r="A671" t="inlineStr">
        <is>
          <t>A 35592-2023</t>
        </is>
      </c>
      <c r="B671" s="1" t="n">
        <v>45147</v>
      </c>
      <c r="C671" s="1" t="n">
        <v>45754</v>
      </c>
      <c r="D671" t="inlineStr">
        <is>
          <t>GOTLANDS LÄN</t>
        </is>
      </c>
      <c r="E671" t="inlineStr">
        <is>
          <t>GOTLAND</t>
        </is>
      </c>
      <c r="G671" t="n">
        <v>5.1</v>
      </c>
      <c r="H671" t="n">
        <v>0</v>
      </c>
      <c r="I671" t="n">
        <v>0</v>
      </c>
      <c r="J671" t="n">
        <v>0</v>
      </c>
      <c r="K671" t="n">
        <v>0</v>
      </c>
      <c r="L671" t="n">
        <v>0</v>
      </c>
      <c r="M671" t="n">
        <v>0</v>
      </c>
      <c r="N671" t="n">
        <v>0</v>
      </c>
      <c r="O671" t="n">
        <v>0</v>
      </c>
      <c r="P671" t="n">
        <v>0</v>
      </c>
      <c r="Q671" t="n">
        <v>0</v>
      </c>
      <c r="R671" s="2" t="inlineStr"/>
    </row>
    <row r="672" ht="15" customHeight="1">
      <c r="A672" t="inlineStr">
        <is>
          <t>A 37591-2023</t>
        </is>
      </c>
      <c r="B672" s="1" t="n">
        <v>45159</v>
      </c>
      <c r="C672" s="1" t="n">
        <v>45754</v>
      </c>
      <c r="D672" t="inlineStr">
        <is>
          <t>GOTLANDS LÄN</t>
        </is>
      </c>
      <c r="E672" t="inlineStr">
        <is>
          <t>GOTLAND</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38234-2023</t>
        </is>
      </c>
      <c r="B673" s="1" t="n">
        <v>45161</v>
      </c>
      <c r="C673" s="1" t="n">
        <v>45754</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38237-2023</t>
        </is>
      </c>
      <c r="B674" s="1" t="n">
        <v>45161</v>
      </c>
      <c r="C674" s="1" t="n">
        <v>45754</v>
      </c>
      <c r="D674" t="inlineStr">
        <is>
          <t>GOTLANDS LÄN</t>
        </is>
      </c>
      <c r="E674" t="inlineStr">
        <is>
          <t>GOTLAND</t>
        </is>
      </c>
      <c r="G674" t="n">
        <v>2.8</v>
      </c>
      <c r="H674" t="n">
        <v>0</v>
      </c>
      <c r="I674" t="n">
        <v>0</v>
      </c>
      <c r="J674" t="n">
        <v>0</v>
      </c>
      <c r="K674" t="n">
        <v>0</v>
      </c>
      <c r="L674" t="n">
        <v>0</v>
      </c>
      <c r="M674" t="n">
        <v>0</v>
      </c>
      <c r="N674" t="n">
        <v>0</v>
      </c>
      <c r="O674" t="n">
        <v>0</v>
      </c>
      <c r="P674" t="n">
        <v>0</v>
      </c>
      <c r="Q674" t="n">
        <v>0</v>
      </c>
      <c r="R674" s="2" t="inlineStr"/>
    </row>
    <row r="675" ht="15" customHeight="1">
      <c r="A675" t="inlineStr">
        <is>
          <t>A 38165-2023</t>
        </is>
      </c>
      <c r="B675" s="1" t="n">
        <v>45161</v>
      </c>
      <c r="C675" s="1" t="n">
        <v>45754</v>
      </c>
      <c r="D675" t="inlineStr">
        <is>
          <t>GOTLANDS LÄN</t>
        </is>
      </c>
      <c r="E675" t="inlineStr">
        <is>
          <t>GOTLAND</t>
        </is>
      </c>
      <c r="G675" t="n">
        <v>2.6</v>
      </c>
      <c r="H675" t="n">
        <v>0</v>
      </c>
      <c r="I675" t="n">
        <v>0</v>
      </c>
      <c r="J675" t="n">
        <v>0</v>
      </c>
      <c r="K675" t="n">
        <v>0</v>
      </c>
      <c r="L675" t="n">
        <v>0</v>
      </c>
      <c r="M675" t="n">
        <v>0</v>
      </c>
      <c r="N675" t="n">
        <v>0</v>
      </c>
      <c r="O675" t="n">
        <v>0</v>
      </c>
      <c r="P675" t="n">
        <v>0</v>
      </c>
      <c r="Q675" t="n">
        <v>0</v>
      </c>
      <c r="R675" s="2" t="inlineStr"/>
    </row>
    <row r="676" ht="15" customHeight="1">
      <c r="A676" t="inlineStr">
        <is>
          <t>A 38787-2023</t>
        </is>
      </c>
      <c r="B676" s="1" t="n">
        <v>45163</v>
      </c>
      <c r="C676" s="1" t="n">
        <v>45754</v>
      </c>
      <c r="D676" t="inlineStr">
        <is>
          <t>GOTLANDS LÄN</t>
        </is>
      </c>
      <c r="E676" t="inlineStr">
        <is>
          <t>GOTLAND</t>
        </is>
      </c>
      <c r="G676" t="n">
        <v>0.4</v>
      </c>
      <c r="H676" t="n">
        <v>0</v>
      </c>
      <c r="I676" t="n">
        <v>0</v>
      </c>
      <c r="J676" t="n">
        <v>0</v>
      </c>
      <c r="K676" t="n">
        <v>0</v>
      </c>
      <c r="L676" t="n">
        <v>0</v>
      </c>
      <c r="M676" t="n">
        <v>0</v>
      </c>
      <c r="N676" t="n">
        <v>0</v>
      </c>
      <c r="O676" t="n">
        <v>0</v>
      </c>
      <c r="P676" t="n">
        <v>0</v>
      </c>
      <c r="Q676" t="n">
        <v>0</v>
      </c>
      <c r="R676" s="2" t="inlineStr"/>
    </row>
    <row r="677" ht="15" customHeight="1">
      <c r="A677" t="inlineStr">
        <is>
          <t>A 39436-2023</t>
        </is>
      </c>
      <c r="B677" s="1" t="n">
        <v>45166</v>
      </c>
      <c r="C677" s="1" t="n">
        <v>45754</v>
      </c>
      <c r="D677" t="inlineStr">
        <is>
          <t>GOTLANDS LÄN</t>
        </is>
      </c>
      <c r="E677" t="inlineStr">
        <is>
          <t>GOTLAND</t>
        </is>
      </c>
      <c r="G677" t="n">
        <v>7</v>
      </c>
      <c r="H677" t="n">
        <v>0</v>
      </c>
      <c r="I677" t="n">
        <v>0</v>
      </c>
      <c r="J677" t="n">
        <v>0</v>
      </c>
      <c r="K677" t="n">
        <v>0</v>
      </c>
      <c r="L677" t="n">
        <v>0</v>
      </c>
      <c r="M677" t="n">
        <v>0</v>
      </c>
      <c r="N677" t="n">
        <v>0</v>
      </c>
      <c r="O677" t="n">
        <v>0</v>
      </c>
      <c r="P677" t="n">
        <v>0</v>
      </c>
      <c r="Q677" t="n">
        <v>0</v>
      </c>
      <c r="R677" s="2" t="inlineStr"/>
    </row>
    <row r="678" ht="15" customHeight="1">
      <c r="A678" t="inlineStr">
        <is>
          <t>A 39371-2023</t>
        </is>
      </c>
      <c r="B678" s="1" t="n">
        <v>45166</v>
      </c>
      <c r="C678" s="1" t="n">
        <v>45754</v>
      </c>
      <c r="D678" t="inlineStr">
        <is>
          <t>GOTLANDS LÄN</t>
        </is>
      </c>
      <c r="E678" t="inlineStr">
        <is>
          <t>GOTLAND</t>
        </is>
      </c>
      <c r="G678" t="n">
        <v>8.4</v>
      </c>
      <c r="H678" t="n">
        <v>0</v>
      </c>
      <c r="I678" t="n">
        <v>0</v>
      </c>
      <c r="J678" t="n">
        <v>0</v>
      </c>
      <c r="K678" t="n">
        <v>0</v>
      </c>
      <c r="L678" t="n">
        <v>0</v>
      </c>
      <c r="M678" t="n">
        <v>0</v>
      </c>
      <c r="N678" t="n">
        <v>0</v>
      </c>
      <c r="O678" t="n">
        <v>0</v>
      </c>
      <c r="P678" t="n">
        <v>0</v>
      </c>
      <c r="Q678" t="n">
        <v>0</v>
      </c>
      <c r="R678" s="2" t="inlineStr"/>
    </row>
    <row r="679" ht="15" customHeight="1">
      <c r="A679" t="inlineStr">
        <is>
          <t>A 39711-2023</t>
        </is>
      </c>
      <c r="B679" s="1" t="n">
        <v>45166</v>
      </c>
      <c r="C679" s="1" t="n">
        <v>45754</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41038-2023</t>
        </is>
      </c>
      <c r="B680" s="1" t="n">
        <v>45173</v>
      </c>
      <c r="C680" s="1" t="n">
        <v>45754</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41378-2023</t>
        </is>
      </c>
      <c r="B681" s="1" t="n">
        <v>45174</v>
      </c>
      <c r="C681" s="1" t="n">
        <v>45754</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41336-2023</t>
        </is>
      </c>
      <c r="B682" s="1" t="n">
        <v>45174</v>
      </c>
      <c r="C682" s="1" t="n">
        <v>45754</v>
      </c>
      <c r="D682" t="inlineStr">
        <is>
          <t>GOTLANDS LÄN</t>
        </is>
      </c>
      <c r="E682" t="inlineStr">
        <is>
          <t>GOTLAND</t>
        </is>
      </c>
      <c r="G682" t="n">
        <v>2.1</v>
      </c>
      <c r="H682" t="n">
        <v>0</v>
      </c>
      <c r="I682" t="n">
        <v>0</v>
      </c>
      <c r="J682" t="n">
        <v>0</v>
      </c>
      <c r="K682" t="n">
        <v>0</v>
      </c>
      <c r="L682" t="n">
        <v>0</v>
      </c>
      <c r="M682" t="n">
        <v>0</v>
      </c>
      <c r="N682" t="n">
        <v>0</v>
      </c>
      <c r="O682" t="n">
        <v>0</v>
      </c>
      <c r="P682" t="n">
        <v>0</v>
      </c>
      <c r="Q682" t="n">
        <v>0</v>
      </c>
      <c r="R682" s="2" t="inlineStr"/>
    </row>
    <row r="683" ht="15" customHeight="1">
      <c r="A683" t="inlineStr">
        <is>
          <t>A 41697-2023</t>
        </is>
      </c>
      <c r="B683" s="1" t="n">
        <v>45176</v>
      </c>
      <c r="C683" s="1" t="n">
        <v>45754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41893-2023</t>
        </is>
      </c>
      <c r="B684" s="1" t="n">
        <v>45176</v>
      </c>
      <c r="C684" s="1" t="n">
        <v>45754</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42007-2023</t>
        </is>
      </c>
      <c r="B685" s="1" t="n">
        <v>45177</v>
      </c>
      <c r="C685" s="1" t="n">
        <v>45754</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42097-2023</t>
        </is>
      </c>
      <c r="B686" s="1" t="n">
        <v>45177</v>
      </c>
      <c r="C686" s="1" t="n">
        <v>45754</v>
      </c>
      <c r="D686" t="inlineStr">
        <is>
          <t>GOTLANDS LÄN</t>
        </is>
      </c>
      <c r="E686" t="inlineStr">
        <is>
          <t>GOTLAND</t>
        </is>
      </c>
      <c r="G686" t="n">
        <v>3.9</v>
      </c>
      <c r="H686" t="n">
        <v>0</v>
      </c>
      <c r="I686" t="n">
        <v>0</v>
      </c>
      <c r="J686" t="n">
        <v>0</v>
      </c>
      <c r="K686" t="n">
        <v>0</v>
      </c>
      <c r="L686" t="n">
        <v>0</v>
      </c>
      <c r="M686" t="n">
        <v>0</v>
      </c>
      <c r="N686" t="n">
        <v>0</v>
      </c>
      <c r="O686" t="n">
        <v>0</v>
      </c>
      <c r="P686" t="n">
        <v>0</v>
      </c>
      <c r="Q686" t="n">
        <v>0</v>
      </c>
      <c r="R686" s="2" t="inlineStr"/>
    </row>
    <row r="687" ht="15" customHeight="1">
      <c r="A687" t="inlineStr">
        <is>
          <t>A 42201-2023</t>
        </is>
      </c>
      <c r="B687" s="1" t="n">
        <v>45179</v>
      </c>
      <c r="C687" s="1" t="n">
        <v>45754</v>
      </c>
      <c r="D687" t="inlineStr">
        <is>
          <t>GOTLANDS LÄN</t>
        </is>
      </c>
      <c r="E687" t="inlineStr">
        <is>
          <t>GOTLAND</t>
        </is>
      </c>
      <c r="G687" t="n">
        <v>11.9</v>
      </c>
      <c r="H687" t="n">
        <v>0</v>
      </c>
      <c r="I687" t="n">
        <v>0</v>
      </c>
      <c r="J687" t="n">
        <v>0</v>
      </c>
      <c r="K687" t="n">
        <v>0</v>
      </c>
      <c r="L687" t="n">
        <v>0</v>
      </c>
      <c r="M687" t="n">
        <v>0</v>
      </c>
      <c r="N687" t="n">
        <v>0</v>
      </c>
      <c r="O687" t="n">
        <v>0</v>
      </c>
      <c r="P687" t="n">
        <v>0</v>
      </c>
      <c r="Q687" t="n">
        <v>0</v>
      </c>
      <c r="R687" s="2" t="inlineStr"/>
    </row>
    <row r="688" ht="15" customHeight="1">
      <c r="A688" t="inlineStr">
        <is>
          <t>A 42338-2023</t>
        </is>
      </c>
      <c r="B688" s="1" t="n">
        <v>45180</v>
      </c>
      <c r="C688" s="1" t="n">
        <v>45754</v>
      </c>
      <c r="D688" t="inlineStr">
        <is>
          <t>GOTLANDS LÄN</t>
        </is>
      </c>
      <c r="E688" t="inlineStr">
        <is>
          <t>GOTLAND</t>
        </is>
      </c>
      <c r="G688" t="n">
        <v>0.7</v>
      </c>
      <c r="H688" t="n">
        <v>0</v>
      </c>
      <c r="I688" t="n">
        <v>0</v>
      </c>
      <c r="J688" t="n">
        <v>0</v>
      </c>
      <c r="K688" t="n">
        <v>0</v>
      </c>
      <c r="L688" t="n">
        <v>0</v>
      </c>
      <c r="M688" t="n">
        <v>0</v>
      </c>
      <c r="N688" t="n">
        <v>0</v>
      </c>
      <c r="O688" t="n">
        <v>0</v>
      </c>
      <c r="P688" t="n">
        <v>0</v>
      </c>
      <c r="Q688" t="n">
        <v>0</v>
      </c>
      <c r="R688" s="2" t="inlineStr"/>
    </row>
    <row r="689" ht="15" customHeight="1">
      <c r="A689" t="inlineStr">
        <is>
          <t>A 42465-2023</t>
        </is>
      </c>
      <c r="B689" s="1" t="n">
        <v>45180</v>
      </c>
      <c r="C689" s="1" t="n">
        <v>45754</v>
      </c>
      <c r="D689" t="inlineStr">
        <is>
          <t>GOTLANDS LÄN</t>
        </is>
      </c>
      <c r="E689" t="inlineStr">
        <is>
          <t>GOTLAND</t>
        </is>
      </c>
      <c r="G689" t="n">
        <v>0.9</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45754</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45754</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45754</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45754</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45754</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45754</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45754</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45754</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45754</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45754</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45754</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45754</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45754</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45754</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45754</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45754</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45754</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45754</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45754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46400-2023</t>
        </is>
      </c>
      <c r="B709" s="1" t="n">
        <v>45197</v>
      </c>
      <c r="C709" s="1" t="n">
        <v>45754</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47322-2023</t>
        </is>
      </c>
      <c r="B710" s="1" t="n">
        <v>45202</v>
      </c>
      <c r="C710" s="1" t="n">
        <v>45754</v>
      </c>
      <c r="D710" t="inlineStr">
        <is>
          <t>GOTLANDS LÄN</t>
        </is>
      </c>
      <c r="E710" t="inlineStr">
        <is>
          <t>GOTLAND</t>
        </is>
      </c>
      <c r="G710" t="n">
        <v>3.9</v>
      </c>
      <c r="H710" t="n">
        <v>0</v>
      </c>
      <c r="I710" t="n">
        <v>0</v>
      </c>
      <c r="J710" t="n">
        <v>0</v>
      </c>
      <c r="K710" t="n">
        <v>0</v>
      </c>
      <c r="L710" t="n">
        <v>0</v>
      </c>
      <c r="M710" t="n">
        <v>0</v>
      </c>
      <c r="N710" t="n">
        <v>0</v>
      </c>
      <c r="O710" t="n">
        <v>0</v>
      </c>
      <c r="P710" t="n">
        <v>0</v>
      </c>
      <c r="Q710" t="n">
        <v>0</v>
      </c>
      <c r="R710" s="2" t="inlineStr"/>
    </row>
    <row r="711" ht="15" customHeight="1">
      <c r="A711" t="inlineStr">
        <is>
          <t>A 47762-2023</t>
        </is>
      </c>
      <c r="B711" s="1" t="n">
        <v>45203</v>
      </c>
      <c r="C711" s="1" t="n">
        <v>45754</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49411-2023</t>
        </is>
      </c>
      <c r="B712" s="1" t="n">
        <v>45205</v>
      </c>
      <c r="C712" s="1" t="n">
        <v>45754</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48503-2023</t>
        </is>
      </c>
      <c r="B713" s="1" t="n">
        <v>45207</v>
      </c>
      <c r="C713" s="1" t="n">
        <v>45754</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48504-2023</t>
        </is>
      </c>
      <c r="B714" s="1" t="n">
        <v>45207</v>
      </c>
      <c r="C714" s="1" t="n">
        <v>45754</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48745-2023</t>
        </is>
      </c>
      <c r="B715" s="1" t="n">
        <v>45208</v>
      </c>
      <c r="C715" s="1" t="n">
        <v>45754</v>
      </c>
      <c r="D715" t="inlineStr">
        <is>
          <t>GOTLANDS LÄN</t>
        </is>
      </c>
      <c r="E715" t="inlineStr">
        <is>
          <t>GOTLAND</t>
        </is>
      </c>
      <c r="G715" t="n">
        <v>3.6</v>
      </c>
      <c r="H715" t="n">
        <v>0</v>
      </c>
      <c r="I715" t="n">
        <v>0</v>
      </c>
      <c r="J715" t="n">
        <v>0</v>
      </c>
      <c r="K715" t="n">
        <v>0</v>
      </c>
      <c r="L715" t="n">
        <v>0</v>
      </c>
      <c r="M715" t="n">
        <v>0</v>
      </c>
      <c r="N715" t="n">
        <v>0</v>
      </c>
      <c r="O715" t="n">
        <v>0</v>
      </c>
      <c r="P715" t="n">
        <v>0</v>
      </c>
      <c r="Q715" t="n">
        <v>0</v>
      </c>
      <c r="R715" s="2" t="inlineStr"/>
    </row>
    <row r="716" ht="15" customHeight="1">
      <c r="A716" t="inlineStr">
        <is>
          <t>A 49693-2023</t>
        </is>
      </c>
      <c r="B716" s="1" t="n">
        <v>45212</v>
      </c>
      <c r="C716" s="1" t="n">
        <v>45754</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49697-2023</t>
        </is>
      </c>
      <c r="B717" s="1" t="n">
        <v>45212</v>
      </c>
      <c r="C717" s="1" t="n">
        <v>45754</v>
      </c>
      <c r="D717" t="inlineStr">
        <is>
          <t>GOTLANDS LÄN</t>
        </is>
      </c>
      <c r="E717" t="inlineStr">
        <is>
          <t>GOTLAND</t>
        </is>
      </c>
      <c r="G717" t="n">
        <v>4.4</v>
      </c>
      <c r="H717" t="n">
        <v>0</v>
      </c>
      <c r="I717" t="n">
        <v>0</v>
      </c>
      <c r="J717" t="n">
        <v>0</v>
      </c>
      <c r="K717" t="n">
        <v>0</v>
      </c>
      <c r="L717" t="n">
        <v>0</v>
      </c>
      <c r="M717" t="n">
        <v>0</v>
      </c>
      <c r="N717" t="n">
        <v>0</v>
      </c>
      <c r="O717" t="n">
        <v>0</v>
      </c>
      <c r="P717" t="n">
        <v>0</v>
      </c>
      <c r="Q717" t="n">
        <v>0</v>
      </c>
      <c r="R717" s="2" t="inlineStr"/>
    </row>
    <row r="718" ht="15" customHeight="1">
      <c r="A718" t="inlineStr">
        <is>
          <t>A 49846-2023</t>
        </is>
      </c>
      <c r="B718" s="1" t="n">
        <v>45212</v>
      </c>
      <c r="C718" s="1" t="n">
        <v>45754</v>
      </c>
      <c r="D718" t="inlineStr">
        <is>
          <t>GOTLANDS LÄN</t>
        </is>
      </c>
      <c r="E718" t="inlineStr">
        <is>
          <t>GOTLAND</t>
        </is>
      </c>
      <c r="G718" t="n">
        <v>16.9</v>
      </c>
      <c r="H718" t="n">
        <v>0</v>
      </c>
      <c r="I718" t="n">
        <v>0</v>
      </c>
      <c r="J718" t="n">
        <v>0</v>
      </c>
      <c r="K718" t="n">
        <v>0</v>
      </c>
      <c r="L718" t="n">
        <v>0</v>
      </c>
      <c r="M718" t="n">
        <v>0</v>
      </c>
      <c r="N718" t="n">
        <v>0</v>
      </c>
      <c r="O718" t="n">
        <v>0</v>
      </c>
      <c r="P718" t="n">
        <v>0</v>
      </c>
      <c r="Q718" t="n">
        <v>0</v>
      </c>
      <c r="R718" s="2" t="inlineStr"/>
    </row>
    <row r="719" ht="15" customHeight="1">
      <c r="A719" t="inlineStr">
        <is>
          <t>A 49884-2023</t>
        </is>
      </c>
      <c r="B719" s="1" t="n">
        <v>45213</v>
      </c>
      <c r="C719" s="1" t="n">
        <v>45754</v>
      </c>
      <c r="D719" t="inlineStr">
        <is>
          <t>GOTLANDS LÄN</t>
        </is>
      </c>
      <c r="E719" t="inlineStr">
        <is>
          <t>GOTLAND</t>
        </is>
      </c>
      <c r="G719" t="n">
        <v>8.9</v>
      </c>
      <c r="H719" t="n">
        <v>0</v>
      </c>
      <c r="I719" t="n">
        <v>0</v>
      </c>
      <c r="J719" t="n">
        <v>0</v>
      </c>
      <c r="K719" t="n">
        <v>0</v>
      </c>
      <c r="L719" t="n">
        <v>0</v>
      </c>
      <c r="M719" t="n">
        <v>0</v>
      </c>
      <c r="N719" t="n">
        <v>0</v>
      </c>
      <c r="O719" t="n">
        <v>0</v>
      </c>
      <c r="P719" t="n">
        <v>0</v>
      </c>
      <c r="Q719" t="n">
        <v>0</v>
      </c>
      <c r="R719" s="2" t="inlineStr"/>
    </row>
    <row r="720" ht="15" customHeight="1">
      <c r="A720" t="inlineStr">
        <is>
          <t>A 49962-2023</t>
        </is>
      </c>
      <c r="B720" s="1" t="n">
        <v>45215</v>
      </c>
      <c r="C720" s="1" t="n">
        <v>45754</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49966-2023</t>
        </is>
      </c>
      <c r="B721" s="1" t="n">
        <v>45215</v>
      </c>
      <c r="C721" s="1" t="n">
        <v>45754</v>
      </c>
      <c r="D721" t="inlineStr">
        <is>
          <t>GOTLANDS LÄN</t>
        </is>
      </c>
      <c r="E721" t="inlineStr">
        <is>
          <t>GOTLAND</t>
        </is>
      </c>
      <c r="G721" t="n">
        <v>5</v>
      </c>
      <c r="H721" t="n">
        <v>0</v>
      </c>
      <c r="I721" t="n">
        <v>0</v>
      </c>
      <c r="J721" t="n">
        <v>0</v>
      </c>
      <c r="K721" t="n">
        <v>0</v>
      </c>
      <c r="L721" t="n">
        <v>0</v>
      </c>
      <c r="M721" t="n">
        <v>0</v>
      </c>
      <c r="N721" t="n">
        <v>0</v>
      </c>
      <c r="O721" t="n">
        <v>0</v>
      </c>
      <c r="P721" t="n">
        <v>0</v>
      </c>
      <c r="Q721" t="n">
        <v>0</v>
      </c>
      <c r="R721" s="2" t="inlineStr"/>
    </row>
    <row r="722" ht="15" customHeight="1">
      <c r="A722" t="inlineStr">
        <is>
          <t>A 49964-2023</t>
        </is>
      </c>
      <c r="B722" s="1" t="n">
        <v>45215</v>
      </c>
      <c r="C722" s="1" t="n">
        <v>45754</v>
      </c>
      <c r="D722" t="inlineStr">
        <is>
          <t>GOTLANDS LÄN</t>
        </is>
      </c>
      <c r="E722" t="inlineStr">
        <is>
          <t>GOTLAND</t>
        </is>
      </c>
      <c r="G722" t="n">
        <v>3.1</v>
      </c>
      <c r="H722" t="n">
        <v>0</v>
      </c>
      <c r="I722" t="n">
        <v>0</v>
      </c>
      <c r="J722" t="n">
        <v>0</v>
      </c>
      <c r="K722" t="n">
        <v>0</v>
      </c>
      <c r="L722" t="n">
        <v>0</v>
      </c>
      <c r="M722" t="n">
        <v>0</v>
      </c>
      <c r="N722" t="n">
        <v>0</v>
      </c>
      <c r="O722" t="n">
        <v>0</v>
      </c>
      <c r="P722" t="n">
        <v>0</v>
      </c>
      <c r="Q722" t="n">
        <v>0</v>
      </c>
      <c r="R722" s="2" t="inlineStr"/>
    </row>
    <row r="723" ht="15" customHeight="1">
      <c r="A723" t="inlineStr">
        <is>
          <t>A 49968-2023</t>
        </is>
      </c>
      <c r="B723" s="1" t="n">
        <v>45215</v>
      </c>
      <c r="C723" s="1" t="n">
        <v>45754</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50566-2023</t>
        </is>
      </c>
      <c r="B724" s="1" t="n">
        <v>45217</v>
      </c>
      <c r="C724" s="1" t="n">
        <v>45754</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51035-2023</t>
        </is>
      </c>
      <c r="B725" s="1" t="n">
        <v>45218</v>
      </c>
      <c r="C725" s="1" t="n">
        <v>45754</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51782-2023</t>
        </is>
      </c>
      <c r="B726" s="1" t="n">
        <v>45222</v>
      </c>
      <c r="C726" s="1" t="n">
        <v>45754</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52684-2023</t>
        </is>
      </c>
      <c r="B727" s="1" t="n">
        <v>45225</v>
      </c>
      <c r="C727" s="1" t="n">
        <v>45754</v>
      </c>
      <c r="D727" t="inlineStr">
        <is>
          <t>GOTLANDS LÄN</t>
        </is>
      </c>
      <c r="E727" t="inlineStr">
        <is>
          <t>GOTLAND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53913-2023</t>
        </is>
      </c>
      <c r="B728" s="1" t="n">
        <v>45231</v>
      </c>
      <c r="C728" s="1" t="n">
        <v>45754</v>
      </c>
      <c r="D728" t="inlineStr">
        <is>
          <t>GOTLANDS LÄN</t>
        </is>
      </c>
      <c r="E728" t="inlineStr">
        <is>
          <t>GOTLAND</t>
        </is>
      </c>
      <c r="G728" t="n">
        <v>6.2</v>
      </c>
      <c r="H728" t="n">
        <v>0</v>
      </c>
      <c r="I728" t="n">
        <v>0</v>
      </c>
      <c r="J728" t="n">
        <v>0</v>
      </c>
      <c r="K728" t="n">
        <v>0</v>
      </c>
      <c r="L728" t="n">
        <v>0</v>
      </c>
      <c r="M728" t="n">
        <v>0</v>
      </c>
      <c r="N728" t="n">
        <v>0</v>
      </c>
      <c r="O728" t="n">
        <v>0</v>
      </c>
      <c r="P728" t="n">
        <v>0</v>
      </c>
      <c r="Q728" t="n">
        <v>0</v>
      </c>
      <c r="R728" s="2" t="inlineStr"/>
    </row>
    <row r="729" ht="15" customHeight="1">
      <c r="A729" t="inlineStr">
        <is>
          <t>A 56115-2023</t>
        </is>
      </c>
      <c r="B729" s="1" t="n">
        <v>45236</v>
      </c>
      <c r="C729" s="1" t="n">
        <v>45754</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57356-2023</t>
        </is>
      </c>
      <c r="B730" s="1" t="n">
        <v>45240</v>
      </c>
      <c r="C730" s="1" t="n">
        <v>45754</v>
      </c>
      <c r="D730" t="inlineStr">
        <is>
          <t>GOTLANDS LÄN</t>
        </is>
      </c>
      <c r="E730" t="inlineStr">
        <is>
          <t>GOTLAND</t>
        </is>
      </c>
      <c r="G730" t="n">
        <v>6.4</v>
      </c>
      <c r="H730" t="n">
        <v>0</v>
      </c>
      <c r="I730" t="n">
        <v>0</v>
      </c>
      <c r="J730" t="n">
        <v>0</v>
      </c>
      <c r="K730" t="n">
        <v>0</v>
      </c>
      <c r="L730" t="n">
        <v>0</v>
      </c>
      <c r="M730" t="n">
        <v>0</v>
      </c>
      <c r="N730" t="n">
        <v>0</v>
      </c>
      <c r="O730" t="n">
        <v>0</v>
      </c>
      <c r="P730" t="n">
        <v>0</v>
      </c>
      <c r="Q730" t="n">
        <v>0</v>
      </c>
      <c r="R730" s="2" t="inlineStr"/>
    </row>
    <row r="731" ht="15" customHeight="1">
      <c r="A731" t="inlineStr">
        <is>
          <t>A 56303-2023</t>
        </is>
      </c>
      <c r="B731" s="1" t="n">
        <v>45242</v>
      </c>
      <c r="C731" s="1" t="n">
        <v>45754</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56568-2023</t>
        </is>
      </c>
      <c r="B732" s="1" t="n">
        <v>45243</v>
      </c>
      <c r="C732" s="1" t="n">
        <v>45754</v>
      </c>
      <c r="D732" t="inlineStr">
        <is>
          <t>GOTLANDS LÄN</t>
        </is>
      </c>
      <c r="E732" t="inlineStr">
        <is>
          <t>GOTLAND</t>
        </is>
      </c>
      <c r="G732" t="n">
        <v>3.3</v>
      </c>
      <c r="H732" t="n">
        <v>0</v>
      </c>
      <c r="I732" t="n">
        <v>0</v>
      </c>
      <c r="J732" t="n">
        <v>0</v>
      </c>
      <c r="K732" t="n">
        <v>0</v>
      </c>
      <c r="L732" t="n">
        <v>0</v>
      </c>
      <c r="M732" t="n">
        <v>0</v>
      </c>
      <c r="N732" t="n">
        <v>0</v>
      </c>
      <c r="O732" t="n">
        <v>0</v>
      </c>
      <c r="P732" t="n">
        <v>0</v>
      </c>
      <c r="Q732" t="n">
        <v>0</v>
      </c>
      <c r="R732" s="2" t="inlineStr"/>
    </row>
    <row r="733" ht="15" customHeight="1">
      <c r="A733" t="inlineStr">
        <is>
          <t>A 56877-2023</t>
        </is>
      </c>
      <c r="B733" s="1" t="n">
        <v>45244</v>
      </c>
      <c r="C733" s="1" t="n">
        <v>45754</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57573-2023</t>
        </is>
      </c>
      <c r="B734" s="1" t="n">
        <v>45246</v>
      </c>
      <c r="C734" s="1" t="n">
        <v>45754</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57652-2023</t>
        </is>
      </c>
      <c r="B735" s="1" t="n">
        <v>45246</v>
      </c>
      <c r="C735" s="1" t="n">
        <v>45754</v>
      </c>
      <c r="D735" t="inlineStr">
        <is>
          <t>GOTLANDS LÄN</t>
        </is>
      </c>
      <c r="E735" t="inlineStr">
        <is>
          <t>GOTLAND</t>
        </is>
      </c>
      <c r="G735" t="n">
        <v>7.2</v>
      </c>
      <c r="H735" t="n">
        <v>0</v>
      </c>
      <c r="I735" t="n">
        <v>0</v>
      </c>
      <c r="J735" t="n">
        <v>0</v>
      </c>
      <c r="K735" t="n">
        <v>0</v>
      </c>
      <c r="L735" t="n">
        <v>0</v>
      </c>
      <c r="M735" t="n">
        <v>0</v>
      </c>
      <c r="N735" t="n">
        <v>0</v>
      </c>
      <c r="O735" t="n">
        <v>0</v>
      </c>
      <c r="P735" t="n">
        <v>0</v>
      </c>
      <c r="Q735" t="n">
        <v>0</v>
      </c>
      <c r="R735" s="2" t="inlineStr"/>
    </row>
    <row r="736" ht="15" customHeight="1">
      <c r="A736" t="inlineStr">
        <is>
          <t>A 57765-2023</t>
        </is>
      </c>
      <c r="B736" s="1" t="n">
        <v>45246</v>
      </c>
      <c r="C736" s="1" t="n">
        <v>45754</v>
      </c>
      <c r="D736" t="inlineStr">
        <is>
          <t>GOTLANDS LÄN</t>
        </is>
      </c>
      <c r="E736" t="inlineStr">
        <is>
          <t>GOTLAND</t>
        </is>
      </c>
      <c r="G736" t="n">
        <v>1.8</v>
      </c>
      <c r="H736" t="n">
        <v>0</v>
      </c>
      <c r="I736" t="n">
        <v>0</v>
      </c>
      <c r="J736" t="n">
        <v>0</v>
      </c>
      <c r="K736" t="n">
        <v>0</v>
      </c>
      <c r="L736" t="n">
        <v>0</v>
      </c>
      <c r="M736" t="n">
        <v>0</v>
      </c>
      <c r="N736" t="n">
        <v>0</v>
      </c>
      <c r="O736" t="n">
        <v>0</v>
      </c>
      <c r="P736" t="n">
        <v>0</v>
      </c>
      <c r="Q736" t="n">
        <v>0</v>
      </c>
      <c r="R736" s="2" t="inlineStr"/>
    </row>
    <row r="737" ht="15" customHeight="1">
      <c r="A737" t="inlineStr">
        <is>
          <t>A 58132-2023</t>
        </is>
      </c>
      <c r="B737" s="1" t="n">
        <v>45250</v>
      </c>
      <c r="C737" s="1" t="n">
        <v>45754</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59559-2023</t>
        </is>
      </c>
      <c r="B738" s="1" t="n">
        <v>45254</v>
      </c>
      <c r="C738" s="1" t="n">
        <v>45754</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59554-2023</t>
        </is>
      </c>
      <c r="B739" s="1" t="n">
        <v>45254</v>
      </c>
      <c r="C739" s="1" t="n">
        <v>45754</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60269-2023</t>
        </is>
      </c>
      <c r="B740" s="1" t="n">
        <v>45258</v>
      </c>
      <c r="C740" s="1" t="n">
        <v>45754</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60273-2023</t>
        </is>
      </c>
      <c r="B741" s="1" t="n">
        <v>45258</v>
      </c>
      <c r="C741" s="1" t="n">
        <v>45754</v>
      </c>
      <c r="D741" t="inlineStr">
        <is>
          <t>GOTLANDS LÄN</t>
        </is>
      </c>
      <c r="E741" t="inlineStr">
        <is>
          <t>GOTLAND</t>
        </is>
      </c>
      <c r="G741" t="n">
        <v>1.6</v>
      </c>
      <c r="H741" t="n">
        <v>0</v>
      </c>
      <c r="I741" t="n">
        <v>0</v>
      </c>
      <c r="J741" t="n">
        <v>0</v>
      </c>
      <c r="K741" t="n">
        <v>0</v>
      </c>
      <c r="L741" t="n">
        <v>0</v>
      </c>
      <c r="M741" t="n">
        <v>0</v>
      </c>
      <c r="N741" t="n">
        <v>0</v>
      </c>
      <c r="O741" t="n">
        <v>0</v>
      </c>
      <c r="P741" t="n">
        <v>0</v>
      </c>
      <c r="Q741" t="n">
        <v>0</v>
      </c>
      <c r="R741" s="2" t="inlineStr"/>
    </row>
    <row r="742" ht="15" customHeight="1">
      <c r="A742" t="inlineStr">
        <is>
          <t>A 60709-2023</t>
        </is>
      </c>
      <c r="B742" s="1" t="n">
        <v>45260</v>
      </c>
      <c r="C742" s="1" t="n">
        <v>45754</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61175-2023</t>
        </is>
      </c>
      <c r="B743" s="1" t="n">
        <v>45263</v>
      </c>
      <c r="C743" s="1" t="n">
        <v>45754</v>
      </c>
      <c r="D743" t="inlineStr">
        <is>
          <t>GOTLANDS LÄN</t>
        </is>
      </c>
      <c r="E743" t="inlineStr">
        <is>
          <t>GOTLAND</t>
        </is>
      </c>
      <c r="G743" t="n">
        <v>0.9</v>
      </c>
      <c r="H743" t="n">
        <v>0</v>
      </c>
      <c r="I743" t="n">
        <v>0</v>
      </c>
      <c r="J743" t="n">
        <v>0</v>
      </c>
      <c r="K743" t="n">
        <v>0</v>
      </c>
      <c r="L743" t="n">
        <v>0</v>
      </c>
      <c r="M743" t="n">
        <v>0</v>
      </c>
      <c r="N743" t="n">
        <v>0</v>
      </c>
      <c r="O743" t="n">
        <v>0</v>
      </c>
      <c r="P743" t="n">
        <v>0</v>
      </c>
      <c r="Q743" t="n">
        <v>0</v>
      </c>
      <c r="R743" s="2" t="inlineStr"/>
    </row>
    <row r="744" ht="15" customHeight="1">
      <c r="A744" t="inlineStr">
        <is>
          <t>A 61386-2023</t>
        </is>
      </c>
      <c r="B744" s="1" t="n">
        <v>45264</v>
      </c>
      <c r="C744" s="1" t="n">
        <v>45754</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45754</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61596-2023</t>
        </is>
      </c>
      <c r="B746" s="1" t="n">
        <v>45265</v>
      </c>
      <c r="C746" s="1" t="n">
        <v>45754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61634-2023</t>
        </is>
      </c>
      <c r="B747" s="1" t="n">
        <v>45265</v>
      </c>
      <c r="C747" s="1" t="n">
        <v>45754</v>
      </c>
      <c r="D747" t="inlineStr">
        <is>
          <t>GOTLANDS LÄN</t>
        </is>
      </c>
      <c r="E747" t="inlineStr">
        <is>
          <t>GOTLAND</t>
        </is>
      </c>
      <c r="G747" t="n">
        <v>7.4</v>
      </c>
      <c r="H747" t="n">
        <v>0</v>
      </c>
      <c r="I747" t="n">
        <v>0</v>
      </c>
      <c r="J747" t="n">
        <v>0</v>
      </c>
      <c r="K747" t="n">
        <v>0</v>
      </c>
      <c r="L747" t="n">
        <v>0</v>
      </c>
      <c r="M747" t="n">
        <v>0</v>
      </c>
      <c r="N747" t="n">
        <v>0</v>
      </c>
      <c r="O747" t="n">
        <v>0</v>
      </c>
      <c r="P747" t="n">
        <v>0</v>
      </c>
      <c r="Q747" t="n">
        <v>0</v>
      </c>
      <c r="R747" s="2" t="inlineStr"/>
    </row>
    <row r="748" ht="15" customHeight="1">
      <c r="A748" t="inlineStr">
        <is>
          <t>A 63246-2023</t>
        </is>
      </c>
      <c r="B748" s="1" t="n">
        <v>45273</v>
      </c>
      <c r="C748" s="1" t="n">
        <v>45754</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63303-2023</t>
        </is>
      </c>
      <c r="B749" s="1" t="n">
        <v>45274</v>
      </c>
      <c r="C749" s="1" t="n">
        <v>45754</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63516-2023</t>
        </is>
      </c>
      <c r="B750" s="1" t="n">
        <v>45274</v>
      </c>
      <c r="C750" s="1" t="n">
        <v>45754</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63773-2023</t>
        </is>
      </c>
      <c r="B751" s="1" t="n">
        <v>45278</v>
      </c>
      <c r="C751" s="1" t="n">
        <v>45754</v>
      </c>
      <c r="D751" t="inlineStr">
        <is>
          <t>GOTLANDS LÄN</t>
        </is>
      </c>
      <c r="E751" t="inlineStr">
        <is>
          <t>GOTLAND</t>
        </is>
      </c>
      <c r="G751" t="n">
        <v>8.5</v>
      </c>
      <c r="H751" t="n">
        <v>0</v>
      </c>
      <c r="I751" t="n">
        <v>0</v>
      </c>
      <c r="J751" t="n">
        <v>0</v>
      </c>
      <c r="K751" t="n">
        <v>0</v>
      </c>
      <c r="L751" t="n">
        <v>0</v>
      </c>
      <c r="M751" t="n">
        <v>0</v>
      </c>
      <c r="N751" t="n">
        <v>0</v>
      </c>
      <c r="O751" t="n">
        <v>0</v>
      </c>
      <c r="P751" t="n">
        <v>0</v>
      </c>
      <c r="Q751" t="n">
        <v>0</v>
      </c>
      <c r="R751" s="2" t="inlineStr"/>
    </row>
    <row r="752" ht="15" customHeight="1">
      <c r="A752" t="inlineStr">
        <is>
          <t>A 63763-2023</t>
        </is>
      </c>
      <c r="B752" s="1" t="n">
        <v>45278</v>
      </c>
      <c r="C752" s="1" t="n">
        <v>45754</v>
      </c>
      <c r="D752" t="inlineStr">
        <is>
          <t>GOTLANDS LÄN</t>
        </is>
      </c>
      <c r="E752" t="inlineStr">
        <is>
          <t>GOTLAND</t>
        </is>
      </c>
      <c r="G752" t="n">
        <v>0.5</v>
      </c>
      <c r="H752" t="n">
        <v>0</v>
      </c>
      <c r="I752" t="n">
        <v>0</v>
      </c>
      <c r="J752" t="n">
        <v>0</v>
      </c>
      <c r="K752" t="n">
        <v>0</v>
      </c>
      <c r="L752" t="n">
        <v>0</v>
      </c>
      <c r="M752" t="n">
        <v>0</v>
      </c>
      <c r="N752" t="n">
        <v>0</v>
      </c>
      <c r="O752" t="n">
        <v>0</v>
      </c>
      <c r="P752" t="n">
        <v>0</v>
      </c>
      <c r="Q752" t="n">
        <v>0</v>
      </c>
      <c r="R752" s="2" t="inlineStr"/>
    </row>
    <row r="753" ht="15" customHeight="1">
      <c r="A753" t="inlineStr">
        <is>
          <t>A 63996-2023</t>
        </is>
      </c>
      <c r="B753" s="1" t="n">
        <v>45278</v>
      </c>
      <c r="C753" s="1" t="n">
        <v>45754</v>
      </c>
      <c r="D753" t="inlineStr">
        <is>
          <t>GOTLANDS LÄN</t>
        </is>
      </c>
      <c r="E753" t="inlineStr">
        <is>
          <t>GOTLAND</t>
        </is>
      </c>
      <c r="G753" t="n">
        <v>3.8</v>
      </c>
      <c r="H753" t="n">
        <v>0</v>
      </c>
      <c r="I753" t="n">
        <v>0</v>
      </c>
      <c r="J753" t="n">
        <v>0</v>
      </c>
      <c r="K753" t="n">
        <v>0</v>
      </c>
      <c r="L753" t="n">
        <v>0</v>
      </c>
      <c r="M753" t="n">
        <v>0</v>
      </c>
      <c r="N753" t="n">
        <v>0</v>
      </c>
      <c r="O753" t="n">
        <v>0</v>
      </c>
      <c r="P753" t="n">
        <v>0</v>
      </c>
      <c r="Q753" t="n">
        <v>0</v>
      </c>
      <c r="R753" s="2" t="inlineStr"/>
    </row>
    <row r="754" ht="15" customHeight="1">
      <c r="A754" t="inlineStr">
        <is>
          <t>A 64555-2023</t>
        </is>
      </c>
      <c r="B754" s="1" t="n">
        <v>45281</v>
      </c>
      <c r="C754" s="1" t="n">
        <v>45754</v>
      </c>
      <c r="D754" t="inlineStr">
        <is>
          <t>GOTLANDS LÄN</t>
        </is>
      </c>
      <c r="E754" t="inlineStr">
        <is>
          <t>GOTLAND</t>
        </is>
      </c>
      <c r="G754" t="n">
        <v>3.5</v>
      </c>
      <c r="H754" t="n">
        <v>0</v>
      </c>
      <c r="I754" t="n">
        <v>0</v>
      </c>
      <c r="J754" t="n">
        <v>0</v>
      </c>
      <c r="K754" t="n">
        <v>0</v>
      </c>
      <c r="L754" t="n">
        <v>0</v>
      </c>
      <c r="M754" t="n">
        <v>0</v>
      </c>
      <c r="N754" t="n">
        <v>0</v>
      </c>
      <c r="O754" t="n">
        <v>0</v>
      </c>
      <c r="P754" t="n">
        <v>0</v>
      </c>
      <c r="Q754" t="n">
        <v>0</v>
      </c>
      <c r="R754" s="2" t="inlineStr"/>
    </row>
    <row r="755" ht="15" customHeight="1">
      <c r="A755" t="inlineStr">
        <is>
          <t>A 64660-2023</t>
        </is>
      </c>
      <c r="B755" s="1" t="n">
        <v>45281</v>
      </c>
      <c r="C755" s="1" t="n">
        <v>45754</v>
      </c>
      <c r="D755" t="inlineStr">
        <is>
          <t>GOTLANDS LÄN</t>
        </is>
      </c>
      <c r="E755" t="inlineStr">
        <is>
          <t>GOTLAND</t>
        </is>
      </c>
      <c r="G755" t="n">
        <v>6.3</v>
      </c>
      <c r="H755" t="n">
        <v>0</v>
      </c>
      <c r="I755" t="n">
        <v>0</v>
      </c>
      <c r="J755" t="n">
        <v>0</v>
      </c>
      <c r="K755" t="n">
        <v>0</v>
      </c>
      <c r="L755" t="n">
        <v>0</v>
      </c>
      <c r="M755" t="n">
        <v>0</v>
      </c>
      <c r="N755" t="n">
        <v>0</v>
      </c>
      <c r="O755" t="n">
        <v>0</v>
      </c>
      <c r="P755" t="n">
        <v>0</v>
      </c>
      <c r="Q755" t="n">
        <v>0</v>
      </c>
      <c r="R755" s="2" t="inlineStr"/>
    </row>
    <row r="756" ht="15" customHeight="1">
      <c r="A756" t="inlineStr">
        <is>
          <t>A 64831-2023</t>
        </is>
      </c>
      <c r="B756" s="1" t="n">
        <v>45282</v>
      </c>
      <c r="C756" s="1" t="n">
        <v>45754</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64838-2023</t>
        </is>
      </c>
      <c r="B757" s="1" t="n">
        <v>45282</v>
      </c>
      <c r="C757" s="1" t="n">
        <v>45754</v>
      </c>
      <c r="D757" t="inlineStr">
        <is>
          <t>GOTLANDS LÄN</t>
        </is>
      </c>
      <c r="E757" t="inlineStr">
        <is>
          <t>GOTLAND</t>
        </is>
      </c>
      <c r="G757" t="n">
        <v>7.5</v>
      </c>
      <c r="H757" t="n">
        <v>0</v>
      </c>
      <c r="I757" t="n">
        <v>0</v>
      </c>
      <c r="J757" t="n">
        <v>0</v>
      </c>
      <c r="K757" t="n">
        <v>0</v>
      </c>
      <c r="L757" t="n">
        <v>0</v>
      </c>
      <c r="M757" t="n">
        <v>0</v>
      </c>
      <c r="N757" t="n">
        <v>0</v>
      </c>
      <c r="O757" t="n">
        <v>0</v>
      </c>
      <c r="P757" t="n">
        <v>0</v>
      </c>
      <c r="Q757" t="n">
        <v>0</v>
      </c>
      <c r="R757" s="2" t="inlineStr"/>
    </row>
    <row r="758" ht="15" customHeight="1">
      <c r="A758" t="inlineStr">
        <is>
          <t>A 64969-2023</t>
        </is>
      </c>
      <c r="B758" s="1" t="n">
        <v>45284</v>
      </c>
      <c r="C758" s="1" t="n">
        <v>45754</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65088-2023</t>
        </is>
      </c>
      <c r="B759" s="1" t="n">
        <v>45287</v>
      </c>
      <c r="C759" s="1" t="n">
        <v>45754</v>
      </c>
      <c r="D759" t="inlineStr">
        <is>
          <t>GOTLANDS LÄN</t>
        </is>
      </c>
      <c r="E759" t="inlineStr">
        <is>
          <t>GOTLAND</t>
        </is>
      </c>
      <c r="G759" t="n">
        <v>2.5</v>
      </c>
      <c r="H759" t="n">
        <v>0</v>
      </c>
      <c r="I759" t="n">
        <v>0</v>
      </c>
      <c r="J759" t="n">
        <v>0</v>
      </c>
      <c r="K759" t="n">
        <v>0</v>
      </c>
      <c r="L759" t="n">
        <v>0</v>
      </c>
      <c r="M759" t="n">
        <v>0</v>
      </c>
      <c r="N759" t="n">
        <v>0</v>
      </c>
      <c r="O759" t="n">
        <v>0</v>
      </c>
      <c r="P759" t="n">
        <v>0</v>
      </c>
      <c r="Q759" t="n">
        <v>0</v>
      </c>
      <c r="R759" s="2" t="inlineStr"/>
    </row>
    <row r="760" ht="15" customHeight="1">
      <c r="A760" t="inlineStr">
        <is>
          <t>A 65097-2023</t>
        </is>
      </c>
      <c r="B760" s="1" t="n">
        <v>45287</v>
      </c>
      <c r="C760" s="1" t="n">
        <v>45754</v>
      </c>
      <c r="D760" t="inlineStr">
        <is>
          <t>GOTLANDS LÄN</t>
        </is>
      </c>
      <c r="E760" t="inlineStr">
        <is>
          <t>GOTLAND</t>
        </is>
      </c>
      <c r="G760" t="n">
        <v>15.4</v>
      </c>
      <c r="H760" t="n">
        <v>0</v>
      </c>
      <c r="I760" t="n">
        <v>0</v>
      </c>
      <c r="J760" t="n">
        <v>0</v>
      </c>
      <c r="K760" t="n">
        <v>0</v>
      </c>
      <c r="L760" t="n">
        <v>0</v>
      </c>
      <c r="M760" t="n">
        <v>0</v>
      </c>
      <c r="N760" t="n">
        <v>0</v>
      </c>
      <c r="O760" t="n">
        <v>0</v>
      </c>
      <c r="P760" t="n">
        <v>0</v>
      </c>
      <c r="Q760" t="n">
        <v>0</v>
      </c>
      <c r="R760" s="2" t="inlineStr"/>
    </row>
    <row r="761" ht="15" customHeight="1">
      <c r="A761" t="inlineStr">
        <is>
          <t>A 65249-2023</t>
        </is>
      </c>
      <c r="B761" s="1" t="n">
        <v>45290</v>
      </c>
      <c r="C761" s="1" t="n">
        <v>45754</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98-2024</t>
        </is>
      </c>
      <c r="B762" s="1" t="n">
        <v>45293</v>
      </c>
      <c r="C762" s="1" t="n">
        <v>45754</v>
      </c>
      <c r="D762" t="inlineStr">
        <is>
          <t>GOTLANDS LÄN</t>
        </is>
      </c>
      <c r="E762" t="inlineStr">
        <is>
          <t>GOTLAND</t>
        </is>
      </c>
      <c r="G762" t="n">
        <v>2</v>
      </c>
      <c r="H762" t="n">
        <v>0</v>
      </c>
      <c r="I762" t="n">
        <v>0</v>
      </c>
      <c r="J762" t="n">
        <v>0</v>
      </c>
      <c r="K762" t="n">
        <v>0</v>
      </c>
      <c r="L762" t="n">
        <v>0</v>
      </c>
      <c r="M762" t="n">
        <v>0</v>
      </c>
      <c r="N762" t="n">
        <v>0</v>
      </c>
      <c r="O762" t="n">
        <v>0</v>
      </c>
      <c r="P762" t="n">
        <v>0</v>
      </c>
      <c r="Q762" t="n">
        <v>0</v>
      </c>
      <c r="R762" s="2" t="inlineStr"/>
    </row>
    <row r="763" ht="15" customHeight="1">
      <c r="A763" t="inlineStr">
        <is>
          <t>A 450-2024</t>
        </is>
      </c>
      <c r="B763" s="1" t="n">
        <v>45296</v>
      </c>
      <c r="C763" s="1" t="n">
        <v>45754</v>
      </c>
      <c r="D763" t="inlineStr">
        <is>
          <t>GOTLANDS LÄN</t>
        </is>
      </c>
      <c r="E763" t="inlineStr">
        <is>
          <t>GOTLAND</t>
        </is>
      </c>
      <c r="G763" t="n">
        <v>10.1</v>
      </c>
      <c r="H763" t="n">
        <v>0</v>
      </c>
      <c r="I763" t="n">
        <v>0</v>
      </c>
      <c r="J763" t="n">
        <v>0</v>
      </c>
      <c r="K763" t="n">
        <v>0</v>
      </c>
      <c r="L763" t="n">
        <v>0</v>
      </c>
      <c r="M763" t="n">
        <v>0</v>
      </c>
      <c r="N763" t="n">
        <v>0</v>
      </c>
      <c r="O763" t="n">
        <v>0</v>
      </c>
      <c r="P763" t="n">
        <v>0</v>
      </c>
      <c r="Q763" t="n">
        <v>0</v>
      </c>
      <c r="R763" s="2" t="inlineStr"/>
    </row>
    <row r="764" ht="15" customHeight="1">
      <c r="A764" t="inlineStr">
        <is>
          <t>A 533-2024</t>
        </is>
      </c>
      <c r="B764" s="1" t="n">
        <v>45299</v>
      </c>
      <c r="C764" s="1" t="n">
        <v>45754</v>
      </c>
      <c r="D764" t="inlineStr">
        <is>
          <t>GOTLANDS LÄN</t>
        </is>
      </c>
      <c r="E764" t="inlineStr">
        <is>
          <t>GOTLAND</t>
        </is>
      </c>
      <c r="G764" t="n">
        <v>7.1</v>
      </c>
      <c r="H764" t="n">
        <v>0</v>
      </c>
      <c r="I764" t="n">
        <v>0</v>
      </c>
      <c r="J764" t="n">
        <v>0</v>
      </c>
      <c r="K764" t="n">
        <v>0</v>
      </c>
      <c r="L764" t="n">
        <v>0</v>
      </c>
      <c r="M764" t="n">
        <v>0</v>
      </c>
      <c r="N764" t="n">
        <v>0</v>
      </c>
      <c r="O764" t="n">
        <v>0</v>
      </c>
      <c r="P764" t="n">
        <v>0</v>
      </c>
      <c r="Q764" t="n">
        <v>0</v>
      </c>
      <c r="R764" s="2" t="inlineStr"/>
    </row>
    <row r="765" ht="15" customHeight="1">
      <c r="A765" t="inlineStr">
        <is>
          <t>A 796-2024</t>
        </is>
      </c>
      <c r="B765" s="1" t="n">
        <v>45300</v>
      </c>
      <c r="C765" s="1" t="n">
        <v>45754</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873-2024</t>
        </is>
      </c>
      <c r="B766" s="1" t="n">
        <v>45301</v>
      </c>
      <c r="C766" s="1" t="n">
        <v>45754</v>
      </c>
      <c r="D766" t="inlineStr">
        <is>
          <t>GOTLANDS LÄN</t>
        </is>
      </c>
      <c r="E766" t="inlineStr">
        <is>
          <t>GOTLAND</t>
        </is>
      </c>
      <c r="G766" t="n">
        <v>2.7</v>
      </c>
      <c r="H766" t="n">
        <v>0</v>
      </c>
      <c r="I766" t="n">
        <v>0</v>
      </c>
      <c r="J766" t="n">
        <v>0</v>
      </c>
      <c r="K766" t="n">
        <v>0</v>
      </c>
      <c r="L766" t="n">
        <v>0</v>
      </c>
      <c r="M766" t="n">
        <v>0</v>
      </c>
      <c r="N766" t="n">
        <v>0</v>
      </c>
      <c r="O766" t="n">
        <v>0</v>
      </c>
      <c r="P766" t="n">
        <v>0</v>
      </c>
      <c r="Q766" t="n">
        <v>0</v>
      </c>
      <c r="R766" s="2" t="inlineStr"/>
    </row>
    <row r="767" ht="15" customHeight="1">
      <c r="A767" t="inlineStr">
        <is>
          <t>A 876-2024</t>
        </is>
      </c>
      <c r="B767" s="1" t="n">
        <v>45301</v>
      </c>
      <c r="C767" s="1" t="n">
        <v>45754</v>
      </c>
      <c r="D767" t="inlineStr">
        <is>
          <t>GOTLANDS LÄN</t>
        </is>
      </c>
      <c r="E767" t="inlineStr">
        <is>
          <t>GOTLAND</t>
        </is>
      </c>
      <c r="G767" t="n">
        <v>5.3</v>
      </c>
      <c r="H767" t="n">
        <v>0</v>
      </c>
      <c r="I767" t="n">
        <v>0</v>
      </c>
      <c r="J767" t="n">
        <v>0</v>
      </c>
      <c r="K767" t="n">
        <v>0</v>
      </c>
      <c r="L767" t="n">
        <v>0</v>
      </c>
      <c r="M767" t="n">
        <v>0</v>
      </c>
      <c r="N767" t="n">
        <v>0</v>
      </c>
      <c r="O767" t="n">
        <v>0</v>
      </c>
      <c r="P767" t="n">
        <v>0</v>
      </c>
      <c r="Q767" t="n">
        <v>0</v>
      </c>
      <c r="R767" s="2" t="inlineStr"/>
    </row>
    <row r="768" ht="15" customHeight="1">
      <c r="A768" t="inlineStr">
        <is>
          <t>A 999-2024</t>
        </is>
      </c>
      <c r="B768" s="1" t="n">
        <v>45301</v>
      </c>
      <c r="C768" s="1" t="n">
        <v>45754</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1010-2024</t>
        </is>
      </c>
      <c r="B769" s="1" t="n">
        <v>45301</v>
      </c>
      <c r="C769" s="1" t="n">
        <v>45754</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1000-2024</t>
        </is>
      </c>
      <c r="B770" s="1" t="n">
        <v>45301</v>
      </c>
      <c r="C770" s="1" t="n">
        <v>45754</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1008-2024</t>
        </is>
      </c>
      <c r="B771" s="1" t="n">
        <v>45301</v>
      </c>
      <c r="C771" s="1" t="n">
        <v>45754</v>
      </c>
      <c r="D771" t="inlineStr">
        <is>
          <t>GOTLANDS LÄN</t>
        </is>
      </c>
      <c r="E771" t="inlineStr">
        <is>
          <t>GOTLAND</t>
        </is>
      </c>
      <c r="G771" t="n">
        <v>2.3</v>
      </c>
      <c r="H771" t="n">
        <v>0</v>
      </c>
      <c r="I771" t="n">
        <v>0</v>
      </c>
      <c r="J771" t="n">
        <v>0</v>
      </c>
      <c r="K771" t="n">
        <v>0</v>
      </c>
      <c r="L771" t="n">
        <v>0</v>
      </c>
      <c r="M771" t="n">
        <v>0</v>
      </c>
      <c r="N771" t="n">
        <v>0</v>
      </c>
      <c r="O771" t="n">
        <v>0</v>
      </c>
      <c r="P771" t="n">
        <v>0</v>
      </c>
      <c r="Q771" t="n">
        <v>0</v>
      </c>
      <c r="R771" s="2" t="inlineStr"/>
    </row>
    <row r="772" ht="15" customHeight="1">
      <c r="A772" t="inlineStr">
        <is>
          <t>A 1066-2024</t>
        </is>
      </c>
      <c r="B772" s="1" t="n">
        <v>45302</v>
      </c>
      <c r="C772" s="1" t="n">
        <v>45754</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1321-2024</t>
        </is>
      </c>
      <c r="B773" s="1" t="n">
        <v>45303</v>
      </c>
      <c r="C773" s="1" t="n">
        <v>45754</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1477-2024</t>
        </is>
      </c>
      <c r="B774" s="1" t="n">
        <v>45305</v>
      </c>
      <c r="C774" s="1" t="n">
        <v>45754</v>
      </c>
      <c r="D774" t="inlineStr">
        <is>
          <t>GOTLANDS LÄN</t>
        </is>
      </c>
      <c r="E774" t="inlineStr">
        <is>
          <t>GOTLAND</t>
        </is>
      </c>
      <c r="G774" t="n">
        <v>6.9</v>
      </c>
      <c r="H774" t="n">
        <v>0</v>
      </c>
      <c r="I774" t="n">
        <v>0</v>
      </c>
      <c r="J774" t="n">
        <v>0</v>
      </c>
      <c r="K774" t="n">
        <v>0</v>
      </c>
      <c r="L774" t="n">
        <v>0</v>
      </c>
      <c r="M774" t="n">
        <v>0</v>
      </c>
      <c r="N774" t="n">
        <v>0</v>
      </c>
      <c r="O774" t="n">
        <v>0</v>
      </c>
      <c r="P774" t="n">
        <v>0</v>
      </c>
      <c r="Q774" t="n">
        <v>0</v>
      </c>
      <c r="R774" s="2" t="inlineStr"/>
    </row>
    <row r="775" ht="15" customHeight="1">
      <c r="A775" t="inlineStr">
        <is>
          <t>A 2010-2024</t>
        </is>
      </c>
      <c r="B775" s="1" t="n">
        <v>45308</v>
      </c>
      <c r="C775" s="1" t="n">
        <v>45754</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2774-2024</t>
        </is>
      </c>
      <c r="B776" s="1" t="n">
        <v>45314</v>
      </c>
      <c r="C776" s="1" t="n">
        <v>45754</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2821-2024</t>
        </is>
      </c>
      <c r="B777" s="1" t="n">
        <v>45314</v>
      </c>
      <c r="C777" s="1" t="n">
        <v>45754</v>
      </c>
      <c r="D777" t="inlineStr">
        <is>
          <t>GOTLANDS LÄN</t>
        </is>
      </c>
      <c r="E777" t="inlineStr">
        <is>
          <t>GOTLAND</t>
        </is>
      </c>
      <c r="G777" t="n">
        <v>1.9</v>
      </c>
      <c r="H777" t="n">
        <v>0</v>
      </c>
      <c r="I777" t="n">
        <v>0</v>
      </c>
      <c r="J777" t="n">
        <v>0</v>
      </c>
      <c r="K777" t="n">
        <v>0</v>
      </c>
      <c r="L777" t="n">
        <v>0</v>
      </c>
      <c r="M777" t="n">
        <v>0</v>
      </c>
      <c r="N777" t="n">
        <v>0</v>
      </c>
      <c r="O777" t="n">
        <v>0</v>
      </c>
      <c r="P777" t="n">
        <v>0</v>
      </c>
      <c r="Q777" t="n">
        <v>0</v>
      </c>
      <c r="R777" s="2" t="inlineStr"/>
    </row>
    <row r="778" ht="15" customHeight="1">
      <c r="A778" t="inlineStr">
        <is>
          <t>A 2825-2024</t>
        </is>
      </c>
      <c r="B778" s="1" t="n">
        <v>45314</v>
      </c>
      <c r="C778" s="1" t="n">
        <v>45754</v>
      </c>
      <c r="D778" t="inlineStr">
        <is>
          <t>GOTLANDS LÄN</t>
        </is>
      </c>
      <c r="E778" t="inlineStr">
        <is>
          <t>GOTLAND</t>
        </is>
      </c>
      <c r="G778" t="n">
        <v>4.8</v>
      </c>
      <c r="H778" t="n">
        <v>0</v>
      </c>
      <c r="I778" t="n">
        <v>0</v>
      </c>
      <c r="J778" t="n">
        <v>0</v>
      </c>
      <c r="K778" t="n">
        <v>0</v>
      </c>
      <c r="L778" t="n">
        <v>0</v>
      </c>
      <c r="M778" t="n">
        <v>0</v>
      </c>
      <c r="N778" t="n">
        <v>0</v>
      </c>
      <c r="O778" t="n">
        <v>0</v>
      </c>
      <c r="P778" t="n">
        <v>0</v>
      </c>
      <c r="Q778" t="n">
        <v>0</v>
      </c>
      <c r="R778" s="2" t="inlineStr"/>
    </row>
    <row r="779" ht="15" customHeight="1">
      <c r="A779" t="inlineStr">
        <is>
          <t>A 2819-2024</t>
        </is>
      </c>
      <c r="B779" s="1" t="n">
        <v>45314</v>
      </c>
      <c r="C779" s="1" t="n">
        <v>45754</v>
      </c>
      <c r="D779" t="inlineStr">
        <is>
          <t>GOTLANDS LÄN</t>
        </is>
      </c>
      <c r="E779" t="inlineStr">
        <is>
          <t>GOTLAND</t>
        </is>
      </c>
      <c r="G779" t="n">
        <v>6.3</v>
      </c>
      <c r="H779" t="n">
        <v>0</v>
      </c>
      <c r="I779" t="n">
        <v>0</v>
      </c>
      <c r="J779" t="n">
        <v>0</v>
      </c>
      <c r="K779" t="n">
        <v>0</v>
      </c>
      <c r="L779" t="n">
        <v>0</v>
      </c>
      <c r="M779" t="n">
        <v>0</v>
      </c>
      <c r="N779" t="n">
        <v>0</v>
      </c>
      <c r="O779" t="n">
        <v>0</v>
      </c>
      <c r="P779" t="n">
        <v>0</v>
      </c>
      <c r="Q779" t="n">
        <v>0</v>
      </c>
      <c r="R779" s="2" t="inlineStr"/>
    </row>
    <row r="780" ht="15" customHeight="1">
      <c r="A780" t="inlineStr">
        <is>
          <t>A 3004-2024</t>
        </is>
      </c>
      <c r="B780" s="1" t="n">
        <v>45315</v>
      </c>
      <c r="C780" s="1" t="n">
        <v>45754</v>
      </c>
      <c r="D780" t="inlineStr">
        <is>
          <t>GOTLANDS LÄN</t>
        </is>
      </c>
      <c r="E780" t="inlineStr">
        <is>
          <t>GOTLAND</t>
        </is>
      </c>
      <c r="G780" t="n">
        <v>0.7</v>
      </c>
      <c r="H780" t="n">
        <v>0</v>
      </c>
      <c r="I780" t="n">
        <v>0</v>
      </c>
      <c r="J780" t="n">
        <v>0</v>
      </c>
      <c r="K780" t="n">
        <v>0</v>
      </c>
      <c r="L780" t="n">
        <v>0</v>
      </c>
      <c r="M780" t="n">
        <v>0</v>
      </c>
      <c r="N780" t="n">
        <v>0</v>
      </c>
      <c r="O780" t="n">
        <v>0</v>
      </c>
      <c r="P780" t="n">
        <v>0</v>
      </c>
      <c r="Q780" t="n">
        <v>0</v>
      </c>
      <c r="R780" s="2" t="inlineStr"/>
    </row>
    <row r="781" ht="15" customHeight="1">
      <c r="A781" t="inlineStr">
        <is>
          <t>A 3689-2024</t>
        </is>
      </c>
      <c r="B781" s="1" t="n">
        <v>45321</v>
      </c>
      <c r="C781" s="1" t="n">
        <v>45754</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3707-2024</t>
        </is>
      </c>
      <c r="B782" s="1" t="n">
        <v>45321</v>
      </c>
      <c r="C782" s="1" t="n">
        <v>45754</v>
      </c>
      <c r="D782" t="inlineStr">
        <is>
          <t>GOTLANDS LÄN</t>
        </is>
      </c>
      <c r="E782" t="inlineStr">
        <is>
          <t>GOTLAND</t>
        </is>
      </c>
      <c r="G782" t="n">
        <v>12.2</v>
      </c>
      <c r="H782" t="n">
        <v>0</v>
      </c>
      <c r="I782" t="n">
        <v>0</v>
      </c>
      <c r="J782" t="n">
        <v>0</v>
      </c>
      <c r="K782" t="n">
        <v>0</v>
      </c>
      <c r="L782" t="n">
        <v>0</v>
      </c>
      <c r="M782" t="n">
        <v>0</v>
      </c>
      <c r="N782" t="n">
        <v>0</v>
      </c>
      <c r="O782" t="n">
        <v>0</v>
      </c>
      <c r="P782" t="n">
        <v>0</v>
      </c>
      <c r="Q782" t="n">
        <v>0</v>
      </c>
      <c r="R782" s="2" t="inlineStr"/>
    </row>
    <row r="783" ht="15" customHeight="1">
      <c r="A783" t="inlineStr">
        <is>
          <t>A 3964-2024</t>
        </is>
      </c>
      <c r="B783" s="1" t="n">
        <v>45322</v>
      </c>
      <c r="C783" s="1" t="n">
        <v>45754</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4259-2024</t>
        </is>
      </c>
      <c r="B784" s="1" t="n">
        <v>45324</v>
      </c>
      <c r="C784" s="1" t="n">
        <v>45754</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4421-2024</t>
        </is>
      </c>
      <c r="B785" s="1" t="n">
        <v>45327</v>
      </c>
      <c r="C785" s="1" t="n">
        <v>45754</v>
      </c>
      <c r="D785" t="inlineStr">
        <is>
          <t>GOTLANDS LÄN</t>
        </is>
      </c>
      <c r="E785" t="inlineStr">
        <is>
          <t>GOTLAND</t>
        </is>
      </c>
      <c r="G785" t="n">
        <v>5.1</v>
      </c>
      <c r="H785" t="n">
        <v>0</v>
      </c>
      <c r="I785" t="n">
        <v>0</v>
      </c>
      <c r="J785" t="n">
        <v>0</v>
      </c>
      <c r="K785" t="n">
        <v>0</v>
      </c>
      <c r="L785" t="n">
        <v>0</v>
      </c>
      <c r="M785" t="n">
        <v>0</v>
      </c>
      <c r="N785" t="n">
        <v>0</v>
      </c>
      <c r="O785" t="n">
        <v>0</v>
      </c>
      <c r="P785" t="n">
        <v>0</v>
      </c>
      <c r="Q785" t="n">
        <v>0</v>
      </c>
      <c r="R785" s="2" t="inlineStr"/>
    </row>
    <row r="786" ht="15" customHeight="1">
      <c r="A786" t="inlineStr">
        <is>
          <t>A 4483-2024</t>
        </is>
      </c>
      <c r="B786" s="1" t="n">
        <v>45327</v>
      </c>
      <c r="C786" s="1" t="n">
        <v>45754</v>
      </c>
      <c r="D786" t="inlineStr">
        <is>
          <t>GOTLANDS LÄN</t>
        </is>
      </c>
      <c r="E786" t="inlineStr">
        <is>
          <t>GOTLAND</t>
        </is>
      </c>
      <c r="G786" t="n">
        <v>4.6</v>
      </c>
      <c r="H786" t="n">
        <v>0</v>
      </c>
      <c r="I786" t="n">
        <v>0</v>
      </c>
      <c r="J786" t="n">
        <v>0</v>
      </c>
      <c r="K786" t="n">
        <v>0</v>
      </c>
      <c r="L786" t="n">
        <v>0</v>
      </c>
      <c r="M786" t="n">
        <v>0</v>
      </c>
      <c r="N786" t="n">
        <v>0</v>
      </c>
      <c r="O786" t="n">
        <v>0</v>
      </c>
      <c r="P786" t="n">
        <v>0</v>
      </c>
      <c r="Q786" t="n">
        <v>0</v>
      </c>
      <c r="R786" s="2" t="inlineStr"/>
    </row>
    <row r="787" ht="15" customHeight="1">
      <c r="A787" t="inlineStr">
        <is>
          <t>A 4689-2024</t>
        </is>
      </c>
      <c r="B787" s="1" t="n">
        <v>45328</v>
      </c>
      <c r="C787" s="1" t="n">
        <v>45754</v>
      </c>
      <c r="D787" t="inlineStr">
        <is>
          <t>GOTLANDS LÄN</t>
        </is>
      </c>
      <c r="E787" t="inlineStr">
        <is>
          <t>GOTLAND</t>
        </is>
      </c>
      <c r="G787" t="n">
        <v>1.3</v>
      </c>
      <c r="H787" t="n">
        <v>0</v>
      </c>
      <c r="I787" t="n">
        <v>0</v>
      </c>
      <c r="J787" t="n">
        <v>0</v>
      </c>
      <c r="K787" t="n">
        <v>0</v>
      </c>
      <c r="L787" t="n">
        <v>0</v>
      </c>
      <c r="M787" t="n">
        <v>0</v>
      </c>
      <c r="N787" t="n">
        <v>0</v>
      </c>
      <c r="O787" t="n">
        <v>0</v>
      </c>
      <c r="P787" t="n">
        <v>0</v>
      </c>
      <c r="Q787" t="n">
        <v>0</v>
      </c>
      <c r="R787" s="2" t="inlineStr"/>
    </row>
    <row r="788" ht="15" customHeight="1">
      <c r="A788" t="inlineStr">
        <is>
          <t>A 4868-2024</t>
        </is>
      </c>
      <c r="B788" s="1" t="n">
        <v>45329</v>
      </c>
      <c r="C788" s="1" t="n">
        <v>45754</v>
      </c>
      <c r="D788" t="inlineStr">
        <is>
          <t>GOTLANDS LÄN</t>
        </is>
      </c>
      <c r="E788" t="inlineStr">
        <is>
          <t>GOTLAND</t>
        </is>
      </c>
      <c r="G788" t="n">
        <v>7.1</v>
      </c>
      <c r="H788" t="n">
        <v>0</v>
      </c>
      <c r="I788" t="n">
        <v>0</v>
      </c>
      <c r="J788" t="n">
        <v>0</v>
      </c>
      <c r="K788" t="n">
        <v>0</v>
      </c>
      <c r="L788" t="n">
        <v>0</v>
      </c>
      <c r="M788" t="n">
        <v>0</v>
      </c>
      <c r="N788" t="n">
        <v>0</v>
      </c>
      <c r="O788" t="n">
        <v>0</v>
      </c>
      <c r="P788" t="n">
        <v>0</v>
      </c>
      <c r="Q788" t="n">
        <v>0</v>
      </c>
      <c r="R788" s="2" t="inlineStr"/>
    </row>
    <row r="789" ht="15" customHeight="1">
      <c r="A789" t="inlineStr">
        <is>
          <t>A 5413-2024</t>
        </is>
      </c>
      <c r="B789" s="1" t="n">
        <v>45331</v>
      </c>
      <c r="C789" s="1" t="n">
        <v>45754</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5751-2024</t>
        </is>
      </c>
      <c r="B790" s="1" t="n">
        <v>45335</v>
      </c>
      <c r="C790" s="1" t="n">
        <v>45754</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5905-2024</t>
        </is>
      </c>
      <c r="B791" s="1" t="n">
        <v>45335</v>
      </c>
      <c r="C791" s="1" t="n">
        <v>45754</v>
      </c>
      <c r="D791" t="inlineStr">
        <is>
          <t>GOTLANDS LÄN</t>
        </is>
      </c>
      <c r="E791" t="inlineStr">
        <is>
          <t>GOTLAND</t>
        </is>
      </c>
      <c r="G791" t="n">
        <v>3</v>
      </c>
      <c r="H791" t="n">
        <v>0</v>
      </c>
      <c r="I791" t="n">
        <v>0</v>
      </c>
      <c r="J791" t="n">
        <v>0</v>
      </c>
      <c r="K791" t="n">
        <v>0</v>
      </c>
      <c r="L791" t="n">
        <v>0</v>
      </c>
      <c r="M791" t="n">
        <v>0</v>
      </c>
      <c r="N791" t="n">
        <v>0</v>
      </c>
      <c r="O791" t="n">
        <v>0</v>
      </c>
      <c r="P791" t="n">
        <v>0</v>
      </c>
      <c r="Q791" t="n">
        <v>0</v>
      </c>
      <c r="R791" s="2" t="inlineStr"/>
    </row>
    <row r="792" ht="15" customHeight="1">
      <c r="A792" t="inlineStr">
        <is>
          <t>A 5943-2024</t>
        </is>
      </c>
      <c r="B792" s="1" t="n">
        <v>45336</v>
      </c>
      <c r="C792" s="1" t="n">
        <v>45754</v>
      </c>
      <c r="D792" t="inlineStr">
        <is>
          <t>GOTLANDS LÄN</t>
        </is>
      </c>
      <c r="E792" t="inlineStr">
        <is>
          <t>GOTLAND</t>
        </is>
      </c>
      <c r="G792" t="n">
        <v>4.3</v>
      </c>
      <c r="H792" t="n">
        <v>0</v>
      </c>
      <c r="I792" t="n">
        <v>0</v>
      </c>
      <c r="J792" t="n">
        <v>0</v>
      </c>
      <c r="K792" t="n">
        <v>0</v>
      </c>
      <c r="L792" t="n">
        <v>0</v>
      </c>
      <c r="M792" t="n">
        <v>0</v>
      </c>
      <c r="N792" t="n">
        <v>0</v>
      </c>
      <c r="O792" t="n">
        <v>0</v>
      </c>
      <c r="P792" t="n">
        <v>0</v>
      </c>
      <c r="Q792" t="n">
        <v>0</v>
      </c>
      <c r="R792" s="2" t="inlineStr"/>
    </row>
    <row r="793" ht="15" customHeight="1">
      <c r="A793" t="inlineStr">
        <is>
          <t>A 6099-2024</t>
        </is>
      </c>
      <c r="B793" s="1" t="n">
        <v>45337</v>
      </c>
      <c r="C793" s="1" t="n">
        <v>45754</v>
      </c>
      <c r="D793" t="inlineStr">
        <is>
          <t>GOTLANDS LÄN</t>
        </is>
      </c>
      <c r="E793" t="inlineStr">
        <is>
          <t>GOTLAND</t>
        </is>
      </c>
      <c r="G793" t="n">
        <v>12.6</v>
      </c>
      <c r="H793" t="n">
        <v>0</v>
      </c>
      <c r="I793" t="n">
        <v>0</v>
      </c>
      <c r="J793" t="n">
        <v>0</v>
      </c>
      <c r="K793" t="n">
        <v>0</v>
      </c>
      <c r="L793" t="n">
        <v>0</v>
      </c>
      <c r="M793" t="n">
        <v>0</v>
      </c>
      <c r="N793" t="n">
        <v>0</v>
      </c>
      <c r="O793" t="n">
        <v>0</v>
      </c>
      <c r="P793" t="n">
        <v>0</v>
      </c>
      <c r="Q793" t="n">
        <v>0</v>
      </c>
      <c r="R793" s="2" t="inlineStr"/>
    </row>
    <row r="794" ht="15" customHeight="1">
      <c r="A794" t="inlineStr">
        <is>
          <t>A 6141-2024</t>
        </is>
      </c>
      <c r="B794" s="1" t="n">
        <v>45337</v>
      </c>
      <c r="C794" s="1" t="n">
        <v>45754</v>
      </c>
      <c r="D794" t="inlineStr">
        <is>
          <t>GOTLANDS LÄN</t>
        </is>
      </c>
      <c r="E794" t="inlineStr">
        <is>
          <t>GOTLAND</t>
        </is>
      </c>
      <c r="G794" t="n">
        <v>6.1</v>
      </c>
      <c r="H794" t="n">
        <v>0</v>
      </c>
      <c r="I794" t="n">
        <v>0</v>
      </c>
      <c r="J794" t="n">
        <v>0</v>
      </c>
      <c r="K794" t="n">
        <v>0</v>
      </c>
      <c r="L794" t="n">
        <v>0</v>
      </c>
      <c r="M794" t="n">
        <v>0</v>
      </c>
      <c r="N794" t="n">
        <v>0</v>
      </c>
      <c r="O794" t="n">
        <v>0</v>
      </c>
      <c r="P794" t="n">
        <v>0</v>
      </c>
      <c r="Q794" t="n">
        <v>0</v>
      </c>
      <c r="R794" s="2" t="inlineStr"/>
    </row>
    <row r="795" ht="15" customHeight="1">
      <c r="A795" t="inlineStr">
        <is>
          <t>A 6153-2024</t>
        </is>
      </c>
      <c r="B795" s="1" t="n">
        <v>45337</v>
      </c>
      <c r="C795" s="1" t="n">
        <v>45754</v>
      </c>
      <c r="D795" t="inlineStr">
        <is>
          <t>GOTLANDS LÄN</t>
        </is>
      </c>
      <c r="E795" t="inlineStr">
        <is>
          <t>GOTLAND</t>
        </is>
      </c>
      <c r="G795" t="n">
        <v>14.2</v>
      </c>
      <c r="H795" t="n">
        <v>0</v>
      </c>
      <c r="I795" t="n">
        <v>0</v>
      </c>
      <c r="J795" t="n">
        <v>0</v>
      </c>
      <c r="K795" t="n">
        <v>0</v>
      </c>
      <c r="L795" t="n">
        <v>0</v>
      </c>
      <c r="M795" t="n">
        <v>0</v>
      </c>
      <c r="N795" t="n">
        <v>0</v>
      </c>
      <c r="O795" t="n">
        <v>0</v>
      </c>
      <c r="P795" t="n">
        <v>0</v>
      </c>
      <c r="Q795" t="n">
        <v>0</v>
      </c>
      <c r="R795" s="2" t="inlineStr"/>
    </row>
    <row r="796" ht="15" customHeight="1">
      <c r="A796" t="inlineStr">
        <is>
          <t>A 6138-2024</t>
        </is>
      </c>
      <c r="B796" s="1" t="n">
        <v>45337</v>
      </c>
      <c r="C796" s="1" t="n">
        <v>45754</v>
      </c>
      <c r="D796" t="inlineStr">
        <is>
          <t>GOTLANDS LÄN</t>
        </is>
      </c>
      <c r="E796" t="inlineStr">
        <is>
          <t>GOTLAND</t>
        </is>
      </c>
      <c r="G796" t="n">
        <v>24.8</v>
      </c>
      <c r="H796" t="n">
        <v>0</v>
      </c>
      <c r="I796" t="n">
        <v>0</v>
      </c>
      <c r="J796" t="n">
        <v>0</v>
      </c>
      <c r="K796" t="n">
        <v>0</v>
      </c>
      <c r="L796" t="n">
        <v>0</v>
      </c>
      <c r="M796" t="n">
        <v>0</v>
      </c>
      <c r="N796" t="n">
        <v>0</v>
      </c>
      <c r="O796" t="n">
        <v>0</v>
      </c>
      <c r="P796" t="n">
        <v>0</v>
      </c>
      <c r="Q796" t="n">
        <v>0</v>
      </c>
      <c r="R796" s="2" t="inlineStr"/>
    </row>
    <row r="797" ht="15" customHeight="1">
      <c r="A797" t="inlineStr">
        <is>
          <t>A 7497-2024</t>
        </is>
      </c>
      <c r="B797" s="1" t="n">
        <v>45347</v>
      </c>
      <c r="C797" s="1" t="n">
        <v>45754</v>
      </c>
      <c r="D797" t="inlineStr">
        <is>
          <t>GOTLANDS LÄN</t>
        </is>
      </c>
      <c r="E797" t="inlineStr">
        <is>
          <t>GOTLAND</t>
        </is>
      </c>
      <c r="G797" t="n">
        <v>18.5</v>
      </c>
      <c r="H797" t="n">
        <v>0</v>
      </c>
      <c r="I797" t="n">
        <v>0</v>
      </c>
      <c r="J797" t="n">
        <v>0</v>
      </c>
      <c r="K797" t="n">
        <v>0</v>
      </c>
      <c r="L797" t="n">
        <v>0</v>
      </c>
      <c r="M797" t="n">
        <v>0</v>
      </c>
      <c r="N797" t="n">
        <v>0</v>
      </c>
      <c r="O797" t="n">
        <v>0</v>
      </c>
      <c r="P797" t="n">
        <v>0</v>
      </c>
      <c r="Q797" t="n">
        <v>0</v>
      </c>
      <c r="R797" s="2" t="inlineStr"/>
    </row>
    <row r="798" ht="15" customHeight="1">
      <c r="A798" t="inlineStr">
        <is>
          <t>A 7837-2024</t>
        </is>
      </c>
      <c r="B798" s="1" t="n">
        <v>45349</v>
      </c>
      <c r="C798" s="1" t="n">
        <v>45754</v>
      </c>
      <c r="D798" t="inlineStr">
        <is>
          <t>GOTLANDS LÄN</t>
        </is>
      </c>
      <c r="E798" t="inlineStr">
        <is>
          <t>GOTLAND</t>
        </is>
      </c>
      <c r="G798" t="n">
        <v>5</v>
      </c>
      <c r="H798" t="n">
        <v>0</v>
      </c>
      <c r="I798" t="n">
        <v>0</v>
      </c>
      <c r="J798" t="n">
        <v>0</v>
      </c>
      <c r="K798" t="n">
        <v>0</v>
      </c>
      <c r="L798" t="n">
        <v>0</v>
      </c>
      <c r="M798" t="n">
        <v>0</v>
      </c>
      <c r="N798" t="n">
        <v>0</v>
      </c>
      <c r="O798" t="n">
        <v>0</v>
      </c>
      <c r="P798" t="n">
        <v>0</v>
      </c>
      <c r="Q798" t="n">
        <v>0</v>
      </c>
      <c r="R798" s="2" t="inlineStr"/>
    </row>
    <row r="799" ht="15" customHeight="1">
      <c r="A799" t="inlineStr">
        <is>
          <t>A 7835-2024</t>
        </is>
      </c>
      <c r="B799" s="1" t="n">
        <v>45349</v>
      </c>
      <c r="C799" s="1" t="n">
        <v>45754</v>
      </c>
      <c r="D799" t="inlineStr">
        <is>
          <t>GOTLANDS LÄN</t>
        </is>
      </c>
      <c r="E799" t="inlineStr">
        <is>
          <t>GOTLAND</t>
        </is>
      </c>
      <c r="G799" t="n">
        <v>3.8</v>
      </c>
      <c r="H799" t="n">
        <v>0</v>
      </c>
      <c r="I799" t="n">
        <v>0</v>
      </c>
      <c r="J799" t="n">
        <v>0</v>
      </c>
      <c r="K799" t="n">
        <v>0</v>
      </c>
      <c r="L799" t="n">
        <v>0</v>
      </c>
      <c r="M799" t="n">
        <v>0</v>
      </c>
      <c r="N799" t="n">
        <v>0</v>
      </c>
      <c r="O799" t="n">
        <v>0</v>
      </c>
      <c r="P799" t="n">
        <v>0</v>
      </c>
      <c r="Q799" t="n">
        <v>0</v>
      </c>
      <c r="R799" s="2" t="inlineStr"/>
    </row>
    <row r="800" ht="15" customHeight="1">
      <c r="A800" t="inlineStr">
        <is>
          <t>A 8460-2024</t>
        </is>
      </c>
      <c r="B800" s="1" t="n">
        <v>45355</v>
      </c>
      <c r="C800" s="1" t="n">
        <v>45754</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9947-2024</t>
        </is>
      </c>
      <c r="B801" s="1" t="n">
        <v>45363</v>
      </c>
      <c r="C801" s="1" t="n">
        <v>45754</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10051-2024</t>
        </is>
      </c>
      <c r="B802" s="1" t="n">
        <v>45364</v>
      </c>
      <c r="C802" s="1" t="n">
        <v>45754</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10503-2024</t>
        </is>
      </c>
      <c r="B803" s="1" t="n">
        <v>45366</v>
      </c>
      <c r="C803" s="1" t="n">
        <v>45754</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10656-2024</t>
        </is>
      </c>
      <c r="B804" s="1" t="n">
        <v>45368</v>
      </c>
      <c r="C804" s="1" t="n">
        <v>45754</v>
      </c>
      <c r="D804" t="inlineStr">
        <is>
          <t>GOTLANDS LÄN</t>
        </is>
      </c>
      <c r="E804" t="inlineStr">
        <is>
          <t>GOTLAND</t>
        </is>
      </c>
      <c r="G804" t="n">
        <v>1.5</v>
      </c>
      <c r="H804" t="n">
        <v>0</v>
      </c>
      <c r="I804" t="n">
        <v>0</v>
      </c>
      <c r="J804" t="n">
        <v>0</v>
      </c>
      <c r="K804" t="n">
        <v>0</v>
      </c>
      <c r="L804" t="n">
        <v>0</v>
      </c>
      <c r="M804" t="n">
        <v>0</v>
      </c>
      <c r="N804" t="n">
        <v>0</v>
      </c>
      <c r="O804" t="n">
        <v>0</v>
      </c>
      <c r="P804" t="n">
        <v>0</v>
      </c>
      <c r="Q804" t="n">
        <v>0</v>
      </c>
      <c r="R804" s="2" t="inlineStr"/>
    </row>
    <row r="805" ht="15" customHeight="1">
      <c r="A805" t="inlineStr">
        <is>
          <t>A 11013-2024</t>
        </is>
      </c>
      <c r="B805" s="1" t="n">
        <v>45370</v>
      </c>
      <c r="C805" s="1" t="n">
        <v>45754</v>
      </c>
      <c r="D805" t="inlineStr">
        <is>
          <t>GOTLANDS LÄN</t>
        </is>
      </c>
      <c r="E805" t="inlineStr">
        <is>
          <t>GOTLAND</t>
        </is>
      </c>
      <c r="G805" t="n">
        <v>0.7</v>
      </c>
      <c r="H805" t="n">
        <v>0</v>
      </c>
      <c r="I805" t="n">
        <v>0</v>
      </c>
      <c r="J805" t="n">
        <v>0</v>
      </c>
      <c r="K805" t="n">
        <v>0</v>
      </c>
      <c r="L805" t="n">
        <v>0</v>
      </c>
      <c r="M805" t="n">
        <v>0</v>
      </c>
      <c r="N805" t="n">
        <v>0</v>
      </c>
      <c r="O805" t="n">
        <v>0</v>
      </c>
      <c r="P805" t="n">
        <v>0</v>
      </c>
      <c r="Q805" t="n">
        <v>0</v>
      </c>
      <c r="R805" s="2" t="inlineStr"/>
    </row>
    <row r="806" ht="15" customHeight="1">
      <c r="A806" t="inlineStr">
        <is>
          <t>A 11254-2024</t>
        </is>
      </c>
      <c r="B806" s="1" t="n">
        <v>45371</v>
      </c>
      <c r="C806" s="1" t="n">
        <v>45754</v>
      </c>
      <c r="D806" t="inlineStr">
        <is>
          <t>GOTLANDS LÄN</t>
        </is>
      </c>
      <c r="E806" t="inlineStr">
        <is>
          <t>GOTLAND</t>
        </is>
      </c>
      <c r="G806" t="n">
        <v>5.6</v>
      </c>
      <c r="H806" t="n">
        <v>0</v>
      </c>
      <c r="I806" t="n">
        <v>0</v>
      </c>
      <c r="J806" t="n">
        <v>0</v>
      </c>
      <c r="K806" t="n">
        <v>0</v>
      </c>
      <c r="L806" t="n">
        <v>0</v>
      </c>
      <c r="M806" t="n">
        <v>0</v>
      </c>
      <c r="N806" t="n">
        <v>0</v>
      </c>
      <c r="O806" t="n">
        <v>0</v>
      </c>
      <c r="P806" t="n">
        <v>0</v>
      </c>
      <c r="Q806" t="n">
        <v>0</v>
      </c>
      <c r="R806" s="2" t="inlineStr"/>
    </row>
    <row r="807" ht="15" customHeight="1">
      <c r="A807" t="inlineStr">
        <is>
          <t>A 11634-2024</t>
        </is>
      </c>
      <c r="B807" s="1" t="n">
        <v>45373</v>
      </c>
      <c r="C807" s="1" t="n">
        <v>45754</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11722-2024</t>
        </is>
      </c>
      <c r="B808" s="1" t="n">
        <v>45373</v>
      </c>
      <c r="C808" s="1" t="n">
        <v>45754</v>
      </c>
      <c r="D808" t="inlineStr">
        <is>
          <t>GOTLANDS LÄN</t>
        </is>
      </c>
      <c r="E808" t="inlineStr">
        <is>
          <t>GOTLAND</t>
        </is>
      </c>
      <c r="G808" t="n">
        <v>0.9</v>
      </c>
      <c r="H808" t="n">
        <v>0</v>
      </c>
      <c r="I808" t="n">
        <v>0</v>
      </c>
      <c r="J808" t="n">
        <v>0</v>
      </c>
      <c r="K808" t="n">
        <v>0</v>
      </c>
      <c r="L808" t="n">
        <v>0</v>
      </c>
      <c r="M808" t="n">
        <v>0</v>
      </c>
      <c r="N808" t="n">
        <v>0</v>
      </c>
      <c r="O808" t="n">
        <v>0</v>
      </c>
      <c r="P808" t="n">
        <v>0</v>
      </c>
      <c r="Q808" t="n">
        <v>0</v>
      </c>
      <c r="R808" s="2" t="inlineStr"/>
    </row>
    <row r="809" ht="15" customHeight="1">
      <c r="A809" t="inlineStr">
        <is>
          <t>A 11590-2024</t>
        </is>
      </c>
      <c r="B809" s="1" t="n">
        <v>45373</v>
      </c>
      <c r="C809" s="1" t="n">
        <v>45754</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11598-2024</t>
        </is>
      </c>
      <c r="B810" s="1" t="n">
        <v>45373</v>
      </c>
      <c r="C810" s="1" t="n">
        <v>45754</v>
      </c>
      <c r="D810" t="inlineStr">
        <is>
          <t>GOTLANDS LÄN</t>
        </is>
      </c>
      <c r="E810" t="inlineStr">
        <is>
          <t>GOTLAND</t>
        </is>
      </c>
      <c r="G810" t="n">
        <v>0.3</v>
      </c>
      <c r="H810" t="n">
        <v>0</v>
      </c>
      <c r="I810" t="n">
        <v>0</v>
      </c>
      <c r="J810" t="n">
        <v>0</v>
      </c>
      <c r="K810" t="n">
        <v>0</v>
      </c>
      <c r="L810" t="n">
        <v>0</v>
      </c>
      <c r="M810" t="n">
        <v>0</v>
      </c>
      <c r="N810" t="n">
        <v>0</v>
      </c>
      <c r="O810" t="n">
        <v>0</v>
      </c>
      <c r="P810" t="n">
        <v>0</v>
      </c>
      <c r="Q810" t="n">
        <v>0</v>
      </c>
      <c r="R810" s="2" t="inlineStr"/>
    </row>
    <row r="811" ht="15" customHeight="1">
      <c r="A811" t="inlineStr">
        <is>
          <t>A 11863-2024</t>
        </is>
      </c>
      <c r="B811" s="1" t="n">
        <v>45376</v>
      </c>
      <c r="C811" s="1" t="n">
        <v>45754</v>
      </c>
      <c r="D811" t="inlineStr">
        <is>
          <t>GOTLANDS LÄN</t>
        </is>
      </c>
      <c r="E811" t="inlineStr">
        <is>
          <t>GOTLAND</t>
        </is>
      </c>
      <c r="G811" t="n">
        <v>3.2</v>
      </c>
      <c r="H811" t="n">
        <v>0</v>
      </c>
      <c r="I811" t="n">
        <v>0</v>
      </c>
      <c r="J811" t="n">
        <v>0</v>
      </c>
      <c r="K811" t="n">
        <v>0</v>
      </c>
      <c r="L811" t="n">
        <v>0</v>
      </c>
      <c r="M811" t="n">
        <v>0</v>
      </c>
      <c r="N811" t="n">
        <v>0</v>
      </c>
      <c r="O811" t="n">
        <v>0</v>
      </c>
      <c r="P811" t="n">
        <v>0</v>
      </c>
      <c r="Q811" t="n">
        <v>0</v>
      </c>
      <c r="R811" s="2" t="inlineStr"/>
    </row>
    <row r="812" ht="15" customHeight="1">
      <c r="A812" t="inlineStr">
        <is>
          <t>A 11868-2024</t>
        </is>
      </c>
      <c r="B812" s="1" t="n">
        <v>45376</v>
      </c>
      <c r="C812" s="1" t="n">
        <v>45754</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11874-2024</t>
        </is>
      </c>
      <c r="B813" s="1" t="n">
        <v>45376</v>
      </c>
      <c r="C813" s="1" t="n">
        <v>45754</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12208-2024</t>
        </is>
      </c>
      <c r="B814" s="1" t="n">
        <v>45378</v>
      </c>
      <c r="C814" s="1" t="n">
        <v>45754</v>
      </c>
      <c r="D814" t="inlineStr">
        <is>
          <t>GOTLANDS LÄN</t>
        </is>
      </c>
      <c r="E814" t="inlineStr">
        <is>
          <t>GOTLAND</t>
        </is>
      </c>
      <c r="G814" t="n">
        <v>4.5</v>
      </c>
      <c r="H814" t="n">
        <v>0</v>
      </c>
      <c r="I814" t="n">
        <v>0</v>
      </c>
      <c r="J814" t="n">
        <v>0</v>
      </c>
      <c r="K814" t="n">
        <v>0</v>
      </c>
      <c r="L814" t="n">
        <v>0</v>
      </c>
      <c r="M814" t="n">
        <v>0</v>
      </c>
      <c r="N814" t="n">
        <v>0</v>
      </c>
      <c r="O814" t="n">
        <v>0</v>
      </c>
      <c r="P814" t="n">
        <v>0</v>
      </c>
      <c r="Q814" t="n">
        <v>0</v>
      </c>
      <c r="R814" s="2" t="inlineStr"/>
    </row>
    <row r="815" ht="15" customHeight="1">
      <c r="A815" t="inlineStr">
        <is>
          <t>A 12210-2024</t>
        </is>
      </c>
      <c r="B815" s="1" t="n">
        <v>45378</v>
      </c>
      <c r="C815" s="1" t="n">
        <v>45754</v>
      </c>
      <c r="D815" t="inlineStr">
        <is>
          <t>GOTLANDS LÄN</t>
        </is>
      </c>
      <c r="E815" t="inlineStr">
        <is>
          <t>GOTLAND</t>
        </is>
      </c>
      <c r="G815" t="n">
        <v>4.1</v>
      </c>
      <c r="H815" t="n">
        <v>0</v>
      </c>
      <c r="I815" t="n">
        <v>0</v>
      </c>
      <c r="J815" t="n">
        <v>0</v>
      </c>
      <c r="K815" t="n">
        <v>0</v>
      </c>
      <c r="L815" t="n">
        <v>0</v>
      </c>
      <c r="M815" t="n">
        <v>0</v>
      </c>
      <c r="N815" t="n">
        <v>0</v>
      </c>
      <c r="O815" t="n">
        <v>0</v>
      </c>
      <c r="P815" t="n">
        <v>0</v>
      </c>
      <c r="Q815" t="n">
        <v>0</v>
      </c>
      <c r="R815" s="2" t="inlineStr"/>
    </row>
    <row r="816" ht="15" customHeight="1">
      <c r="A816" t="inlineStr">
        <is>
          <t>A 12207-2024</t>
        </is>
      </c>
      <c r="B816" s="1" t="n">
        <v>45378</v>
      </c>
      <c r="C816" s="1" t="n">
        <v>45754</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12209-2024</t>
        </is>
      </c>
      <c r="B817" s="1" t="n">
        <v>45378</v>
      </c>
      <c r="C817" s="1" t="n">
        <v>45754</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12312-2024</t>
        </is>
      </c>
      <c r="B818" s="1" t="n">
        <v>45378</v>
      </c>
      <c r="C818" s="1" t="n">
        <v>45754</v>
      </c>
      <c r="D818" t="inlineStr">
        <is>
          <t>GOTLANDS LÄN</t>
        </is>
      </c>
      <c r="E818" t="inlineStr">
        <is>
          <t>GOTLAND</t>
        </is>
      </c>
      <c r="G818" t="n">
        <v>1.8</v>
      </c>
      <c r="H818" t="n">
        <v>0</v>
      </c>
      <c r="I818" t="n">
        <v>0</v>
      </c>
      <c r="J818" t="n">
        <v>0</v>
      </c>
      <c r="K818" t="n">
        <v>0</v>
      </c>
      <c r="L818" t="n">
        <v>0</v>
      </c>
      <c r="M818" t="n">
        <v>0</v>
      </c>
      <c r="N818" t="n">
        <v>0</v>
      </c>
      <c r="O818" t="n">
        <v>0</v>
      </c>
      <c r="P818" t="n">
        <v>0</v>
      </c>
      <c r="Q818" t="n">
        <v>0</v>
      </c>
      <c r="R818" s="2" t="inlineStr"/>
    </row>
    <row r="819" ht="15" customHeight="1">
      <c r="A819" t="inlineStr">
        <is>
          <t>A 12389-2024</t>
        </is>
      </c>
      <c r="B819" s="1" t="n">
        <v>45379</v>
      </c>
      <c r="C819" s="1" t="n">
        <v>45754</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12390-2024</t>
        </is>
      </c>
      <c r="B820" s="1" t="n">
        <v>45379</v>
      </c>
      <c r="C820" s="1" t="n">
        <v>45754</v>
      </c>
      <c r="D820" t="inlineStr">
        <is>
          <t>GOTLANDS LÄN</t>
        </is>
      </c>
      <c r="E820" t="inlineStr">
        <is>
          <t>GOTLAND</t>
        </is>
      </c>
      <c r="G820" t="n">
        <v>5.5</v>
      </c>
      <c r="H820" t="n">
        <v>0</v>
      </c>
      <c r="I820" t="n">
        <v>0</v>
      </c>
      <c r="J820" t="n">
        <v>0</v>
      </c>
      <c r="K820" t="n">
        <v>0</v>
      </c>
      <c r="L820" t="n">
        <v>0</v>
      </c>
      <c r="M820" t="n">
        <v>0</v>
      </c>
      <c r="N820" t="n">
        <v>0</v>
      </c>
      <c r="O820" t="n">
        <v>0</v>
      </c>
      <c r="P820" t="n">
        <v>0</v>
      </c>
      <c r="Q820" t="n">
        <v>0</v>
      </c>
      <c r="R820" s="2" t="inlineStr"/>
    </row>
    <row r="821" ht="15" customHeight="1">
      <c r="A821" t="inlineStr">
        <is>
          <t>A 13531-2024</t>
        </is>
      </c>
      <c r="B821" s="1" t="n">
        <v>45387</v>
      </c>
      <c r="C821" s="1" t="n">
        <v>45754</v>
      </c>
      <c r="D821" t="inlineStr">
        <is>
          <t>GOTLANDS LÄN</t>
        </is>
      </c>
      <c r="E821" t="inlineStr">
        <is>
          <t>GOTLAND</t>
        </is>
      </c>
      <c r="G821" t="n">
        <v>17.7</v>
      </c>
      <c r="H821" t="n">
        <v>0</v>
      </c>
      <c r="I821" t="n">
        <v>0</v>
      </c>
      <c r="J821" t="n">
        <v>0</v>
      </c>
      <c r="K821" t="n">
        <v>0</v>
      </c>
      <c r="L821" t="n">
        <v>0</v>
      </c>
      <c r="M821" t="n">
        <v>0</v>
      </c>
      <c r="N821" t="n">
        <v>0</v>
      </c>
      <c r="O821" t="n">
        <v>0</v>
      </c>
      <c r="P821" t="n">
        <v>0</v>
      </c>
      <c r="Q821" t="n">
        <v>0</v>
      </c>
      <c r="R821" s="2" t="inlineStr"/>
    </row>
    <row r="822" ht="15" customHeight="1">
      <c r="A822" t="inlineStr">
        <is>
          <t>A 13655-2024</t>
        </is>
      </c>
      <c r="B822" s="1" t="n">
        <v>45390</v>
      </c>
      <c r="C822" s="1" t="n">
        <v>45754</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14139-2024</t>
        </is>
      </c>
      <c r="B823" s="1" t="n">
        <v>45392</v>
      </c>
      <c r="C823" s="1" t="n">
        <v>45754</v>
      </c>
      <c r="D823" t="inlineStr">
        <is>
          <t>GOTLANDS LÄN</t>
        </is>
      </c>
      <c r="E823" t="inlineStr">
        <is>
          <t>GOTLAND</t>
        </is>
      </c>
      <c r="G823" t="n">
        <v>3.1</v>
      </c>
      <c r="H823" t="n">
        <v>0</v>
      </c>
      <c r="I823" t="n">
        <v>0</v>
      </c>
      <c r="J823" t="n">
        <v>0</v>
      </c>
      <c r="K823" t="n">
        <v>0</v>
      </c>
      <c r="L823" t="n">
        <v>0</v>
      </c>
      <c r="M823" t="n">
        <v>0</v>
      </c>
      <c r="N823" t="n">
        <v>0</v>
      </c>
      <c r="O823" t="n">
        <v>0</v>
      </c>
      <c r="P823" t="n">
        <v>0</v>
      </c>
      <c r="Q823" t="n">
        <v>0</v>
      </c>
      <c r="R823" s="2" t="inlineStr"/>
    </row>
    <row r="824" ht="15" customHeight="1">
      <c r="A824" t="inlineStr">
        <is>
          <t>A 14141-2024</t>
        </is>
      </c>
      <c r="B824" s="1" t="n">
        <v>45392</v>
      </c>
      <c r="C824" s="1" t="n">
        <v>45754</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14427-2024</t>
        </is>
      </c>
      <c r="B825" s="1" t="n">
        <v>45394</v>
      </c>
      <c r="C825" s="1" t="n">
        <v>45754</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14593-2024</t>
        </is>
      </c>
      <c r="B826" s="1" t="n">
        <v>45395</v>
      </c>
      <c r="C826" s="1" t="n">
        <v>45754</v>
      </c>
      <c r="D826" t="inlineStr">
        <is>
          <t>GOTLANDS LÄN</t>
        </is>
      </c>
      <c r="E826" t="inlineStr">
        <is>
          <t>GOTLAND</t>
        </is>
      </c>
      <c r="G826" t="n">
        <v>5.4</v>
      </c>
      <c r="H826" t="n">
        <v>0</v>
      </c>
      <c r="I826" t="n">
        <v>0</v>
      </c>
      <c r="J826" t="n">
        <v>0</v>
      </c>
      <c r="K826" t="n">
        <v>0</v>
      </c>
      <c r="L826" t="n">
        <v>0</v>
      </c>
      <c r="M826" t="n">
        <v>0</v>
      </c>
      <c r="N826" t="n">
        <v>0</v>
      </c>
      <c r="O826" t="n">
        <v>0</v>
      </c>
      <c r="P826" t="n">
        <v>0</v>
      </c>
      <c r="Q826" t="n">
        <v>0</v>
      </c>
      <c r="R826" s="2" t="inlineStr"/>
    </row>
    <row r="827" ht="15" customHeight="1">
      <c r="A827" t="inlineStr">
        <is>
          <t>A 14797-2024</t>
        </is>
      </c>
      <c r="B827" s="1" t="n">
        <v>45397</v>
      </c>
      <c r="C827" s="1" t="n">
        <v>45754</v>
      </c>
      <c r="D827" t="inlineStr">
        <is>
          <t>GOTLANDS LÄN</t>
        </is>
      </c>
      <c r="E827" t="inlineStr">
        <is>
          <t>GOTLAND</t>
        </is>
      </c>
      <c r="G827" t="n">
        <v>8.1</v>
      </c>
      <c r="H827" t="n">
        <v>0</v>
      </c>
      <c r="I827" t="n">
        <v>0</v>
      </c>
      <c r="J827" t="n">
        <v>0</v>
      </c>
      <c r="K827" t="n">
        <v>0</v>
      </c>
      <c r="L827" t="n">
        <v>0</v>
      </c>
      <c r="M827" t="n">
        <v>0</v>
      </c>
      <c r="N827" t="n">
        <v>0</v>
      </c>
      <c r="O827" t="n">
        <v>0</v>
      </c>
      <c r="P827" t="n">
        <v>0</v>
      </c>
      <c r="Q827" t="n">
        <v>0</v>
      </c>
      <c r="R827" s="2" t="inlineStr"/>
    </row>
    <row r="828" ht="15" customHeight="1">
      <c r="A828" t="inlineStr">
        <is>
          <t>A 15595-2024</t>
        </is>
      </c>
      <c r="B828" s="1" t="n">
        <v>45401</v>
      </c>
      <c r="C828" s="1" t="n">
        <v>45754</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15434-2024</t>
        </is>
      </c>
      <c r="B829" s="1" t="n">
        <v>45401</v>
      </c>
      <c r="C829" s="1" t="n">
        <v>45754</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15885-2024</t>
        </is>
      </c>
      <c r="B830" s="1" t="n">
        <v>45405</v>
      </c>
      <c r="C830" s="1" t="n">
        <v>45754</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16322-2024</t>
        </is>
      </c>
      <c r="B831" s="1" t="n">
        <v>45407</v>
      </c>
      <c r="C831" s="1" t="n">
        <v>45754</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16361-2024</t>
        </is>
      </c>
      <c r="B832" s="1" t="n">
        <v>45407</v>
      </c>
      <c r="C832" s="1" t="n">
        <v>45754</v>
      </c>
      <c r="D832" t="inlineStr">
        <is>
          <t>GOTLANDS LÄN</t>
        </is>
      </c>
      <c r="E832" t="inlineStr">
        <is>
          <t>GOTLAND</t>
        </is>
      </c>
      <c r="G832" t="n">
        <v>6</v>
      </c>
      <c r="H832" t="n">
        <v>0</v>
      </c>
      <c r="I832" t="n">
        <v>0</v>
      </c>
      <c r="J832" t="n">
        <v>0</v>
      </c>
      <c r="K832" t="n">
        <v>0</v>
      </c>
      <c r="L832" t="n">
        <v>0</v>
      </c>
      <c r="M832" t="n">
        <v>0</v>
      </c>
      <c r="N832" t="n">
        <v>0</v>
      </c>
      <c r="O832" t="n">
        <v>0</v>
      </c>
      <c r="P832" t="n">
        <v>0</v>
      </c>
      <c r="Q832" t="n">
        <v>0</v>
      </c>
      <c r="R832" s="2" t="inlineStr"/>
    </row>
    <row r="833" ht="15" customHeight="1">
      <c r="A833" t="inlineStr">
        <is>
          <t>A 16328-2024</t>
        </is>
      </c>
      <c r="B833" s="1" t="n">
        <v>45407</v>
      </c>
      <c r="C833" s="1" t="n">
        <v>45754</v>
      </c>
      <c r="D833" t="inlineStr">
        <is>
          <t>GOTLANDS LÄN</t>
        </is>
      </c>
      <c r="E833" t="inlineStr">
        <is>
          <t>GOTLAND</t>
        </is>
      </c>
      <c r="G833" t="n">
        <v>1.7</v>
      </c>
      <c r="H833" t="n">
        <v>0</v>
      </c>
      <c r="I833" t="n">
        <v>0</v>
      </c>
      <c r="J833" t="n">
        <v>0</v>
      </c>
      <c r="K833" t="n">
        <v>0</v>
      </c>
      <c r="L833" t="n">
        <v>0</v>
      </c>
      <c r="M833" t="n">
        <v>0</v>
      </c>
      <c r="N833" t="n">
        <v>0</v>
      </c>
      <c r="O833" t="n">
        <v>0</v>
      </c>
      <c r="P833" t="n">
        <v>0</v>
      </c>
      <c r="Q833" t="n">
        <v>0</v>
      </c>
      <c r="R833" s="2" t="inlineStr"/>
    </row>
    <row r="834" ht="15" customHeight="1">
      <c r="A834" t="inlineStr">
        <is>
          <t>A 17087-2024</t>
        </is>
      </c>
      <c r="B834" s="1" t="n">
        <v>45412</v>
      </c>
      <c r="C834" s="1" t="n">
        <v>45754</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17089-2024</t>
        </is>
      </c>
      <c r="B835" s="1" t="n">
        <v>45412</v>
      </c>
      <c r="C835" s="1" t="n">
        <v>45754</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17085-2024</t>
        </is>
      </c>
      <c r="B836" s="1" t="n">
        <v>45412</v>
      </c>
      <c r="C836" s="1" t="n">
        <v>45754</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17532-2024</t>
        </is>
      </c>
      <c r="B837" s="1" t="n">
        <v>45415</v>
      </c>
      <c r="C837" s="1" t="n">
        <v>45754</v>
      </c>
      <c r="D837" t="inlineStr">
        <is>
          <t>GOTLANDS LÄN</t>
        </is>
      </c>
      <c r="E837" t="inlineStr">
        <is>
          <t>GOTLAND</t>
        </is>
      </c>
      <c r="G837" t="n">
        <v>4.3</v>
      </c>
      <c r="H837" t="n">
        <v>0</v>
      </c>
      <c r="I837" t="n">
        <v>0</v>
      </c>
      <c r="J837" t="n">
        <v>0</v>
      </c>
      <c r="K837" t="n">
        <v>0</v>
      </c>
      <c r="L837" t="n">
        <v>0</v>
      </c>
      <c r="M837" t="n">
        <v>0</v>
      </c>
      <c r="N837" t="n">
        <v>0</v>
      </c>
      <c r="O837" t="n">
        <v>0</v>
      </c>
      <c r="P837" t="n">
        <v>0</v>
      </c>
      <c r="Q837" t="n">
        <v>0</v>
      </c>
      <c r="R837" s="2" t="inlineStr"/>
    </row>
    <row r="838" ht="15" customHeight="1">
      <c r="A838" t="inlineStr">
        <is>
          <t>A 17541-2024</t>
        </is>
      </c>
      <c r="B838" s="1" t="n">
        <v>45415</v>
      </c>
      <c r="C838" s="1" t="n">
        <v>45754</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17616-2024</t>
        </is>
      </c>
      <c r="B839" s="1" t="n">
        <v>45416</v>
      </c>
      <c r="C839" s="1" t="n">
        <v>45754</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17617-2024</t>
        </is>
      </c>
      <c r="B840" s="1" t="n">
        <v>45416</v>
      </c>
      <c r="C840" s="1" t="n">
        <v>45754</v>
      </c>
      <c r="D840" t="inlineStr">
        <is>
          <t>GOTLANDS LÄN</t>
        </is>
      </c>
      <c r="E840" t="inlineStr">
        <is>
          <t>GOTLAND</t>
        </is>
      </c>
      <c r="G840" t="n">
        <v>1.6</v>
      </c>
      <c r="H840" t="n">
        <v>0</v>
      </c>
      <c r="I840" t="n">
        <v>0</v>
      </c>
      <c r="J840" t="n">
        <v>0</v>
      </c>
      <c r="K840" t="n">
        <v>0</v>
      </c>
      <c r="L840" t="n">
        <v>0</v>
      </c>
      <c r="M840" t="n">
        <v>0</v>
      </c>
      <c r="N840" t="n">
        <v>0</v>
      </c>
      <c r="O840" t="n">
        <v>0</v>
      </c>
      <c r="P840" t="n">
        <v>0</v>
      </c>
      <c r="Q840" t="n">
        <v>0</v>
      </c>
      <c r="R840" s="2" t="inlineStr"/>
    </row>
    <row r="841" ht="15" customHeight="1">
      <c r="A841" t="inlineStr">
        <is>
          <t>A 17688-2024</t>
        </is>
      </c>
      <c r="B841" s="1" t="n">
        <v>45418</v>
      </c>
      <c r="C841" s="1" t="n">
        <v>45754</v>
      </c>
      <c r="D841" t="inlineStr">
        <is>
          <t>GOTLANDS LÄN</t>
        </is>
      </c>
      <c r="E841" t="inlineStr">
        <is>
          <t>GOTLAND</t>
        </is>
      </c>
      <c r="G841" t="n">
        <v>1.2</v>
      </c>
      <c r="H841" t="n">
        <v>0</v>
      </c>
      <c r="I841" t="n">
        <v>0</v>
      </c>
      <c r="J841" t="n">
        <v>0</v>
      </c>
      <c r="K841" t="n">
        <v>0</v>
      </c>
      <c r="L841" t="n">
        <v>0</v>
      </c>
      <c r="M841" t="n">
        <v>0</v>
      </c>
      <c r="N841" t="n">
        <v>0</v>
      </c>
      <c r="O841" t="n">
        <v>0</v>
      </c>
      <c r="P841" t="n">
        <v>0</v>
      </c>
      <c r="Q841" t="n">
        <v>0</v>
      </c>
      <c r="R841" s="2" t="inlineStr"/>
    </row>
    <row r="842" ht="15" customHeight="1">
      <c r="A842" t="inlineStr">
        <is>
          <t>A 17691-2024</t>
        </is>
      </c>
      <c r="B842" s="1" t="n">
        <v>45418</v>
      </c>
      <c r="C842" s="1" t="n">
        <v>45754</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17743-2024</t>
        </is>
      </c>
      <c r="B843" s="1" t="n">
        <v>45418</v>
      </c>
      <c r="C843" s="1" t="n">
        <v>45754</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17786-2024</t>
        </is>
      </c>
      <c r="B844" s="1" t="n">
        <v>45418</v>
      </c>
      <c r="C844" s="1" t="n">
        <v>45754</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17682-2024</t>
        </is>
      </c>
      <c r="B845" s="1" t="n">
        <v>45418</v>
      </c>
      <c r="C845" s="1" t="n">
        <v>45754</v>
      </c>
      <c r="D845" t="inlineStr">
        <is>
          <t>GOTLANDS LÄN</t>
        </is>
      </c>
      <c r="E845" t="inlineStr">
        <is>
          <t>GOTLAND</t>
        </is>
      </c>
      <c r="G845" t="n">
        <v>2.9</v>
      </c>
      <c r="H845" t="n">
        <v>0</v>
      </c>
      <c r="I845" t="n">
        <v>0</v>
      </c>
      <c r="J845" t="n">
        <v>0</v>
      </c>
      <c r="K845" t="n">
        <v>0</v>
      </c>
      <c r="L845" t="n">
        <v>0</v>
      </c>
      <c r="M845" t="n">
        <v>0</v>
      </c>
      <c r="N845" t="n">
        <v>0</v>
      </c>
      <c r="O845" t="n">
        <v>0</v>
      </c>
      <c r="P845" t="n">
        <v>0</v>
      </c>
      <c r="Q845" t="n">
        <v>0</v>
      </c>
      <c r="R845" s="2" t="inlineStr"/>
    </row>
    <row r="846" ht="15" customHeight="1">
      <c r="A846" t="inlineStr">
        <is>
          <t>A 17686-2024</t>
        </is>
      </c>
      <c r="B846" s="1" t="n">
        <v>45418</v>
      </c>
      <c r="C846" s="1" t="n">
        <v>45754</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17724-2024</t>
        </is>
      </c>
      <c r="B847" s="1" t="n">
        <v>45418</v>
      </c>
      <c r="C847" s="1" t="n">
        <v>45754</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17742-2024</t>
        </is>
      </c>
      <c r="B848" s="1" t="n">
        <v>45418</v>
      </c>
      <c r="C848" s="1" t="n">
        <v>45754</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18056-2024</t>
        </is>
      </c>
      <c r="B849" s="1" t="n">
        <v>45420</v>
      </c>
      <c r="C849" s="1" t="n">
        <v>45754</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18380-2024</t>
        </is>
      </c>
      <c r="B850" s="1" t="n">
        <v>45424</v>
      </c>
      <c r="C850" s="1" t="n">
        <v>45754</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18896-2024</t>
        </is>
      </c>
      <c r="B851" s="1" t="n">
        <v>45427</v>
      </c>
      <c r="C851" s="1" t="n">
        <v>45754</v>
      </c>
      <c r="D851" t="inlineStr">
        <is>
          <t>GOTLANDS LÄN</t>
        </is>
      </c>
      <c r="E851" t="inlineStr">
        <is>
          <t>GOTLAND</t>
        </is>
      </c>
      <c r="G851" t="n">
        <v>5.1</v>
      </c>
      <c r="H851" t="n">
        <v>0</v>
      </c>
      <c r="I851" t="n">
        <v>0</v>
      </c>
      <c r="J851" t="n">
        <v>0</v>
      </c>
      <c r="K851" t="n">
        <v>0</v>
      </c>
      <c r="L851" t="n">
        <v>0</v>
      </c>
      <c r="M851" t="n">
        <v>0</v>
      </c>
      <c r="N851" t="n">
        <v>0</v>
      </c>
      <c r="O851" t="n">
        <v>0</v>
      </c>
      <c r="P851" t="n">
        <v>0</v>
      </c>
      <c r="Q851" t="n">
        <v>0</v>
      </c>
      <c r="R851" s="2" t="inlineStr"/>
    </row>
    <row r="852" ht="15" customHeight="1">
      <c r="A852" t="inlineStr">
        <is>
          <t>A 20290-2024</t>
        </is>
      </c>
      <c r="B852" s="1" t="n">
        <v>45435</v>
      </c>
      <c r="C852" s="1" t="n">
        <v>45754</v>
      </c>
      <c r="D852" t="inlineStr">
        <is>
          <t>GOTLANDS LÄN</t>
        </is>
      </c>
      <c r="E852" t="inlineStr">
        <is>
          <t>GOTLAND</t>
        </is>
      </c>
      <c r="G852" t="n">
        <v>10.9</v>
      </c>
      <c r="H852" t="n">
        <v>0</v>
      </c>
      <c r="I852" t="n">
        <v>0</v>
      </c>
      <c r="J852" t="n">
        <v>0</v>
      </c>
      <c r="K852" t="n">
        <v>0</v>
      </c>
      <c r="L852" t="n">
        <v>0</v>
      </c>
      <c r="M852" t="n">
        <v>0</v>
      </c>
      <c r="N852" t="n">
        <v>0</v>
      </c>
      <c r="O852" t="n">
        <v>0</v>
      </c>
      <c r="P852" t="n">
        <v>0</v>
      </c>
      <c r="Q852" t="n">
        <v>0</v>
      </c>
      <c r="R852" s="2" t="inlineStr"/>
    </row>
    <row r="853" ht="15" customHeight="1">
      <c r="A853" t="inlineStr">
        <is>
          <t>A 20292-2024</t>
        </is>
      </c>
      <c r="B853" s="1" t="n">
        <v>45435</v>
      </c>
      <c r="C853" s="1" t="n">
        <v>45754</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21164-2024</t>
        </is>
      </c>
      <c r="B854" s="1" t="n">
        <v>45440</v>
      </c>
      <c r="C854" s="1" t="n">
        <v>45754</v>
      </c>
      <c r="D854" t="inlineStr">
        <is>
          <t>GOTLANDS LÄN</t>
        </is>
      </c>
      <c r="E854" t="inlineStr">
        <is>
          <t>GOTLAND</t>
        </is>
      </c>
      <c r="G854" t="n">
        <v>6.3</v>
      </c>
      <c r="H854" t="n">
        <v>0</v>
      </c>
      <c r="I854" t="n">
        <v>0</v>
      </c>
      <c r="J854" t="n">
        <v>0</v>
      </c>
      <c r="K854" t="n">
        <v>0</v>
      </c>
      <c r="L854" t="n">
        <v>0</v>
      </c>
      <c r="M854" t="n">
        <v>0</v>
      </c>
      <c r="N854" t="n">
        <v>0</v>
      </c>
      <c r="O854" t="n">
        <v>0</v>
      </c>
      <c r="P854" t="n">
        <v>0</v>
      </c>
      <c r="Q854" t="n">
        <v>0</v>
      </c>
      <c r="R854" s="2" t="inlineStr"/>
    </row>
    <row r="855" ht="15" customHeight="1">
      <c r="A855" t="inlineStr">
        <is>
          <t>A 21154-2024</t>
        </is>
      </c>
      <c r="B855" s="1" t="n">
        <v>45440</v>
      </c>
      <c r="C855" s="1" t="n">
        <v>45754</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21420-2024</t>
        </is>
      </c>
      <c r="B856" s="1" t="n">
        <v>45441</v>
      </c>
      <c r="C856" s="1" t="n">
        <v>45754</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21493-2024</t>
        </is>
      </c>
      <c r="B857" s="1" t="n">
        <v>45441</v>
      </c>
      <c r="C857" s="1" t="n">
        <v>45754</v>
      </c>
      <c r="D857" t="inlineStr">
        <is>
          <t>GOTLANDS LÄN</t>
        </is>
      </c>
      <c r="E857" t="inlineStr">
        <is>
          <t>GOTLAND</t>
        </is>
      </c>
      <c r="G857" t="n">
        <v>6.4</v>
      </c>
      <c r="H857" t="n">
        <v>0</v>
      </c>
      <c r="I857" t="n">
        <v>0</v>
      </c>
      <c r="J857" t="n">
        <v>0</v>
      </c>
      <c r="K857" t="n">
        <v>0</v>
      </c>
      <c r="L857" t="n">
        <v>0</v>
      </c>
      <c r="M857" t="n">
        <v>0</v>
      </c>
      <c r="N857" t="n">
        <v>0</v>
      </c>
      <c r="O857" t="n">
        <v>0</v>
      </c>
      <c r="P857" t="n">
        <v>0</v>
      </c>
      <c r="Q857" t="n">
        <v>0</v>
      </c>
      <c r="R857" s="2" t="inlineStr"/>
    </row>
    <row r="858" ht="15" customHeight="1">
      <c r="A858" t="inlineStr">
        <is>
          <t>A 21500-2024</t>
        </is>
      </c>
      <c r="B858" s="1" t="n">
        <v>45441</v>
      </c>
      <c r="C858" s="1" t="n">
        <v>45754</v>
      </c>
      <c r="D858" t="inlineStr">
        <is>
          <t>GOTLANDS LÄN</t>
        </is>
      </c>
      <c r="E858" t="inlineStr">
        <is>
          <t>GOTLAND</t>
        </is>
      </c>
      <c r="G858" t="n">
        <v>0.9</v>
      </c>
      <c r="H858" t="n">
        <v>0</v>
      </c>
      <c r="I858" t="n">
        <v>0</v>
      </c>
      <c r="J858" t="n">
        <v>0</v>
      </c>
      <c r="K858" t="n">
        <v>0</v>
      </c>
      <c r="L858" t="n">
        <v>0</v>
      </c>
      <c r="M858" t="n">
        <v>0</v>
      </c>
      <c r="N858" t="n">
        <v>0</v>
      </c>
      <c r="O858" t="n">
        <v>0</v>
      </c>
      <c r="P858" t="n">
        <v>0</v>
      </c>
      <c r="Q858" t="n">
        <v>0</v>
      </c>
      <c r="R858" s="2" t="inlineStr"/>
    </row>
    <row r="859" ht="15" customHeight="1">
      <c r="A859" t="inlineStr">
        <is>
          <t>A 21817-2024</t>
        </is>
      </c>
      <c r="B859" s="1" t="n">
        <v>45442</v>
      </c>
      <c r="C859" s="1" t="n">
        <v>45754</v>
      </c>
      <c r="D859" t="inlineStr">
        <is>
          <t>GOTLANDS LÄN</t>
        </is>
      </c>
      <c r="E859" t="inlineStr">
        <is>
          <t>GOTLAND</t>
        </is>
      </c>
      <c r="G859" t="n">
        <v>3.7</v>
      </c>
      <c r="H859" t="n">
        <v>0</v>
      </c>
      <c r="I859" t="n">
        <v>0</v>
      </c>
      <c r="J859" t="n">
        <v>0</v>
      </c>
      <c r="K859" t="n">
        <v>0</v>
      </c>
      <c r="L859" t="n">
        <v>0</v>
      </c>
      <c r="M859" t="n">
        <v>0</v>
      </c>
      <c r="N859" t="n">
        <v>0</v>
      </c>
      <c r="O859" t="n">
        <v>0</v>
      </c>
      <c r="P859" t="n">
        <v>0</v>
      </c>
      <c r="Q859" t="n">
        <v>0</v>
      </c>
      <c r="R859" s="2" t="inlineStr"/>
    </row>
    <row r="860" ht="15" customHeight="1">
      <c r="A860" t="inlineStr">
        <is>
          <t>A 21792-2024</t>
        </is>
      </c>
      <c r="B860" s="1" t="n">
        <v>45442</v>
      </c>
      <c r="C860" s="1" t="n">
        <v>45754</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22031-2024</t>
        </is>
      </c>
      <c r="B861" s="1" t="n">
        <v>45443</v>
      </c>
      <c r="C861" s="1" t="n">
        <v>45754</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22860-2024</t>
        </is>
      </c>
      <c r="B862" s="1" t="n">
        <v>45448</v>
      </c>
      <c r="C862" s="1" t="n">
        <v>45754</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22851-2024</t>
        </is>
      </c>
      <c r="B863" s="1" t="n">
        <v>45448</v>
      </c>
      <c r="C863" s="1" t="n">
        <v>45754</v>
      </c>
      <c r="D863" t="inlineStr">
        <is>
          <t>GOTLANDS LÄN</t>
        </is>
      </c>
      <c r="E863" t="inlineStr">
        <is>
          <t>GOTLAND</t>
        </is>
      </c>
      <c r="G863" t="n">
        <v>5.2</v>
      </c>
      <c r="H863" t="n">
        <v>0</v>
      </c>
      <c r="I863" t="n">
        <v>0</v>
      </c>
      <c r="J863" t="n">
        <v>0</v>
      </c>
      <c r="K863" t="n">
        <v>0</v>
      </c>
      <c r="L863" t="n">
        <v>0</v>
      </c>
      <c r="M863" t="n">
        <v>0</v>
      </c>
      <c r="N863" t="n">
        <v>0</v>
      </c>
      <c r="O863" t="n">
        <v>0</v>
      </c>
      <c r="P863" t="n">
        <v>0</v>
      </c>
      <c r="Q863" t="n">
        <v>0</v>
      </c>
      <c r="R863" s="2" t="inlineStr"/>
    </row>
    <row r="864" ht="15" customHeight="1">
      <c r="A864" t="inlineStr">
        <is>
          <t>A 22883-2024</t>
        </is>
      </c>
      <c r="B864" s="1" t="n">
        <v>45448</v>
      </c>
      <c r="C864" s="1" t="n">
        <v>45754</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23518-2024</t>
        </is>
      </c>
      <c r="B865" s="1" t="n">
        <v>45453</v>
      </c>
      <c r="C865" s="1" t="n">
        <v>45754</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23658-2024</t>
        </is>
      </c>
      <c r="B866" s="1" t="n">
        <v>45454</v>
      </c>
      <c r="C866" s="1" t="n">
        <v>45754</v>
      </c>
      <c r="D866" t="inlineStr">
        <is>
          <t>GOTLANDS LÄN</t>
        </is>
      </c>
      <c r="E866" t="inlineStr">
        <is>
          <t>GOTLAND</t>
        </is>
      </c>
      <c r="G866" t="n">
        <v>4.8</v>
      </c>
      <c r="H866" t="n">
        <v>0</v>
      </c>
      <c r="I866" t="n">
        <v>0</v>
      </c>
      <c r="J866" t="n">
        <v>0</v>
      </c>
      <c r="K866" t="n">
        <v>0</v>
      </c>
      <c r="L866" t="n">
        <v>0</v>
      </c>
      <c r="M866" t="n">
        <v>0</v>
      </c>
      <c r="N866" t="n">
        <v>0</v>
      </c>
      <c r="O866" t="n">
        <v>0</v>
      </c>
      <c r="P866" t="n">
        <v>0</v>
      </c>
      <c r="Q866" t="n">
        <v>0</v>
      </c>
      <c r="R866" s="2" t="inlineStr"/>
    </row>
    <row r="867" ht="15" customHeight="1">
      <c r="A867" t="inlineStr">
        <is>
          <t>A 23617-2024</t>
        </is>
      </c>
      <c r="B867" s="1" t="n">
        <v>45454</v>
      </c>
      <c r="C867" s="1" t="n">
        <v>45754</v>
      </c>
      <c r="D867" t="inlineStr">
        <is>
          <t>GOTLANDS LÄN</t>
        </is>
      </c>
      <c r="E867" t="inlineStr">
        <is>
          <t>GOTLAND</t>
        </is>
      </c>
      <c r="G867" t="n">
        <v>2</v>
      </c>
      <c r="H867" t="n">
        <v>0</v>
      </c>
      <c r="I867" t="n">
        <v>0</v>
      </c>
      <c r="J867" t="n">
        <v>0</v>
      </c>
      <c r="K867" t="n">
        <v>0</v>
      </c>
      <c r="L867" t="n">
        <v>0</v>
      </c>
      <c r="M867" t="n">
        <v>0</v>
      </c>
      <c r="N867" t="n">
        <v>0</v>
      </c>
      <c r="O867" t="n">
        <v>0</v>
      </c>
      <c r="P867" t="n">
        <v>0</v>
      </c>
      <c r="Q867" t="n">
        <v>0</v>
      </c>
      <c r="R867" s="2" t="inlineStr"/>
    </row>
    <row r="868" ht="15" customHeight="1">
      <c r="A868" t="inlineStr">
        <is>
          <t>A 24358-2024</t>
        </is>
      </c>
      <c r="B868" s="1" t="n">
        <v>45457</v>
      </c>
      <c r="C868" s="1" t="n">
        <v>45754</v>
      </c>
      <c r="D868" t="inlineStr">
        <is>
          <t>GOTLANDS LÄN</t>
        </is>
      </c>
      <c r="E868" t="inlineStr">
        <is>
          <t>GOTLAND</t>
        </is>
      </c>
      <c r="G868" t="n">
        <v>1.1</v>
      </c>
      <c r="H868" t="n">
        <v>0</v>
      </c>
      <c r="I868" t="n">
        <v>0</v>
      </c>
      <c r="J868" t="n">
        <v>0</v>
      </c>
      <c r="K868" t="n">
        <v>0</v>
      </c>
      <c r="L868" t="n">
        <v>0</v>
      </c>
      <c r="M868" t="n">
        <v>0</v>
      </c>
      <c r="N868" t="n">
        <v>0</v>
      </c>
      <c r="O868" t="n">
        <v>0</v>
      </c>
      <c r="P868" t="n">
        <v>0</v>
      </c>
      <c r="Q868" t="n">
        <v>0</v>
      </c>
      <c r="R868" s="2" t="inlineStr"/>
    </row>
    <row r="869" ht="15" customHeight="1">
      <c r="A869" t="inlineStr">
        <is>
          <t>A 24746-2024</t>
        </is>
      </c>
      <c r="B869" s="1" t="n">
        <v>45460</v>
      </c>
      <c r="C869" s="1" t="n">
        <v>45754</v>
      </c>
      <c r="D869" t="inlineStr">
        <is>
          <t>GOTLANDS LÄN</t>
        </is>
      </c>
      <c r="E869" t="inlineStr">
        <is>
          <t>GOTLAND</t>
        </is>
      </c>
      <c r="G869" t="n">
        <v>1.4</v>
      </c>
      <c r="H869" t="n">
        <v>0</v>
      </c>
      <c r="I869" t="n">
        <v>0</v>
      </c>
      <c r="J869" t="n">
        <v>0</v>
      </c>
      <c r="K869" t="n">
        <v>0</v>
      </c>
      <c r="L869" t="n">
        <v>0</v>
      </c>
      <c r="M869" t="n">
        <v>0</v>
      </c>
      <c r="N869" t="n">
        <v>0</v>
      </c>
      <c r="O869" t="n">
        <v>0</v>
      </c>
      <c r="P869" t="n">
        <v>0</v>
      </c>
      <c r="Q869" t="n">
        <v>0</v>
      </c>
      <c r="R869" s="2" t="inlineStr"/>
    </row>
    <row r="870" ht="15" customHeight="1">
      <c r="A870" t="inlineStr">
        <is>
          <t>A 24825-2024</t>
        </is>
      </c>
      <c r="B870" s="1" t="n">
        <v>45461</v>
      </c>
      <c r="C870" s="1" t="n">
        <v>45754</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25463-2024</t>
        </is>
      </c>
      <c r="B871" s="1" t="n">
        <v>45463</v>
      </c>
      <c r="C871" s="1" t="n">
        <v>45754</v>
      </c>
      <c r="D871" t="inlineStr">
        <is>
          <t>GOTLANDS LÄN</t>
        </is>
      </c>
      <c r="E871" t="inlineStr">
        <is>
          <t>GOTLAND</t>
        </is>
      </c>
      <c r="G871" t="n">
        <v>17.3</v>
      </c>
      <c r="H871" t="n">
        <v>0</v>
      </c>
      <c r="I871" t="n">
        <v>0</v>
      </c>
      <c r="J871" t="n">
        <v>0</v>
      </c>
      <c r="K871" t="n">
        <v>0</v>
      </c>
      <c r="L871" t="n">
        <v>0</v>
      </c>
      <c r="M871" t="n">
        <v>0</v>
      </c>
      <c r="N871" t="n">
        <v>0</v>
      </c>
      <c r="O871" t="n">
        <v>0</v>
      </c>
      <c r="P871" t="n">
        <v>0</v>
      </c>
      <c r="Q871" t="n">
        <v>0</v>
      </c>
      <c r="R871" s="2" t="inlineStr"/>
    </row>
    <row r="872" ht="15" customHeight="1">
      <c r="A872" t="inlineStr">
        <is>
          <t>A 25739-2024</t>
        </is>
      </c>
      <c r="B872" s="1" t="n">
        <v>45465</v>
      </c>
      <c r="C872" s="1" t="n">
        <v>45754</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25740-2024</t>
        </is>
      </c>
      <c r="B873" s="1" t="n">
        <v>45465</v>
      </c>
      <c r="C873" s="1" t="n">
        <v>45754</v>
      </c>
      <c r="D873" t="inlineStr">
        <is>
          <t>GOTLANDS LÄN</t>
        </is>
      </c>
      <c r="E873" t="inlineStr">
        <is>
          <t>GOTLAND</t>
        </is>
      </c>
      <c r="G873" t="n">
        <v>2.7</v>
      </c>
      <c r="H873" t="n">
        <v>0</v>
      </c>
      <c r="I873" t="n">
        <v>0</v>
      </c>
      <c r="J873" t="n">
        <v>0</v>
      </c>
      <c r="K873" t="n">
        <v>0</v>
      </c>
      <c r="L873" t="n">
        <v>0</v>
      </c>
      <c r="M873" t="n">
        <v>0</v>
      </c>
      <c r="N873" t="n">
        <v>0</v>
      </c>
      <c r="O873" t="n">
        <v>0</v>
      </c>
      <c r="P873" t="n">
        <v>0</v>
      </c>
      <c r="Q873" t="n">
        <v>0</v>
      </c>
      <c r="R873" s="2" t="inlineStr"/>
    </row>
    <row r="874" ht="15" customHeight="1">
      <c r="A874" t="inlineStr">
        <is>
          <t>A 26221-2024</t>
        </is>
      </c>
      <c r="B874" s="1" t="n">
        <v>45468</v>
      </c>
      <c r="C874" s="1" t="n">
        <v>45754</v>
      </c>
      <c r="D874" t="inlineStr">
        <is>
          <t>GOTLANDS LÄN</t>
        </is>
      </c>
      <c r="E874" t="inlineStr">
        <is>
          <t>GOTLAND</t>
        </is>
      </c>
      <c r="G874" t="n">
        <v>2.9</v>
      </c>
      <c r="H874" t="n">
        <v>0</v>
      </c>
      <c r="I874" t="n">
        <v>0</v>
      </c>
      <c r="J874" t="n">
        <v>0</v>
      </c>
      <c r="K874" t="n">
        <v>0</v>
      </c>
      <c r="L874" t="n">
        <v>0</v>
      </c>
      <c r="M874" t="n">
        <v>0</v>
      </c>
      <c r="N874" t="n">
        <v>0</v>
      </c>
      <c r="O874" t="n">
        <v>0</v>
      </c>
      <c r="P874" t="n">
        <v>0</v>
      </c>
      <c r="Q874" t="n">
        <v>0</v>
      </c>
      <c r="R874" s="2" t="inlineStr"/>
    </row>
    <row r="875" ht="15" customHeight="1">
      <c r="A875" t="inlineStr">
        <is>
          <t>A 26194-2024</t>
        </is>
      </c>
      <c r="B875" s="1" t="n">
        <v>45468</v>
      </c>
      <c r="C875" s="1" t="n">
        <v>45754</v>
      </c>
      <c r="D875" t="inlineStr">
        <is>
          <t>GOTLANDS LÄN</t>
        </is>
      </c>
      <c r="E875" t="inlineStr">
        <is>
          <t>GOTLAND</t>
        </is>
      </c>
      <c r="G875" t="n">
        <v>3.6</v>
      </c>
      <c r="H875" t="n">
        <v>0</v>
      </c>
      <c r="I875" t="n">
        <v>0</v>
      </c>
      <c r="J875" t="n">
        <v>0</v>
      </c>
      <c r="K875" t="n">
        <v>0</v>
      </c>
      <c r="L875" t="n">
        <v>0</v>
      </c>
      <c r="M875" t="n">
        <v>0</v>
      </c>
      <c r="N875" t="n">
        <v>0</v>
      </c>
      <c r="O875" t="n">
        <v>0</v>
      </c>
      <c r="P875" t="n">
        <v>0</v>
      </c>
      <c r="Q875" t="n">
        <v>0</v>
      </c>
      <c r="R875" s="2" t="inlineStr"/>
    </row>
    <row r="876" ht="15" customHeight="1">
      <c r="A876" t="inlineStr">
        <is>
          <t>A 26206-2024</t>
        </is>
      </c>
      <c r="B876" s="1" t="n">
        <v>45468</v>
      </c>
      <c r="C876" s="1" t="n">
        <v>45754</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26110-2024</t>
        </is>
      </c>
      <c r="B877" s="1" t="n">
        <v>45468</v>
      </c>
      <c r="C877" s="1" t="n">
        <v>45754</v>
      </c>
      <c r="D877" t="inlineStr">
        <is>
          <t>GOTLANDS LÄN</t>
        </is>
      </c>
      <c r="E877" t="inlineStr">
        <is>
          <t>GOTLAND</t>
        </is>
      </c>
      <c r="G877" t="n">
        <v>6.6</v>
      </c>
      <c r="H877" t="n">
        <v>0</v>
      </c>
      <c r="I877" t="n">
        <v>0</v>
      </c>
      <c r="J877" t="n">
        <v>0</v>
      </c>
      <c r="K877" t="n">
        <v>0</v>
      </c>
      <c r="L877" t="n">
        <v>0</v>
      </c>
      <c r="M877" t="n">
        <v>0</v>
      </c>
      <c r="N877" t="n">
        <v>0</v>
      </c>
      <c r="O877" t="n">
        <v>0</v>
      </c>
      <c r="P877" t="n">
        <v>0</v>
      </c>
      <c r="Q877" t="n">
        <v>0</v>
      </c>
      <c r="R877" s="2" t="inlineStr"/>
    </row>
    <row r="878" ht="15" customHeight="1">
      <c r="A878" t="inlineStr">
        <is>
          <t>A 26891-2024</t>
        </is>
      </c>
      <c r="B878" s="1" t="n">
        <v>45470</v>
      </c>
      <c r="C878" s="1" t="n">
        <v>45754</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27850-2024</t>
        </is>
      </c>
      <c r="B879" s="1" t="n">
        <v>45475</v>
      </c>
      <c r="C879" s="1" t="n">
        <v>45754</v>
      </c>
      <c r="D879" t="inlineStr">
        <is>
          <t>GOTLANDS LÄN</t>
        </is>
      </c>
      <c r="E879" t="inlineStr">
        <is>
          <t>GOTLAND</t>
        </is>
      </c>
      <c r="G879" t="n">
        <v>4.1</v>
      </c>
      <c r="H879" t="n">
        <v>0</v>
      </c>
      <c r="I879" t="n">
        <v>0</v>
      </c>
      <c r="J879" t="n">
        <v>0</v>
      </c>
      <c r="K879" t="n">
        <v>0</v>
      </c>
      <c r="L879" t="n">
        <v>0</v>
      </c>
      <c r="M879" t="n">
        <v>0</v>
      </c>
      <c r="N879" t="n">
        <v>0</v>
      </c>
      <c r="O879" t="n">
        <v>0</v>
      </c>
      <c r="P879" t="n">
        <v>0</v>
      </c>
      <c r="Q879" t="n">
        <v>0</v>
      </c>
      <c r="R879" s="2" t="inlineStr"/>
    </row>
    <row r="880" ht="15" customHeight="1">
      <c r="A880" t="inlineStr">
        <is>
          <t>A 27694-2024</t>
        </is>
      </c>
      <c r="B880" s="1" t="n">
        <v>45475</v>
      </c>
      <c r="C880" s="1" t="n">
        <v>45754</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27696-2024</t>
        </is>
      </c>
      <c r="B881" s="1" t="n">
        <v>45475</v>
      </c>
      <c r="C881" s="1" t="n">
        <v>45754</v>
      </c>
      <c r="D881" t="inlineStr">
        <is>
          <t>GOTLANDS LÄN</t>
        </is>
      </c>
      <c r="E881" t="inlineStr">
        <is>
          <t>GOTLAND</t>
        </is>
      </c>
      <c r="G881" t="n">
        <v>2.1</v>
      </c>
      <c r="H881" t="n">
        <v>0</v>
      </c>
      <c r="I881" t="n">
        <v>0</v>
      </c>
      <c r="J881" t="n">
        <v>0</v>
      </c>
      <c r="K881" t="n">
        <v>0</v>
      </c>
      <c r="L881" t="n">
        <v>0</v>
      </c>
      <c r="M881" t="n">
        <v>0</v>
      </c>
      <c r="N881" t="n">
        <v>0</v>
      </c>
      <c r="O881" t="n">
        <v>0</v>
      </c>
      <c r="P881" t="n">
        <v>0</v>
      </c>
      <c r="Q881" t="n">
        <v>0</v>
      </c>
      <c r="R881" s="2" t="inlineStr"/>
    </row>
    <row r="882" ht="15" customHeight="1">
      <c r="A882" t="inlineStr">
        <is>
          <t>A 28285-2024</t>
        </is>
      </c>
      <c r="B882" s="1" t="n">
        <v>45477</v>
      </c>
      <c r="C882" s="1" t="n">
        <v>45754</v>
      </c>
      <c r="D882" t="inlineStr">
        <is>
          <t>GOTLANDS LÄN</t>
        </is>
      </c>
      <c r="E882" t="inlineStr">
        <is>
          <t>GOTLAND</t>
        </is>
      </c>
      <c r="G882" t="n">
        <v>1.6</v>
      </c>
      <c r="H882" t="n">
        <v>0</v>
      </c>
      <c r="I882" t="n">
        <v>0</v>
      </c>
      <c r="J882" t="n">
        <v>0</v>
      </c>
      <c r="K882" t="n">
        <v>0</v>
      </c>
      <c r="L882" t="n">
        <v>0</v>
      </c>
      <c r="M882" t="n">
        <v>0</v>
      </c>
      <c r="N882" t="n">
        <v>0</v>
      </c>
      <c r="O882" t="n">
        <v>0</v>
      </c>
      <c r="P882" t="n">
        <v>0</v>
      </c>
      <c r="Q882" t="n">
        <v>0</v>
      </c>
      <c r="R882" s="2" t="inlineStr"/>
    </row>
    <row r="883" ht="15" customHeight="1">
      <c r="A883" t="inlineStr">
        <is>
          <t>A 28309-2024</t>
        </is>
      </c>
      <c r="B883" s="1" t="n">
        <v>45477</v>
      </c>
      <c r="C883" s="1" t="n">
        <v>45754</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28328-2024</t>
        </is>
      </c>
      <c r="B884" s="1" t="n">
        <v>45477</v>
      </c>
      <c r="C884" s="1" t="n">
        <v>45754</v>
      </c>
      <c r="D884" t="inlineStr">
        <is>
          <t>GOTLANDS LÄN</t>
        </is>
      </c>
      <c r="E884" t="inlineStr">
        <is>
          <t>GOTLAND</t>
        </is>
      </c>
      <c r="G884" t="n">
        <v>1.7</v>
      </c>
      <c r="H884" t="n">
        <v>0</v>
      </c>
      <c r="I884" t="n">
        <v>0</v>
      </c>
      <c r="J884" t="n">
        <v>0</v>
      </c>
      <c r="K884" t="n">
        <v>0</v>
      </c>
      <c r="L884" t="n">
        <v>0</v>
      </c>
      <c r="M884" t="n">
        <v>0</v>
      </c>
      <c r="N884" t="n">
        <v>0</v>
      </c>
      <c r="O884" t="n">
        <v>0</v>
      </c>
      <c r="P884" t="n">
        <v>0</v>
      </c>
      <c r="Q884" t="n">
        <v>0</v>
      </c>
      <c r="R884" s="2" t="inlineStr"/>
    </row>
    <row r="885" ht="15" customHeight="1">
      <c r="A885" t="inlineStr">
        <is>
          <t>A 30365-2024</t>
        </is>
      </c>
      <c r="B885" s="1" t="n">
        <v>45491</v>
      </c>
      <c r="C885" s="1" t="n">
        <v>45754</v>
      </c>
      <c r="D885" t="inlineStr">
        <is>
          <t>GOTLANDS LÄN</t>
        </is>
      </c>
      <c r="E885" t="inlineStr">
        <is>
          <t>GOTLAND</t>
        </is>
      </c>
      <c r="G885" t="n">
        <v>0.5</v>
      </c>
      <c r="H885" t="n">
        <v>0</v>
      </c>
      <c r="I885" t="n">
        <v>0</v>
      </c>
      <c r="J885" t="n">
        <v>0</v>
      </c>
      <c r="K885" t="n">
        <v>0</v>
      </c>
      <c r="L885" t="n">
        <v>0</v>
      </c>
      <c r="M885" t="n">
        <v>0</v>
      </c>
      <c r="N885" t="n">
        <v>0</v>
      </c>
      <c r="O885" t="n">
        <v>0</v>
      </c>
      <c r="P885" t="n">
        <v>0</v>
      </c>
      <c r="Q885" t="n">
        <v>0</v>
      </c>
      <c r="R885" s="2" t="inlineStr"/>
    </row>
    <row r="886" ht="15" customHeight="1">
      <c r="A886" t="inlineStr">
        <is>
          <t>A 30595-2024</t>
        </is>
      </c>
      <c r="B886" s="1" t="n">
        <v>45493</v>
      </c>
      <c r="C886" s="1" t="n">
        <v>45754</v>
      </c>
      <c r="D886" t="inlineStr">
        <is>
          <t>GOTLANDS LÄN</t>
        </is>
      </c>
      <c r="E886" t="inlineStr">
        <is>
          <t>GOTLAND</t>
        </is>
      </c>
      <c r="G886" t="n">
        <v>2.5</v>
      </c>
      <c r="H886" t="n">
        <v>0</v>
      </c>
      <c r="I886" t="n">
        <v>0</v>
      </c>
      <c r="J886" t="n">
        <v>0</v>
      </c>
      <c r="K886" t="n">
        <v>0</v>
      </c>
      <c r="L886" t="n">
        <v>0</v>
      </c>
      <c r="M886" t="n">
        <v>0</v>
      </c>
      <c r="N886" t="n">
        <v>0</v>
      </c>
      <c r="O886" t="n">
        <v>0</v>
      </c>
      <c r="P886" t="n">
        <v>0</v>
      </c>
      <c r="Q886" t="n">
        <v>0</v>
      </c>
      <c r="R886" s="2" t="inlineStr"/>
    </row>
    <row r="887" ht="15" customHeight="1">
      <c r="A887" t="inlineStr">
        <is>
          <t>A 30596-2024</t>
        </is>
      </c>
      <c r="B887" s="1" t="n">
        <v>45493</v>
      </c>
      <c r="C887" s="1" t="n">
        <v>45754</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30597-2024</t>
        </is>
      </c>
      <c r="B888" s="1" t="n">
        <v>45493</v>
      </c>
      <c r="C888" s="1" t="n">
        <v>45754</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30956-2024</t>
        </is>
      </c>
      <c r="B889" s="1" t="n">
        <v>45499</v>
      </c>
      <c r="C889" s="1" t="n">
        <v>45754</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30954-2024</t>
        </is>
      </c>
      <c r="B890" s="1" t="n">
        <v>45499</v>
      </c>
      <c r="C890" s="1" t="n">
        <v>45754</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31352-2024</t>
        </is>
      </c>
      <c r="B891" s="1" t="n">
        <v>45505</v>
      </c>
      <c r="C891" s="1" t="n">
        <v>45754</v>
      </c>
      <c r="D891" t="inlineStr">
        <is>
          <t>GOTLANDS LÄN</t>
        </is>
      </c>
      <c r="E891" t="inlineStr">
        <is>
          <t>GOTLAND</t>
        </is>
      </c>
      <c r="G891" t="n">
        <v>5.4</v>
      </c>
      <c r="H891" t="n">
        <v>0</v>
      </c>
      <c r="I891" t="n">
        <v>0</v>
      </c>
      <c r="J891" t="n">
        <v>0</v>
      </c>
      <c r="K891" t="n">
        <v>0</v>
      </c>
      <c r="L891" t="n">
        <v>0</v>
      </c>
      <c r="M891" t="n">
        <v>0</v>
      </c>
      <c r="N891" t="n">
        <v>0</v>
      </c>
      <c r="O891" t="n">
        <v>0</v>
      </c>
      <c r="P891" t="n">
        <v>0</v>
      </c>
      <c r="Q891" t="n">
        <v>0</v>
      </c>
      <c r="R891" s="2" t="inlineStr"/>
    </row>
    <row r="892" ht="15" customHeight="1">
      <c r="A892" t="inlineStr">
        <is>
          <t>A 31401-2024</t>
        </is>
      </c>
      <c r="B892" s="1" t="n">
        <v>45505</v>
      </c>
      <c r="C892" s="1" t="n">
        <v>45754</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31802-2024</t>
        </is>
      </c>
      <c r="B893" s="1" t="n">
        <v>45509</v>
      </c>
      <c r="C893" s="1" t="n">
        <v>45754</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32322-2024</t>
        </is>
      </c>
      <c r="B894" s="1" t="n">
        <v>45512</v>
      </c>
      <c r="C894" s="1" t="n">
        <v>45754</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32330-2024</t>
        </is>
      </c>
      <c r="B895" s="1" t="n">
        <v>45512</v>
      </c>
      <c r="C895" s="1" t="n">
        <v>45754</v>
      </c>
      <c r="D895" t="inlineStr">
        <is>
          <t>GOTLANDS LÄN</t>
        </is>
      </c>
      <c r="E895" t="inlineStr">
        <is>
          <t>GOTLAND</t>
        </is>
      </c>
      <c r="G895" t="n">
        <v>2.6</v>
      </c>
      <c r="H895" t="n">
        <v>0</v>
      </c>
      <c r="I895" t="n">
        <v>0</v>
      </c>
      <c r="J895" t="n">
        <v>0</v>
      </c>
      <c r="K895" t="n">
        <v>0</v>
      </c>
      <c r="L895" t="n">
        <v>0</v>
      </c>
      <c r="M895" t="n">
        <v>0</v>
      </c>
      <c r="N895" t="n">
        <v>0</v>
      </c>
      <c r="O895" t="n">
        <v>0</v>
      </c>
      <c r="P895" t="n">
        <v>0</v>
      </c>
      <c r="Q895" t="n">
        <v>0</v>
      </c>
      <c r="R895" s="2" t="inlineStr"/>
    </row>
    <row r="896" ht="15" customHeight="1">
      <c r="A896" t="inlineStr">
        <is>
          <t>A 32669-2024</t>
        </is>
      </c>
      <c r="B896" s="1" t="n">
        <v>45514</v>
      </c>
      <c r="C896" s="1" t="n">
        <v>45754</v>
      </c>
      <c r="D896" t="inlineStr">
        <is>
          <t>GOTLANDS LÄN</t>
        </is>
      </c>
      <c r="E896" t="inlineStr">
        <is>
          <t>GOTLAND</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33518-2024</t>
        </is>
      </c>
      <c r="B897" s="1" t="n">
        <v>45519</v>
      </c>
      <c r="C897" s="1" t="n">
        <v>45754</v>
      </c>
      <c r="D897" t="inlineStr">
        <is>
          <t>GOTLANDS LÄN</t>
        </is>
      </c>
      <c r="E897" t="inlineStr">
        <is>
          <t>GOTLAND</t>
        </is>
      </c>
      <c r="G897" t="n">
        <v>7.2</v>
      </c>
      <c r="H897" t="n">
        <v>0</v>
      </c>
      <c r="I897" t="n">
        <v>0</v>
      </c>
      <c r="J897" t="n">
        <v>0</v>
      </c>
      <c r="K897" t="n">
        <v>0</v>
      </c>
      <c r="L897" t="n">
        <v>0</v>
      </c>
      <c r="M897" t="n">
        <v>0</v>
      </c>
      <c r="N897" t="n">
        <v>0</v>
      </c>
      <c r="O897" t="n">
        <v>0</v>
      </c>
      <c r="P897" t="n">
        <v>0</v>
      </c>
      <c r="Q897" t="n">
        <v>0</v>
      </c>
      <c r="R897" s="2" t="inlineStr"/>
    </row>
    <row r="898" ht="15" customHeight="1">
      <c r="A898" t="inlineStr">
        <is>
          <t>A 33853-2024</t>
        </is>
      </c>
      <c r="B898" s="1" t="n">
        <v>45520</v>
      </c>
      <c r="C898" s="1" t="n">
        <v>45754</v>
      </c>
      <c r="D898" t="inlineStr">
        <is>
          <t>GOTLANDS LÄN</t>
        </is>
      </c>
      <c r="E898" t="inlineStr">
        <is>
          <t>GOTLAND</t>
        </is>
      </c>
      <c r="G898" t="n">
        <v>3.9</v>
      </c>
      <c r="H898" t="n">
        <v>0</v>
      </c>
      <c r="I898" t="n">
        <v>0</v>
      </c>
      <c r="J898" t="n">
        <v>0</v>
      </c>
      <c r="K898" t="n">
        <v>0</v>
      </c>
      <c r="L898" t="n">
        <v>0</v>
      </c>
      <c r="M898" t="n">
        <v>0</v>
      </c>
      <c r="N898" t="n">
        <v>0</v>
      </c>
      <c r="O898" t="n">
        <v>0</v>
      </c>
      <c r="P898" t="n">
        <v>0</v>
      </c>
      <c r="Q898" t="n">
        <v>0</v>
      </c>
      <c r="R898" s="2" t="inlineStr"/>
    </row>
    <row r="899" ht="15" customHeight="1">
      <c r="A899" t="inlineStr">
        <is>
          <t>A 33876-2024</t>
        </is>
      </c>
      <c r="B899" s="1" t="n">
        <v>45521</v>
      </c>
      <c r="C899" s="1" t="n">
        <v>45754</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33928-2024</t>
        </is>
      </c>
      <c r="B900" s="1" t="n">
        <v>45523</v>
      </c>
      <c r="C900" s="1" t="n">
        <v>45754</v>
      </c>
      <c r="D900" t="inlineStr">
        <is>
          <t>GOTLANDS LÄN</t>
        </is>
      </c>
      <c r="E900" t="inlineStr">
        <is>
          <t>GOTLAND</t>
        </is>
      </c>
      <c r="G900" t="n">
        <v>0.7</v>
      </c>
      <c r="H900" t="n">
        <v>0</v>
      </c>
      <c r="I900" t="n">
        <v>0</v>
      </c>
      <c r="J900" t="n">
        <v>0</v>
      </c>
      <c r="K900" t="n">
        <v>0</v>
      </c>
      <c r="L900" t="n">
        <v>0</v>
      </c>
      <c r="M900" t="n">
        <v>0</v>
      </c>
      <c r="N900" t="n">
        <v>0</v>
      </c>
      <c r="O900" t="n">
        <v>0</v>
      </c>
      <c r="P900" t="n">
        <v>0</v>
      </c>
      <c r="Q900" t="n">
        <v>0</v>
      </c>
      <c r="R900" s="2" t="inlineStr"/>
    </row>
    <row r="901" ht="15" customHeight="1">
      <c r="A901" t="inlineStr">
        <is>
          <t>A 34167-2024</t>
        </is>
      </c>
      <c r="B901" s="1" t="n">
        <v>45524</v>
      </c>
      <c r="C901" s="1" t="n">
        <v>45754</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34157-2024</t>
        </is>
      </c>
      <c r="B902" s="1" t="n">
        <v>45524</v>
      </c>
      <c r="C902" s="1" t="n">
        <v>45754</v>
      </c>
      <c r="D902" t="inlineStr">
        <is>
          <t>GOTLANDS LÄN</t>
        </is>
      </c>
      <c r="E902" t="inlineStr">
        <is>
          <t>GOTLAND</t>
        </is>
      </c>
      <c r="G902" t="n">
        <v>3.3</v>
      </c>
      <c r="H902" t="n">
        <v>0</v>
      </c>
      <c r="I902" t="n">
        <v>0</v>
      </c>
      <c r="J902" t="n">
        <v>0</v>
      </c>
      <c r="K902" t="n">
        <v>0</v>
      </c>
      <c r="L902" t="n">
        <v>0</v>
      </c>
      <c r="M902" t="n">
        <v>0</v>
      </c>
      <c r="N902" t="n">
        <v>0</v>
      </c>
      <c r="O902" t="n">
        <v>0</v>
      </c>
      <c r="P902" t="n">
        <v>0</v>
      </c>
      <c r="Q902" t="n">
        <v>0</v>
      </c>
      <c r="R902" s="2" t="inlineStr"/>
    </row>
    <row r="903" ht="15" customHeight="1">
      <c r="A903" t="inlineStr">
        <is>
          <t>A 34142-2024</t>
        </is>
      </c>
      <c r="B903" s="1" t="n">
        <v>45524</v>
      </c>
      <c r="C903" s="1" t="n">
        <v>45754</v>
      </c>
      <c r="D903" t="inlineStr">
        <is>
          <t>GOTLANDS LÄN</t>
        </is>
      </c>
      <c r="E903" t="inlineStr">
        <is>
          <t>GOTLAND</t>
        </is>
      </c>
      <c r="G903" t="n">
        <v>6</v>
      </c>
      <c r="H903" t="n">
        <v>0</v>
      </c>
      <c r="I903" t="n">
        <v>0</v>
      </c>
      <c r="J903" t="n">
        <v>0</v>
      </c>
      <c r="K903" t="n">
        <v>0</v>
      </c>
      <c r="L903" t="n">
        <v>0</v>
      </c>
      <c r="M903" t="n">
        <v>0</v>
      </c>
      <c r="N903" t="n">
        <v>0</v>
      </c>
      <c r="O903" t="n">
        <v>0</v>
      </c>
      <c r="P903" t="n">
        <v>0</v>
      </c>
      <c r="Q903" t="n">
        <v>0</v>
      </c>
      <c r="R903" s="2" t="inlineStr"/>
    </row>
    <row r="904" ht="15" customHeight="1">
      <c r="A904" t="inlineStr">
        <is>
          <t>A 34154-2024</t>
        </is>
      </c>
      <c r="B904" s="1" t="n">
        <v>45524</v>
      </c>
      <c r="C904" s="1" t="n">
        <v>45754</v>
      </c>
      <c r="D904" t="inlineStr">
        <is>
          <t>GOTLANDS LÄN</t>
        </is>
      </c>
      <c r="E904" t="inlineStr">
        <is>
          <t>GOTLAND</t>
        </is>
      </c>
      <c r="G904" t="n">
        <v>9.9</v>
      </c>
      <c r="H904" t="n">
        <v>0</v>
      </c>
      <c r="I904" t="n">
        <v>0</v>
      </c>
      <c r="J904" t="n">
        <v>0</v>
      </c>
      <c r="K904" t="n">
        <v>0</v>
      </c>
      <c r="L904" t="n">
        <v>0</v>
      </c>
      <c r="M904" t="n">
        <v>0</v>
      </c>
      <c r="N904" t="n">
        <v>0</v>
      </c>
      <c r="O904" t="n">
        <v>0</v>
      </c>
      <c r="P904" t="n">
        <v>0</v>
      </c>
      <c r="Q904" t="n">
        <v>0</v>
      </c>
      <c r="R904" s="2" t="inlineStr"/>
    </row>
    <row r="905" ht="15" customHeight="1">
      <c r="A905" t="inlineStr">
        <is>
          <t>A 34170-2024</t>
        </is>
      </c>
      <c r="B905" s="1" t="n">
        <v>45524</v>
      </c>
      <c r="C905" s="1" t="n">
        <v>45754</v>
      </c>
      <c r="D905" t="inlineStr">
        <is>
          <t>GOTLANDS LÄN</t>
        </is>
      </c>
      <c r="E905" t="inlineStr">
        <is>
          <t>GOTLAND</t>
        </is>
      </c>
      <c r="G905" t="n">
        <v>3.2</v>
      </c>
      <c r="H905" t="n">
        <v>0</v>
      </c>
      <c r="I905" t="n">
        <v>0</v>
      </c>
      <c r="J905" t="n">
        <v>0</v>
      </c>
      <c r="K905" t="n">
        <v>0</v>
      </c>
      <c r="L905" t="n">
        <v>0</v>
      </c>
      <c r="M905" t="n">
        <v>0</v>
      </c>
      <c r="N905" t="n">
        <v>0</v>
      </c>
      <c r="O905" t="n">
        <v>0</v>
      </c>
      <c r="P905" t="n">
        <v>0</v>
      </c>
      <c r="Q905" t="n">
        <v>0</v>
      </c>
      <c r="R905" s="2" t="inlineStr"/>
    </row>
    <row r="906" ht="15" customHeight="1">
      <c r="A906" t="inlineStr">
        <is>
          <t>A 34312-2024</t>
        </is>
      </c>
      <c r="B906" s="1" t="n">
        <v>45524</v>
      </c>
      <c r="C906" s="1" t="n">
        <v>45754</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35093-2024</t>
        </is>
      </c>
      <c r="B907" s="1" t="n">
        <v>45527</v>
      </c>
      <c r="C907" s="1" t="n">
        <v>45754</v>
      </c>
      <c r="D907" t="inlineStr">
        <is>
          <t>GOTLANDS LÄN</t>
        </is>
      </c>
      <c r="E907" t="inlineStr">
        <is>
          <t>GOTLAND</t>
        </is>
      </c>
      <c r="G907" t="n">
        <v>2.4</v>
      </c>
      <c r="H907" t="n">
        <v>0</v>
      </c>
      <c r="I907" t="n">
        <v>0</v>
      </c>
      <c r="J907" t="n">
        <v>0</v>
      </c>
      <c r="K907" t="n">
        <v>0</v>
      </c>
      <c r="L907" t="n">
        <v>0</v>
      </c>
      <c r="M907" t="n">
        <v>0</v>
      </c>
      <c r="N907" t="n">
        <v>0</v>
      </c>
      <c r="O907" t="n">
        <v>0</v>
      </c>
      <c r="P907" t="n">
        <v>0</v>
      </c>
      <c r="Q907" t="n">
        <v>0</v>
      </c>
      <c r="R907" s="2" t="inlineStr"/>
    </row>
    <row r="908" ht="15" customHeight="1">
      <c r="A908" t="inlineStr">
        <is>
          <t>A 36539-2024</t>
        </is>
      </c>
      <c r="B908" s="1" t="n">
        <v>45537</v>
      </c>
      <c r="C908" s="1" t="n">
        <v>45754</v>
      </c>
      <c r="D908" t="inlineStr">
        <is>
          <t>GOTLANDS LÄN</t>
        </is>
      </c>
      <c r="E908" t="inlineStr">
        <is>
          <t>GOTLAND</t>
        </is>
      </c>
      <c r="G908" t="n">
        <v>5.9</v>
      </c>
      <c r="H908" t="n">
        <v>0</v>
      </c>
      <c r="I908" t="n">
        <v>0</v>
      </c>
      <c r="J908" t="n">
        <v>0</v>
      </c>
      <c r="K908" t="n">
        <v>0</v>
      </c>
      <c r="L908" t="n">
        <v>0</v>
      </c>
      <c r="M908" t="n">
        <v>0</v>
      </c>
      <c r="N908" t="n">
        <v>0</v>
      </c>
      <c r="O908" t="n">
        <v>0</v>
      </c>
      <c r="P908" t="n">
        <v>0</v>
      </c>
      <c r="Q908" t="n">
        <v>0</v>
      </c>
      <c r="R908" s="2" t="inlineStr"/>
    </row>
    <row r="909" ht="15" customHeight="1">
      <c r="A909" t="inlineStr">
        <is>
          <t>A 37225-2024</t>
        </is>
      </c>
      <c r="B909" s="1" t="n">
        <v>45539</v>
      </c>
      <c r="C909" s="1" t="n">
        <v>45754</v>
      </c>
      <c r="D909" t="inlineStr">
        <is>
          <t>GOTLANDS LÄN</t>
        </is>
      </c>
      <c r="E909" t="inlineStr">
        <is>
          <t>GOTLAND</t>
        </is>
      </c>
      <c r="G909" t="n">
        <v>2.9</v>
      </c>
      <c r="H909" t="n">
        <v>0</v>
      </c>
      <c r="I909" t="n">
        <v>0</v>
      </c>
      <c r="J909" t="n">
        <v>0</v>
      </c>
      <c r="K909" t="n">
        <v>0</v>
      </c>
      <c r="L909" t="n">
        <v>0</v>
      </c>
      <c r="M909" t="n">
        <v>0</v>
      </c>
      <c r="N909" t="n">
        <v>0</v>
      </c>
      <c r="O909" t="n">
        <v>0</v>
      </c>
      <c r="P909" t="n">
        <v>0</v>
      </c>
      <c r="Q909" t="n">
        <v>0</v>
      </c>
      <c r="R909" s="2" t="inlineStr"/>
    </row>
    <row r="910" ht="15" customHeight="1">
      <c r="A910" t="inlineStr">
        <is>
          <t>A 37202-2024</t>
        </is>
      </c>
      <c r="B910" s="1" t="n">
        <v>45539</v>
      </c>
      <c r="C910" s="1" t="n">
        <v>45754</v>
      </c>
      <c r="D910" t="inlineStr">
        <is>
          <t>GOTLANDS LÄN</t>
        </is>
      </c>
      <c r="E910" t="inlineStr">
        <is>
          <t>GOTLAND</t>
        </is>
      </c>
      <c r="G910" t="n">
        <v>0.3</v>
      </c>
      <c r="H910" t="n">
        <v>0</v>
      </c>
      <c r="I910" t="n">
        <v>0</v>
      </c>
      <c r="J910" t="n">
        <v>0</v>
      </c>
      <c r="K910" t="n">
        <v>0</v>
      </c>
      <c r="L910" t="n">
        <v>0</v>
      </c>
      <c r="M910" t="n">
        <v>0</v>
      </c>
      <c r="N910" t="n">
        <v>0</v>
      </c>
      <c r="O910" t="n">
        <v>0</v>
      </c>
      <c r="P910" t="n">
        <v>0</v>
      </c>
      <c r="Q910" t="n">
        <v>0</v>
      </c>
      <c r="R910" s="2" t="inlineStr"/>
    </row>
    <row r="911" ht="15" customHeight="1">
      <c r="A911" t="inlineStr">
        <is>
          <t>A 37376-2024</t>
        </is>
      </c>
      <c r="B911" s="1" t="n">
        <v>45540</v>
      </c>
      <c r="C911" s="1" t="n">
        <v>45754</v>
      </c>
      <c r="D911" t="inlineStr">
        <is>
          <t>GOTLANDS LÄN</t>
        </is>
      </c>
      <c r="E911" t="inlineStr">
        <is>
          <t>GOTLAND</t>
        </is>
      </c>
      <c r="G911" t="n">
        <v>4.9</v>
      </c>
      <c r="H911" t="n">
        <v>0</v>
      </c>
      <c r="I911" t="n">
        <v>0</v>
      </c>
      <c r="J911" t="n">
        <v>0</v>
      </c>
      <c r="K911" t="n">
        <v>0</v>
      </c>
      <c r="L911" t="n">
        <v>0</v>
      </c>
      <c r="M911" t="n">
        <v>0</v>
      </c>
      <c r="N911" t="n">
        <v>0</v>
      </c>
      <c r="O911" t="n">
        <v>0</v>
      </c>
      <c r="P911" t="n">
        <v>0</v>
      </c>
      <c r="Q911" t="n">
        <v>0</v>
      </c>
      <c r="R911" s="2" t="inlineStr"/>
    </row>
    <row r="912" ht="15" customHeight="1">
      <c r="A912" t="inlineStr">
        <is>
          <t>A 37442-2024</t>
        </is>
      </c>
      <c r="B912" s="1" t="n">
        <v>45540</v>
      </c>
      <c r="C912" s="1" t="n">
        <v>45754</v>
      </c>
      <c r="D912" t="inlineStr">
        <is>
          <t>GOTLANDS LÄN</t>
        </is>
      </c>
      <c r="E912" t="inlineStr">
        <is>
          <t>GOTLAND</t>
        </is>
      </c>
      <c r="G912" t="n">
        <v>4.3</v>
      </c>
      <c r="H912" t="n">
        <v>0</v>
      </c>
      <c r="I912" t="n">
        <v>0</v>
      </c>
      <c r="J912" t="n">
        <v>0</v>
      </c>
      <c r="K912" t="n">
        <v>0</v>
      </c>
      <c r="L912" t="n">
        <v>0</v>
      </c>
      <c r="M912" t="n">
        <v>0</v>
      </c>
      <c r="N912" t="n">
        <v>0</v>
      </c>
      <c r="O912" t="n">
        <v>0</v>
      </c>
      <c r="P912" t="n">
        <v>0</v>
      </c>
      <c r="Q912" t="n">
        <v>0</v>
      </c>
      <c r="R912" s="2" t="inlineStr"/>
    </row>
    <row r="913" ht="15" customHeight="1">
      <c r="A913" t="inlineStr">
        <is>
          <t>A 37440-2024</t>
        </is>
      </c>
      <c r="B913" s="1" t="n">
        <v>45540</v>
      </c>
      <c r="C913" s="1" t="n">
        <v>45754</v>
      </c>
      <c r="D913" t="inlineStr">
        <is>
          <t>GOTLANDS LÄN</t>
        </is>
      </c>
      <c r="E913" t="inlineStr">
        <is>
          <t>GOTLAND</t>
        </is>
      </c>
      <c r="G913" t="n">
        <v>1</v>
      </c>
      <c r="H913" t="n">
        <v>0</v>
      </c>
      <c r="I913" t="n">
        <v>0</v>
      </c>
      <c r="J913" t="n">
        <v>0</v>
      </c>
      <c r="K913" t="n">
        <v>0</v>
      </c>
      <c r="L913" t="n">
        <v>0</v>
      </c>
      <c r="M913" t="n">
        <v>0</v>
      </c>
      <c r="N913" t="n">
        <v>0</v>
      </c>
      <c r="O913" t="n">
        <v>0</v>
      </c>
      <c r="P913" t="n">
        <v>0</v>
      </c>
      <c r="Q913" t="n">
        <v>0</v>
      </c>
      <c r="R913" s="2" t="inlineStr"/>
    </row>
    <row r="914" ht="15" customHeight="1">
      <c r="A914" t="inlineStr">
        <is>
          <t>A 37728-2024</t>
        </is>
      </c>
      <c r="B914" s="1" t="n">
        <v>45541</v>
      </c>
      <c r="C914" s="1" t="n">
        <v>45754</v>
      </c>
      <c r="D914" t="inlineStr">
        <is>
          <t>GOTLANDS LÄN</t>
        </is>
      </c>
      <c r="E914" t="inlineStr">
        <is>
          <t>GOTLAND</t>
        </is>
      </c>
      <c r="G914" t="n">
        <v>0.4</v>
      </c>
      <c r="H914" t="n">
        <v>0</v>
      </c>
      <c r="I914" t="n">
        <v>0</v>
      </c>
      <c r="J914" t="n">
        <v>0</v>
      </c>
      <c r="K914" t="n">
        <v>0</v>
      </c>
      <c r="L914" t="n">
        <v>0</v>
      </c>
      <c r="M914" t="n">
        <v>0</v>
      </c>
      <c r="N914" t="n">
        <v>0</v>
      </c>
      <c r="O914" t="n">
        <v>0</v>
      </c>
      <c r="P914" t="n">
        <v>0</v>
      </c>
      <c r="Q914" t="n">
        <v>0</v>
      </c>
      <c r="R914" s="2" t="inlineStr"/>
    </row>
    <row r="915" ht="15" customHeight="1">
      <c r="A915" t="inlineStr">
        <is>
          <t>A 37808-2024</t>
        </is>
      </c>
      <c r="B915" s="1" t="n">
        <v>45543</v>
      </c>
      <c r="C915" s="1" t="n">
        <v>45754</v>
      </c>
      <c r="D915" t="inlineStr">
        <is>
          <t>GOTLANDS LÄN</t>
        </is>
      </c>
      <c r="E915" t="inlineStr">
        <is>
          <t>GOTLAND</t>
        </is>
      </c>
      <c r="G915" t="n">
        <v>2.3</v>
      </c>
      <c r="H915" t="n">
        <v>0</v>
      </c>
      <c r="I915" t="n">
        <v>0</v>
      </c>
      <c r="J915" t="n">
        <v>0</v>
      </c>
      <c r="K915" t="n">
        <v>0</v>
      </c>
      <c r="L915" t="n">
        <v>0</v>
      </c>
      <c r="M915" t="n">
        <v>0</v>
      </c>
      <c r="N915" t="n">
        <v>0</v>
      </c>
      <c r="O915" t="n">
        <v>0</v>
      </c>
      <c r="P915" t="n">
        <v>0</v>
      </c>
      <c r="Q915" t="n">
        <v>0</v>
      </c>
      <c r="R915" s="2" t="inlineStr"/>
    </row>
    <row r="916" ht="15" customHeight="1">
      <c r="A916" t="inlineStr">
        <is>
          <t>A 39311-2024</t>
        </is>
      </c>
      <c r="B916" s="1" t="n">
        <v>45551</v>
      </c>
      <c r="C916" s="1" t="n">
        <v>45754</v>
      </c>
      <c r="D916" t="inlineStr">
        <is>
          <t>GOTLANDS LÄN</t>
        </is>
      </c>
      <c r="E916" t="inlineStr">
        <is>
          <t>GOTLAND</t>
        </is>
      </c>
      <c r="G916" t="n">
        <v>2.8</v>
      </c>
      <c r="H916" t="n">
        <v>0</v>
      </c>
      <c r="I916" t="n">
        <v>0</v>
      </c>
      <c r="J916" t="n">
        <v>0</v>
      </c>
      <c r="K916" t="n">
        <v>0</v>
      </c>
      <c r="L916" t="n">
        <v>0</v>
      </c>
      <c r="M916" t="n">
        <v>0</v>
      </c>
      <c r="N916" t="n">
        <v>0</v>
      </c>
      <c r="O916" t="n">
        <v>0</v>
      </c>
      <c r="P916" t="n">
        <v>0</v>
      </c>
      <c r="Q916" t="n">
        <v>0</v>
      </c>
      <c r="R916" s="2" t="inlineStr"/>
    </row>
    <row r="917" ht="15" customHeight="1">
      <c r="A917" t="inlineStr">
        <is>
          <t>A 41373-2024</t>
        </is>
      </c>
      <c r="B917" s="1" t="n">
        <v>45559</v>
      </c>
      <c r="C917" s="1" t="n">
        <v>45754</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41372-2024</t>
        </is>
      </c>
      <c r="B918" s="1" t="n">
        <v>45559</v>
      </c>
      <c r="C918" s="1" t="n">
        <v>45754</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41467-2024</t>
        </is>
      </c>
      <c r="B919" s="1" t="n">
        <v>45560</v>
      </c>
      <c r="C919" s="1" t="n">
        <v>45754</v>
      </c>
      <c r="D919" t="inlineStr">
        <is>
          <t>GOTLANDS LÄN</t>
        </is>
      </c>
      <c r="E919" t="inlineStr">
        <is>
          <t>GOTLAND</t>
        </is>
      </c>
      <c r="G919" t="n">
        <v>9</v>
      </c>
      <c r="H919" t="n">
        <v>0</v>
      </c>
      <c r="I919" t="n">
        <v>0</v>
      </c>
      <c r="J919" t="n">
        <v>0</v>
      </c>
      <c r="K919" t="n">
        <v>0</v>
      </c>
      <c r="L919" t="n">
        <v>0</v>
      </c>
      <c r="M919" t="n">
        <v>0</v>
      </c>
      <c r="N919" t="n">
        <v>0</v>
      </c>
      <c r="O919" t="n">
        <v>0</v>
      </c>
      <c r="P919" t="n">
        <v>0</v>
      </c>
      <c r="Q919" t="n">
        <v>0</v>
      </c>
      <c r="R919" s="2" t="inlineStr"/>
    </row>
    <row r="920" ht="15" customHeight="1">
      <c r="A920" t="inlineStr">
        <is>
          <t>A 42041-2024</t>
        </is>
      </c>
      <c r="B920" s="1" t="n">
        <v>45561</v>
      </c>
      <c r="C920" s="1" t="n">
        <v>45754</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42340-2024</t>
        </is>
      </c>
      <c r="B921" s="1" t="n">
        <v>45562</v>
      </c>
      <c r="C921" s="1" t="n">
        <v>45754</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42348-2024</t>
        </is>
      </c>
      <c r="B922" s="1" t="n">
        <v>45562</v>
      </c>
      <c r="C922" s="1" t="n">
        <v>45754</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42346-2024</t>
        </is>
      </c>
      <c r="B923" s="1" t="n">
        <v>45562</v>
      </c>
      <c r="C923" s="1" t="n">
        <v>45754</v>
      </c>
      <c r="D923" t="inlineStr">
        <is>
          <t>GOTLANDS LÄN</t>
        </is>
      </c>
      <c r="E923" t="inlineStr">
        <is>
          <t>GOTLAND</t>
        </is>
      </c>
      <c r="G923" t="n">
        <v>1.3</v>
      </c>
      <c r="H923" t="n">
        <v>0</v>
      </c>
      <c r="I923" t="n">
        <v>0</v>
      </c>
      <c r="J923" t="n">
        <v>0</v>
      </c>
      <c r="K923" t="n">
        <v>0</v>
      </c>
      <c r="L923" t="n">
        <v>0</v>
      </c>
      <c r="M923" t="n">
        <v>0</v>
      </c>
      <c r="N923" t="n">
        <v>0</v>
      </c>
      <c r="O923" t="n">
        <v>0</v>
      </c>
      <c r="P923" t="n">
        <v>0</v>
      </c>
      <c r="Q923" t="n">
        <v>0</v>
      </c>
      <c r="R923" s="2" t="inlineStr"/>
    </row>
    <row r="924" ht="15" customHeight="1">
      <c r="A924" t="inlineStr">
        <is>
          <t>A 43785-2024</t>
        </is>
      </c>
      <c r="B924" s="1" t="n">
        <v>45570</v>
      </c>
      <c r="C924" s="1" t="n">
        <v>45754</v>
      </c>
      <c r="D924" t="inlineStr">
        <is>
          <t>GOTLANDS LÄN</t>
        </is>
      </c>
      <c r="E924" t="inlineStr">
        <is>
          <t>GOTLAND</t>
        </is>
      </c>
      <c r="G924" t="n">
        <v>12.6</v>
      </c>
      <c r="H924" t="n">
        <v>0</v>
      </c>
      <c r="I924" t="n">
        <v>0</v>
      </c>
      <c r="J924" t="n">
        <v>0</v>
      </c>
      <c r="K924" t="n">
        <v>0</v>
      </c>
      <c r="L924" t="n">
        <v>0</v>
      </c>
      <c r="M924" t="n">
        <v>0</v>
      </c>
      <c r="N924" t="n">
        <v>0</v>
      </c>
      <c r="O924" t="n">
        <v>0</v>
      </c>
      <c r="P924" t="n">
        <v>0</v>
      </c>
      <c r="Q924" t="n">
        <v>0</v>
      </c>
      <c r="R924" s="2" t="inlineStr"/>
    </row>
    <row r="925" ht="15" customHeight="1">
      <c r="A925" t="inlineStr">
        <is>
          <t>A 43784-2024</t>
        </is>
      </c>
      <c r="B925" s="1" t="n">
        <v>45570</v>
      </c>
      <c r="C925" s="1" t="n">
        <v>45754</v>
      </c>
      <c r="D925" t="inlineStr">
        <is>
          <t>GOTLANDS LÄN</t>
        </is>
      </c>
      <c r="E925" t="inlineStr">
        <is>
          <t>GOTLAND</t>
        </is>
      </c>
      <c r="G925" t="n">
        <v>9.1</v>
      </c>
      <c r="H925" t="n">
        <v>0</v>
      </c>
      <c r="I925" t="n">
        <v>0</v>
      </c>
      <c r="J925" t="n">
        <v>0</v>
      </c>
      <c r="K925" t="n">
        <v>0</v>
      </c>
      <c r="L925" t="n">
        <v>0</v>
      </c>
      <c r="M925" t="n">
        <v>0</v>
      </c>
      <c r="N925" t="n">
        <v>0</v>
      </c>
      <c r="O925" t="n">
        <v>0</v>
      </c>
      <c r="P925" t="n">
        <v>0</v>
      </c>
      <c r="Q925" t="n">
        <v>0</v>
      </c>
      <c r="R925" s="2" t="inlineStr"/>
    </row>
    <row r="926" ht="15" customHeight="1">
      <c r="A926" t="inlineStr">
        <is>
          <t>A 43787-2024</t>
        </is>
      </c>
      <c r="B926" s="1" t="n">
        <v>45571</v>
      </c>
      <c r="C926" s="1" t="n">
        <v>45754</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43790-2024</t>
        </is>
      </c>
      <c r="B927" s="1" t="n">
        <v>45571</v>
      </c>
      <c r="C927" s="1" t="n">
        <v>45754</v>
      </c>
      <c r="D927" t="inlineStr">
        <is>
          <t>GOTLANDS LÄN</t>
        </is>
      </c>
      <c r="E927" t="inlineStr">
        <is>
          <t>GOTLAND</t>
        </is>
      </c>
      <c r="G927" t="n">
        <v>3.5</v>
      </c>
      <c r="H927" t="n">
        <v>0</v>
      </c>
      <c r="I927" t="n">
        <v>0</v>
      </c>
      <c r="J927" t="n">
        <v>0</v>
      </c>
      <c r="K927" t="n">
        <v>0</v>
      </c>
      <c r="L927" t="n">
        <v>0</v>
      </c>
      <c r="M927" t="n">
        <v>0</v>
      </c>
      <c r="N927" t="n">
        <v>0</v>
      </c>
      <c r="O927" t="n">
        <v>0</v>
      </c>
      <c r="P927" t="n">
        <v>0</v>
      </c>
      <c r="Q927" t="n">
        <v>0</v>
      </c>
      <c r="R927" s="2" t="inlineStr"/>
    </row>
    <row r="928" ht="15" customHeight="1">
      <c r="A928" t="inlineStr">
        <is>
          <t>A 43788-2024</t>
        </is>
      </c>
      <c r="B928" s="1" t="n">
        <v>45571</v>
      </c>
      <c r="C928" s="1" t="n">
        <v>45754</v>
      </c>
      <c r="D928" t="inlineStr">
        <is>
          <t>GOTLANDS LÄN</t>
        </is>
      </c>
      <c r="E928" t="inlineStr">
        <is>
          <t>GOTLAND</t>
        </is>
      </c>
      <c r="G928" t="n">
        <v>4.1</v>
      </c>
      <c r="H928" t="n">
        <v>0</v>
      </c>
      <c r="I928" t="n">
        <v>0</v>
      </c>
      <c r="J928" t="n">
        <v>0</v>
      </c>
      <c r="K928" t="n">
        <v>0</v>
      </c>
      <c r="L928" t="n">
        <v>0</v>
      </c>
      <c r="M928" t="n">
        <v>0</v>
      </c>
      <c r="N928" t="n">
        <v>0</v>
      </c>
      <c r="O928" t="n">
        <v>0</v>
      </c>
      <c r="P928" t="n">
        <v>0</v>
      </c>
      <c r="Q928" t="n">
        <v>0</v>
      </c>
      <c r="R928" s="2" t="inlineStr"/>
    </row>
    <row r="929" ht="15" customHeight="1">
      <c r="A929" t="inlineStr">
        <is>
          <t>A 44416-2024</t>
        </is>
      </c>
      <c r="B929" s="1" t="n">
        <v>45573</v>
      </c>
      <c r="C929" s="1" t="n">
        <v>45754</v>
      </c>
      <c r="D929" t="inlineStr">
        <is>
          <t>GOTLANDS LÄN</t>
        </is>
      </c>
      <c r="E929" t="inlineStr">
        <is>
          <t>GOTLAND</t>
        </is>
      </c>
      <c r="G929" t="n">
        <v>0.8</v>
      </c>
      <c r="H929" t="n">
        <v>0</v>
      </c>
      <c r="I929" t="n">
        <v>0</v>
      </c>
      <c r="J929" t="n">
        <v>0</v>
      </c>
      <c r="K929" t="n">
        <v>0</v>
      </c>
      <c r="L929" t="n">
        <v>0</v>
      </c>
      <c r="M929" t="n">
        <v>0</v>
      </c>
      <c r="N929" t="n">
        <v>0</v>
      </c>
      <c r="O929" t="n">
        <v>0</v>
      </c>
      <c r="P929" t="n">
        <v>0</v>
      </c>
      <c r="Q929" t="n">
        <v>0</v>
      </c>
      <c r="R929" s="2" t="inlineStr"/>
    </row>
    <row r="930" ht="15" customHeight="1">
      <c r="A930" t="inlineStr">
        <is>
          <t>A 44513-2024</t>
        </is>
      </c>
      <c r="B930" s="1" t="n">
        <v>45574</v>
      </c>
      <c r="C930" s="1" t="n">
        <v>45754</v>
      </c>
      <c r="D930" t="inlineStr">
        <is>
          <t>GOTLANDS LÄN</t>
        </is>
      </c>
      <c r="E930" t="inlineStr">
        <is>
          <t>GOTLAND</t>
        </is>
      </c>
      <c r="G930" t="n">
        <v>6.1</v>
      </c>
      <c r="H930" t="n">
        <v>0</v>
      </c>
      <c r="I930" t="n">
        <v>0</v>
      </c>
      <c r="J930" t="n">
        <v>0</v>
      </c>
      <c r="K930" t="n">
        <v>0</v>
      </c>
      <c r="L930" t="n">
        <v>0</v>
      </c>
      <c r="M930" t="n">
        <v>0</v>
      </c>
      <c r="N930" t="n">
        <v>0</v>
      </c>
      <c r="O930" t="n">
        <v>0</v>
      </c>
      <c r="P930" t="n">
        <v>0</v>
      </c>
      <c r="Q930" t="n">
        <v>0</v>
      </c>
      <c r="R930" s="2" t="inlineStr"/>
    </row>
    <row r="931" ht="15" customHeight="1">
      <c r="A931" t="inlineStr">
        <is>
          <t>A 45112-2024</t>
        </is>
      </c>
      <c r="B931" s="1" t="n">
        <v>45575</v>
      </c>
      <c r="C931" s="1" t="n">
        <v>45754</v>
      </c>
      <c r="D931" t="inlineStr">
        <is>
          <t>GOTLANDS LÄN</t>
        </is>
      </c>
      <c r="E931" t="inlineStr">
        <is>
          <t>GOTLAND</t>
        </is>
      </c>
      <c r="G931" t="n">
        <v>5.1</v>
      </c>
      <c r="H931" t="n">
        <v>0</v>
      </c>
      <c r="I931" t="n">
        <v>0</v>
      </c>
      <c r="J931" t="n">
        <v>0</v>
      </c>
      <c r="K931" t="n">
        <v>0</v>
      </c>
      <c r="L931" t="n">
        <v>0</v>
      </c>
      <c r="M931" t="n">
        <v>0</v>
      </c>
      <c r="N931" t="n">
        <v>0</v>
      </c>
      <c r="O931" t="n">
        <v>0</v>
      </c>
      <c r="P931" t="n">
        <v>0</v>
      </c>
      <c r="Q931" t="n">
        <v>0</v>
      </c>
      <c r="R931" s="2" t="inlineStr"/>
    </row>
    <row r="932" ht="15" customHeight="1">
      <c r="A932" t="inlineStr">
        <is>
          <t>A 45101-2024</t>
        </is>
      </c>
      <c r="B932" s="1" t="n">
        <v>45575</v>
      </c>
      <c r="C932" s="1" t="n">
        <v>45754</v>
      </c>
      <c r="D932" t="inlineStr">
        <is>
          <t>GOTLANDS LÄN</t>
        </is>
      </c>
      <c r="E932" t="inlineStr">
        <is>
          <t>GOTLAND</t>
        </is>
      </c>
      <c r="G932" t="n">
        <v>1.6</v>
      </c>
      <c r="H932" t="n">
        <v>0</v>
      </c>
      <c r="I932" t="n">
        <v>0</v>
      </c>
      <c r="J932" t="n">
        <v>0</v>
      </c>
      <c r="K932" t="n">
        <v>0</v>
      </c>
      <c r="L932" t="n">
        <v>0</v>
      </c>
      <c r="M932" t="n">
        <v>0</v>
      </c>
      <c r="N932" t="n">
        <v>0</v>
      </c>
      <c r="O932" t="n">
        <v>0</v>
      </c>
      <c r="P932" t="n">
        <v>0</v>
      </c>
      <c r="Q932" t="n">
        <v>0</v>
      </c>
      <c r="R932" s="2" t="inlineStr"/>
    </row>
    <row r="933" ht="15" customHeight="1">
      <c r="A933" t="inlineStr">
        <is>
          <t>A 45106-2024</t>
        </is>
      </c>
      <c r="B933" s="1" t="n">
        <v>45575</v>
      </c>
      <c r="C933" s="1" t="n">
        <v>45754</v>
      </c>
      <c r="D933" t="inlineStr">
        <is>
          <t>GOTLANDS LÄN</t>
        </is>
      </c>
      <c r="E933" t="inlineStr">
        <is>
          <t>GOTLAND</t>
        </is>
      </c>
      <c r="G933" t="n">
        <v>10</v>
      </c>
      <c r="H933" t="n">
        <v>0</v>
      </c>
      <c r="I933" t="n">
        <v>0</v>
      </c>
      <c r="J933" t="n">
        <v>0</v>
      </c>
      <c r="K933" t="n">
        <v>0</v>
      </c>
      <c r="L933" t="n">
        <v>0</v>
      </c>
      <c r="M933" t="n">
        <v>0</v>
      </c>
      <c r="N933" t="n">
        <v>0</v>
      </c>
      <c r="O933" t="n">
        <v>0</v>
      </c>
      <c r="P933" t="n">
        <v>0</v>
      </c>
      <c r="Q933" t="n">
        <v>0</v>
      </c>
      <c r="R933" s="2" t="inlineStr"/>
    </row>
    <row r="934" ht="15" customHeight="1">
      <c r="A934" t="inlineStr">
        <is>
          <t>A 44892-2024</t>
        </is>
      </c>
      <c r="B934" s="1" t="n">
        <v>45575</v>
      </c>
      <c r="C934" s="1" t="n">
        <v>45754</v>
      </c>
      <c r="D934" t="inlineStr">
        <is>
          <t>GOTLANDS LÄN</t>
        </is>
      </c>
      <c r="E934" t="inlineStr">
        <is>
          <t>GOTLAND</t>
        </is>
      </c>
      <c r="G934" t="n">
        <v>2.9</v>
      </c>
      <c r="H934" t="n">
        <v>0</v>
      </c>
      <c r="I934" t="n">
        <v>0</v>
      </c>
      <c r="J934" t="n">
        <v>0</v>
      </c>
      <c r="K934" t="n">
        <v>0</v>
      </c>
      <c r="L934" t="n">
        <v>0</v>
      </c>
      <c r="M934" t="n">
        <v>0</v>
      </c>
      <c r="N934" t="n">
        <v>0</v>
      </c>
      <c r="O934" t="n">
        <v>0</v>
      </c>
      <c r="P934" t="n">
        <v>0</v>
      </c>
      <c r="Q934" t="n">
        <v>0</v>
      </c>
      <c r="R934" s="2" t="inlineStr"/>
    </row>
    <row r="935" ht="15" customHeight="1">
      <c r="A935" t="inlineStr">
        <is>
          <t>A 45079-2024</t>
        </is>
      </c>
      <c r="B935" s="1" t="n">
        <v>45575</v>
      </c>
      <c r="C935" s="1" t="n">
        <v>45754</v>
      </c>
      <c r="D935" t="inlineStr">
        <is>
          <t>GOTLANDS LÄN</t>
        </is>
      </c>
      <c r="E935" t="inlineStr">
        <is>
          <t>GOTLAND</t>
        </is>
      </c>
      <c r="G935" t="n">
        <v>3.9</v>
      </c>
      <c r="H935" t="n">
        <v>0</v>
      </c>
      <c r="I935" t="n">
        <v>0</v>
      </c>
      <c r="J935" t="n">
        <v>0</v>
      </c>
      <c r="K935" t="n">
        <v>0</v>
      </c>
      <c r="L935" t="n">
        <v>0</v>
      </c>
      <c r="M935" t="n">
        <v>0</v>
      </c>
      <c r="N935" t="n">
        <v>0</v>
      </c>
      <c r="O935" t="n">
        <v>0</v>
      </c>
      <c r="P935" t="n">
        <v>0</v>
      </c>
      <c r="Q935" t="n">
        <v>0</v>
      </c>
      <c r="R935" s="2" t="inlineStr"/>
    </row>
    <row r="936" ht="15" customHeight="1">
      <c r="A936" t="inlineStr">
        <is>
          <t>A 45084-2024</t>
        </is>
      </c>
      <c r="B936" s="1" t="n">
        <v>45575</v>
      </c>
      <c r="C936" s="1" t="n">
        <v>45754</v>
      </c>
      <c r="D936" t="inlineStr">
        <is>
          <t>GOTLANDS LÄN</t>
        </is>
      </c>
      <c r="E936" t="inlineStr">
        <is>
          <t>GOTLAND</t>
        </is>
      </c>
      <c r="G936" t="n">
        <v>6.8</v>
      </c>
      <c r="H936" t="n">
        <v>0</v>
      </c>
      <c r="I936" t="n">
        <v>0</v>
      </c>
      <c r="J936" t="n">
        <v>0</v>
      </c>
      <c r="K936" t="n">
        <v>0</v>
      </c>
      <c r="L936" t="n">
        <v>0</v>
      </c>
      <c r="M936" t="n">
        <v>0</v>
      </c>
      <c r="N936" t="n">
        <v>0</v>
      </c>
      <c r="O936" t="n">
        <v>0</v>
      </c>
      <c r="P936" t="n">
        <v>0</v>
      </c>
      <c r="Q936" t="n">
        <v>0</v>
      </c>
      <c r="R936" s="2" t="inlineStr"/>
    </row>
    <row r="937" ht="15" customHeight="1">
      <c r="A937" t="inlineStr">
        <is>
          <t>A 44879-2024</t>
        </is>
      </c>
      <c r="B937" s="1" t="n">
        <v>45575</v>
      </c>
      <c r="C937" s="1" t="n">
        <v>45754</v>
      </c>
      <c r="D937" t="inlineStr">
        <is>
          <t>GOTLANDS LÄN</t>
        </is>
      </c>
      <c r="E937" t="inlineStr">
        <is>
          <t>GOTLAND</t>
        </is>
      </c>
      <c r="G937" t="n">
        <v>18.9</v>
      </c>
      <c r="H937" t="n">
        <v>0</v>
      </c>
      <c r="I937" t="n">
        <v>0</v>
      </c>
      <c r="J937" t="n">
        <v>0</v>
      </c>
      <c r="K937" t="n">
        <v>0</v>
      </c>
      <c r="L937" t="n">
        <v>0</v>
      </c>
      <c r="M937" t="n">
        <v>0</v>
      </c>
      <c r="N937" t="n">
        <v>0</v>
      </c>
      <c r="O937" t="n">
        <v>0</v>
      </c>
      <c r="P937" t="n">
        <v>0</v>
      </c>
      <c r="Q937" t="n">
        <v>0</v>
      </c>
      <c r="R937" s="2" t="inlineStr"/>
    </row>
    <row r="938" ht="15" customHeight="1">
      <c r="A938" t="inlineStr">
        <is>
          <t>A 45244-2024</t>
        </is>
      </c>
      <c r="B938" s="1" t="n">
        <v>45576</v>
      </c>
      <c r="C938" s="1" t="n">
        <v>45754</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46540-2024</t>
        </is>
      </c>
      <c r="B939" s="1" t="n">
        <v>45582</v>
      </c>
      <c r="C939" s="1" t="n">
        <v>45754</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46548-2024</t>
        </is>
      </c>
      <c r="B940" s="1" t="n">
        <v>45582</v>
      </c>
      <c r="C940" s="1" t="n">
        <v>45754</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46560-2024</t>
        </is>
      </c>
      <c r="B941" s="1" t="n">
        <v>45582</v>
      </c>
      <c r="C941" s="1" t="n">
        <v>45754</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46555-2024</t>
        </is>
      </c>
      <c r="B942" s="1" t="n">
        <v>45582</v>
      </c>
      <c r="C942" s="1" t="n">
        <v>45754</v>
      </c>
      <c r="D942" t="inlineStr">
        <is>
          <t>GOTLANDS LÄN</t>
        </is>
      </c>
      <c r="E942" t="inlineStr">
        <is>
          <t>GOTLAND</t>
        </is>
      </c>
      <c r="G942" t="n">
        <v>2</v>
      </c>
      <c r="H942" t="n">
        <v>0</v>
      </c>
      <c r="I942" t="n">
        <v>0</v>
      </c>
      <c r="J942" t="n">
        <v>0</v>
      </c>
      <c r="K942" t="n">
        <v>0</v>
      </c>
      <c r="L942" t="n">
        <v>0</v>
      </c>
      <c r="M942" t="n">
        <v>0</v>
      </c>
      <c r="N942" t="n">
        <v>0</v>
      </c>
      <c r="O942" t="n">
        <v>0</v>
      </c>
      <c r="P942" t="n">
        <v>0</v>
      </c>
      <c r="Q942" t="n">
        <v>0</v>
      </c>
      <c r="R942" s="2" t="inlineStr"/>
    </row>
    <row r="943" ht="15" customHeight="1">
      <c r="A943" t="inlineStr">
        <is>
          <t>A 46375-2024</t>
        </is>
      </c>
      <c r="B943" s="1" t="n">
        <v>45582</v>
      </c>
      <c r="C943" s="1" t="n">
        <v>45754</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46545-2024</t>
        </is>
      </c>
      <c r="B944" s="1" t="n">
        <v>45582</v>
      </c>
      <c r="C944" s="1" t="n">
        <v>45754</v>
      </c>
      <c r="D944" t="inlineStr">
        <is>
          <t>GOTLANDS LÄN</t>
        </is>
      </c>
      <c r="E944" t="inlineStr">
        <is>
          <t>GOTLAND</t>
        </is>
      </c>
      <c r="G944" t="n">
        <v>1.2</v>
      </c>
      <c r="H944" t="n">
        <v>0</v>
      </c>
      <c r="I944" t="n">
        <v>0</v>
      </c>
      <c r="J944" t="n">
        <v>0</v>
      </c>
      <c r="K944" t="n">
        <v>0</v>
      </c>
      <c r="L944" t="n">
        <v>0</v>
      </c>
      <c r="M944" t="n">
        <v>0</v>
      </c>
      <c r="N944" t="n">
        <v>0</v>
      </c>
      <c r="O944" t="n">
        <v>0</v>
      </c>
      <c r="P944" t="n">
        <v>0</v>
      </c>
      <c r="Q944" t="n">
        <v>0</v>
      </c>
      <c r="R944" s="2" t="inlineStr"/>
    </row>
    <row r="945" ht="15" customHeight="1">
      <c r="A945" t="inlineStr">
        <is>
          <t>A 46929-2024</t>
        </is>
      </c>
      <c r="B945" s="1" t="n">
        <v>45584</v>
      </c>
      <c r="C945" s="1" t="n">
        <v>45754</v>
      </c>
      <c r="D945" t="inlineStr">
        <is>
          <t>GOTLANDS LÄN</t>
        </is>
      </c>
      <c r="E945" t="inlineStr">
        <is>
          <t>GOTLAND</t>
        </is>
      </c>
      <c r="G945" t="n">
        <v>2.5</v>
      </c>
      <c r="H945" t="n">
        <v>0</v>
      </c>
      <c r="I945" t="n">
        <v>0</v>
      </c>
      <c r="J945" t="n">
        <v>0</v>
      </c>
      <c r="K945" t="n">
        <v>0</v>
      </c>
      <c r="L945" t="n">
        <v>0</v>
      </c>
      <c r="M945" t="n">
        <v>0</v>
      </c>
      <c r="N945" t="n">
        <v>0</v>
      </c>
      <c r="O945" t="n">
        <v>0</v>
      </c>
      <c r="P945" t="n">
        <v>0</v>
      </c>
      <c r="Q945" t="n">
        <v>0</v>
      </c>
      <c r="R945" s="2" t="inlineStr"/>
    </row>
    <row r="946" ht="15" customHeight="1">
      <c r="A946" t="inlineStr">
        <is>
          <t>A 46928-2024</t>
        </is>
      </c>
      <c r="B946" s="1" t="n">
        <v>45584</v>
      </c>
      <c r="C946" s="1" t="n">
        <v>45754</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46930-2024</t>
        </is>
      </c>
      <c r="B947" s="1" t="n">
        <v>45584</v>
      </c>
      <c r="C947" s="1" t="n">
        <v>45754</v>
      </c>
      <c r="D947" t="inlineStr">
        <is>
          <t>GOTLANDS LÄN</t>
        </is>
      </c>
      <c r="E947" t="inlineStr">
        <is>
          <t>GOTLAND</t>
        </is>
      </c>
      <c r="G947" t="n">
        <v>1.8</v>
      </c>
      <c r="H947" t="n">
        <v>0</v>
      </c>
      <c r="I947" t="n">
        <v>0</v>
      </c>
      <c r="J947" t="n">
        <v>0</v>
      </c>
      <c r="K947" t="n">
        <v>0</v>
      </c>
      <c r="L947" t="n">
        <v>0</v>
      </c>
      <c r="M947" t="n">
        <v>0</v>
      </c>
      <c r="N947" t="n">
        <v>0</v>
      </c>
      <c r="O947" t="n">
        <v>0</v>
      </c>
      <c r="P947" t="n">
        <v>0</v>
      </c>
      <c r="Q947" t="n">
        <v>0</v>
      </c>
      <c r="R947" s="2" t="inlineStr"/>
    </row>
    <row r="948" ht="15" customHeight="1">
      <c r="A948" t="inlineStr">
        <is>
          <t>A 46949-2024</t>
        </is>
      </c>
      <c r="B948" s="1" t="n">
        <v>45585</v>
      </c>
      <c r="C948" s="1" t="n">
        <v>45754</v>
      </c>
      <c r="D948" t="inlineStr">
        <is>
          <t>GOTLANDS LÄN</t>
        </is>
      </c>
      <c r="E948" t="inlineStr">
        <is>
          <t>GOTLAND</t>
        </is>
      </c>
      <c r="G948" t="n">
        <v>0.6</v>
      </c>
      <c r="H948" t="n">
        <v>0</v>
      </c>
      <c r="I948" t="n">
        <v>0</v>
      </c>
      <c r="J948" t="n">
        <v>0</v>
      </c>
      <c r="K948" t="n">
        <v>0</v>
      </c>
      <c r="L948" t="n">
        <v>0</v>
      </c>
      <c r="M948" t="n">
        <v>0</v>
      </c>
      <c r="N948" t="n">
        <v>0</v>
      </c>
      <c r="O948" t="n">
        <v>0</v>
      </c>
      <c r="P948" t="n">
        <v>0</v>
      </c>
      <c r="Q948" t="n">
        <v>0</v>
      </c>
      <c r="R948" s="2" t="inlineStr"/>
    </row>
    <row r="949" ht="15" customHeight="1">
      <c r="A949" t="inlineStr">
        <is>
          <t>A 47292-2024</t>
        </is>
      </c>
      <c r="B949" s="1" t="n">
        <v>45586</v>
      </c>
      <c r="C949" s="1" t="n">
        <v>45754</v>
      </c>
      <c r="D949" t="inlineStr">
        <is>
          <t>GOTLANDS LÄN</t>
        </is>
      </c>
      <c r="E949" t="inlineStr">
        <is>
          <t>GOTLAND</t>
        </is>
      </c>
      <c r="G949" t="n">
        <v>5.9</v>
      </c>
      <c r="H949" t="n">
        <v>0</v>
      </c>
      <c r="I949" t="n">
        <v>0</v>
      </c>
      <c r="J949" t="n">
        <v>0</v>
      </c>
      <c r="K949" t="n">
        <v>0</v>
      </c>
      <c r="L949" t="n">
        <v>0</v>
      </c>
      <c r="M949" t="n">
        <v>0</v>
      </c>
      <c r="N949" t="n">
        <v>0</v>
      </c>
      <c r="O949" t="n">
        <v>0</v>
      </c>
      <c r="P949" t="n">
        <v>0</v>
      </c>
      <c r="Q949" t="n">
        <v>0</v>
      </c>
      <c r="R949" s="2" t="inlineStr"/>
    </row>
    <row r="950" ht="15" customHeight="1">
      <c r="A950" t="inlineStr">
        <is>
          <t>A 48155-2024</t>
        </is>
      </c>
      <c r="B950" s="1" t="n">
        <v>45589</v>
      </c>
      <c r="C950" s="1" t="n">
        <v>45754</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45754</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45754</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45754</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45754</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45754</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45754</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45754</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45754</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45754</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45754</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45754</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45754</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45754</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45754</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45754</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45754</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45754</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45754</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45754</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45754</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45754</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45754</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45754</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45754</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45754</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45754</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45754</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45754</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45754</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45754</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45754</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45754</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45754</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45754</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45754</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45754</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45754</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45754</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45754</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45754</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45754</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45754</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45754</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45754</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45754</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45754</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45754</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45754</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45754</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45754</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45754</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45754</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45754</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45754</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45754</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45754</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45754</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45754</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45754</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45754</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45754</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45754</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45754</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45754</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45754</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45754</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45754</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45754</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45754</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45754</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45754</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45754</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45754</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45754</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45754</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45754</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45754</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45754</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45754</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45754</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45754</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45754</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45754</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45754</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45754</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45754</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45754</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45754</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45754</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45754</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45754</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45754</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45754</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45754</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45754</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45754</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45754</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45754</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45754</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45754</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45754</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45754</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45754</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45754</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45754</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45754</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45754</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45754</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45754</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45754</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45754</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45754</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45754</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45754</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45754</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45754</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45754</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45754</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45754</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45754</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45754</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45754</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45754</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45754</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45754</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45754</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45754</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45754</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45754</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45754</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45754</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45754</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45754</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45754</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45754</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45754</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45754</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45754</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45754</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45754</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45754</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45754</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45754</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45754</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45754</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45754</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45754</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45754</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45754</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15413-2025</t>
        </is>
      </c>
      <c r="B1100" s="1" t="n">
        <v>45747</v>
      </c>
      <c r="C1100" s="1" t="n">
        <v>45754</v>
      </c>
      <c r="D1100" t="inlineStr">
        <is>
          <t>GOTLANDS LÄN</t>
        </is>
      </c>
      <c r="E1100" t="inlineStr">
        <is>
          <t>GOTLAND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15436-2025</t>
        </is>
      </c>
      <c r="B1101" s="1" t="n">
        <v>45747</v>
      </c>
      <c r="C1101" s="1" t="n">
        <v>45754</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45754</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45754</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45754</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2025-04-07T16:46:33Z</dcterms:created>
  <dcterms:modified xmlns:dcterms="http://purl.org/dc/terms/" xmlns:xsi="http://www.w3.org/2001/XMLSchema-instance" xsi:type="dcterms:W3CDTF">2025-04-07T16:46:34Z</dcterms:modified>
</cp:coreProperties>
</file>