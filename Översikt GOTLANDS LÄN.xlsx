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45964</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45964</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45964</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45964</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45964</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45964</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45964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45964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45964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45964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17762-2024</t>
        </is>
      </c>
      <c r="B28" s="1" t="n">
        <v>45418</v>
      </c>
      <c r="C28" s="1" t="n">
        <v>45964</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45964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45964</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45964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45964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45964</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45964</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45964</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45964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45964</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45964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45964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45964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45964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45964</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17766-2024</t>
        </is>
      </c>
      <c r="B47" s="1" t="n">
        <v>45418</v>
      </c>
      <c r="C47" s="1" t="n">
        <v>45964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45964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45964</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45964</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45964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45964</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45964</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45964</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45964</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45964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4984-2025</t>
        </is>
      </c>
      <c r="B59" s="1" t="n">
        <v>45691.29891203704</v>
      </c>
      <c r="C59" s="1" t="n">
        <v>45964</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45248-2024</t>
        </is>
      </c>
      <c r="B60" s="1" t="n">
        <v>45576</v>
      </c>
      <c r="C60" s="1" t="n">
        <v>45964</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10419-2025</t>
        </is>
      </c>
      <c r="B61" s="1" t="n">
        <v>45720</v>
      </c>
      <c r="C61" s="1" t="n">
        <v>45964</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27280-2023</t>
        </is>
      </c>
      <c r="B62" s="1" t="n">
        <v>45096</v>
      </c>
      <c r="C62" s="1" t="n">
        <v>45964</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45964</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45964</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52223-2025</t>
        </is>
      </c>
      <c r="B65" s="1" t="n">
        <v>45953.44509259259</v>
      </c>
      <c r="C65" s="1" t="n">
        <v>45964</v>
      </c>
      <c r="D65" t="inlineStr">
        <is>
          <t>GOTLANDS LÄN</t>
        </is>
      </c>
      <c r="E65" t="inlineStr">
        <is>
          <t>GOTLAND</t>
        </is>
      </c>
      <c r="F65" t="inlineStr">
        <is>
          <t>Övriga Aktiebolag</t>
        </is>
      </c>
      <c r="G65" t="n">
        <v>5.8</v>
      </c>
      <c r="H65" t="n">
        <v>3</v>
      </c>
      <c r="I65" t="n">
        <v>0</v>
      </c>
      <c r="J65" t="n">
        <v>4</v>
      </c>
      <c r="K65" t="n">
        <v>0</v>
      </c>
      <c r="L65" t="n">
        <v>0</v>
      </c>
      <c r="M65" t="n">
        <v>0</v>
      </c>
      <c r="N65" t="n">
        <v>0</v>
      </c>
      <c r="O65" t="n">
        <v>4</v>
      </c>
      <c r="P65" t="n">
        <v>0</v>
      </c>
      <c r="Q65" t="n">
        <v>7</v>
      </c>
      <c r="R65" s="2" t="inlineStr">
        <is>
          <t>Axveronika
Backtimjan
Solvända
Ängsstarr
Brudsporre
Kärrknipprot
Ängsnycklar</t>
        </is>
      </c>
      <c r="S65">
        <f>HYPERLINK("https://klasma.github.io/Logging_0980/artfynd/A 52223-2025 artfynd.xlsx", "A 52223-2025")</f>
        <v/>
      </c>
      <c r="T65">
        <f>HYPERLINK("https://klasma.github.io/Logging_0980/kartor/A 52223-2025 karta.png", "A 52223-2025")</f>
        <v/>
      </c>
      <c r="V65">
        <f>HYPERLINK("https://klasma.github.io/Logging_0980/klagomål/A 52223-2025 FSC-klagomål.docx", "A 52223-2025")</f>
        <v/>
      </c>
      <c r="W65">
        <f>HYPERLINK("https://klasma.github.io/Logging_0980/klagomålsmail/A 52223-2025 FSC-klagomål mail.docx", "A 52223-2025")</f>
        <v/>
      </c>
      <c r="X65">
        <f>HYPERLINK("https://klasma.github.io/Logging_0980/tillsyn/A 52223-2025 tillsynsbegäran.docx", "A 52223-2025")</f>
        <v/>
      </c>
      <c r="Y65">
        <f>HYPERLINK("https://klasma.github.io/Logging_0980/tillsynsmail/A 52223-2025 tillsynsbegäran mail.docx", "A 52223-2025")</f>
        <v/>
      </c>
    </row>
    <row r="66" ht="15" customHeight="1">
      <c r="A66" t="inlineStr">
        <is>
          <t>A 25205-2021</t>
        </is>
      </c>
      <c r="B66" s="1" t="n">
        <v>44342</v>
      </c>
      <c r="C66" s="1" t="n">
        <v>45964</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45964</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45964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54527-2023</t>
        </is>
      </c>
      <c r="B69" s="1" t="n">
        <v>45233</v>
      </c>
      <c r="C69" s="1" t="n">
        <v>45964</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45964</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45964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45964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45964</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45964</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39425-2023</t>
        </is>
      </c>
      <c r="B75" s="1" t="n">
        <v>45166</v>
      </c>
      <c r="C75" s="1" t="n">
        <v>45964</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45964</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2213-2023</t>
        </is>
      </c>
      <c r="B77" s="1" t="n">
        <v>44942</v>
      </c>
      <c r="C77" s="1" t="n">
        <v>45964</v>
      </c>
      <c r="D77" t="inlineStr">
        <is>
          <t>GOTLANDS LÄN</t>
        </is>
      </c>
      <c r="E77" t="inlineStr">
        <is>
          <t>GOTLAND</t>
        </is>
      </c>
      <c r="G77" t="n">
        <v>2.7</v>
      </c>
      <c r="H77" t="n">
        <v>1</v>
      </c>
      <c r="I77" t="n">
        <v>0</v>
      </c>
      <c r="J77" t="n">
        <v>4</v>
      </c>
      <c r="K77" t="n">
        <v>1</v>
      </c>
      <c r="L77" t="n">
        <v>0</v>
      </c>
      <c r="M77" t="n">
        <v>0</v>
      </c>
      <c r="N77" t="n">
        <v>0</v>
      </c>
      <c r="O77" t="n">
        <v>5</v>
      </c>
      <c r="P77" t="n">
        <v>1</v>
      </c>
      <c r="Q77" t="n">
        <v>5</v>
      </c>
      <c r="R77" s="2" t="inlineStr">
        <is>
          <t>Garderönn
Backtimjan
Odörspindling
Smedbock
Svinrot</t>
        </is>
      </c>
      <c r="S77">
        <f>HYPERLINK("https://klasma.github.io/Logging_0980/artfynd/A 2213-2023 artfynd.xlsx", "A 2213-2023")</f>
        <v/>
      </c>
      <c r="T77">
        <f>HYPERLINK("https://klasma.github.io/Logging_0980/kartor/A 2213-2023 karta.png", "A 2213-2023")</f>
        <v/>
      </c>
      <c r="V77">
        <f>HYPERLINK("https://klasma.github.io/Logging_0980/klagomål/A 2213-2023 FSC-klagomål.docx", "A 2213-2023")</f>
        <v/>
      </c>
      <c r="W77">
        <f>HYPERLINK("https://klasma.github.io/Logging_0980/klagomålsmail/A 2213-2023 FSC-klagomål mail.docx", "A 2213-2023")</f>
        <v/>
      </c>
      <c r="X77">
        <f>HYPERLINK("https://klasma.github.io/Logging_0980/tillsyn/A 2213-2023 tillsynsbegäran.docx", "A 2213-2023")</f>
        <v/>
      </c>
      <c r="Y77">
        <f>HYPERLINK("https://klasma.github.io/Logging_0980/tillsynsmail/A 2213-2023 tillsynsbegäran mail.docx", "A 2213-2023")</f>
        <v/>
      </c>
    </row>
    <row r="78" ht="15" customHeight="1">
      <c r="A78" t="inlineStr">
        <is>
          <t>A 16375-2025</t>
        </is>
      </c>
      <c r="B78" s="1" t="n">
        <v>45751.41064814815</v>
      </c>
      <c r="C78" s="1" t="n">
        <v>45964</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32326-2024</t>
        </is>
      </c>
      <c r="B79" s="1" t="n">
        <v>45512</v>
      </c>
      <c r="C79" s="1" t="n">
        <v>45964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45964</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45964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45964</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29331-2021</t>
        </is>
      </c>
      <c r="B83" s="1" t="n">
        <v>44361</v>
      </c>
      <c r="C83" s="1" t="n">
        <v>45964</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43197-2023</t>
        </is>
      </c>
      <c r="B84" s="1" t="n">
        <v>45183</v>
      </c>
      <c r="C84" s="1" t="n">
        <v>45964</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44933-2022</t>
        </is>
      </c>
      <c r="B85" s="1" t="n">
        <v>44841</v>
      </c>
      <c r="C85" s="1" t="n">
        <v>45964</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64378-2020</t>
        </is>
      </c>
      <c r="B86" s="1" t="n">
        <v>44168</v>
      </c>
      <c r="C86" s="1" t="n">
        <v>45964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1971-2023</t>
        </is>
      </c>
      <c r="B87" s="1" t="n">
        <v>44939</v>
      </c>
      <c r="C87" s="1" t="n">
        <v>45964</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56717-2024</t>
        </is>
      </c>
      <c r="B88" s="1" t="n">
        <v>45628.3166550926</v>
      </c>
      <c r="C88" s="1" t="n">
        <v>45964</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186-2023</t>
        </is>
      </c>
      <c r="B89" s="1" t="n">
        <v>44928</v>
      </c>
      <c r="C89" s="1" t="n">
        <v>45964</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54523-2023</t>
        </is>
      </c>
      <c r="B90" s="1" t="n">
        <v>45233</v>
      </c>
      <c r="C90" s="1" t="n">
        <v>45964</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2485-2025</t>
        </is>
      </c>
      <c r="B91" s="1" t="n">
        <v>45673</v>
      </c>
      <c r="C91" s="1" t="n">
        <v>45964</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45964</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6159-2023</t>
        </is>
      </c>
      <c r="B93" s="1" t="n">
        <v>44964</v>
      </c>
      <c r="C93" s="1" t="n">
        <v>45964</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45964</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40099-2025</t>
        </is>
      </c>
      <c r="B95" s="1" t="n">
        <v>45894.48462962963</v>
      </c>
      <c r="C95" s="1" t="n">
        <v>45964</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8265-2023</t>
        </is>
      </c>
      <c r="B96" s="1" t="n">
        <v>44974</v>
      </c>
      <c r="C96" s="1" t="n">
        <v>45964</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52309-2025</t>
        </is>
      </c>
      <c r="B97" s="1" t="n">
        <v>45953.64381944444</v>
      </c>
      <c r="C97" s="1" t="n">
        <v>45964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45964</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65537-2020</t>
        </is>
      </c>
      <c r="B99" s="1" t="n">
        <v>44173</v>
      </c>
      <c r="C99" s="1" t="n">
        <v>45964</v>
      </c>
      <c r="D99" t="inlineStr">
        <is>
          <t>GOTLANDS LÄN</t>
        </is>
      </c>
      <c r="E99" t="inlineStr">
        <is>
          <t>GOTLAND</t>
        </is>
      </c>
      <c r="G99" t="n">
        <v>1.6</v>
      </c>
      <c r="H99" t="n">
        <v>0</v>
      </c>
      <c r="I99" t="n">
        <v>0</v>
      </c>
      <c r="J99" t="n">
        <v>3</v>
      </c>
      <c r="K99" t="n">
        <v>0</v>
      </c>
      <c r="L99" t="n">
        <v>0</v>
      </c>
      <c r="M99" t="n">
        <v>0</v>
      </c>
      <c r="N99" t="n">
        <v>0</v>
      </c>
      <c r="O99" t="n">
        <v>3</v>
      </c>
      <c r="P99" t="n">
        <v>0</v>
      </c>
      <c r="Q99" t="n">
        <v>3</v>
      </c>
      <c r="R99" s="2" t="inlineStr">
        <is>
          <t>Axveronika
Backtimjan
Solvända</t>
        </is>
      </c>
      <c r="S99">
        <f>HYPERLINK("https://klasma.github.io/Logging_0980/artfynd/A 65537-2020 artfynd.xlsx", "A 65537-2020")</f>
        <v/>
      </c>
      <c r="T99">
        <f>HYPERLINK("https://klasma.github.io/Logging_0980/kartor/A 65537-2020 karta.png", "A 65537-2020")</f>
        <v/>
      </c>
      <c r="V99">
        <f>HYPERLINK("https://klasma.github.io/Logging_0980/klagomål/A 65537-2020 FSC-klagomål.docx", "A 65537-2020")</f>
        <v/>
      </c>
      <c r="W99">
        <f>HYPERLINK("https://klasma.github.io/Logging_0980/klagomålsmail/A 65537-2020 FSC-klagomål mail.docx", "A 65537-2020")</f>
        <v/>
      </c>
      <c r="X99">
        <f>HYPERLINK("https://klasma.github.io/Logging_0980/tillsyn/A 65537-2020 tillsynsbegäran.docx", "A 65537-2020")</f>
        <v/>
      </c>
      <c r="Y99">
        <f>HYPERLINK("https://klasma.github.io/Logging_0980/tillsynsmail/A 65537-2020 tillsynsbegäran mail.docx", "A 65537-2020")</f>
        <v/>
      </c>
    </row>
    <row r="100" ht="15" customHeight="1">
      <c r="A100" t="inlineStr">
        <is>
          <t>A 44323-2021</t>
        </is>
      </c>
      <c r="B100" s="1" t="n">
        <v>44434</v>
      </c>
      <c r="C100" s="1" t="n">
        <v>45964</v>
      </c>
      <c r="D100" t="inlineStr">
        <is>
          <t>GOTLANDS LÄN</t>
        </is>
      </c>
      <c r="E100" t="inlineStr">
        <is>
          <t>GOTLAND</t>
        </is>
      </c>
      <c r="G100" t="n">
        <v>7.5</v>
      </c>
      <c r="H100" t="n">
        <v>1</v>
      </c>
      <c r="I100" t="n">
        <v>3</v>
      </c>
      <c r="J100" t="n">
        <v>0</v>
      </c>
      <c r="K100" t="n">
        <v>0</v>
      </c>
      <c r="L100" t="n">
        <v>0</v>
      </c>
      <c r="M100" t="n">
        <v>0</v>
      </c>
      <c r="N100" t="n">
        <v>0</v>
      </c>
      <c r="O100" t="n">
        <v>0</v>
      </c>
      <c r="P100" t="n">
        <v>0</v>
      </c>
      <c r="Q100" t="n">
        <v>3</v>
      </c>
      <c r="R100" s="2" t="inlineStr">
        <is>
          <t>Anisspindling
Barrfagerspindling
Skogsknipprot</t>
        </is>
      </c>
      <c r="S100">
        <f>HYPERLINK("https://klasma.github.io/Logging_0980/artfynd/A 44323-2021 artfynd.xlsx", "A 44323-2021")</f>
        <v/>
      </c>
      <c r="T100">
        <f>HYPERLINK("https://klasma.github.io/Logging_0980/kartor/A 44323-2021 karta.png", "A 44323-2021")</f>
        <v/>
      </c>
      <c r="V100">
        <f>HYPERLINK("https://klasma.github.io/Logging_0980/klagomål/A 44323-2021 FSC-klagomål.docx", "A 44323-2021")</f>
        <v/>
      </c>
      <c r="W100">
        <f>HYPERLINK("https://klasma.github.io/Logging_0980/klagomålsmail/A 44323-2021 FSC-klagomål mail.docx", "A 44323-2021")</f>
        <v/>
      </c>
      <c r="X100">
        <f>HYPERLINK("https://klasma.github.io/Logging_0980/tillsyn/A 44323-2021 tillsynsbegäran.docx", "A 44323-2021")</f>
        <v/>
      </c>
      <c r="Y100">
        <f>HYPERLINK("https://klasma.github.io/Logging_0980/tillsynsmail/A 44323-2021 tillsynsbegäran mail.docx", "A 44323-2021")</f>
        <v/>
      </c>
    </row>
    <row r="101" ht="15" customHeight="1">
      <c r="A101" t="inlineStr">
        <is>
          <t>A 32666-2021</t>
        </is>
      </c>
      <c r="B101" s="1" t="n">
        <v>44375</v>
      </c>
      <c r="C101" s="1" t="n">
        <v>45964</v>
      </c>
      <c r="D101" t="inlineStr">
        <is>
          <t>GOTLANDS LÄN</t>
        </is>
      </c>
      <c r="E101" t="inlineStr">
        <is>
          <t>GOTLAND</t>
        </is>
      </c>
      <c r="G101" t="n">
        <v>0.9</v>
      </c>
      <c r="H101" t="n">
        <v>1</v>
      </c>
      <c r="I101" t="n">
        <v>2</v>
      </c>
      <c r="J101" t="n">
        <v>0</v>
      </c>
      <c r="K101" t="n">
        <v>1</v>
      </c>
      <c r="L101" t="n">
        <v>0</v>
      </c>
      <c r="M101" t="n">
        <v>0</v>
      </c>
      <c r="N101" t="n">
        <v>0</v>
      </c>
      <c r="O101" t="n">
        <v>1</v>
      </c>
      <c r="P101" t="n">
        <v>1</v>
      </c>
      <c r="Q101" t="n">
        <v>3</v>
      </c>
      <c r="R101" s="2" t="inlineStr">
        <is>
          <t>Skogskorn
Myskmadra
Vit skogslilja</t>
        </is>
      </c>
      <c r="S101">
        <f>HYPERLINK("https://klasma.github.io/Logging_0980/artfynd/A 32666-2021 artfynd.xlsx", "A 32666-2021")</f>
        <v/>
      </c>
      <c r="T101">
        <f>HYPERLINK("https://klasma.github.io/Logging_0980/kartor/A 32666-2021 karta.png", "A 32666-2021")</f>
        <v/>
      </c>
      <c r="V101">
        <f>HYPERLINK("https://klasma.github.io/Logging_0980/klagomål/A 32666-2021 FSC-klagomål.docx", "A 32666-2021")</f>
        <v/>
      </c>
      <c r="W101">
        <f>HYPERLINK("https://klasma.github.io/Logging_0980/klagomålsmail/A 32666-2021 FSC-klagomål mail.docx", "A 32666-2021")</f>
        <v/>
      </c>
      <c r="X101">
        <f>HYPERLINK("https://klasma.github.io/Logging_0980/tillsyn/A 32666-2021 tillsynsbegäran.docx", "A 32666-2021")</f>
        <v/>
      </c>
      <c r="Y101">
        <f>HYPERLINK("https://klasma.github.io/Logging_0980/tillsynsmail/A 32666-2021 tillsynsbegäran mail.docx", "A 32666-2021")</f>
        <v/>
      </c>
    </row>
    <row r="102" ht="15" customHeight="1">
      <c r="A102" t="inlineStr">
        <is>
          <t>A 12519-2021</t>
        </is>
      </c>
      <c r="B102" s="1" t="n">
        <v>44269</v>
      </c>
      <c r="C102" s="1" t="n">
        <v>45964</v>
      </c>
      <c r="D102" t="inlineStr">
        <is>
          <t>GOTLANDS LÄN</t>
        </is>
      </c>
      <c r="E102" t="inlineStr">
        <is>
          <t>GOTLAND</t>
        </is>
      </c>
      <c r="F102" t="inlineStr">
        <is>
          <t>Kyrkan</t>
        </is>
      </c>
      <c r="G102" t="n">
        <v>3.4</v>
      </c>
      <c r="H102" t="n">
        <v>0</v>
      </c>
      <c r="I102" t="n">
        <v>2</v>
      </c>
      <c r="J102" t="n">
        <v>1</v>
      </c>
      <c r="K102" t="n">
        <v>0</v>
      </c>
      <c r="L102" t="n">
        <v>0</v>
      </c>
      <c r="M102" t="n">
        <v>0</v>
      </c>
      <c r="N102" t="n">
        <v>0</v>
      </c>
      <c r="O102" t="n">
        <v>1</v>
      </c>
      <c r="P102" t="n">
        <v>0</v>
      </c>
      <c r="Q102" t="n">
        <v>3</v>
      </c>
      <c r="R102" s="2" t="inlineStr">
        <is>
          <t>Loppstarr
Rödgul trumpetsvamp
Vågbandad barkbock</t>
        </is>
      </c>
      <c r="S102">
        <f>HYPERLINK("https://klasma.github.io/Logging_0980/artfynd/A 12519-2021 artfynd.xlsx", "A 12519-2021")</f>
        <v/>
      </c>
      <c r="T102">
        <f>HYPERLINK("https://klasma.github.io/Logging_0980/kartor/A 12519-2021 karta.png", "A 12519-2021")</f>
        <v/>
      </c>
      <c r="V102">
        <f>HYPERLINK("https://klasma.github.io/Logging_0980/klagomål/A 12519-2021 FSC-klagomål.docx", "A 12519-2021")</f>
        <v/>
      </c>
      <c r="W102">
        <f>HYPERLINK("https://klasma.github.io/Logging_0980/klagomålsmail/A 12519-2021 FSC-klagomål mail.docx", "A 12519-2021")</f>
        <v/>
      </c>
      <c r="X102">
        <f>HYPERLINK("https://klasma.github.io/Logging_0980/tillsyn/A 12519-2021 tillsynsbegäran.docx", "A 12519-2021")</f>
        <v/>
      </c>
      <c r="Y102">
        <f>HYPERLINK("https://klasma.github.io/Logging_0980/tillsynsmail/A 12519-2021 tillsynsbegäran mail.docx", "A 12519-2021")</f>
        <v/>
      </c>
    </row>
    <row r="103" ht="15" customHeight="1">
      <c r="A103" t="inlineStr">
        <is>
          <t>A 32718-2021</t>
        </is>
      </c>
      <c r="B103" s="1" t="n">
        <v>44375</v>
      </c>
      <c r="C103" s="1" t="n">
        <v>45964</v>
      </c>
      <c r="D103" t="inlineStr">
        <is>
          <t>GOTLANDS LÄN</t>
        </is>
      </c>
      <c r="E103" t="inlineStr">
        <is>
          <t>GOTLAND</t>
        </is>
      </c>
      <c r="G103" t="n">
        <v>2.1</v>
      </c>
      <c r="H103" t="n">
        <v>0</v>
      </c>
      <c r="I103" t="n">
        <v>1</v>
      </c>
      <c r="J103" t="n">
        <v>1</v>
      </c>
      <c r="K103" t="n">
        <v>1</v>
      </c>
      <c r="L103" t="n">
        <v>0</v>
      </c>
      <c r="M103" t="n">
        <v>0</v>
      </c>
      <c r="N103" t="n">
        <v>0</v>
      </c>
      <c r="O103" t="n">
        <v>2</v>
      </c>
      <c r="P103" t="n">
        <v>1</v>
      </c>
      <c r="Q103" t="n">
        <v>3</v>
      </c>
      <c r="R103" s="2" t="inlineStr">
        <is>
          <t>Skogskorn
Skugglosta
Strävlosta</t>
        </is>
      </c>
      <c r="S103">
        <f>HYPERLINK("https://klasma.github.io/Logging_0980/artfynd/A 32718-2021 artfynd.xlsx", "A 32718-2021")</f>
        <v/>
      </c>
      <c r="T103">
        <f>HYPERLINK("https://klasma.github.io/Logging_0980/kartor/A 32718-2021 karta.png", "A 32718-2021")</f>
        <v/>
      </c>
      <c r="V103">
        <f>HYPERLINK("https://klasma.github.io/Logging_0980/klagomål/A 32718-2021 FSC-klagomål.docx", "A 32718-2021")</f>
        <v/>
      </c>
      <c r="W103">
        <f>HYPERLINK("https://klasma.github.io/Logging_0980/klagomålsmail/A 32718-2021 FSC-klagomål mail.docx", "A 32718-2021")</f>
        <v/>
      </c>
      <c r="X103">
        <f>HYPERLINK("https://klasma.github.io/Logging_0980/tillsyn/A 32718-2021 tillsynsbegäran.docx", "A 32718-2021")</f>
        <v/>
      </c>
      <c r="Y103">
        <f>HYPERLINK("https://klasma.github.io/Logging_0980/tillsynsmail/A 32718-2021 tillsynsbegäran mail.docx", "A 32718-2021")</f>
        <v/>
      </c>
    </row>
    <row r="104" ht="15" customHeight="1">
      <c r="A104" t="inlineStr">
        <is>
          <t>A 43013-2022</t>
        </is>
      </c>
      <c r="B104" s="1" t="n">
        <v>44833</v>
      </c>
      <c r="C104" s="1" t="n">
        <v>45964</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17975-2024</t>
        </is>
      </c>
      <c r="B105" s="1" t="n">
        <v>45419.85546296297</v>
      </c>
      <c r="C105" s="1" t="n">
        <v>45964</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73144-2021</t>
        </is>
      </c>
      <c r="B106" s="1" t="n">
        <v>44550</v>
      </c>
      <c r="C106" s="1" t="n">
        <v>45964</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62326-2020</t>
        </is>
      </c>
      <c r="B107" s="1" t="n">
        <v>44160</v>
      </c>
      <c r="C107" s="1" t="n">
        <v>45964</v>
      </c>
      <c r="D107" t="inlineStr">
        <is>
          <t>GOTLANDS LÄN</t>
        </is>
      </c>
      <c r="E107" t="inlineStr">
        <is>
          <t>GOTLAND</t>
        </is>
      </c>
      <c r="G107" t="n">
        <v>7.4</v>
      </c>
      <c r="H107" t="n">
        <v>1</v>
      </c>
      <c r="I107" t="n">
        <v>3</v>
      </c>
      <c r="J107" t="n">
        <v>0</v>
      </c>
      <c r="K107" t="n">
        <v>0</v>
      </c>
      <c r="L107" t="n">
        <v>0</v>
      </c>
      <c r="M107" t="n">
        <v>0</v>
      </c>
      <c r="N107" t="n">
        <v>0</v>
      </c>
      <c r="O107" t="n">
        <v>0</v>
      </c>
      <c r="P107" t="n">
        <v>0</v>
      </c>
      <c r="Q107" t="n">
        <v>3</v>
      </c>
      <c r="R107" s="2" t="inlineStr">
        <is>
          <t>Anisspindling
Blåmossa
Skogsknipprot</t>
        </is>
      </c>
      <c r="S107">
        <f>HYPERLINK("https://klasma.github.io/Logging_0980/artfynd/A 62326-2020 artfynd.xlsx", "A 62326-2020")</f>
        <v/>
      </c>
      <c r="T107">
        <f>HYPERLINK("https://klasma.github.io/Logging_0980/kartor/A 62326-2020 karta.png", "A 62326-2020")</f>
        <v/>
      </c>
      <c r="V107">
        <f>HYPERLINK("https://klasma.github.io/Logging_0980/klagomål/A 62326-2020 FSC-klagomål.docx", "A 62326-2020")</f>
        <v/>
      </c>
      <c r="W107">
        <f>HYPERLINK("https://klasma.github.io/Logging_0980/klagomålsmail/A 62326-2020 FSC-klagomål mail.docx", "A 62326-2020")</f>
        <v/>
      </c>
      <c r="X107">
        <f>HYPERLINK("https://klasma.github.io/Logging_0980/tillsyn/A 62326-2020 tillsynsbegäran.docx", "A 62326-2020")</f>
        <v/>
      </c>
      <c r="Y107">
        <f>HYPERLINK("https://klasma.github.io/Logging_0980/tillsynsmail/A 62326-2020 tillsynsbegäran mail.docx", "A 62326-2020")</f>
        <v/>
      </c>
    </row>
    <row r="108" ht="15" customHeight="1">
      <c r="A108" t="inlineStr">
        <is>
          <t>A 13499-2022</t>
        </is>
      </c>
      <c r="B108" s="1" t="n">
        <v>44647.79203703703</v>
      </c>
      <c r="C108" s="1" t="n">
        <v>45964</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45964</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17982-2023</t>
        </is>
      </c>
      <c r="B110" s="1" t="n">
        <v>45040</v>
      </c>
      <c r="C110" s="1" t="n">
        <v>45964</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2332-2021</t>
        </is>
      </c>
      <c r="B111" s="1" t="n">
        <v>44214</v>
      </c>
      <c r="C111" s="1" t="n">
        <v>45964</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48126-2022</t>
        </is>
      </c>
      <c r="B112" s="1" t="n">
        <v>44857</v>
      </c>
      <c r="C112" s="1" t="n">
        <v>45964</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53552-2021</t>
        </is>
      </c>
      <c r="B113" s="1" t="n">
        <v>44468</v>
      </c>
      <c r="C113" s="1" t="n">
        <v>45964</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45964</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30490-2025</t>
        </is>
      </c>
      <c r="B115" s="1" t="n">
        <v>45830</v>
      </c>
      <c r="C115" s="1" t="n">
        <v>45964</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55334-2024</t>
        </is>
      </c>
      <c r="B116" s="1" t="n">
        <v>45621</v>
      </c>
      <c r="C116" s="1" t="n">
        <v>45964</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20831-2024</t>
        </is>
      </c>
      <c r="B117" s="1" t="n">
        <v>45439</v>
      </c>
      <c r="C117" s="1" t="n">
        <v>45964</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49709-2025</t>
        </is>
      </c>
      <c r="B118" s="1" t="n">
        <v>45939.68228009259</v>
      </c>
      <c r="C118" s="1" t="n">
        <v>45964</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29870-2021</t>
        </is>
      </c>
      <c r="B119" s="1" t="n">
        <v>44362</v>
      </c>
      <c r="C119" s="1" t="n">
        <v>45964</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45964</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51737-2021</t>
        </is>
      </c>
      <c r="B121" s="1" t="n">
        <v>44462.57368055556</v>
      </c>
      <c r="C121" s="1" t="n">
        <v>45964</v>
      </c>
      <c r="D121" t="inlineStr">
        <is>
          <t>GOTLANDS LÄN</t>
        </is>
      </c>
      <c r="E121" t="inlineStr">
        <is>
          <t>GOTLAND</t>
        </is>
      </c>
      <c r="G121" t="n">
        <v>8.6</v>
      </c>
      <c r="H121" t="n">
        <v>0</v>
      </c>
      <c r="I121" t="n">
        <v>1</v>
      </c>
      <c r="J121" t="n">
        <v>1</v>
      </c>
      <c r="K121" t="n">
        <v>0</v>
      </c>
      <c r="L121" t="n">
        <v>0</v>
      </c>
      <c r="M121" t="n">
        <v>0</v>
      </c>
      <c r="N121" t="n">
        <v>0</v>
      </c>
      <c r="O121" t="n">
        <v>1</v>
      </c>
      <c r="P121" t="n">
        <v>0</v>
      </c>
      <c r="Q121" t="n">
        <v>2</v>
      </c>
      <c r="R121" s="2" t="inlineStr">
        <is>
          <t>Igelkott
Kambräken</t>
        </is>
      </c>
      <c r="S121">
        <f>HYPERLINK("https://klasma.github.io/Logging_0980/artfynd/A 51737-2021 artfynd.xlsx", "A 51737-2021")</f>
        <v/>
      </c>
      <c r="T121">
        <f>HYPERLINK("https://klasma.github.io/Logging_0980/kartor/A 51737-2021 karta.png", "A 51737-2021")</f>
        <v/>
      </c>
      <c r="V121">
        <f>HYPERLINK("https://klasma.github.io/Logging_0980/klagomål/A 51737-2021 FSC-klagomål.docx", "A 51737-2021")</f>
        <v/>
      </c>
      <c r="W121">
        <f>HYPERLINK("https://klasma.github.io/Logging_0980/klagomålsmail/A 51737-2021 FSC-klagomål mail.docx", "A 51737-2021")</f>
        <v/>
      </c>
      <c r="X121">
        <f>HYPERLINK("https://klasma.github.io/Logging_0980/tillsyn/A 51737-2021 tillsynsbegäran.docx", "A 51737-2021")</f>
        <v/>
      </c>
      <c r="Y121">
        <f>HYPERLINK("https://klasma.github.io/Logging_0980/tillsynsmail/A 51737-2021 tillsynsbegäran mail.docx", "A 51737-2021")</f>
        <v/>
      </c>
    </row>
    <row r="122" ht="15" customHeight="1">
      <c r="A122" t="inlineStr">
        <is>
          <t>A 16429-2021</t>
        </is>
      </c>
      <c r="B122" s="1" t="n">
        <v>44293</v>
      </c>
      <c r="C122" s="1" t="n">
        <v>45964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45964</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28261-2024</t>
        </is>
      </c>
      <c r="B124" s="1" t="n">
        <v>45477</v>
      </c>
      <c r="C124" s="1" t="n">
        <v>45964</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28276-2024</t>
        </is>
      </c>
      <c r="B125" s="1" t="n">
        <v>45477</v>
      </c>
      <c r="C125" s="1" t="n">
        <v>45964</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55649-2024</t>
        </is>
      </c>
      <c r="B126" s="1" t="n">
        <v>45622.63053240741</v>
      </c>
      <c r="C126" s="1" t="n">
        <v>45964</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20838-2024</t>
        </is>
      </c>
      <c r="B127" s="1" t="n">
        <v>45439</v>
      </c>
      <c r="C127" s="1" t="n">
        <v>45964</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60665-2021</t>
        </is>
      </c>
      <c r="B128" s="1" t="n">
        <v>44496</v>
      </c>
      <c r="C128" s="1" t="n">
        <v>45964</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58701-2020</t>
        </is>
      </c>
      <c r="B129" s="1" t="n">
        <v>44146</v>
      </c>
      <c r="C129" s="1" t="n">
        <v>45964</v>
      </c>
      <c r="D129" t="inlineStr">
        <is>
          <t>GOTLANDS LÄN</t>
        </is>
      </c>
      <c r="E129" t="inlineStr">
        <is>
          <t>GOTLAND</t>
        </is>
      </c>
      <c r="G129" t="n">
        <v>5.5</v>
      </c>
      <c r="H129" t="n">
        <v>0</v>
      </c>
      <c r="I129" t="n">
        <v>0</v>
      </c>
      <c r="J129" t="n">
        <v>1</v>
      </c>
      <c r="K129" t="n">
        <v>1</v>
      </c>
      <c r="L129" t="n">
        <v>0</v>
      </c>
      <c r="M129" t="n">
        <v>0</v>
      </c>
      <c r="N129" t="n">
        <v>0</v>
      </c>
      <c r="O129" t="n">
        <v>2</v>
      </c>
      <c r="P129" t="n">
        <v>1</v>
      </c>
      <c r="Q129" t="n">
        <v>2</v>
      </c>
      <c r="R129" s="2" t="inlineStr">
        <is>
          <t>Vit taggsvamp
Odörspindling</t>
        </is>
      </c>
      <c r="S129">
        <f>HYPERLINK("https://klasma.github.io/Logging_0980/artfynd/A 58701-2020 artfynd.xlsx", "A 58701-2020")</f>
        <v/>
      </c>
      <c r="T129">
        <f>HYPERLINK("https://klasma.github.io/Logging_0980/kartor/A 58701-2020 karta.png", "A 58701-2020")</f>
        <v/>
      </c>
      <c r="V129">
        <f>HYPERLINK("https://klasma.github.io/Logging_0980/klagomål/A 58701-2020 FSC-klagomål.docx", "A 58701-2020")</f>
        <v/>
      </c>
      <c r="W129">
        <f>HYPERLINK("https://klasma.github.io/Logging_0980/klagomålsmail/A 58701-2020 FSC-klagomål mail.docx", "A 58701-2020")</f>
        <v/>
      </c>
      <c r="X129">
        <f>HYPERLINK("https://klasma.github.io/Logging_0980/tillsyn/A 58701-2020 tillsynsbegäran.docx", "A 58701-2020")</f>
        <v/>
      </c>
      <c r="Y129">
        <f>HYPERLINK("https://klasma.github.io/Logging_0980/tillsynsmail/A 58701-2020 tillsynsbegäran mail.docx", "A 58701-2020")</f>
        <v/>
      </c>
    </row>
    <row r="130" ht="15" customHeight="1">
      <c r="A130" t="inlineStr">
        <is>
          <t>A 21879-2025</t>
        </is>
      </c>
      <c r="B130" s="1" t="n">
        <v>45784.40533564815</v>
      </c>
      <c r="C130" s="1" t="n">
        <v>45964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20218-2022</t>
        </is>
      </c>
      <c r="B131" s="1" t="n">
        <v>44698</v>
      </c>
      <c r="C131" s="1" t="n">
        <v>45964</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7070-2022</t>
        </is>
      </c>
      <c r="B132" s="1" t="n">
        <v>44603</v>
      </c>
      <c r="C132" s="1" t="n">
        <v>45964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64263-2020</t>
        </is>
      </c>
      <c r="B133" s="1" t="n">
        <v>44168</v>
      </c>
      <c r="C133" s="1" t="n">
        <v>45964</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26077-2024</t>
        </is>
      </c>
      <c r="B134" s="1" t="n">
        <v>45467</v>
      </c>
      <c r="C134" s="1" t="n">
        <v>45964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12914-2025</t>
        </is>
      </c>
      <c r="B135" s="1" t="n">
        <v>45733</v>
      </c>
      <c r="C135" s="1" t="n">
        <v>45964</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45964</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43219-2023</t>
        </is>
      </c>
      <c r="B137" s="1" t="n">
        <v>45183</v>
      </c>
      <c r="C137" s="1" t="n">
        <v>45964</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52245-2025</t>
        </is>
      </c>
      <c r="B138" s="1" t="n">
        <v>45953.47115740741</v>
      </c>
      <c r="C138" s="1" t="n">
        <v>45964</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45964</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45964</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63299-2020</t>
        </is>
      </c>
      <c r="B143" s="1" t="n">
        <v>44165</v>
      </c>
      <c r="C143" s="1" t="n">
        <v>45964</v>
      </c>
      <c r="D143" t="inlineStr">
        <is>
          <t>GOTLANDS LÄN</t>
        </is>
      </c>
      <c r="E143" t="inlineStr">
        <is>
          <t>GOTLAND</t>
        </is>
      </c>
      <c r="G143" t="n">
        <v>12.9</v>
      </c>
      <c r="H143" t="n">
        <v>1</v>
      </c>
      <c r="I143" t="n">
        <v>0</v>
      </c>
      <c r="J143" t="n">
        <v>1</v>
      </c>
      <c r="K143" t="n">
        <v>0</v>
      </c>
      <c r="L143" t="n">
        <v>0</v>
      </c>
      <c r="M143" t="n">
        <v>0</v>
      </c>
      <c r="N143" t="n">
        <v>0</v>
      </c>
      <c r="O143" t="n">
        <v>1</v>
      </c>
      <c r="P143" t="n">
        <v>0</v>
      </c>
      <c r="Q143" t="n">
        <v>1</v>
      </c>
      <c r="R143" s="2" t="inlineStr">
        <is>
          <t>Svartfläckig blåvinge</t>
        </is>
      </c>
      <c r="S143">
        <f>HYPERLINK("https://klasma.github.io/Logging_0980/artfynd/A 63299-2020 artfynd.xlsx", "A 63299-2020")</f>
        <v/>
      </c>
      <c r="T143">
        <f>HYPERLINK("https://klasma.github.io/Logging_0980/kartor/A 63299-2020 karta.png", "A 63299-2020")</f>
        <v/>
      </c>
      <c r="V143">
        <f>HYPERLINK("https://klasma.github.io/Logging_0980/klagomål/A 63299-2020 FSC-klagomål.docx", "A 63299-2020")</f>
        <v/>
      </c>
      <c r="W143">
        <f>HYPERLINK("https://klasma.github.io/Logging_0980/klagomålsmail/A 63299-2020 FSC-klagomål mail.docx", "A 63299-2020")</f>
        <v/>
      </c>
      <c r="X143">
        <f>HYPERLINK("https://klasma.github.io/Logging_0980/tillsyn/A 63299-2020 tillsynsbegäran.docx", "A 63299-2020")</f>
        <v/>
      </c>
      <c r="Y143">
        <f>HYPERLINK("https://klasma.github.io/Logging_0980/tillsynsmail/A 63299-2020 tillsynsbegäran mail.docx", "A 63299-2020")</f>
        <v/>
      </c>
    </row>
    <row r="144" ht="15" customHeight="1">
      <c r="A144" t="inlineStr">
        <is>
          <t>A 24245-2022</t>
        </is>
      </c>
      <c r="B144" s="1" t="n">
        <v>44725</v>
      </c>
      <c r="C144" s="1" t="n">
        <v>45964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45964</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49847-2023</t>
        </is>
      </c>
      <c r="B146" s="1" t="n">
        <v>45212</v>
      </c>
      <c r="C146" s="1" t="n">
        <v>45964</v>
      </c>
      <c r="D146" t="inlineStr">
        <is>
          <t>GOTLANDS LÄN</t>
        </is>
      </c>
      <c r="E146" t="inlineStr">
        <is>
          <t>GOTLAND</t>
        </is>
      </c>
      <c r="G146" t="n">
        <v>35.2</v>
      </c>
      <c r="H146" t="n">
        <v>0</v>
      </c>
      <c r="I146" t="n">
        <v>0</v>
      </c>
      <c r="J146" t="n">
        <v>0</v>
      </c>
      <c r="K146" t="n">
        <v>1</v>
      </c>
      <c r="L146" t="n">
        <v>0</v>
      </c>
      <c r="M146" t="n">
        <v>0</v>
      </c>
      <c r="N146" t="n">
        <v>0</v>
      </c>
      <c r="O146" t="n">
        <v>1</v>
      </c>
      <c r="P146" t="n">
        <v>1</v>
      </c>
      <c r="Q146" t="n">
        <v>1</v>
      </c>
      <c r="R146" s="2" t="inlineStr">
        <is>
          <t>Strandviol</t>
        </is>
      </c>
      <c r="S146">
        <f>HYPERLINK("https://klasma.github.io/Logging_0980/artfynd/A 49847-2023 artfynd.xlsx", "A 49847-2023")</f>
        <v/>
      </c>
      <c r="T146">
        <f>HYPERLINK("https://klasma.github.io/Logging_0980/kartor/A 49847-2023 karta.png", "A 49847-2023")</f>
        <v/>
      </c>
      <c r="V146">
        <f>HYPERLINK("https://klasma.github.io/Logging_0980/klagomål/A 49847-2023 FSC-klagomål.docx", "A 49847-2023")</f>
        <v/>
      </c>
      <c r="W146">
        <f>HYPERLINK("https://klasma.github.io/Logging_0980/klagomålsmail/A 49847-2023 FSC-klagomål mail.docx", "A 49847-2023")</f>
        <v/>
      </c>
      <c r="X146">
        <f>HYPERLINK("https://klasma.github.io/Logging_0980/tillsyn/A 49847-2023 tillsynsbegäran.docx", "A 49847-2023")</f>
        <v/>
      </c>
      <c r="Y146">
        <f>HYPERLINK("https://klasma.github.io/Logging_0980/tillsynsmail/A 49847-2023 tillsynsbegäran mail.docx", "A 49847-2023")</f>
        <v/>
      </c>
    </row>
    <row r="147" ht="15" customHeight="1">
      <c r="A147" t="inlineStr">
        <is>
          <t>A 2476-2025</t>
        </is>
      </c>
      <c r="B147" s="1" t="n">
        <v>45673</v>
      </c>
      <c r="C147" s="1" t="n">
        <v>45964</v>
      </c>
      <c r="D147" t="inlineStr">
        <is>
          <t>GOTLANDS LÄN</t>
        </is>
      </c>
      <c r="E147" t="inlineStr">
        <is>
          <t>GOTLAND</t>
        </is>
      </c>
      <c r="G147" t="n">
        <v>3.1</v>
      </c>
      <c r="H147" t="n">
        <v>0</v>
      </c>
      <c r="I147" t="n">
        <v>1</v>
      </c>
      <c r="J147" t="n">
        <v>0</v>
      </c>
      <c r="K147" t="n">
        <v>0</v>
      </c>
      <c r="L147" t="n">
        <v>0</v>
      </c>
      <c r="M147" t="n">
        <v>0</v>
      </c>
      <c r="N147" t="n">
        <v>0</v>
      </c>
      <c r="O147" t="n">
        <v>0</v>
      </c>
      <c r="P147" t="n">
        <v>0</v>
      </c>
      <c r="Q147" t="n">
        <v>1</v>
      </c>
      <c r="R147" s="2" t="inlineStr">
        <is>
          <t>Kryddspindling</t>
        </is>
      </c>
      <c r="S147">
        <f>HYPERLINK("https://klasma.github.io/Logging_0980/artfynd/A 2476-2025 artfynd.xlsx", "A 2476-2025")</f>
        <v/>
      </c>
      <c r="T147">
        <f>HYPERLINK("https://klasma.github.io/Logging_0980/kartor/A 2476-2025 karta.png", "A 2476-2025")</f>
        <v/>
      </c>
      <c r="V147">
        <f>HYPERLINK("https://klasma.github.io/Logging_0980/klagomål/A 2476-2025 FSC-klagomål.docx", "A 2476-2025")</f>
        <v/>
      </c>
      <c r="W147">
        <f>HYPERLINK("https://klasma.github.io/Logging_0980/klagomålsmail/A 2476-2025 FSC-klagomål mail.docx", "A 2476-2025")</f>
        <v/>
      </c>
      <c r="X147">
        <f>HYPERLINK("https://klasma.github.io/Logging_0980/tillsyn/A 2476-2025 tillsynsbegäran.docx", "A 2476-2025")</f>
        <v/>
      </c>
      <c r="Y147">
        <f>HYPERLINK("https://klasma.github.io/Logging_0980/tillsynsmail/A 2476-2025 tillsynsbegäran mail.docx", "A 2476-2025")</f>
        <v/>
      </c>
    </row>
    <row r="148" ht="15" customHeight="1">
      <c r="A148" t="inlineStr">
        <is>
          <t>A 447-2023</t>
        </is>
      </c>
      <c r="B148" s="1" t="n">
        <v>44929</v>
      </c>
      <c r="C148" s="1" t="n">
        <v>45964</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44308-2021</t>
        </is>
      </c>
      <c r="B149" s="1" t="n">
        <v>44434</v>
      </c>
      <c r="C149" s="1" t="n">
        <v>45964</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34809-2024</t>
        </is>
      </c>
      <c r="B150" s="1" t="n">
        <v>45526</v>
      </c>
      <c r="C150" s="1" t="n">
        <v>45964</v>
      </c>
      <c r="D150" t="inlineStr">
        <is>
          <t>GOTLANDS LÄN</t>
        </is>
      </c>
      <c r="E150" t="inlineStr">
        <is>
          <t>GOTLAND</t>
        </is>
      </c>
      <c r="G150" t="n">
        <v>9.9</v>
      </c>
      <c r="H150" t="n">
        <v>1</v>
      </c>
      <c r="I150" t="n">
        <v>0</v>
      </c>
      <c r="J150" t="n">
        <v>1</v>
      </c>
      <c r="K150" t="n">
        <v>0</v>
      </c>
      <c r="L150" t="n">
        <v>0</v>
      </c>
      <c r="M150" t="n">
        <v>0</v>
      </c>
      <c r="N150" t="n">
        <v>0</v>
      </c>
      <c r="O150" t="n">
        <v>1</v>
      </c>
      <c r="P150" t="n">
        <v>0</v>
      </c>
      <c r="Q150" t="n">
        <v>1</v>
      </c>
      <c r="R150" s="2" t="inlineStr">
        <is>
          <t>Brun ögontröst</t>
        </is>
      </c>
      <c r="S150">
        <f>HYPERLINK("https://klasma.github.io/Logging_0980/artfynd/A 34809-2024 artfynd.xlsx", "A 34809-2024")</f>
        <v/>
      </c>
      <c r="T150">
        <f>HYPERLINK("https://klasma.github.io/Logging_0980/kartor/A 34809-2024 karta.png", "A 34809-2024")</f>
        <v/>
      </c>
      <c r="V150">
        <f>HYPERLINK("https://klasma.github.io/Logging_0980/klagomål/A 34809-2024 FSC-klagomål.docx", "A 34809-2024")</f>
        <v/>
      </c>
      <c r="W150">
        <f>HYPERLINK("https://klasma.github.io/Logging_0980/klagomålsmail/A 34809-2024 FSC-klagomål mail.docx", "A 34809-2024")</f>
        <v/>
      </c>
      <c r="X150">
        <f>HYPERLINK("https://klasma.github.io/Logging_0980/tillsyn/A 34809-2024 tillsynsbegäran.docx", "A 34809-2024")</f>
        <v/>
      </c>
      <c r="Y150">
        <f>HYPERLINK("https://klasma.github.io/Logging_0980/tillsynsmail/A 34809-2024 tillsynsbegäran mail.docx", "A 34809-2024")</f>
        <v/>
      </c>
    </row>
    <row r="151" ht="15" customHeight="1">
      <c r="A151" t="inlineStr">
        <is>
          <t>A 10995-2023</t>
        </is>
      </c>
      <c r="B151" s="1" t="n">
        <v>44986</v>
      </c>
      <c r="C151" s="1" t="n">
        <v>45964</v>
      </c>
      <c r="D151" t="inlineStr">
        <is>
          <t>GOTLANDS LÄN</t>
        </is>
      </c>
      <c r="E151" t="inlineStr">
        <is>
          <t>GOTLAND</t>
        </is>
      </c>
      <c r="G151" t="n">
        <v>2.8</v>
      </c>
      <c r="H151" t="n">
        <v>0</v>
      </c>
      <c r="I151" t="n">
        <v>0</v>
      </c>
      <c r="J151" t="n">
        <v>0</v>
      </c>
      <c r="K151" t="n">
        <v>1</v>
      </c>
      <c r="L151" t="n">
        <v>0</v>
      </c>
      <c r="M151" t="n">
        <v>0</v>
      </c>
      <c r="N151" t="n">
        <v>0</v>
      </c>
      <c r="O151" t="n">
        <v>1</v>
      </c>
      <c r="P151" t="n">
        <v>1</v>
      </c>
      <c r="Q151" t="n">
        <v>1</v>
      </c>
      <c r="R151" s="2" t="inlineStr">
        <is>
          <t>Violettfläckig spindling</t>
        </is>
      </c>
      <c r="S151">
        <f>HYPERLINK("https://klasma.github.io/Logging_0980/artfynd/A 10995-2023 artfynd.xlsx", "A 10995-2023")</f>
        <v/>
      </c>
      <c r="T151">
        <f>HYPERLINK("https://klasma.github.io/Logging_0980/kartor/A 10995-2023 karta.png", "A 10995-2023")</f>
        <v/>
      </c>
      <c r="V151">
        <f>HYPERLINK("https://klasma.github.io/Logging_0980/klagomål/A 10995-2023 FSC-klagomål.docx", "A 10995-2023")</f>
        <v/>
      </c>
      <c r="W151">
        <f>HYPERLINK("https://klasma.github.io/Logging_0980/klagomålsmail/A 10995-2023 FSC-klagomål mail.docx", "A 10995-2023")</f>
        <v/>
      </c>
      <c r="X151">
        <f>HYPERLINK("https://klasma.github.io/Logging_0980/tillsyn/A 10995-2023 tillsynsbegäran.docx", "A 10995-2023")</f>
        <v/>
      </c>
      <c r="Y151">
        <f>HYPERLINK("https://klasma.github.io/Logging_0980/tillsynsmail/A 10995-2023 tillsynsbegäran mail.docx", "A 10995-2023")</f>
        <v/>
      </c>
    </row>
    <row r="152" ht="15" customHeight="1">
      <c r="A152" t="inlineStr">
        <is>
          <t>A 63576-2021</t>
        </is>
      </c>
      <c r="B152" s="1" t="n">
        <v>44508</v>
      </c>
      <c r="C152" s="1" t="n">
        <v>45964</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46527-2023</t>
        </is>
      </c>
      <c r="B153" s="1" t="n">
        <v>45197</v>
      </c>
      <c r="C153" s="1" t="n">
        <v>45964</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21466-2025</t>
        </is>
      </c>
      <c r="B154" s="1" t="n">
        <v>45782</v>
      </c>
      <c r="C154" s="1" t="n">
        <v>45964</v>
      </c>
      <c r="D154" t="inlineStr">
        <is>
          <t>GOTLANDS LÄN</t>
        </is>
      </c>
      <c r="E154" t="inlineStr">
        <is>
          <t>GOTLAND</t>
        </is>
      </c>
      <c r="F154" t="inlineStr">
        <is>
          <t>Övriga statliga verk och myndigheter</t>
        </is>
      </c>
      <c r="G154" t="n">
        <v>1.7</v>
      </c>
      <c r="H154" t="n">
        <v>1</v>
      </c>
      <c r="I154" t="n">
        <v>0</v>
      </c>
      <c r="J154" t="n">
        <v>0</v>
      </c>
      <c r="K154" t="n">
        <v>0</v>
      </c>
      <c r="L154" t="n">
        <v>0</v>
      </c>
      <c r="M154" t="n">
        <v>0</v>
      </c>
      <c r="N154" t="n">
        <v>0</v>
      </c>
      <c r="O154" t="n">
        <v>0</v>
      </c>
      <c r="P154" t="n">
        <v>0</v>
      </c>
      <c r="Q154" t="n">
        <v>1</v>
      </c>
      <c r="R154" s="2" t="inlineStr">
        <is>
          <t>Blåsippa</t>
        </is>
      </c>
      <c r="S154">
        <f>HYPERLINK("https://klasma.github.io/Logging_0980/artfynd/A 21466-2025 artfynd.xlsx", "A 21466-2025")</f>
        <v/>
      </c>
      <c r="T154">
        <f>HYPERLINK("https://klasma.github.io/Logging_0980/kartor/A 21466-2025 karta.png", "A 21466-2025")</f>
        <v/>
      </c>
      <c r="V154">
        <f>HYPERLINK("https://klasma.github.io/Logging_0980/klagomål/A 21466-2025 FSC-klagomål.docx", "A 21466-2025")</f>
        <v/>
      </c>
      <c r="W154">
        <f>HYPERLINK("https://klasma.github.io/Logging_0980/klagomålsmail/A 21466-2025 FSC-klagomål mail.docx", "A 21466-2025")</f>
        <v/>
      </c>
      <c r="X154">
        <f>HYPERLINK("https://klasma.github.io/Logging_0980/tillsyn/A 21466-2025 tillsynsbegäran.docx", "A 21466-2025")</f>
        <v/>
      </c>
      <c r="Y154">
        <f>HYPERLINK("https://klasma.github.io/Logging_0980/tillsynsmail/A 21466-2025 tillsynsbegäran mail.docx", "A 21466-2025")</f>
        <v/>
      </c>
    </row>
    <row r="155" ht="15" customHeight="1">
      <c r="A155" t="inlineStr">
        <is>
          <t>A 49304-2024</t>
        </is>
      </c>
      <c r="B155" s="1" t="n">
        <v>45595.54996527778</v>
      </c>
      <c r="C155" s="1" t="n">
        <v>45964</v>
      </c>
      <c r="D155" t="inlineStr">
        <is>
          <t>GOTLANDS LÄN</t>
        </is>
      </c>
      <c r="E155" t="inlineStr">
        <is>
          <t>GOTLAND</t>
        </is>
      </c>
      <c r="G155" t="n">
        <v>10.8</v>
      </c>
      <c r="H155" t="n">
        <v>0</v>
      </c>
      <c r="I155" t="n">
        <v>0</v>
      </c>
      <c r="J155" t="n">
        <v>1</v>
      </c>
      <c r="K155" t="n">
        <v>0</v>
      </c>
      <c r="L155" t="n">
        <v>0</v>
      </c>
      <c r="M155" t="n">
        <v>0</v>
      </c>
      <c r="N155" t="n">
        <v>0</v>
      </c>
      <c r="O155" t="n">
        <v>1</v>
      </c>
      <c r="P155" t="n">
        <v>0</v>
      </c>
      <c r="Q155" t="n">
        <v>1</v>
      </c>
      <c r="R155" s="2" t="inlineStr">
        <is>
          <t>Åkerranunkel</t>
        </is>
      </c>
      <c r="S155">
        <f>HYPERLINK("https://klasma.github.io/Logging_0980/artfynd/A 49304-2024 artfynd.xlsx", "A 49304-2024")</f>
        <v/>
      </c>
      <c r="T155">
        <f>HYPERLINK("https://klasma.github.io/Logging_0980/kartor/A 49304-2024 karta.png", "A 49304-2024")</f>
        <v/>
      </c>
      <c r="V155">
        <f>HYPERLINK("https://klasma.github.io/Logging_0980/klagomål/A 49304-2024 FSC-klagomål.docx", "A 49304-2024")</f>
        <v/>
      </c>
      <c r="W155">
        <f>HYPERLINK("https://klasma.github.io/Logging_0980/klagomålsmail/A 49304-2024 FSC-klagomål mail.docx", "A 49304-2024")</f>
        <v/>
      </c>
      <c r="X155">
        <f>HYPERLINK("https://klasma.github.io/Logging_0980/tillsyn/A 49304-2024 tillsynsbegäran.docx", "A 49304-2024")</f>
        <v/>
      </c>
      <c r="Y155">
        <f>HYPERLINK("https://klasma.github.io/Logging_0980/tillsynsmail/A 49304-2024 tillsynsbegäran mail.docx", "A 49304-2024")</f>
        <v/>
      </c>
    </row>
    <row r="156" ht="15" customHeight="1">
      <c r="A156" t="inlineStr">
        <is>
          <t>A 22782-2023</t>
        </is>
      </c>
      <c r="B156" s="1" t="n">
        <v>45072</v>
      </c>
      <c r="C156" s="1" t="n">
        <v>45964</v>
      </c>
      <c r="D156" t="inlineStr">
        <is>
          <t>GOTLANDS LÄN</t>
        </is>
      </c>
      <c r="E156" t="inlineStr">
        <is>
          <t>GOTLAND</t>
        </is>
      </c>
      <c r="F156" t="inlineStr">
        <is>
          <t>Kyrkan</t>
        </is>
      </c>
      <c r="G156" t="n">
        <v>3.1</v>
      </c>
      <c r="H156" t="n">
        <v>1</v>
      </c>
      <c r="I156" t="n">
        <v>0</v>
      </c>
      <c r="J156" t="n">
        <v>0</v>
      </c>
      <c r="K156" t="n">
        <v>0</v>
      </c>
      <c r="L156" t="n">
        <v>0</v>
      </c>
      <c r="M156" t="n">
        <v>0</v>
      </c>
      <c r="N156" t="n">
        <v>0</v>
      </c>
      <c r="O156" t="n">
        <v>0</v>
      </c>
      <c r="P156" t="n">
        <v>0</v>
      </c>
      <c r="Q156" t="n">
        <v>1</v>
      </c>
      <c r="R156" s="2" t="inlineStr">
        <is>
          <t>Ängsnycklar × skogsnycklar</t>
        </is>
      </c>
      <c r="S156">
        <f>HYPERLINK("https://klasma.github.io/Logging_0980/artfynd/A 22782-2023 artfynd.xlsx", "A 22782-2023")</f>
        <v/>
      </c>
      <c r="T156">
        <f>HYPERLINK("https://klasma.github.io/Logging_0980/kartor/A 22782-2023 karta.png", "A 22782-2023")</f>
        <v/>
      </c>
      <c r="V156">
        <f>HYPERLINK("https://klasma.github.io/Logging_0980/klagomål/A 22782-2023 FSC-klagomål.docx", "A 22782-2023")</f>
        <v/>
      </c>
      <c r="W156">
        <f>HYPERLINK("https://klasma.github.io/Logging_0980/klagomålsmail/A 22782-2023 FSC-klagomål mail.docx", "A 22782-2023")</f>
        <v/>
      </c>
      <c r="X156">
        <f>HYPERLINK("https://klasma.github.io/Logging_0980/tillsyn/A 22782-2023 tillsynsbegäran.docx", "A 22782-2023")</f>
        <v/>
      </c>
      <c r="Y156">
        <f>HYPERLINK("https://klasma.github.io/Logging_0980/tillsynsmail/A 22782-2023 tillsynsbegäran mail.docx", "A 22782-2023")</f>
        <v/>
      </c>
    </row>
    <row r="157" ht="15" customHeight="1">
      <c r="A157" t="inlineStr">
        <is>
          <t>A 10440-2024</t>
        </is>
      </c>
      <c r="B157" s="1" t="n">
        <v>45366.32818287037</v>
      </c>
      <c r="C157" s="1" t="n">
        <v>45964</v>
      </c>
      <c r="D157" t="inlineStr">
        <is>
          <t>GOTLANDS LÄN</t>
        </is>
      </c>
      <c r="E157" t="inlineStr">
        <is>
          <t>GOTLAND</t>
        </is>
      </c>
      <c r="G157" t="n">
        <v>2.5</v>
      </c>
      <c r="H157" t="n">
        <v>1</v>
      </c>
      <c r="I157" t="n">
        <v>0</v>
      </c>
      <c r="J157" t="n">
        <v>1</v>
      </c>
      <c r="K157" t="n">
        <v>0</v>
      </c>
      <c r="L157" t="n">
        <v>0</v>
      </c>
      <c r="M157" t="n">
        <v>0</v>
      </c>
      <c r="N157" t="n">
        <v>0</v>
      </c>
      <c r="O157" t="n">
        <v>1</v>
      </c>
      <c r="P157" t="n">
        <v>0</v>
      </c>
      <c r="Q157" t="n">
        <v>1</v>
      </c>
      <c r="R157" s="2" t="inlineStr">
        <is>
          <t>Mindre hackspett</t>
        </is>
      </c>
      <c r="S157">
        <f>HYPERLINK("https://klasma.github.io/Logging_0980/artfynd/A 10440-2024 artfynd.xlsx", "A 10440-2024")</f>
        <v/>
      </c>
      <c r="T157">
        <f>HYPERLINK("https://klasma.github.io/Logging_0980/kartor/A 10440-2024 karta.png", "A 10440-2024")</f>
        <v/>
      </c>
      <c r="V157">
        <f>HYPERLINK("https://klasma.github.io/Logging_0980/klagomål/A 10440-2024 FSC-klagomål.docx", "A 10440-2024")</f>
        <v/>
      </c>
      <c r="W157">
        <f>HYPERLINK("https://klasma.github.io/Logging_0980/klagomålsmail/A 10440-2024 FSC-klagomål mail.docx", "A 10440-2024")</f>
        <v/>
      </c>
      <c r="X157">
        <f>HYPERLINK("https://klasma.github.io/Logging_0980/tillsyn/A 10440-2024 tillsynsbegäran.docx", "A 10440-2024")</f>
        <v/>
      </c>
      <c r="Y157">
        <f>HYPERLINK("https://klasma.github.io/Logging_0980/tillsynsmail/A 10440-2024 tillsynsbegäran mail.docx", "A 10440-2024")</f>
        <v/>
      </c>
      <c r="Z157">
        <f>HYPERLINK("https://klasma.github.io/Logging_0980/fåglar/A 10440-2024 prioriterade fågelarter.docx", "A 10440-2024")</f>
        <v/>
      </c>
    </row>
    <row r="158" ht="15" customHeight="1">
      <c r="A158" t="inlineStr">
        <is>
          <t>A 17723-2021</t>
        </is>
      </c>
      <c r="B158" s="1" t="n">
        <v>44300</v>
      </c>
      <c r="C158" s="1" t="n">
        <v>45964</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44088-2022</t>
        </is>
      </c>
      <c r="B159" s="1" t="n">
        <v>44839</v>
      </c>
      <c r="C159" s="1" t="n">
        <v>45964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6303-2024</t>
        </is>
      </c>
      <c r="B160" s="1" t="n">
        <v>45338.35376157407</v>
      </c>
      <c r="C160" s="1" t="n">
        <v>45964</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62552-2022</t>
        </is>
      </c>
      <c r="B161" s="1" t="n">
        <v>44924</v>
      </c>
      <c r="C161" s="1" t="n">
        <v>45964</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27168-2022</t>
        </is>
      </c>
      <c r="B162" s="1" t="n">
        <v>44741</v>
      </c>
      <c r="C162" s="1" t="n">
        <v>45964</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25977-2024</t>
        </is>
      </c>
      <c r="B163" s="1" t="n">
        <v>45467.69356481481</v>
      </c>
      <c r="C163" s="1" t="n">
        <v>45964</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27589-2023</t>
        </is>
      </c>
      <c r="B164" s="1" t="n">
        <v>45097</v>
      </c>
      <c r="C164" s="1" t="n">
        <v>45964</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26461-2025</t>
        </is>
      </c>
      <c r="B165" s="1" t="n">
        <v>45807.43337962963</v>
      </c>
      <c r="C165" s="1" t="n">
        <v>45964</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1477-2024</t>
        </is>
      </c>
      <c r="B166" s="1" t="n">
        <v>45305.37987268518</v>
      </c>
      <c r="C166" s="1" t="n">
        <v>45964</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65927-2021</t>
        </is>
      </c>
      <c r="B167" s="1" t="n">
        <v>44516</v>
      </c>
      <c r="C167" s="1" t="n">
        <v>45964</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947-2023</t>
        </is>
      </c>
      <c r="B168" s="1" t="n">
        <v>44934</v>
      </c>
      <c r="C168" s="1" t="n">
        <v>45964</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13939-2021</t>
        </is>
      </c>
      <c r="B169" s="1" t="n">
        <v>44277</v>
      </c>
      <c r="C169" s="1" t="n">
        <v>45964</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61561-2023</t>
        </is>
      </c>
      <c r="B170" s="1" t="n">
        <v>45265</v>
      </c>
      <c r="C170" s="1" t="n">
        <v>45964</v>
      </c>
      <c r="D170" t="inlineStr">
        <is>
          <t>GOTLANDS LÄN</t>
        </is>
      </c>
      <c r="E170" t="inlineStr">
        <is>
          <t>GOTLAND</t>
        </is>
      </c>
      <c r="G170" t="n">
        <v>7.4</v>
      </c>
      <c r="H170" t="n">
        <v>0</v>
      </c>
      <c r="I170" t="n">
        <v>0</v>
      </c>
      <c r="J170" t="n">
        <v>1</v>
      </c>
      <c r="K170" t="n">
        <v>0</v>
      </c>
      <c r="L170" t="n">
        <v>0</v>
      </c>
      <c r="M170" t="n">
        <v>0</v>
      </c>
      <c r="N170" t="n">
        <v>0</v>
      </c>
      <c r="O170" t="n">
        <v>1</v>
      </c>
      <c r="P170" t="n">
        <v>0</v>
      </c>
      <c r="Q170" t="n">
        <v>1</v>
      </c>
      <c r="R170" s="2" t="inlineStr">
        <is>
          <t>Loppstarr</t>
        </is>
      </c>
      <c r="S170">
        <f>HYPERLINK("https://klasma.github.io/Logging_0980/artfynd/A 61561-2023 artfynd.xlsx", "A 61561-2023")</f>
        <v/>
      </c>
      <c r="T170">
        <f>HYPERLINK("https://klasma.github.io/Logging_0980/kartor/A 61561-2023 karta.png", "A 61561-2023")</f>
        <v/>
      </c>
      <c r="V170">
        <f>HYPERLINK("https://klasma.github.io/Logging_0980/klagomål/A 61561-2023 FSC-klagomål.docx", "A 61561-2023")</f>
        <v/>
      </c>
      <c r="W170">
        <f>HYPERLINK("https://klasma.github.io/Logging_0980/klagomålsmail/A 61561-2023 FSC-klagomål mail.docx", "A 61561-2023")</f>
        <v/>
      </c>
      <c r="X170">
        <f>HYPERLINK("https://klasma.github.io/Logging_0980/tillsyn/A 61561-2023 tillsynsbegäran.docx", "A 61561-2023")</f>
        <v/>
      </c>
      <c r="Y170">
        <f>HYPERLINK("https://klasma.github.io/Logging_0980/tillsynsmail/A 61561-2023 tillsynsbegäran mail.docx", "A 61561-2023")</f>
        <v/>
      </c>
    </row>
    <row r="171" ht="15" customHeight="1">
      <c r="A171" t="inlineStr">
        <is>
          <t>A 7637-2025</t>
        </is>
      </c>
      <c r="B171" s="1" t="n">
        <v>45705.77181712963</v>
      </c>
      <c r="C171" s="1" t="n">
        <v>45964</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9862-2024</t>
        </is>
      </c>
      <c r="B172" s="1" t="n">
        <v>45363</v>
      </c>
      <c r="C172" s="1" t="n">
        <v>45964</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34141-2024</t>
        </is>
      </c>
      <c r="B173" s="1" t="n">
        <v>45524.36229166666</v>
      </c>
      <c r="C173" s="1" t="n">
        <v>45964</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12324-2025</t>
        </is>
      </c>
      <c r="B174" s="1" t="n">
        <v>45730</v>
      </c>
      <c r="C174" s="1" t="n">
        <v>45964</v>
      </c>
      <c r="D174" t="inlineStr">
        <is>
          <t>GOTLANDS LÄN</t>
        </is>
      </c>
      <c r="E174" t="inlineStr">
        <is>
          <t>GOTLAND</t>
        </is>
      </c>
      <c r="G174" t="n">
        <v>5</v>
      </c>
      <c r="H174" t="n">
        <v>0</v>
      </c>
      <c r="I174" t="n">
        <v>0</v>
      </c>
      <c r="J174" t="n">
        <v>0</v>
      </c>
      <c r="K174" t="n">
        <v>1</v>
      </c>
      <c r="L174" t="n">
        <v>0</v>
      </c>
      <c r="M174" t="n">
        <v>0</v>
      </c>
      <c r="N174" t="n">
        <v>0</v>
      </c>
      <c r="O174" t="n">
        <v>1</v>
      </c>
      <c r="P174" t="n">
        <v>1</v>
      </c>
      <c r="Q174" t="n">
        <v>1</v>
      </c>
      <c r="R174" s="2" t="inlineStr">
        <is>
          <t>Sommarklynne</t>
        </is>
      </c>
      <c r="S174">
        <f>HYPERLINK("https://klasma.github.io/Logging_0980/artfynd/A 12324-2025 artfynd.xlsx", "A 12324-2025")</f>
        <v/>
      </c>
      <c r="T174">
        <f>HYPERLINK("https://klasma.github.io/Logging_0980/kartor/A 12324-2025 karta.png", "A 12324-2025")</f>
        <v/>
      </c>
      <c r="V174">
        <f>HYPERLINK("https://klasma.github.io/Logging_0980/klagomål/A 12324-2025 FSC-klagomål.docx", "A 12324-2025")</f>
        <v/>
      </c>
      <c r="W174">
        <f>HYPERLINK("https://klasma.github.io/Logging_0980/klagomålsmail/A 12324-2025 FSC-klagomål mail.docx", "A 12324-2025")</f>
        <v/>
      </c>
      <c r="X174">
        <f>HYPERLINK("https://klasma.github.io/Logging_0980/tillsyn/A 12324-2025 tillsynsbegäran.docx", "A 12324-2025")</f>
        <v/>
      </c>
      <c r="Y174">
        <f>HYPERLINK("https://klasma.github.io/Logging_0980/tillsynsmail/A 12324-2025 tillsynsbegäran mail.docx", "A 12324-2025")</f>
        <v/>
      </c>
    </row>
    <row r="175" ht="15" customHeight="1">
      <c r="A175" t="inlineStr">
        <is>
          <t>A 61796-2022</t>
        </is>
      </c>
      <c r="B175" s="1" t="n">
        <v>44917</v>
      </c>
      <c r="C175" s="1" t="n">
        <v>45964</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20429-2025</t>
        </is>
      </c>
      <c r="B176" s="1" t="n">
        <v>45775.47728009259</v>
      </c>
      <c r="C176" s="1" t="n">
        <v>45964</v>
      </c>
      <c r="D176" t="inlineStr">
        <is>
          <t>GOTLANDS LÄN</t>
        </is>
      </c>
      <c r="E176" t="inlineStr">
        <is>
          <t>GOTLAND</t>
        </is>
      </c>
      <c r="G176" t="n">
        <v>1.4</v>
      </c>
      <c r="H176" t="n">
        <v>1</v>
      </c>
      <c r="I176" t="n">
        <v>0</v>
      </c>
      <c r="J176" t="n">
        <v>0</v>
      </c>
      <c r="K176" t="n">
        <v>0</v>
      </c>
      <c r="L176" t="n">
        <v>0</v>
      </c>
      <c r="M176" t="n">
        <v>0</v>
      </c>
      <c r="N176" t="n">
        <v>0</v>
      </c>
      <c r="O176" t="n">
        <v>0</v>
      </c>
      <c r="P176" t="n">
        <v>0</v>
      </c>
      <c r="Q176" t="n">
        <v>1</v>
      </c>
      <c r="R176" s="2" t="inlineStr">
        <is>
          <t>Äkta lopplummer</t>
        </is>
      </c>
      <c r="S176">
        <f>HYPERLINK("https://klasma.github.io/Logging_0980/artfynd/A 20429-2025 artfynd.xlsx", "A 20429-2025")</f>
        <v/>
      </c>
      <c r="T176">
        <f>HYPERLINK("https://klasma.github.io/Logging_0980/kartor/A 20429-2025 karta.png", "A 20429-2025")</f>
        <v/>
      </c>
      <c r="V176">
        <f>HYPERLINK("https://klasma.github.io/Logging_0980/klagomål/A 20429-2025 FSC-klagomål.docx", "A 20429-2025")</f>
        <v/>
      </c>
      <c r="W176">
        <f>HYPERLINK("https://klasma.github.io/Logging_0980/klagomålsmail/A 20429-2025 FSC-klagomål mail.docx", "A 20429-2025")</f>
        <v/>
      </c>
      <c r="X176">
        <f>HYPERLINK("https://klasma.github.io/Logging_0980/tillsyn/A 20429-2025 tillsynsbegäran.docx", "A 20429-2025")</f>
        <v/>
      </c>
      <c r="Y176">
        <f>HYPERLINK("https://klasma.github.io/Logging_0980/tillsynsmail/A 20429-2025 tillsynsbegäran mail.docx", "A 20429-2025")</f>
        <v/>
      </c>
    </row>
    <row r="177" ht="15" customHeight="1">
      <c r="A177" t="inlineStr">
        <is>
          <t>A 10218-2025</t>
        </is>
      </c>
      <c r="B177" s="1" t="n">
        <v>45720</v>
      </c>
      <c r="C177" s="1" t="n">
        <v>45964</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45964</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45964</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45964</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12924-2025</t>
        </is>
      </c>
      <c r="B181" s="1" t="n">
        <v>45734</v>
      </c>
      <c r="C181" s="1" t="n">
        <v>45964</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37591-2023</t>
        </is>
      </c>
      <c r="B182" s="1" t="n">
        <v>45159</v>
      </c>
      <c r="C182" s="1" t="n">
        <v>45964</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45964</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39812-2025</t>
        </is>
      </c>
      <c r="B184" s="1" t="n">
        <v>45891</v>
      </c>
      <c r="C184" s="1" t="n">
        <v>45964</v>
      </c>
      <c r="D184" t="inlineStr">
        <is>
          <t>GOTLANDS LÄN</t>
        </is>
      </c>
      <c r="E184" t="inlineStr">
        <is>
          <t>GOTLAND</t>
        </is>
      </c>
      <c r="G184" t="n">
        <v>6</v>
      </c>
      <c r="H184" t="n">
        <v>1</v>
      </c>
      <c r="I184" t="n">
        <v>0</v>
      </c>
      <c r="J184" t="n">
        <v>0</v>
      </c>
      <c r="K184" t="n">
        <v>0</v>
      </c>
      <c r="L184" t="n">
        <v>1</v>
      </c>
      <c r="M184" t="n">
        <v>0</v>
      </c>
      <c r="N184" t="n">
        <v>0</v>
      </c>
      <c r="O184" t="n">
        <v>1</v>
      </c>
      <c r="P184" t="n">
        <v>1</v>
      </c>
      <c r="Q184" t="n">
        <v>1</v>
      </c>
      <c r="R184" s="2" t="inlineStr">
        <is>
          <t>Nålkörvel</t>
        </is>
      </c>
      <c r="S184">
        <f>HYPERLINK("https://klasma.github.io/Logging_0980/artfynd/A 39812-2025 artfynd.xlsx", "A 39812-2025")</f>
        <v/>
      </c>
      <c r="T184">
        <f>HYPERLINK("https://klasma.github.io/Logging_0980/kartor/A 39812-2025 karta.png", "A 39812-2025")</f>
        <v/>
      </c>
      <c r="V184">
        <f>HYPERLINK("https://klasma.github.io/Logging_0980/klagomål/A 39812-2025 FSC-klagomål.docx", "A 39812-2025")</f>
        <v/>
      </c>
      <c r="W184">
        <f>HYPERLINK("https://klasma.github.io/Logging_0980/klagomålsmail/A 39812-2025 FSC-klagomål mail.docx", "A 39812-2025")</f>
        <v/>
      </c>
      <c r="X184">
        <f>HYPERLINK("https://klasma.github.io/Logging_0980/tillsyn/A 39812-2025 tillsynsbegäran.docx", "A 39812-2025")</f>
        <v/>
      </c>
      <c r="Y184">
        <f>HYPERLINK("https://klasma.github.io/Logging_0980/tillsynsmail/A 39812-2025 tillsynsbegäran mail.docx", "A 39812-2025")</f>
        <v/>
      </c>
    </row>
    <row r="185" ht="15" customHeight="1">
      <c r="A185" t="inlineStr">
        <is>
          <t>A 49726-2025</t>
        </is>
      </c>
      <c r="B185" s="1" t="n">
        <v>45939.84466435185</v>
      </c>
      <c r="C185" s="1" t="n">
        <v>45964</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35467-2021</t>
        </is>
      </c>
      <c r="B186" s="1" t="n">
        <v>44385</v>
      </c>
      <c r="C186" s="1" t="n">
        <v>45964</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44619-2025</t>
        </is>
      </c>
      <c r="B187" s="1" t="n">
        <v>45917</v>
      </c>
      <c r="C187" s="1" t="n">
        <v>45964</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45964</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45964</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45964</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45964</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45964</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45964</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45964</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45964</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45964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45964</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45964</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45964</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45964</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45964</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45964</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45964</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45964</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45964</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45964</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45964</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45964</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31239-2022</t>
        </is>
      </c>
      <c r="B222" s="1" t="n">
        <v>44771.49383101852</v>
      </c>
      <c r="C222" s="1" t="n">
        <v>45964</v>
      </c>
      <c r="D222" t="inlineStr">
        <is>
          <t>GOTLANDS LÄN</t>
        </is>
      </c>
      <c r="E222" t="inlineStr">
        <is>
          <t>GOTLAND</t>
        </is>
      </c>
      <c r="G222" t="n">
        <v>1.9</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45964</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45964</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45964</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58815-2021</t>
        </is>
      </c>
      <c r="B226" s="1" t="n">
        <v>44489</v>
      </c>
      <c r="C226" s="1" t="n">
        <v>45964</v>
      </c>
      <c r="D226" t="inlineStr">
        <is>
          <t>GOTLANDS LÄN</t>
        </is>
      </c>
      <c r="E226" t="inlineStr">
        <is>
          <t>GOTLAND</t>
        </is>
      </c>
      <c r="G226" t="n">
        <v>4.1</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45964</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45964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45964</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45964</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62120-2020</t>
        </is>
      </c>
      <c r="B231" s="1" t="n">
        <v>44158</v>
      </c>
      <c r="C231" s="1" t="n">
        <v>45964</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45964</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23910-2021</t>
        </is>
      </c>
      <c r="B233" s="1" t="n">
        <v>44335</v>
      </c>
      <c r="C233" s="1" t="n">
        <v>45964</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45964</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45964</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45964</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17354-2022</t>
        </is>
      </c>
      <c r="B237" s="1" t="n">
        <v>44678</v>
      </c>
      <c r="C237" s="1" t="n">
        <v>45964</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45964</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45964</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45964</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45964</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7034-2023</t>
        </is>
      </c>
      <c r="B242" s="1" t="n">
        <v>44968.32108796296</v>
      </c>
      <c r="C242" s="1" t="n">
        <v>45964</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7042-2023</t>
        </is>
      </c>
      <c r="B243" s="1" t="n">
        <v>44968</v>
      </c>
      <c r="C243" s="1" t="n">
        <v>45964</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2180-2025</t>
        </is>
      </c>
      <c r="B244" s="1" t="n">
        <v>45673</v>
      </c>
      <c r="C244" s="1" t="n">
        <v>45964</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45964</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25866-2022</t>
        </is>
      </c>
      <c r="B246" s="1" t="n">
        <v>44733</v>
      </c>
      <c r="C246" s="1" t="n">
        <v>45964</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54074-2022</t>
        </is>
      </c>
      <c r="B247" s="1" t="n">
        <v>44881</v>
      </c>
      <c r="C247" s="1" t="n">
        <v>45964</v>
      </c>
      <c r="D247" t="inlineStr">
        <is>
          <t>GOTLANDS LÄN</t>
        </is>
      </c>
      <c r="E247" t="inlineStr">
        <is>
          <t>GOTLAND</t>
        </is>
      </c>
      <c r="G247" t="n">
        <v>0.9</v>
      </c>
      <c r="H247" t="n">
        <v>0</v>
      </c>
      <c r="I247" t="n">
        <v>0</v>
      </c>
      <c r="J247" t="n">
        <v>0</v>
      </c>
      <c r="K247" t="n">
        <v>0</v>
      </c>
      <c r="L247" t="n">
        <v>0</v>
      </c>
      <c r="M247" t="n">
        <v>0</v>
      </c>
      <c r="N247" t="n">
        <v>0</v>
      </c>
      <c r="O247" t="n">
        <v>0</v>
      </c>
      <c r="P247" t="n">
        <v>0</v>
      </c>
      <c r="Q247" t="n">
        <v>0</v>
      </c>
      <c r="R247" s="2" t="inlineStr"/>
    </row>
    <row r="248" ht="15" customHeight="1">
      <c r="A248" t="inlineStr">
        <is>
          <t>A 61694-2023</t>
        </is>
      </c>
      <c r="B248" s="1" t="n">
        <v>45264</v>
      </c>
      <c r="C248" s="1" t="n">
        <v>45964</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64208-2021</t>
        </is>
      </c>
      <c r="B249" s="1" t="n">
        <v>44510</v>
      </c>
      <c r="C249" s="1" t="n">
        <v>45964</v>
      </c>
      <c r="D249" t="inlineStr">
        <is>
          <t>GOTLANDS LÄN</t>
        </is>
      </c>
      <c r="E249" t="inlineStr">
        <is>
          <t>GOTLAND</t>
        </is>
      </c>
      <c r="G249" t="n">
        <v>4.7</v>
      </c>
      <c r="H249" t="n">
        <v>0</v>
      </c>
      <c r="I249" t="n">
        <v>0</v>
      </c>
      <c r="J249" t="n">
        <v>0</v>
      </c>
      <c r="K249" t="n">
        <v>0</v>
      </c>
      <c r="L249" t="n">
        <v>0</v>
      </c>
      <c r="M249" t="n">
        <v>0</v>
      </c>
      <c r="N249" t="n">
        <v>0</v>
      </c>
      <c r="O249" t="n">
        <v>0</v>
      </c>
      <c r="P249" t="n">
        <v>0</v>
      </c>
      <c r="Q249" t="n">
        <v>0</v>
      </c>
      <c r="R249" s="2" t="inlineStr"/>
    </row>
    <row r="250" ht="15" customHeight="1">
      <c r="A250" t="inlineStr">
        <is>
          <t>A 54268-2022</t>
        </is>
      </c>
      <c r="B250" s="1" t="n">
        <v>44882</v>
      </c>
      <c r="C250" s="1" t="n">
        <v>45964</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1446-2025</t>
        </is>
      </c>
      <c r="B251" s="1" t="n">
        <v>45669.86035879629</v>
      </c>
      <c r="C251" s="1" t="n">
        <v>45964</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1462-2025</t>
        </is>
      </c>
      <c r="B252" s="1" t="n">
        <v>45670.36319444444</v>
      </c>
      <c r="C252" s="1" t="n">
        <v>45964</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9887-2025</t>
        </is>
      </c>
      <c r="B253" s="1" t="n">
        <v>45716</v>
      </c>
      <c r="C253" s="1" t="n">
        <v>45964</v>
      </c>
      <c r="D253" t="inlineStr">
        <is>
          <t>GOTLANDS LÄN</t>
        </is>
      </c>
      <c r="E253" t="inlineStr">
        <is>
          <t>GOTLAND</t>
        </is>
      </c>
      <c r="G253" t="n">
        <v>7.5</v>
      </c>
      <c r="H253" t="n">
        <v>0</v>
      </c>
      <c r="I253" t="n">
        <v>0</v>
      </c>
      <c r="J253" t="n">
        <v>0</v>
      </c>
      <c r="K253" t="n">
        <v>0</v>
      </c>
      <c r="L253" t="n">
        <v>0</v>
      </c>
      <c r="M253" t="n">
        <v>0</v>
      </c>
      <c r="N253" t="n">
        <v>0</v>
      </c>
      <c r="O253" t="n">
        <v>0</v>
      </c>
      <c r="P253" t="n">
        <v>0</v>
      </c>
      <c r="Q253" t="n">
        <v>0</v>
      </c>
      <c r="R253" s="2" t="inlineStr"/>
    </row>
    <row r="254" ht="15" customHeight="1">
      <c r="A254" t="inlineStr">
        <is>
          <t>A 57685-2022</t>
        </is>
      </c>
      <c r="B254" s="1" t="n">
        <v>44897.4777662037</v>
      </c>
      <c r="C254" s="1" t="n">
        <v>45964</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12209-2024</t>
        </is>
      </c>
      <c r="B255" s="1" t="n">
        <v>45378</v>
      </c>
      <c r="C255" s="1" t="n">
        <v>45964</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12210-2024</t>
        </is>
      </c>
      <c r="B256" s="1" t="n">
        <v>45378</v>
      </c>
      <c r="C256" s="1" t="n">
        <v>45964</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811-2023</t>
        </is>
      </c>
      <c r="B257" s="1" t="n">
        <v>44931</v>
      </c>
      <c r="C257" s="1" t="n">
        <v>45964</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58476-2022</t>
        </is>
      </c>
      <c r="B258" s="1" t="n">
        <v>44902</v>
      </c>
      <c r="C258" s="1" t="n">
        <v>45964</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59986-2022</t>
        </is>
      </c>
      <c r="B259" s="1" t="n">
        <v>44909</v>
      </c>
      <c r="C259" s="1" t="n">
        <v>45964</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5905-2024</t>
        </is>
      </c>
      <c r="B260" s="1" t="n">
        <v>45335.88993055555</v>
      </c>
      <c r="C260" s="1" t="n">
        <v>45964</v>
      </c>
      <c r="D260" t="inlineStr">
        <is>
          <t>GOTLANDS LÄN</t>
        </is>
      </c>
      <c r="E260" t="inlineStr">
        <is>
          <t>GOTLAND</t>
        </is>
      </c>
      <c r="G260" t="n">
        <v>3</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45964</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3431-2025</t>
        </is>
      </c>
      <c r="B262" s="1" t="n">
        <v>45680.42935185185</v>
      </c>
      <c r="C262" s="1" t="n">
        <v>45964</v>
      </c>
      <c r="D262" t="inlineStr">
        <is>
          <t>GOTLANDS LÄN</t>
        </is>
      </c>
      <c r="E262" t="inlineStr">
        <is>
          <t>GOTLAND</t>
        </is>
      </c>
      <c r="G262" t="n">
        <v>4.8</v>
      </c>
      <c r="H262" t="n">
        <v>0</v>
      </c>
      <c r="I262" t="n">
        <v>0</v>
      </c>
      <c r="J262" t="n">
        <v>0</v>
      </c>
      <c r="K262" t="n">
        <v>0</v>
      </c>
      <c r="L262" t="n">
        <v>0</v>
      </c>
      <c r="M262" t="n">
        <v>0</v>
      </c>
      <c r="N262" t="n">
        <v>0</v>
      </c>
      <c r="O262" t="n">
        <v>0</v>
      </c>
      <c r="P262" t="n">
        <v>0</v>
      </c>
      <c r="Q262" t="n">
        <v>0</v>
      </c>
      <c r="R262" s="2" t="inlineStr"/>
    </row>
    <row r="263" ht="15" customHeight="1">
      <c r="A263" t="inlineStr">
        <is>
          <t>A 61596-2023</t>
        </is>
      </c>
      <c r="B263" s="1" t="n">
        <v>45265</v>
      </c>
      <c r="C263" s="1" t="n">
        <v>45964</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34407-2023</t>
        </is>
      </c>
      <c r="B264" s="1" t="n">
        <v>45132</v>
      </c>
      <c r="C264" s="1" t="n">
        <v>45964</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30892-2024</t>
        </is>
      </c>
      <c r="B265" s="1" t="n">
        <v>45491</v>
      </c>
      <c r="C265" s="1" t="n">
        <v>45964</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32958-2021</t>
        </is>
      </c>
      <c r="B266" s="1" t="n">
        <v>44376</v>
      </c>
      <c r="C266" s="1" t="n">
        <v>45964</v>
      </c>
      <c r="D266" t="inlineStr">
        <is>
          <t>GOTLANDS LÄN</t>
        </is>
      </c>
      <c r="E266" t="inlineStr">
        <is>
          <t>GOTLAND</t>
        </is>
      </c>
      <c r="G266" t="n">
        <v>2.2</v>
      </c>
      <c r="H266" t="n">
        <v>0</v>
      </c>
      <c r="I266" t="n">
        <v>0</v>
      </c>
      <c r="J266" t="n">
        <v>0</v>
      </c>
      <c r="K266" t="n">
        <v>0</v>
      </c>
      <c r="L266" t="n">
        <v>0</v>
      </c>
      <c r="M266" t="n">
        <v>0</v>
      </c>
      <c r="N266" t="n">
        <v>0</v>
      </c>
      <c r="O266" t="n">
        <v>0</v>
      </c>
      <c r="P266" t="n">
        <v>0</v>
      </c>
      <c r="Q266" t="n">
        <v>0</v>
      </c>
      <c r="R266" s="2" t="inlineStr"/>
    </row>
    <row r="267" ht="15" customHeight="1">
      <c r="A267" t="inlineStr">
        <is>
          <t>A 873-2024</t>
        </is>
      </c>
      <c r="B267" s="1" t="n">
        <v>45301</v>
      </c>
      <c r="C267" s="1" t="n">
        <v>45964</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31802-2024</t>
        </is>
      </c>
      <c r="B268" s="1" t="n">
        <v>45509</v>
      </c>
      <c r="C268" s="1" t="n">
        <v>45964</v>
      </c>
      <c r="D268" t="inlineStr">
        <is>
          <t>GOTLANDS LÄN</t>
        </is>
      </c>
      <c r="E268" t="inlineStr">
        <is>
          <t>GOTLAND</t>
        </is>
      </c>
      <c r="G268" t="n">
        <v>2.8</v>
      </c>
      <c r="H268" t="n">
        <v>0</v>
      </c>
      <c r="I268" t="n">
        <v>0</v>
      </c>
      <c r="J268" t="n">
        <v>0</v>
      </c>
      <c r="K268" t="n">
        <v>0</v>
      </c>
      <c r="L268" t="n">
        <v>0</v>
      </c>
      <c r="M268" t="n">
        <v>0</v>
      </c>
      <c r="N268" t="n">
        <v>0</v>
      </c>
      <c r="O268" t="n">
        <v>0</v>
      </c>
      <c r="P268" t="n">
        <v>0</v>
      </c>
      <c r="Q268" t="n">
        <v>0</v>
      </c>
      <c r="R268" s="2" t="inlineStr"/>
    </row>
    <row r="269" ht="15" customHeight="1">
      <c r="A269" t="inlineStr">
        <is>
          <t>A 44228-2022</t>
        </is>
      </c>
      <c r="B269" s="1" t="n">
        <v>44839.51599537037</v>
      </c>
      <c r="C269" s="1" t="n">
        <v>45964</v>
      </c>
      <c r="D269" t="inlineStr">
        <is>
          <t>GOTLANDS LÄN</t>
        </is>
      </c>
      <c r="E269" t="inlineStr">
        <is>
          <t>GOTLAND</t>
        </is>
      </c>
      <c r="G269" t="n">
        <v>2.1</v>
      </c>
      <c r="H269" t="n">
        <v>0</v>
      </c>
      <c r="I269" t="n">
        <v>0</v>
      </c>
      <c r="J269" t="n">
        <v>0</v>
      </c>
      <c r="K269" t="n">
        <v>0</v>
      </c>
      <c r="L269" t="n">
        <v>0</v>
      </c>
      <c r="M269" t="n">
        <v>0</v>
      </c>
      <c r="N269" t="n">
        <v>0</v>
      </c>
      <c r="O269" t="n">
        <v>0</v>
      </c>
      <c r="P269" t="n">
        <v>0</v>
      </c>
      <c r="Q269" t="n">
        <v>0</v>
      </c>
      <c r="R269" s="2" t="inlineStr"/>
    </row>
    <row r="270" ht="15" customHeight="1">
      <c r="A270" t="inlineStr">
        <is>
          <t>A 61386-2023</t>
        </is>
      </c>
      <c r="B270" s="1" t="n">
        <v>45264</v>
      </c>
      <c r="C270" s="1" t="n">
        <v>45964</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20993-2023</t>
        </is>
      </c>
      <c r="B271" s="1" t="n">
        <v>45056</v>
      </c>
      <c r="C271" s="1" t="n">
        <v>45964</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15042-2025</t>
        </is>
      </c>
      <c r="B272" s="1" t="n">
        <v>45743</v>
      </c>
      <c r="C272" s="1" t="n">
        <v>45964</v>
      </c>
      <c r="D272" t="inlineStr">
        <is>
          <t>GOTLANDS LÄN</t>
        </is>
      </c>
      <c r="E272" t="inlineStr">
        <is>
          <t>GOTLAND</t>
        </is>
      </c>
      <c r="G272" t="n">
        <v>8.5</v>
      </c>
      <c r="H272" t="n">
        <v>0</v>
      </c>
      <c r="I272" t="n">
        <v>0</v>
      </c>
      <c r="J272" t="n">
        <v>0</v>
      </c>
      <c r="K272" t="n">
        <v>0</v>
      </c>
      <c r="L272" t="n">
        <v>0</v>
      </c>
      <c r="M272" t="n">
        <v>0</v>
      </c>
      <c r="N272" t="n">
        <v>0</v>
      </c>
      <c r="O272" t="n">
        <v>0</v>
      </c>
      <c r="P272" t="n">
        <v>0</v>
      </c>
      <c r="Q272" t="n">
        <v>0</v>
      </c>
      <c r="R272" s="2" t="inlineStr"/>
    </row>
    <row r="273" ht="15" customHeight="1">
      <c r="A273" t="inlineStr">
        <is>
          <t>A 12327-2025</t>
        </is>
      </c>
      <c r="B273" s="1" t="n">
        <v>45730</v>
      </c>
      <c r="C273" s="1" t="n">
        <v>45964</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7858-2025</t>
        </is>
      </c>
      <c r="B274" s="1" t="n">
        <v>45706.68633101852</v>
      </c>
      <c r="C274" s="1" t="n">
        <v>45964</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46545-2024</t>
        </is>
      </c>
      <c r="B275" s="1" t="n">
        <v>45582.65831018519</v>
      </c>
      <c r="C275" s="1" t="n">
        <v>45964</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27593-2023</t>
        </is>
      </c>
      <c r="B276" s="1" t="n">
        <v>45097</v>
      </c>
      <c r="C276" s="1" t="n">
        <v>45964</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999-2023</t>
        </is>
      </c>
      <c r="B277" s="1" t="n">
        <v>44935</v>
      </c>
      <c r="C277" s="1" t="n">
        <v>45964</v>
      </c>
      <c r="D277" t="inlineStr">
        <is>
          <t>GOTLANDS LÄN</t>
        </is>
      </c>
      <c r="E277" t="inlineStr">
        <is>
          <t>GOTLAND</t>
        </is>
      </c>
      <c r="G277" t="n">
        <v>4.7</v>
      </c>
      <c r="H277" t="n">
        <v>0</v>
      </c>
      <c r="I277" t="n">
        <v>0</v>
      </c>
      <c r="J277" t="n">
        <v>0</v>
      </c>
      <c r="K277" t="n">
        <v>0</v>
      </c>
      <c r="L277" t="n">
        <v>0</v>
      </c>
      <c r="M277" t="n">
        <v>0</v>
      </c>
      <c r="N277" t="n">
        <v>0</v>
      </c>
      <c r="O277" t="n">
        <v>0</v>
      </c>
      <c r="P277" t="n">
        <v>0</v>
      </c>
      <c r="Q277" t="n">
        <v>0</v>
      </c>
      <c r="R277" s="2" t="inlineStr"/>
    </row>
    <row r="278" ht="15" customHeight="1">
      <c r="A278" t="inlineStr">
        <is>
          <t>A 25129-2023</t>
        </is>
      </c>
      <c r="B278" s="1" t="n">
        <v>45086.44261574074</v>
      </c>
      <c r="C278" s="1" t="n">
        <v>45964</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4420-2025</t>
        </is>
      </c>
      <c r="B279" s="1" t="n">
        <v>45686.47157407407</v>
      </c>
      <c r="C279" s="1" t="n">
        <v>45964</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1364-2025</t>
        </is>
      </c>
      <c r="B280" s="1" t="n">
        <v>45667.63929398148</v>
      </c>
      <c r="C280" s="1" t="n">
        <v>45964</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2125-2025</t>
        </is>
      </c>
      <c r="B281" s="1" t="n">
        <v>45672.64940972222</v>
      </c>
      <c r="C281" s="1" t="n">
        <v>45964</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45964</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14141-2024</t>
        </is>
      </c>
      <c r="B283" s="1" t="n">
        <v>45392.85193287037</v>
      </c>
      <c r="C283" s="1" t="n">
        <v>45964</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12155-2023</t>
        </is>
      </c>
      <c r="B284" s="1" t="n">
        <v>44998.49106481481</v>
      </c>
      <c r="C284" s="1" t="n">
        <v>45964</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49257-2024</t>
        </is>
      </c>
      <c r="B285" s="1" t="n">
        <v>45595.47627314815</v>
      </c>
      <c r="C285" s="1" t="n">
        <v>45964</v>
      </c>
      <c r="D285" t="inlineStr">
        <is>
          <t>GOTLANDS LÄN</t>
        </is>
      </c>
      <c r="E285" t="inlineStr">
        <is>
          <t>GOTLAND</t>
        </is>
      </c>
      <c r="G285" t="n">
        <v>6.3</v>
      </c>
      <c r="H285" t="n">
        <v>0</v>
      </c>
      <c r="I285" t="n">
        <v>0</v>
      </c>
      <c r="J285" t="n">
        <v>0</v>
      </c>
      <c r="K285" t="n">
        <v>0</v>
      </c>
      <c r="L285" t="n">
        <v>0</v>
      </c>
      <c r="M285" t="n">
        <v>0</v>
      </c>
      <c r="N285" t="n">
        <v>0</v>
      </c>
      <c r="O285" t="n">
        <v>0</v>
      </c>
      <c r="P285" t="n">
        <v>0</v>
      </c>
      <c r="Q285" t="n">
        <v>0</v>
      </c>
      <c r="R285" s="2" t="inlineStr"/>
    </row>
    <row r="286" ht="15" customHeight="1">
      <c r="A286" t="inlineStr">
        <is>
          <t>A 49315-2024</t>
        </is>
      </c>
      <c r="B286" s="1" t="n">
        <v>45595</v>
      </c>
      <c r="C286" s="1" t="n">
        <v>45964</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2774-2024</t>
        </is>
      </c>
      <c r="B287" s="1" t="n">
        <v>45314.62375</v>
      </c>
      <c r="C287" s="1" t="n">
        <v>45964</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9947-2024</t>
        </is>
      </c>
      <c r="B288" s="1" t="n">
        <v>45363</v>
      </c>
      <c r="C288" s="1" t="n">
        <v>45964</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42007-2023</t>
        </is>
      </c>
      <c r="B289" s="1" t="n">
        <v>45177</v>
      </c>
      <c r="C289" s="1" t="n">
        <v>45964</v>
      </c>
      <c r="D289" t="inlineStr">
        <is>
          <t>GOTLANDS LÄN</t>
        </is>
      </c>
      <c r="E289" t="inlineStr">
        <is>
          <t>GOTLAND</t>
        </is>
      </c>
      <c r="G289" t="n">
        <v>0.8</v>
      </c>
      <c r="H289" t="n">
        <v>0</v>
      </c>
      <c r="I289" t="n">
        <v>0</v>
      </c>
      <c r="J289" t="n">
        <v>0</v>
      </c>
      <c r="K289" t="n">
        <v>0</v>
      </c>
      <c r="L289" t="n">
        <v>0</v>
      </c>
      <c r="M289" t="n">
        <v>0</v>
      </c>
      <c r="N289" t="n">
        <v>0</v>
      </c>
      <c r="O289" t="n">
        <v>0</v>
      </c>
      <c r="P289" t="n">
        <v>0</v>
      </c>
      <c r="Q289" t="n">
        <v>0</v>
      </c>
      <c r="R289" s="2" t="inlineStr"/>
    </row>
    <row r="290" ht="15" customHeight="1">
      <c r="A290" t="inlineStr">
        <is>
          <t>A 56009-2024</t>
        </is>
      </c>
      <c r="B290" s="1" t="n">
        <v>45623.80864583333</v>
      </c>
      <c r="C290" s="1" t="n">
        <v>45964</v>
      </c>
      <c r="D290" t="inlineStr">
        <is>
          <t>GOTLANDS LÄN</t>
        </is>
      </c>
      <c r="E290" t="inlineStr">
        <is>
          <t>GOTLAND</t>
        </is>
      </c>
      <c r="G290" t="n">
        <v>2.8</v>
      </c>
      <c r="H290" t="n">
        <v>0</v>
      </c>
      <c r="I290" t="n">
        <v>0</v>
      </c>
      <c r="J290" t="n">
        <v>0</v>
      </c>
      <c r="K290" t="n">
        <v>0</v>
      </c>
      <c r="L290" t="n">
        <v>0</v>
      </c>
      <c r="M290" t="n">
        <v>0</v>
      </c>
      <c r="N290" t="n">
        <v>0</v>
      </c>
      <c r="O290" t="n">
        <v>0</v>
      </c>
      <c r="P290" t="n">
        <v>0</v>
      </c>
      <c r="Q290" t="n">
        <v>0</v>
      </c>
      <c r="R290" s="2" t="inlineStr"/>
    </row>
    <row r="291" ht="15" customHeight="1">
      <c r="A291" t="inlineStr">
        <is>
          <t>A 54073-2022</t>
        </is>
      </c>
      <c r="B291" s="1" t="n">
        <v>44881.50380787037</v>
      </c>
      <c r="C291" s="1" t="n">
        <v>45964</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3964-2024</t>
        </is>
      </c>
      <c r="B292" s="1" t="n">
        <v>45322</v>
      </c>
      <c r="C292" s="1" t="n">
        <v>45964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27596-2023</t>
        </is>
      </c>
      <c r="B293" s="1" t="n">
        <v>45097</v>
      </c>
      <c r="C293" s="1" t="n">
        <v>45964</v>
      </c>
      <c r="D293" t="inlineStr">
        <is>
          <t>GOTLANDS LÄN</t>
        </is>
      </c>
      <c r="E293" t="inlineStr">
        <is>
          <t>GOTLAND</t>
        </is>
      </c>
      <c r="G293" t="n">
        <v>3.6</v>
      </c>
      <c r="H293" t="n">
        <v>0</v>
      </c>
      <c r="I293" t="n">
        <v>0</v>
      </c>
      <c r="J293" t="n">
        <v>0</v>
      </c>
      <c r="K293" t="n">
        <v>0</v>
      </c>
      <c r="L293" t="n">
        <v>0</v>
      </c>
      <c r="M293" t="n">
        <v>0</v>
      </c>
      <c r="N293" t="n">
        <v>0</v>
      </c>
      <c r="O293" t="n">
        <v>0</v>
      </c>
      <c r="P293" t="n">
        <v>0</v>
      </c>
      <c r="Q293" t="n">
        <v>0</v>
      </c>
      <c r="R293" s="2" t="inlineStr"/>
    </row>
    <row r="294" ht="15" customHeight="1">
      <c r="A294" t="inlineStr">
        <is>
          <t>A 45106-2024</t>
        </is>
      </c>
      <c r="B294" s="1" t="n">
        <v>45575</v>
      </c>
      <c r="C294" s="1" t="n">
        <v>45964</v>
      </c>
      <c r="D294" t="inlineStr">
        <is>
          <t>GOTLANDS LÄN</t>
        </is>
      </c>
      <c r="E294" t="inlineStr">
        <is>
          <t>GOTLAND</t>
        </is>
      </c>
      <c r="G294" t="n">
        <v>10</v>
      </c>
      <c r="H294" t="n">
        <v>0</v>
      </c>
      <c r="I294" t="n">
        <v>0</v>
      </c>
      <c r="J294" t="n">
        <v>0</v>
      </c>
      <c r="K294" t="n">
        <v>0</v>
      </c>
      <c r="L294" t="n">
        <v>0</v>
      </c>
      <c r="M294" t="n">
        <v>0</v>
      </c>
      <c r="N294" t="n">
        <v>0</v>
      </c>
      <c r="O294" t="n">
        <v>0</v>
      </c>
      <c r="P294" t="n">
        <v>0</v>
      </c>
      <c r="Q294" t="n">
        <v>0</v>
      </c>
      <c r="R294" s="2" t="inlineStr"/>
    </row>
    <row r="295" ht="15" customHeight="1">
      <c r="A295" t="inlineStr">
        <is>
          <t>A 45112-2024</t>
        </is>
      </c>
      <c r="B295" s="1" t="n">
        <v>45575</v>
      </c>
      <c r="C295" s="1" t="n">
        <v>45964</v>
      </c>
      <c r="D295" t="inlineStr">
        <is>
          <t>GOTLANDS LÄN</t>
        </is>
      </c>
      <c r="E295" t="inlineStr">
        <is>
          <t>GOTLAND</t>
        </is>
      </c>
      <c r="G295" t="n">
        <v>5.1</v>
      </c>
      <c r="H295" t="n">
        <v>0</v>
      </c>
      <c r="I295" t="n">
        <v>0</v>
      </c>
      <c r="J295" t="n">
        <v>0</v>
      </c>
      <c r="K295" t="n">
        <v>0</v>
      </c>
      <c r="L295" t="n">
        <v>0</v>
      </c>
      <c r="M295" t="n">
        <v>0</v>
      </c>
      <c r="N295" t="n">
        <v>0</v>
      </c>
      <c r="O295" t="n">
        <v>0</v>
      </c>
      <c r="P295" t="n">
        <v>0</v>
      </c>
      <c r="Q295" t="n">
        <v>0</v>
      </c>
      <c r="R295" s="2" t="inlineStr"/>
    </row>
    <row r="296" ht="15" customHeight="1">
      <c r="A296" t="inlineStr">
        <is>
          <t>A 56115-2023</t>
        </is>
      </c>
      <c r="B296" s="1" t="n">
        <v>45236</v>
      </c>
      <c r="C296" s="1" t="n">
        <v>45964</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64969-2023</t>
        </is>
      </c>
      <c r="B297" s="1" t="n">
        <v>45284.54009259259</v>
      </c>
      <c r="C297" s="1" t="n">
        <v>45964</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33853-2024</t>
        </is>
      </c>
      <c r="B298" s="1" t="n">
        <v>45520.64298611111</v>
      </c>
      <c r="C298" s="1" t="n">
        <v>45964</v>
      </c>
      <c r="D298" t="inlineStr">
        <is>
          <t>GOTLANDS LÄN</t>
        </is>
      </c>
      <c r="E298" t="inlineStr">
        <is>
          <t>GOTLAND</t>
        </is>
      </c>
      <c r="G298" t="n">
        <v>3.9</v>
      </c>
      <c r="H298" t="n">
        <v>0</v>
      </c>
      <c r="I298" t="n">
        <v>0</v>
      </c>
      <c r="J298" t="n">
        <v>0</v>
      </c>
      <c r="K298" t="n">
        <v>0</v>
      </c>
      <c r="L298" t="n">
        <v>0</v>
      </c>
      <c r="M298" t="n">
        <v>0</v>
      </c>
      <c r="N298" t="n">
        <v>0</v>
      </c>
      <c r="O298" t="n">
        <v>0</v>
      </c>
      <c r="P298" t="n">
        <v>0</v>
      </c>
      <c r="Q298" t="n">
        <v>0</v>
      </c>
      <c r="R298" s="2" t="inlineStr"/>
    </row>
    <row r="299" ht="15" customHeight="1">
      <c r="A299" t="inlineStr">
        <is>
          <t>A 44304-2021</t>
        </is>
      </c>
      <c r="B299" s="1" t="n">
        <v>44434</v>
      </c>
      <c r="C299" s="1" t="n">
        <v>45964</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7026-2023</t>
        </is>
      </c>
      <c r="B300" s="1" t="n">
        <v>44968.30340277778</v>
      </c>
      <c r="C300" s="1" t="n">
        <v>45964</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15083-2025</t>
        </is>
      </c>
      <c r="B301" s="1" t="n">
        <v>45743</v>
      </c>
      <c r="C301" s="1" t="n">
        <v>45964</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18223-2025</t>
        </is>
      </c>
      <c r="B302" s="1" t="n">
        <v>45761</v>
      </c>
      <c r="C302" s="1" t="n">
        <v>45964</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45964</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1351-2025</t>
        </is>
      </c>
      <c r="B304" s="1" t="n">
        <v>45667.62246527777</v>
      </c>
      <c r="C304" s="1" t="n">
        <v>45964</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46949-2024</t>
        </is>
      </c>
      <c r="B305" s="1" t="n">
        <v>45585</v>
      </c>
      <c r="C305" s="1" t="n">
        <v>45964</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49874-2024</t>
        </is>
      </c>
      <c r="B306" s="1" t="n">
        <v>45597.49274305555</v>
      </c>
      <c r="C306" s="1" t="n">
        <v>45964</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24001-2021</t>
        </is>
      </c>
      <c r="B307" s="1" t="n">
        <v>44335</v>
      </c>
      <c r="C307" s="1" t="n">
        <v>45964</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39479-2022</t>
        </is>
      </c>
      <c r="B308" s="1" t="n">
        <v>44818</v>
      </c>
      <c r="C308" s="1" t="n">
        <v>45964</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39496-2022</t>
        </is>
      </c>
      <c r="B309" s="1" t="n">
        <v>44818</v>
      </c>
      <c r="C309" s="1" t="n">
        <v>45964</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46389-2021</t>
        </is>
      </c>
      <c r="B310" s="1" t="n">
        <v>44443</v>
      </c>
      <c r="C310" s="1" t="n">
        <v>45964</v>
      </c>
      <c r="D310" t="inlineStr">
        <is>
          <t>GOTLANDS LÄN</t>
        </is>
      </c>
      <c r="E310" t="inlineStr">
        <is>
          <t>GOTLAND</t>
        </is>
      </c>
      <c r="F310" t="inlineStr">
        <is>
          <t>Kyrkan</t>
        </is>
      </c>
      <c r="G310" t="n">
        <v>2.1</v>
      </c>
      <c r="H310" t="n">
        <v>0</v>
      </c>
      <c r="I310" t="n">
        <v>0</v>
      </c>
      <c r="J310" t="n">
        <v>0</v>
      </c>
      <c r="K310" t="n">
        <v>0</v>
      </c>
      <c r="L310" t="n">
        <v>0</v>
      </c>
      <c r="M310" t="n">
        <v>0</v>
      </c>
      <c r="N310" t="n">
        <v>0</v>
      </c>
      <c r="O310" t="n">
        <v>0</v>
      </c>
      <c r="P310" t="n">
        <v>0</v>
      </c>
      <c r="Q310" t="n">
        <v>0</v>
      </c>
      <c r="R310" s="2" t="inlineStr"/>
    </row>
    <row r="311" ht="15" customHeight="1">
      <c r="A311" t="inlineStr">
        <is>
          <t>A 51782-2023</t>
        </is>
      </c>
      <c r="B311" s="1" t="n">
        <v>45222.80952546297</v>
      </c>
      <c r="C311" s="1" t="n">
        <v>45964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1066-2024</t>
        </is>
      </c>
      <c r="B312" s="1" t="n">
        <v>45302.285</v>
      </c>
      <c r="C312" s="1" t="n">
        <v>45964</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60675-2021</t>
        </is>
      </c>
      <c r="B313" s="1" t="n">
        <v>44496.64855324074</v>
      </c>
      <c r="C313" s="1" t="n">
        <v>45964</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45964</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44949-2023</t>
        </is>
      </c>
      <c r="B315" s="1" t="n">
        <v>45190.69520833333</v>
      </c>
      <c r="C315" s="1" t="n">
        <v>45964</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5217-2023</t>
        </is>
      </c>
      <c r="B316" s="1" t="n">
        <v>44959.39582175926</v>
      </c>
      <c r="C316" s="1" t="n">
        <v>45964</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14638-2025</t>
        </is>
      </c>
      <c r="B317" s="1" t="n">
        <v>45742</v>
      </c>
      <c r="C317" s="1" t="n">
        <v>45964</v>
      </c>
      <c r="D317" t="inlineStr">
        <is>
          <t>GOTLANDS LÄN</t>
        </is>
      </c>
      <c r="E317" t="inlineStr">
        <is>
          <t>GOTLAND</t>
        </is>
      </c>
      <c r="G317" t="n">
        <v>13.4</v>
      </c>
      <c r="H317" t="n">
        <v>0</v>
      </c>
      <c r="I317" t="n">
        <v>0</v>
      </c>
      <c r="J317" t="n">
        <v>0</v>
      </c>
      <c r="K317" t="n">
        <v>0</v>
      </c>
      <c r="L317" t="n">
        <v>0</v>
      </c>
      <c r="M317" t="n">
        <v>0</v>
      </c>
      <c r="N317" t="n">
        <v>0</v>
      </c>
      <c r="O317" t="n">
        <v>0</v>
      </c>
      <c r="P317" t="n">
        <v>0</v>
      </c>
      <c r="Q317" t="n">
        <v>0</v>
      </c>
      <c r="R317" s="2" t="inlineStr"/>
    </row>
    <row r="318" ht="15" customHeight="1">
      <c r="A318" t="inlineStr">
        <is>
          <t>A 17682-2024</t>
        </is>
      </c>
      <c r="B318" s="1" t="n">
        <v>45418.42966435185</v>
      </c>
      <c r="C318" s="1" t="n">
        <v>45964</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4421-2024</t>
        </is>
      </c>
      <c r="B319" s="1" t="n">
        <v>45327.45173611111</v>
      </c>
      <c r="C319" s="1" t="n">
        <v>45964</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61897-2024</t>
        </is>
      </c>
      <c r="B320" s="1" t="n">
        <v>45652.75685185185</v>
      </c>
      <c r="C320" s="1" t="n">
        <v>45964</v>
      </c>
      <c r="D320" t="inlineStr">
        <is>
          <t>GOTLANDS LÄN</t>
        </is>
      </c>
      <c r="E320" t="inlineStr">
        <is>
          <t>GOTLAND</t>
        </is>
      </c>
      <c r="G320" t="n">
        <v>6.4</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45964</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30815-2023</t>
        </is>
      </c>
      <c r="B322" s="1" t="n">
        <v>45112</v>
      </c>
      <c r="C322" s="1" t="n">
        <v>45964</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45964</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46400-2023</t>
        </is>
      </c>
      <c r="B324" s="1" t="n">
        <v>45197.49290509259</v>
      </c>
      <c r="C324" s="1" t="n">
        <v>45964</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10492-2023</t>
        </is>
      </c>
      <c r="B325" s="1" t="n">
        <v>44987</v>
      </c>
      <c r="C325" s="1" t="n">
        <v>45964</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20165-2022</t>
        </is>
      </c>
      <c r="B326" s="1" t="n">
        <v>44698.49854166667</v>
      </c>
      <c r="C326" s="1" t="n">
        <v>45964</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31264-2021</t>
        </is>
      </c>
      <c r="B327" s="1" t="n">
        <v>44368</v>
      </c>
      <c r="C327" s="1" t="n">
        <v>45964</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33876-2024</t>
        </is>
      </c>
      <c r="B328" s="1" t="n">
        <v>45521.87988425926</v>
      </c>
      <c r="C328" s="1" t="n">
        <v>45964</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44919-2022</t>
        </is>
      </c>
      <c r="B329" s="1" t="n">
        <v>44841</v>
      </c>
      <c r="C329" s="1" t="n">
        <v>45964</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43223-2023</t>
        </is>
      </c>
      <c r="B330" s="1" t="n">
        <v>45183.45642361111</v>
      </c>
      <c r="C330" s="1" t="n">
        <v>45964</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61962-2024</t>
        </is>
      </c>
      <c r="B331" s="1" t="n">
        <v>45653.54340277778</v>
      </c>
      <c r="C331" s="1" t="n">
        <v>45964</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45964</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21164-2024</t>
        </is>
      </c>
      <c r="B333" s="1" t="n">
        <v>45440</v>
      </c>
      <c r="C333" s="1" t="n">
        <v>45964</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27930-2021</t>
        </is>
      </c>
      <c r="B334" s="1" t="n">
        <v>44354</v>
      </c>
      <c r="C334" s="1" t="n">
        <v>45964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17541-2024</t>
        </is>
      </c>
      <c r="B335" s="1" t="n">
        <v>45415</v>
      </c>
      <c r="C335" s="1" t="n">
        <v>45964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883-2025</t>
        </is>
      </c>
      <c r="B336" s="1" t="n">
        <v>45665</v>
      </c>
      <c r="C336" s="1" t="n">
        <v>45964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27095-2022</t>
        </is>
      </c>
      <c r="B337" s="1" t="n">
        <v>44741</v>
      </c>
      <c r="C337" s="1" t="n">
        <v>45964</v>
      </c>
      <c r="D337" t="inlineStr">
        <is>
          <t>GOTLANDS LÄN</t>
        </is>
      </c>
      <c r="E337" t="inlineStr">
        <is>
          <t>GOTLAND</t>
        </is>
      </c>
      <c r="F337" t="inlineStr">
        <is>
          <t>Övriga Aktiebolag</t>
        </is>
      </c>
      <c r="G337" t="n">
        <v>2.9</v>
      </c>
      <c r="H337" t="n">
        <v>0</v>
      </c>
      <c r="I337" t="n">
        <v>0</v>
      </c>
      <c r="J337" t="n">
        <v>0</v>
      </c>
      <c r="K337" t="n">
        <v>0</v>
      </c>
      <c r="L337" t="n">
        <v>0</v>
      </c>
      <c r="M337" t="n">
        <v>0</v>
      </c>
      <c r="N337" t="n">
        <v>0</v>
      </c>
      <c r="O337" t="n">
        <v>0</v>
      </c>
      <c r="P337" t="n">
        <v>0</v>
      </c>
      <c r="Q337" t="n">
        <v>0</v>
      </c>
      <c r="R337" s="2" t="inlineStr"/>
    </row>
    <row r="338" ht="15" customHeight="1">
      <c r="A338" t="inlineStr">
        <is>
          <t>A 458-2023</t>
        </is>
      </c>
      <c r="B338" s="1" t="n">
        <v>44929</v>
      </c>
      <c r="C338" s="1" t="n">
        <v>45964</v>
      </c>
      <c r="D338" t="inlineStr">
        <is>
          <t>GOTLANDS LÄN</t>
        </is>
      </c>
      <c r="E338" t="inlineStr">
        <is>
          <t>GOTLAND</t>
        </is>
      </c>
      <c r="G338" t="n">
        <v>3.6</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45964</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13910-2025</t>
        </is>
      </c>
      <c r="B340" s="1" t="n">
        <v>45737</v>
      </c>
      <c r="C340" s="1" t="n">
        <v>45964</v>
      </c>
      <c r="D340" t="inlineStr">
        <is>
          <t>GOTLANDS LÄN</t>
        </is>
      </c>
      <c r="E340" t="inlineStr">
        <is>
          <t>GOTLAND</t>
        </is>
      </c>
      <c r="F340" t="inlineStr">
        <is>
          <t>Kommuner</t>
        </is>
      </c>
      <c r="G340" t="n">
        <v>3.2</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45964</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32330-2024</t>
        </is>
      </c>
      <c r="B342" s="1" t="n">
        <v>45512</v>
      </c>
      <c r="C342" s="1" t="n">
        <v>45964</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20794-2025</t>
        </is>
      </c>
      <c r="B343" s="1" t="n">
        <v>45776</v>
      </c>
      <c r="C343" s="1" t="n">
        <v>45964</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45964</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5891-2025</t>
        </is>
      </c>
      <c r="B345" s="1" t="n">
        <v>45695.38327546296</v>
      </c>
      <c r="C345" s="1" t="n">
        <v>45964</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45964</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20805-2025</t>
        </is>
      </c>
      <c r="B347" s="1" t="n">
        <v>45776</v>
      </c>
      <c r="C347" s="1" t="n">
        <v>45964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45964</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45964</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4990-2025</t>
        </is>
      </c>
      <c r="B350" s="1" t="n">
        <v>45691</v>
      </c>
      <c r="C350" s="1" t="n">
        <v>45964</v>
      </c>
      <c r="D350" t="inlineStr">
        <is>
          <t>GOTLANDS LÄN</t>
        </is>
      </c>
      <c r="E350" t="inlineStr">
        <is>
          <t>GOTLAND</t>
        </is>
      </c>
      <c r="G350" t="n">
        <v>7.7</v>
      </c>
      <c r="H350" t="n">
        <v>0</v>
      </c>
      <c r="I350" t="n">
        <v>0</v>
      </c>
      <c r="J350" t="n">
        <v>0</v>
      </c>
      <c r="K350" t="n">
        <v>0</v>
      </c>
      <c r="L350" t="n">
        <v>0</v>
      </c>
      <c r="M350" t="n">
        <v>0</v>
      </c>
      <c r="N350" t="n">
        <v>0</v>
      </c>
      <c r="O350" t="n">
        <v>0</v>
      </c>
      <c r="P350" t="n">
        <v>0</v>
      </c>
      <c r="Q350" t="n">
        <v>0</v>
      </c>
      <c r="R350" s="2" t="inlineStr"/>
    </row>
    <row r="351" ht="15" customHeight="1">
      <c r="A351" t="inlineStr">
        <is>
          <t>A 21389-2025</t>
        </is>
      </c>
      <c r="B351" s="1" t="n">
        <v>45782</v>
      </c>
      <c r="C351" s="1" t="n">
        <v>45964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14804-2021</t>
        </is>
      </c>
      <c r="B352" s="1" t="n">
        <v>44280</v>
      </c>
      <c r="C352" s="1" t="n">
        <v>45964</v>
      </c>
      <c r="D352" t="inlineStr">
        <is>
          <t>GOTLANDS LÄN</t>
        </is>
      </c>
      <c r="E352" t="inlineStr">
        <is>
          <t>GOTLAND</t>
        </is>
      </c>
      <c r="G352" t="n">
        <v>2.2</v>
      </c>
      <c r="H352" t="n">
        <v>0</v>
      </c>
      <c r="I352" t="n">
        <v>0</v>
      </c>
      <c r="J352" t="n">
        <v>0</v>
      </c>
      <c r="K352" t="n">
        <v>0</v>
      </c>
      <c r="L352" t="n">
        <v>0</v>
      </c>
      <c r="M352" t="n">
        <v>0</v>
      </c>
      <c r="N352" t="n">
        <v>0</v>
      </c>
      <c r="O352" t="n">
        <v>0</v>
      </c>
      <c r="P352" t="n">
        <v>0</v>
      </c>
      <c r="Q352" t="n">
        <v>0</v>
      </c>
      <c r="R352" s="2" t="inlineStr"/>
    </row>
    <row r="353" ht="15" customHeight="1">
      <c r="A353" t="inlineStr">
        <is>
          <t>A 2719-2023</t>
        </is>
      </c>
      <c r="B353" s="1" t="n">
        <v>44944.55361111111</v>
      </c>
      <c r="C353" s="1" t="n">
        <v>45964</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17144-2025</t>
        </is>
      </c>
      <c r="B354" s="1" t="n">
        <v>45755.9499537037</v>
      </c>
      <c r="C354" s="1" t="n">
        <v>45964</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49314-2024</t>
        </is>
      </c>
      <c r="B355" s="1" t="n">
        <v>45595.55893518519</v>
      </c>
      <c r="C355" s="1" t="n">
        <v>45964</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9875-2025</t>
        </is>
      </c>
      <c r="B356" s="1" t="n">
        <v>45716</v>
      </c>
      <c r="C356" s="1" t="n">
        <v>45964</v>
      </c>
      <c r="D356" t="inlineStr">
        <is>
          <t>GOTLANDS LÄN</t>
        </is>
      </c>
      <c r="E356" t="inlineStr">
        <is>
          <t>GOTLAND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38165-2023</t>
        </is>
      </c>
      <c r="B357" s="1" t="n">
        <v>45161</v>
      </c>
      <c r="C357" s="1" t="n">
        <v>45964</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29809-2022</t>
        </is>
      </c>
      <c r="B358" s="1" t="n">
        <v>44755.8713425926</v>
      </c>
      <c r="C358" s="1" t="n">
        <v>45964</v>
      </c>
      <c r="D358" t="inlineStr">
        <is>
          <t>GOTLANDS LÄN</t>
        </is>
      </c>
      <c r="E358" t="inlineStr">
        <is>
          <t>GOTLAND</t>
        </is>
      </c>
      <c r="G358" t="n">
        <v>11.5</v>
      </c>
      <c r="H358" t="n">
        <v>0</v>
      </c>
      <c r="I358" t="n">
        <v>0</v>
      </c>
      <c r="J358" t="n">
        <v>0</v>
      </c>
      <c r="K358" t="n">
        <v>0</v>
      </c>
      <c r="L358" t="n">
        <v>0</v>
      </c>
      <c r="M358" t="n">
        <v>0</v>
      </c>
      <c r="N358" t="n">
        <v>0</v>
      </c>
      <c r="O358" t="n">
        <v>0</v>
      </c>
      <c r="P358" t="n">
        <v>0</v>
      </c>
      <c r="Q358" t="n">
        <v>0</v>
      </c>
      <c r="R358" s="2" t="inlineStr"/>
    </row>
    <row r="359" ht="15" customHeight="1">
      <c r="A359" t="inlineStr">
        <is>
          <t>A 21651-2025</t>
        </is>
      </c>
      <c r="B359" s="1" t="n">
        <v>45783</v>
      </c>
      <c r="C359" s="1" t="n">
        <v>45964</v>
      </c>
      <c r="D359" t="inlineStr">
        <is>
          <t>GOTLANDS LÄN</t>
        </is>
      </c>
      <c r="E359" t="inlineStr">
        <is>
          <t>GOTLAND</t>
        </is>
      </c>
      <c r="G359" t="n">
        <v>4.2</v>
      </c>
      <c r="H359" t="n">
        <v>0</v>
      </c>
      <c r="I359" t="n">
        <v>0</v>
      </c>
      <c r="J359" t="n">
        <v>0</v>
      </c>
      <c r="K359" t="n">
        <v>0</v>
      </c>
      <c r="L359" t="n">
        <v>0</v>
      </c>
      <c r="M359" t="n">
        <v>0</v>
      </c>
      <c r="N359" t="n">
        <v>0</v>
      </c>
      <c r="O359" t="n">
        <v>0</v>
      </c>
      <c r="P359" t="n">
        <v>0</v>
      </c>
      <c r="Q359" t="n">
        <v>0</v>
      </c>
      <c r="R359" s="2" t="inlineStr"/>
    </row>
    <row r="360" ht="15" customHeight="1">
      <c r="A360" t="inlineStr">
        <is>
          <t>A 16361-2024</t>
        </is>
      </c>
      <c r="B360" s="1" t="n">
        <v>45407</v>
      </c>
      <c r="C360" s="1" t="n">
        <v>45964</v>
      </c>
      <c r="D360" t="inlineStr">
        <is>
          <t>GOTLANDS LÄN</t>
        </is>
      </c>
      <c r="E360" t="inlineStr">
        <is>
          <t>GOTLAND</t>
        </is>
      </c>
      <c r="G360" t="n">
        <v>6</v>
      </c>
      <c r="H360" t="n">
        <v>0</v>
      </c>
      <c r="I360" t="n">
        <v>0</v>
      </c>
      <c r="J360" t="n">
        <v>0</v>
      </c>
      <c r="K360" t="n">
        <v>0</v>
      </c>
      <c r="L360" t="n">
        <v>0</v>
      </c>
      <c r="M360" t="n">
        <v>0</v>
      </c>
      <c r="N360" t="n">
        <v>0</v>
      </c>
      <c r="O360" t="n">
        <v>0</v>
      </c>
      <c r="P360" t="n">
        <v>0</v>
      </c>
      <c r="Q360" t="n">
        <v>0</v>
      </c>
      <c r="R360" s="2" t="inlineStr"/>
    </row>
    <row r="361" ht="15" customHeight="1">
      <c r="A361" t="inlineStr">
        <is>
          <t>A 43081-2022</t>
        </is>
      </c>
      <c r="B361" s="1" t="n">
        <v>44833</v>
      </c>
      <c r="C361" s="1" t="n">
        <v>45964</v>
      </c>
      <c r="D361" t="inlineStr">
        <is>
          <t>GOTLANDS LÄN</t>
        </is>
      </c>
      <c r="E361" t="inlineStr">
        <is>
          <t>GOTLAND</t>
        </is>
      </c>
      <c r="G361" t="n">
        <v>6.8</v>
      </c>
      <c r="H361" t="n">
        <v>0</v>
      </c>
      <c r="I361" t="n">
        <v>0</v>
      </c>
      <c r="J361" t="n">
        <v>0</v>
      </c>
      <c r="K361" t="n">
        <v>0</v>
      </c>
      <c r="L361" t="n">
        <v>0</v>
      </c>
      <c r="M361" t="n">
        <v>0</v>
      </c>
      <c r="N361" t="n">
        <v>0</v>
      </c>
      <c r="O361" t="n">
        <v>0</v>
      </c>
      <c r="P361" t="n">
        <v>0</v>
      </c>
      <c r="Q361" t="n">
        <v>0</v>
      </c>
      <c r="R361" s="2" t="inlineStr"/>
    </row>
    <row r="362" ht="15" customHeight="1">
      <c r="A362" t="inlineStr">
        <is>
          <t>A 49693-2023</t>
        </is>
      </c>
      <c r="B362" s="1" t="n">
        <v>45212.38138888889</v>
      </c>
      <c r="C362" s="1" t="n">
        <v>45964</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49697-2023</t>
        </is>
      </c>
      <c r="B363" s="1" t="n">
        <v>45212.38909722222</v>
      </c>
      <c r="C363" s="1" t="n">
        <v>45964</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1175-2025</t>
        </is>
      </c>
      <c r="B364" s="1" t="n">
        <v>45667.34449074074</v>
      </c>
      <c r="C364" s="1" t="n">
        <v>45964</v>
      </c>
      <c r="D364" t="inlineStr">
        <is>
          <t>GOTLANDS LÄN</t>
        </is>
      </c>
      <c r="E364" t="inlineStr">
        <is>
          <t>GOTLAND</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34312-2024</t>
        </is>
      </c>
      <c r="B365" s="1" t="n">
        <v>45524.69703703704</v>
      </c>
      <c r="C365" s="1" t="n">
        <v>45964</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42201-2023</t>
        </is>
      </c>
      <c r="B366" s="1" t="n">
        <v>45179</v>
      </c>
      <c r="C366" s="1" t="n">
        <v>45964</v>
      </c>
      <c r="D366" t="inlineStr">
        <is>
          <t>GOTLANDS LÄN</t>
        </is>
      </c>
      <c r="E366" t="inlineStr">
        <is>
          <t>GOTLAND</t>
        </is>
      </c>
      <c r="G366" t="n">
        <v>11.9</v>
      </c>
      <c r="H366" t="n">
        <v>0</v>
      </c>
      <c r="I366" t="n">
        <v>0</v>
      </c>
      <c r="J366" t="n">
        <v>0</v>
      </c>
      <c r="K366" t="n">
        <v>0</v>
      </c>
      <c r="L366" t="n">
        <v>0</v>
      </c>
      <c r="M366" t="n">
        <v>0</v>
      </c>
      <c r="N366" t="n">
        <v>0</v>
      </c>
      <c r="O366" t="n">
        <v>0</v>
      </c>
      <c r="P366" t="n">
        <v>0</v>
      </c>
      <c r="Q366" t="n">
        <v>0</v>
      </c>
      <c r="R366" s="2" t="inlineStr"/>
    </row>
    <row r="367" ht="15" customHeight="1">
      <c r="A367" t="inlineStr">
        <is>
          <t>A 3150-2025</t>
        </is>
      </c>
      <c r="B367" s="1" t="n">
        <v>45679.28974537037</v>
      </c>
      <c r="C367" s="1" t="n">
        <v>45964</v>
      </c>
      <c r="D367" t="inlineStr">
        <is>
          <t>GOTLANDS LÄN</t>
        </is>
      </c>
      <c r="E367" t="inlineStr">
        <is>
          <t>GOTLAND</t>
        </is>
      </c>
      <c r="G367" t="n">
        <v>2.5</v>
      </c>
      <c r="H367" t="n">
        <v>0</v>
      </c>
      <c r="I367" t="n">
        <v>0</v>
      </c>
      <c r="J367" t="n">
        <v>0</v>
      </c>
      <c r="K367" t="n">
        <v>0</v>
      </c>
      <c r="L367" t="n">
        <v>0</v>
      </c>
      <c r="M367" t="n">
        <v>0</v>
      </c>
      <c r="N367" t="n">
        <v>0</v>
      </c>
      <c r="O367" t="n">
        <v>0</v>
      </c>
      <c r="P367" t="n">
        <v>0</v>
      </c>
      <c r="Q367" t="n">
        <v>0</v>
      </c>
      <c r="R367" s="2" t="inlineStr"/>
    </row>
    <row r="368" ht="15" customHeight="1">
      <c r="A368" t="inlineStr">
        <is>
          <t>A 48503-2023</t>
        </is>
      </c>
      <c r="B368" s="1" t="n">
        <v>45207</v>
      </c>
      <c r="C368" s="1" t="n">
        <v>45964</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21420-2024</t>
        </is>
      </c>
      <c r="B369" s="1" t="n">
        <v>45441.38293981482</v>
      </c>
      <c r="C369" s="1" t="n">
        <v>45964</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10656-2024</t>
        </is>
      </c>
      <c r="B370" s="1" t="n">
        <v>45368</v>
      </c>
      <c r="C370" s="1" t="n">
        <v>45964</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57356-2023</t>
        </is>
      </c>
      <c r="B371" s="1" t="n">
        <v>45240</v>
      </c>
      <c r="C371" s="1" t="n">
        <v>45964</v>
      </c>
      <c r="D371" t="inlineStr">
        <is>
          <t>GOTLANDS LÄN</t>
        </is>
      </c>
      <c r="E371" t="inlineStr">
        <is>
          <t>GOTLAND</t>
        </is>
      </c>
      <c r="G371" t="n">
        <v>6.4</v>
      </c>
      <c r="H371" t="n">
        <v>0</v>
      </c>
      <c r="I371" t="n">
        <v>0</v>
      </c>
      <c r="J371" t="n">
        <v>0</v>
      </c>
      <c r="K371" t="n">
        <v>0</v>
      </c>
      <c r="L371" t="n">
        <v>0</v>
      </c>
      <c r="M371" t="n">
        <v>0</v>
      </c>
      <c r="N371" t="n">
        <v>0</v>
      </c>
      <c r="O371" t="n">
        <v>0</v>
      </c>
      <c r="P371" t="n">
        <v>0</v>
      </c>
      <c r="Q371" t="n">
        <v>0</v>
      </c>
      <c r="R371" s="2" t="inlineStr"/>
    </row>
    <row r="372" ht="15" customHeight="1">
      <c r="A372" t="inlineStr">
        <is>
          <t>A 28506-2023</t>
        </is>
      </c>
      <c r="B372" s="1" t="n">
        <v>45103</v>
      </c>
      <c r="C372" s="1" t="n">
        <v>45964</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24825-2024</t>
        </is>
      </c>
      <c r="B373" s="1" t="n">
        <v>45461</v>
      </c>
      <c r="C373" s="1" t="n">
        <v>45964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23188-2025</t>
        </is>
      </c>
      <c r="B374" s="1" t="n">
        <v>45791</v>
      </c>
      <c r="C374" s="1" t="n">
        <v>45964</v>
      </c>
      <c r="D374" t="inlineStr">
        <is>
          <t>GOTLANDS LÄN</t>
        </is>
      </c>
      <c r="E374" t="inlineStr">
        <is>
          <t>GOTLAND</t>
        </is>
      </c>
      <c r="G374" t="n">
        <v>6.2</v>
      </c>
      <c r="H374" t="n">
        <v>0</v>
      </c>
      <c r="I374" t="n">
        <v>0</v>
      </c>
      <c r="J374" t="n">
        <v>0</v>
      </c>
      <c r="K374" t="n">
        <v>0</v>
      </c>
      <c r="L374" t="n">
        <v>0</v>
      </c>
      <c r="M374" t="n">
        <v>0</v>
      </c>
      <c r="N374" t="n">
        <v>0</v>
      </c>
      <c r="O374" t="n">
        <v>0</v>
      </c>
      <c r="P374" t="n">
        <v>0</v>
      </c>
      <c r="Q374" t="n">
        <v>0</v>
      </c>
      <c r="R374" s="2" t="inlineStr"/>
    </row>
    <row r="375" ht="15" customHeight="1">
      <c r="A375" t="inlineStr">
        <is>
          <t>A 42041-2024</t>
        </is>
      </c>
      <c r="B375" s="1" t="n">
        <v>45561</v>
      </c>
      <c r="C375" s="1" t="n">
        <v>45964</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22031-2024</t>
        </is>
      </c>
      <c r="B376" s="1" t="n">
        <v>45443.60075231481</v>
      </c>
      <c r="C376" s="1" t="n">
        <v>45964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17688-2024</t>
        </is>
      </c>
      <c r="B377" s="1" t="n">
        <v>45418.43575231481</v>
      </c>
      <c r="C377" s="1" t="n">
        <v>45964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13498-2022</t>
        </is>
      </c>
      <c r="B378" s="1" t="n">
        <v>44647.78866898148</v>
      </c>
      <c r="C378" s="1" t="n">
        <v>45964</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13500-2022</t>
        </is>
      </c>
      <c r="B379" s="1" t="n">
        <v>44647.79513888889</v>
      </c>
      <c r="C379" s="1" t="n">
        <v>45964</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23856-2025</t>
        </is>
      </c>
      <c r="B380" s="1" t="n">
        <v>45793</v>
      </c>
      <c r="C380" s="1" t="n">
        <v>45964</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23473-2025</t>
        </is>
      </c>
      <c r="B381" s="1" t="n">
        <v>45792</v>
      </c>
      <c r="C381" s="1" t="n">
        <v>45964</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27694-2024</t>
        </is>
      </c>
      <c r="B382" s="1" t="n">
        <v>45475</v>
      </c>
      <c r="C382" s="1" t="n">
        <v>45964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23698-2025</t>
        </is>
      </c>
      <c r="B383" s="1" t="n">
        <v>45793</v>
      </c>
      <c r="C383" s="1" t="n">
        <v>45964</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15436-2025</t>
        </is>
      </c>
      <c r="B384" s="1" t="n">
        <v>45747.47462962963</v>
      </c>
      <c r="C384" s="1" t="n">
        <v>45964</v>
      </c>
      <c r="D384" t="inlineStr">
        <is>
          <t>GOTLANDS LÄN</t>
        </is>
      </c>
      <c r="E384" t="inlineStr">
        <is>
          <t>GOTLAND</t>
        </is>
      </c>
      <c r="G384" t="n">
        <v>4.1</v>
      </c>
      <c r="H384" t="n">
        <v>0</v>
      </c>
      <c r="I384" t="n">
        <v>0</v>
      </c>
      <c r="J384" t="n">
        <v>0</v>
      </c>
      <c r="K384" t="n">
        <v>0</v>
      </c>
      <c r="L384" t="n">
        <v>0</v>
      </c>
      <c r="M384" t="n">
        <v>0</v>
      </c>
      <c r="N384" t="n">
        <v>0</v>
      </c>
      <c r="O384" t="n">
        <v>0</v>
      </c>
      <c r="P384" t="n">
        <v>0</v>
      </c>
      <c r="Q384" t="n">
        <v>0</v>
      </c>
      <c r="R384" s="2" t="inlineStr"/>
    </row>
    <row r="385" ht="15" customHeight="1">
      <c r="A385" t="inlineStr">
        <is>
          <t>A 39764-2022</t>
        </is>
      </c>
      <c r="B385" s="1" t="n">
        <v>44819</v>
      </c>
      <c r="C385" s="1" t="n">
        <v>45964</v>
      </c>
      <c r="D385" t="inlineStr">
        <is>
          <t>GOTLANDS LÄN</t>
        </is>
      </c>
      <c r="E385" t="inlineStr">
        <is>
          <t>GOTLAND</t>
        </is>
      </c>
      <c r="F385" t="inlineStr">
        <is>
          <t>Kyrkan</t>
        </is>
      </c>
      <c r="G385" t="n">
        <v>3.7</v>
      </c>
      <c r="H385" t="n">
        <v>0</v>
      </c>
      <c r="I385" t="n">
        <v>0</v>
      </c>
      <c r="J385" t="n">
        <v>0</v>
      </c>
      <c r="K385" t="n">
        <v>0</v>
      </c>
      <c r="L385" t="n">
        <v>0</v>
      </c>
      <c r="M385" t="n">
        <v>0</v>
      </c>
      <c r="N385" t="n">
        <v>0</v>
      </c>
      <c r="O385" t="n">
        <v>0</v>
      </c>
      <c r="P385" t="n">
        <v>0</v>
      </c>
      <c r="Q385" t="n">
        <v>0</v>
      </c>
      <c r="R385" s="2" t="inlineStr"/>
    </row>
    <row r="386" ht="15" customHeight="1">
      <c r="A386" t="inlineStr">
        <is>
          <t>A 15073-2025</t>
        </is>
      </c>
      <c r="B386" s="1" t="n">
        <v>45743</v>
      </c>
      <c r="C386" s="1" t="n">
        <v>45964</v>
      </c>
      <c r="D386" t="inlineStr">
        <is>
          <t>GOTLANDS LÄN</t>
        </is>
      </c>
      <c r="E386" t="inlineStr">
        <is>
          <t>GOTLAND</t>
        </is>
      </c>
      <c r="G386" t="n">
        <v>12.1</v>
      </c>
      <c r="H386" t="n">
        <v>0</v>
      </c>
      <c r="I386" t="n">
        <v>0</v>
      </c>
      <c r="J386" t="n">
        <v>0</v>
      </c>
      <c r="K386" t="n">
        <v>0</v>
      </c>
      <c r="L386" t="n">
        <v>0</v>
      </c>
      <c r="M386" t="n">
        <v>0</v>
      </c>
      <c r="N386" t="n">
        <v>0</v>
      </c>
      <c r="O386" t="n">
        <v>0</v>
      </c>
      <c r="P386" t="n">
        <v>0</v>
      </c>
      <c r="Q386" t="n">
        <v>0</v>
      </c>
      <c r="R386" s="2" t="inlineStr"/>
    </row>
    <row r="387" ht="15" customHeight="1">
      <c r="A387" t="inlineStr">
        <is>
          <t>A 6099-2024</t>
        </is>
      </c>
      <c r="B387" s="1" t="n">
        <v>45337</v>
      </c>
      <c r="C387" s="1" t="n">
        <v>45964</v>
      </c>
      <c r="D387" t="inlineStr">
        <is>
          <t>GOTLANDS LÄN</t>
        </is>
      </c>
      <c r="E387" t="inlineStr">
        <is>
          <t>GOTLAND</t>
        </is>
      </c>
      <c r="G387" t="n">
        <v>12.6</v>
      </c>
      <c r="H387" t="n">
        <v>0</v>
      </c>
      <c r="I387" t="n">
        <v>0</v>
      </c>
      <c r="J387" t="n">
        <v>0</v>
      </c>
      <c r="K387" t="n">
        <v>0</v>
      </c>
      <c r="L387" t="n">
        <v>0</v>
      </c>
      <c r="M387" t="n">
        <v>0</v>
      </c>
      <c r="N387" t="n">
        <v>0</v>
      </c>
      <c r="O387" t="n">
        <v>0</v>
      </c>
      <c r="P387" t="n">
        <v>0</v>
      </c>
      <c r="Q387" t="n">
        <v>0</v>
      </c>
      <c r="R387" s="2" t="inlineStr"/>
    </row>
    <row r="388" ht="15" customHeight="1">
      <c r="A388" t="inlineStr">
        <is>
          <t>A 8260-2023</t>
        </is>
      </c>
      <c r="B388" s="1" t="n">
        <v>44974.61608796296</v>
      </c>
      <c r="C388" s="1" t="n">
        <v>45964</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21247-2022</t>
        </is>
      </c>
      <c r="B389" s="1" t="n">
        <v>44705.38832175926</v>
      </c>
      <c r="C389" s="1" t="n">
        <v>45964</v>
      </c>
      <c r="D389" t="inlineStr">
        <is>
          <t>GOTLANDS LÄN</t>
        </is>
      </c>
      <c r="E389" t="inlineStr">
        <is>
          <t>GOTLAND</t>
        </is>
      </c>
      <c r="G389" t="n">
        <v>16.2</v>
      </c>
      <c r="H389" t="n">
        <v>0</v>
      </c>
      <c r="I389" t="n">
        <v>0</v>
      </c>
      <c r="J389" t="n">
        <v>0</v>
      </c>
      <c r="K389" t="n">
        <v>0</v>
      </c>
      <c r="L389" t="n">
        <v>0</v>
      </c>
      <c r="M389" t="n">
        <v>0</v>
      </c>
      <c r="N389" t="n">
        <v>0</v>
      </c>
      <c r="O389" t="n">
        <v>0</v>
      </c>
      <c r="P389" t="n">
        <v>0</v>
      </c>
      <c r="Q389" t="n">
        <v>0</v>
      </c>
      <c r="R389" s="2" t="inlineStr"/>
    </row>
    <row r="390" ht="15" customHeight="1">
      <c r="A390" t="inlineStr">
        <is>
          <t>A 22287-2022</t>
        </is>
      </c>
      <c r="B390" s="1" t="n">
        <v>44712</v>
      </c>
      <c r="C390" s="1" t="n">
        <v>45964</v>
      </c>
      <c r="D390" t="inlineStr">
        <is>
          <t>GOTLANDS LÄN</t>
        </is>
      </c>
      <c r="E390" t="inlineStr">
        <is>
          <t>GOTLAND</t>
        </is>
      </c>
      <c r="G390" t="n">
        <v>6.1</v>
      </c>
      <c r="H390" t="n">
        <v>0</v>
      </c>
      <c r="I390" t="n">
        <v>0</v>
      </c>
      <c r="J390" t="n">
        <v>0</v>
      </c>
      <c r="K390" t="n">
        <v>0</v>
      </c>
      <c r="L390" t="n">
        <v>0</v>
      </c>
      <c r="M390" t="n">
        <v>0</v>
      </c>
      <c r="N390" t="n">
        <v>0</v>
      </c>
      <c r="O390" t="n">
        <v>0</v>
      </c>
      <c r="P390" t="n">
        <v>0</v>
      </c>
      <c r="Q390" t="n">
        <v>0</v>
      </c>
      <c r="R390" s="2" t="inlineStr"/>
    </row>
    <row r="391" ht="15" customHeight="1">
      <c r="A391" t="inlineStr">
        <is>
          <t>A 57534-2022</t>
        </is>
      </c>
      <c r="B391" s="1" t="n">
        <v>44896</v>
      </c>
      <c r="C391" s="1" t="n">
        <v>45964</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6749-2025</t>
        </is>
      </c>
      <c r="B392" s="1" t="n">
        <v>45700</v>
      </c>
      <c r="C392" s="1" t="n">
        <v>45964</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17780-2022</t>
        </is>
      </c>
      <c r="B393" s="1" t="n">
        <v>44682.82622685185</v>
      </c>
      <c r="C393" s="1" t="n">
        <v>45964</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63516-2023</t>
        </is>
      </c>
      <c r="B394" s="1" t="n">
        <v>45274</v>
      </c>
      <c r="C394" s="1" t="n">
        <v>45964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45964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53935-2024</t>
        </is>
      </c>
      <c r="B396" s="1" t="n">
        <v>45615</v>
      </c>
      <c r="C396" s="1" t="n">
        <v>45964</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64660-2023</t>
        </is>
      </c>
      <c r="B397" s="1" t="n">
        <v>45281.60122685185</v>
      </c>
      <c r="C397" s="1" t="n">
        <v>45964</v>
      </c>
      <c r="D397" t="inlineStr">
        <is>
          <t>GOTLANDS LÄN</t>
        </is>
      </c>
      <c r="E397" t="inlineStr">
        <is>
          <t>GOTLAND</t>
        </is>
      </c>
      <c r="G397" t="n">
        <v>6.3</v>
      </c>
      <c r="H397" t="n">
        <v>0</v>
      </c>
      <c r="I397" t="n">
        <v>0</v>
      </c>
      <c r="J397" t="n">
        <v>0</v>
      </c>
      <c r="K397" t="n">
        <v>0</v>
      </c>
      <c r="L397" t="n">
        <v>0</v>
      </c>
      <c r="M397" t="n">
        <v>0</v>
      </c>
      <c r="N397" t="n">
        <v>0</v>
      </c>
      <c r="O397" t="n">
        <v>0</v>
      </c>
      <c r="P397" t="n">
        <v>0</v>
      </c>
      <c r="Q397" t="n">
        <v>0</v>
      </c>
      <c r="R397" s="2" t="inlineStr"/>
    </row>
    <row r="398" ht="15" customHeight="1">
      <c r="A398" t="inlineStr">
        <is>
          <t>A 69112-2021</t>
        </is>
      </c>
      <c r="B398" s="1" t="n">
        <v>44530</v>
      </c>
      <c r="C398" s="1" t="n">
        <v>45964</v>
      </c>
      <c r="D398" t="inlineStr">
        <is>
          <t>GOTLANDS LÄN</t>
        </is>
      </c>
      <c r="E398" t="inlineStr">
        <is>
          <t>GOTLAND</t>
        </is>
      </c>
      <c r="G398" t="n">
        <v>4.2</v>
      </c>
      <c r="H398" t="n">
        <v>0</v>
      </c>
      <c r="I398" t="n">
        <v>0</v>
      </c>
      <c r="J398" t="n">
        <v>0</v>
      </c>
      <c r="K398" t="n">
        <v>0</v>
      </c>
      <c r="L398" t="n">
        <v>0</v>
      </c>
      <c r="M398" t="n">
        <v>0</v>
      </c>
      <c r="N398" t="n">
        <v>0</v>
      </c>
      <c r="O398" t="n">
        <v>0</v>
      </c>
      <c r="P398" t="n">
        <v>0</v>
      </c>
      <c r="Q398" t="n">
        <v>0</v>
      </c>
      <c r="R398" s="2" t="inlineStr"/>
    </row>
    <row r="399" ht="15" customHeight="1">
      <c r="A399" t="inlineStr">
        <is>
          <t>A 48734-2022</t>
        </is>
      </c>
      <c r="B399" s="1" t="n">
        <v>44855</v>
      </c>
      <c r="C399" s="1" t="n">
        <v>45964</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23516-2023</t>
        </is>
      </c>
      <c r="B400" s="1" t="n">
        <v>45076.93391203704</v>
      </c>
      <c r="C400" s="1" t="n">
        <v>45964</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43231-2023</t>
        </is>
      </c>
      <c r="B401" s="1" t="n">
        <v>45183.47025462963</v>
      </c>
      <c r="C401" s="1" t="n">
        <v>45964</v>
      </c>
      <c r="D401" t="inlineStr">
        <is>
          <t>GOTLANDS LÄN</t>
        </is>
      </c>
      <c r="E401" t="inlineStr">
        <is>
          <t>GOTLAND</t>
        </is>
      </c>
      <c r="G401" t="n">
        <v>3.6</v>
      </c>
      <c r="H401" t="n">
        <v>0</v>
      </c>
      <c r="I401" t="n">
        <v>0</v>
      </c>
      <c r="J401" t="n">
        <v>0</v>
      </c>
      <c r="K401" t="n">
        <v>0</v>
      </c>
      <c r="L401" t="n">
        <v>0</v>
      </c>
      <c r="M401" t="n">
        <v>0</v>
      </c>
      <c r="N401" t="n">
        <v>0</v>
      </c>
      <c r="O401" t="n">
        <v>0</v>
      </c>
      <c r="P401" t="n">
        <v>0</v>
      </c>
      <c r="Q401" t="n">
        <v>0</v>
      </c>
      <c r="R401" s="2" t="inlineStr"/>
    </row>
    <row r="402" ht="15" customHeight="1">
      <c r="A402" t="inlineStr">
        <is>
          <t>A 58230-2024</t>
        </is>
      </c>
      <c r="B402" s="1" t="n">
        <v>45632.51625</v>
      </c>
      <c r="C402" s="1" t="n">
        <v>45964</v>
      </c>
      <c r="D402" t="inlineStr">
        <is>
          <t>GOTLANDS LÄN</t>
        </is>
      </c>
      <c r="E402" t="inlineStr">
        <is>
          <t>GOTLAND</t>
        </is>
      </c>
      <c r="G402" t="n">
        <v>7.3</v>
      </c>
      <c r="H402" t="n">
        <v>0</v>
      </c>
      <c r="I402" t="n">
        <v>0</v>
      </c>
      <c r="J402" t="n">
        <v>0</v>
      </c>
      <c r="K402" t="n">
        <v>0</v>
      </c>
      <c r="L402" t="n">
        <v>0</v>
      </c>
      <c r="M402" t="n">
        <v>0</v>
      </c>
      <c r="N402" t="n">
        <v>0</v>
      </c>
      <c r="O402" t="n">
        <v>0</v>
      </c>
      <c r="P402" t="n">
        <v>0</v>
      </c>
      <c r="Q402" t="n">
        <v>0</v>
      </c>
      <c r="R402" s="2" t="inlineStr"/>
    </row>
    <row r="403" ht="15" customHeight="1">
      <c r="A403" t="inlineStr">
        <is>
          <t>A 64555-2023</t>
        </is>
      </c>
      <c r="B403" s="1" t="n">
        <v>45281</v>
      </c>
      <c r="C403" s="1" t="n">
        <v>45964</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457-2023</t>
        </is>
      </c>
      <c r="B404" s="1" t="n">
        <v>44929.87238425926</v>
      </c>
      <c r="C404" s="1" t="n">
        <v>45964</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459-2023</t>
        </is>
      </c>
      <c r="B405" s="1" t="n">
        <v>44929.87423611111</v>
      </c>
      <c r="C405" s="1" t="n">
        <v>45964</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20855-2023</t>
        </is>
      </c>
      <c r="B406" s="1" t="n">
        <v>45058.82172453704</v>
      </c>
      <c r="C406" s="1" t="n">
        <v>45964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25796-2025</t>
        </is>
      </c>
      <c r="B407" s="1" t="n">
        <v>45804.39543981481</v>
      </c>
      <c r="C407" s="1" t="n">
        <v>45964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876-2024</t>
        </is>
      </c>
      <c r="B408" s="1" t="n">
        <v>45301</v>
      </c>
      <c r="C408" s="1" t="n">
        <v>45964</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26891-2024</t>
        </is>
      </c>
      <c r="B409" s="1" t="n">
        <v>45470.65540509259</v>
      </c>
      <c r="C409" s="1" t="n">
        <v>45964</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44279.66168981481</v>
      </c>
      <c r="C410" s="1" t="n">
        <v>45964</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60709-2023</t>
        </is>
      </c>
      <c r="B411" s="1" t="n">
        <v>45260</v>
      </c>
      <c r="C411" s="1" t="n">
        <v>45964</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5923-2023</t>
        </is>
      </c>
      <c r="B412" s="1" t="n">
        <v>44963.69503472222</v>
      </c>
      <c r="C412" s="1" t="n">
        <v>45964</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1000-2024</t>
        </is>
      </c>
      <c r="B413" s="1" t="n">
        <v>45301.63371527778</v>
      </c>
      <c r="C413" s="1" t="n">
        <v>45964</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1010-2024</t>
        </is>
      </c>
      <c r="B414" s="1" t="n">
        <v>45301</v>
      </c>
      <c r="C414" s="1" t="n">
        <v>45964</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50482-2024</t>
        </is>
      </c>
      <c r="B415" s="1" t="n">
        <v>45601.48114583334</v>
      </c>
      <c r="C415" s="1" t="n">
        <v>45964</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65249-2023</t>
        </is>
      </c>
      <c r="B416" s="1" t="n">
        <v>45290</v>
      </c>
      <c r="C416" s="1" t="n">
        <v>45964</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45964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5943-2024</t>
        </is>
      </c>
      <c r="B418" s="1" t="n">
        <v>45336</v>
      </c>
      <c r="C418" s="1" t="n">
        <v>45964</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26465-2025</t>
        </is>
      </c>
      <c r="B419" s="1" t="n">
        <v>45807.44377314814</v>
      </c>
      <c r="C419" s="1" t="n">
        <v>45964</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30956-2024</t>
        </is>
      </c>
      <c r="B420" s="1" t="n">
        <v>45499.42527777778</v>
      </c>
      <c r="C420" s="1" t="n">
        <v>45964</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26457-2025</t>
        </is>
      </c>
      <c r="B421" s="1" t="n">
        <v>45807.42773148148</v>
      </c>
      <c r="C421" s="1" t="n">
        <v>45964</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26467-2025</t>
        </is>
      </c>
      <c r="B422" s="1" t="n">
        <v>45807.44640046296</v>
      </c>
      <c r="C422" s="1" t="n">
        <v>45964</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12596-2023</t>
        </is>
      </c>
      <c r="B423" s="1" t="n">
        <v>45000.43310185185</v>
      </c>
      <c r="C423" s="1" t="n">
        <v>45964</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38234-2023</t>
        </is>
      </c>
      <c r="B424" s="1" t="n">
        <v>45161.56663194444</v>
      </c>
      <c r="C424" s="1" t="n">
        <v>45964</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8045-2022</t>
        </is>
      </c>
      <c r="B425" s="1" t="n">
        <v>44609</v>
      </c>
      <c r="C425" s="1" t="n">
        <v>45964</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1273-2023</t>
        </is>
      </c>
      <c r="B426" s="1" t="n">
        <v>44936</v>
      </c>
      <c r="C426" s="1" t="n">
        <v>45964</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45964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26660-2025</t>
        </is>
      </c>
      <c r="B428" s="1" t="n">
        <v>45810.39737268518</v>
      </c>
      <c r="C428" s="1" t="n">
        <v>45964</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27355-2025</t>
        </is>
      </c>
      <c r="B429" s="1" t="n">
        <v>45812</v>
      </c>
      <c r="C429" s="1" t="n">
        <v>45964</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999-2024</t>
        </is>
      </c>
      <c r="B430" s="1" t="n">
        <v>45301</v>
      </c>
      <c r="C430" s="1" t="n">
        <v>45964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65901-2021</t>
        </is>
      </c>
      <c r="B431" s="1" t="n">
        <v>44516</v>
      </c>
      <c r="C431" s="1" t="n">
        <v>45964</v>
      </c>
      <c r="D431" t="inlineStr">
        <is>
          <t>GOTLANDS LÄN</t>
        </is>
      </c>
      <c r="E431" t="inlineStr">
        <is>
          <t>GOTLAND</t>
        </is>
      </c>
      <c r="G431" t="n">
        <v>4.9</v>
      </c>
      <c r="H431" t="n">
        <v>0</v>
      </c>
      <c r="I431" t="n">
        <v>0</v>
      </c>
      <c r="J431" t="n">
        <v>0</v>
      </c>
      <c r="K431" t="n">
        <v>0</v>
      </c>
      <c r="L431" t="n">
        <v>0</v>
      </c>
      <c r="M431" t="n">
        <v>0</v>
      </c>
      <c r="N431" t="n">
        <v>0</v>
      </c>
      <c r="O431" t="n">
        <v>0</v>
      </c>
      <c r="P431" t="n">
        <v>0</v>
      </c>
      <c r="Q431" t="n">
        <v>0</v>
      </c>
      <c r="R431" s="2" t="inlineStr"/>
    </row>
    <row r="432" ht="15" customHeight="1">
      <c r="A432" t="inlineStr">
        <is>
          <t>A 17724-2024</t>
        </is>
      </c>
      <c r="B432" s="1" t="n">
        <v>45418.55096064815</v>
      </c>
      <c r="C432" s="1" t="n">
        <v>45964</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27371-2025</t>
        </is>
      </c>
      <c r="B433" s="1" t="n">
        <v>45812</v>
      </c>
      <c r="C433" s="1" t="n">
        <v>45964</v>
      </c>
      <c r="D433" t="inlineStr">
        <is>
          <t>GOTLANDS LÄN</t>
        </is>
      </c>
      <c r="E433" t="inlineStr">
        <is>
          <t>GOTLAND</t>
        </is>
      </c>
      <c r="G433" t="n">
        <v>8</v>
      </c>
      <c r="H433" t="n">
        <v>0</v>
      </c>
      <c r="I433" t="n">
        <v>0</v>
      </c>
      <c r="J433" t="n">
        <v>0</v>
      </c>
      <c r="K433" t="n">
        <v>0</v>
      </c>
      <c r="L433" t="n">
        <v>0</v>
      </c>
      <c r="M433" t="n">
        <v>0</v>
      </c>
      <c r="N433" t="n">
        <v>0</v>
      </c>
      <c r="O433" t="n">
        <v>0</v>
      </c>
      <c r="P433" t="n">
        <v>0</v>
      </c>
      <c r="Q433" t="n">
        <v>0</v>
      </c>
      <c r="R433" s="2" t="inlineStr"/>
    </row>
    <row r="434" ht="15" customHeight="1">
      <c r="A434" t="inlineStr">
        <is>
          <t>A 47762-2023</t>
        </is>
      </c>
      <c r="B434" s="1" t="n">
        <v>45203.86256944444</v>
      </c>
      <c r="C434" s="1" t="n">
        <v>45964</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23978-2023</t>
        </is>
      </c>
      <c r="B435" s="1" t="n">
        <v>45078</v>
      </c>
      <c r="C435" s="1" t="n">
        <v>45964</v>
      </c>
      <c r="D435" t="inlineStr">
        <is>
          <t>GOTLANDS LÄN</t>
        </is>
      </c>
      <c r="E435" t="inlineStr">
        <is>
          <t>GOTLAND</t>
        </is>
      </c>
      <c r="F435" t="inlineStr">
        <is>
          <t>Naturvårdsverket</t>
        </is>
      </c>
      <c r="G435" t="n">
        <v>1.7</v>
      </c>
      <c r="H435" t="n">
        <v>0</v>
      </c>
      <c r="I435" t="n">
        <v>0</v>
      </c>
      <c r="J435" t="n">
        <v>0</v>
      </c>
      <c r="K435" t="n">
        <v>0</v>
      </c>
      <c r="L435" t="n">
        <v>0</v>
      </c>
      <c r="M435" t="n">
        <v>0</v>
      </c>
      <c r="N435" t="n">
        <v>0</v>
      </c>
      <c r="O435" t="n">
        <v>0</v>
      </c>
      <c r="P435" t="n">
        <v>0</v>
      </c>
      <c r="Q435" t="n">
        <v>0</v>
      </c>
      <c r="R435" s="2" t="inlineStr"/>
    </row>
    <row r="436" ht="15" customHeight="1">
      <c r="A436" t="inlineStr">
        <is>
          <t>A 49884-2023</t>
        </is>
      </c>
      <c r="B436" s="1" t="n">
        <v>45213</v>
      </c>
      <c r="C436" s="1" t="n">
        <v>45964</v>
      </c>
      <c r="D436" t="inlineStr">
        <is>
          <t>GOTLANDS LÄN</t>
        </is>
      </c>
      <c r="E436" t="inlineStr">
        <is>
          <t>GOTLAND</t>
        </is>
      </c>
      <c r="G436" t="n">
        <v>8.9</v>
      </c>
      <c r="H436" t="n">
        <v>0</v>
      </c>
      <c r="I436" t="n">
        <v>0</v>
      </c>
      <c r="J436" t="n">
        <v>0</v>
      </c>
      <c r="K436" t="n">
        <v>0</v>
      </c>
      <c r="L436" t="n">
        <v>0</v>
      </c>
      <c r="M436" t="n">
        <v>0</v>
      </c>
      <c r="N436" t="n">
        <v>0</v>
      </c>
      <c r="O436" t="n">
        <v>0</v>
      </c>
      <c r="P436" t="n">
        <v>0</v>
      </c>
      <c r="Q436" t="n">
        <v>0</v>
      </c>
      <c r="R436" s="2" t="inlineStr"/>
    </row>
    <row r="437" ht="15" customHeight="1">
      <c r="A437" t="inlineStr">
        <is>
          <t>A 12846-2025</t>
        </is>
      </c>
      <c r="B437" s="1" t="n">
        <v>45733.65049768519</v>
      </c>
      <c r="C437" s="1" t="n">
        <v>45964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45964</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27602-2023</t>
        </is>
      </c>
      <c r="B439" s="1" t="n">
        <v>45097</v>
      </c>
      <c r="C439" s="1" t="n">
        <v>45964</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43200-2023</t>
        </is>
      </c>
      <c r="B440" s="1" t="n">
        <v>45183</v>
      </c>
      <c r="C440" s="1" t="n">
        <v>45964</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58780-2024</t>
        </is>
      </c>
      <c r="B441" s="1" t="n">
        <v>45635.84113425926</v>
      </c>
      <c r="C441" s="1" t="n">
        <v>45964</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45964</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7850-2025</t>
        </is>
      </c>
      <c r="B443" s="1" t="n">
        <v>45706</v>
      </c>
      <c r="C443" s="1" t="n">
        <v>45964</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6739-2025</t>
        </is>
      </c>
      <c r="B444" s="1" t="n">
        <v>45700</v>
      </c>
      <c r="C444" s="1" t="n">
        <v>45964</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3935-2025</t>
        </is>
      </c>
      <c r="B445" s="1" t="n">
        <v>45684.46070601852</v>
      </c>
      <c r="C445" s="1" t="n">
        <v>45964</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45964</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30282-2022</t>
        </is>
      </c>
      <c r="B447" s="1" t="n">
        <v>44760</v>
      </c>
      <c r="C447" s="1" t="n">
        <v>45964</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7835-2024</t>
        </is>
      </c>
      <c r="B448" s="1" t="n">
        <v>45349.83138888889</v>
      </c>
      <c r="C448" s="1" t="n">
        <v>45964</v>
      </c>
      <c r="D448" t="inlineStr">
        <is>
          <t>GOTLANDS LÄN</t>
        </is>
      </c>
      <c r="E448" t="inlineStr">
        <is>
          <t>GOTLAND</t>
        </is>
      </c>
      <c r="G448" t="n">
        <v>3.8</v>
      </c>
      <c r="H448" t="n">
        <v>0</v>
      </c>
      <c r="I448" t="n">
        <v>0</v>
      </c>
      <c r="J448" t="n">
        <v>0</v>
      </c>
      <c r="K448" t="n">
        <v>0</v>
      </c>
      <c r="L448" t="n">
        <v>0</v>
      </c>
      <c r="M448" t="n">
        <v>0</v>
      </c>
      <c r="N448" t="n">
        <v>0</v>
      </c>
      <c r="O448" t="n">
        <v>0</v>
      </c>
      <c r="P448" t="n">
        <v>0</v>
      </c>
      <c r="Q448" t="n">
        <v>0</v>
      </c>
      <c r="R448" s="2" t="inlineStr"/>
    </row>
    <row r="449" ht="15" customHeight="1">
      <c r="A449" t="inlineStr">
        <is>
          <t>A 8444-2025</t>
        </is>
      </c>
      <c r="B449" s="1" t="n">
        <v>45709</v>
      </c>
      <c r="C449" s="1" t="n">
        <v>45964</v>
      </c>
      <c r="D449" t="inlineStr">
        <is>
          <t>GOTLANDS LÄN</t>
        </is>
      </c>
      <c r="E449" t="inlineStr">
        <is>
          <t>GOTLAND</t>
        </is>
      </c>
      <c r="G449" t="n">
        <v>5.2</v>
      </c>
      <c r="H449" t="n">
        <v>0</v>
      </c>
      <c r="I449" t="n">
        <v>0</v>
      </c>
      <c r="J449" t="n">
        <v>0</v>
      </c>
      <c r="K449" t="n">
        <v>0</v>
      </c>
      <c r="L449" t="n">
        <v>0</v>
      </c>
      <c r="M449" t="n">
        <v>0</v>
      </c>
      <c r="N449" t="n">
        <v>0</v>
      </c>
      <c r="O449" t="n">
        <v>0</v>
      </c>
      <c r="P449" t="n">
        <v>0</v>
      </c>
      <c r="Q449" t="n">
        <v>0</v>
      </c>
      <c r="R449" s="2" t="inlineStr"/>
    </row>
    <row r="450" ht="15" customHeight="1">
      <c r="A450" t="inlineStr">
        <is>
          <t>A 21792-2024</t>
        </is>
      </c>
      <c r="B450" s="1" t="n">
        <v>45442.64326388889</v>
      </c>
      <c r="C450" s="1" t="n">
        <v>45964</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19905-2025</t>
        </is>
      </c>
      <c r="B451" s="1" t="n">
        <v>45771</v>
      </c>
      <c r="C451" s="1" t="n">
        <v>45964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45964</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44349.55087962963</v>
      </c>
      <c r="C453" s="1" t="n">
        <v>45964</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48843-2024</t>
        </is>
      </c>
      <c r="B454" s="1" t="n">
        <v>45593</v>
      </c>
      <c r="C454" s="1" t="n">
        <v>45964</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28425-2023</t>
        </is>
      </c>
      <c r="B455" s="1" t="n">
        <v>45102</v>
      </c>
      <c r="C455" s="1" t="n">
        <v>45964</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29207-2025</t>
        </is>
      </c>
      <c r="B456" s="1" t="n">
        <v>45823</v>
      </c>
      <c r="C456" s="1" t="n">
        <v>45964</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18993-2025</t>
        </is>
      </c>
      <c r="B457" s="1" t="n">
        <v>45764</v>
      </c>
      <c r="C457" s="1" t="n">
        <v>45964</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30135-2025</t>
        </is>
      </c>
      <c r="B458" s="1" t="n">
        <v>45826</v>
      </c>
      <c r="C458" s="1" t="n">
        <v>45964</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29196-2025</t>
        </is>
      </c>
      <c r="B459" s="1" t="n">
        <v>45822</v>
      </c>
      <c r="C459" s="1" t="n">
        <v>45964</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10653-2023</t>
        </is>
      </c>
      <c r="B460" s="1" t="n">
        <v>44988.48859953704</v>
      </c>
      <c r="C460" s="1" t="n">
        <v>45964</v>
      </c>
      <c r="D460" t="inlineStr">
        <is>
          <t>GOTLANDS LÄN</t>
        </is>
      </c>
      <c r="E460" t="inlineStr">
        <is>
          <t>GOTLAND</t>
        </is>
      </c>
      <c r="F460" t="inlineStr">
        <is>
          <t>Kyrkan</t>
        </is>
      </c>
      <c r="G460" t="n">
        <v>3</v>
      </c>
      <c r="H460" t="n">
        <v>0</v>
      </c>
      <c r="I460" t="n">
        <v>0</v>
      </c>
      <c r="J460" t="n">
        <v>0</v>
      </c>
      <c r="K460" t="n">
        <v>0</v>
      </c>
      <c r="L460" t="n">
        <v>0</v>
      </c>
      <c r="M460" t="n">
        <v>0</v>
      </c>
      <c r="N460" t="n">
        <v>0</v>
      </c>
      <c r="O460" t="n">
        <v>0</v>
      </c>
      <c r="P460" t="n">
        <v>0</v>
      </c>
      <c r="Q460" t="n">
        <v>0</v>
      </c>
      <c r="R460" s="2" t="inlineStr"/>
    </row>
    <row r="461" ht="15" customHeight="1">
      <c r="A461" t="inlineStr">
        <is>
          <t>A 13037-2025</t>
        </is>
      </c>
      <c r="B461" s="1" t="n">
        <v>45734</v>
      </c>
      <c r="C461" s="1" t="n">
        <v>45964</v>
      </c>
      <c r="D461" t="inlineStr">
        <is>
          <t>GOTLANDS LÄN</t>
        </is>
      </c>
      <c r="E461" t="inlineStr">
        <is>
          <t>GOTLAND</t>
        </is>
      </c>
      <c r="G461" t="n">
        <v>9.5</v>
      </c>
      <c r="H461" t="n">
        <v>0</v>
      </c>
      <c r="I461" t="n">
        <v>0</v>
      </c>
      <c r="J461" t="n">
        <v>0</v>
      </c>
      <c r="K461" t="n">
        <v>0</v>
      </c>
      <c r="L461" t="n">
        <v>0</v>
      </c>
      <c r="M461" t="n">
        <v>0</v>
      </c>
      <c r="N461" t="n">
        <v>0</v>
      </c>
      <c r="O461" t="n">
        <v>0</v>
      </c>
      <c r="P461" t="n">
        <v>0</v>
      </c>
      <c r="Q461" t="n">
        <v>0</v>
      </c>
      <c r="R461" s="2" t="inlineStr"/>
    </row>
    <row r="462" ht="15" customHeight="1">
      <c r="A462" t="inlineStr">
        <is>
          <t>A 35512-2023</t>
        </is>
      </c>
      <c r="B462" s="1" t="n">
        <v>45147.25623842593</v>
      </c>
      <c r="C462" s="1" t="n">
        <v>45964</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46836-2025</t>
        </is>
      </c>
      <c r="B463" s="1" t="n">
        <v>45928.31511574074</v>
      </c>
      <c r="C463" s="1" t="n">
        <v>45964</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30061-2025</t>
        </is>
      </c>
      <c r="B464" s="1" t="n">
        <v>45826.61488425926</v>
      </c>
      <c r="C464" s="1" t="n">
        <v>45964</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11874-2024</t>
        </is>
      </c>
      <c r="B465" s="1" t="n">
        <v>45376.46956018519</v>
      </c>
      <c r="C465" s="1" t="n">
        <v>45964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20225-2025</t>
        </is>
      </c>
      <c r="B466" s="1" t="n">
        <v>45772.65802083333</v>
      </c>
      <c r="C466" s="1" t="n">
        <v>45964</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10746-2025</t>
        </is>
      </c>
      <c r="B467" s="1" t="n">
        <v>45722.42766203704</v>
      </c>
      <c r="C467" s="1" t="n">
        <v>45964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1677-2023</t>
        </is>
      </c>
      <c r="B468" s="1" t="n">
        <v>44938</v>
      </c>
      <c r="C468" s="1" t="n">
        <v>45964</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58160-2024</t>
        </is>
      </c>
      <c r="B469" s="1" t="n">
        <v>45632.44927083333</v>
      </c>
      <c r="C469" s="1" t="n">
        <v>45964</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45964</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44609.44362268518</v>
      </c>
      <c r="C471" s="1" t="n">
        <v>45964</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46375-2024</t>
        </is>
      </c>
      <c r="B472" s="1" t="n">
        <v>45582</v>
      </c>
      <c r="C472" s="1" t="n">
        <v>45964</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43229-2023</t>
        </is>
      </c>
      <c r="B473" s="1" t="n">
        <v>45183.46704861111</v>
      </c>
      <c r="C473" s="1" t="n">
        <v>45964</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62915-2021</t>
        </is>
      </c>
      <c r="B474" s="1" t="n">
        <v>44504</v>
      </c>
      <c r="C474" s="1" t="n">
        <v>45964</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45964</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45964</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16109-2025</t>
        </is>
      </c>
      <c r="B477" s="1" t="n">
        <v>45750</v>
      </c>
      <c r="C477" s="1" t="n">
        <v>45964</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32467-2025</t>
        </is>
      </c>
      <c r="B478" s="1" t="n">
        <v>45838.42111111111</v>
      </c>
      <c r="C478" s="1" t="n">
        <v>45964</v>
      </c>
      <c r="D478" t="inlineStr">
        <is>
          <t>GOTLANDS LÄN</t>
        </is>
      </c>
      <c r="E478" t="inlineStr">
        <is>
          <t>GOTLAND</t>
        </is>
      </c>
      <c r="G478" t="n">
        <v>4.3</v>
      </c>
      <c r="H478" t="n">
        <v>0</v>
      </c>
      <c r="I478" t="n">
        <v>0</v>
      </c>
      <c r="J478" t="n">
        <v>0</v>
      </c>
      <c r="K478" t="n">
        <v>0</v>
      </c>
      <c r="L478" t="n">
        <v>0</v>
      </c>
      <c r="M478" t="n">
        <v>0</v>
      </c>
      <c r="N478" t="n">
        <v>0</v>
      </c>
      <c r="O478" t="n">
        <v>0</v>
      </c>
      <c r="P478" t="n">
        <v>0</v>
      </c>
      <c r="Q478" t="n">
        <v>0</v>
      </c>
      <c r="R478" s="2" t="inlineStr"/>
    </row>
    <row r="479" ht="15" customHeight="1">
      <c r="A479" t="inlineStr">
        <is>
          <t>A 4377-2023</t>
        </is>
      </c>
      <c r="B479" s="1" t="n">
        <v>44955.5502662037</v>
      </c>
      <c r="C479" s="1" t="n">
        <v>45964</v>
      </c>
      <c r="D479" t="inlineStr">
        <is>
          <t>GOTLANDS LÄN</t>
        </is>
      </c>
      <c r="E479" t="inlineStr">
        <is>
          <t>GOTLAND</t>
        </is>
      </c>
      <c r="F479" t="inlineStr">
        <is>
          <t>Kyrkan</t>
        </is>
      </c>
      <c r="G479" t="n">
        <v>0.6</v>
      </c>
      <c r="H479" t="n">
        <v>0</v>
      </c>
      <c r="I479" t="n">
        <v>0</v>
      </c>
      <c r="J479" t="n">
        <v>0</v>
      </c>
      <c r="K479" t="n">
        <v>0</v>
      </c>
      <c r="L479" t="n">
        <v>0</v>
      </c>
      <c r="M479" t="n">
        <v>0</v>
      </c>
      <c r="N479" t="n">
        <v>0</v>
      </c>
      <c r="O479" t="n">
        <v>0</v>
      </c>
      <c r="P479" t="n">
        <v>0</v>
      </c>
      <c r="Q479" t="n">
        <v>0</v>
      </c>
      <c r="R479" s="2" t="inlineStr"/>
    </row>
    <row r="480" ht="15" customHeight="1">
      <c r="A480" t="inlineStr">
        <is>
          <t>A 32378-2025</t>
        </is>
      </c>
      <c r="B480" s="1" t="n">
        <v>45837</v>
      </c>
      <c r="C480" s="1" t="n">
        <v>45964</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32379-2025</t>
        </is>
      </c>
      <c r="B481" s="1" t="n">
        <v>45837</v>
      </c>
      <c r="C481" s="1" t="n">
        <v>45964</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12599-2025</t>
        </is>
      </c>
      <c r="B482" s="1" t="n">
        <v>45733.29546296296</v>
      </c>
      <c r="C482" s="1" t="n">
        <v>45964</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43901-2023</t>
        </is>
      </c>
      <c r="B483" s="1" t="n">
        <v>45187</v>
      </c>
      <c r="C483" s="1" t="n">
        <v>45964</v>
      </c>
      <c r="D483" t="inlineStr">
        <is>
          <t>GOTLANDS LÄN</t>
        </is>
      </c>
      <c r="E483" t="inlineStr">
        <is>
          <t>GOTLAND</t>
        </is>
      </c>
      <c r="G483" t="n">
        <v>5.4</v>
      </c>
      <c r="H483" t="n">
        <v>0</v>
      </c>
      <c r="I483" t="n">
        <v>0</v>
      </c>
      <c r="J483" t="n">
        <v>0</v>
      </c>
      <c r="K483" t="n">
        <v>0</v>
      </c>
      <c r="L483" t="n">
        <v>0</v>
      </c>
      <c r="M483" t="n">
        <v>0</v>
      </c>
      <c r="N483" t="n">
        <v>0</v>
      </c>
      <c r="O483" t="n">
        <v>0</v>
      </c>
      <c r="P483" t="n">
        <v>0</v>
      </c>
      <c r="Q483" t="n">
        <v>0</v>
      </c>
      <c r="R483" s="2" t="inlineStr"/>
    </row>
    <row r="484" ht="15" customHeight="1">
      <c r="A484" t="inlineStr">
        <is>
          <t>A 17532-2024</t>
        </is>
      </c>
      <c r="B484" s="1" t="n">
        <v>45415</v>
      </c>
      <c r="C484" s="1" t="n">
        <v>45964</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45692-2023</t>
        </is>
      </c>
      <c r="B485" s="1" t="n">
        <v>45195</v>
      </c>
      <c r="C485" s="1" t="n">
        <v>45964</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24966-2023</t>
        </is>
      </c>
      <c r="B486" s="1" t="n">
        <v>45085</v>
      </c>
      <c r="C486" s="1" t="n">
        <v>45964</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57652-2023</t>
        </is>
      </c>
      <c r="B487" s="1" t="n">
        <v>45246</v>
      </c>
      <c r="C487" s="1" t="n">
        <v>45964</v>
      </c>
      <c r="D487" t="inlineStr">
        <is>
          <t>GOTLANDS LÄN</t>
        </is>
      </c>
      <c r="E487" t="inlineStr">
        <is>
          <t>GOTLAND</t>
        </is>
      </c>
      <c r="G487" t="n">
        <v>7.2</v>
      </c>
      <c r="H487" t="n">
        <v>0</v>
      </c>
      <c r="I487" t="n">
        <v>0</v>
      </c>
      <c r="J487" t="n">
        <v>0</v>
      </c>
      <c r="K487" t="n">
        <v>0</v>
      </c>
      <c r="L487" t="n">
        <v>0</v>
      </c>
      <c r="M487" t="n">
        <v>0</v>
      </c>
      <c r="N487" t="n">
        <v>0</v>
      </c>
      <c r="O487" t="n">
        <v>0</v>
      </c>
      <c r="P487" t="n">
        <v>0</v>
      </c>
      <c r="Q487" t="n">
        <v>0</v>
      </c>
      <c r="R487" s="2" t="inlineStr"/>
    </row>
    <row r="488" ht="15" customHeight="1">
      <c r="A488" t="inlineStr">
        <is>
          <t>A 33007-2025</t>
        </is>
      </c>
      <c r="B488" s="1" t="n">
        <v>45840</v>
      </c>
      <c r="C488" s="1" t="n">
        <v>45964</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46189-2022</t>
        </is>
      </c>
      <c r="B489" s="1" t="n">
        <v>44847</v>
      </c>
      <c r="C489" s="1" t="n">
        <v>45964</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37222-2021</t>
        </is>
      </c>
      <c r="B490" s="1" t="n">
        <v>44396</v>
      </c>
      <c r="C490" s="1" t="n">
        <v>45964</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57522-2022</t>
        </is>
      </c>
      <c r="B491" s="1" t="n">
        <v>44896</v>
      </c>
      <c r="C491" s="1" t="n">
        <v>45964</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14797-2024</t>
        </is>
      </c>
      <c r="B492" s="1" t="n">
        <v>45397.87030092593</v>
      </c>
      <c r="C492" s="1" t="n">
        <v>45964</v>
      </c>
      <c r="D492" t="inlineStr">
        <is>
          <t>GOTLANDS LÄN</t>
        </is>
      </c>
      <c r="E492" t="inlineStr">
        <is>
          <t>GOTLAND</t>
        </is>
      </c>
      <c r="G492" t="n">
        <v>8.1</v>
      </c>
      <c r="H492" t="n">
        <v>0</v>
      </c>
      <c r="I492" t="n">
        <v>0</v>
      </c>
      <c r="J492" t="n">
        <v>0</v>
      </c>
      <c r="K492" t="n">
        <v>0</v>
      </c>
      <c r="L492" t="n">
        <v>0</v>
      </c>
      <c r="M492" t="n">
        <v>0</v>
      </c>
      <c r="N492" t="n">
        <v>0</v>
      </c>
      <c r="O492" t="n">
        <v>0</v>
      </c>
      <c r="P492" t="n">
        <v>0</v>
      </c>
      <c r="Q492" t="n">
        <v>0</v>
      </c>
      <c r="R492" s="2" t="inlineStr"/>
    </row>
    <row r="493" ht="15" customHeight="1">
      <c r="A493" t="inlineStr">
        <is>
          <t>A 46396-2023</t>
        </is>
      </c>
      <c r="B493" s="1" t="n">
        <v>45197</v>
      </c>
      <c r="C493" s="1" t="n">
        <v>45964</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58388-2022</t>
        </is>
      </c>
      <c r="B494" s="1" t="n">
        <v>44894</v>
      </c>
      <c r="C494" s="1" t="n">
        <v>45964</v>
      </c>
      <c r="D494" t="inlineStr">
        <is>
          <t>GOTLANDS LÄN</t>
        </is>
      </c>
      <c r="E494" t="inlineStr">
        <is>
          <t>GOTLAND</t>
        </is>
      </c>
      <c r="F494" t="inlineStr">
        <is>
          <t>Övriga statliga verk och myndigheter</t>
        </is>
      </c>
      <c r="G494" t="n">
        <v>3.1</v>
      </c>
      <c r="H494" t="n">
        <v>0</v>
      </c>
      <c r="I494" t="n">
        <v>0</v>
      </c>
      <c r="J494" t="n">
        <v>0</v>
      </c>
      <c r="K494" t="n">
        <v>0</v>
      </c>
      <c r="L494" t="n">
        <v>0</v>
      </c>
      <c r="M494" t="n">
        <v>0</v>
      </c>
      <c r="N494" t="n">
        <v>0</v>
      </c>
      <c r="O494" t="n">
        <v>0</v>
      </c>
      <c r="P494" t="n">
        <v>0</v>
      </c>
      <c r="Q494" t="n">
        <v>0</v>
      </c>
      <c r="R494" s="2" t="inlineStr"/>
    </row>
    <row r="495" ht="15" customHeight="1">
      <c r="A495" t="inlineStr">
        <is>
          <t>A 7837-2024</t>
        </is>
      </c>
      <c r="B495" s="1" t="n">
        <v>45349.83787037037</v>
      </c>
      <c r="C495" s="1" t="n">
        <v>45964</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1394-2023</t>
        </is>
      </c>
      <c r="B496" s="1" t="n">
        <v>44936.72997685185</v>
      </c>
      <c r="C496" s="1" t="n">
        <v>45964</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2676-2023</t>
        </is>
      </c>
      <c r="B497" s="1" t="n">
        <v>44944</v>
      </c>
      <c r="C497" s="1" t="n">
        <v>45964</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4387-2023</t>
        </is>
      </c>
      <c r="B498" s="1" t="n">
        <v>44955.73359953704</v>
      </c>
      <c r="C498" s="1" t="n">
        <v>45964</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49411-2023</t>
        </is>
      </c>
      <c r="B499" s="1" t="n">
        <v>45205</v>
      </c>
      <c r="C499" s="1" t="n">
        <v>45964</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15413-2025</t>
        </is>
      </c>
      <c r="B500" s="1" t="n">
        <v>45747.451875</v>
      </c>
      <c r="C500" s="1" t="n">
        <v>45964</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37728-2024</t>
        </is>
      </c>
      <c r="B501" s="1" t="n">
        <v>45541</v>
      </c>
      <c r="C501" s="1" t="n">
        <v>45964</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35096-2025</t>
        </is>
      </c>
      <c r="B502" s="1" t="n">
        <v>45852.54356481481</v>
      </c>
      <c r="C502" s="1" t="n">
        <v>45964</v>
      </c>
      <c r="D502" t="inlineStr">
        <is>
          <t>GOTLANDS LÄN</t>
        </is>
      </c>
      <c r="E502" t="inlineStr">
        <is>
          <t>GOTLAND</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2241-2025</t>
        </is>
      </c>
      <c r="B503" s="1" t="n">
        <v>45673.48710648148</v>
      </c>
      <c r="C503" s="1" t="n">
        <v>45964</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35123-2025</t>
        </is>
      </c>
      <c r="B504" s="1" t="n">
        <v>45852.614375</v>
      </c>
      <c r="C504" s="1" t="n">
        <v>45964</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53934-2024</t>
        </is>
      </c>
      <c r="B505" s="1" t="n">
        <v>45615</v>
      </c>
      <c r="C505" s="1" t="n">
        <v>45964</v>
      </c>
      <c r="D505" t="inlineStr">
        <is>
          <t>GOTLANDS LÄN</t>
        </is>
      </c>
      <c r="E505" t="inlineStr">
        <is>
          <t>GOTLAND</t>
        </is>
      </c>
      <c r="G505" t="n">
        <v>5</v>
      </c>
      <c r="H505" t="n">
        <v>0</v>
      </c>
      <c r="I505" t="n">
        <v>0</v>
      </c>
      <c r="J505" t="n">
        <v>0</v>
      </c>
      <c r="K505" t="n">
        <v>0</v>
      </c>
      <c r="L505" t="n">
        <v>0</v>
      </c>
      <c r="M505" t="n">
        <v>0</v>
      </c>
      <c r="N505" t="n">
        <v>0</v>
      </c>
      <c r="O505" t="n">
        <v>0</v>
      </c>
      <c r="P505" t="n">
        <v>0</v>
      </c>
      <c r="Q505" t="n">
        <v>0</v>
      </c>
      <c r="R505" s="2" t="inlineStr"/>
    </row>
    <row r="506" ht="15" customHeight="1">
      <c r="A506" t="inlineStr">
        <is>
          <t>A 35290-2025</t>
        </is>
      </c>
      <c r="B506" s="1" t="n">
        <v>45854.38502314815</v>
      </c>
      <c r="C506" s="1" t="n">
        <v>45964</v>
      </c>
      <c r="D506" t="inlineStr">
        <is>
          <t>GOTLANDS LÄN</t>
        </is>
      </c>
      <c r="E506" t="inlineStr">
        <is>
          <t>GOTLAND</t>
        </is>
      </c>
      <c r="G506" t="n">
        <v>5.4</v>
      </c>
      <c r="H506" t="n">
        <v>0</v>
      </c>
      <c r="I506" t="n">
        <v>0</v>
      </c>
      <c r="J506" t="n">
        <v>0</v>
      </c>
      <c r="K506" t="n">
        <v>0</v>
      </c>
      <c r="L506" t="n">
        <v>0</v>
      </c>
      <c r="M506" t="n">
        <v>0</v>
      </c>
      <c r="N506" t="n">
        <v>0</v>
      </c>
      <c r="O506" t="n">
        <v>0</v>
      </c>
      <c r="P506" t="n">
        <v>0</v>
      </c>
      <c r="Q506" t="n">
        <v>0</v>
      </c>
      <c r="R506" s="2" t="inlineStr"/>
    </row>
    <row r="507" ht="15" customHeight="1">
      <c r="A507" t="inlineStr">
        <is>
          <t>A 58132-2023</t>
        </is>
      </c>
      <c r="B507" s="1" t="n">
        <v>45250</v>
      </c>
      <c r="C507" s="1" t="n">
        <v>45964</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30104-2025</t>
        </is>
      </c>
      <c r="B508" s="1" t="n">
        <v>45826.68806712963</v>
      </c>
      <c r="C508" s="1" t="n">
        <v>45964</v>
      </c>
      <c r="D508" t="inlineStr">
        <is>
          <t>GOTLANDS LÄN</t>
        </is>
      </c>
      <c r="E508" t="inlineStr">
        <is>
          <t>GOTLAND</t>
        </is>
      </c>
      <c r="G508" t="n">
        <v>15.4</v>
      </c>
      <c r="H508" t="n">
        <v>0</v>
      </c>
      <c r="I508" t="n">
        <v>0</v>
      </c>
      <c r="J508" t="n">
        <v>0</v>
      </c>
      <c r="K508" t="n">
        <v>0</v>
      </c>
      <c r="L508" t="n">
        <v>0</v>
      </c>
      <c r="M508" t="n">
        <v>0</v>
      </c>
      <c r="N508" t="n">
        <v>0</v>
      </c>
      <c r="O508" t="n">
        <v>0</v>
      </c>
      <c r="P508" t="n">
        <v>0</v>
      </c>
      <c r="Q508" t="n">
        <v>0</v>
      </c>
      <c r="R508" s="2" t="inlineStr"/>
    </row>
    <row r="509" ht="15" customHeight="1">
      <c r="A509" t="inlineStr">
        <is>
          <t>A 22899-2023</t>
        </is>
      </c>
      <c r="B509" s="1" t="n">
        <v>45072</v>
      </c>
      <c r="C509" s="1" t="n">
        <v>45964</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32669-2024</t>
        </is>
      </c>
      <c r="B510" s="1" t="n">
        <v>45514</v>
      </c>
      <c r="C510" s="1" t="n">
        <v>45964</v>
      </c>
      <c r="D510" t="inlineStr">
        <is>
          <t>GOTLANDS LÄN</t>
        </is>
      </c>
      <c r="E510" t="inlineStr">
        <is>
          <t>GOTLAND</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35550-2025</t>
        </is>
      </c>
      <c r="B511" s="1" t="n">
        <v>45856.49324074074</v>
      </c>
      <c r="C511" s="1" t="n">
        <v>45964</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28285-2024</t>
        </is>
      </c>
      <c r="B512" s="1" t="n">
        <v>45477</v>
      </c>
      <c r="C512" s="1" t="n">
        <v>45964</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51963-2024</t>
        </is>
      </c>
      <c r="B513" s="1" t="n">
        <v>45607.64833333333</v>
      </c>
      <c r="C513" s="1" t="n">
        <v>45964</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35537-2025</t>
        </is>
      </c>
      <c r="B514" s="1" t="n">
        <v>45856</v>
      </c>
      <c r="C514" s="1" t="n">
        <v>45964</v>
      </c>
      <c r="D514" t="inlineStr">
        <is>
          <t>GOTLANDS LÄN</t>
        </is>
      </c>
      <c r="E514" t="inlineStr">
        <is>
          <t>GOTLAND</t>
        </is>
      </c>
      <c r="G514" t="n">
        <v>16.8</v>
      </c>
      <c r="H514" t="n">
        <v>0</v>
      </c>
      <c r="I514" t="n">
        <v>0</v>
      </c>
      <c r="J514" t="n">
        <v>0</v>
      </c>
      <c r="K514" t="n">
        <v>0</v>
      </c>
      <c r="L514" t="n">
        <v>0</v>
      </c>
      <c r="M514" t="n">
        <v>0</v>
      </c>
      <c r="N514" t="n">
        <v>0</v>
      </c>
      <c r="O514" t="n">
        <v>0</v>
      </c>
      <c r="P514" t="n">
        <v>0</v>
      </c>
      <c r="Q514" t="n">
        <v>0</v>
      </c>
      <c r="R514" s="2" t="inlineStr"/>
    </row>
    <row r="515" ht="15" customHeight="1">
      <c r="A515" t="inlineStr">
        <is>
          <t>A 22275-2023</t>
        </is>
      </c>
      <c r="B515" s="1" t="n">
        <v>45070.39875</v>
      </c>
      <c r="C515" s="1" t="n">
        <v>45964</v>
      </c>
      <c r="D515" t="inlineStr">
        <is>
          <t>GOTLANDS LÄN</t>
        </is>
      </c>
      <c r="E515" t="inlineStr">
        <is>
          <t>GOTLAND</t>
        </is>
      </c>
      <c r="G515" t="n">
        <v>7.2</v>
      </c>
      <c r="H515" t="n">
        <v>0</v>
      </c>
      <c r="I515" t="n">
        <v>0</v>
      </c>
      <c r="J515" t="n">
        <v>0</v>
      </c>
      <c r="K515" t="n">
        <v>0</v>
      </c>
      <c r="L515" t="n">
        <v>0</v>
      </c>
      <c r="M515" t="n">
        <v>0</v>
      </c>
      <c r="N515" t="n">
        <v>0</v>
      </c>
      <c r="O515" t="n">
        <v>0</v>
      </c>
      <c r="P515" t="n">
        <v>0</v>
      </c>
      <c r="Q515" t="n">
        <v>0</v>
      </c>
      <c r="R515" s="2" t="inlineStr"/>
    </row>
    <row r="516" ht="15" customHeight="1">
      <c r="A516" t="inlineStr">
        <is>
          <t>A 14635-2023</t>
        </is>
      </c>
      <c r="B516" s="1" t="n">
        <v>45013.69365740741</v>
      </c>
      <c r="C516" s="1" t="n">
        <v>45964</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63763-2023</t>
        </is>
      </c>
      <c r="B517" s="1" t="n">
        <v>45278.33944444444</v>
      </c>
      <c r="C517" s="1" t="n">
        <v>45964</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7635-2025</t>
        </is>
      </c>
      <c r="B518" s="1" t="n">
        <v>45705</v>
      </c>
      <c r="C518" s="1" t="n">
        <v>45964</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7636-2025</t>
        </is>
      </c>
      <c r="B519" s="1" t="n">
        <v>45705.7687962963</v>
      </c>
      <c r="C519" s="1" t="n">
        <v>45964</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7639-2025</t>
        </is>
      </c>
      <c r="B520" s="1" t="n">
        <v>45705.77465277778</v>
      </c>
      <c r="C520" s="1" t="n">
        <v>45964</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61682-2024</t>
        </is>
      </c>
      <c r="B521" s="1" t="n">
        <v>45647.48824074074</v>
      </c>
      <c r="C521" s="1" t="n">
        <v>45964</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15434-2024</t>
        </is>
      </c>
      <c r="B522" s="1" t="n">
        <v>45401.38836805556</v>
      </c>
      <c r="C522" s="1" t="n">
        <v>45964</v>
      </c>
      <c r="D522" t="inlineStr">
        <is>
          <t>GOTLANDS LÄN</t>
        </is>
      </c>
      <c r="E522" t="inlineStr">
        <is>
          <t>GOTLAND</t>
        </is>
      </c>
      <c r="G522" t="n">
        <v>2.5</v>
      </c>
      <c r="H522" t="n">
        <v>0</v>
      </c>
      <c r="I522" t="n">
        <v>0</v>
      </c>
      <c r="J522" t="n">
        <v>0</v>
      </c>
      <c r="K522" t="n">
        <v>0</v>
      </c>
      <c r="L522" t="n">
        <v>0</v>
      </c>
      <c r="M522" t="n">
        <v>0</v>
      </c>
      <c r="N522" t="n">
        <v>0</v>
      </c>
      <c r="O522" t="n">
        <v>0</v>
      </c>
      <c r="P522" t="n">
        <v>0</v>
      </c>
      <c r="Q522" t="n">
        <v>0</v>
      </c>
      <c r="R522" s="2" t="inlineStr"/>
    </row>
    <row r="523" ht="15" customHeight="1">
      <c r="A523" t="inlineStr">
        <is>
          <t>A 20356-2022</t>
        </is>
      </c>
      <c r="B523" s="1" t="n">
        <v>44699</v>
      </c>
      <c r="C523" s="1" t="n">
        <v>45964</v>
      </c>
      <c r="D523" t="inlineStr">
        <is>
          <t>GOTLANDS LÄN</t>
        </is>
      </c>
      <c r="E523" t="inlineStr">
        <is>
          <t>GOTLAND</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1734-2025</t>
        </is>
      </c>
      <c r="B524" s="1" t="n">
        <v>45671.3840625</v>
      </c>
      <c r="C524" s="1" t="n">
        <v>45964</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30365-2024</t>
        </is>
      </c>
      <c r="B525" s="1" t="n">
        <v>45491.3716087963</v>
      </c>
      <c r="C525" s="1" t="n">
        <v>45964</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45964</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2292-2021</t>
        </is>
      </c>
      <c r="B527" s="1" t="n">
        <v>44212</v>
      </c>
      <c r="C527" s="1" t="n">
        <v>45964</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30488-2025</t>
        </is>
      </c>
      <c r="B528" s="1" t="n">
        <v>45830</v>
      </c>
      <c r="C528" s="1" t="n">
        <v>45964</v>
      </c>
      <c r="D528" t="inlineStr">
        <is>
          <t>GOTLANDS LÄN</t>
        </is>
      </c>
      <c r="E528" t="inlineStr">
        <is>
          <t>GOTLAND</t>
        </is>
      </c>
      <c r="F528" t="inlineStr">
        <is>
          <t>Kyrkan</t>
        </is>
      </c>
      <c r="G528" t="n">
        <v>3.9</v>
      </c>
      <c r="H528" t="n">
        <v>0</v>
      </c>
      <c r="I528" t="n">
        <v>0</v>
      </c>
      <c r="J528" t="n">
        <v>0</v>
      </c>
      <c r="K528" t="n">
        <v>0</v>
      </c>
      <c r="L528" t="n">
        <v>0</v>
      </c>
      <c r="M528" t="n">
        <v>0</v>
      </c>
      <c r="N528" t="n">
        <v>0</v>
      </c>
      <c r="O528" t="n">
        <v>0</v>
      </c>
      <c r="P528" t="n">
        <v>0</v>
      </c>
      <c r="Q528" t="n">
        <v>0</v>
      </c>
      <c r="R528" s="2" t="inlineStr"/>
    </row>
    <row r="529" ht="15" customHeight="1">
      <c r="A529" t="inlineStr">
        <is>
          <t>A 15216-2025</t>
        </is>
      </c>
      <c r="B529" s="1" t="n">
        <v>45744</v>
      </c>
      <c r="C529" s="1" t="n">
        <v>45964</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61100-2022</t>
        </is>
      </c>
      <c r="B530" s="1" t="n">
        <v>44915</v>
      </c>
      <c r="C530" s="1" t="n">
        <v>45964</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35142-2025</t>
        </is>
      </c>
      <c r="B531" s="1" t="n">
        <v>45852.65532407408</v>
      </c>
      <c r="C531" s="1" t="n">
        <v>45964</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15001-2025</t>
        </is>
      </c>
      <c r="B532" s="1" t="n">
        <v>45743</v>
      </c>
      <c r="C532" s="1" t="n">
        <v>45964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45964</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45964</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v>
      </c>
      <c r="C535" s="1" t="n">
        <v>45964</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35141-2025</t>
        </is>
      </c>
      <c r="B536" s="1" t="n">
        <v>45852.65206018519</v>
      </c>
      <c r="C536" s="1" t="n">
        <v>45964</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45964</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35129-2025</t>
        </is>
      </c>
      <c r="B538" s="1" t="n">
        <v>45852.63224537037</v>
      </c>
      <c r="C538" s="1" t="n">
        <v>45964</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45964</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45964</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45964</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45964</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47637-2025</t>
        </is>
      </c>
      <c r="B543" s="1" t="n">
        <v>45931.49753472222</v>
      </c>
      <c r="C543" s="1" t="n">
        <v>45964</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47147-2025</t>
        </is>
      </c>
      <c r="B544" s="1" t="n">
        <v>45929.71716435185</v>
      </c>
      <c r="C544" s="1" t="n">
        <v>45964</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39849-2025</t>
        </is>
      </c>
      <c r="B545" s="1" t="n">
        <v>45891.58502314815</v>
      </c>
      <c r="C545" s="1" t="n">
        <v>45964</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30489-2025</t>
        </is>
      </c>
      <c r="B546" s="1" t="n">
        <v>45830</v>
      </c>
      <c r="C546" s="1" t="n">
        <v>45964</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21142-2025</t>
        </is>
      </c>
      <c r="B547" s="1" t="n">
        <v>45779</v>
      </c>
      <c r="C547" s="1" t="n">
        <v>45964</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6108-2025</t>
        </is>
      </c>
      <c r="B548" s="1" t="n">
        <v>45698.29880787037</v>
      </c>
      <c r="C548" s="1" t="n">
        <v>45964</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39814-2025</t>
        </is>
      </c>
      <c r="B549" s="1" t="n">
        <v>45891.52694444444</v>
      </c>
      <c r="C549" s="1" t="n">
        <v>45964</v>
      </c>
      <c r="D549" t="inlineStr">
        <is>
          <t>GOTLANDS LÄN</t>
        </is>
      </c>
      <c r="E549" t="inlineStr">
        <is>
          <t>GOTLAND</t>
        </is>
      </c>
      <c r="G549" t="n">
        <v>4.5</v>
      </c>
      <c r="H549" t="n">
        <v>0</v>
      </c>
      <c r="I549" t="n">
        <v>0</v>
      </c>
      <c r="J549" t="n">
        <v>0</v>
      </c>
      <c r="K549" t="n">
        <v>0</v>
      </c>
      <c r="L549" t="n">
        <v>0</v>
      </c>
      <c r="M549" t="n">
        <v>0</v>
      </c>
      <c r="N549" t="n">
        <v>0</v>
      </c>
      <c r="O549" t="n">
        <v>0</v>
      </c>
      <c r="P549" t="n">
        <v>0</v>
      </c>
      <c r="Q549" t="n">
        <v>0</v>
      </c>
      <c r="R549" s="2" t="inlineStr"/>
    </row>
    <row r="550" ht="15" customHeight="1">
      <c r="A550" t="inlineStr">
        <is>
          <t>A 49962-2023</t>
        </is>
      </c>
      <c r="B550" s="1" t="n">
        <v>45215.38775462963</v>
      </c>
      <c r="C550" s="1" t="n">
        <v>45964</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39819-2025</t>
        </is>
      </c>
      <c r="B551" s="1" t="n">
        <v>45891.53418981482</v>
      </c>
      <c r="C551" s="1" t="n">
        <v>45964</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17343-2025</t>
        </is>
      </c>
      <c r="B552" s="1" t="n">
        <v>45756.6687037037</v>
      </c>
      <c r="C552" s="1" t="n">
        <v>45964</v>
      </c>
      <c r="D552" t="inlineStr">
        <is>
          <t>GOTLANDS LÄN</t>
        </is>
      </c>
      <c r="E552" t="inlineStr">
        <is>
          <t>GOTLAND</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18938-2025</t>
        </is>
      </c>
      <c r="B553" s="1" t="n">
        <v>45764.49172453704</v>
      </c>
      <c r="C553" s="1" t="n">
        <v>45964</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50744-2024</t>
        </is>
      </c>
      <c r="B554" s="1" t="n">
        <v>45602.4187037037</v>
      </c>
      <c r="C554" s="1" t="n">
        <v>45964</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20307-2025</t>
        </is>
      </c>
      <c r="B555" s="1" t="n">
        <v>45774.95546296296</v>
      </c>
      <c r="C555" s="1" t="n">
        <v>45964</v>
      </c>
      <c r="D555" t="inlineStr">
        <is>
          <t>GOTLANDS LÄN</t>
        </is>
      </c>
      <c r="E555" t="inlineStr">
        <is>
          <t>GOTLAND</t>
        </is>
      </c>
      <c r="G555" t="n">
        <v>6.8</v>
      </c>
      <c r="H555" t="n">
        <v>0</v>
      </c>
      <c r="I555" t="n">
        <v>0</v>
      </c>
      <c r="J555" t="n">
        <v>0</v>
      </c>
      <c r="K555" t="n">
        <v>0</v>
      </c>
      <c r="L555" t="n">
        <v>0</v>
      </c>
      <c r="M555" t="n">
        <v>0</v>
      </c>
      <c r="N555" t="n">
        <v>0</v>
      </c>
      <c r="O555" t="n">
        <v>0</v>
      </c>
      <c r="P555" t="n">
        <v>0</v>
      </c>
      <c r="Q555" t="n">
        <v>0</v>
      </c>
      <c r="R555" s="2" t="inlineStr"/>
    </row>
    <row r="556" ht="15" customHeight="1">
      <c r="A556" t="inlineStr">
        <is>
          <t>A 47578-2025</t>
        </is>
      </c>
      <c r="B556" s="1" t="n">
        <v>45931</v>
      </c>
      <c r="C556" s="1" t="n">
        <v>45964</v>
      </c>
      <c r="D556" t="inlineStr">
        <is>
          <t>GOTLANDS LÄN</t>
        </is>
      </c>
      <c r="E556" t="inlineStr">
        <is>
          <t>GOTLAND</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45244-2024</t>
        </is>
      </c>
      <c r="B557" s="1" t="n">
        <v>45576</v>
      </c>
      <c r="C557" s="1" t="n">
        <v>45964</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39752-2025</t>
        </is>
      </c>
      <c r="B558" s="1" t="n">
        <v>45891</v>
      </c>
      <c r="C558" s="1" t="n">
        <v>45964</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39816-2025</t>
        </is>
      </c>
      <c r="B559" s="1" t="n">
        <v>45891</v>
      </c>
      <c r="C559" s="1" t="n">
        <v>45964</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38787-2023</t>
        </is>
      </c>
      <c r="B560" s="1" t="n">
        <v>45163</v>
      </c>
      <c r="C560" s="1" t="n">
        <v>45964</v>
      </c>
      <c r="D560" t="inlineStr">
        <is>
          <t>GOTLANDS LÄN</t>
        </is>
      </c>
      <c r="E560" t="inlineStr">
        <is>
          <t>GOTLAND</t>
        </is>
      </c>
      <c r="G560" t="n">
        <v>0.4</v>
      </c>
      <c r="H560" t="n">
        <v>0</v>
      </c>
      <c r="I560" t="n">
        <v>0</v>
      </c>
      <c r="J560" t="n">
        <v>0</v>
      </c>
      <c r="K560" t="n">
        <v>0</v>
      </c>
      <c r="L560" t="n">
        <v>0</v>
      </c>
      <c r="M560" t="n">
        <v>0</v>
      </c>
      <c r="N560" t="n">
        <v>0</v>
      </c>
      <c r="O560" t="n">
        <v>0</v>
      </c>
      <c r="P560" t="n">
        <v>0</v>
      </c>
      <c r="Q560" t="n">
        <v>0</v>
      </c>
      <c r="R560" s="2" t="inlineStr"/>
    </row>
    <row r="561" ht="15" customHeight="1">
      <c r="A561" t="inlineStr">
        <is>
          <t>A 40372-2025</t>
        </is>
      </c>
      <c r="B561" s="1" t="n">
        <v>45895.5162037037</v>
      </c>
      <c r="C561" s="1" t="n">
        <v>45964</v>
      </c>
      <c r="D561" t="inlineStr">
        <is>
          <t>GOTLANDS LÄN</t>
        </is>
      </c>
      <c r="E561" t="inlineStr">
        <is>
          <t>GOTLAND</t>
        </is>
      </c>
      <c r="G561" t="n">
        <v>3.3</v>
      </c>
      <c r="H561" t="n">
        <v>0</v>
      </c>
      <c r="I561" t="n">
        <v>0</v>
      </c>
      <c r="J561" t="n">
        <v>0</v>
      </c>
      <c r="K561" t="n">
        <v>0</v>
      </c>
      <c r="L561" t="n">
        <v>0</v>
      </c>
      <c r="M561" t="n">
        <v>0</v>
      </c>
      <c r="N561" t="n">
        <v>0</v>
      </c>
      <c r="O561" t="n">
        <v>0</v>
      </c>
      <c r="P561" t="n">
        <v>0</v>
      </c>
      <c r="Q561" t="n">
        <v>0</v>
      </c>
      <c r="R561" s="2" t="inlineStr"/>
    </row>
    <row r="562" ht="15" customHeight="1">
      <c r="A562" t="inlineStr">
        <is>
          <t>A 40373-2025</t>
        </is>
      </c>
      <c r="B562" s="1" t="n">
        <v>45895.51821759259</v>
      </c>
      <c r="C562" s="1" t="n">
        <v>45964</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45964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22897-2023</t>
        </is>
      </c>
      <c r="B564" s="1" t="n">
        <v>45072.55239583334</v>
      </c>
      <c r="C564" s="1" t="n">
        <v>45964</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4568-2025</t>
        </is>
      </c>
      <c r="B565" s="1" t="n">
        <v>45687</v>
      </c>
      <c r="C565" s="1" t="n">
        <v>45964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44938.39715277778</v>
      </c>
      <c r="C566" s="1" t="n">
        <v>45964</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42338-2023</t>
        </is>
      </c>
      <c r="B567" s="1" t="n">
        <v>45180</v>
      </c>
      <c r="C567" s="1" t="n">
        <v>45964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18918-2025</t>
        </is>
      </c>
      <c r="B568" s="1" t="n">
        <v>45764</v>
      </c>
      <c r="C568" s="1" t="n">
        <v>45964</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45964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40103-2025</t>
        </is>
      </c>
      <c r="B570" s="1" t="n">
        <v>45894.4880324074</v>
      </c>
      <c r="C570" s="1" t="n">
        <v>45964</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38649-2025</t>
        </is>
      </c>
      <c r="B571" s="1" t="n">
        <v>45884</v>
      </c>
      <c r="C571" s="1" t="n">
        <v>45964</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45084-2024</t>
        </is>
      </c>
      <c r="B572" s="1" t="n">
        <v>45575</v>
      </c>
      <c r="C572" s="1" t="n">
        <v>45964</v>
      </c>
      <c r="D572" t="inlineStr">
        <is>
          <t>GOTLANDS LÄN</t>
        </is>
      </c>
      <c r="E572" t="inlineStr">
        <is>
          <t>GOTLAND</t>
        </is>
      </c>
      <c r="G572" t="n">
        <v>6.8</v>
      </c>
      <c r="H572" t="n">
        <v>0</v>
      </c>
      <c r="I572" t="n">
        <v>0</v>
      </c>
      <c r="J572" t="n">
        <v>0</v>
      </c>
      <c r="K572" t="n">
        <v>0</v>
      </c>
      <c r="L572" t="n">
        <v>0</v>
      </c>
      <c r="M572" t="n">
        <v>0</v>
      </c>
      <c r="N572" t="n">
        <v>0</v>
      </c>
      <c r="O572" t="n">
        <v>0</v>
      </c>
      <c r="P572" t="n">
        <v>0</v>
      </c>
      <c r="Q572" t="n">
        <v>0</v>
      </c>
      <c r="R572" s="2" t="inlineStr"/>
    </row>
    <row r="573" ht="15" customHeight="1">
      <c r="A573" t="inlineStr">
        <is>
          <t>A 20356-2022</t>
        </is>
      </c>
      <c r="B573" s="1" t="n">
        <v>44699</v>
      </c>
      <c r="C573" s="1" t="n">
        <v>45964</v>
      </c>
      <c r="D573" t="inlineStr">
        <is>
          <t>GOTLANDS LÄN</t>
        </is>
      </c>
      <c r="E573" t="inlineStr">
        <is>
          <t>GOTLAND</t>
        </is>
      </c>
      <c r="F573" t="inlineStr">
        <is>
          <t>Övriga Aktiebolag</t>
        </is>
      </c>
      <c r="G573" t="n">
        <v>4.4</v>
      </c>
      <c r="H573" t="n">
        <v>0</v>
      </c>
      <c r="I573" t="n">
        <v>0</v>
      </c>
      <c r="J573" t="n">
        <v>0</v>
      </c>
      <c r="K573" t="n">
        <v>0</v>
      </c>
      <c r="L573" t="n">
        <v>0</v>
      </c>
      <c r="M573" t="n">
        <v>0</v>
      </c>
      <c r="N573" t="n">
        <v>0</v>
      </c>
      <c r="O573" t="n">
        <v>0</v>
      </c>
      <c r="P573" t="n">
        <v>0</v>
      </c>
      <c r="Q573" t="n">
        <v>0</v>
      </c>
      <c r="R573" s="2" t="inlineStr"/>
    </row>
    <row r="574" ht="15" customHeight="1">
      <c r="A574" t="inlineStr">
        <is>
          <t>A 4868-2024</t>
        </is>
      </c>
      <c r="B574" s="1" t="n">
        <v>45329</v>
      </c>
      <c r="C574" s="1" t="n">
        <v>45964</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row r="575" ht="15" customHeight="1">
      <c r="A575" t="inlineStr">
        <is>
          <t>A 9613-2025</t>
        </is>
      </c>
      <c r="B575" s="1" t="n">
        <v>45715</v>
      </c>
      <c r="C575" s="1" t="n">
        <v>45964</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40499-2025</t>
        </is>
      </c>
      <c r="B576" s="1" t="n">
        <v>45896.32517361111</v>
      </c>
      <c r="C576" s="1" t="n">
        <v>45964</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49690-2025</t>
        </is>
      </c>
      <c r="B577" s="1" t="n">
        <v>45939.66730324074</v>
      </c>
      <c r="C577" s="1" t="n">
        <v>45964</v>
      </c>
      <c r="D577" t="inlineStr">
        <is>
          <t>GOTLANDS LÄN</t>
        </is>
      </c>
      <c r="E577" t="inlineStr">
        <is>
          <t>GOTLAND</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5386-2023</t>
        </is>
      </c>
      <c r="B578" s="1" t="n">
        <v>44959</v>
      </c>
      <c r="C578" s="1" t="n">
        <v>45964</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49724-2025</t>
        </is>
      </c>
      <c r="B579" s="1" t="n">
        <v>45939.83730324074</v>
      </c>
      <c r="C579" s="1" t="n">
        <v>45964</v>
      </c>
      <c r="D579" t="inlineStr">
        <is>
          <t>GOTLANDS LÄN</t>
        </is>
      </c>
      <c r="E579" t="inlineStr">
        <is>
          <t>GOTLAND</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49730-2025</t>
        </is>
      </c>
      <c r="B580" s="1" t="n">
        <v>45939.87613425926</v>
      </c>
      <c r="C580" s="1" t="n">
        <v>45964</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58211-2024</t>
        </is>
      </c>
      <c r="B581" s="1" t="n">
        <v>45632.49292824074</v>
      </c>
      <c r="C581" s="1" t="n">
        <v>45964</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11634-2024</t>
        </is>
      </c>
      <c r="B582" s="1" t="n">
        <v>45373</v>
      </c>
      <c r="C582" s="1" t="n">
        <v>45964</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41551-2025</t>
        </is>
      </c>
      <c r="B583" s="1" t="n">
        <v>45901.58854166666</v>
      </c>
      <c r="C583" s="1" t="n">
        <v>45964</v>
      </c>
      <c r="D583" t="inlineStr">
        <is>
          <t>GOTLANDS LÄN</t>
        </is>
      </c>
      <c r="E583" t="inlineStr">
        <is>
          <t>GOTLAND</t>
        </is>
      </c>
      <c r="G583" t="n">
        <v>5.6</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45964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45964</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45964</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45964</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45964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39278-2025</t>
        </is>
      </c>
      <c r="B589" s="1" t="n">
        <v>45889</v>
      </c>
      <c r="C589" s="1" t="n">
        <v>45964</v>
      </c>
      <c r="D589" t="inlineStr">
        <is>
          <t>GOTLANDS LÄN</t>
        </is>
      </c>
      <c r="E589" t="inlineStr">
        <is>
          <t>GOTLAND</t>
        </is>
      </c>
      <c r="G589" t="n">
        <v>3.7</v>
      </c>
      <c r="H589" t="n">
        <v>0</v>
      </c>
      <c r="I589" t="n">
        <v>0</v>
      </c>
      <c r="J589" t="n">
        <v>0</v>
      </c>
      <c r="K589" t="n">
        <v>0</v>
      </c>
      <c r="L589" t="n">
        <v>0</v>
      </c>
      <c r="M589" t="n">
        <v>0</v>
      </c>
      <c r="N589" t="n">
        <v>0</v>
      </c>
      <c r="O589" t="n">
        <v>0</v>
      </c>
      <c r="P589" t="n">
        <v>0</v>
      </c>
      <c r="Q589" t="n">
        <v>0</v>
      </c>
      <c r="R589" s="2" t="inlineStr"/>
    </row>
    <row r="590" ht="15" customHeight="1">
      <c r="A590" t="inlineStr">
        <is>
          <t>A 33011-2025</t>
        </is>
      </c>
      <c r="B590" s="1" t="n">
        <v>45840</v>
      </c>
      <c r="C590" s="1" t="n">
        <v>45964</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41435-2025</t>
        </is>
      </c>
      <c r="B591" s="1" t="n">
        <v>45901.39974537037</v>
      </c>
      <c r="C591" s="1" t="n">
        <v>45964</v>
      </c>
      <c r="D591" t="inlineStr">
        <is>
          <t>GOTLANDS LÄN</t>
        </is>
      </c>
      <c r="E591" t="inlineStr">
        <is>
          <t>GOTLAND</t>
        </is>
      </c>
      <c r="G591" t="n">
        <v>4.9</v>
      </c>
      <c r="H591" t="n">
        <v>0</v>
      </c>
      <c r="I591" t="n">
        <v>0</v>
      </c>
      <c r="J591" t="n">
        <v>0</v>
      </c>
      <c r="K591" t="n">
        <v>0</v>
      </c>
      <c r="L591" t="n">
        <v>0</v>
      </c>
      <c r="M591" t="n">
        <v>0</v>
      </c>
      <c r="N591" t="n">
        <v>0</v>
      </c>
      <c r="O591" t="n">
        <v>0</v>
      </c>
      <c r="P591" t="n">
        <v>0</v>
      </c>
      <c r="Q591" t="n">
        <v>0</v>
      </c>
      <c r="R591" s="2" t="inlineStr"/>
    </row>
    <row r="592" ht="15" customHeight="1">
      <c r="A592" t="inlineStr">
        <is>
          <t>A 50421-2025</t>
        </is>
      </c>
      <c r="B592" s="1" t="n">
        <v>45944.66049768519</v>
      </c>
      <c r="C592" s="1" t="n">
        <v>45964</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50431-2025</t>
        </is>
      </c>
      <c r="B593" s="1" t="n">
        <v>45944.68453703704</v>
      </c>
      <c r="C593" s="1" t="n">
        <v>45964</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50928-2025</t>
        </is>
      </c>
      <c r="B594" s="1" t="n">
        <v>45946.67896990741</v>
      </c>
      <c r="C594" s="1" t="n">
        <v>45964</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42608-2025</t>
        </is>
      </c>
      <c r="B595" s="1" t="n">
        <v>45905</v>
      </c>
      <c r="C595" s="1" t="n">
        <v>45964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45964</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51262-2025</t>
        </is>
      </c>
      <c r="B597" s="1" t="n">
        <v>45949.49872685185</v>
      </c>
      <c r="C597" s="1" t="n">
        <v>45964</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52250-2025</t>
        </is>
      </c>
      <c r="B598" s="1" t="n">
        <v>45953.48998842593</v>
      </c>
      <c r="C598" s="1" t="n">
        <v>45964</v>
      </c>
      <c r="D598" t="inlineStr">
        <is>
          <t>GOTLANDS LÄN</t>
        </is>
      </c>
      <c r="E598" t="inlineStr">
        <is>
          <t>GOTLAND</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10158-2025</t>
        </is>
      </c>
      <c r="B599" s="1" t="n">
        <v>45719</v>
      </c>
      <c r="C599" s="1" t="n">
        <v>45964</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52249-2025</t>
        </is>
      </c>
      <c r="B600" s="1" t="n">
        <v>45953.48637731482</v>
      </c>
      <c r="C600" s="1" t="n">
        <v>45964</v>
      </c>
      <c r="D600" t="inlineStr">
        <is>
          <t>GOTLANDS LÄN</t>
        </is>
      </c>
      <c r="E600" t="inlineStr">
        <is>
          <t>GOTLAND</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43911-2025</t>
        </is>
      </c>
      <c r="B601" s="1" t="n">
        <v>45914.3881712963</v>
      </c>
      <c r="C601" s="1" t="n">
        <v>45964</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43951-2025</t>
        </is>
      </c>
      <c r="B602" s="1" t="n">
        <v>45915.38119212963</v>
      </c>
      <c r="C602" s="1" t="n">
        <v>45964</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52637-2025</t>
        </is>
      </c>
      <c r="B603" s="1" t="n">
        <v>45954.75099537037</v>
      </c>
      <c r="C603" s="1" t="n">
        <v>45964</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44410-2025</t>
        </is>
      </c>
      <c r="B604" s="1" t="n">
        <v>45916.53699074074</v>
      </c>
      <c r="C604" s="1" t="n">
        <v>45964</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44405-2025</t>
        </is>
      </c>
      <c r="B605" s="1" t="n">
        <v>45916.52405092592</v>
      </c>
      <c r="C605" s="1" t="n">
        <v>45964</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53587-2025</t>
        </is>
      </c>
      <c r="B606" s="1" t="n">
        <v>45960.43681712963</v>
      </c>
      <c r="C606" s="1" t="n">
        <v>45964</v>
      </c>
      <c r="D606" t="inlineStr">
        <is>
          <t>GOTLANDS LÄN</t>
        </is>
      </c>
      <c r="E606" t="inlineStr">
        <is>
          <t>GOTLAND</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53561-2025</t>
        </is>
      </c>
      <c r="B607" s="1" t="n">
        <v>45960.4059375</v>
      </c>
      <c r="C607" s="1" t="n">
        <v>45964</v>
      </c>
      <c r="D607" t="inlineStr">
        <is>
          <t>GOTLANDS LÄN</t>
        </is>
      </c>
      <c r="E607" t="inlineStr">
        <is>
          <t>GOTLAND</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53569-2025</t>
        </is>
      </c>
      <c r="B608" s="1" t="n">
        <v>45960.41155092593</v>
      </c>
      <c r="C608" s="1" t="n">
        <v>45964</v>
      </c>
      <c r="D608" t="inlineStr">
        <is>
          <t>GOTLANDS LÄN</t>
        </is>
      </c>
      <c r="E608" t="inlineStr">
        <is>
          <t>GOTLAND</t>
        </is>
      </c>
      <c r="F608" t="inlineStr">
        <is>
          <t>Övriga Aktiebolag</t>
        </is>
      </c>
      <c r="G608" t="n">
        <v>11.3</v>
      </c>
      <c r="H608" t="n">
        <v>0</v>
      </c>
      <c r="I608" t="n">
        <v>0</v>
      </c>
      <c r="J608" t="n">
        <v>0</v>
      </c>
      <c r="K608" t="n">
        <v>0</v>
      </c>
      <c r="L608" t="n">
        <v>0</v>
      </c>
      <c r="M608" t="n">
        <v>0</v>
      </c>
      <c r="N608" t="n">
        <v>0</v>
      </c>
      <c r="O608" t="n">
        <v>0</v>
      </c>
      <c r="P608" t="n">
        <v>0</v>
      </c>
      <c r="Q608" t="n">
        <v>0</v>
      </c>
      <c r="R608" s="2" t="inlineStr"/>
    </row>
    <row r="609">
      <c r="A609" t="inlineStr">
        <is>
          <t>A 53577-2025</t>
        </is>
      </c>
      <c r="B609" s="1" t="n">
        <v>45960.42224537037</v>
      </c>
      <c r="C609" s="1" t="n">
        <v>45964</v>
      </c>
      <c r="D609" t="inlineStr">
        <is>
          <t>GOTLANDS LÄN</t>
        </is>
      </c>
      <c r="E609" t="inlineStr">
        <is>
          <t>GOTLAND</t>
        </is>
      </c>
      <c r="F609" t="inlineStr">
        <is>
          <t>Övriga Aktiebolag</t>
        </is>
      </c>
      <c r="G609" t="n">
        <v>3.3</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2025-11-03T10:04:33Z</dcterms:created>
  <dcterms:modified xmlns:dcterms="http://purl.org/dc/terms/" xmlns:xsi="http://www.w3.org/2001/XMLSchema-instance" xsi:type="dcterms:W3CDTF">2025-11-03T10:04:33Z</dcterms:modified>
</cp:coreProperties>
</file>