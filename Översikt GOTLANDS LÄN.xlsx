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46293</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46293</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46293</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46293</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46293</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46293</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46293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46293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46293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46293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46293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46293</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46293</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46293</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46293</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46293</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46293</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46293</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46293</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46293</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46293</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46293</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46293</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46293</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46293</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46293</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46293</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46293</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46293</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46293</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46293</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46293</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46293</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46293</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46293</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46293</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46293</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46293</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46293</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46293</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20831-2024</t>
        </is>
      </c>
      <c r="B72" t="inlineStr">
        <is>
          <t>avverkningsanmälan</t>
        </is>
      </c>
      <c r="C72" t="inlineStr">
        <is>
          <t>Föryngringsavverkning</t>
        </is>
      </c>
      <c r="D72" s="1" t="n">
        <v>45439</v>
      </c>
      <c r="E72" s="1" t="n">
        <v>46293</v>
      </c>
      <c r="F72" t="inlineStr">
        <is>
          <t>GOTLANDS LÄN</t>
        </is>
      </c>
      <c r="G72" t="inlineStr">
        <is>
          <t>GOTLAND</t>
        </is>
      </c>
      <c r="I72" t="n">
        <v>2.9</v>
      </c>
      <c r="J72" t="n">
        <v>2</v>
      </c>
      <c r="K72" t="n">
        <v>1</v>
      </c>
      <c r="L72" t="n">
        <v>6</v>
      </c>
      <c r="M72" t="n">
        <v>1</v>
      </c>
      <c r="N72" t="n">
        <v>0</v>
      </c>
      <c r="O72" t="n">
        <v>0</v>
      </c>
      <c r="P72" t="n">
        <v>0</v>
      </c>
      <c r="Q72" t="n">
        <v>7</v>
      </c>
      <c r="R72" t="n">
        <v>1</v>
      </c>
      <c r="S72" t="n">
        <v>8</v>
      </c>
      <c r="T72" t="n">
        <v>33</v>
      </c>
      <c r="U72" t="n">
        <v>32</v>
      </c>
      <c r="V72" s="2" t="inlineStr">
        <is>
          <t>Vit taggsvamp
Axveronika
Backtimjan
Dårgräsfjäril
Jordtistel
Solvända
Svinrot
Skogsknipprot</t>
        </is>
      </c>
      <c r="W72">
        <f>HYPERLINK("https://klasma.github.io/Logging_0980/artfynd/A 20831-2024 artfynd.xlsx", "A 20831-2024")</f>
        <v/>
      </c>
      <c r="X72">
        <f>HYPERLINK("https://klasma.github.io/Logging_0980/kartor/A 20831-2024 karta.png", "A 20831-2024")</f>
        <v/>
      </c>
      <c r="Y72">
        <f>HYPERLINK("https://klasma.github.io/Logging_0980/kartor_geotiff/A 20831-2024 georefererad karta.tif", "A 20831-2024")</f>
        <v/>
      </c>
      <c r="AA72">
        <f>HYPERLINK("https://klasma.github.io/Logging_0980/klagomål/A 20831-2024 FSC-klagomål.docx", "A 20831-2024")</f>
        <v/>
      </c>
      <c r="AB72">
        <f>HYPERLINK("https://klasma.github.io/Logging_0980/klagomålsmail/A 20831-2024 FSC-klagomål mail.docx", "A 20831-2024")</f>
        <v/>
      </c>
      <c r="AC72">
        <f>HYPERLINK("https://klasma.github.io/Logging_0980/tillsyn/A 20831-2024 tillsynsbegäran.docx", "A 20831-2024")</f>
        <v/>
      </c>
      <c r="AD72">
        <f>HYPERLINK("https://klasma.github.io/Logging_0980/tillsynsmail/A 20831-2024 tillsynsbegäran mail.docx", "A 20831-2024")</f>
        <v/>
      </c>
    </row>
    <row r="73" ht="15" customHeight="1">
      <c r="A73" t="inlineStr">
        <is>
          <t>A 54527-2023</t>
        </is>
      </c>
      <c r="B73" t="inlineStr">
        <is>
          <t>avverkningsanmälan</t>
        </is>
      </c>
      <c r="C73" t="inlineStr">
        <is>
          <t>Avverkning för annat ändamål</t>
        </is>
      </c>
      <c r="D73" s="1" t="n">
        <v>45233</v>
      </c>
      <c r="E73" s="1" t="n">
        <v>46293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46293</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46293</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46293</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46293</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46293</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46293</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46293</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63152-2025</t>
        </is>
      </c>
      <c r="B82" t="inlineStr">
        <is>
          <t>avverkningsanmälan</t>
        </is>
      </c>
      <c r="C82" t="inlineStr">
        <is>
          <t>Föryngringsavverkning</t>
        </is>
      </c>
      <c r="D82" s="1" t="n">
        <v>46010</v>
      </c>
      <c r="E82" s="1" t="n">
        <v>46293</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999-2023</t>
        </is>
      </c>
      <c r="B83" t="inlineStr">
        <is>
          <t>avverkningsanmälan</t>
        </is>
      </c>
      <c r="C83" t="inlineStr">
        <is>
          <t>Föryngringsavverkning</t>
        </is>
      </c>
      <c r="D83" s="1" t="n">
        <v>44935</v>
      </c>
      <c r="E83" s="1" t="n">
        <v>46293</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10419-2025</t>
        </is>
      </c>
      <c r="B84" t="inlineStr">
        <is>
          <t>avverkningsanmälan</t>
        </is>
      </c>
      <c r="C84" t="inlineStr">
        <is>
          <t>Avverkning för att bevara och utveckla /försöksver</t>
        </is>
      </c>
      <c r="D84" s="1" t="n">
        <v>45720</v>
      </c>
      <c r="E84" s="1" t="n">
        <v>46293</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46293</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46293</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46293</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46293</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46293</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46293</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46293</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46293</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46293</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5904-2024</t>
        </is>
      </c>
      <c r="B94" t="inlineStr">
        <is>
          <t>avverkningsanmälan</t>
        </is>
      </c>
      <c r="C94" t="inlineStr">
        <is>
          <t>Föryngringsavverkning</t>
        </is>
      </c>
      <c r="D94" s="1" t="n">
        <v>45335</v>
      </c>
      <c r="E94" s="1" t="n">
        <v>46293</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46293</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46293</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46293</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46293</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46293</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46293</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46293</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46293</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46293</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46293</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46293</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46293</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46293</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46293</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46293</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46293</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46293</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46293</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46293</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46293</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46293</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46293</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46293</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19322-2026</t>
        </is>
      </c>
      <c r="B118" t="inlineStr">
        <is>
          <t>avverkningsanmälan</t>
        </is>
      </c>
      <c r="C118" t="inlineStr">
        <is>
          <t>Avverkning för annat ändamål</t>
        </is>
      </c>
      <c r="D118" s="1" t="n">
        <v>46129</v>
      </c>
      <c r="E118" s="1" t="n">
        <v>46293</v>
      </c>
      <c r="F118" t="inlineStr">
        <is>
          <t>GOTLANDS LÄN</t>
        </is>
      </c>
      <c r="G118" t="inlineStr">
        <is>
          <t>GOTLAND</t>
        </is>
      </c>
      <c r="I118" t="n">
        <v>1</v>
      </c>
      <c r="J118" t="n">
        <v>2</v>
      </c>
      <c r="K118" t="n">
        <v>1</v>
      </c>
      <c r="L118" t="n">
        <v>2</v>
      </c>
      <c r="M118" t="n">
        <v>0</v>
      </c>
      <c r="N118" t="n">
        <v>0</v>
      </c>
      <c r="O118" t="n">
        <v>0</v>
      </c>
      <c r="P118" t="n">
        <v>0</v>
      </c>
      <c r="Q118" t="n">
        <v>2</v>
      </c>
      <c r="R118" t="n">
        <v>0</v>
      </c>
      <c r="S118" t="n">
        <v>3</v>
      </c>
      <c r="T118" t="n">
        <v>3</v>
      </c>
      <c r="U118" t="n">
        <v>0</v>
      </c>
      <c r="V118" s="2" t="inlineStr">
        <is>
          <t>Gulsparv
Svinrot
Tvåblad</t>
        </is>
      </c>
      <c r="W118">
        <f>HYPERLINK("https://klasma.github.io/Logging_0980/artfynd/A 19322-2026 artfynd.xlsx", "A 19322-2026")</f>
        <v/>
      </c>
      <c r="X118">
        <f>HYPERLINK("https://klasma.github.io/Logging_0980/kartor/A 19322-2026 karta.png", "A 19322-2026")</f>
        <v/>
      </c>
      <c r="Y118">
        <f>HYPERLINK("https://klasma.github.io/Logging_0980/kartor_geotiff/A 19322-2026 georefererad karta.tif", "A 19322-2026")</f>
        <v/>
      </c>
      <c r="AA118">
        <f>HYPERLINK("https://klasma.github.io/Logging_0980/klagomål/A 19322-2026 FSC-klagomål.docx", "A 19322-2026")</f>
        <v/>
      </c>
      <c r="AB118">
        <f>HYPERLINK("https://klasma.github.io/Logging_0980/klagomålsmail/A 19322-2026 FSC-klagomål mail.docx", "A 19322-2026")</f>
        <v/>
      </c>
      <c r="AC118">
        <f>HYPERLINK("https://klasma.github.io/Logging_0980/tillsyn/A 19322-2026 tillsynsbegäran.docx", "A 19322-2026")</f>
        <v/>
      </c>
      <c r="AD118">
        <f>HYPERLINK("https://klasma.github.io/Logging_0980/tillsynsmail/A 19322-2026 tillsynsbegäran mail.docx", "A 19322-2026")</f>
        <v/>
      </c>
      <c r="AE118">
        <f>HYPERLINK("https://klasma.github.io/Logging_0980/fåglar/A 19322-2026 prioriterade fågelarter.docx", "A 19322-2026")</f>
        <v/>
      </c>
    </row>
    <row r="119" ht="15" customHeight="1">
      <c r="A119" t="inlineStr">
        <is>
          <t>A 43013-2022</t>
        </is>
      </c>
      <c r="B119" t="inlineStr">
        <is>
          <t>avverkningsanmälan</t>
        </is>
      </c>
      <c r="C119" t="inlineStr">
        <is>
          <t>Föryngringsavverkning</t>
        </is>
      </c>
      <c r="D119" s="1" t="n">
        <v>44833</v>
      </c>
      <c r="E119" s="1" t="n">
        <v>46293</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46293</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46293</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46293</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46293</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17982-2023</t>
        </is>
      </c>
      <c r="B124" t="inlineStr">
        <is>
          <t>avverkningsanmälan</t>
        </is>
      </c>
      <c r="C124" t="inlineStr">
        <is>
          <t>Avverkning för att bevara och utveckla /försöksver</t>
        </is>
      </c>
      <c r="D124" s="1" t="n">
        <v>45040</v>
      </c>
      <c r="E124" s="1" t="n">
        <v>46293</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46293</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26992-2026</t>
        </is>
      </c>
      <c r="B126" t="inlineStr">
        <is>
          <t>avverkningsanmälan</t>
        </is>
      </c>
      <c r="C126" t="inlineStr">
        <is>
          <t>Föryngringsavverkning</t>
        </is>
      </c>
      <c r="D126" s="1" t="n">
        <v>46185</v>
      </c>
      <c r="E126" s="1" t="n">
        <v>46293</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13499-2022</t>
        </is>
      </c>
      <c r="B127" t="inlineStr">
        <is>
          <t>avverkningsanmälan</t>
        </is>
      </c>
      <c r="C127" t="inlineStr">
        <is>
          <t>Föryngringsavverkning</t>
        </is>
      </c>
      <c r="D127" s="1" t="n">
        <v>44647</v>
      </c>
      <c r="E127" s="1" t="n">
        <v>46293</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46293</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46293</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46293</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46293</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5909-2025</t>
        </is>
      </c>
      <c r="B132" t="inlineStr">
        <is>
          <t>avverkningsanmälan</t>
        </is>
      </c>
      <c r="C132" t="inlineStr">
        <is>
          <t>Föryngringsavverkning</t>
        </is>
      </c>
      <c r="D132" s="1" t="n">
        <v>45695</v>
      </c>
      <c r="E132" s="1" t="n">
        <v>46293</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10440-2024</t>
        </is>
      </c>
      <c r="B133" t="inlineStr">
        <is>
          <t>avverkningsanmälan</t>
        </is>
      </c>
      <c r="C133" t="inlineStr">
        <is>
          <t>Föryngringsavverkning</t>
        </is>
      </c>
      <c r="D133" s="1" t="n">
        <v>45366</v>
      </c>
      <c r="E133" s="1" t="n">
        <v>46293</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44207-2022</t>
        </is>
      </c>
      <c r="B134" t="inlineStr">
        <is>
          <t>avverkningsanmälan</t>
        </is>
      </c>
      <c r="C134" t="inlineStr">
        <is>
          <t>Föryngringsavverkning</t>
        </is>
      </c>
      <c r="D134" s="1" t="n">
        <v>44839</v>
      </c>
      <c r="E134" s="1" t="n">
        <v>46293</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46293</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46293</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49314-2024</t>
        </is>
      </c>
      <c r="B137" t="inlineStr">
        <is>
          <t>avverkningsanmälan</t>
        </is>
      </c>
      <c r="C137" t="inlineStr">
        <is>
          <t>Föryngringsavverkning</t>
        </is>
      </c>
      <c r="D137" s="1" t="n">
        <v>45595</v>
      </c>
      <c r="E137" s="1" t="n">
        <v>46293</v>
      </c>
      <c r="F137" t="inlineStr">
        <is>
          <t>GOTLANDS LÄN</t>
        </is>
      </c>
      <c r="G137" t="inlineStr">
        <is>
          <t>GOTLAND</t>
        </is>
      </c>
      <c r="I137" t="n">
        <v>1.1</v>
      </c>
      <c r="J137" t="n">
        <v>0</v>
      </c>
      <c r="K137" t="n">
        <v>1</v>
      </c>
      <c r="L137" t="n">
        <v>0</v>
      </c>
      <c r="M137" t="n">
        <v>1</v>
      </c>
      <c r="N137" t="n">
        <v>0</v>
      </c>
      <c r="O137" t="n">
        <v>0</v>
      </c>
      <c r="P137" t="n">
        <v>0</v>
      </c>
      <c r="Q137" t="n">
        <v>1</v>
      </c>
      <c r="R137" t="n">
        <v>1</v>
      </c>
      <c r="S137" t="n">
        <v>2</v>
      </c>
      <c r="T137" t="n">
        <v>2</v>
      </c>
      <c r="U137" t="n">
        <v>2</v>
      </c>
      <c r="V137" s="2" t="inlineStr">
        <is>
          <t>Skogskorn
Underviol</t>
        </is>
      </c>
      <c r="W137">
        <f>HYPERLINK("https://klasma.github.io/Logging_0980/artfynd/A 49314-2024 artfynd.xlsx", "A 49314-2024")</f>
        <v/>
      </c>
      <c r="X137">
        <f>HYPERLINK("https://klasma.github.io/Logging_0980/kartor/A 49314-2024 karta.png", "A 49314-2024")</f>
        <v/>
      </c>
      <c r="Y137">
        <f>HYPERLINK("https://klasma.github.io/Logging_0980/kartor_geotiff/A 49314-2024 georefererad karta.tif", "A 49314-2024")</f>
        <v/>
      </c>
      <c r="AA137">
        <f>HYPERLINK("https://klasma.github.io/Logging_0980/klagomål/A 49314-2024 FSC-klagomål.docx", "A 49314-2024")</f>
        <v/>
      </c>
      <c r="AB137">
        <f>HYPERLINK("https://klasma.github.io/Logging_0980/klagomålsmail/A 49314-2024 FSC-klagomål mail.docx", "A 49314-2024")</f>
        <v/>
      </c>
      <c r="AC137">
        <f>HYPERLINK("https://klasma.github.io/Logging_0980/tillsyn/A 49314-2024 tillsynsbegäran.docx", "A 49314-2024")</f>
        <v/>
      </c>
      <c r="AD137">
        <f>HYPERLINK("https://klasma.github.io/Logging_0980/tillsynsmail/A 49314-2024 tillsynsbegäran mail.docx", "A 49314-2024")</f>
        <v/>
      </c>
    </row>
    <row r="138" ht="15" customHeight="1">
      <c r="A138" t="inlineStr">
        <is>
          <t>A 26077-2024</t>
        </is>
      </c>
      <c r="B138" t="inlineStr">
        <is>
          <t>avverkningsanmälan</t>
        </is>
      </c>
      <c r="C138" t="inlineStr">
        <is>
          <t>Avverkning för annat ändamål</t>
        </is>
      </c>
      <c r="D138" s="1" t="n">
        <v>45467</v>
      </c>
      <c r="E138" s="1" t="n">
        <v>46293</v>
      </c>
      <c r="F138" t="inlineStr">
        <is>
          <t>GOTLANDS LÄN</t>
        </is>
      </c>
      <c r="G138" t="inlineStr">
        <is>
          <t>GOTLAND</t>
        </is>
      </c>
      <c r="I138" t="n">
        <v>4.6</v>
      </c>
      <c r="J138" t="n">
        <v>0</v>
      </c>
      <c r="K138" t="n">
        <v>0</v>
      </c>
      <c r="L138" t="n">
        <v>1</v>
      </c>
      <c r="M138" t="n">
        <v>0</v>
      </c>
      <c r="N138" t="n">
        <v>1</v>
      </c>
      <c r="O138" t="n">
        <v>0</v>
      </c>
      <c r="P138" t="n">
        <v>0</v>
      </c>
      <c r="Q138" t="n">
        <v>2</v>
      </c>
      <c r="R138" t="n">
        <v>1</v>
      </c>
      <c r="S138" t="n">
        <v>2</v>
      </c>
      <c r="T138" t="n">
        <v>7</v>
      </c>
      <c r="U138" t="n">
        <v>0</v>
      </c>
      <c r="V138" s="2" t="inlineStr">
        <is>
          <t>Ask
Tallticka</t>
        </is>
      </c>
      <c r="W138">
        <f>HYPERLINK("https://klasma.github.io/Logging_0980/artfynd/A 26077-2024 artfynd.xlsx", "A 26077-2024")</f>
        <v/>
      </c>
      <c r="X138">
        <f>HYPERLINK("https://klasma.github.io/Logging_0980/kartor/A 26077-2024 karta.png", "A 26077-2024")</f>
        <v/>
      </c>
      <c r="Y138">
        <f>HYPERLINK("https://klasma.github.io/Logging_0980/kartor_geotiff/A 26077-2024 georefererad karta.tif", "A 26077-2024")</f>
        <v/>
      </c>
      <c r="AA138">
        <f>HYPERLINK("https://klasma.github.io/Logging_0980/klagomål/A 26077-2024 FSC-klagomål.docx", "A 26077-2024")</f>
        <v/>
      </c>
      <c r="AB138">
        <f>HYPERLINK("https://klasma.github.io/Logging_0980/klagomålsmail/A 26077-2024 FSC-klagomål mail.docx", "A 26077-2024")</f>
        <v/>
      </c>
      <c r="AC138">
        <f>HYPERLINK("https://klasma.github.io/Logging_0980/tillsyn/A 26077-2024 tillsynsbegäran.docx", "A 26077-2024")</f>
        <v/>
      </c>
      <c r="AD138">
        <f>HYPERLINK("https://klasma.github.io/Logging_0980/tillsynsmail/A 26077-2024 tillsynsbegäran mail.docx", "A 26077-2024")</f>
        <v/>
      </c>
    </row>
    <row r="139" ht="15" customHeight="1">
      <c r="A139" t="inlineStr">
        <is>
          <t>A 62760-2025</t>
        </is>
      </c>
      <c r="B139" t="inlineStr">
        <is>
          <t>avverkningsanmälan</t>
        </is>
      </c>
      <c r="C139" t="inlineStr">
        <is>
          <t>Föryngringsavverkning</t>
        </is>
      </c>
      <c r="D139" s="1" t="n">
        <v>46008</v>
      </c>
      <c r="E139" s="1" t="n">
        <v>46293</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46293</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33011-2025</t>
        </is>
      </c>
      <c r="B141" t="inlineStr">
        <is>
          <t>avverkningsanmälan</t>
        </is>
      </c>
      <c r="C141" t="inlineStr">
        <is>
          <t>Föryngringsavverkning</t>
        </is>
      </c>
      <c r="D141" s="1" t="n">
        <v>45840</v>
      </c>
      <c r="E141" s="1" t="n">
        <v>46293</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1010-2024</t>
        </is>
      </c>
      <c r="B142" t="inlineStr">
        <is>
          <t>avverkningsanmälan</t>
        </is>
      </c>
      <c r="C142" t="inlineStr">
        <is>
          <t>Föryngringsavverkning</t>
        </is>
      </c>
      <c r="D142" s="1" t="n">
        <v>45301</v>
      </c>
      <c r="E142" s="1" t="n">
        <v>46293</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46293</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27589-2023</t>
        </is>
      </c>
      <c r="B144" t="inlineStr">
        <is>
          <t>avverkningsanmälan</t>
        </is>
      </c>
      <c r="C144" t="inlineStr">
        <is>
          <t>Avverkning för annat ändamål</t>
        </is>
      </c>
      <c r="D144" s="1" t="n">
        <v>45097</v>
      </c>
      <c r="E144" s="1" t="n">
        <v>46293</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46293</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46293</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30470-2026</t>
        </is>
      </c>
      <c r="B147" t="inlineStr">
        <is>
          <t>avverkningsanmälan</t>
        </is>
      </c>
      <c r="C147" t="inlineStr">
        <is>
          <t>Föryngringsavverkning</t>
        </is>
      </c>
      <c r="D147" s="1" t="n">
        <v>46209</v>
      </c>
      <c r="E147" s="1" t="n">
        <v>46293</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28261-2024</t>
        </is>
      </c>
      <c r="B148" t="inlineStr">
        <is>
          <t>avverkningsanmälan</t>
        </is>
      </c>
      <c r="C148" t="inlineStr">
        <is>
          <t>Avverkning för annat ändamål</t>
        </is>
      </c>
      <c r="D148" s="1" t="n">
        <v>45477</v>
      </c>
      <c r="E148" s="1" t="n">
        <v>46293</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27621-2026</t>
        </is>
      </c>
      <c r="B149" t="inlineStr">
        <is>
          <t>avverkningsanmälan</t>
        </is>
      </c>
      <c r="C149" t="inlineStr">
        <is>
          <t>Föryngringsavverkning</t>
        </is>
      </c>
      <c r="D149" s="1" t="n">
        <v>46190</v>
      </c>
      <c r="E149" s="1" t="n">
        <v>46293</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28276-2024</t>
        </is>
      </c>
      <c r="B150" t="inlineStr">
        <is>
          <t>avverkningsanmälan</t>
        </is>
      </c>
      <c r="C150" t="inlineStr">
        <is>
          <t>Avverkning för annat ändamål</t>
        </is>
      </c>
      <c r="D150" s="1" t="n">
        <v>45477</v>
      </c>
      <c r="E150" s="1" t="n">
        <v>46293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S 3320-2023</t>
        </is>
      </c>
      <c r="B151" t="inlineStr">
        <is>
          <t>samrådsanmälan</t>
        </is>
      </c>
      <c r="C151" t="inlineStr">
        <is>
          <t>Annan skogsbruksåtgärd</t>
        </is>
      </c>
      <c r="D151" s="1" t="n">
        <v>45198</v>
      </c>
      <c r="E151" s="1" t="n">
        <v>46293</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46293</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46293</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46293</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10218-2025</t>
        </is>
      </c>
      <c r="B155" t="inlineStr">
        <is>
          <t>avverkningsanmälan</t>
        </is>
      </c>
      <c r="C155" t="inlineStr">
        <is>
          <t>Föryngringsavverkning</t>
        </is>
      </c>
      <c r="D155" s="1" t="n">
        <v>45720</v>
      </c>
      <c r="E155" s="1" t="n">
        <v>46293</v>
      </c>
      <c r="F155" t="inlineStr">
        <is>
          <t>GOTLANDS LÄN</t>
        </is>
      </c>
      <c r="G155" t="inlineStr">
        <is>
          <t>GOTLAND</t>
        </is>
      </c>
      <c r="I155" t="n">
        <v>8.1</v>
      </c>
      <c r="J155" t="n">
        <v>0</v>
      </c>
      <c r="K155" t="n">
        <v>1</v>
      </c>
      <c r="L155" t="n">
        <v>0</v>
      </c>
      <c r="M155" t="n">
        <v>0</v>
      </c>
      <c r="N155" t="n">
        <v>0</v>
      </c>
      <c r="O155" t="n">
        <v>0</v>
      </c>
      <c r="P155" t="n">
        <v>0</v>
      </c>
      <c r="Q155" t="n">
        <v>0</v>
      </c>
      <c r="R155" t="n">
        <v>0</v>
      </c>
      <c r="S155" t="n">
        <v>1</v>
      </c>
      <c r="T155" t="n">
        <v>1</v>
      </c>
      <c r="U155" t="n">
        <v>1</v>
      </c>
      <c r="V155" s="2" t="inlineStr">
        <is>
          <t>Kalktallört</t>
        </is>
      </c>
      <c r="W155">
        <f>HYPERLINK("https://klasma.github.io/Logging_0980/artfynd/A 10218-2025 artfynd.xlsx", "A 10218-2025")</f>
        <v/>
      </c>
      <c r="X155">
        <f>HYPERLINK("https://klasma.github.io/Logging_0980/kartor/A 10218-2025 karta.png", "A 10218-2025")</f>
        <v/>
      </c>
      <c r="Y155">
        <f>HYPERLINK("https://klasma.github.io/Logging_0980/kartor_geotiff/A 10218-2025 georefererad karta.tif", "A 10218-2025")</f>
        <v/>
      </c>
      <c r="AA155">
        <f>HYPERLINK("https://klasma.github.io/Logging_0980/klagomål/A 10218-2025 FSC-klagomål.docx", "A 10218-2025")</f>
        <v/>
      </c>
      <c r="AB155">
        <f>HYPERLINK("https://klasma.github.io/Logging_0980/klagomålsmail/A 10218-2025 FSC-klagomål mail.docx", "A 10218-2025")</f>
        <v/>
      </c>
      <c r="AC155">
        <f>HYPERLINK("https://klasma.github.io/Logging_0980/tillsyn/A 10218-2025 tillsynsbegäran.docx", "A 10218-2025")</f>
        <v/>
      </c>
      <c r="AD155">
        <f>HYPERLINK("https://klasma.github.io/Logging_0980/tillsynsmail/A 10218-2025 tillsynsbegäran mail.docx", "A 10218-2025")</f>
        <v/>
      </c>
    </row>
    <row r="156" ht="15" customHeight="1">
      <c r="A156" t="inlineStr">
        <is>
          <t>A 12379-2024</t>
        </is>
      </c>
      <c r="B156" t="inlineStr">
        <is>
          <t>avverkningsanmälan</t>
        </is>
      </c>
      <c r="C156" t="inlineStr">
        <is>
          <t>Föryngringsavverkning</t>
        </is>
      </c>
      <c r="D156" s="1" t="n">
        <v>45379</v>
      </c>
      <c r="E156" s="1" t="n">
        <v>46293</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5751-2024</t>
        </is>
      </c>
      <c r="B157" t="inlineStr">
        <is>
          <t>avverkningsanmälan</t>
        </is>
      </c>
      <c r="C157" t="inlineStr">
        <is>
          <t>Avverkning för att bevara och utveckla /försöksver</t>
        </is>
      </c>
      <c r="D157" s="1" t="n">
        <v>45335</v>
      </c>
      <c r="E157" s="1" t="n">
        <v>46293</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46189-2022</t>
        </is>
      </c>
      <c r="B158" t="inlineStr">
        <is>
          <t>avverkningsanmälan</t>
        </is>
      </c>
      <c r="C158" t="inlineStr">
        <is>
          <t>Avverkning för annat ändamål</t>
        </is>
      </c>
      <c r="D158" s="1" t="n">
        <v>44847</v>
      </c>
      <c r="E158" s="1" t="n">
        <v>46293</v>
      </c>
      <c r="F158" t="inlineStr">
        <is>
          <t>GOTLANDS LÄN</t>
        </is>
      </c>
      <c r="G158" t="inlineStr">
        <is>
          <t>GOTLAND</t>
        </is>
      </c>
      <c r="I158" t="n">
        <v>0.4</v>
      </c>
      <c r="J158" t="n">
        <v>0</v>
      </c>
      <c r="K158" t="n">
        <v>0</v>
      </c>
      <c r="L158" t="n">
        <v>1</v>
      </c>
      <c r="M158" t="n">
        <v>0</v>
      </c>
      <c r="N158" t="n">
        <v>0</v>
      </c>
      <c r="O158" t="n">
        <v>0</v>
      </c>
      <c r="P158" t="n">
        <v>0</v>
      </c>
      <c r="Q158" t="n">
        <v>1</v>
      </c>
      <c r="R158" t="n">
        <v>0</v>
      </c>
      <c r="S158" t="n">
        <v>1</v>
      </c>
      <c r="T158" t="n">
        <v>1</v>
      </c>
      <c r="U158" t="n">
        <v>1</v>
      </c>
      <c r="V158" s="2" t="inlineStr">
        <is>
          <t>Stjälkröksvamp</t>
        </is>
      </c>
      <c r="W158">
        <f>HYPERLINK("https://klasma.github.io/Logging_0980/artfynd/A 46189-2022 artfynd.xlsx", "A 46189-2022")</f>
        <v/>
      </c>
      <c r="X158">
        <f>HYPERLINK("https://klasma.github.io/Logging_0980/kartor/A 46189-2022 karta.png", "A 46189-2022")</f>
        <v/>
      </c>
      <c r="Y158">
        <f>HYPERLINK("https://klasma.github.io/Logging_0980/kartor_geotiff/A 46189-2022 georefererad karta.tif", "A 46189-2022")</f>
        <v/>
      </c>
      <c r="AA158">
        <f>HYPERLINK("https://klasma.github.io/Logging_0980/klagomål/A 46189-2022 FSC-klagomål.docx", "A 46189-2022")</f>
        <v/>
      </c>
      <c r="AB158">
        <f>HYPERLINK("https://klasma.github.io/Logging_0980/klagomålsmail/A 46189-2022 FSC-klagomål mail.docx", "A 46189-2022")</f>
        <v/>
      </c>
      <c r="AC158">
        <f>HYPERLINK("https://klasma.github.io/Logging_0980/tillsyn/A 46189-2022 tillsynsbegäran.docx", "A 46189-2022")</f>
        <v/>
      </c>
      <c r="AD158">
        <f>HYPERLINK("https://klasma.github.io/Logging_0980/tillsynsmail/A 46189-2022 tillsynsbegäran mail.docx", "A 46189-2022")</f>
        <v/>
      </c>
    </row>
    <row r="159" ht="15" customHeight="1">
      <c r="A159" t="inlineStr">
        <is>
          <t>A 27593-2023</t>
        </is>
      </c>
      <c r="B159" t="inlineStr">
        <is>
          <t>avverkningsanmälan</t>
        </is>
      </c>
      <c r="C159" t="inlineStr">
        <is>
          <t>Avverkning för annat ändamål</t>
        </is>
      </c>
      <c r="D159" s="1" t="n">
        <v>45097</v>
      </c>
      <c r="E159" s="1" t="n">
        <v>46293</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25977-2024</t>
        </is>
      </c>
      <c r="B160" t="inlineStr">
        <is>
          <t>avverkningsanmälan</t>
        </is>
      </c>
      <c r="C160" t="inlineStr">
        <is>
          <t>Föryngringsavverkning</t>
        </is>
      </c>
      <c r="D160" s="1" t="n">
        <v>45467</v>
      </c>
      <c r="E160" s="1" t="n">
        <v>46293</v>
      </c>
      <c r="F160" t="inlineStr">
        <is>
          <t>GOTLANDS LÄN</t>
        </is>
      </c>
      <c r="G160" t="inlineStr">
        <is>
          <t>GOTLAND</t>
        </is>
      </c>
      <c r="I160" t="n">
        <v>3</v>
      </c>
      <c r="J160" t="n">
        <v>1</v>
      </c>
      <c r="K160" t="n">
        <v>0</v>
      </c>
      <c r="L160" t="n">
        <v>0</v>
      </c>
      <c r="M160" t="n">
        <v>0</v>
      </c>
      <c r="N160" t="n">
        <v>0</v>
      </c>
      <c r="O160" t="n">
        <v>0</v>
      </c>
      <c r="P160" t="n">
        <v>0</v>
      </c>
      <c r="Q160" t="n">
        <v>0</v>
      </c>
      <c r="R160" t="n">
        <v>0</v>
      </c>
      <c r="S160" t="n">
        <v>1</v>
      </c>
      <c r="T160" t="n">
        <v>1</v>
      </c>
      <c r="U160" t="n">
        <v>1</v>
      </c>
      <c r="V160" s="2" t="inlineStr">
        <is>
          <t>Nattviol</t>
        </is>
      </c>
      <c r="W160">
        <f>HYPERLINK("https://klasma.github.io/Logging_0980/artfynd/A 25977-2024 artfynd.xlsx", "A 25977-2024")</f>
        <v/>
      </c>
      <c r="X160">
        <f>HYPERLINK("https://klasma.github.io/Logging_0980/kartor/A 25977-2024 karta.png", "A 25977-2024")</f>
        <v/>
      </c>
      <c r="Y160">
        <f>HYPERLINK("https://klasma.github.io/Logging_0980/kartor_geotiff/A 25977-2024 georefererad karta.tif", "A 25977-2024")</f>
        <v/>
      </c>
      <c r="AA160">
        <f>HYPERLINK("https://klasma.github.io/Logging_0980/klagomål/A 25977-2024 FSC-klagomål.docx", "A 25977-2024")</f>
        <v/>
      </c>
      <c r="AB160">
        <f>HYPERLINK("https://klasma.github.io/Logging_0980/klagomålsmail/A 25977-2024 FSC-klagomål mail.docx", "A 25977-2024")</f>
        <v/>
      </c>
      <c r="AC160">
        <f>HYPERLINK("https://klasma.github.io/Logging_0980/tillsyn/A 25977-2024 tillsynsbegäran.docx", "A 25977-2024")</f>
        <v/>
      </c>
      <c r="AD160">
        <f>HYPERLINK("https://klasma.github.io/Logging_0980/tillsynsmail/A 25977-2024 tillsynsbegäran mail.docx", "A 25977-2024")</f>
        <v/>
      </c>
    </row>
    <row r="161" ht="15" customHeight="1">
      <c r="A161" t="inlineStr">
        <is>
          <t>A 4568-2025</t>
        </is>
      </c>
      <c r="B161" t="inlineStr">
        <is>
          <t>avverkningsanmälan</t>
        </is>
      </c>
      <c r="C161" t="inlineStr">
        <is>
          <t>Föryngringsavverkning</t>
        </is>
      </c>
      <c r="D161" s="1" t="n">
        <v>45687</v>
      </c>
      <c r="E161" s="1" t="n">
        <v>46293</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46293</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29809-2022</t>
        </is>
      </c>
      <c r="B163" t="inlineStr">
        <is>
          <t>avverkningsanmälan</t>
        </is>
      </c>
      <c r="C163" t="inlineStr">
        <is>
          <t>Föryngringsavverkning</t>
        </is>
      </c>
      <c r="D163" s="1" t="n">
        <v>44755</v>
      </c>
      <c r="E163" s="1" t="n">
        <v>46293</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46293</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46293</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4662-2026</t>
        </is>
      </c>
      <c r="B166" t="inlineStr">
        <is>
          <t>avverkningsanmälan</t>
        </is>
      </c>
      <c r="C166" t="inlineStr">
        <is>
          <t>Föryngringsavverkning</t>
        </is>
      </c>
      <c r="D166" s="1" t="n">
        <v>46048</v>
      </c>
      <c r="E166" s="1" t="n">
        <v>46293</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63229-2021</t>
        </is>
      </c>
      <c r="B167" t="inlineStr">
        <is>
          <t>avverkningsanmälan</t>
        </is>
      </c>
      <c r="C167" t="inlineStr">
        <is>
          <t>Föryngringsavverkning</t>
        </is>
      </c>
      <c r="D167" s="1" t="n">
        <v>44508</v>
      </c>
      <c r="E167" s="1" t="n">
        <v>46293</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17854-2026</t>
        </is>
      </c>
      <c r="B168" t="inlineStr">
        <is>
          <t>avverkningsanmälan</t>
        </is>
      </c>
      <c r="C168" t="inlineStr">
        <is>
          <t>Föryngringsavverkning</t>
        </is>
      </c>
      <c r="D168" s="1" t="n">
        <v>46121</v>
      </c>
      <c r="E168" s="1" t="n">
        <v>46293</v>
      </c>
      <c r="F168" t="inlineStr">
        <is>
          <t>GOTLANDS LÄN</t>
        </is>
      </c>
      <c r="G168" t="inlineStr">
        <is>
          <t>GOTLAND</t>
        </is>
      </c>
      <c r="I168" t="n">
        <v>6.6</v>
      </c>
      <c r="J168" t="n">
        <v>0</v>
      </c>
      <c r="K168" t="n">
        <v>0</v>
      </c>
      <c r="L168" t="n">
        <v>1</v>
      </c>
      <c r="M168" t="n">
        <v>0</v>
      </c>
      <c r="N168" t="n">
        <v>0</v>
      </c>
      <c r="O168" t="n">
        <v>0</v>
      </c>
      <c r="P168" t="n">
        <v>0</v>
      </c>
      <c r="Q168" t="n">
        <v>1</v>
      </c>
      <c r="R168" t="n">
        <v>0</v>
      </c>
      <c r="S168" t="n">
        <v>1</v>
      </c>
      <c r="T168" t="n">
        <v>1</v>
      </c>
      <c r="U168" t="n">
        <v>0</v>
      </c>
      <c r="V168" s="2" t="inlineStr">
        <is>
          <t>Blå slemspindling</t>
        </is>
      </c>
      <c r="W168">
        <f>HYPERLINK("https://klasma.github.io/Logging_0980/artfynd/A 17854-2026 artfynd.xlsx", "A 17854-2026")</f>
        <v/>
      </c>
      <c r="X168">
        <f>HYPERLINK("https://klasma.github.io/Logging_0980/kartor/A 17854-2026 karta.png", "A 17854-2026")</f>
        <v/>
      </c>
      <c r="Y168">
        <f>HYPERLINK("https://klasma.github.io/Logging_0980/kartor_geotiff/A 17854-2026 georefererad karta.tif", "A 17854-2026")</f>
        <v/>
      </c>
      <c r="AA168">
        <f>HYPERLINK("https://klasma.github.io/Logging_0980/klagomål/A 17854-2026 FSC-klagomål.docx", "A 17854-2026")</f>
        <v/>
      </c>
      <c r="AB168">
        <f>HYPERLINK("https://klasma.github.io/Logging_0980/klagomålsmail/A 17854-2026 FSC-klagomål mail.docx", "A 17854-2026")</f>
        <v/>
      </c>
      <c r="AC168">
        <f>HYPERLINK("https://klasma.github.io/Logging_0980/tillsyn/A 17854-2026 tillsynsbegäran.docx", "A 17854-2026")</f>
        <v/>
      </c>
      <c r="AD168">
        <f>HYPERLINK("https://klasma.github.io/Logging_0980/tillsynsmail/A 17854-2026 tillsynsbegäran mail.docx", "A 17854-2026")</f>
        <v/>
      </c>
    </row>
    <row r="169" ht="15" customHeight="1">
      <c r="A169" t="inlineStr">
        <is>
          <t>A 6739-2025</t>
        </is>
      </c>
      <c r="B169" t="inlineStr">
        <is>
          <t>avverkningsanmälan</t>
        </is>
      </c>
      <c r="C169" t="inlineStr">
        <is>
          <t>Föryngringsavverkning</t>
        </is>
      </c>
      <c r="D169" s="1" t="n">
        <v>45700</v>
      </c>
      <c r="E169" s="1" t="n">
        <v>46293</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10995-2023</t>
        </is>
      </c>
      <c r="B170" t="inlineStr">
        <is>
          <t>avverkningsanmälan</t>
        </is>
      </c>
      <c r="C170" t="inlineStr">
        <is>
          <t>Föryngringsavverkning</t>
        </is>
      </c>
      <c r="D170" s="1" t="n">
        <v>44986</v>
      </c>
      <c r="E170" s="1" t="n">
        <v>46293</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t="n">
        <v>0</v>
      </c>
      <c r="V170" s="2" t="inlineStr">
        <is>
          <t>Violettfläckig spindling</t>
        </is>
      </c>
      <c r="W170">
        <f>HYPERLINK("https://klasma.github.io/Logging_0980/artfynd/A 10995-2023 artfynd.xlsx", "A 10995-2023")</f>
        <v/>
      </c>
      <c r="X170">
        <f>HYPERLINK("https://klasma.github.io/Logging_0980/kartor/A 10995-2023 karta.png", "A 10995-2023")</f>
        <v/>
      </c>
      <c r="Y170">
        <f>HYPERLINK("https://klasma.github.io/Logging_0980/kartor_geotiff/A 10995-2023 georefererad karta.tif", "A 10995-2023")</f>
        <v/>
      </c>
      <c r="AA170">
        <f>HYPERLINK("https://klasma.github.io/Logging_0980/klagomål/A 10995-2023 FSC-klagomål.docx", "A 10995-2023")</f>
        <v/>
      </c>
      <c r="AB170">
        <f>HYPERLINK("https://klasma.github.io/Logging_0980/klagomålsmail/A 10995-2023 FSC-klagomål mail.docx", "A 10995-2023")</f>
        <v/>
      </c>
      <c r="AC170">
        <f>HYPERLINK("https://klasma.github.io/Logging_0980/tillsyn/A 10995-2023 tillsynsbegäran.docx", "A 10995-2023")</f>
        <v/>
      </c>
      <c r="AD170">
        <f>HYPERLINK("https://klasma.github.io/Logging_0980/tillsynsmail/A 10995-2023 tillsynsbegäran mail.docx", "A 10995-2023")</f>
        <v/>
      </c>
    </row>
    <row r="171" ht="15" customHeight="1">
      <c r="A171" t="inlineStr">
        <is>
          <t>A 62552-2022</t>
        </is>
      </c>
      <c r="B171" t="inlineStr">
        <is>
          <t>avverkningsanmälan</t>
        </is>
      </c>
      <c r="C171" t="inlineStr">
        <is>
          <t>Föryngringsavverkning</t>
        </is>
      </c>
      <c r="D171" s="1" t="n">
        <v>44924</v>
      </c>
      <c r="E171" s="1" t="n">
        <v>46293</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44088-2022</t>
        </is>
      </c>
      <c r="B172" t="inlineStr">
        <is>
          <t>avverkningsanmälan</t>
        </is>
      </c>
      <c r="C172" t="inlineStr">
        <is>
          <t>Föryngringsavverkning</t>
        </is>
      </c>
      <c r="D172" s="1" t="n">
        <v>44839</v>
      </c>
      <c r="E172" s="1" t="n">
        <v>46293</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49693-2023</t>
        </is>
      </c>
      <c r="B173" t="inlineStr">
        <is>
          <t>avverkningsanmälan</t>
        </is>
      </c>
      <c r="C173" t="inlineStr">
        <is>
          <t>Föryngringsavverkning</t>
        </is>
      </c>
      <c r="D173" s="1" t="n">
        <v>45212</v>
      </c>
      <c r="E173" s="1" t="n">
        <v>46293</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t="n">
        <v>1</v>
      </c>
      <c r="V173" s="2" t="inlineStr">
        <is>
          <t>Vit taggsvamp</t>
        </is>
      </c>
      <c r="W173">
        <f>HYPERLINK("https://klasma.github.io/Logging_0980/artfynd/A 49693-2023 artfynd.xlsx", "A 49693-2023")</f>
        <v/>
      </c>
      <c r="X173">
        <f>HYPERLINK("https://klasma.github.io/Logging_0980/kartor/A 49693-2023 karta.png", "A 49693-2023")</f>
        <v/>
      </c>
      <c r="Y173">
        <f>HYPERLINK("https://klasma.github.io/Logging_0980/kartor_geotiff/A 49693-2023 georefererad karta.tif", "A 49693-2023")</f>
        <v/>
      </c>
      <c r="AA173">
        <f>HYPERLINK("https://klasma.github.io/Logging_0980/klagomål/A 49693-2023 FSC-klagomål.docx", "A 49693-2023")</f>
        <v/>
      </c>
      <c r="AB173">
        <f>HYPERLINK("https://klasma.github.io/Logging_0980/klagomålsmail/A 49693-2023 FSC-klagomål mail.docx", "A 49693-2023")</f>
        <v/>
      </c>
      <c r="AC173">
        <f>HYPERLINK("https://klasma.github.io/Logging_0980/tillsyn/A 49693-2023 tillsynsbegäran.docx", "A 49693-2023")</f>
        <v/>
      </c>
      <c r="AD173">
        <f>HYPERLINK("https://klasma.github.io/Logging_0980/tillsynsmail/A 49693-2023 tillsynsbegäran mail.docx", "A 49693-2023")</f>
        <v/>
      </c>
    </row>
    <row r="174" ht="15" customHeight="1">
      <c r="A174" t="inlineStr">
        <is>
          <t>A 69112-2021</t>
        </is>
      </c>
      <c r="B174" t="inlineStr">
        <is>
          <t>avverkningsanmälan</t>
        </is>
      </c>
      <c r="C174" t="inlineStr">
        <is>
          <t>Avverkning för annat ändamål</t>
        </is>
      </c>
      <c r="D174" s="1" t="n">
        <v>44530</v>
      </c>
      <c r="E174" s="1" t="n">
        <v>46293</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46293</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46293</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46293</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46293</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34141-2024</t>
        </is>
      </c>
      <c r="B179" t="inlineStr">
        <is>
          <t>avverkningsanmälan</t>
        </is>
      </c>
      <c r="C179" t="inlineStr">
        <is>
          <t>Föryngringsavverkning</t>
        </is>
      </c>
      <c r="D179" s="1" t="n">
        <v>45524</v>
      </c>
      <c r="E179" s="1" t="n">
        <v>46293</v>
      </c>
      <c r="F179" t="inlineStr">
        <is>
          <t>GOTLANDS LÄN</t>
        </is>
      </c>
      <c r="G179" t="inlineStr">
        <is>
          <t>GOTLAND</t>
        </is>
      </c>
      <c r="I179" t="n">
        <v>0.9</v>
      </c>
      <c r="J179" t="n">
        <v>0</v>
      </c>
      <c r="K179" t="n">
        <v>1</v>
      </c>
      <c r="L179" t="n">
        <v>0</v>
      </c>
      <c r="M179" t="n">
        <v>0</v>
      </c>
      <c r="N179" t="n">
        <v>0</v>
      </c>
      <c r="O179" t="n">
        <v>0</v>
      </c>
      <c r="P179" t="n">
        <v>0</v>
      </c>
      <c r="Q179" t="n">
        <v>0</v>
      </c>
      <c r="R179" t="n">
        <v>0</v>
      </c>
      <c r="S179" t="n">
        <v>1</v>
      </c>
      <c r="T179" t="n">
        <v>1</v>
      </c>
      <c r="U179" t="n">
        <v>1</v>
      </c>
      <c r="V179" s="2" t="inlineStr">
        <is>
          <t>Strävlosta</t>
        </is>
      </c>
      <c r="W179">
        <f>HYPERLINK("https://klasma.github.io/Logging_0980/artfynd/A 34141-2024 artfynd.xlsx", "A 34141-2024")</f>
        <v/>
      </c>
      <c r="X179">
        <f>HYPERLINK("https://klasma.github.io/Logging_0980/kartor/A 34141-2024 karta.png", "A 34141-2024")</f>
        <v/>
      </c>
      <c r="Y179">
        <f>HYPERLINK("https://klasma.github.io/Logging_0980/kartor_geotiff/A 34141-2024 georefererad karta.tif", "A 34141-2024")</f>
        <v/>
      </c>
      <c r="AA179">
        <f>HYPERLINK("https://klasma.github.io/Logging_0980/klagomål/A 34141-2024 FSC-klagomål.docx", "A 34141-2024")</f>
        <v/>
      </c>
      <c r="AB179">
        <f>HYPERLINK("https://klasma.github.io/Logging_0980/klagomålsmail/A 34141-2024 FSC-klagomål mail.docx", "A 34141-2024")</f>
        <v/>
      </c>
      <c r="AC179">
        <f>HYPERLINK("https://klasma.github.io/Logging_0980/tillsyn/A 34141-2024 tillsynsbegäran.docx", "A 34141-2024")</f>
        <v/>
      </c>
      <c r="AD179">
        <f>HYPERLINK("https://klasma.github.io/Logging_0980/tillsynsmail/A 34141-2024 tillsynsbegäran mail.docx", "A 34141-2024")</f>
        <v/>
      </c>
    </row>
    <row r="180" ht="15" customHeight="1">
      <c r="A180" t="inlineStr">
        <is>
          <t>A 9862-2024</t>
        </is>
      </c>
      <c r="B180" t="inlineStr">
        <is>
          <t>avverkningsanmälan</t>
        </is>
      </c>
      <c r="C180" t="inlineStr">
        <is>
          <t>Föryngringsavverkning</t>
        </is>
      </c>
      <c r="D180" s="1" t="n">
        <v>45363</v>
      </c>
      <c r="E180" s="1" t="n">
        <v>46293</v>
      </c>
      <c r="F180" t="inlineStr">
        <is>
          <t>GOTLANDS LÄN</t>
        </is>
      </c>
      <c r="G180" t="inlineStr">
        <is>
          <t>GOTLAND</t>
        </is>
      </c>
      <c r="I180" t="n">
        <v>3.5</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9862-2024 artfynd.xlsx", "A 9862-2024")</f>
        <v/>
      </c>
      <c r="X180">
        <f>HYPERLINK("https://klasma.github.io/Logging_0980/kartor/A 9862-2024 karta.png", "A 9862-2024")</f>
        <v/>
      </c>
      <c r="Y180">
        <f>HYPERLINK("https://klasma.github.io/Logging_0980/kartor_geotiff/A 9862-2024 georefererad karta.tif", "A 9862-2024")</f>
        <v/>
      </c>
      <c r="AA180">
        <f>HYPERLINK("https://klasma.github.io/Logging_0980/klagomål/A 9862-2024 FSC-klagomål.docx", "A 9862-2024")</f>
        <v/>
      </c>
      <c r="AB180">
        <f>HYPERLINK("https://klasma.github.io/Logging_0980/klagomålsmail/A 9862-2024 FSC-klagomål mail.docx", "A 9862-2024")</f>
        <v/>
      </c>
      <c r="AC180">
        <f>HYPERLINK("https://klasma.github.io/Logging_0980/tillsyn/A 9862-2024 tillsynsbegäran.docx", "A 9862-2024")</f>
        <v/>
      </c>
      <c r="AD180">
        <f>HYPERLINK("https://klasma.github.io/Logging_0980/tillsynsmail/A 9862-2024 tillsynsbegäran mail.docx", "A 9862-2024")</f>
        <v/>
      </c>
    </row>
    <row r="181" ht="15" customHeight="1">
      <c r="A181" t="inlineStr">
        <is>
          <t>A 62915-2021</t>
        </is>
      </c>
      <c r="B181" t="inlineStr">
        <is>
          <t>avverkningsanmälan</t>
        </is>
      </c>
      <c r="C181" t="inlineStr">
        <is>
          <t>Föryngringsavverkning</t>
        </is>
      </c>
      <c r="D181" s="1" t="n">
        <v>44504</v>
      </c>
      <c r="E181" s="1" t="n">
        <v>46293</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30104-2025</t>
        </is>
      </c>
      <c r="B182" t="inlineStr">
        <is>
          <t>avverkningsanmälan</t>
        </is>
      </c>
      <c r="C182" t="inlineStr">
        <is>
          <t>Föryngringsavverkning</t>
        </is>
      </c>
      <c r="D182" s="1" t="n">
        <v>45826</v>
      </c>
      <c r="E182" s="1" t="n">
        <v>46293</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11982-2026</t>
        </is>
      </c>
      <c r="B183" t="inlineStr">
        <is>
          <t>avverkningsanmälan</t>
        </is>
      </c>
      <c r="C183" t="inlineStr">
        <is>
          <t>Föryngringsavverkning</t>
        </is>
      </c>
      <c r="D183" s="1" t="n">
        <v>46085</v>
      </c>
      <c r="E183" s="1" t="n">
        <v>46293</v>
      </c>
      <c r="F183" t="inlineStr">
        <is>
          <t>GOTLANDS LÄN</t>
        </is>
      </c>
      <c r="G183" t="inlineStr">
        <is>
          <t>GOTLAND</t>
        </is>
      </c>
      <c r="I183" t="n">
        <v>2.2</v>
      </c>
      <c r="J183" t="n">
        <v>0</v>
      </c>
      <c r="K183" t="n">
        <v>0</v>
      </c>
      <c r="L183" t="n">
        <v>1</v>
      </c>
      <c r="M183" t="n">
        <v>0</v>
      </c>
      <c r="N183" t="n">
        <v>0</v>
      </c>
      <c r="O183" t="n">
        <v>0</v>
      </c>
      <c r="P183" t="n">
        <v>0</v>
      </c>
      <c r="Q183" t="n">
        <v>1</v>
      </c>
      <c r="R183" t="n">
        <v>0</v>
      </c>
      <c r="S183" t="n">
        <v>1</v>
      </c>
      <c r="T183" t="n">
        <v>1</v>
      </c>
      <c r="U183" t="n">
        <v>0</v>
      </c>
      <c r="V183" s="2" t="inlineStr">
        <is>
          <t>Småtörel</t>
        </is>
      </c>
      <c r="W183">
        <f>HYPERLINK("https://klasma.github.io/Logging_0980/artfynd/A 11982-2026 artfynd.xlsx", "A 11982-2026")</f>
        <v/>
      </c>
      <c r="X183">
        <f>HYPERLINK("https://klasma.github.io/Logging_0980/kartor/A 11982-2026 karta.png", "A 11982-2026")</f>
        <v/>
      </c>
      <c r="Y183">
        <f>HYPERLINK("https://klasma.github.io/Logging_0980/kartor_geotiff/A 11982-2026 georefererad karta.tif", "A 11982-2026")</f>
        <v/>
      </c>
      <c r="AA183">
        <f>HYPERLINK("https://klasma.github.io/Logging_0980/klagomål/A 11982-2026 FSC-klagomål.docx", "A 11982-2026")</f>
        <v/>
      </c>
      <c r="AB183">
        <f>HYPERLINK("https://klasma.github.io/Logging_0980/klagomålsmail/A 11982-2026 FSC-klagomål mail.docx", "A 11982-2026")</f>
        <v/>
      </c>
      <c r="AC183">
        <f>HYPERLINK("https://klasma.github.io/Logging_0980/tillsyn/A 11982-2026 tillsynsbegäran.docx", "A 11982-2026")</f>
        <v/>
      </c>
      <c r="AD183">
        <f>HYPERLINK("https://klasma.github.io/Logging_0980/tillsynsmail/A 11982-2026 tillsynsbegäran mail.docx", "A 11982-2026")</f>
        <v/>
      </c>
    </row>
    <row r="184" ht="15" customHeight="1">
      <c r="A184" t="inlineStr">
        <is>
          <t>A 1477-2024</t>
        </is>
      </c>
      <c r="B184" t="inlineStr">
        <is>
          <t>avverkningsanmälan</t>
        </is>
      </c>
      <c r="C184" t="inlineStr">
        <is>
          <t>Föryngringsavverkning</t>
        </is>
      </c>
      <c r="D184" s="1" t="n">
        <v>45305</v>
      </c>
      <c r="E184" s="1" t="n">
        <v>46293</v>
      </c>
      <c r="F184" t="inlineStr">
        <is>
          <t>GOTLANDS LÄN</t>
        </is>
      </c>
      <c r="G184" t="inlineStr">
        <is>
          <t>GOTLAND</t>
        </is>
      </c>
      <c r="I184" t="n">
        <v>6.9</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HYPERLINK("https://klasma.github.io/Logging_0980/artfynd/A 1477-2024 artfynd.xlsx", "A 1477-2024")</f>
        <v/>
      </c>
      <c r="X184">
        <f>HYPERLINK("https://klasma.github.io/Logging_0980/kartor/A 1477-2024 karta.png", "A 1477-2024")</f>
        <v/>
      </c>
      <c r="Y184">
        <f>HYPERLINK("https://klasma.github.io/Logging_0980/kartor_geotiff/A 1477-2024 georefererad karta.tif", "A 1477-2024")</f>
        <v/>
      </c>
      <c r="AA184">
        <f>HYPERLINK("https://klasma.github.io/Logging_0980/klagomål/A 1477-2024 FSC-klagomål.docx", "A 1477-2024")</f>
        <v/>
      </c>
      <c r="AB184">
        <f>HYPERLINK("https://klasma.github.io/Logging_0980/klagomålsmail/A 1477-2024 FSC-klagomål mail.docx", "A 1477-2024")</f>
        <v/>
      </c>
      <c r="AC184">
        <f>HYPERLINK("https://klasma.github.io/Logging_0980/tillsyn/A 1477-2024 tillsynsbegäran.docx", "A 1477-2024")</f>
        <v/>
      </c>
      <c r="AD184">
        <f>HYPERLINK("https://klasma.github.io/Logging_0980/tillsynsmail/A 1477-2024 tillsynsbegäran mail.docx", "A 1477-2024")</f>
        <v/>
      </c>
    </row>
    <row r="185" ht="15" customHeight="1">
      <c r="A185" t="inlineStr">
        <is>
          <t>A 1677-2023</t>
        </is>
      </c>
      <c r="B185" t="inlineStr">
        <is>
          <t>avverkningsanmälan</t>
        </is>
      </c>
      <c r="C185" t="inlineStr">
        <is>
          <t>Föryngringsavverkning</t>
        </is>
      </c>
      <c r="D185" s="1" t="n">
        <v>44938</v>
      </c>
      <c r="E185" s="1" t="n">
        <v>46293</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Strandrosettmossa</t>
        </is>
      </c>
      <c r="W185">
        <f>HYPERLINK("https://klasma.github.io/Logging_0980/artfynd/A 1677-2023 artfynd.xlsx", "A 1677-2023")</f>
        <v/>
      </c>
      <c r="X185">
        <f>HYPERLINK("https://klasma.github.io/Logging_0980/kartor/A 1677-2023 karta.png", "A 1677-2023")</f>
        <v/>
      </c>
      <c r="Y185">
        <f>HYPERLINK("https://klasma.github.io/Logging_0980/kartor_geotiff/A 1677-2023 georefererad karta.tif", "A 1677-2023")</f>
        <v/>
      </c>
      <c r="AA185">
        <f>HYPERLINK("https://klasma.github.io/Logging_0980/klagomål/A 1677-2023 FSC-klagomål.docx", "A 1677-2023")</f>
        <v/>
      </c>
      <c r="AB185">
        <f>HYPERLINK("https://klasma.github.io/Logging_0980/klagomålsmail/A 1677-2023 FSC-klagomål mail.docx", "A 1677-2023")</f>
        <v/>
      </c>
      <c r="AC185">
        <f>HYPERLINK("https://klasma.github.io/Logging_0980/tillsyn/A 1677-2023 tillsynsbegäran.docx", "A 1677-2023")</f>
        <v/>
      </c>
      <c r="AD185">
        <f>HYPERLINK("https://klasma.github.io/Logging_0980/tillsynsmail/A 1677-2023 tillsynsbegäran mail.docx", "A 1677-2023")</f>
        <v/>
      </c>
    </row>
    <row r="186" ht="15" customHeight="1">
      <c r="A186" t="inlineStr">
        <is>
          <t>A 7637-2025</t>
        </is>
      </c>
      <c r="B186" t="inlineStr">
        <is>
          <t>avverkningsanmälan</t>
        </is>
      </c>
      <c r="C186" t="inlineStr">
        <is>
          <t>Föryngringsavverkning</t>
        </is>
      </c>
      <c r="D186" s="1" t="n">
        <v>45705</v>
      </c>
      <c r="E186" s="1" t="n">
        <v>46293</v>
      </c>
      <c r="F186" t="inlineStr">
        <is>
          <t>GOTLANDS LÄN</t>
        </is>
      </c>
      <c r="G186" t="inlineStr">
        <is>
          <t>GOTLAND</t>
        </is>
      </c>
      <c r="I186" t="n">
        <v>3.7</v>
      </c>
      <c r="J186" t="n">
        <v>0</v>
      </c>
      <c r="K186" t="n">
        <v>0</v>
      </c>
      <c r="L186" t="n">
        <v>0</v>
      </c>
      <c r="M186" t="n">
        <v>0</v>
      </c>
      <c r="N186" t="n">
        <v>1</v>
      </c>
      <c r="O186" t="n">
        <v>0</v>
      </c>
      <c r="P186" t="n">
        <v>0</v>
      </c>
      <c r="Q186" t="n">
        <v>1</v>
      </c>
      <c r="R186" t="n">
        <v>1</v>
      </c>
      <c r="S186" t="n">
        <v>1</v>
      </c>
      <c r="T186" t="n">
        <v>1</v>
      </c>
      <c r="U186" t="n">
        <v>1</v>
      </c>
      <c r="V186" s="2" t="inlineStr">
        <is>
          <t>Skogsalm</t>
        </is>
      </c>
      <c r="W186">
        <f>HYPERLINK("https://klasma.github.io/Logging_0980/artfynd/A 7637-2025 artfynd.xlsx", "A 7637-2025")</f>
        <v/>
      </c>
      <c r="X186">
        <f>HYPERLINK("https://klasma.github.io/Logging_0980/kartor/A 7637-2025 karta.png", "A 7637-2025")</f>
        <v/>
      </c>
      <c r="Y186">
        <f>HYPERLINK("https://klasma.github.io/Logging_0980/kartor_geotiff/A 7637-2025 georefererad karta.tif", "A 7637-2025")</f>
        <v/>
      </c>
      <c r="AA186">
        <f>HYPERLINK("https://klasma.github.io/Logging_0980/klagomål/A 7637-2025 FSC-klagomål.docx", "A 7637-2025")</f>
        <v/>
      </c>
      <c r="AB186">
        <f>HYPERLINK("https://klasma.github.io/Logging_0980/klagomålsmail/A 7637-2025 FSC-klagomål mail.docx", "A 7637-2025")</f>
        <v/>
      </c>
      <c r="AC186">
        <f>HYPERLINK("https://klasma.github.io/Logging_0980/tillsyn/A 7637-2025 tillsynsbegäran.docx", "A 7637-2025")</f>
        <v/>
      </c>
      <c r="AD186">
        <f>HYPERLINK("https://klasma.github.io/Logging_0980/tillsynsmail/A 7637-2025 tillsynsbegäran mail.docx", "A 7637-2025")</f>
        <v/>
      </c>
    </row>
    <row r="187" ht="15" customHeight="1">
      <c r="A187" t="inlineStr">
        <is>
          <t>A 6303-2024</t>
        </is>
      </c>
      <c r="B187" t="inlineStr">
        <is>
          <t>avverkningsanmälan</t>
        </is>
      </c>
      <c r="C187" t="inlineStr">
        <is>
          <t>Föryngringsavverkning</t>
        </is>
      </c>
      <c r="D187" s="1" t="n">
        <v>45338</v>
      </c>
      <c r="E187" s="1" t="n">
        <v>46293</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30489-2025</t>
        </is>
      </c>
      <c r="B188" t="inlineStr">
        <is>
          <t>avverkningsanmälan</t>
        </is>
      </c>
      <c r="C188" t="inlineStr">
        <is>
          <t>Föryngringsavverkning</t>
        </is>
      </c>
      <c r="D188" s="1" t="n">
        <v>45830</v>
      </c>
      <c r="E188" s="1" t="n">
        <v>46293</v>
      </c>
      <c r="F188" t="inlineStr">
        <is>
          <t>GOTLANDS LÄN</t>
        </is>
      </c>
      <c r="G188" t="inlineStr">
        <is>
          <t>GOTLAND</t>
        </is>
      </c>
      <c r="I188" t="n">
        <v>4.6</v>
      </c>
      <c r="J188" t="n">
        <v>0</v>
      </c>
      <c r="K188" t="n">
        <v>0</v>
      </c>
      <c r="L188" t="n">
        <v>1</v>
      </c>
      <c r="M188" t="n">
        <v>0</v>
      </c>
      <c r="N188" t="n">
        <v>0</v>
      </c>
      <c r="O188" t="n">
        <v>0</v>
      </c>
      <c r="P188" t="n">
        <v>0</v>
      </c>
      <c r="Q188" t="n">
        <v>1</v>
      </c>
      <c r="R188" t="n">
        <v>0</v>
      </c>
      <c r="S188" t="n">
        <v>1</v>
      </c>
      <c r="T188" t="n">
        <v>1</v>
      </c>
      <c r="U188" t="n">
        <v>0</v>
      </c>
      <c r="V188" s="2" t="inlineStr">
        <is>
          <t>Skarp dropptaggsvamp</t>
        </is>
      </c>
      <c r="W188">
        <f>HYPERLINK("https://klasma.github.io/Logging_0980/artfynd/A 30489-2025 artfynd.xlsx", "A 30489-2025")</f>
        <v/>
      </c>
      <c r="X188">
        <f>HYPERLINK("https://klasma.github.io/Logging_0980/kartor/A 30489-2025 karta.png", "A 30489-2025")</f>
        <v/>
      </c>
      <c r="Y188">
        <f>HYPERLINK("https://klasma.github.io/Logging_0980/kartor_geotiff/A 30489-2025 georefererad karta.tif", "A 30489-2025")</f>
        <v/>
      </c>
      <c r="AA188">
        <f>HYPERLINK("https://klasma.github.io/Logging_0980/klagomål/A 30489-2025 FSC-klagomål.docx", "A 30489-2025")</f>
        <v/>
      </c>
      <c r="AB188">
        <f>HYPERLINK("https://klasma.github.io/Logging_0980/klagomålsmail/A 30489-2025 FSC-klagomål mail.docx", "A 30489-2025")</f>
        <v/>
      </c>
      <c r="AC188">
        <f>HYPERLINK("https://klasma.github.io/Logging_0980/tillsyn/A 30489-2025 tillsynsbegäran.docx", "A 30489-2025")</f>
        <v/>
      </c>
      <c r="AD188">
        <f>HYPERLINK("https://klasma.github.io/Logging_0980/tillsynsmail/A 30489-2025 tillsynsbegäran mail.docx", "A 30489-2025")</f>
        <v/>
      </c>
    </row>
    <row r="189" ht="15" customHeight="1">
      <c r="A189" t="inlineStr">
        <is>
          <t>A 30176-2026</t>
        </is>
      </c>
      <c r="B189" t="inlineStr">
        <is>
          <t>avverkningsanmälan</t>
        </is>
      </c>
      <c r="C189" t="inlineStr">
        <is>
          <t>Avverkning för annat ändamål</t>
        </is>
      </c>
      <c r="D189" s="1" t="n">
        <v>46203</v>
      </c>
      <c r="E189" s="1" t="n">
        <v>46293</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40294-2022</t>
        </is>
      </c>
      <c r="B190" t="inlineStr">
        <is>
          <t>avverkningsanmälan</t>
        </is>
      </c>
      <c r="C190" t="inlineStr">
        <is>
          <t>Föryngringsavverkning</t>
        </is>
      </c>
      <c r="D190" s="1" t="n">
        <v>44821</v>
      </c>
      <c r="E190" s="1" t="n">
        <v>46293</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46293</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5863-2026</t>
        </is>
      </c>
      <c r="B192" t="inlineStr">
        <is>
          <t>avverkningsanmälan</t>
        </is>
      </c>
      <c r="C192" t="inlineStr">
        <is>
          <t>Föryngringsavverkning</t>
        </is>
      </c>
      <c r="D192" s="1" t="n">
        <v>46052</v>
      </c>
      <c r="E192" s="1" t="n">
        <v>46293</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1066-2024</t>
        </is>
      </c>
      <c r="B193" t="inlineStr">
        <is>
          <t>avverkningsanmälan</t>
        </is>
      </c>
      <c r="C193" t="inlineStr">
        <is>
          <t>Föryngringsavverkning</t>
        </is>
      </c>
      <c r="D193" s="1" t="n">
        <v>45302</v>
      </c>
      <c r="E193" s="1" t="n">
        <v>46293</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t="n">
        <v>1</v>
      </c>
      <c r="V193" s="2" t="inlineStr">
        <is>
          <t>Svinrot</t>
        </is>
      </c>
      <c r="W193">
        <f>HYPERLINK("https://klasma.github.io/Logging_0980/artfynd/A 1066-2024 artfynd.xlsx", "A 1066-2024")</f>
        <v/>
      </c>
      <c r="X193">
        <f>HYPERLINK("https://klasma.github.io/Logging_0980/kartor/A 1066-2024 karta.png", "A 1066-2024")</f>
        <v/>
      </c>
      <c r="Y193">
        <f>HYPERLINK("https://klasma.github.io/Logging_0980/kartor_geotiff/A 1066-2024 georefererad karta.tif", "A 1066-2024")</f>
        <v/>
      </c>
      <c r="AA193">
        <f>HYPERLINK("https://klasma.github.io/Logging_0980/klagomål/A 1066-2024 FSC-klagomål.docx", "A 1066-2024")</f>
        <v/>
      </c>
      <c r="AB193">
        <f>HYPERLINK("https://klasma.github.io/Logging_0980/klagomålsmail/A 1066-2024 FSC-klagomål mail.docx", "A 1066-2024")</f>
        <v/>
      </c>
      <c r="AC193">
        <f>HYPERLINK("https://klasma.github.io/Logging_0980/tillsyn/A 1066-2024 tillsynsbegäran.docx", "A 1066-2024")</f>
        <v/>
      </c>
      <c r="AD193">
        <f>HYPERLINK("https://klasma.github.io/Logging_0980/tillsynsmail/A 1066-2024 tillsynsbegäran mail.docx", "A 1066-2024")</f>
        <v/>
      </c>
    </row>
    <row r="194" ht="15" customHeight="1">
      <c r="A194" t="inlineStr">
        <is>
          <t>A 18036-2026</t>
        </is>
      </c>
      <c r="B194" t="inlineStr">
        <is>
          <t>avverkningsanmälan</t>
        </is>
      </c>
      <c r="C194" t="inlineStr">
        <is>
          <t>Föryngringsavverkning</t>
        </is>
      </c>
      <c r="D194" s="1" t="n">
        <v>46125</v>
      </c>
      <c r="E194" s="1" t="n">
        <v>46293</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21396-2026</t>
        </is>
      </c>
      <c r="B195" t="inlineStr">
        <is>
          <t>avverkningsanmälan</t>
        </is>
      </c>
      <c r="C195" t="inlineStr">
        <is>
          <t>Föryngringsavverkning</t>
        </is>
      </c>
      <c r="D195" s="1" t="n">
        <v>46148</v>
      </c>
      <c r="E195" s="1" t="n">
        <v>46293</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64700-2021</t>
        </is>
      </c>
      <c r="B196" t="inlineStr">
        <is>
          <t>avverkningsanmälan</t>
        </is>
      </c>
      <c r="C196" t="inlineStr">
        <is>
          <t>Avverkning för att bevara och utveckla /försöksver</t>
        </is>
      </c>
      <c r="D196" s="1" t="n">
        <v>44511</v>
      </c>
      <c r="E196" s="1" t="n">
        <v>46293</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46293</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22782-2023</t>
        </is>
      </c>
      <c r="B198" t="inlineStr">
        <is>
          <t>avverkningsanmälan</t>
        </is>
      </c>
      <c r="C198" t="inlineStr">
        <is>
          <t>Föryngringsavverkning</t>
        </is>
      </c>
      <c r="D198" s="1" t="n">
        <v>45072</v>
      </c>
      <c r="E198" s="1" t="n">
        <v>46293</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46293</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46293</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46293</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24245-2022</t>
        </is>
      </c>
      <c r="B202" t="inlineStr">
        <is>
          <t>avverkningsanmälan</t>
        </is>
      </c>
      <c r="C202" t="inlineStr">
        <is>
          <t>Föryngringsavverkning</t>
        </is>
      </c>
      <c r="D202" s="1" t="n">
        <v>44725</v>
      </c>
      <c r="E202" s="1" t="n">
        <v>46293</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49847-2023</t>
        </is>
      </c>
      <c r="B203" t="inlineStr">
        <is>
          <t>avverkningsanmälan</t>
        </is>
      </c>
      <c r="C203" t="inlineStr">
        <is>
          <t>Föryngringsavverkning</t>
        </is>
      </c>
      <c r="D203" s="1" t="n">
        <v>45212</v>
      </c>
      <c r="E203" s="1" t="n">
        <v>46293</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46293</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S 2744-2023</t>
        </is>
      </c>
      <c r="B205" t="inlineStr">
        <is>
          <t>samrådsanmälan</t>
        </is>
      </c>
      <c r="C205" t="inlineStr">
        <is>
          <t>Annan skogsbruksåtgärd</t>
        </is>
      </c>
      <c r="D205" s="1" t="n">
        <v>45159</v>
      </c>
      <c r="E205" s="1" t="n">
        <v>46293</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46293</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46293</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46293</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46293</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46293</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46293</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46293</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46293</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46293</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46293</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46293</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46293</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46293</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46293</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46293</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46293</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46293</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56951-2021</t>
        </is>
      </c>
      <c r="B223" t="inlineStr">
        <is>
          <t>avverkningsanmälan</t>
        </is>
      </c>
      <c r="C223" t="inlineStr">
        <is>
          <t>Föryngringsavverkning</t>
        </is>
      </c>
      <c r="D223" s="1" t="n">
        <v>44482</v>
      </c>
      <c r="E223" s="1" t="n">
        <v>46293</v>
      </c>
      <c r="F223" t="inlineStr">
        <is>
          <t>GOTLANDS LÄN</t>
        </is>
      </c>
      <c r="G223" t="inlineStr">
        <is>
          <t>GOTLAND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13498-2022</t>
        </is>
      </c>
      <c r="B224" t="inlineStr">
        <is>
          <t>avverkningsanmälan</t>
        </is>
      </c>
      <c r="C224" t="inlineStr">
        <is>
          <t>Föryngringsavverkning</t>
        </is>
      </c>
      <c r="D224" s="1" t="n">
        <v>44647</v>
      </c>
      <c r="E224" s="1" t="n">
        <v>46293</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13500-2022</t>
        </is>
      </c>
      <c r="B225" t="inlineStr">
        <is>
          <t>avverkningsanmälan</t>
        </is>
      </c>
      <c r="C225" t="inlineStr">
        <is>
          <t>Föryngringsavverkning</t>
        </is>
      </c>
      <c r="D225" s="1" t="n">
        <v>44647</v>
      </c>
      <c r="E225" s="1" t="n">
        <v>46293</v>
      </c>
      <c r="F225" t="inlineStr">
        <is>
          <t>GOTLANDS LÄN</t>
        </is>
      </c>
      <c r="G225" t="inlineStr">
        <is>
          <t>GOTLAND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46293</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30282-2022</t>
        </is>
      </c>
      <c r="B227" t="inlineStr">
        <is>
          <t>avverkningsanmälan</t>
        </is>
      </c>
      <c r="C227" t="inlineStr">
        <is>
          <t>Föryngringsavverkning</t>
        </is>
      </c>
      <c r="D227" s="1" t="n">
        <v>44760</v>
      </c>
      <c r="E227" s="1" t="n">
        <v>46293</v>
      </c>
      <c r="F227" t="inlineStr">
        <is>
          <t>GOTLANDS LÄN</t>
        </is>
      </c>
      <c r="G227" t="inlineStr">
        <is>
          <t>GOTLAND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22031-2024</t>
        </is>
      </c>
      <c r="B228" t="inlineStr">
        <is>
          <t>avverkningsanmälan</t>
        </is>
      </c>
      <c r="C228" t="inlineStr">
        <is>
          <t>Föryngringsavverkning</t>
        </is>
      </c>
      <c r="D228" s="1" t="n">
        <v>45443</v>
      </c>
      <c r="E228" s="1" t="n">
        <v>46293</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44919-2022</t>
        </is>
      </c>
      <c r="B229" t="inlineStr">
        <is>
          <t>avverkningsanmälan</t>
        </is>
      </c>
      <c r="C229" t="inlineStr">
        <is>
          <t>Föryngringsavverkning</t>
        </is>
      </c>
      <c r="D229" s="1" t="n">
        <v>44841</v>
      </c>
      <c r="E229" s="1" t="n">
        <v>46293</v>
      </c>
      <c r="F229" t="inlineStr">
        <is>
          <t>GOTLANDS LÄN</t>
        </is>
      </c>
      <c r="G229" t="inlineStr">
        <is>
          <t>GOTLAND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65901-2021</t>
        </is>
      </c>
      <c r="B230" t="inlineStr">
        <is>
          <t>avverkningsanmälan</t>
        </is>
      </c>
      <c r="C230" t="inlineStr">
        <is>
          <t>Föryngringsavverkning</t>
        </is>
      </c>
      <c r="D230" s="1" t="n">
        <v>44516</v>
      </c>
      <c r="E230" s="1" t="n">
        <v>46293</v>
      </c>
      <c r="F230" t="inlineStr">
        <is>
          <t>GOTLANDS LÄN</t>
        </is>
      </c>
      <c r="G230" t="inlineStr">
        <is>
          <t>GOTLAND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48503-2023</t>
        </is>
      </c>
      <c r="B231" t="inlineStr">
        <is>
          <t>avverkningsanmälan</t>
        </is>
      </c>
      <c r="C231" t="inlineStr">
        <is>
          <t>Föryngringsavverkning</t>
        </is>
      </c>
      <c r="D231" s="1" t="n">
        <v>45207</v>
      </c>
      <c r="E231" s="1" t="n">
        <v>46293</v>
      </c>
      <c r="F231" t="inlineStr">
        <is>
          <t>GOTLANDS LÄN</t>
        </is>
      </c>
      <c r="G231" t="inlineStr">
        <is>
          <t>GOTLAND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46293</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17682-2024</t>
        </is>
      </c>
      <c r="B233" t="inlineStr">
        <is>
          <t>avverkningsanmälan</t>
        </is>
      </c>
      <c r="C233" t="inlineStr">
        <is>
          <t>Föryngringsavverkning</t>
        </is>
      </c>
      <c r="D233" s="1" t="n">
        <v>45418</v>
      </c>
      <c r="E233" s="1" t="n">
        <v>46293</v>
      </c>
      <c r="F233" t="inlineStr">
        <is>
          <t>GOTLANDS LÄN</t>
        </is>
      </c>
      <c r="G233" t="inlineStr">
        <is>
          <t>GOTLAND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46293</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46293</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15073-2025</t>
        </is>
      </c>
      <c r="B236" t="inlineStr">
        <is>
          <t>avverkningsanmälan</t>
        </is>
      </c>
      <c r="C236" t="inlineStr">
        <is>
          <t>Avverkning för annat ändamål</t>
        </is>
      </c>
      <c r="D236" s="1" t="n">
        <v>45743</v>
      </c>
      <c r="E236" s="1" t="n">
        <v>46293</v>
      </c>
      <c r="F236" t="inlineStr">
        <is>
          <t>GOTLANDS LÄN</t>
        </is>
      </c>
      <c r="G236" t="inlineStr">
        <is>
          <t>GOTLAND</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61078-2025</t>
        </is>
      </c>
      <c r="B237" t="inlineStr">
        <is>
          <t>avverkningsanmälan</t>
        </is>
      </c>
      <c r="C237" t="inlineStr">
        <is>
          <t>Föryngringsavverkning</t>
        </is>
      </c>
      <c r="D237" s="1" t="n">
        <v>46000</v>
      </c>
      <c r="E237" s="1" t="n">
        <v>46293</v>
      </c>
      <c r="F237" t="inlineStr">
        <is>
          <t>GOTLANDS LÄN</t>
        </is>
      </c>
      <c r="G237" t="inlineStr">
        <is>
          <t>GOTLAND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36-2026</t>
        </is>
      </c>
      <c r="B238" t="inlineStr">
        <is>
          <t>avverkningsanmälan</t>
        </is>
      </c>
      <c r="C238" t="inlineStr">
        <is>
          <t>Föryngringsavverkning</t>
        </is>
      </c>
      <c r="D238" s="1" t="n">
        <v>46024</v>
      </c>
      <c r="E238" s="1" t="n">
        <v>46293</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46293</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6749-2025</t>
        </is>
      </c>
      <c r="B240" t="inlineStr">
        <is>
          <t>avverkningsanmälan</t>
        </is>
      </c>
      <c r="C240" t="inlineStr">
        <is>
          <t>Föryngringsavverkning</t>
        </is>
      </c>
      <c r="D240" s="1" t="n">
        <v>45700</v>
      </c>
      <c r="E240" s="1" t="n">
        <v>46293</v>
      </c>
      <c r="F240" t="inlineStr">
        <is>
          <t>GOTLANDS LÄN</t>
        </is>
      </c>
      <c r="G240" t="inlineStr">
        <is>
          <t>GOTLAND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46293</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46293</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46293</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46293</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12599-2025</t>
        </is>
      </c>
      <c r="B245" t="inlineStr">
        <is>
          <t>avverkningsanmälan</t>
        </is>
      </c>
      <c r="C245" t="inlineStr">
        <is>
          <t>Föryngringsavverkning</t>
        </is>
      </c>
      <c r="D245" s="1" t="n">
        <v>45733</v>
      </c>
      <c r="E245" s="1" t="n">
        <v>46293</v>
      </c>
      <c r="F245" t="inlineStr">
        <is>
          <t>GOTLANDS LÄN</t>
        </is>
      </c>
      <c r="G245" t="inlineStr">
        <is>
          <t>GOTLAND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35141-2025</t>
        </is>
      </c>
      <c r="B246" t="inlineStr">
        <is>
          <t>avverkningsanmälan</t>
        </is>
      </c>
      <c r="C246" t="inlineStr">
        <is>
          <t>Föryngringsavverkning</t>
        </is>
      </c>
      <c r="D246" s="1" t="n">
        <v>45852</v>
      </c>
      <c r="E246" s="1" t="n">
        <v>46293</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46293</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46293</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2415-2026</t>
        </is>
      </c>
      <c r="B249" t="inlineStr">
        <is>
          <t>avverkningsanmälan</t>
        </is>
      </c>
      <c r="C249" t="inlineStr">
        <is>
          <t>Föryngringsavverkning</t>
        </is>
      </c>
      <c r="D249" s="1" t="n">
        <v>46036</v>
      </c>
      <c r="E249" s="1" t="n">
        <v>46293</v>
      </c>
      <c r="F249" t="inlineStr">
        <is>
          <t>GOTLANDS LÄN</t>
        </is>
      </c>
      <c r="G249" t="inlineStr">
        <is>
          <t>GOTLAND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5462-2025</t>
        </is>
      </c>
      <c r="B250" t="inlineStr">
        <is>
          <t>avverkningsanmälan</t>
        </is>
      </c>
      <c r="C250" t="inlineStr">
        <is>
          <t>Föryngringsavverkning</t>
        </is>
      </c>
      <c r="D250" s="1" t="n">
        <v>45693</v>
      </c>
      <c r="E250" s="1" t="n">
        <v>46293</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46293</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39816-2025</t>
        </is>
      </c>
      <c r="B252" t="inlineStr">
        <is>
          <t>avverkningsanmälan</t>
        </is>
      </c>
      <c r="C252" t="inlineStr">
        <is>
          <t>Föryngringsavverkning</t>
        </is>
      </c>
      <c r="D252" s="1" t="n">
        <v>45891</v>
      </c>
      <c r="E252" s="1" t="n">
        <v>46293</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40373-2025</t>
        </is>
      </c>
      <c r="B253" t="inlineStr">
        <is>
          <t>avverkningsanmälan</t>
        </is>
      </c>
      <c r="C253" t="inlineStr">
        <is>
          <t>Föryngringsavverkning</t>
        </is>
      </c>
      <c r="D253" s="1" t="n">
        <v>45895</v>
      </c>
      <c r="E253" s="1" t="n">
        <v>46293</v>
      </c>
      <c r="F253" t="inlineStr">
        <is>
          <t>GOTLANDS LÄN</t>
        </is>
      </c>
      <c r="G253" t="inlineStr">
        <is>
          <t>GOTLAND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40372-2025</t>
        </is>
      </c>
      <c r="B254" t="inlineStr">
        <is>
          <t>avverkningsanmälan</t>
        </is>
      </c>
      <c r="C254" t="inlineStr">
        <is>
          <t>Föryngringsavverkning</t>
        </is>
      </c>
      <c r="D254" s="1" t="n">
        <v>45895</v>
      </c>
      <c r="E254" s="1" t="n">
        <v>46293</v>
      </c>
      <c r="F254" t="inlineStr">
        <is>
          <t>GOTLANDS LÄN</t>
        </is>
      </c>
      <c r="G254" t="inlineStr">
        <is>
          <t>GOTLAND</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28285-2024</t>
        </is>
      </c>
      <c r="B255" t="inlineStr">
        <is>
          <t>avverkningsanmälan</t>
        </is>
      </c>
      <c r="C255" t="inlineStr">
        <is>
          <t>Avverkning för annat ändamål</t>
        </is>
      </c>
      <c r="D255" s="1" t="n">
        <v>45477</v>
      </c>
      <c r="E255" s="1" t="n">
        <v>46293</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61682-2024</t>
        </is>
      </c>
      <c r="B256" t="inlineStr">
        <is>
          <t>avverkningsanmälan</t>
        </is>
      </c>
      <c r="C256" t="inlineStr">
        <is>
          <t>Föryngringsavverkning</t>
        </is>
      </c>
      <c r="D256" s="1" t="n">
        <v>45647</v>
      </c>
      <c r="E256" s="1" t="n">
        <v>46293</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4646-2026</t>
        </is>
      </c>
      <c r="B257" t="inlineStr">
        <is>
          <t>avverkningsanmälan</t>
        </is>
      </c>
      <c r="C257" t="inlineStr">
        <is>
          <t>Föryngringsavverkning</t>
        </is>
      </c>
      <c r="D257" s="1" t="n">
        <v>46048</v>
      </c>
      <c r="E257" s="1" t="n">
        <v>46293</v>
      </c>
      <c r="F257" t="inlineStr">
        <is>
          <t>GOTLANDS LÄN</t>
        </is>
      </c>
      <c r="G257" t="inlineStr">
        <is>
          <t>GOTLAND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4634-2026</t>
        </is>
      </c>
      <c r="B258" t="inlineStr">
        <is>
          <t>avverkningsanmälan</t>
        </is>
      </c>
      <c r="C258" t="inlineStr">
        <is>
          <t>Föryngringsavverkning</t>
        </is>
      </c>
      <c r="D258" s="1" t="n">
        <v>46048</v>
      </c>
      <c r="E258" s="1" t="n">
        <v>46293</v>
      </c>
      <c r="F258" t="inlineStr">
        <is>
          <t>GOTLANDS LÄN</t>
        </is>
      </c>
      <c r="G258" t="inlineStr">
        <is>
          <t>GOTLAND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4670-2026</t>
        </is>
      </c>
      <c r="B259" t="inlineStr">
        <is>
          <t>avverkningsanmälan</t>
        </is>
      </c>
      <c r="C259" t="inlineStr">
        <is>
          <t>Föryngringsavverkning</t>
        </is>
      </c>
      <c r="D259" s="1" t="n">
        <v>46048</v>
      </c>
      <c r="E259" s="1" t="n">
        <v>46293</v>
      </c>
      <c r="F259" t="inlineStr">
        <is>
          <t>GOTLANDS LÄN</t>
        </is>
      </c>
      <c r="G259" t="inlineStr">
        <is>
          <t>GOTLAND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43951-2025</t>
        </is>
      </c>
      <c r="B260" t="inlineStr">
        <is>
          <t>avverkningsanmälan</t>
        </is>
      </c>
      <c r="C260" t="inlineStr">
        <is>
          <t>Föryngringsavverkning</t>
        </is>
      </c>
      <c r="D260" s="1" t="n">
        <v>45915</v>
      </c>
      <c r="E260" s="1" t="n">
        <v>46293</v>
      </c>
      <c r="F260" t="inlineStr">
        <is>
          <t>GOTLANDS LÄN</t>
        </is>
      </c>
      <c r="G260" t="inlineStr">
        <is>
          <t>GOTLAND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7627-2026</t>
        </is>
      </c>
      <c r="B261" t="inlineStr">
        <is>
          <t>avverkningsanmälan</t>
        </is>
      </c>
      <c r="C261" t="inlineStr">
        <is>
          <t>Föryngringsavverkning</t>
        </is>
      </c>
      <c r="D261" s="1" t="n">
        <v>46062</v>
      </c>
      <c r="E261" s="1" t="n">
        <v>46293</v>
      </c>
      <c r="F261" t="inlineStr">
        <is>
          <t>GOTLANDS LÄN</t>
        </is>
      </c>
      <c r="G261" t="inlineStr">
        <is>
          <t>GOTLAND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2135-2026</t>
        </is>
      </c>
      <c r="B262" t="inlineStr">
        <is>
          <t>avverkningsanmälan</t>
        </is>
      </c>
      <c r="C262" t="inlineStr">
        <is>
          <t>Avverkning för annat ändamål</t>
        </is>
      </c>
      <c r="D262" s="1" t="n">
        <v>46036</v>
      </c>
      <c r="E262" s="1" t="n">
        <v>46293</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46293</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46293</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9519-2026</t>
        </is>
      </c>
      <c r="B265" t="inlineStr">
        <is>
          <t>avverkningsanmälan</t>
        </is>
      </c>
      <c r="C265" t="inlineStr">
        <is>
          <t>Föryngringsavverkning</t>
        </is>
      </c>
      <c r="D265" s="1" t="n">
        <v>46071</v>
      </c>
      <c r="E265" s="1" t="n">
        <v>46293</v>
      </c>
      <c r="F265" t="inlineStr">
        <is>
          <t>GOTLANDS LÄN</t>
        </is>
      </c>
      <c r="G265" t="inlineStr">
        <is>
          <t>GOTLAND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9521-2026</t>
        </is>
      </c>
      <c r="B266" t="inlineStr">
        <is>
          <t>avverkningsanmälan</t>
        </is>
      </c>
      <c r="C266" t="inlineStr">
        <is>
          <t>Föryngringsavverkning</t>
        </is>
      </c>
      <c r="D266" s="1" t="n">
        <v>46071</v>
      </c>
      <c r="E266" s="1" t="n">
        <v>46293</v>
      </c>
      <c r="F266" t="inlineStr">
        <is>
          <t>GOTLANDS LÄN</t>
        </is>
      </c>
      <c r="G266" t="inlineStr">
        <is>
          <t>GOTLAND</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9524-2026</t>
        </is>
      </c>
      <c r="B267" t="inlineStr">
        <is>
          <t>avverkningsanmälan</t>
        </is>
      </c>
      <c r="C267" t="inlineStr">
        <is>
          <t>Föryngringsavverkning</t>
        </is>
      </c>
      <c r="D267" s="1" t="n">
        <v>46071</v>
      </c>
      <c r="E267" s="1" t="n">
        <v>46293</v>
      </c>
      <c r="F267" t="inlineStr">
        <is>
          <t>GOTLANDS LÄN</t>
        </is>
      </c>
      <c r="G267" t="inlineStr">
        <is>
          <t>GOTLAND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46293</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35512-2023</t>
        </is>
      </c>
      <c r="B269" t="inlineStr">
        <is>
          <t>avverkningsanmälan</t>
        </is>
      </c>
      <c r="C269" t="inlineStr">
        <is>
          <t>Föryngringsavverkning</t>
        </is>
      </c>
      <c r="D269" s="1" t="n">
        <v>45147</v>
      </c>
      <c r="E269" s="1" t="n">
        <v>46293</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5905-2024</t>
        </is>
      </c>
      <c r="B270" t="inlineStr">
        <is>
          <t>avverkningsanmälan</t>
        </is>
      </c>
      <c r="C270" t="inlineStr">
        <is>
          <t>Föryngringsavverkning</t>
        </is>
      </c>
      <c r="D270" s="1" t="n">
        <v>45335</v>
      </c>
      <c r="E270" s="1" t="n">
        <v>46293</v>
      </c>
      <c r="F270" t="inlineStr">
        <is>
          <t>GOTLANDS LÄN</t>
        </is>
      </c>
      <c r="G270" t="inlineStr">
        <is>
          <t>GOTLAND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46293</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1291-2023</t>
        </is>
      </c>
      <c r="B272" t="inlineStr">
        <is>
          <t>avverkningsanmälan</t>
        </is>
      </c>
      <c r="C272" t="inlineStr">
        <is>
          <t>Föryngringsavverkning</t>
        </is>
      </c>
      <c r="D272" s="1" t="n">
        <v>44936</v>
      </c>
      <c r="E272" s="1" t="n">
        <v>46293</v>
      </c>
      <c r="F272" t="inlineStr">
        <is>
          <t>GOTLANDS LÄN</t>
        </is>
      </c>
      <c r="G272" t="inlineStr">
        <is>
          <t>GOTLAND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11424-2026</t>
        </is>
      </c>
      <c r="B273" t="inlineStr">
        <is>
          <t>avverkningsanmälan</t>
        </is>
      </c>
      <c r="C273" t="inlineStr">
        <is>
          <t>Föryngringsavverkning</t>
        </is>
      </c>
      <c r="D273" s="1" t="n">
        <v>46083</v>
      </c>
      <c r="E273" s="1" t="n">
        <v>46293</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3067-2026</t>
        </is>
      </c>
      <c r="B274" t="inlineStr">
        <is>
          <t>avverkningsanmälan</t>
        </is>
      </c>
      <c r="C274" t="inlineStr">
        <is>
          <t>Föryngringsavverkning</t>
        </is>
      </c>
      <c r="D274" s="1" t="n">
        <v>46040</v>
      </c>
      <c r="E274" s="1" t="n">
        <v>46293</v>
      </c>
      <c r="F274" t="inlineStr">
        <is>
          <t>GOTLANDS LÄN</t>
        </is>
      </c>
      <c r="G274" t="inlineStr">
        <is>
          <t>GOTLAND</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57652-2023</t>
        </is>
      </c>
      <c r="B275" t="inlineStr">
        <is>
          <t>avverkningsanmälan</t>
        </is>
      </c>
      <c r="C275" t="inlineStr">
        <is>
          <t>Avverkning för annat ändamål</t>
        </is>
      </c>
      <c r="D275" s="1" t="n">
        <v>45246</v>
      </c>
      <c r="E275" s="1" t="n">
        <v>46293</v>
      </c>
      <c r="F275" t="inlineStr">
        <is>
          <t>GOTLANDS LÄN</t>
        </is>
      </c>
      <c r="G275" t="inlineStr">
        <is>
          <t>GOTLAND</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47637-2025</t>
        </is>
      </c>
      <c r="B276" t="inlineStr">
        <is>
          <t>avverkningsanmälan</t>
        </is>
      </c>
      <c r="C276" t="inlineStr">
        <is>
          <t>Föryngringsavverkning</t>
        </is>
      </c>
      <c r="D276" s="1" t="n">
        <v>45931</v>
      </c>
      <c r="E276" s="1" t="n">
        <v>46293</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49315-2024</t>
        </is>
      </c>
      <c r="B277" t="inlineStr">
        <is>
          <t>avverkningsanmälan</t>
        </is>
      </c>
      <c r="C277" t="inlineStr">
        <is>
          <t>Avverkning för annat ändamål</t>
        </is>
      </c>
      <c r="D277" s="1" t="n">
        <v>45595</v>
      </c>
      <c r="E277" s="1" t="n">
        <v>46293</v>
      </c>
      <c r="F277" t="inlineStr">
        <is>
          <t>GOTLANDS LÄN</t>
        </is>
      </c>
      <c r="G277" t="inlineStr">
        <is>
          <t>GOTLAND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42201-2023</t>
        </is>
      </c>
      <c r="B278" t="inlineStr">
        <is>
          <t>avverkningsanmälan</t>
        </is>
      </c>
      <c r="C278" t="inlineStr">
        <is>
          <t>Föryngringsavverkning</t>
        </is>
      </c>
      <c r="D278" s="1" t="n">
        <v>45179</v>
      </c>
      <c r="E278" s="1" t="n">
        <v>46293</v>
      </c>
      <c r="F278" t="inlineStr">
        <is>
          <t>GOTLANDS LÄN</t>
        </is>
      </c>
      <c r="G278" t="inlineStr">
        <is>
          <t>GOTLAND</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35550-2025</t>
        </is>
      </c>
      <c r="B279" t="inlineStr">
        <is>
          <t>avverkningsanmälan</t>
        </is>
      </c>
      <c r="C279" t="inlineStr">
        <is>
          <t>Föryngringsavverkning</t>
        </is>
      </c>
      <c r="D279" s="1" t="n">
        <v>45856</v>
      </c>
      <c r="E279" s="1" t="n">
        <v>46293</v>
      </c>
      <c r="F279" t="inlineStr">
        <is>
          <t>GOTLANDS LÄN</t>
        </is>
      </c>
      <c r="G279" t="inlineStr">
        <is>
          <t>GOTLAND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46293</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47578-2025</t>
        </is>
      </c>
      <c r="B281" t="inlineStr">
        <is>
          <t>avverkningsanmälan</t>
        </is>
      </c>
      <c r="C281" t="inlineStr">
        <is>
          <t>Avverkning för annat ändamål</t>
        </is>
      </c>
      <c r="D281" s="1" t="n">
        <v>45931</v>
      </c>
      <c r="E281" s="1" t="n">
        <v>46293</v>
      </c>
      <c r="F281" t="inlineStr">
        <is>
          <t>GOTLANDS LÄN</t>
        </is>
      </c>
      <c r="G281" t="inlineStr">
        <is>
          <t>GOTLAND</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46293</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46293</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46293</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49730-2025</t>
        </is>
      </c>
      <c r="B285" t="inlineStr">
        <is>
          <t>avverkningsanmälan</t>
        </is>
      </c>
      <c r="C285" t="inlineStr">
        <is>
          <t>Föryngringsavverkning</t>
        </is>
      </c>
      <c r="D285" s="1" t="n">
        <v>45939</v>
      </c>
      <c r="E285" s="1" t="n">
        <v>46293</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63000-2025</t>
        </is>
      </c>
      <c r="B286" t="inlineStr">
        <is>
          <t>avverkningsanmälan</t>
        </is>
      </c>
      <c r="C286" t="inlineStr">
        <is>
          <t>Föryngringsavverkning</t>
        </is>
      </c>
      <c r="D286" s="1" t="n">
        <v>46009</v>
      </c>
      <c r="E286" s="1" t="n">
        <v>46293</v>
      </c>
      <c r="F286" t="inlineStr">
        <is>
          <t>GOTLANDS LÄN</t>
        </is>
      </c>
      <c r="G286" t="inlineStr">
        <is>
          <t>GOTLAND</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49690-2025</t>
        </is>
      </c>
      <c r="B287" t="inlineStr">
        <is>
          <t>avverkningsanmälan</t>
        </is>
      </c>
      <c r="C287" t="inlineStr">
        <is>
          <t>Föryngringsavverkning</t>
        </is>
      </c>
      <c r="D287" s="1" t="n">
        <v>45939</v>
      </c>
      <c r="E287" s="1" t="n">
        <v>46293</v>
      </c>
      <c r="F287" t="inlineStr">
        <is>
          <t>GOTLANDS LÄN</t>
        </is>
      </c>
      <c r="G287" t="inlineStr">
        <is>
          <t>GOTLAND</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62751-2025</t>
        </is>
      </c>
      <c r="B288" t="inlineStr">
        <is>
          <t>avverkningsanmälan</t>
        </is>
      </c>
      <c r="C288" t="inlineStr">
        <is>
          <t>Föryngringsavverkning</t>
        </is>
      </c>
      <c r="D288" s="1" t="n">
        <v>46008</v>
      </c>
      <c r="E288" s="1" t="n">
        <v>46293</v>
      </c>
      <c r="F288" t="inlineStr">
        <is>
          <t>GOTLANDS LÄN</t>
        </is>
      </c>
      <c r="G288" t="inlineStr">
        <is>
          <t>GOTLAND</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20356-2022</t>
        </is>
      </c>
      <c r="B289" t="inlineStr">
        <is>
          <t>avverkningsanmälan</t>
        </is>
      </c>
      <c r="C289" t="inlineStr">
        <is>
          <t>Avverkning för annat ändamål</t>
        </is>
      </c>
      <c r="D289" s="1" t="n">
        <v>44699</v>
      </c>
      <c r="E289" s="1" t="n">
        <v>46293</v>
      </c>
      <c r="F289" t="inlineStr">
        <is>
          <t>GOTLANDS LÄN</t>
        </is>
      </c>
      <c r="G289" t="inlineStr">
        <is>
          <t>GOTLAND</t>
        </is>
      </c>
      <c r="H289" t="inlineStr">
        <is>
          <t>Övriga Aktiebolag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48734-2022</t>
        </is>
      </c>
      <c r="B290" t="inlineStr">
        <is>
          <t>avverkningsanmälan</t>
        </is>
      </c>
      <c r="C290" t="inlineStr">
        <is>
          <t>Föryngringsavverkning</t>
        </is>
      </c>
      <c r="D290" s="1" t="n">
        <v>44855</v>
      </c>
      <c r="E290" s="1" t="n">
        <v>46293</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57685-2022</t>
        </is>
      </c>
      <c r="B291" t="inlineStr">
        <is>
          <t>avverkningsanmälan</t>
        </is>
      </c>
      <c r="C291" t="inlineStr">
        <is>
          <t>Föryngringsavverkning</t>
        </is>
      </c>
      <c r="D291" s="1" t="n">
        <v>44897</v>
      </c>
      <c r="E291" s="1" t="n">
        <v>46293</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30815-2023</t>
        </is>
      </c>
      <c r="B292" t="inlineStr">
        <is>
          <t>avverkningsanmälan</t>
        </is>
      </c>
      <c r="C292" t="inlineStr">
        <is>
          <t>Avverkning för annat ändamål</t>
        </is>
      </c>
      <c r="D292" s="1" t="n">
        <v>45112</v>
      </c>
      <c r="E292" s="1" t="n">
        <v>46293</v>
      </c>
      <c r="F292" t="inlineStr">
        <is>
          <t>GOTLANDS LÄN</t>
        </is>
      </c>
      <c r="G292" t="inlineStr">
        <is>
          <t>GOTLAND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7034-2023</t>
        </is>
      </c>
      <c r="B293" t="inlineStr">
        <is>
          <t>avverkningsanmälan</t>
        </is>
      </c>
      <c r="C293" t="inlineStr">
        <is>
          <t>Föryngringsavverkning</t>
        </is>
      </c>
      <c r="D293" s="1" t="n">
        <v>44968</v>
      </c>
      <c r="E293" s="1" t="n">
        <v>46293</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23516-2023</t>
        </is>
      </c>
      <c r="B294" t="inlineStr">
        <is>
          <t>avverkningsanmälan</t>
        </is>
      </c>
      <c r="C294" t="inlineStr">
        <is>
          <t>Föryngringsavverkning</t>
        </is>
      </c>
      <c r="D294" s="1" t="n">
        <v>45076</v>
      </c>
      <c r="E294" s="1" t="n">
        <v>46293</v>
      </c>
      <c r="F294" t="inlineStr">
        <is>
          <t>GOTLANDS LÄN</t>
        </is>
      </c>
      <c r="G294" t="inlineStr">
        <is>
          <t>GOTLAND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64660-2023</t>
        </is>
      </c>
      <c r="B295" t="inlineStr">
        <is>
          <t>avverkningsanmälan</t>
        </is>
      </c>
      <c r="C295" t="inlineStr">
        <is>
          <t>Föryngringsavverkning</t>
        </is>
      </c>
      <c r="D295" s="1" t="n">
        <v>45281</v>
      </c>
      <c r="E295" s="1" t="n">
        <v>46293</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63763-2023</t>
        </is>
      </c>
      <c r="B296" t="inlineStr">
        <is>
          <t>avverkningsanmälan</t>
        </is>
      </c>
      <c r="C296" t="inlineStr">
        <is>
          <t>Föryngringsavverkning</t>
        </is>
      </c>
      <c r="D296" s="1" t="n">
        <v>45278</v>
      </c>
      <c r="E296" s="1" t="n">
        <v>46293</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7850-2025</t>
        </is>
      </c>
      <c r="B297" t="inlineStr">
        <is>
          <t>avverkningsanmälan</t>
        </is>
      </c>
      <c r="C297" t="inlineStr">
        <is>
          <t>Föryngringsavverkning</t>
        </is>
      </c>
      <c r="D297" s="1" t="n">
        <v>45706</v>
      </c>
      <c r="E297" s="1" t="n">
        <v>46293</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1734-2025</t>
        </is>
      </c>
      <c r="B298" t="inlineStr">
        <is>
          <t>avverkningsanmälan</t>
        </is>
      </c>
      <c r="C298" t="inlineStr">
        <is>
          <t>Föryngringsavverkning</t>
        </is>
      </c>
      <c r="D298" s="1" t="n">
        <v>45671</v>
      </c>
      <c r="E298" s="1" t="n">
        <v>46293</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46293</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8444-2025</t>
        </is>
      </c>
      <c r="B300" t="inlineStr">
        <is>
          <t>avverkningsanmälan</t>
        </is>
      </c>
      <c r="C300" t="inlineStr">
        <is>
          <t>Föryngringsavverkning</t>
        </is>
      </c>
      <c r="D300" s="1" t="n">
        <v>45709</v>
      </c>
      <c r="E300" s="1" t="n">
        <v>46293</v>
      </c>
      <c r="F300" t="inlineStr">
        <is>
          <t>GOTLANDS LÄN</t>
        </is>
      </c>
      <c r="G300" t="inlineStr">
        <is>
          <t>GOTLAND</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56799-2025</t>
        </is>
      </c>
      <c r="B301" t="inlineStr">
        <is>
          <t>avverkningsanmälan</t>
        </is>
      </c>
      <c r="C301" t="inlineStr">
        <is>
          <t>Föryngringsavverkning</t>
        </is>
      </c>
      <c r="D301" s="1" t="n">
        <v>45978</v>
      </c>
      <c r="E301" s="1" t="n">
        <v>46293</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46293</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2125-2025</t>
        </is>
      </c>
      <c r="B303" t="inlineStr">
        <is>
          <t>avverkningsanmälan</t>
        </is>
      </c>
      <c r="C303" t="inlineStr">
        <is>
          <t>Föryngringsavverkning</t>
        </is>
      </c>
      <c r="D303" s="1" t="n">
        <v>45672</v>
      </c>
      <c r="E303" s="1" t="n">
        <v>46293</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12155-2023</t>
        </is>
      </c>
      <c r="B304" t="inlineStr">
        <is>
          <t>avverkningsanmälan</t>
        </is>
      </c>
      <c r="C304" t="inlineStr">
        <is>
          <t>Föryngringsavverkning</t>
        </is>
      </c>
      <c r="D304" s="1" t="n">
        <v>44998</v>
      </c>
      <c r="E304" s="1" t="n">
        <v>46293</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18804-2026</t>
        </is>
      </c>
      <c r="B305" t="inlineStr">
        <is>
          <t>avverkningsanmälan</t>
        </is>
      </c>
      <c r="C305" t="inlineStr">
        <is>
          <t>Föryngringsavverkning</t>
        </is>
      </c>
      <c r="D305" s="1" t="n">
        <v>46128</v>
      </c>
      <c r="E305" s="1" t="n">
        <v>46293</v>
      </c>
      <c r="F305" t="inlineStr">
        <is>
          <t>GOTLANDS LÄN</t>
        </is>
      </c>
      <c r="G305" t="inlineStr">
        <is>
          <t>GOTLAND</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46293</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46293</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46293</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46293</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26467-2025</t>
        </is>
      </c>
      <c r="B310" t="inlineStr">
        <is>
          <t>avverkningsanmälan</t>
        </is>
      </c>
      <c r="C310" t="inlineStr">
        <is>
          <t>Föryngringsavverkning</t>
        </is>
      </c>
      <c r="D310" s="1" t="n">
        <v>45807</v>
      </c>
      <c r="E310" s="1" t="n">
        <v>46293</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29207-2025</t>
        </is>
      </c>
      <c r="B311" t="inlineStr">
        <is>
          <t>avverkningsanmälan</t>
        </is>
      </c>
      <c r="C311" t="inlineStr">
        <is>
          <t>Föryngringsavverkning</t>
        </is>
      </c>
      <c r="D311" s="1" t="n">
        <v>45823</v>
      </c>
      <c r="E311" s="1" t="n">
        <v>46293</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25796-2025</t>
        </is>
      </c>
      <c r="B312" t="inlineStr">
        <is>
          <t>avverkningsanmälan</t>
        </is>
      </c>
      <c r="C312" t="inlineStr">
        <is>
          <t>Föryngringsavverkning</t>
        </is>
      </c>
      <c r="D312" s="1" t="n">
        <v>45804</v>
      </c>
      <c r="E312" s="1" t="n">
        <v>46293</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2180-2025</t>
        </is>
      </c>
      <c r="B313" t="inlineStr">
        <is>
          <t>avverkningsanmälan</t>
        </is>
      </c>
      <c r="C313" t="inlineStr">
        <is>
          <t>Föryngringsavverkning</t>
        </is>
      </c>
      <c r="D313" s="1" t="n">
        <v>45673</v>
      </c>
      <c r="E313" s="1" t="n">
        <v>46293</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62754-2025</t>
        </is>
      </c>
      <c r="B314" t="inlineStr">
        <is>
          <t>avverkningsanmälan</t>
        </is>
      </c>
      <c r="C314" t="inlineStr">
        <is>
          <t>Föryngringsavverkning</t>
        </is>
      </c>
      <c r="D314" s="1" t="n">
        <v>46008</v>
      </c>
      <c r="E314" s="1" t="n">
        <v>46293</v>
      </c>
      <c r="F314" t="inlineStr">
        <is>
          <t>GOTLANDS LÄN</t>
        </is>
      </c>
      <c r="G314" t="inlineStr">
        <is>
          <t>GOTLAND</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20225-2025</t>
        </is>
      </c>
      <c r="B315" t="inlineStr">
        <is>
          <t>avverkningsanmälan</t>
        </is>
      </c>
      <c r="C315" t="inlineStr">
        <is>
          <t>Föryngringsavverkning</t>
        </is>
      </c>
      <c r="D315" s="1" t="n">
        <v>45772</v>
      </c>
      <c r="E315" s="1" t="n">
        <v>46293</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32379-2025</t>
        </is>
      </c>
      <c r="B316" t="inlineStr">
        <is>
          <t>avverkningsanmälan</t>
        </is>
      </c>
      <c r="C316" t="inlineStr">
        <is>
          <t>Föryngringsavverkning</t>
        </is>
      </c>
      <c r="D316" s="1" t="n">
        <v>45837</v>
      </c>
      <c r="E316" s="1" t="n">
        <v>46293</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45112-2024</t>
        </is>
      </c>
      <c r="B317" t="inlineStr">
        <is>
          <t>avverkningsanmälan</t>
        </is>
      </c>
      <c r="C317" t="inlineStr">
        <is>
          <t>Föryngringsavverkning</t>
        </is>
      </c>
      <c r="D317" s="1" t="n">
        <v>45575</v>
      </c>
      <c r="E317" s="1" t="n">
        <v>46293</v>
      </c>
      <c r="F317" t="inlineStr">
        <is>
          <t>GOTLANDS LÄN</t>
        </is>
      </c>
      <c r="G317" t="inlineStr">
        <is>
          <t>GOTLAND</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46293</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1854-2026</t>
        </is>
      </c>
      <c r="B319" t="inlineStr">
        <is>
          <t>avverkningsanmälan</t>
        </is>
      </c>
      <c r="C319" t="inlineStr">
        <is>
          <t>Föryngringsavverkning</t>
        </is>
      </c>
      <c r="D319" s="1" t="n">
        <v>46035</v>
      </c>
      <c r="E319" s="1" t="n">
        <v>46293</v>
      </c>
      <c r="F319" t="inlineStr">
        <is>
          <t>GOTLANDS LÄN</t>
        </is>
      </c>
      <c r="G319" t="inlineStr">
        <is>
          <t>GOTLAND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36319-2025</t>
        </is>
      </c>
      <c r="B320" t="inlineStr">
        <is>
          <t>avverkningsanmälan</t>
        </is>
      </c>
      <c r="C320" t="inlineStr">
        <is>
          <t>Föryngringsavverkning</t>
        </is>
      </c>
      <c r="D320" s="1" t="n">
        <v>45868</v>
      </c>
      <c r="E320" s="1" t="n">
        <v>46293</v>
      </c>
      <c r="F320" t="inlineStr">
        <is>
          <t>GOTLANDS LÄN</t>
        </is>
      </c>
      <c r="G320" t="inlineStr">
        <is>
          <t>GOTLAND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13910-2025</t>
        </is>
      </c>
      <c r="B321" t="inlineStr">
        <is>
          <t>avverkningsanmälan</t>
        </is>
      </c>
      <c r="C321" t="inlineStr">
        <is>
          <t>Föryngringsavverkning</t>
        </is>
      </c>
      <c r="D321" s="1" t="n">
        <v>45737</v>
      </c>
      <c r="E321" s="1" t="n">
        <v>46293</v>
      </c>
      <c r="F321" t="inlineStr">
        <is>
          <t>GOTLANDS LÄN</t>
        </is>
      </c>
      <c r="G321" t="inlineStr">
        <is>
          <t>GOTLAND</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46293</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10746-2025</t>
        </is>
      </c>
      <c r="B323" t="inlineStr">
        <is>
          <t>avverkningsanmälan</t>
        </is>
      </c>
      <c r="C323" t="inlineStr">
        <is>
          <t>Föryngringsavverkning</t>
        </is>
      </c>
      <c r="D323" s="1" t="n">
        <v>45722</v>
      </c>
      <c r="E323" s="1" t="n">
        <v>46293</v>
      </c>
      <c r="F323" t="inlineStr">
        <is>
          <t>GOTLANDS LÄN</t>
        </is>
      </c>
      <c r="G323" t="inlineStr">
        <is>
          <t>GOTLAND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46293</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6959-2026</t>
        </is>
      </c>
      <c r="B325" t="inlineStr">
        <is>
          <t>avverkningsanmälan</t>
        </is>
      </c>
      <c r="C325" t="inlineStr">
        <is>
          <t>Föryngringsavverkning</t>
        </is>
      </c>
      <c r="D325" s="1" t="n">
        <v>46057</v>
      </c>
      <c r="E325" s="1" t="n">
        <v>46293</v>
      </c>
      <c r="F325" t="inlineStr">
        <is>
          <t>GOTLANDS LÄN</t>
        </is>
      </c>
      <c r="G325" t="inlineStr">
        <is>
          <t>GOTLAND</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46293</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46293</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38165-2023</t>
        </is>
      </c>
      <c r="B328" t="inlineStr">
        <is>
          <t>avverkningsanmälan</t>
        </is>
      </c>
      <c r="C328" t="inlineStr">
        <is>
          <t>Föryngringsavverkning</t>
        </is>
      </c>
      <c r="D328" s="1" t="n">
        <v>45161</v>
      </c>
      <c r="E328" s="1" t="n">
        <v>46293</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46293</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46293</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46293</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63002-2025</t>
        </is>
      </c>
      <c r="B332" t="inlineStr">
        <is>
          <t>avverkningsanmälan</t>
        </is>
      </c>
      <c r="C332" t="inlineStr">
        <is>
          <t>Föryngringsavverkning</t>
        </is>
      </c>
      <c r="D332" s="1" t="n">
        <v>46009</v>
      </c>
      <c r="E332" s="1" t="n">
        <v>46293</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46293</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46293</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29196-2025</t>
        </is>
      </c>
      <c r="B335" t="inlineStr">
        <is>
          <t>avverkningsanmälan</t>
        </is>
      </c>
      <c r="C335" t="inlineStr">
        <is>
          <t>Föryngringsavverkning</t>
        </is>
      </c>
      <c r="D335" s="1" t="n">
        <v>45822</v>
      </c>
      <c r="E335" s="1" t="n">
        <v>46293</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46293</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46293</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52892-2021</t>
        </is>
      </c>
      <c r="B338" t="inlineStr">
        <is>
          <t>avverkningsanmälan</t>
        </is>
      </c>
      <c r="C338" t="inlineStr">
        <is>
          <t>Föryngringsavverkning</t>
        </is>
      </c>
      <c r="D338" s="1" t="n">
        <v>44467</v>
      </c>
      <c r="E338" s="1" t="n">
        <v>46293</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46293</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30061-2025</t>
        </is>
      </c>
      <c r="B340" t="inlineStr">
        <is>
          <t>avverkningsanmälan</t>
        </is>
      </c>
      <c r="C340" t="inlineStr">
        <is>
          <t>Föryngringsavverkning</t>
        </is>
      </c>
      <c r="D340" s="1" t="n">
        <v>45826</v>
      </c>
      <c r="E340" s="1" t="n">
        <v>46293</v>
      </c>
      <c r="F340" t="inlineStr">
        <is>
          <t>GOTLANDS LÄN</t>
        </is>
      </c>
      <c r="G340" t="inlineStr">
        <is>
          <t>GOTLAND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46293</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58160-2024</t>
        </is>
      </c>
      <c r="B342" t="inlineStr">
        <is>
          <t>avverkningsanmälan</t>
        </is>
      </c>
      <c r="C342" t="inlineStr">
        <is>
          <t>Föryngringsavverkning</t>
        </is>
      </c>
      <c r="D342" s="1" t="n">
        <v>45632</v>
      </c>
      <c r="E342" s="1" t="n">
        <v>46293</v>
      </c>
      <c r="F342" t="inlineStr">
        <is>
          <t>GOTLANDS LÄN</t>
        </is>
      </c>
      <c r="G342" t="inlineStr">
        <is>
          <t>GOTLAND</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46293</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46293</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46293</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46293</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46293</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46293</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46293</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46293</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46293</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46293</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46293</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46293</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46293</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35096-2025</t>
        </is>
      </c>
      <c r="B356" t="inlineStr">
        <is>
          <t>avverkningsanmälan</t>
        </is>
      </c>
      <c r="C356" t="inlineStr">
        <is>
          <t>Föryngringsavverkning</t>
        </is>
      </c>
      <c r="D356" s="1" t="n">
        <v>45852</v>
      </c>
      <c r="E356" s="1" t="n">
        <v>46293</v>
      </c>
      <c r="F356" t="inlineStr">
        <is>
          <t>GOTLANDS LÄN</t>
        </is>
      </c>
      <c r="G356" t="inlineStr">
        <is>
          <t>GOTLAND</t>
        </is>
      </c>
      <c r="H356" t="inlineStr">
        <is>
          <t>Kyrkan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46293</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47762-2023</t>
        </is>
      </c>
      <c r="B358" t="inlineStr">
        <is>
          <t>avverkningsanmälan</t>
        </is>
      </c>
      <c r="C358" t="inlineStr">
        <is>
          <t>Föryngringsavverkning</t>
        </is>
      </c>
      <c r="D358" s="1" t="n">
        <v>45203</v>
      </c>
      <c r="E358" s="1" t="n">
        <v>46293</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60086-2022</t>
        </is>
      </c>
      <c r="B359" t="inlineStr">
        <is>
          <t>avverkningsanmälan</t>
        </is>
      </c>
      <c r="C359" t="inlineStr">
        <is>
          <t>Föryngringsavverkning</t>
        </is>
      </c>
      <c r="D359" s="1" t="n">
        <v>44909</v>
      </c>
      <c r="E359" s="1" t="n">
        <v>46293</v>
      </c>
      <c r="F359" t="inlineStr">
        <is>
          <t>GOTLANDS LÄN</t>
        </is>
      </c>
      <c r="G359" t="inlineStr">
        <is>
          <t>GOTLAND</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28485-2023</t>
        </is>
      </c>
      <c r="B360" t="inlineStr">
        <is>
          <t>avverkningsanmälan</t>
        </is>
      </c>
      <c r="C360" t="inlineStr">
        <is>
          <t>Föryngringsavverkning</t>
        </is>
      </c>
      <c r="D360" s="1" t="n">
        <v>45103</v>
      </c>
      <c r="E360" s="1" t="n">
        <v>46293</v>
      </c>
      <c r="F360" t="inlineStr">
        <is>
          <t>GOTLANDS LÄN</t>
        </is>
      </c>
      <c r="G360" t="inlineStr">
        <is>
          <t>GOTLAND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44949-2023</t>
        </is>
      </c>
      <c r="B361" t="inlineStr">
        <is>
          <t>avverkningsanmälan</t>
        </is>
      </c>
      <c r="C361" t="inlineStr">
        <is>
          <t>Föryngringsavverkning</t>
        </is>
      </c>
      <c r="D361" s="1" t="n">
        <v>45190</v>
      </c>
      <c r="E361" s="1" t="n">
        <v>46293</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35123-2025</t>
        </is>
      </c>
      <c r="B362" t="inlineStr">
        <is>
          <t>avverkningsanmälan</t>
        </is>
      </c>
      <c r="C362" t="inlineStr">
        <is>
          <t>Föryngringsavverkning</t>
        </is>
      </c>
      <c r="D362" s="1" t="n">
        <v>45852</v>
      </c>
      <c r="E362" s="1" t="n">
        <v>46293</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32669-2024</t>
        </is>
      </c>
      <c r="B363" t="inlineStr">
        <is>
          <t>avverkningsanmälan</t>
        </is>
      </c>
      <c r="C363" t="inlineStr">
        <is>
          <t>Föryngringsavverkning</t>
        </is>
      </c>
      <c r="D363" s="1" t="n">
        <v>45514</v>
      </c>
      <c r="E363" s="1" t="n">
        <v>46293</v>
      </c>
      <c r="F363" t="inlineStr">
        <is>
          <t>GOTLANDS LÄN</t>
        </is>
      </c>
      <c r="G363" t="inlineStr">
        <is>
          <t>GOTLAND</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46293</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46293</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46293</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46293</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46293</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46293</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46293</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46293</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46293</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46293</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46293</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45244-2024</t>
        </is>
      </c>
      <c r="B375" t="inlineStr">
        <is>
          <t>avverkningsanmälan</t>
        </is>
      </c>
      <c r="C375" t="inlineStr">
        <is>
          <t>Avverkning för annat ändamål</t>
        </is>
      </c>
      <c r="D375" s="1" t="n">
        <v>45576</v>
      </c>
      <c r="E375" s="1" t="n">
        <v>46293</v>
      </c>
      <c r="F375" t="inlineStr">
        <is>
          <t>GOTLANDS LÄN</t>
        </is>
      </c>
      <c r="G375" t="inlineStr">
        <is>
          <t>GOTLAND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8260-2023</t>
        </is>
      </c>
      <c r="B376" t="inlineStr">
        <is>
          <t>avverkningsanmälan</t>
        </is>
      </c>
      <c r="C376" t="inlineStr">
        <is>
          <t>Föryngringsavverkning</t>
        </is>
      </c>
      <c r="D376" s="1" t="n">
        <v>44974</v>
      </c>
      <c r="E376" s="1" t="n">
        <v>46293</v>
      </c>
      <c r="F376" t="inlineStr">
        <is>
          <t>GOTLANDS LÄN</t>
        </is>
      </c>
      <c r="G376" t="inlineStr">
        <is>
          <t>GOTLAND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64969-2023</t>
        </is>
      </c>
      <c r="B377" t="inlineStr">
        <is>
          <t>avverkningsanmälan</t>
        </is>
      </c>
      <c r="C377" t="inlineStr">
        <is>
          <t>Föryngringsavverkning</t>
        </is>
      </c>
      <c r="D377" s="1" t="n">
        <v>45284</v>
      </c>
      <c r="E377" s="1" t="n">
        <v>46293</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46293</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46293</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27354-2026</t>
        </is>
      </c>
      <c r="B380" t="inlineStr">
        <is>
          <t>avverkningsanmälan</t>
        </is>
      </c>
      <c r="C380" t="inlineStr">
        <is>
          <t>Föryngringsavverkning</t>
        </is>
      </c>
      <c r="D380" s="1" t="n">
        <v>46184</v>
      </c>
      <c r="E380" s="1" t="n">
        <v>46293</v>
      </c>
      <c r="F380" t="inlineStr">
        <is>
          <t>GOTLANDS LÄN</t>
        </is>
      </c>
      <c r="G380" t="inlineStr">
        <is>
          <t>GOTLAND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46293</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46293</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46293</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46293</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46293</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46293</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28012-2026</t>
        </is>
      </c>
      <c r="B387" t="inlineStr">
        <is>
          <t>avverkningsanmälan</t>
        </is>
      </c>
      <c r="C387" t="inlineStr">
        <is>
          <t>Föryngringsavverkning</t>
        </is>
      </c>
      <c r="D387" s="1" t="n">
        <v>46195</v>
      </c>
      <c r="E387" s="1" t="n">
        <v>46293</v>
      </c>
      <c r="F387" t="inlineStr">
        <is>
          <t>GOTLANDS LÄN</t>
        </is>
      </c>
      <c r="G387" t="inlineStr">
        <is>
          <t>GOTLAND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46293</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46293</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6108-2025</t>
        </is>
      </c>
      <c r="B390" t="inlineStr">
        <is>
          <t>avverkningsanmälan</t>
        </is>
      </c>
      <c r="C390" t="inlineStr">
        <is>
          <t>Föryngringsavverkning</t>
        </is>
      </c>
      <c r="D390" s="1" t="n">
        <v>45698</v>
      </c>
      <c r="E390" s="1" t="n">
        <v>46293</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46293</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46949-2024</t>
        </is>
      </c>
      <c r="B392" t="inlineStr">
        <is>
          <t>avverkningsanmälan</t>
        </is>
      </c>
      <c r="C392" t="inlineStr">
        <is>
          <t>Föryngringsavverkning</t>
        </is>
      </c>
      <c r="D392" s="1" t="n">
        <v>45585</v>
      </c>
      <c r="E392" s="1" t="n">
        <v>46293</v>
      </c>
      <c r="F392" t="inlineStr">
        <is>
          <t>GOTLANDS LÄN</t>
        </is>
      </c>
      <c r="G392" t="inlineStr">
        <is>
          <t>GOTLAND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28839-2026</t>
        </is>
      </c>
      <c r="B393" t="inlineStr">
        <is>
          <t>avverkningsanmälan</t>
        </is>
      </c>
      <c r="C393" t="inlineStr">
        <is>
          <t>Föryngringsavverkning</t>
        </is>
      </c>
      <c r="D393" s="1" t="n">
        <v>46198</v>
      </c>
      <c r="E393" s="1" t="n">
        <v>46293</v>
      </c>
      <c r="F393" t="inlineStr">
        <is>
          <t>GOTLANDS LÄN</t>
        </is>
      </c>
      <c r="G393" t="inlineStr">
        <is>
          <t>GOTLAND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28843-2026</t>
        </is>
      </c>
      <c r="B394" t="inlineStr">
        <is>
          <t>avverkningsanmälan</t>
        </is>
      </c>
      <c r="C394" t="inlineStr">
        <is>
          <t>Föryngringsavverkning</t>
        </is>
      </c>
      <c r="D394" s="1" t="n">
        <v>46198</v>
      </c>
      <c r="E394" s="1" t="n">
        <v>46293</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10650-2022</t>
        </is>
      </c>
      <c r="B395" t="inlineStr">
        <is>
          <t>avverkningsanmälan</t>
        </is>
      </c>
      <c r="C395" t="inlineStr">
        <is>
          <t>Föryngringsavverkning</t>
        </is>
      </c>
      <c r="D395" s="1" t="n">
        <v>44624</v>
      </c>
      <c r="E395" s="1" t="n">
        <v>46293</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18938-2025</t>
        </is>
      </c>
      <c r="B396" t="inlineStr">
        <is>
          <t>avverkningsanmälan</t>
        </is>
      </c>
      <c r="C396" t="inlineStr">
        <is>
          <t>Föryngringsavverkning</t>
        </is>
      </c>
      <c r="D396" s="1" t="n">
        <v>45764</v>
      </c>
      <c r="E396" s="1" t="n">
        <v>46293</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29370-2026</t>
        </is>
      </c>
      <c r="B397" t="inlineStr">
        <is>
          <t>avverkningsanmälan</t>
        </is>
      </c>
      <c r="C397" t="inlineStr">
        <is>
          <t>Föryngringsavverkning</t>
        </is>
      </c>
      <c r="D397" s="1" t="n">
        <v>46203</v>
      </c>
      <c r="E397" s="1" t="n">
        <v>46293</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20307-2025</t>
        </is>
      </c>
      <c r="B398" t="inlineStr">
        <is>
          <t>avverkningsanmälan</t>
        </is>
      </c>
      <c r="C398" t="inlineStr">
        <is>
          <t>Föryngringsavverkning</t>
        </is>
      </c>
      <c r="D398" s="1" t="n">
        <v>45774</v>
      </c>
      <c r="E398" s="1" t="n">
        <v>46293</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46293</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46293</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46293</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46293</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21164-2024</t>
        </is>
      </c>
      <c r="B403" t="inlineStr">
        <is>
          <t>avverkningsanmälan</t>
        </is>
      </c>
      <c r="C403" t="inlineStr">
        <is>
          <t>Föryngringsavverkning</t>
        </is>
      </c>
      <c r="D403" s="1" t="n">
        <v>45440</v>
      </c>
      <c r="E403" s="1" t="n">
        <v>46293</v>
      </c>
      <c r="F403" t="inlineStr">
        <is>
          <t>GOTLANDS LÄN</t>
        </is>
      </c>
      <c r="G403" t="inlineStr">
        <is>
          <t>GOTLAND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8045-2022</t>
        </is>
      </c>
      <c r="B404" t="inlineStr">
        <is>
          <t>avverkningsanmälan</t>
        </is>
      </c>
      <c r="C404" t="inlineStr">
        <is>
          <t>Föryngringsavverkning</t>
        </is>
      </c>
      <c r="D404" s="1" t="n">
        <v>44609</v>
      </c>
      <c r="E404" s="1" t="n">
        <v>46293</v>
      </c>
      <c r="F404" t="inlineStr">
        <is>
          <t>GOTLANDS LÄN</t>
        </is>
      </c>
      <c r="G404" t="inlineStr">
        <is>
          <t>GOTLAND</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22897-2023</t>
        </is>
      </c>
      <c r="B405" t="inlineStr">
        <is>
          <t>avverkningsanmälan</t>
        </is>
      </c>
      <c r="C405" t="inlineStr">
        <is>
          <t>Föryngringsavverkning</t>
        </is>
      </c>
      <c r="D405" s="1" t="n">
        <v>45072</v>
      </c>
      <c r="E405" s="1" t="n">
        <v>46293</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61897-2024</t>
        </is>
      </c>
      <c r="B406" t="inlineStr">
        <is>
          <t>avverkningsanmälan</t>
        </is>
      </c>
      <c r="C406" t="inlineStr">
        <is>
          <t>Föryngringsavverkning</t>
        </is>
      </c>
      <c r="D406" s="1" t="n">
        <v>45652</v>
      </c>
      <c r="E406" s="1" t="n">
        <v>46293</v>
      </c>
      <c r="F406" t="inlineStr">
        <is>
          <t>GOTLANDS LÄN</t>
        </is>
      </c>
      <c r="G406" t="inlineStr">
        <is>
          <t>GOTLAND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30925-2026</t>
        </is>
      </c>
      <c r="B407" t="inlineStr">
        <is>
          <t>avverkningsanmälan</t>
        </is>
      </c>
      <c r="C407" t="inlineStr">
        <is>
          <t>Föryngringsavverkning</t>
        </is>
      </c>
      <c r="D407" s="1" t="n">
        <v>46213</v>
      </c>
      <c r="E407" s="1" t="n">
        <v>46293</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20165-2022</t>
        </is>
      </c>
      <c r="B408" t="inlineStr">
        <is>
          <t>avverkningsanmälan</t>
        </is>
      </c>
      <c r="C408" t="inlineStr">
        <is>
          <t>Föryngringsavverkning</t>
        </is>
      </c>
      <c r="D408" s="1" t="n">
        <v>44698</v>
      </c>
      <c r="E408" s="1" t="n">
        <v>46293</v>
      </c>
      <c r="F408" t="inlineStr">
        <is>
          <t>GOTLANDS LÄN</t>
        </is>
      </c>
      <c r="G408" t="inlineStr">
        <is>
          <t>GOTLAND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12032-2025</t>
        </is>
      </c>
      <c r="B409" t="inlineStr">
        <is>
          <t>avverkningsanmälan</t>
        </is>
      </c>
      <c r="C409" t="inlineStr">
        <is>
          <t>Föryngringsavverkning</t>
        </is>
      </c>
      <c r="D409" s="1" t="n">
        <v>45728</v>
      </c>
      <c r="E409" s="1" t="n">
        <v>46293</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38787-2023</t>
        </is>
      </c>
      <c r="B410" t="inlineStr">
        <is>
          <t>avverkningsanmälan</t>
        </is>
      </c>
      <c r="C410" t="inlineStr">
        <is>
          <t>Föryngringsavverkning</t>
        </is>
      </c>
      <c r="D410" s="1" t="n">
        <v>45163</v>
      </c>
      <c r="E410" s="1" t="n">
        <v>46293</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46293</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46293</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46293</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46293</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46293</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42338-2023</t>
        </is>
      </c>
      <c r="B416" t="inlineStr">
        <is>
          <t>avverkningsanmälan</t>
        </is>
      </c>
      <c r="C416" t="inlineStr">
        <is>
          <t>Föryngringsavverkning</t>
        </is>
      </c>
      <c r="D416" s="1" t="n">
        <v>45180</v>
      </c>
      <c r="E416" s="1" t="n">
        <v>46293</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46293</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31695-2026</t>
        </is>
      </c>
      <c r="B418" t="inlineStr">
        <is>
          <t>avverkningsanmälan</t>
        </is>
      </c>
      <c r="C418" t="inlineStr">
        <is>
          <t>Föryngringsavverkning</t>
        </is>
      </c>
      <c r="D418" s="1" t="n">
        <v>46226</v>
      </c>
      <c r="E418" s="1" t="n">
        <v>46293</v>
      </c>
      <c r="F418" t="inlineStr">
        <is>
          <t>GOTLANDS LÄN</t>
        </is>
      </c>
      <c r="G418" t="inlineStr">
        <is>
          <t>GOTLAND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36499-2026</t>
        </is>
      </c>
      <c r="B419" t="inlineStr">
        <is>
          <t>avverkningsanmälan</t>
        </is>
      </c>
      <c r="C419" t="inlineStr">
        <is>
          <t>Föryngringsavverkning</t>
        </is>
      </c>
      <c r="D419" s="1" t="n">
        <v>46268</v>
      </c>
      <c r="E419" s="1" t="n">
        <v>46293</v>
      </c>
      <c r="F419" t="inlineStr">
        <is>
          <t>GOTLANDS LÄN</t>
        </is>
      </c>
      <c r="G419" t="inlineStr">
        <is>
          <t>GOTLAND</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36510-2026</t>
        </is>
      </c>
      <c r="B420" t="inlineStr">
        <is>
          <t>avverkningsanmälan</t>
        </is>
      </c>
      <c r="C420" t="inlineStr">
        <is>
          <t>Föryngringsavverkning</t>
        </is>
      </c>
      <c r="D420" s="1" t="n">
        <v>46268</v>
      </c>
      <c r="E420" s="1" t="n">
        <v>46293</v>
      </c>
      <c r="F420" t="inlineStr">
        <is>
          <t>GOTLANDS LÄN</t>
        </is>
      </c>
      <c r="G420" t="inlineStr">
        <is>
          <t>GOTLAND</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873-2024</t>
        </is>
      </c>
      <c r="B421" t="inlineStr">
        <is>
          <t>avverkningsanmälan</t>
        </is>
      </c>
      <c r="C421" t="inlineStr">
        <is>
          <t>Avverkning för annat ändamål</t>
        </is>
      </c>
      <c r="D421" s="1" t="n">
        <v>45301</v>
      </c>
      <c r="E421" s="1" t="n">
        <v>46293</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22275-2023</t>
        </is>
      </c>
      <c r="B422" t="inlineStr">
        <is>
          <t>avverkningsanmälan</t>
        </is>
      </c>
      <c r="C422" t="inlineStr">
        <is>
          <t>Föryngringsavverkning</t>
        </is>
      </c>
      <c r="D422" s="1" t="n">
        <v>45070</v>
      </c>
      <c r="E422" s="1" t="n">
        <v>46293</v>
      </c>
      <c r="F422" t="inlineStr">
        <is>
          <t>GOTLANDS LÄN</t>
        </is>
      </c>
      <c r="G422" t="inlineStr">
        <is>
          <t>GOTLAND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46293</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14797-2024</t>
        </is>
      </c>
      <c r="B424" t="inlineStr">
        <is>
          <t>avverkningsanmälan</t>
        </is>
      </c>
      <c r="C424" t="inlineStr">
        <is>
          <t>Föryngringsavverkning</t>
        </is>
      </c>
      <c r="D424" s="1" t="n">
        <v>45397</v>
      </c>
      <c r="E424" s="1" t="n">
        <v>46293</v>
      </c>
      <c r="F424" t="inlineStr">
        <is>
          <t>GOTLANDS LÄN</t>
        </is>
      </c>
      <c r="G424" t="inlineStr">
        <is>
          <t>GOTLAND</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999-2024</t>
        </is>
      </c>
      <c r="B425" t="inlineStr">
        <is>
          <t>avverkningsanmälan</t>
        </is>
      </c>
      <c r="C425" t="inlineStr">
        <is>
          <t>Föryngringsavverkning</t>
        </is>
      </c>
      <c r="D425" s="1" t="n">
        <v>45301</v>
      </c>
      <c r="E425" s="1" t="n">
        <v>46293</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61596-2023</t>
        </is>
      </c>
      <c r="B426" t="inlineStr">
        <is>
          <t>avverkningsanmälan</t>
        </is>
      </c>
      <c r="C426" t="inlineStr">
        <is>
          <t>Föryngringsavverkning</t>
        </is>
      </c>
      <c r="D426" s="1" t="n">
        <v>45265</v>
      </c>
      <c r="E426" s="1" t="n">
        <v>46293</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46293</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46293</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22287-2022</t>
        </is>
      </c>
      <c r="B429" t="inlineStr">
        <is>
          <t>avverkningsanmälan</t>
        </is>
      </c>
      <c r="C429" t="inlineStr">
        <is>
          <t>Avverkning för annat ändamål</t>
        </is>
      </c>
      <c r="D429" s="1" t="n">
        <v>44712</v>
      </c>
      <c r="E429" s="1" t="n">
        <v>46293</v>
      </c>
      <c r="F429" t="inlineStr">
        <is>
          <t>GOTLANDS LÄN</t>
        </is>
      </c>
      <c r="G429" t="inlineStr">
        <is>
          <t>GOTLAND</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46293</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46293</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46293</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32553-2026</t>
        </is>
      </c>
      <c r="B433" t="inlineStr">
        <is>
          <t>avverkningsanmälan</t>
        </is>
      </c>
      <c r="C433" t="inlineStr">
        <is>
          <t>Föryngringsavverkning</t>
        </is>
      </c>
      <c r="D433" s="1" t="n">
        <v>46239</v>
      </c>
      <c r="E433" s="1" t="n">
        <v>46293</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62836-2025</t>
        </is>
      </c>
      <c r="B434" t="inlineStr">
        <is>
          <t>avverkningsanmälan</t>
        </is>
      </c>
      <c r="C434" t="inlineStr">
        <is>
          <t>Föryngringsavverkning</t>
        </is>
      </c>
      <c r="D434" s="1" t="n">
        <v>46008</v>
      </c>
      <c r="E434" s="1" t="n">
        <v>46293</v>
      </c>
      <c r="F434" t="inlineStr">
        <is>
          <t>GOTLANDS LÄN</t>
        </is>
      </c>
      <c r="G434" t="inlineStr">
        <is>
          <t>GOTLAND</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46293</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38932-2026</t>
        </is>
      </c>
      <c r="B436" t="inlineStr">
        <is>
          <t>avverkningsanmälan</t>
        </is>
      </c>
      <c r="C436" t="inlineStr">
        <is>
          <t>Föryngringsavverkning</t>
        </is>
      </c>
      <c r="D436" s="1" t="n">
        <v>46286</v>
      </c>
      <c r="E436" s="1" t="n">
        <v>46293</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32698-2026</t>
        </is>
      </c>
      <c r="B437" t="inlineStr">
        <is>
          <t>avverkningsanmälan</t>
        </is>
      </c>
      <c r="C437" t="inlineStr">
        <is>
          <t>Föryngringsavverkning</t>
        </is>
      </c>
      <c r="D437" s="1" t="n">
        <v>46240</v>
      </c>
      <c r="E437" s="1" t="n">
        <v>46293</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46293</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9518-2026</t>
        </is>
      </c>
      <c r="B439" t="inlineStr">
        <is>
          <t>avverkningsanmälan</t>
        </is>
      </c>
      <c r="C439" t="inlineStr">
        <is>
          <t>Föryngringsavverkning</t>
        </is>
      </c>
      <c r="D439" s="1" t="n">
        <v>46071</v>
      </c>
      <c r="E439" s="1" t="n">
        <v>46293</v>
      </c>
      <c r="F439" t="inlineStr">
        <is>
          <t>GOTLANDS LÄN</t>
        </is>
      </c>
      <c r="G439" t="inlineStr">
        <is>
          <t>GOTLAND</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9543-2026</t>
        </is>
      </c>
      <c r="B440" t="inlineStr">
        <is>
          <t>avverkningsanmälan</t>
        </is>
      </c>
      <c r="C440" t="inlineStr">
        <is>
          <t>Föryngringsavverkning</t>
        </is>
      </c>
      <c r="D440" s="1" t="n">
        <v>46071</v>
      </c>
      <c r="E440" s="1" t="n">
        <v>46293</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32626-2026</t>
        </is>
      </c>
      <c r="B441" t="inlineStr">
        <is>
          <t>avverkningsanmälan</t>
        </is>
      </c>
      <c r="C441" t="inlineStr">
        <is>
          <t>Föryngringsavverkning</t>
        </is>
      </c>
      <c r="D441" s="1" t="n">
        <v>46240</v>
      </c>
      <c r="E441" s="1" t="n">
        <v>46293</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9540-2026</t>
        </is>
      </c>
      <c r="B442" t="inlineStr">
        <is>
          <t>avverkningsanmälan</t>
        </is>
      </c>
      <c r="C442" t="inlineStr">
        <is>
          <t>Föryngringsavverkning</t>
        </is>
      </c>
      <c r="D442" s="1" t="n">
        <v>46071</v>
      </c>
      <c r="E442" s="1" t="n">
        <v>46293</v>
      </c>
      <c r="F442" t="inlineStr">
        <is>
          <t>GOTLANDS LÄN</t>
        </is>
      </c>
      <c r="G442" t="inlineStr">
        <is>
          <t>GOTLAND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17780-2022</t>
        </is>
      </c>
      <c r="B443" t="inlineStr">
        <is>
          <t>avverkningsanmälan</t>
        </is>
      </c>
      <c r="C443" t="inlineStr">
        <is>
          <t>Föryngringsavverkning</t>
        </is>
      </c>
      <c r="D443" s="1" t="n">
        <v>44682</v>
      </c>
      <c r="E443" s="1" t="n">
        <v>46293</v>
      </c>
      <c r="F443" t="inlineStr">
        <is>
          <t>GOTLANDS LÄN</t>
        </is>
      </c>
      <c r="G443" t="inlineStr">
        <is>
          <t>GOTLAND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46293</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23188-2025</t>
        </is>
      </c>
      <c r="B445" t="inlineStr">
        <is>
          <t>avverkningsanmälan</t>
        </is>
      </c>
      <c r="C445" t="inlineStr">
        <is>
          <t>Avverkning för annat ändamål</t>
        </is>
      </c>
      <c r="D445" s="1" t="n">
        <v>45791</v>
      </c>
      <c r="E445" s="1" t="n">
        <v>46293</v>
      </c>
      <c r="F445" t="inlineStr">
        <is>
          <t>GOTLANDS LÄN</t>
        </is>
      </c>
      <c r="G445" t="inlineStr">
        <is>
          <t>GOTLAND</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22275-2026</t>
        </is>
      </c>
      <c r="B446" t="inlineStr">
        <is>
          <t>avverkningsanmälan</t>
        </is>
      </c>
      <c r="C446" t="inlineStr">
        <is>
          <t>Föryngringsavverkning</t>
        </is>
      </c>
      <c r="D446" s="1" t="n">
        <v>46154</v>
      </c>
      <c r="E446" s="1" t="n">
        <v>46293</v>
      </c>
      <c r="F446" t="inlineStr">
        <is>
          <t>GOTLANDS LÄN</t>
        </is>
      </c>
      <c r="G446" t="inlineStr">
        <is>
          <t>GOTLAND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46293</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46293</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46293</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46293</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46293</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46293</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46293</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37990-2026</t>
        </is>
      </c>
      <c r="B454" t="inlineStr">
        <is>
          <t>avverkningsanmälan</t>
        </is>
      </c>
      <c r="C454" t="inlineStr">
        <is>
          <t>Avverkning för annat ändamål</t>
        </is>
      </c>
      <c r="D454" s="1" t="n">
        <v>46280</v>
      </c>
      <c r="E454" s="1" t="n">
        <v>46293</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39400-2026</t>
        </is>
      </c>
      <c r="B455" t="inlineStr">
        <is>
          <t>avverkningsanmälan</t>
        </is>
      </c>
      <c r="C455" t="inlineStr">
        <is>
          <t>Föryngringsavverkning</t>
        </is>
      </c>
      <c r="D455" s="1" t="n">
        <v>46288</v>
      </c>
      <c r="E455" s="1" t="n">
        <v>46293</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64555-2023</t>
        </is>
      </c>
      <c r="B456" t="inlineStr">
        <is>
          <t>avverkningsanmälan</t>
        </is>
      </c>
      <c r="C456" t="inlineStr">
        <is>
          <t>Avverkning för annat ändamål</t>
        </is>
      </c>
      <c r="D456" s="1" t="n">
        <v>45281</v>
      </c>
      <c r="E456" s="1" t="n">
        <v>46293</v>
      </c>
      <c r="F456" t="inlineStr">
        <is>
          <t>GOTLANDS LÄN</t>
        </is>
      </c>
      <c r="G456" t="inlineStr">
        <is>
          <t>GOTLAND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64831-2023</t>
        </is>
      </c>
      <c r="B457" t="inlineStr">
        <is>
          <t>avverkningsanmälan</t>
        </is>
      </c>
      <c r="C457" t="inlineStr">
        <is>
          <t>Föryngringsavverkning</t>
        </is>
      </c>
      <c r="D457" s="1" t="n">
        <v>45282</v>
      </c>
      <c r="E457" s="1" t="n">
        <v>46293</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10284-2026</t>
        </is>
      </c>
      <c r="B458" t="inlineStr">
        <is>
          <t>avverkningsanmälan</t>
        </is>
      </c>
      <c r="C458" t="inlineStr">
        <is>
          <t>Avverkning för annat ändamål</t>
        </is>
      </c>
      <c r="D458" s="1" t="n">
        <v>46076</v>
      </c>
      <c r="E458" s="1" t="n">
        <v>46293</v>
      </c>
      <c r="F458" t="inlineStr">
        <is>
          <t>GOTLANDS LÄN</t>
        </is>
      </c>
      <c r="G458" t="inlineStr">
        <is>
          <t>GOTLAND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46293</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4387-2023</t>
        </is>
      </c>
      <c r="B460" t="inlineStr">
        <is>
          <t>avverkningsanmälan</t>
        </is>
      </c>
      <c r="C460" t="inlineStr">
        <is>
          <t>Föryngringsavverkning</t>
        </is>
      </c>
      <c r="D460" s="1" t="n">
        <v>44955</v>
      </c>
      <c r="E460" s="1" t="n">
        <v>46293</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46293</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46293</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811-2023</t>
        </is>
      </c>
      <c r="B463" t="inlineStr">
        <is>
          <t>avverkningsanmälan</t>
        </is>
      </c>
      <c r="C463" t="inlineStr">
        <is>
          <t>Föryngringsavverkning</t>
        </is>
      </c>
      <c r="D463" s="1" t="n">
        <v>44931</v>
      </c>
      <c r="E463" s="1" t="n">
        <v>46293</v>
      </c>
      <c r="F463" t="inlineStr">
        <is>
          <t>GOTLANDS LÄN</t>
        </is>
      </c>
      <c r="G463" t="inlineStr">
        <is>
          <t>GOTLAND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5923-2023</t>
        </is>
      </c>
      <c r="B464" t="inlineStr">
        <is>
          <t>avverkningsanmälan</t>
        </is>
      </c>
      <c r="C464" t="inlineStr">
        <is>
          <t>Föryngringsavverkning</t>
        </is>
      </c>
      <c r="D464" s="1" t="n">
        <v>44963</v>
      </c>
      <c r="E464" s="1" t="n">
        <v>46293</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46293</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46293</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46293</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2719-2023</t>
        </is>
      </c>
      <c r="B468" t="inlineStr">
        <is>
          <t>avverkningsanmälan</t>
        </is>
      </c>
      <c r="C468" t="inlineStr">
        <is>
          <t>Föryngringsavverkning</t>
        </is>
      </c>
      <c r="D468" s="1" t="n">
        <v>44944</v>
      </c>
      <c r="E468" s="1" t="n">
        <v>46293</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46293</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46293</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46293</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46293</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46293</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46293</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46293</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46293</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46293</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46293</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46293</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46293</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46293</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46293</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46293</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46293</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46293</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46293</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46293</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46293</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46293</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46293</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46293</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46293</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46293</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46293</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46293</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46293</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46293</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46293</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46293</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46293</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46293</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46293</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46293</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46293</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46293</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46293</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46293</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46293</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46293</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46293</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46293</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46293</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46293</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46293</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46293</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46293</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1331-2024</t>
        </is>
      </c>
      <c r="B517" t="inlineStr">
        <is>
          <t>samrådsanmälan</t>
        </is>
      </c>
      <c r="C517" t="inlineStr">
        <is>
          <t>Annan skogsbruksåtgärd</t>
        </is>
      </c>
      <c r="D517" s="1" t="n">
        <v>45406</v>
      </c>
      <c r="E517" s="1" t="n">
        <v>46293</v>
      </c>
      <c r="F517" t="inlineStr">
        <is>
          <t>GOTLANDS LÄN</t>
        </is>
      </c>
      <c r="G517" t="inlineStr">
        <is>
          <t>GOTLAND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537-2024</t>
        </is>
      </c>
      <c r="B518" t="inlineStr">
        <is>
          <t>samrådsanmälan</t>
        </is>
      </c>
      <c r="C518" t="inlineStr">
        <is>
          <t>Annan skogsbruksåtgärd</t>
        </is>
      </c>
      <c r="D518" s="1" t="n">
        <v>45350</v>
      </c>
      <c r="E518" s="1" t="n">
        <v>46293</v>
      </c>
      <c r="F518" t="inlineStr">
        <is>
          <t>GOTLANDS LÄN</t>
        </is>
      </c>
      <c r="G518" t="inlineStr">
        <is>
          <t>GOTLAND</t>
        </is>
      </c>
      <c r="I518" t="n">
        <v>18.9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3545-2023</t>
        </is>
      </c>
      <c r="B519" t="inlineStr">
        <is>
          <t>samrådsanmälan</t>
        </is>
      </c>
      <c r="C519" t="inlineStr">
        <is>
          <t>Annan skogsbruksåtgärd</t>
        </is>
      </c>
      <c r="D519" s="1" t="n">
        <v>45209</v>
      </c>
      <c r="E519" s="1" t="n">
        <v>46293</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5746-2022</t>
        </is>
      </c>
      <c r="B520" t="inlineStr">
        <is>
          <t>samrådsanmälan</t>
        </is>
      </c>
      <c r="C520" t="inlineStr">
        <is>
          <t>Annan skogsbruksåtgärd</t>
        </is>
      </c>
      <c r="D520" s="1" t="n">
        <v>44846</v>
      </c>
      <c r="E520" s="1" t="n">
        <v>46293</v>
      </c>
      <c r="F520" t="inlineStr">
        <is>
          <t>GOTLANDS LÄN</t>
        </is>
      </c>
      <c r="G520" t="inlineStr">
        <is>
          <t>GOTLAND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1077-2024</t>
        </is>
      </c>
      <c r="B521" t="inlineStr">
        <is>
          <t>samrådsanmälan</t>
        </is>
      </c>
      <c r="C521" t="inlineStr">
        <is>
          <t>Annan skogsbruksåtgärd</t>
        </is>
      </c>
      <c r="D521" s="1" t="n">
        <v>45390</v>
      </c>
      <c r="E521" s="1" t="n">
        <v>46293</v>
      </c>
      <c r="F521" t="inlineStr">
        <is>
          <t>GOTLANDS LÄN</t>
        </is>
      </c>
      <c r="G521" t="inlineStr">
        <is>
          <t>GOTLAND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3900-2023</t>
        </is>
      </c>
      <c r="B522" t="inlineStr">
        <is>
          <t>samrådsanmälan</t>
        </is>
      </c>
      <c r="C522" t="inlineStr">
        <is>
          <t>Annan skogsbruksåtgärd</t>
        </is>
      </c>
      <c r="D522" s="1" t="n">
        <v>45237</v>
      </c>
      <c r="E522" s="1" t="n">
        <v>46293</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5133-2024</t>
        </is>
      </c>
      <c r="B523" t="inlineStr">
        <is>
          <t>samrådsanmälan</t>
        </is>
      </c>
      <c r="C523" t="inlineStr">
        <is>
          <t>Annan skogsbruksåtgärd</t>
        </is>
      </c>
      <c r="D523" s="1" t="n">
        <v>45645</v>
      </c>
      <c r="E523" s="1" t="n">
        <v>46293</v>
      </c>
      <c r="F523" t="inlineStr">
        <is>
          <t>GOTLANDS LÄN</t>
        </is>
      </c>
      <c r="G523" t="inlineStr">
        <is>
          <t>GOTLAND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1436-2025</t>
        </is>
      </c>
      <c r="B524" t="inlineStr">
        <is>
          <t>samrådsanmälan</t>
        </is>
      </c>
      <c r="C524" t="inlineStr">
        <is>
          <t>Annan skogsbruksåtgärd</t>
        </is>
      </c>
      <c r="D524" s="1" t="n">
        <v>45784</v>
      </c>
      <c r="E524" s="1" t="n">
        <v>46293</v>
      </c>
      <c r="F524" t="inlineStr">
        <is>
          <t>GOTLANDS LÄN</t>
        </is>
      </c>
      <c r="G524" t="inlineStr">
        <is>
          <t>GOTLAND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2281-2025</t>
        </is>
      </c>
      <c r="B525" t="inlineStr">
        <is>
          <t>samrådsanmälan</t>
        </is>
      </c>
      <c r="C525" t="inlineStr">
        <is>
          <t>Annan skogsbruksåtgärd</t>
        </is>
      </c>
      <c r="D525" s="1" t="n">
        <v>45876</v>
      </c>
      <c r="E525" s="1" t="n">
        <v>46293</v>
      </c>
      <c r="F525" t="inlineStr">
        <is>
          <t>GOTLANDS LÄN</t>
        </is>
      </c>
      <c r="G525" t="inlineStr">
        <is>
          <t>GOTLAND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1192-2026</t>
        </is>
      </c>
      <c r="B526" t="inlineStr">
        <is>
          <t>samrådsanmälan</t>
        </is>
      </c>
      <c r="C526" t="inlineStr">
        <is>
          <t>Annan skogsbruksåtgärd</t>
        </is>
      </c>
      <c r="D526" s="1" t="n">
        <v>46139</v>
      </c>
      <c r="E526" s="1" t="n">
        <v>46293</v>
      </c>
      <c r="F526" t="inlineStr">
        <is>
          <t>GOTLANDS LÄN</t>
        </is>
      </c>
      <c r="G526" t="inlineStr">
        <is>
          <t>GOTLAND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752-2025</t>
        </is>
      </c>
      <c r="B527" t="inlineStr">
        <is>
          <t>samrådsanmälan</t>
        </is>
      </c>
      <c r="C527" t="inlineStr">
        <is>
          <t>Annan skogsbruksåtgärd</t>
        </is>
      </c>
      <c r="D527" s="1" t="n">
        <v>45726</v>
      </c>
      <c r="E527" s="1" t="n">
        <v>46293</v>
      </c>
      <c r="F527" t="inlineStr">
        <is>
          <t>GOTLANDS LÄN</t>
        </is>
      </c>
      <c r="G527" t="inlineStr">
        <is>
          <t>GOTLAND</t>
        </is>
      </c>
      <c r="I527" t="n">
        <v>7.5</v>
      </c>
      <c r="J527" t="n">
        <v>0</v>
      </c>
      <c r="K527" t="n">
        <v>0</v>
      </c>
      <c r="L527" t="n">
        <v>0</v>
      </c>
      <c r="M527" t="n">
        <v>0</v>
      </c>
      <c r="N527" t="n">
        <v>0</v>
      </c>
      <c r="O527" t="n">
        <v>0</v>
      </c>
      <c r="P527" t="n">
        <v>0</v>
      </c>
      <c r="Q527" t="n">
        <v>0</v>
      </c>
      <c r="R527" t="n">
        <v>0</v>
      </c>
      <c r="S527" t="n">
        <v>0</v>
      </c>
      <c r="T527" t="n">
        <v>0</v>
      </c>
      <c r="U527" t="n">
        <v>0</v>
      </c>
      <c r="V527" s="2" t="inlineStr"/>
    </row>
    <row r="528">
      <c r="A528" t="inlineStr">
        <is>
          <t>S 1330-2026</t>
        </is>
      </c>
      <c r="B528" t="inlineStr">
        <is>
          <t>samrådsanmälan</t>
        </is>
      </c>
      <c r="C528" t="inlineStr">
        <is>
          <t>Annan skogsbruksåtgärd</t>
        </is>
      </c>
      <c r="D528" s="1" t="n">
        <v>46149</v>
      </c>
      <c r="E528" s="1" t="n">
        <v>46293</v>
      </c>
      <c r="F528" t="inlineStr">
        <is>
          <t>GOTLANDS LÄN</t>
        </is>
      </c>
      <c r="G528" t="inlineStr">
        <is>
          <t>GOTLAND</t>
        </is>
      </c>
      <c r="I528" t="n">
        <v>7.5</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2026-09-28T02:02:01Z</dcterms:created>
  <dcterms:modified xmlns:dcterms="http://purl.org/dc/terms/" xmlns:xsi="http://www.w3.org/2001/XMLSchema-instance" xsi:type="dcterms:W3CDTF">2026-09-28T02:02:01Z</dcterms:modified>
</cp:coreProperties>
</file>