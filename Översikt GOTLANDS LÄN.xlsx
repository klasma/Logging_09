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46183</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46183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46183</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46183</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46183</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46183</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46183</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46183</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46183</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46183</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46183</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46183</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46183</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46183</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24575-2025</t>
        </is>
      </c>
      <c r="B20" s="1" t="n">
        <v>45798</v>
      </c>
      <c r="C20" s="1" t="n">
        <v>46183</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46183</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46183</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62132-2023</t>
        </is>
      </c>
      <c r="B23" s="1" t="n">
        <v>45267</v>
      </c>
      <c r="C23" s="1" t="n">
        <v>46183</v>
      </c>
      <c r="D23" t="inlineStr">
        <is>
          <t>GOTLANDS LÄN</t>
        </is>
      </c>
      <c r="E23" t="inlineStr">
        <is>
          <t>GOTLAND</t>
        </is>
      </c>
      <c r="G23" t="n">
        <v>13.9</v>
      </c>
      <c r="H23" t="n">
        <v>5</v>
      </c>
      <c r="I23" t="n">
        <v>5</v>
      </c>
      <c r="J23" t="n">
        <v>7</v>
      </c>
      <c r="K23" t="n">
        <v>2</v>
      </c>
      <c r="L23" t="n">
        <v>0</v>
      </c>
      <c r="M23" t="n">
        <v>0</v>
      </c>
      <c r="N23" t="n">
        <v>0</v>
      </c>
      <c r="O23" t="n">
        <v>9</v>
      </c>
      <c r="P23" t="n">
        <v>2</v>
      </c>
      <c r="Q23" t="n">
        <v>15</v>
      </c>
      <c r="R23" s="2" t="inlineStr">
        <is>
          <t>Gulsträngad fagerspindling
Vit taggsvamp
Backtimjan
Dårgräsfjäril
Jordtistel
Odörspindling
Solvända
Spillkråka
Äggspindling
Blå slemspindling
Blåmossa
Mindre märgborre
Nästrot
Skogsknipprot
Sankt pers nycklar</t>
        </is>
      </c>
      <c r="S23">
        <f>HYPERLINK("https://klasma.github.io/Logging_0980/artfynd/A 62132-2023 artfynd.xlsx", "A 62132-2023")</f>
        <v/>
      </c>
      <c r="T23">
        <f>HYPERLINK("https://klasma.github.io/Logging_0980/kartor/A 62132-2023 karta.png", "A 62132-2023")</f>
        <v/>
      </c>
      <c r="V23">
        <f>HYPERLINK("https://klasma.github.io/Logging_0980/klagomål/A 62132-2023 FSC-klagomål.docx", "A 62132-2023")</f>
        <v/>
      </c>
      <c r="W23">
        <f>HYPERLINK("https://klasma.github.io/Logging_0980/klagomålsmail/A 62132-2023 FSC-klagomål mail.docx", "A 62132-2023")</f>
        <v/>
      </c>
      <c r="X23">
        <f>HYPERLINK("https://klasma.github.io/Logging_0980/tillsyn/A 62132-2023 tillsynsbegäran.docx", "A 62132-2023")</f>
        <v/>
      </c>
      <c r="Y23">
        <f>HYPERLINK("https://klasma.github.io/Logging_0980/tillsynsmail/A 62132-2023 tillsynsbegäran mail.docx", "A 62132-2023")</f>
        <v/>
      </c>
      <c r="Z23">
        <f>HYPERLINK("https://klasma.github.io/Logging_0980/fåglar/A 62132-2023 prioriterade fågelarter.docx", "A 62132-2023")</f>
        <v/>
      </c>
    </row>
    <row r="24" ht="15" customHeight="1">
      <c r="A24" t="inlineStr">
        <is>
          <t>A 17762-2024</t>
        </is>
      </c>
      <c r="B24" s="1" t="n">
        <v>45418</v>
      </c>
      <c r="C24" s="1" t="n">
        <v>46183</v>
      </c>
      <c r="D24" t="inlineStr">
        <is>
          <t>GOTLANDS LÄN</t>
        </is>
      </c>
      <c r="E24" t="inlineStr">
        <is>
          <t>GOTLAND</t>
        </is>
      </c>
      <c r="G24" t="n">
        <v>5.8</v>
      </c>
      <c r="H24" t="n">
        <v>2</v>
      </c>
      <c r="I24" t="n">
        <v>2</v>
      </c>
      <c r="J24" t="n">
        <v>8</v>
      </c>
      <c r="K24" t="n">
        <v>1</v>
      </c>
      <c r="L24" t="n">
        <v>1</v>
      </c>
      <c r="M24" t="n">
        <v>1</v>
      </c>
      <c r="N24" t="n">
        <v>0</v>
      </c>
      <c r="O24" t="n">
        <v>11</v>
      </c>
      <c r="P24" t="n">
        <v>3</v>
      </c>
      <c r="Q24" t="n">
        <v>15</v>
      </c>
      <c r="R24" s="2" t="inlineStr">
        <is>
          <t>Järnek
Naveljordstjärna
Gråfingerört
Axveronika
Backstarr
Backtimjan
Crepis tectorum subsp. tectorum
Kalkvaxing
Odörspindling
Solvända
Svinrot
Anisspindling
Mindre märgborre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61697-2023</t>
        </is>
      </c>
      <c r="B25" s="1" t="n">
        <v>45265</v>
      </c>
      <c r="C25" s="1" t="n">
        <v>46183</v>
      </c>
      <c r="D25" t="inlineStr">
        <is>
          <t>GOTLANDS LÄN</t>
        </is>
      </c>
      <c r="E25" t="inlineStr">
        <is>
          <t>GOTLAND</t>
        </is>
      </c>
      <c r="G25" t="n">
        <v>8.699999999999999</v>
      </c>
      <c r="H25" t="n">
        <v>2</v>
      </c>
      <c r="I25" t="n">
        <v>3</v>
      </c>
      <c r="J25" t="n">
        <v>4</v>
      </c>
      <c r="K25" t="n">
        <v>7</v>
      </c>
      <c r="L25" t="n">
        <v>1</v>
      </c>
      <c r="M25" t="n">
        <v>0</v>
      </c>
      <c r="N25" t="n">
        <v>0</v>
      </c>
      <c r="O25" t="n">
        <v>12</v>
      </c>
      <c r="P25" t="n">
        <v>8</v>
      </c>
      <c r="Q25" t="n">
        <v>15</v>
      </c>
      <c r="R25" s="2" t="inlineStr">
        <is>
          <t>Ryl
Duvspindling
Granrotspindling
Gulsträngad fagerspindling
Läderdoftande fingersvamp
Svartgrön spindling
Tallkejsarspindling
Violettrandad spindling
Denisespindling
Odörspindling
Röd skogslilja
Säfferot
Anisspindling
Murgröna
Nästrot</t>
        </is>
      </c>
      <c r="S25">
        <f>HYPERLINK("https://klasma.github.io/Logging_0980/artfynd/A 61697-2023 artfynd.xlsx", "A 61697-2023")</f>
        <v/>
      </c>
      <c r="T25">
        <f>HYPERLINK("https://klasma.github.io/Logging_0980/kartor/A 61697-2023 karta.png", "A 61697-2023")</f>
        <v/>
      </c>
      <c r="V25">
        <f>HYPERLINK("https://klasma.github.io/Logging_0980/klagomål/A 61697-2023 FSC-klagomål.docx", "A 61697-2023")</f>
        <v/>
      </c>
      <c r="W25">
        <f>HYPERLINK("https://klasma.github.io/Logging_0980/klagomålsmail/A 61697-2023 FSC-klagomål mail.docx", "A 61697-2023")</f>
        <v/>
      </c>
      <c r="X25">
        <f>HYPERLINK("https://klasma.github.io/Logging_0980/tillsyn/A 61697-2023 tillsynsbegäran.docx", "A 61697-2023")</f>
        <v/>
      </c>
      <c r="Y25">
        <f>HYPERLINK("https://klasma.github.io/Logging_0980/tillsynsmail/A 61697-2023 tillsynsbegäran mail.docx", "A 61697-2023")</f>
        <v/>
      </c>
    </row>
    <row r="26" ht="15" customHeight="1">
      <c r="A26" t="inlineStr">
        <is>
          <t>A 25779-2022</t>
        </is>
      </c>
      <c r="B26" s="1" t="n">
        <v>44733</v>
      </c>
      <c r="C26" s="1" t="n">
        <v>46183</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46183</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44928-2022</t>
        </is>
      </c>
      <c r="B28" s="1" t="n">
        <v>44841</v>
      </c>
      <c r="C28" s="1" t="n">
        <v>46183</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35141-2022</t>
        </is>
      </c>
      <c r="B29" s="1" t="n">
        <v>44797.53318287037</v>
      </c>
      <c r="C29" s="1" t="n">
        <v>46183</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44204-2022</t>
        </is>
      </c>
      <c r="B30" s="1" t="n">
        <v>44839</v>
      </c>
      <c r="C30" s="1" t="n">
        <v>46183</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46183</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46183</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46183</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46183</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46183</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46183</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6052-2024</t>
        </is>
      </c>
      <c r="B37" s="1" t="n">
        <v>45336</v>
      </c>
      <c r="C37" s="1" t="n">
        <v>46183</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46183</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43201-2023</t>
        </is>
      </c>
      <c r="B39" s="1" t="n">
        <v>45183</v>
      </c>
      <c r="C39" s="1" t="n">
        <v>46183</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10274-2026</t>
        </is>
      </c>
      <c r="B40" s="1" t="n">
        <v>46076</v>
      </c>
      <c r="C40" s="1" t="n">
        <v>46183</v>
      </c>
      <c r="D40" t="inlineStr">
        <is>
          <t>GOTLANDS LÄN</t>
        </is>
      </c>
      <c r="E40" t="inlineStr">
        <is>
          <t>GOTLAND</t>
        </is>
      </c>
      <c r="G40" t="n">
        <v>9.800000000000001</v>
      </c>
      <c r="H40" t="n">
        <v>4</v>
      </c>
      <c r="I40" t="n">
        <v>3</v>
      </c>
      <c r="J40" t="n">
        <v>4</v>
      </c>
      <c r="K40" t="n">
        <v>1</v>
      </c>
      <c r="L40" t="n">
        <v>0</v>
      </c>
      <c r="M40" t="n">
        <v>0</v>
      </c>
      <c r="N40" t="n">
        <v>0</v>
      </c>
      <c r="O40" t="n">
        <v>5</v>
      </c>
      <c r="P40" t="n">
        <v>1</v>
      </c>
      <c r="Q40" t="n">
        <v>11</v>
      </c>
      <c r="R40" s="2" t="inlineStr">
        <is>
          <t>Gråfingerört
Backstarr
Backtimjan
Reliktbock
Spillkråka
Axag
Grönpyrola
Kragjordstjärna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27280-2023</t>
        </is>
      </c>
      <c r="B41" s="1" t="n">
        <v>45096</v>
      </c>
      <c r="C41" s="1" t="n">
        <v>46183</v>
      </c>
      <c r="D41" t="inlineStr">
        <is>
          <t>GOTLANDS LÄN</t>
        </is>
      </c>
      <c r="E41" t="inlineStr">
        <is>
          <t>GOTLAND</t>
        </is>
      </c>
      <c r="G41" t="n">
        <v>2.7</v>
      </c>
      <c r="H41" t="n">
        <v>10</v>
      </c>
      <c r="I41" t="n">
        <v>2</v>
      </c>
      <c r="J41" t="n">
        <v>3</v>
      </c>
      <c r="K41" t="n">
        <v>1</v>
      </c>
      <c r="L41" t="n">
        <v>0</v>
      </c>
      <c r="M41" t="n">
        <v>0</v>
      </c>
      <c r="N41" t="n">
        <v>0</v>
      </c>
      <c r="O41" t="n">
        <v>4</v>
      </c>
      <c r="P41" t="n">
        <v>1</v>
      </c>
      <c r="Q41" t="n">
        <v>10</v>
      </c>
      <c r="R41" s="2" t="inlineStr">
        <is>
          <t>Stare
Björktrast
Mindre hackspett
Spillkråka
Skogsknipprot
Tvåblad
Brudsporre
Fläcknycklar
Grönvit nattviol
Nattviol</t>
        </is>
      </c>
      <c r="S41">
        <f>HYPERLINK("https://klasma.github.io/Logging_0980/artfynd/A 27280-2023 artfynd.xlsx", "A 27280-2023")</f>
        <v/>
      </c>
      <c r="T41">
        <f>HYPERLINK("https://klasma.github.io/Logging_0980/kartor/A 27280-2023 karta.png", "A 27280-2023")</f>
        <v/>
      </c>
      <c r="V41">
        <f>HYPERLINK("https://klasma.github.io/Logging_0980/klagomål/A 27280-2023 FSC-klagomål.docx", "A 27280-2023")</f>
        <v/>
      </c>
      <c r="W41">
        <f>HYPERLINK("https://klasma.github.io/Logging_0980/klagomålsmail/A 27280-2023 FSC-klagomål mail.docx", "A 27280-2023")</f>
        <v/>
      </c>
      <c r="X41">
        <f>HYPERLINK("https://klasma.github.io/Logging_0980/tillsyn/A 27280-2023 tillsynsbegäran.docx", "A 27280-2023")</f>
        <v/>
      </c>
      <c r="Y41">
        <f>HYPERLINK("https://klasma.github.io/Logging_0980/tillsynsmail/A 27280-2023 tillsynsbegäran mail.docx", "A 27280-2023")</f>
        <v/>
      </c>
      <c r="Z41">
        <f>HYPERLINK("https://klasma.github.io/Logging_0980/fåglar/A 27280-2023 prioriterade fågelarter.docx", "A 27280-2023")</f>
        <v/>
      </c>
    </row>
    <row r="42" ht="15" customHeight="1">
      <c r="A42" t="inlineStr">
        <is>
          <t>A 22404-2024</t>
        </is>
      </c>
      <c r="B42" s="1" t="n">
        <v>45446</v>
      </c>
      <c r="C42" s="1" t="n">
        <v>46183</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17766-2024</t>
        </is>
      </c>
      <c r="B43" s="1" t="n">
        <v>45418</v>
      </c>
      <c r="C43" s="1" t="n">
        <v>46183</v>
      </c>
      <c r="D43" t="inlineStr">
        <is>
          <t>GOTLANDS LÄN</t>
        </is>
      </c>
      <c r="E43" t="inlineStr">
        <is>
          <t>GOTLAND</t>
        </is>
      </c>
      <c r="G43" t="n">
        <v>1.3</v>
      </c>
      <c r="H43" t="n">
        <v>2</v>
      </c>
      <c r="I43" t="n">
        <v>3</v>
      </c>
      <c r="J43" t="n">
        <v>4</v>
      </c>
      <c r="K43" t="n">
        <v>1</v>
      </c>
      <c r="L43" t="n">
        <v>2</v>
      </c>
      <c r="M43" t="n">
        <v>0</v>
      </c>
      <c r="N43" t="n">
        <v>0</v>
      </c>
      <c r="O43" t="n">
        <v>7</v>
      </c>
      <c r="P43" t="n">
        <v>3</v>
      </c>
      <c r="Q43" t="n">
        <v>10</v>
      </c>
      <c r="R43" s="2" t="inlineStr">
        <is>
          <t>Naveljordstjärna
Svartnande fingersvamp
Gulsträngad fagerspindling
Bredbrämad bastardsvärmare
Fyrflikig jordstjärna
Svartfläckig blåvinge
Timjansnyltrot
Besk kastanjemusseron
Kragjordstjärna
Rödgul trumpetsvamp</t>
        </is>
      </c>
      <c r="S43">
        <f>HYPERLINK("https://klasma.github.io/Logging_0980/artfynd/A 17766-2024 artfynd.xlsx", "A 17766-2024")</f>
        <v/>
      </c>
      <c r="T43">
        <f>HYPERLINK("https://klasma.github.io/Logging_0980/kartor/A 17766-2024 karta.png", "A 17766-2024")</f>
        <v/>
      </c>
      <c r="V43">
        <f>HYPERLINK("https://klasma.github.io/Logging_0980/klagomål/A 17766-2024 FSC-klagomål.docx", "A 17766-2024")</f>
        <v/>
      </c>
      <c r="W43">
        <f>HYPERLINK("https://klasma.github.io/Logging_0980/klagomålsmail/A 17766-2024 FSC-klagomål mail.docx", "A 17766-2024")</f>
        <v/>
      </c>
      <c r="X43">
        <f>HYPERLINK("https://klasma.github.io/Logging_0980/tillsyn/A 17766-2024 tillsynsbegäran.docx", "A 17766-2024")</f>
        <v/>
      </c>
      <c r="Y43">
        <f>HYPERLINK("https://klasma.github.io/Logging_0980/tillsynsmail/A 17766-2024 tillsynsbegäran mail.docx", "A 17766-2024")</f>
        <v/>
      </c>
    </row>
    <row r="44" ht="15" customHeight="1">
      <c r="A44" t="inlineStr">
        <is>
          <t>A 584-2023</t>
        </is>
      </c>
      <c r="B44" s="1" t="n">
        <v>44930</v>
      </c>
      <c r="C44" s="1" t="n">
        <v>46183</v>
      </c>
      <c r="D44" t="inlineStr">
        <is>
          <t>GOTLANDS LÄN</t>
        </is>
      </c>
      <c r="E44" t="inlineStr">
        <is>
          <t>GOTLAND</t>
        </is>
      </c>
      <c r="G44" t="n">
        <v>27.2</v>
      </c>
      <c r="H44" t="n">
        <v>3</v>
      </c>
      <c r="I44" t="n">
        <v>2</v>
      </c>
      <c r="J44" t="n">
        <v>5</v>
      </c>
      <c r="K44" t="n">
        <v>2</v>
      </c>
      <c r="L44" t="n">
        <v>0</v>
      </c>
      <c r="M44" t="n">
        <v>0</v>
      </c>
      <c r="N44" t="n">
        <v>0</v>
      </c>
      <c r="O44" t="n">
        <v>7</v>
      </c>
      <c r="P44" t="n">
        <v>2</v>
      </c>
      <c r="Q44" t="n">
        <v>10</v>
      </c>
      <c r="R44" s="2" t="inlineStr">
        <is>
          <t>Garderönn
Granrotspindling
Backtimjan
Denisespindling
Dårgräsfjäril
Solvända
Vippärt
Rödgul trumpetsvamp
Vågbandad barkbock
Sankt pers nycklar</t>
        </is>
      </c>
      <c r="S44">
        <f>HYPERLINK("https://klasma.github.io/Logging_0980/artfynd/A 584-2023 artfynd.xlsx", "A 584-2023")</f>
        <v/>
      </c>
      <c r="T44">
        <f>HYPERLINK("https://klasma.github.io/Logging_0980/kartor/A 584-2023 karta.png", "A 584-2023")</f>
        <v/>
      </c>
      <c r="V44">
        <f>HYPERLINK("https://klasma.github.io/Logging_0980/klagomål/A 584-2023 FSC-klagomål.docx", "A 584-2023")</f>
        <v/>
      </c>
      <c r="W44">
        <f>HYPERLINK("https://klasma.github.io/Logging_0980/klagomålsmail/A 584-2023 FSC-klagomål mail.docx", "A 584-2023")</f>
        <v/>
      </c>
      <c r="X44">
        <f>HYPERLINK("https://klasma.github.io/Logging_0980/tillsyn/A 584-2023 tillsynsbegäran.docx", "A 584-2023")</f>
        <v/>
      </c>
      <c r="Y44">
        <f>HYPERLINK("https://klasma.github.io/Logging_0980/tillsynsmail/A 584-2023 tillsynsbegäran mail.docx", "A 584-2023")</f>
        <v/>
      </c>
    </row>
    <row r="45" ht="15" customHeight="1">
      <c r="A45" t="inlineStr">
        <is>
          <t>A 33153-2024</t>
        </is>
      </c>
      <c r="B45" s="1" t="n">
        <v>45518</v>
      </c>
      <c r="C45" s="1" t="n">
        <v>46183</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agg.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45248-2024</t>
        </is>
      </c>
      <c r="B46" s="1" t="n">
        <v>45576</v>
      </c>
      <c r="C46" s="1" t="n">
        <v>46183</v>
      </c>
      <c r="D46" t="inlineStr">
        <is>
          <t>GOTLANDS LÄN</t>
        </is>
      </c>
      <c r="E46" t="inlineStr">
        <is>
          <t>GOTLAND</t>
        </is>
      </c>
      <c r="G46" t="n">
        <v>9.4</v>
      </c>
      <c r="H46" t="n">
        <v>0</v>
      </c>
      <c r="I46" t="n">
        <v>6</v>
      </c>
      <c r="J46" t="n">
        <v>1</v>
      </c>
      <c r="K46" t="n">
        <v>1</v>
      </c>
      <c r="L46" t="n">
        <v>1</v>
      </c>
      <c r="M46" t="n">
        <v>1</v>
      </c>
      <c r="N46" t="n">
        <v>0</v>
      </c>
      <c r="O46" t="n">
        <v>4</v>
      </c>
      <c r="P46" t="n">
        <v>3</v>
      </c>
      <c r="Q46" t="n">
        <v>10</v>
      </c>
      <c r="R46" s="2" t="inlineStr">
        <is>
          <t>Lundalm
Ask
Mjölspindling
Oxtungssvamp
Blå slemspindling
Bolmörtsskivling
Myskmadra
Stinkbrosking
Toppvaxing
Underviol</t>
        </is>
      </c>
      <c r="S46">
        <f>HYPERLINK("https://klasma.github.io/Logging_0980/artfynd/A 45248-2024 artfynd.xlsx", "A 45248-2024")</f>
        <v/>
      </c>
      <c r="T46">
        <f>HYPERLINK("https://klasma.github.io/Logging_0980/kartor/A 45248-2024 karta.png", "A 45248-2024")</f>
        <v/>
      </c>
      <c r="V46">
        <f>HYPERLINK("https://klasma.github.io/Logging_0980/klagomål/A 45248-2024 FSC-klagomål.docx", "A 45248-2024")</f>
        <v/>
      </c>
      <c r="W46">
        <f>HYPERLINK("https://klasma.github.io/Logging_0980/klagomålsmail/A 45248-2024 FSC-klagomål mail.docx", "A 45248-2024")</f>
        <v/>
      </c>
      <c r="X46">
        <f>HYPERLINK("https://klasma.github.io/Logging_0980/tillsyn/A 45248-2024 tillsynsbegäran.docx", "A 45248-2024")</f>
        <v/>
      </c>
      <c r="Y46">
        <f>HYPERLINK("https://klasma.github.io/Logging_0980/tillsynsmail/A 45248-2024 tillsynsbegäran mail.docx", "A 45248-2024")</f>
        <v/>
      </c>
    </row>
    <row r="47" ht="15" customHeight="1">
      <c r="A47" t="inlineStr">
        <is>
          <t>A 14354-2024</t>
        </is>
      </c>
      <c r="B47" s="1" t="n">
        <v>45393</v>
      </c>
      <c r="C47" s="1" t="n">
        <v>46183</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59132-2024</t>
        </is>
      </c>
      <c r="B48" s="1" t="n">
        <v>45637</v>
      </c>
      <c r="C48" s="1" t="n">
        <v>46183</v>
      </c>
      <c r="D48" t="inlineStr">
        <is>
          <t>GOTLANDS LÄN</t>
        </is>
      </c>
      <c r="E48" t="inlineStr">
        <is>
          <t>GOTLAND</t>
        </is>
      </c>
      <c r="G48" t="n">
        <v>3.5</v>
      </c>
      <c r="H48" t="n">
        <v>0</v>
      </c>
      <c r="I48" t="n">
        <v>1</v>
      </c>
      <c r="J48" t="n">
        <v>4</v>
      </c>
      <c r="K48" t="n">
        <v>3</v>
      </c>
      <c r="L48" t="n">
        <v>0</v>
      </c>
      <c r="M48" t="n">
        <v>0</v>
      </c>
      <c r="N48" t="n">
        <v>0</v>
      </c>
      <c r="O48" t="n">
        <v>8</v>
      </c>
      <c r="P48" t="n">
        <v>3</v>
      </c>
      <c r="Q48" t="n">
        <v>9</v>
      </c>
      <c r="R48" s="2" t="inlineStr">
        <is>
          <t>Almlav
Mörk kraterlav
Pälsticka
Korskovall
Slåtterfibbla
Solvända
Vippärt
Amphisphaeria umbrina
Underviol</t>
        </is>
      </c>
      <c r="S48">
        <f>HYPERLINK("https://klasma.github.io/Logging_0980/artfynd/A 59132-2024 artfynd.xlsx", "A 59132-2024")</f>
        <v/>
      </c>
      <c r="T48">
        <f>HYPERLINK("https://klasma.github.io/Logging_0980/kartor/A 59132-2024 karta.png", "A 59132-2024")</f>
        <v/>
      </c>
      <c r="V48">
        <f>HYPERLINK("https://klasma.github.io/Logging_0980/klagomål/A 59132-2024 FSC-klagomål.docx", "A 59132-2024")</f>
        <v/>
      </c>
      <c r="W48">
        <f>HYPERLINK("https://klasma.github.io/Logging_0980/klagomålsmail/A 59132-2024 FSC-klagomål mail.docx", "A 59132-2024")</f>
        <v/>
      </c>
      <c r="X48">
        <f>HYPERLINK("https://klasma.github.io/Logging_0980/tillsyn/A 59132-2024 tillsynsbegäran.docx", "A 59132-2024")</f>
        <v/>
      </c>
      <c r="Y48">
        <f>HYPERLINK("https://klasma.github.io/Logging_0980/tillsynsmail/A 59132-2024 tillsynsbegäran mail.docx", "A 59132-2024")</f>
        <v/>
      </c>
    </row>
    <row r="49" ht="15" customHeight="1">
      <c r="A49" t="inlineStr">
        <is>
          <t>A 39376-2023</t>
        </is>
      </c>
      <c r="B49" s="1" t="n">
        <v>45166</v>
      </c>
      <c r="C49" s="1" t="n">
        <v>46183</v>
      </c>
      <c r="D49" t="inlineStr">
        <is>
          <t>GOTLANDS LÄN</t>
        </is>
      </c>
      <c r="E49" t="inlineStr">
        <is>
          <t>GOTLAND</t>
        </is>
      </c>
      <c r="G49" t="n">
        <v>9.199999999999999</v>
      </c>
      <c r="H49" t="n">
        <v>1</v>
      </c>
      <c r="I49" t="n">
        <v>5</v>
      </c>
      <c r="J49" t="n">
        <v>4</v>
      </c>
      <c r="K49" t="n">
        <v>0</v>
      </c>
      <c r="L49" t="n">
        <v>0</v>
      </c>
      <c r="M49" t="n">
        <v>0</v>
      </c>
      <c r="N49" t="n">
        <v>0</v>
      </c>
      <c r="O49" t="n">
        <v>4</v>
      </c>
      <c r="P49" t="n">
        <v>0</v>
      </c>
      <c r="Q49" t="n">
        <v>9</v>
      </c>
      <c r="R49" s="2" t="inlineStr">
        <is>
          <t>Denisespindling
Flattoppad klubbsvamp
Odörspindling
Äggspindling
Anisspindling
Blå slemspindling
Kattfotslav
Rödgul trumpetsvamp
Skogsknipprot</t>
        </is>
      </c>
      <c r="S49">
        <f>HYPERLINK("https://klasma.github.io/Logging_0980/artfynd/A 39376-2023 artfynd.xlsx", "A 39376-2023")</f>
        <v/>
      </c>
      <c r="T49">
        <f>HYPERLINK("https://klasma.github.io/Logging_0980/kartor/A 39376-2023 karta.png", "A 39376-2023")</f>
        <v/>
      </c>
      <c r="V49">
        <f>HYPERLINK("https://klasma.github.io/Logging_0980/klagomål/A 39376-2023 FSC-klagomål.docx", "A 39376-2023")</f>
        <v/>
      </c>
      <c r="W49">
        <f>HYPERLINK("https://klasma.github.io/Logging_0980/klagomålsmail/A 39376-2023 FSC-klagomål mail.docx", "A 39376-2023")</f>
        <v/>
      </c>
      <c r="X49">
        <f>HYPERLINK("https://klasma.github.io/Logging_0980/tillsyn/A 39376-2023 tillsynsbegäran.docx", "A 39376-2023")</f>
        <v/>
      </c>
      <c r="Y49">
        <f>HYPERLINK("https://klasma.github.io/Logging_0980/tillsynsmail/A 39376-2023 tillsynsbegäran mail.docx", "A 39376-2023")</f>
        <v/>
      </c>
    </row>
    <row r="50" ht="15" customHeight="1">
      <c r="A50" t="inlineStr">
        <is>
          <t>A 1769-2022</t>
        </is>
      </c>
      <c r="B50" s="1" t="n">
        <v>44574</v>
      </c>
      <c r="C50" s="1" t="n">
        <v>46183</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Grönvit nattviol
Kärrknipprot
Vanliga ängsnycklar</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2649-2023</t>
        </is>
      </c>
      <c r="B51" s="1" t="n">
        <v>44943</v>
      </c>
      <c r="C51" s="1" t="n">
        <v>46183</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7039-2023</t>
        </is>
      </c>
      <c r="B52" s="1" t="n">
        <v>44968</v>
      </c>
      <c r="C52" s="1" t="n">
        <v>46183</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27168-2022</t>
        </is>
      </c>
      <c r="B53" s="1" t="n">
        <v>44741</v>
      </c>
      <c r="C53" s="1" t="n">
        <v>46183</v>
      </c>
      <c r="D53" t="inlineStr">
        <is>
          <t>GOTLANDS LÄN</t>
        </is>
      </c>
      <c r="E53" t="inlineStr">
        <is>
          <t>GOTLAND</t>
        </is>
      </c>
      <c r="G53" t="n">
        <v>2.2</v>
      </c>
      <c r="H53" t="n">
        <v>5</v>
      </c>
      <c r="I53" t="n">
        <v>2</v>
      </c>
      <c r="J53" t="n">
        <v>2</v>
      </c>
      <c r="K53" t="n">
        <v>1</v>
      </c>
      <c r="L53" t="n">
        <v>0</v>
      </c>
      <c r="M53" t="n">
        <v>0</v>
      </c>
      <c r="N53" t="n">
        <v>0</v>
      </c>
      <c r="O53" t="n">
        <v>3</v>
      </c>
      <c r="P53" t="n">
        <v>1</v>
      </c>
      <c r="Q53" t="n">
        <v>8</v>
      </c>
      <c r="R53" s="2" t="inlineStr">
        <is>
          <t>Gotlandsmåra
Solvända
Svinrot
Purpurknipprot
Vit skogslilja
Brudsporre
Fläcknycklar
Kärrknipprot</t>
        </is>
      </c>
      <c r="S53">
        <f>HYPERLINK("https://klasma.github.io/Logging_0980/artfynd/A 27168-2022 artfynd.xlsx", "A 27168-2022")</f>
        <v/>
      </c>
      <c r="T53">
        <f>HYPERLINK("https://klasma.github.io/Logging_0980/kartor/A 27168-2022 karta.png", "A 27168-2022")</f>
        <v/>
      </c>
      <c r="V53">
        <f>HYPERLINK("https://klasma.github.io/Logging_0980/klagomål/A 27168-2022 FSC-klagomål.docx", "A 27168-2022")</f>
        <v/>
      </c>
      <c r="W53">
        <f>HYPERLINK("https://klasma.github.io/Logging_0980/klagomålsmail/A 27168-2022 FSC-klagomål mail.docx", "A 27168-2022")</f>
        <v/>
      </c>
      <c r="X53">
        <f>HYPERLINK("https://klasma.github.io/Logging_0980/tillsyn/A 27168-2022 tillsynsbegäran.docx", "A 27168-2022")</f>
        <v/>
      </c>
      <c r="Y53">
        <f>HYPERLINK("https://klasma.github.io/Logging_0980/tillsynsmail/A 27168-2022 tillsynsbegäran mail.docx", "A 27168-2022")</f>
        <v/>
      </c>
    </row>
    <row r="54" ht="15" customHeight="1">
      <c r="A54" t="inlineStr">
        <is>
          <t>A 21467-2024</t>
        </is>
      </c>
      <c r="B54" s="1" t="n">
        <v>45441</v>
      </c>
      <c r="C54" s="1" t="n">
        <v>46183</v>
      </c>
      <c r="D54" t="inlineStr">
        <is>
          <t>GOTLANDS LÄN</t>
        </is>
      </c>
      <c r="E54" t="inlineStr">
        <is>
          <t>GOTLAND</t>
        </is>
      </c>
      <c r="G54" t="n">
        <v>8.800000000000001</v>
      </c>
      <c r="H54" t="n">
        <v>5</v>
      </c>
      <c r="I54" t="n">
        <v>0</v>
      </c>
      <c r="J54" t="n">
        <v>6</v>
      </c>
      <c r="K54" t="n">
        <v>1</v>
      </c>
      <c r="L54" t="n">
        <v>0</v>
      </c>
      <c r="M54" t="n">
        <v>0</v>
      </c>
      <c r="N54" t="n">
        <v>0</v>
      </c>
      <c r="O54" t="n">
        <v>7</v>
      </c>
      <c r="P54" t="n">
        <v>1</v>
      </c>
      <c r="Q54" t="n">
        <v>8</v>
      </c>
      <c r="R54" s="2" t="inlineStr">
        <is>
          <t>Garderönn
Backtimjan
Dårgräsfjäril
Gulsparv
Jordtistel
Spillkråka
Svinrot
Blåsippa</t>
        </is>
      </c>
      <c r="S54">
        <f>HYPERLINK("https://klasma.github.io/Logging_0980/artfynd/A 21467-2024 artfynd.xlsx", "A 21467-2024")</f>
        <v/>
      </c>
      <c r="T54">
        <f>HYPERLINK("https://klasma.github.io/Logging_0980/kartor/A 21467-2024 karta.png", "A 21467-2024")</f>
        <v/>
      </c>
      <c r="V54">
        <f>HYPERLINK("https://klasma.github.io/Logging_0980/klagomål/A 21467-2024 FSC-klagomål.docx", "A 21467-2024")</f>
        <v/>
      </c>
      <c r="W54">
        <f>HYPERLINK("https://klasma.github.io/Logging_0980/klagomålsmail/A 21467-2024 FSC-klagomål mail.docx", "A 21467-2024")</f>
        <v/>
      </c>
      <c r="X54">
        <f>HYPERLINK("https://klasma.github.io/Logging_0980/tillsyn/A 21467-2024 tillsynsbegäran.docx", "A 21467-2024")</f>
        <v/>
      </c>
      <c r="Y54">
        <f>HYPERLINK("https://klasma.github.io/Logging_0980/tillsynsmail/A 21467-2024 tillsynsbegäran mail.docx", "A 21467-2024")</f>
        <v/>
      </c>
      <c r="Z54">
        <f>HYPERLINK("https://klasma.github.io/Logging_0980/fåglar/A 21467-2024 prioriterade fågelarter.docx", "A 21467-2024")</f>
        <v/>
      </c>
    </row>
    <row r="55" ht="15" customHeight="1">
      <c r="A55" t="inlineStr">
        <is>
          <t>A 51737-2021</t>
        </is>
      </c>
      <c r="B55" s="1" t="n">
        <v>44462.57368055556</v>
      </c>
      <c r="C55" s="1" t="n">
        <v>46183</v>
      </c>
      <c r="D55" t="inlineStr">
        <is>
          <t>GOTLANDS LÄN</t>
        </is>
      </c>
      <c r="E55" t="inlineStr">
        <is>
          <t>GOTLAND</t>
        </is>
      </c>
      <c r="G55" t="n">
        <v>8.6</v>
      </c>
      <c r="H55" t="n">
        <v>1</v>
      </c>
      <c r="I55" t="n">
        <v>6</v>
      </c>
      <c r="J55" t="n">
        <v>1</v>
      </c>
      <c r="K55" t="n">
        <v>0</v>
      </c>
      <c r="L55" t="n">
        <v>0</v>
      </c>
      <c r="M55" t="n">
        <v>0</v>
      </c>
      <c r="N55" t="n">
        <v>0</v>
      </c>
      <c r="O55" t="n">
        <v>1</v>
      </c>
      <c r="P55" t="n">
        <v>0</v>
      </c>
      <c r="Q55" t="n">
        <v>7</v>
      </c>
      <c r="R55" s="2" t="inlineStr">
        <is>
          <t>Igelkott
Blå slemspindling
Blåmossa
Kambräken
Skogsknipprot
Västlig hakmossa
Vårärt</t>
        </is>
      </c>
      <c r="S55">
        <f>HYPERLINK("https://klasma.github.io/Logging_0980/artfynd/A 51737-2021 artfynd.xlsx", "A 51737-2021")</f>
        <v/>
      </c>
      <c r="T55">
        <f>HYPERLINK("https://klasma.github.io/Logging_0980/kartor/A 51737-2021 karta.png", "A 51737-2021")</f>
        <v/>
      </c>
      <c r="V55">
        <f>HYPERLINK("https://klasma.github.io/Logging_0980/klagomål/A 51737-2021 FSC-klagomål.docx", "A 51737-2021")</f>
        <v/>
      </c>
      <c r="W55">
        <f>HYPERLINK("https://klasma.github.io/Logging_0980/klagomålsmail/A 51737-2021 FSC-klagomål mail.docx", "A 51737-2021")</f>
        <v/>
      </c>
      <c r="X55">
        <f>HYPERLINK("https://klasma.github.io/Logging_0980/tillsyn/A 51737-2021 tillsynsbegäran.docx", "A 51737-2021")</f>
        <v/>
      </c>
      <c r="Y55">
        <f>HYPERLINK("https://klasma.github.io/Logging_0980/tillsynsmail/A 51737-2021 tillsynsbegäran mail.docx", "A 51737-2021")</f>
        <v/>
      </c>
    </row>
    <row r="56" ht="15" customHeight="1">
      <c r="A56" t="inlineStr">
        <is>
          <t>A 10419-2025</t>
        </is>
      </c>
      <c r="B56" s="1" t="n">
        <v>45720</v>
      </c>
      <c r="C56" s="1" t="n">
        <v>46183</v>
      </c>
      <c r="D56" t="inlineStr">
        <is>
          <t>GOTLANDS LÄN</t>
        </is>
      </c>
      <c r="E56" t="inlineStr">
        <is>
          <t>GOTLAND</t>
        </is>
      </c>
      <c r="G56" t="n">
        <v>1.2</v>
      </c>
      <c r="H56" t="n">
        <v>0</v>
      </c>
      <c r="I56" t="n">
        <v>5</v>
      </c>
      <c r="J56" t="n">
        <v>0</v>
      </c>
      <c r="K56" t="n">
        <v>2</v>
      </c>
      <c r="L56" t="n">
        <v>0</v>
      </c>
      <c r="M56" t="n">
        <v>0</v>
      </c>
      <c r="N56" t="n">
        <v>0</v>
      </c>
      <c r="O56" t="n">
        <v>2</v>
      </c>
      <c r="P56" t="n">
        <v>2</v>
      </c>
      <c r="Q56" t="n">
        <v>7</v>
      </c>
      <c r="R56" s="2" t="inlineStr">
        <is>
          <t>Mörkfjällig olivspindling
Violettfläckig spindling
Anisspindling
Blå slemspindling
Fjällig taggsvamp s.str.
Kryddspindling
Olivspindling</t>
        </is>
      </c>
      <c r="S56">
        <f>HYPERLINK("https://klasma.github.io/Logging_0980/artfynd/A 10419-2025 artfynd.xlsx", "A 10419-2025")</f>
        <v/>
      </c>
      <c r="T56">
        <f>HYPERLINK("https://klasma.github.io/Logging_0980/kartor/A 10419-2025 karta.png", "A 10419-2025")</f>
        <v/>
      </c>
      <c r="V56">
        <f>HYPERLINK("https://klasma.github.io/Logging_0980/klagomål/A 10419-2025 FSC-klagomål.docx", "A 10419-2025")</f>
        <v/>
      </c>
      <c r="W56">
        <f>HYPERLINK("https://klasma.github.io/Logging_0980/klagomålsmail/A 10419-2025 FSC-klagomål mail.docx", "A 10419-2025")</f>
        <v/>
      </c>
      <c r="X56">
        <f>HYPERLINK("https://klasma.github.io/Logging_0980/tillsyn/A 10419-2025 tillsynsbegäran.docx", "A 10419-2025")</f>
        <v/>
      </c>
      <c r="Y56">
        <f>HYPERLINK("https://klasma.github.io/Logging_0980/tillsynsmail/A 10419-2025 tillsynsbegäran mail.docx", "A 10419-2025")</f>
        <v/>
      </c>
    </row>
    <row r="57" ht="15" customHeight="1">
      <c r="A57" t="inlineStr">
        <is>
          <t>A 34142-2024</t>
        </is>
      </c>
      <c r="B57" s="1" t="n">
        <v>45524.36521990741</v>
      </c>
      <c r="C57" s="1" t="n">
        <v>46183</v>
      </c>
      <c r="D57" t="inlineStr">
        <is>
          <t>GOTLANDS LÄN</t>
        </is>
      </c>
      <c r="E57" t="inlineStr">
        <is>
          <t>GOTLAND</t>
        </is>
      </c>
      <c r="G57" t="n">
        <v>6</v>
      </c>
      <c r="H57" t="n">
        <v>1</v>
      </c>
      <c r="I57" t="n">
        <v>4</v>
      </c>
      <c r="J57" t="n">
        <v>2</v>
      </c>
      <c r="K57" t="n">
        <v>1</v>
      </c>
      <c r="L57" t="n">
        <v>0</v>
      </c>
      <c r="M57" t="n">
        <v>0</v>
      </c>
      <c r="N57" t="n">
        <v>0</v>
      </c>
      <c r="O57" t="n">
        <v>3</v>
      </c>
      <c r="P57" t="n">
        <v>1</v>
      </c>
      <c r="Q57" t="n">
        <v>7</v>
      </c>
      <c r="R57" s="2" t="inlineStr">
        <is>
          <t>Duvspindling
Igelkott
Odörspindling
Anisspindling
Blå slemspindling
Nästrot
Rödfläckig zontaggsvamp</t>
        </is>
      </c>
      <c r="S57">
        <f>HYPERLINK("https://klasma.github.io/Logging_0980/artfynd/A 34142-2024 artfynd.xlsx", "A 34142-2024")</f>
        <v/>
      </c>
      <c r="T57">
        <f>HYPERLINK("https://klasma.github.io/Logging_0980/kartor/A 34142-2024 karta.png", "A 34142-2024")</f>
        <v/>
      </c>
      <c r="V57">
        <f>HYPERLINK("https://klasma.github.io/Logging_0980/klagomål/A 34142-2024 FSC-klagomål.docx", "A 34142-2024")</f>
        <v/>
      </c>
      <c r="W57">
        <f>HYPERLINK("https://klasma.github.io/Logging_0980/klagomålsmail/A 34142-2024 FSC-klagomål mail.docx", "A 34142-2024")</f>
        <v/>
      </c>
      <c r="X57">
        <f>HYPERLINK("https://klasma.github.io/Logging_0980/tillsyn/A 34142-2024 tillsynsbegäran.docx", "A 34142-2024")</f>
        <v/>
      </c>
      <c r="Y57">
        <f>HYPERLINK("https://klasma.github.io/Logging_0980/tillsynsmail/A 34142-2024 tillsynsbegäran mail.docx", "A 34142-2024")</f>
        <v/>
      </c>
    </row>
    <row r="58" ht="15" customHeight="1">
      <c r="A58" t="inlineStr">
        <is>
          <t>A 4984-2025</t>
        </is>
      </c>
      <c r="B58" s="1" t="n">
        <v>45691.29891203704</v>
      </c>
      <c r="C58" s="1" t="n">
        <v>46183</v>
      </c>
      <c r="D58" t="inlineStr">
        <is>
          <t>GOTLANDS LÄN</t>
        </is>
      </c>
      <c r="E58" t="inlineStr">
        <is>
          <t>GOTLAND</t>
        </is>
      </c>
      <c r="G58" t="n">
        <v>1.3</v>
      </c>
      <c r="H58" t="n">
        <v>4</v>
      </c>
      <c r="I58" t="n">
        <v>2</v>
      </c>
      <c r="J58" t="n">
        <v>3</v>
      </c>
      <c r="K58" t="n">
        <v>0</v>
      </c>
      <c r="L58" t="n">
        <v>0</v>
      </c>
      <c r="M58" t="n">
        <v>0</v>
      </c>
      <c r="N58" t="n">
        <v>0</v>
      </c>
      <c r="O58" t="n">
        <v>3</v>
      </c>
      <c r="P58" t="n">
        <v>0</v>
      </c>
      <c r="Q58" t="n">
        <v>7</v>
      </c>
      <c r="R58" s="2" t="inlineStr">
        <is>
          <t>Gulsparv
Jordtistel
Svinrot
Grönpyrola
Tvåblad
Kärrknipprot
Nattviol</t>
        </is>
      </c>
      <c r="S58">
        <f>HYPERLINK("https://klasma.github.io/Logging_0980/artfynd/A 4984-2025 artfynd.xlsx", "A 4984-2025")</f>
        <v/>
      </c>
      <c r="T58">
        <f>HYPERLINK("https://klasma.github.io/Logging_0980/kartor/A 4984-2025 karta.png", "A 4984-2025")</f>
        <v/>
      </c>
      <c r="V58">
        <f>HYPERLINK("https://klasma.github.io/Logging_0980/klagomål/A 4984-2025 FSC-klagomål.docx", "A 4984-2025")</f>
        <v/>
      </c>
      <c r="W58">
        <f>HYPERLINK("https://klasma.github.io/Logging_0980/klagomålsmail/A 4984-2025 FSC-klagomål mail.docx", "A 4984-2025")</f>
        <v/>
      </c>
      <c r="X58">
        <f>HYPERLINK("https://klasma.github.io/Logging_0980/tillsyn/A 4984-2025 tillsynsbegäran.docx", "A 4984-2025")</f>
        <v/>
      </c>
      <c r="Y58">
        <f>HYPERLINK("https://klasma.github.io/Logging_0980/tillsynsmail/A 4984-2025 tillsynsbegäran mail.docx", "A 4984-2025")</f>
        <v/>
      </c>
      <c r="Z58">
        <f>HYPERLINK("https://klasma.github.io/Logging_0980/fåglar/A 4984-2025 prioriterade fågelarter.docx", "A 4984-2025")</f>
        <v/>
      </c>
    </row>
    <row r="59" ht="15" customHeight="1">
      <c r="A59" t="inlineStr">
        <is>
          <t>A 18541-2024</t>
        </is>
      </c>
      <c r="B59" s="1" t="n">
        <v>45425</v>
      </c>
      <c r="C59" s="1" t="n">
        <v>46183</v>
      </c>
      <c r="D59" t="inlineStr">
        <is>
          <t>GOTLANDS LÄN</t>
        </is>
      </c>
      <c r="E59" t="inlineStr">
        <is>
          <t>GOTLAND</t>
        </is>
      </c>
      <c r="F59" t="inlineStr">
        <is>
          <t>Övriga statliga verk och myndigheter</t>
        </is>
      </c>
      <c r="G59" t="n">
        <v>2.2</v>
      </c>
      <c r="H59" t="n">
        <v>6</v>
      </c>
      <c r="I59" t="n">
        <v>1</v>
      </c>
      <c r="J59" t="n">
        <v>2</v>
      </c>
      <c r="K59" t="n">
        <v>1</v>
      </c>
      <c r="L59" t="n">
        <v>0</v>
      </c>
      <c r="M59" t="n">
        <v>0</v>
      </c>
      <c r="N59" t="n">
        <v>0</v>
      </c>
      <c r="O59" t="n">
        <v>3</v>
      </c>
      <c r="P59" t="n">
        <v>1</v>
      </c>
      <c r="Q59" t="n">
        <v>7</v>
      </c>
      <c r="R59" s="2" t="inlineStr">
        <is>
          <t>Garderönn
Dårgräsfjäril
Svinrot
Nästrot
Kungsfågel
Skogsduva
Fläcknycklar</t>
        </is>
      </c>
      <c r="S59">
        <f>HYPERLINK("https://klasma.github.io/Logging_0980/artfynd/A 18541-2024 artfynd.xlsx", "A 18541-2024")</f>
        <v/>
      </c>
      <c r="T59">
        <f>HYPERLINK("https://klasma.github.io/Logging_0980/kartor/A 18541-2024 karta.png", "A 18541-2024")</f>
        <v/>
      </c>
      <c r="V59">
        <f>HYPERLINK("https://klasma.github.io/Logging_0980/klagomål/A 18541-2024 FSC-klagomål.docx", "A 18541-2024")</f>
        <v/>
      </c>
      <c r="W59">
        <f>HYPERLINK("https://klasma.github.io/Logging_0980/klagomålsmail/A 18541-2024 FSC-klagomål mail.docx", "A 18541-2024")</f>
        <v/>
      </c>
      <c r="X59">
        <f>HYPERLINK("https://klasma.github.io/Logging_0980/tillsyn/A 18541-2024 tillsynsbegäran.docx", "A 18541-2024")</f>
        <v/>
      </c>
      <c r="Y59">
        <f>HYPERLINK("https://klasma.github.io/Logging_0980/tillsynsmail/A 18541-2024 tillsynsbegäran mail.docx", "A 18541-2024")</f>
        <v/>
      </c>
      <c r="Z59">
        <f>HYPERLINK("https://klasma.github.io/Logging_0980/fåglar/A 18541-2024 prioriterade fågelarter.docx", "A 18541-2024")</f>
        <v/>
      </c>
    </row>
    <row r="60" ht="15" customHeight="1">
      <c r="A60" t="inlineStr">
        <is>
          <t>A 44944-2022</t>
        </is>
      </c>
      <c r="B60" s="1" t="n">
        <v>44841</v>
      </c>
      <c r="C60" s="1" t="n">
        <v>46183</v>
      </c>
      <c r="D60" t="inlineStr">
        <is>
          <t>GOTLANDS LÄN</t>
        </is>
      </c>
      <c r="E60" t="inlineStr">
        <is>
          <t>GOTLAND</t>
        </is>
      </c>
      <c r="G60" t="n">
        <v>2.8</v>
      </c>
      <c r="H60" t="n">
        <v>0</v>
      </c>
      <c r="I60" t="n">
        <v>3</v>
      </c>
      <c r="J60" t="n">
        <v>4</v>
      </c>
      <c r="K60" t="n">
        <v>0</v>
      </c>
      <c r="L60" t="n">
        <v>0</v>
      </c>
      <c r="M60" t="n">
        <v>0</v>
      </c>
      <c r="N60" t="n">
        <v>0</v>
      </c>
      <c r="O60" t="n">
        <v>4</v>
      </c>
      <c r="P60" t="n">
        <v>0</v>
      </c>
      <c r="Q60" t="n">
        <v>7</v>
      </c>
      <c r="R60" s="2" t="inlineStr">
        <is>
          <t>Axveronika
Bredbrämad bastardsvärmare
Denisespindling
Odörspindling
Anisspindling
Fjällig taggsvamp s.str.
Rödgul trumpetsvamp</t>
        </is>
      </c>
      <c r="S60">
        <f>HYPERLINK("https://klasma.github.io/Logging_0980/artfynd/A 44944-2022 artfynd.xlsx", "A 44944-2022")</f>
        <v/>
      </c>
      <c r="T60">
        <f>HYPERLINK("https://klasma.github.io/Logging_0980/kartor/A 44944-2022 karta.png", "A 44944-2022")</f>
        <v/>
      </c>
      <c r="V60">
        <f>HYPERLINK("https://klasma.github.io/Logging_0980/klagomål/A 44944-2022 FSC-klagomål.docx", "A 44944-2022")</f>
        <v/>
      </c>
      <c r="W60">
        <f>HYPERLINK("https://klasma.github.io/Logging_0980/klagomålsmail/A 44944-2022 FSC-klagomål mail.docx", "A 44944-2022")</f>
        <v/>
      </c>
      <c r="X60">
        <f>HYPERLINK("https://klasma.github.io/Logging_0980/tillsyn/A 44944-2022 tillsynsbegäran.docx", "A 44944-2022")</f>
        <v/>
      </c>
      <c r="Y60">
        <f>HYPERLINK("https://klasma.github.io/Logging_0980/tillsynsmail/A 44944-2022 tillsynsbegäran mail.docx", "A 44944-2022")</f>
        <v/>
      </c>
    </row>
    <row r="61" ht="15" customHeight="1">
      <c r="A61" t="inlineStr">
        <is>
          <t>A 54527-2023</t>
        </is>
      </c>
      <c r="B61" s="1" t="n">
        <v>45233</v>
      </c>
      <c r="C61" s="1" t="n">
        <v>46183</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2085-2023</t>
        </is>
      </c>
      <c r="B62" s="1" t="n">
        <v>44939</v>
      </c>
      <c r="C62" s="1" t="n">
        <v>46183</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16823-2024</t>
        </is>
      </c>
      <c r="B63" s="1" t="n">
        <v>45411</v>
      </c>
      <c r="C63" s="1" t="n">
        <v>46183</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7038-2023</t>
        </is>
      </c>
      <c r="B64" s="1" t="n">
        <v>44968</v>
      </c>
      <c r="C64" s="1" t="n">
        <v>46183</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446-2023</t>
        </is>
      </c>
      <c r="B65" s="1" t="n">
        <v>44929</v>
      </c>
      <c r="C65" s="1" t="n">
        <v>46183</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54527-2023</t>
        </is>
      </c>
      <c r="B66" s="1" t="n">
        <v>45233</v>
      </c>
      <c r="C66" s="1" t="n">
        <v>46183</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57773-2025</t>
        </is>
      </c>
      <c r="B67" s="1" t="n">
        <v>45981.56349537037</v>
      </c>
      <c r="C67" s="1" t="n">
        <v>46183</v>
      </c>
      <c r="D67" t="inlineStr">
        <is>
          <t>GOTLANDS LÄN</t>
        </is>
      </c>
      <c r="E67" t="inlineStr">
        <is>
          <t>GOTLAND</t>
        </is>
      </c>
      <c r="G67" t="n">
        <v>4.4</v>
      </c>
      <c r="H67" t="n">
        <v>0</v>
      </c>
      <c r="I67" t="n">
        <v>4</v>
      </c>
      <c r="J67" t="n">
        <v>0</v>
      </c>
      <c r="K67" t="n">
        <v>2</v>
      </c>
      <c r="L67" t="n">
        <v>0</v>
      </c>
      <c r="M67" t="n">
        <v>0</v>
      </c>
      <c r="N67" t="n">
        <v>0</v>
      </c>
      <c r="O67" t="n">
        <v>2</v>
      </c>
      <c r="P67" t="n">
        <v>2</v>
      </c>
      <c r="Q67" t="n">
        <v>6</v>
      </c>
      <c r="R67" s="2" t="inlineStr">
        <is>
          <t>Duvspindling
Mörkfjällig olivspindling
Besk kastanjemusseron
Olivspindling
Rödgul trumpetsvamp
Strimspindling</t>
        </is>
      </c>
      <c r="S67">
        <f>HYPERLINK("https://klasma.github.io/Logging_0980/artfynd/A 57773-2025 artfynd.xlsx", "A 57773-2025")</f>
        <v/>
      </c>
      <c r="T67">
        <f>HYPERLINK("https://klasma.github.io/Logging_0980/kartor/A 57773-2025 karta.png", "A 57773-2025")</f>
        <v/>
      </c>
      <c r="V67">
        <f>HYPERLINK("https://klasma.github.io/Logging_0980/klagomål/A 57773-2025 FSC-klagomål.docx", "A 57773-2025")</f>
        <v/>
      </c>
      <c r="W67">
        <f>HYPERLINK("https://klasma.github.io/Logging_0980/klagomålsmail/A 57773-2025 FSC-klagomål mail.docx", "A 57773-2025")</f>
        <v/>
      </c>
      <c r="X67">
        <f>HYPERLINK("https://klasma.github.io/Logging_0980/tillsyn/A 57773-2025 tillsynsbegäran.docx", "A 57773-2025")</f>
        <v/>
      </c>
      <c r="Y67">
        <f>HYPERLINK("https://klasma.github.io/Logging_0980/tillsynsmail/A 57773-2025 tillsynsbegäran mail.docx", "A 57773-2025")</f>
        <v/>
      </c>
    </row>
    <row r="68" ht="15" customHeight="1">
      <c r="A68" t="inlineStr">
        <is>
          <t>A 63149-2025</t>
        </is>
      </c>
      <c r="B68" s="1" t="n">
        <v>46010</v>
      </c>
      <c r="C68" s="1" t="n">
        <v>46183</v>
      </c>
      <c r="D68" t="inlineStr">
        <is>
          <t>GOTLANDS LÄN</t>
        </is>
      </c>
      <c r="E68" t="inlineStr">
        <is>
          <t>GOTLAND</t>
        </is>
      </c>
      <c r="G68" t="n">
        <v>4.3</v>
      </c>
      <c r="H68" t="n">
        <v>4</v>
      </c>
      <c r="I68" t="n">
        <v>2</v>
      </c>
      <c r="J68" t="n">
        <v>3</v>
      </c>
      <c r="K68" t="n">
        <v>0</v>
      </c>
      <c r="L68" t="n">
        <v>0</v>
      </c>
      <c r="M68" t="n">
        <v>0</v>
      </c>
      <c r="N68" t="n">
        <v>0</v>
      </c>
      <c r="O68" t="n">
        <v>3</v>
      </c>
      <c r="P68" t="n">
        <v>0</v>
      </c>
      <c r="Q68" t="n">
        <v>6</v>
      </c>
      <c r="R68" s="2" t="inlineStr">
        <is>
          <t>Gulsparv
Spillkråka
Svinrot
Anisspindling
Skogsknipprot
Sankt pers nycklar</t>
        </is>
      </c>
      <c r="S68">
        <f>HYPERLINK("https://klasma.github.io/Logging_0980/artfynd/A 63149-2025 artfynd.xlsx", "A 63149-2025")</f>
        <v/>
      </c>
      <c r="T68">
        <f>HYPERLINK("https://klasma.github.io/Logging_0980/kartor/A 63149-2025 karta.png", "A 63149-2025")</f>
        <v/>
      </c>
      <c r="V68">
        <f>HYPERLINK("https://klasma.github.io/Logging_0980/klagomål/A 63149-2025 FSC-klagomål.docx", "A 63149-2025")</f>
        <v/>
      </c>
      <c r="W68">
        <f>HYPERLINK("https://klasma.github.io/Logging_0980/klagomålsmail/A 63149-2025 FSC-klagomål mail.docx", "A 63149-2025")</f>
        <v/>
      </c>
      <c r="X68">
        <f>HYPERLINK("https://klasma.github.io/Logging_0980/tillsyn/A 63149-2025 tillsynsbegäran.docx", "A 63149-2025")</f>
        <v/>
      </c>
      <c r="Y68">
        <f>HYPERLINK("https://klasma.github.io/Logging_0980/tillsynsmail/A 63149-2025 tillsynsbegäran mail.docx", "A 63149-2025")</f>
        <v/>
      </c>
      <c r="Z68">
        <f>HYPERLINK("https://klasma.github.io/Logging_0980/fåglar/A 63149-2025 prioriterade fågelarter.docx", "A 63149-2025")</f>
        <v/>
      </c>
    </row>
    <row r="69" ht="15" customHeight="1">
      <c r="A69" t="inlineStr">
        <is>
          <t>A 66091-2021</t>
        </is>
      </c>
      <c r="B69" s="1" t="n">
        <v>44517</v>
      </c>
      <c r="C69" s="1" t="n">
        <v>46183</v>
      </c>
      <c r="D69" t="inlineStr">
        <is>
          <t>GOTLANDS LÄN</t>
        </is>
      </c>
      <c r="E69" t="inlineStr">
        <is>
          <t>GOTLAND</t>
        </is>
      </c>
      <c r="G69" t="n">
        <v>11.7</v>
      </c>
      <c r="H69" t="n">
        <v>2</v>
      </c>
      <c r="I69" t="n">
        <v>0</v>
      </c>
      <c r="J69" t="n">
        <v>3</v>
      </c>
      <c r="K69" t="n">
        <v>0</v>
      </c>
      <c r="L69" t="n">
        <v>0</v>
      </c>
      <c r="M69" t="n">
        <v>0</v>
      </c>
      <c r="N69" t="n">
        <v>0</v>
      </c>
      <c r="O69" t="n">
        <v>3</v>
      </c>
      <c r="P69" t="n">
        <v>0</v>
      </c>
      <c r="Q69" t="n">
        <v>5</v>
      </c>
      <c r="R69" s="2" t="inlineStr">
        <is>
          <t>Axveronika
Solvända
Säfferot
Pärluggla
Salepsrot</t>
        </is>
      </c>
      <c r="S69">
        <f>HYPERLINK("https://klasma.github.io/Logging_0980/artfynd/A 66091-2021 artfynd.xlsx", "A 66091-2021")</f>
        <v/>
      </c>
      <c r="T69">
        <f>HYPERLINK("https://klasma.github.io/Logging_0980/kartor/A 66091-2021 karta.png", "A 66091-2021")</f>
        <v/>
      </c>
      <c r="V69">
        <f>HYPERLINK("https://klasma.github.io/Logging_0980/klagomål/A 66091-2021 FSC-klagomål.docx", "A 66091-2021")</f>
        <v/>
      </c>
      <c r="W69">
        <f>HYPERLINK("https://klasma.github.io/Logging_0980/klagomålsmail/A 66091-2021 FSC-klagomål mail.docx", "A 66091-2021")</f>
        <v/>
      </c>
      <c r="X69">
        <f>HYPERLINK("https://klasma.github.io/Logging_0980/tillsyn/A 66091-2021 tillsynsbegäran.docx", "A 66091-2021")</f>
        <v/>
      </c>
      <c r="Y69">
        <f>HYPERLINK("https://klasma.github.io/Logging_0980/tillsynsmail/A 66091-2021 tillsynsbegäran mail.docx", "A 66091-2021")</f>
        <v/>
      </c>
      <c r="Z69">
        <f>HYPERLINK("https://klasma.github.io/Logging_0980/fåglar/A 66091-2021 prioriterade fågelarter.docx", "A 66091-2021")</f>
        <v/>
      </c>
    </row>
    <row r="70" ht="15" customHeight="1">
      <c r="A70" t="inlineStr">
        <is>
          <t>A 39425-2023</t>
        </is>
      </c>
      <c r="B70" s="1" t="n">
        <v>45166</v>
      </c>
      <c r="C70" s="1" t="n">
        <v>46183</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54055-2022</t>
        </is>
      </c>
      <c r="B71" s="1" t="n">
        <v>44881</v>
      </c>
      <c r="C71" s="1" t="n">
        <v>46183</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42936-2024</t>
        </is>
      </c>
      <c r="B72" s="1" t="n">
        <v>45567</v>
      </c>
      <c r="C72" s="1" t="n">
        <v>46183</v>
      </c>
      <c r="D72" t="inlineStr">
        <is>
          <t>GOTLANDS LÄN</t>
        </is>
      </c>
      <c r="E72" t="inlineStr">
        <is>
          <t>GOTLAND</t>
        </is>
      </c>
      <c r="G72" t="n">
        <v>3.4</v>
      </c>
      <c r="H72" t="n">
        <v>0</v>
      </c>
      <c r="I72" t="n">
        <v>3</v>
      </c>
      <c r="J72" t="n">
        <v>1</v>
      </c>
      <c r="K72" t="n">
        <v>1</v>
      </c>
      <c r="L72" t="n">
        <v>0</v>
      </c>
      <c r="M72" t="n">
        <v>0</v>
      </c>
      <c r="N72" t="n">
        <v>0</v>
      </c>
      <c r="O72" t="n">
        <v>2</v>
      </c>
      <c r="P72" t="n">
        <v>1</v>
      </c>
      <c r="Q72" t="n">
        <v>5</v>
      </c>
      <c r="R72" s="2" t="inlineStr">
        <is>
          <t>Vit taggsvamp
Äggspindling
Barrfagerspindling
Blå slemspindling
Svavelriska</t>
        </is>
      </c>
      <c r="S72">
        <f>HYPERLINK("https://klasma.github.io/Logging_0980/artfynd/A 42936-2024 artfynd.xlsx", "A 42936-2024")</f>
        <v/>
      </c>
      <c r="T72">
        <f>HYPERLINK("https://klasma.github.io/Logging_0980/kartor/A 42936-2024 karta.png", "A 42936-2024")</f>
        <v/>
      </c>
      <c r="V72">
        <f>HYPERLINK("https://klasma.github.io/Logging_0980/klagomål/A 42936-2024 FSC-klagomål.docx", "A 42936-2024")</f>
        <v/>
      </c>
      <c r="W72">
        <f>HYPERLINK("https://klasma.github.io/Logging_0980/klagomålsmail/A 42936-2024 FSC-klagomål mail.docx", "A 42936-2024")</f>
        <v/>
      </c>
      <c r="X72">
        <f>HYPERLINK("https://klasma.github.io/Logging_0980/tillsyn/A 42936-2024 tillsynsbegäran.docx", "A 42936-2024")</f>
        <v/>
      </c>
      <c r="Y72">
        <f>HYPERLINK("https://klasma.github.io/Logging_0980/tillsynsmail/A 42936-2024 tillsynsbegäran mail.docx", "A 42936-2024")</f>
        <v/>
      </c>
    </row>
    <row r="73" ht="15" customHeight="1">
      <c r="A73" t="inlineStr">
        <is>
          <t>A 35293-2025</t>
        </is>
      </c>
      <c r="B73" s="1" t="n">
        <v>45854.39438657407</v>
      </c>
      <c r="C73" s="1" t="n">
        <v>46183</v>
      </c>
      <c r="D73" t="inlineStr">
        <is>
          <t>GOTLANDS LÄN</t>
        </is>
      </c>
      <c r="E73" t="inlineStr">
        <is>
          <t>GOTLAND</t>
        </is>
      </c>
      <c r="G73" t="n">
        <v>9.199999999999999</v>
      </c>
      <c r="H73" t="n">
        <v>1</v>
      </c>
      <c r="I73" t="n">
        <v>1</v>
      </c>
      <c r="J73" t="n">
        <v>4</v>
      </c>
      <c r="K73" t="n">
        <v>0</v>
      </c>
      <c r="L73" t="n">
        <v>0</v>
      </c>
      <c r="M73" t="n">
        <v>0</v>
      </c>
      <c r="N73" t="n">
        <v>0</v>
      </c>
      <c r="O73" t="n">
        <v>4</v>
      </c>
      <c r="P73" t="n">
        <v>0</v>
      </c>
      <c r="Q73" t="n">
        <v>5</v>
      </c>
      <c r="R73" s="2" t="inlineStr">
        <is>
          <t>Krusfrö
Loppstarr
Svinrot
Ängsstarr
Skogsknipprot</t>
        </is>
      </c>
      <c r="S73">
        <f>HYPERLINK("https://klasma.github.io/Logging_0980/artfynd/A 35293-2025 artfynd.xlsx", "A 35293-2025")</f>
        <v/>
      </c>
      <c r="T73">
        <f>HYPERLINK("https://klasma.github.io/Logging_0980/kartor/A 35293-2025 karta.png", "A 35293-2025")</f>
        <v/>
      </c>
      <c r="V73">
        <f>HYPERLINK("https://klasma.github.io/Logging_0980/klagomål/A 35293-2025 FSC-klagomål.docx", "A 35293-2025")</f>
        <v/>
      </c>
      <c r="W73">
        <f>HYPERLINK("https://klasma.github.io/Logging_0980/klagomålsmail/A 35293-2025 FSC-klagomål mail.docx", "A 35293-2025")</f>
        <v/>
      </c>
      <c r="X73">
        <f>HYPERLINK("https://klasma.github.io/Logging_0980/tillsyn/A 35293-2025 tillsynsbegäran.docx", "A 35293-2025")</f>
        <v/>
      </c>
      <c r="Y73">
        <f>HYPERLINK("https://klasma.github.io/Logging_0980/tillsynsmail/A 35293-2025 tillsynsbegäran mail.docx", "A 35293-2025")</f>
        <v/>
      </c>
    </row>
    <row r="74" ht="15" customHeight="1">
      <c r="A74" t="inlineStr">
        <is>
          <t>A 2213-2023</t>
        </is>
      </c>
      <c r="B74" s="1" t="n">
        <v>44942</v>
      </c>
      <c r="C74" s="1" t="n">
        <v>46183</v>
      </c>
      <c r="D74" t="inlineStr">
        <is>
          <t>GOTLANDS LÄN</t>
        </is>
      </c>
      <c r="E74" t="inlineStr">
        <is>
          <t>GOTLAND</t>
        </is>
      </c>
      <c r="G74" t="n">
        <v>2.7</v>
      </c>
      <c r="H74" t="n">
        <v>1</v>
      </c>
      <c r="I74" t="n">
        <v>0</v>
      </c>
      <c r="J74" t="n">
        <v>4</v>
      </c>
      <c r="K74" t="n">
        <v>1</v>
      </c>
      <c r="L74" t="n">
        <v>0</v>
      </c>
      <c r="M74" t="n">
        <v>0</v>
      </c>
      <c r="N74" t="n">
        <v>0</v>
      </c>
      <c r="O74" t="n">
        <v>5</v>
      </c>
      <c r="P74" t="n">
        <v>1</v>
      </c>
      <c r="Q74" t="n">
        <v>5</v>
      </c>
      <c r="R74" s="2" t="inlineStr">
        <is>
          <t>Garderönn
Backtimjan
Odörspindling
Smedbock
Svinrot</t>
        </is>
      </c>
      <c r="S74">
        <f>HYPERLINK("https://klasma.github.io/Logging_0980/artfynd/A 2213-2023 artfynd.xlsx", "A 2213-2023")</f>
        <v/>
      </c>
      <c r="T74">
        <f>HYPERLINK("https://klasma.github.io/Logging_0980/kartor/A 2213-2023 karta.png", "A 2213-2023")</f>
        <v/>
      </c>
      <c r="V74">
        <f>HYPERLINK("https://klasma.github.io/Logging_0980/klagomål/A 2213-2023 FSC-klagomål.docx", "A 2213-2023")</f>
        <v/>
      </c>
      <c r="W74">
        <f>HYPERLINK("https://klasma.github.io/Logging_0980/klagomålsmail/A 2213-2023 FSC-klagomål mail.docx", "A 2213-2023")</f>
        <v/>
      </c>
      <c r="X74">
        <f>HYPERLINK("https://klasma.github.io/Logging_0980/tillsyn/A 2213-2023 tillsynsbegäran.docx", "A 2213-2023")</f>
        <v/>
      </c>
      <c r="Y74">
        <f>HYPERLINK("https://klasma.github.io/Logging_0980/tillsynsmail/A 2213-2023 tillsynsbegäran mail.docx", "A 2213-2023")</f>
        <v/>
      </c>
    </row>
    <row r="75" ht="15" customHeight="1">
      <c r="A75" t="inlineStr">
        <is>
          <t>A 32326-2024</t>
        </is>
      </c>
      <c r="B75" s="1" t="n">
        <v>45512</v>
      </c>
      <c r="C75" s="1" t="n">
        <v>46183</v>
      </c>
      <c r="D75" t="inlineStr">
        <is>
          <t>GOTLANDS LÄN</t>
        </is>
      </c>
      <c r="E75" t="inlineStr">
        <is>
          <t>GOTLAND</t>
        </is>
      </c>
      <c r="G75" t="n">
        <v>9.199999999999999</v>
      </c>
      <c r="H75" t="n">
        <v>3</v>
      </c>
      <c r="I75" t="n">
        <v>2</v>
      </c>
      <c r="J75" t="n">
        <v>2</v>
      </c>
      <c r="K75" t="n">
        <v>0</v>
      </c>
      <c r="L75" t="n">
        <v>0</v>
      </c>
      <c r="M75" t="n">
        <v>0</v>
      </c>
      <c r="N75" t="n">
        <v>0</v>
      </c>
      <c r="O75" t="n">
        <v>2</v>
      </c>
      <c r="P75" t="n">
        <v>0</v>
      </c>
      <c r="Q75" t="n">
        <v>5</v>
      </c>
      <c r="R75" s="2" t="inlineStr">
        <is>
          <t>Jordtistel
Svinrot
Purpurknipprot
Skogsknipprot
Brudsporre</t>
        </is>
      </c>
      <c r="S75">
        <f>HYPERLINK("https://klasma.github.io/Logging_0980/artfynd/A 32326-2024 artfynd.xlsx", "A 32326-2024")</f>
        <v/>
      </c>
      <c r="T75">
        <f>HYPERLINK("https://klasma.github.io/Logging_0980/kartor/A 32326-2024 karta.png", "A 32326-2024")</f>
        <v/>
      </c>
      <c r="V75">
        <f>HYPERLINK("https://klasma.github.io/Logging_0980/klagomål/A 32326-2024 FSC-klagomål.docx", "A 32326-2024")</f>
        <v/>
      </c>
      <c r="W75">
        <f>HYPERLINK("https://klasma.github.io/Logging_0980/klagomålsmail/A 32326-2024 FSC-klagomål mail.docx", "A 32326-2024")</f>
        <v/>
      </c>
      <c r="X75">
        <f>HYPERLINK("https://klasma.github.io/Logging_0980/tillsyn/A 32326-2024 tillsynsbegäran.docx", "A 32326-2024")</f>
        <v/>
      </c>
      <c r="Y75">
        <f>HYPERLINK("https://klasma.github.io/Logging_0980/tillsynsmail/A 32326-2024 tillsynsbegäran mail.docx", "A 32326-2024")</f>
        <v/>
      </c>
    </row>
    <row r="76" ht="15" customHeight="1">
      <c r="A76" t="inlineStr">
        <is>
          <t>A 6839-2026</t>
        </is>
      </c>
      <c r="B76" s="1" t="n">
        <v>46057.41193287037</v>
      </c>
      <c r="C76" s="1" t="n">
        <v>46183</v>
      </c>
      <c r="D76" t="inlineStr">
        <is>
          <t>GOTLANDS LÄN</t>
        </is>
      </c>
      <c r="E76" t="inlineStr">
        <is>
          <t>GOTLAND</t>
        </is>
      </c>
      <c r="G76" t="n">
        <v>4.9</v>
      </c>
      <c r="H76" t="n">
        <v>0</v>
      </c>
      <c r="I76" t="n">
        <v>1</v>
      </c>
      <c r="J76" t="n">
        <v>2</v>
      </c>
      <c r="K76" t="n">
        <v>2</v>
      </c>
      <c r="L76" t="n">
        <v>0</v>
      </c>
      <c r="M76" t="n">
        <v>0</v>
      </c>
      <c r="N76" t="n">
        <v>0</v>
      </c>
      <c r="O76" t="n">
        <v>4</v>
      </c>
      <c r="P76" t="n">
        <v>2</v>
      </c>
      <c r="Q76" t="n">
        <v>5</v>
      </c>
      <c r="R76" s="2" t="inlineStr">
        <is>
          <t>Mörk kraterlav
Skogskorn
Ekvaxskivling
Mjölmusseron
Besk kastanjemusseron</t>
        </is>
      </c>
      <c r="S76">
        <f>HYPERLINK("https://klasma.github.io/Logging_0980/artfynd/A 6839-2026 artfynd.xlsx", "A 6839-2026")</f>
        <v/>
      </c>
      <c r="T76">
        <f>HYPERLINK("https://klasma.github.io/Logging_0980/kartor/A 6839-2026 karta.png", "A 6839-2026")</f>
        <v/>
      </c>
      <c r="V76">
        <f>HYPERLINK("https://klasma.github.io/Logging_0980/klagomål/A 6839-2026 FSC-klagomål.docx", "A 6839-2026")</f>
        <v/>
      </c>
      <c r="W76">
        <f>HYPERLINK("https://klasma.github.io/Logging_0980/klagomålsmail/A 6839-2026 FSC-klagomål mail.docx", "A 6839-2026")</f>
        <v/>
      </c>
      <c r="X76">
        <f>HYPERLINK("https://klasma.github.io/Logging_0980/tillsyn/A 6839-2026 tillsynsbegäran.docx", "A 6839-2026")</f>
        <v/>
      </c>
      <c r="Y76">
        <f>HYPERLINK("https://klasma.github.io/Logging_0980/tillsynsmail/A 6839-2026 tillsynsbegäran mail.docx", "A 6839-2026")</f>
        <v/>
      </c>
    </row>
    <row r="77" ht="15" customHeight="1">
      <c r="A77" t="inlineStr">
        <is>
          <t>A 29331-2021</t>
        </is>
      </c>
      <c r="B77" s="1" t="n">
        <v>44361</v>
      </c>
      <c r="C77" s="1" t="n">
        <v>46183</v>
      </c>
      <c r="D77" t="inlineStr">
        <is>
          <t>GOTLANDS LÄN</t>
        </is>
      </c>
      <c r="E77" t="inlineStr">
        <is>
          <t>GOTLAND</t>
        </is>
      </c>
      <c r="G77" t="n">
        <v>3.7</v>
      </c>
      <c r="H77" t="n">
        <v>1</v>
      </c>
      <c r="I77" t="n">
        <v>4</v>
      </c>
      <c r="J77" t="n">
        <v>0</v>
      </c>
      <c r="K77" t="n">
        <v>0</v>
      </c>
      <c r="L77" t="n">
        <v>0</v>
      </c>
      <c r="M77" t="n">
        <v>0</v>
      </c>
      <c r="N77" t="n">
        <v>0</v>
      </c>
      <c r="O77" t="n">
        <v>0</v>
      </c>
      <c r="P77" t="n">
        <v>0</v>
      </c>
      <c r="Q77" t="n">
        <v>4</v>
      </c>
      <c r="R77" s="2" t="inlineStr">
        <is>
          <t>Blåmossa
Granbarkgnagare
Kattfotslav
Tvåblad</t>
        </is>
      </c>
      <c r="S77">
        <f>HYPERLINK("https://klasma.github.io/Logging_0980/artfynd/A 29331-2021 artfynd.xlsx", "A 29331-2021")</f>
        <v/>
      </c>
      <c r="T77">
        <f>HYPERLINK("https://klasma.github.io/Logging_0980/kartor/A 29331-2021 karta.png", "A 29331-2021")</f>
        <v/>
      </c>
      <c r="V77">
        <f>HYPERLINK("https://klasma.github.io/Logging_0980/klagomål/A 29331-2021 FSC-klagomål.docx", "A 29331-2021")</f>
        <v/>
      </c>
      <c r="W77">
        <f>HYPERLINK("https://klasma.github.io/Logging_0980/klagomålsmail/A 29331-2021 FSC-klagomål mail.docx", "A 29331-2021")</f>
        <v/>
      </c>
      <c r="X77">
        <f>HYPERLINK("https://klasma.github.io/Logging_0980/tillsyn/A 29331-2021 tillsynsbegäran.docx", "A 29331-2021")</f>
        <v/>
      </c>
      <c r="Y77">
        <f>HYPERLINK("https://klasma.github.io/Logging_0980/tillsynsmail/A 29331-2021 tillsynsbegäran mail.docx", "A 29331-2021")</f>
        <v/>
      </c>
    </row>
    <row r="78" ht="15" customHeight="1">
      <c r="A78" t="inlineStr">
        <is>
          <t>A 6159-2023</t>
        </is>
      </c>
      <c r="B78" s="1" t="n">
        <v>44964</v>
      </c>
      <c r="C78" s="1" t="n">
        <v>46183</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43197-2023</t>
        </is>
      </c>
      <c r="B79" s="1" t="n">
        <v>45183</v>
      </c>
      <c r="C79" s="1" t="n">
        <v>46183</v>
      </c>
      <c r="D79" t="inlineStr">
        <is>
          <t>GOTLANDS LÄN</t>
        </is>
      </c>
      <c r="E79" t="inlineStr">
        <is>
          <t>GOTLAND</t>
        </is>
      </c>
      <c r="G79" t="n">
        <v>3.7</v>
      </c>
      <c r="H79" t="n">
        <v>2</v>
      </c>
      <c r="I79" t="n">
        <v>1</v>
      </c>
      <c r="J79" t="n">
        <v>1</v>
      </c>
      <c r="K79" t="n">
        <v>1</v>
      </c>
      <c r="L79" t="n">
        <v>0</v>
      </c>
      <c r="M79" t="n">
        <v>0</v>
      </c>
      <c r="N79" t="n">
        <v>0</v>
      </c>
      <c r="O79" t="n">
        <v>2</v>
      </c>
      <c r="P79" t="n">
        <v>1</v>
      </c>
      <c r="Q79" t="n">
        <v>4</v>
      </c>
      <c r="R79" s="2" t="inlineStr">
        <is>
          <t>Allékantlav
Svinrot
Skogsknipprot
Revlummer</t>
        </is>
      </c>
      <c r="S79">
        <f>HYPERLINK("https://klasma.github.io/Logging_0980/artfynd/A 43197-2023 artfynd.xlsx", "A 43197-2023")</f>
        <v/>
      </c>
      <c r="T79">
        <f>HYPERLINK("https://klasma.github.io/Logging_0980/kartor/A 43197-2023 karta.png", "A 43197-2023")</f>
        <v/>
      </c>
      <c r="V79">
        <f>HYPERLINK("https://klasma.github.io/Logging_0980/klagomål/A 43197-2023 FSC-klagomål.docx", "A 43197-2023")</f>
        <v/>
      </c>
      <c r="W79">
        <f>HYPERLINK("https://klasma.github.io/Logging_0980/klagomålsmail/A 43197-2023 FSC-klagomål mail.docx", "A 43197-2023")</f>
        <v/>
      </c>
      <c r="X79">
        <f>HYPERLINK("https://klasma.github.io/Logging_0980/tillsyn/A 43197-2023 tillsynsbegäran.docx", "A 43197-2023")</f>
        <v/>
      </c>
      <c r="Y79">
        <f>HYPERLINK("https://klasma.github.io/Logging_0980/tillsynsmail/A 43197-2023 tillsynsbegäran mail.docx", "A 43197-2023")</f>
        <v/>
      </c>
    </row>
    <row r="80" ht="15" customHeight="1">
      <c r="A80" t="inlineStr">
        <is>
          <t>A 2485-2025</t>
        </is>
      </c>
      <c r="B80" s="1" t="n">
        <v>45673</v>
      </c>
      <c r="C80" s="1" t="n">
        <v>46183</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1971-2023</t>
        </is>
      </c>
      <c r="B81" s="1" t="n">
        <v>44939</v>
      </c>
      <c r="C81" s="1" t="n">
        <v>46183</v>
      </c>
      <c r="D81" t="inlineStr">
        <is>
          <t>GOTLANDS LÄN</t>
        </is>
      </c>
      <c r="E81" t="inlineStr">
        <is>
          <t>GOTLAND</t>
        </is>
      </c>
      <c r="G81" t="n">
        <v>5.5</v>
      </c>
      <c r="H81" t="n">
        <v>0</v>
      </c>
      <c r="I81" t="n">
        <v>2</v>
      </c>
      <c r="J81" t="n">
        <v>1</v>
      </c>
      <c r="K81" t="n">
        <v>1</v>
      </c>
      <c r="L81" t="n">
        <v>0</v>
      </c>
      <c r="M81" t="n">
        <v>0</v>
      </c>
      <c r="N81" t="n">
        <v>0</v>
      </c>
      <c r="O81" t="n">
        <v>2</v>
      </c>
      <c r="P81" t="n">
        <v>1</v>
      </c>
      <c r="Q81" t="n">
        <v>4</v>
      </c>
      <c r="R81" s="2" t="inlineStr">
        <is>
          <t>Gulsträngad fagerspindling
Svinrot
Fjällig taggsvamp s.str.
Olivspindling</t>
        </is>
      </c>
      <c r="S81">
        <f>HYPERLINK("https://klasma.github.io/Logging_0980/artfynd/A 1971-2023 artfynd.xlsx", "A 1971-2023")</f>
        <v/>
      </c>
      <c r="T81">
        <f>HYPERLINK("https://klasma.github.io/Logging_0980/kartor/A 1971-2023 karta.png", "A 1971-2023")</f>
        <v/>
      </c>
      <c r="V81">
        <f>HYPERLINK("https://klasma.github.io/Logging_0980/klagomål/A 1971-2023 FSC-klagomål.docx", "A 1971-2023")</f>
        <v/>
      </c>
      <c r="W81">
        <f>HYPERLINK("https://klasma.github.io/Logging_0980/klagomålsmail/A 1971-2023 FSC-klagomål mail.docx", "A 1971-2023")</f>
        <v/>
      </c>
      <c r="X81">
        <f>HYPERLINK("https://klasma.github.io/Logging_0980/tillsyn/A 1971-2023 tillsynsbegäran.docx", "A 1971-2023")</f>
        <v/>
      </c>
      <c r="Y81">
        <f>HYPERLINK("https://klasma.github.io/Logging_0980/tillsynsmail/A 1971-2023 tillsynsbegäran mail.docx", "A 1971-2023")</f>
        <v/>
      </c>
    </row>
    <row r="82" ht="15" customHeight="1">
      <c r="A82" t="inlineStr">
        <is>
          <t>A 5904-2024</t>
        </is>
      </c>
      <c r="B82" s="1" t="n">
        <v>45335</v>
      </c>
      <c r="C82" s="1" t="n">
        <v>46183</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8265-2023</t>
        </is>
      </c>
      <c r="B83" s="1" t="n">
        <v>44974</v>
      </c>
      <c r="C83" s="1" t="n">
        <v>46183</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46183</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46183</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54523-2023</t>
        </is>
      </c>
      <c r="B86" s="1" t="n">
        <v>45233</v>
      </c>
      <c r="C86" s="1" t="n">
        <v>46183</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63152-2025</t>
        </is>
      </c>
      <c r="B87" s="1" t="n">
        <v>46010</v>
      </c>
      <c r="C87" s="1" t="n">
        <v>46183</v>
      </c>
      <c r="D87" t="inlineStr">
        <is>
          <t>GOTLANDS LÄN</t>
        </is>
      </c>
      <c r="E87" t="inlineStr">
        <is>
          <t>GOTLAND</t>
        </is>
      </c>
      <c r="G87" t="n">
        <v>1.5</v>
      </c>
      <c r="H87" t="n">
        <v>3</v>
      </c>
      <c r="I87" t="n">
        <v>1</v>
      </c>
      <c r="J87" t="n">
        <v>2</v>
      </c>
      <c r="K87" t="n">
        <v>0</v>
      </c>
      <c r="L87" t="n">
        <v>0</v>
      </c>
      <c r="M87" t="n">
        <v>0</v>
      </c>
      <c r="N87" t="n">
        <v>0</v>
      </c>
      <c r="O87" t="n">
        <v>2</v>
      </c>
      <c r="P87" t="n">
        <v>0</v>
      </c>
      <c r="Q87" t="n">
        <v>4</v>
      </c>
      <c r="R87" s="2" t="inlineStr">
        <is>
          <t>Spillkråka
Svinrot
Nästrot
Sankt pers nycklar</t>
        </is>
      </c>
      <c r="S87">
        <f>HYPERLINK("https://klasma.github.io/Logging_0980/artfynd/A 63152-2025 artfynd.xlsx", "A 63152-2025")</f>
        <v/>
      </c>
      <c r="T87">
        <f>HYPERLINK("https://klasma.github.io/Logging_0980/kartor/A 63152-2025 karta.png", "A 63152-2025")</f>
        <v/>
      </c>
      <c r="V87">
        <f>HYPERLINK("https://klasma.github.io/Logging_0980/klagomål/A 63152-2025 FSC-klagomål.docx", "A 63152-2025")</f>
        <v/>
      </c>
      <c r="W87">
        <f>HYPERLINK("https://klasma.github.io/Logging_0980/klagomålsmail/A 63152-2025 FSC-klagomål mail.docx", "A 63152-2025")</f>
        <v/>
      </c>
      <c r="X87">
        <f>HYPERLINK("https://klasma.github.io/Logging_0980/tillsyn/A 63152-2025 tillsynsbegäran.docx", "A 63152-2025")</f>
        <v/>
      </c>
      <c r="Y87">
        <f>HYPERLINK("https://klasma.github.io/Logging_0980/tillsynsmail/A 63152-2025 tillsynsbegäran mail.docx", "A 63152-2025")</f>
        <v/>
      </c>
      <c r="Z87">
        <f>HYPERLINK("https://klasma.github.io/Logging_0980/fåglar/A 63152-2025 prioriterade fågelarter.docx", "A 63152-2025")</f>
        <v/>
      </c>
    </row>
    <row r="88" ht="15" customHeight="1">
      <c r="A88" t="inlineStr">
        <is>
          <t>A 20833-2024</t>
        </is>
      </c>
      <c r="B88" s="1" t="n">
        <v>45439</v>
      </c>
      <c r="C88" s="1" t="n">
        <v>46183</v>
      </c>
      <c r="D88" t="inlineStr">
        <is>
          <t>GOTLANDS LÄN</t>
        </is>
      </c>
      <c r="E88" t="inlineStr">
        <is>
          <t>GOTLAND</t>
        </is>
      </c>
      <c r="G88" t="n">
        <v>0.9</v>
      </c>
      <c r="H88" t="n">
        <v>3</v>
      </c>
      <c r="I88" t="n">
        <v>1</v>
      </c>
      <c r="J88" t="n">
        <v>3</v>
      </c>
      <c r="K88" t="n">
        <v>0</v>
      </c>
      <c r="L88" t="n">
        <v>0</v>
      </c>
      <c r="M88" t="n">
        <v>0</v>
      </c>
      <c r="N88" t="n">
        <v>0</v>
      </c>
      <c r="O88" t="n">
        <v>3</v>
      </c>
      <c r="P88" t="n">
        <v>0</v>
      </c>
      <c r="Q88" t="n">
        <v>4</v>
      </c>
      <c r="R88" s="2" t="inlineStr">
        <is>
          <t>Dårgräsfjäril
Spillkråka
Svinrot
Skogsknipprot</t>
        </is>
      </c>
      <c r="S88">
        <f>HYPERLINK("https://klasma.github.io/Logging_0980/artfynd/A 20833-2024 artfynd.xlsx", "A 20833-2024")</f>
        <v/>
      </c>
      <c r="T88">
        <f>HYPERLINK("https://klasma.github.io/Logging_0980/kartor/A 20833-2024 karta.png", "A 20833-2024")</f>
        <v/>
      </c>
      <c r="V88">
        <f>HYPERLINK("https://klasma.github.io/Logging_0980/klagomål/A 20833-2024 FSC-klagomål.docx", "A 20833-2024")</f>
        <v/>
      </c>
      <c r="W88">
        <f>HYPERLINK("https://klasma.github.io/Logging_0980/klagomålsmail/A 20833-2024 FSC-klagomål mail.docx", "A 20833-2024")</f>
        <v/>
      </c>
      <c r="X88">
        <f>HYPERLINK("https://klasma.github.io/Logging_0980/tillsyn/A 20833-2024 tillsynsbegäran.docx", "A 20833-2024")</f>
        <v/>
      </c>
      <c r="Y88">
        <f>HYPERLINK("https://klasma.github.io/Logging_0980/tillsynsmail/A 20833-2024 tillsynsbegäran mail.docx", "A 20833-2024")</f>
        <v/>
      </c>
      <c r="Z88">
        <f>HYPERLINK("https://klasma.github.io/Logging_0980/fåglar/A 20833-2024 prioriterade fågelarter.docx", "A 20833-2024")</f>
        <v/>
      </c>
    </row>
    <row r="89" ht="15" customHeight="1">
      <c r="A89" t="inlineStr">
        <is>
          <t>A 57463-2025</t>
        </is>
      </c>
      <c r="B89" s="1" t="n">
        <v>45980</v>
      </c>
      <c r="C89" s="1" t="n">
        <v>46183</v>
      </c>
      <c r="D89" t="inlineStr">
        <is>
          <t>GOTLANDS LÄN</t>
        </is>
      </c>
      <c r="E89" t="inlineStr">
        <is>
          <t>GOTLAND</t>
        </is>
      </c>
      <c r="G89" t="n">
        <v>3.8</v>
      </c>
      <c r="H89" t="n">
        <v>0</v>
      </c>
      <c r="I89" t="n">
        <v>1</v>
      </c>
      <c r="J89" t="n">
        <v>1</v>
      </c>
      <c r="K89" t="n">
        <v>2</v>
      </c>
      <c r="L89" t="n">
        <v>0</v>
      </c>
      <c r="M89" t="n">
        <v>0</v>
      </c>
      <c r="N89" t="n">
        <v>0</v>
      </c>
      <c r="O89" t="n">
        <v>3</v>
      </c>
      <c r="P89" t="n">
        <v>2</v>
      </c>
      <c r="Q89" t="n">
        <v>4</v>
      </c>
      <c r="R89" s="2" t="inlineStr">
        <is>
          <t>Gulsträngad fagerspindling
Tvillingspindling
Odörspindling
Blå slemspindling</t>
        </is>
      </c>
      <c r="S89">
        <f>HYPERLINK("https://klasma.github.io/Logging_0980/artfynd/A 57463-2025 artfynd.xlsx", "A 57463-2025")</f>
        <v/>
      </c>
      <c r="T89">
        <f>HYPERLINK("https://klasma.github.io/Logging_0980/kartor/A 57463-2025 karta.png", "A 57463-2025")</f>
        <v/>
      </c>
      <c r="V89">
        <f>HYPERLINK("https://klasma.github.io/Logging_0980/klagomål/A 57463-2025 FSC-klagomål.docx", "A 57463-2025")</f>
        <v/>
      </c>
      <c r="W89">
        <f>HYPERLINK("https://klasma.github.io/Logging_0980/klagomålsmail/A 57463-2025 FSC-klagomål mail.docx", "A 57463-2025")</f>
        <v/>
      </c>
      <c r="X89">
        <f>HYPERLINK("https://klasma.github.io/Logging_0980/tillsyn/A 57463-2025 tillsynsbegäran.docx", "A 57463-2025")</f>
        <v/>
      </c>
      <c r="Y89">
        <f>HYPERLINK("https://klasma.github.io/Logging_0980/tillsynsmail/A 57463-2025 tillsynsbegäran mail.docx", "A 57463-2025")</f>
        <v/>
      </c>
    </row>
    <row r="90" ht="15" customHeight="1">
      <c r="A90" t="inlineStr">
        <is>
          <t>A 6836-2026</t>
        </is>
      </c>
      <c r="B90" s="1" t="n">
        <v>46057</v>
      </c>
      <c r="C90" s="1" t="n">
        <v>46183</v>
      </c>
      <c r="D90" t="inlineStr">
        <is>
          <t>GOTLANDS LÄN</t>
        </is>
      </c>
      <c r="E90" t="inlineStr">
        <is>
          <t>GOTLAND</t>
        </is>
      </c>
      <c r="G90" t="n">
        <v>3.8</v>
      </c>
      <c r="H90" t="n">
        <v>1</v>
      </c>
      <c r="I90" t="n">
        <v>3</v>
      </c>
      <c r="J90" t="n">
        <v>0</v>
      </c>
      <c r="K90" t="n">
        <v>1</v>
      </c>
      <c r="L90" t="n">
        <v>0</v>
      </c>
      <c r="M90" t="n">
        <v>0</v>
      </c>
      <c r="N90" t="n">
        <v>0</v>
      </c>
      <c r="O90" t="n">
        <v>1</v>
      </c>
      <c r="P90" t="n">
        <v>1</v>
      </c>
      <c r="Q90" t="n">
        <v>4</v>
      </c>
      <c r="R90" s="2" t="inlineStr">
        <is>
          <t>Knärot
Fransig jordstjärna
Rödgul trumpetsvamp
Svavelriska</t>
        </is>
      </c>
      <c r="S90">
        <f>HYPERLINK("https://klasma.github.io/Logging_0980/artfynd/A 6836-2026 artfynd.xlsx", "A 6836-2026")</f>
        <v/>
      </c>
      <c r="T90">
        <f>HYPERLINK("https://klasma.github.io/Logging_0980/kartor/A 6836-2026 karta.png", "A 6836-2026")</f>
        <v/>
      </c>
      <c r="U90">
        <f>HYPERLINK("https://klasma.github.io/Logging_0980/knärot/A 6836-2026 karta knärot.png", "A 6836-2026")</f>
        <v/>
      </c>
      <c r="V90">
        <f>HYPERLINK("https://klasma.github.io/Logging_0980/klagomål/A 6836-2026 FSC-klagomål.docx", "A 6836-2026")</f>
        <v/>
      </c>
      <c r="W90">
        <f>HYPERLINK("https://klasma.github.io/Logging_0980/klagomålsmail/A 6836-2026 FSC-klagomål mail.docx", "A 6836-2026")</f>
        <v/>
      </c>
      <c r="X90">
        <f>HYPERLINK("https://klasma.github.io/Logging_0980/tillsyn/A 6836-2026 tillsynsbegäran.docx", "A 6836-2026")</f>
        <v/>
      </c>
      <c r="Y90">
        <f>HYPERLINK("https://klasma.github.io/Logging_0980/tillsynsmail/A 6836-2026 tillsynsbegäran mail.docx", "A 6836-2026")</f>
        <v/>
      </c>
    </row>
    <row r="91" ht="15" customHeight="1">
      <c r="A91" t="inlineStr">
        <is>
          <t>A 44323-2021</t>
        </is>
      </c>
      <c r="B91" s="1" t="n">
        <v>44434</v>
      </c>
      <c r="C91" s="1" t="n">
        <v>46183</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32666-2021</t>
        </is>
      </c>
      <c r="B92" s="1" t="n">
        <v>44375</v>
      </c>
      <c r="C92" s="1" t="n">
        <v>46183</v>
      </c>
      <c r="D92" t="inlineStr">
        <is>
          <t>GOTLANDS LÄN</t>
        </is>
      </c>
      <c r="E92" t="inlineStr">
        <is>
          <t>GOTLAND</t>
        </is>
      </c>
      <c r="G92" t="n">
        <v>0.9</v>
      </c>
      <c r="H92" t="n">
        <v>1</v>
      </c>
      <c r="I92" t="n">
        <v>2</v>
      </c>
      <c r="J92" t="n">
        <v>0</v>
      </c>
      <c r="K92" t="n">
        <v>1</v>
      </c>
      <c r="L92" t="n">
        <v>0</v>
      </c>
      <c r="M92" t="n">
        <v>0</v>
      </c>
      <c r="N92" t="n">
        <v>0</v>
      </c>
      <c r="O92" t="n">
        <v>1</v>
      </c>
      <c r="P92" t="n">
        <v>1</v>
      </c>
      <c r="Q92" t="n">
        <v>3</v>
      </c>
      <c r="R92" s="2" t="inlineStr">
        <is>
          <t>Skogskorn
Myskmadra
Vit skogslilja</t>
        </is>
      </c>
      <c r="S92">
        <f>HYPERLINK("https://klasma.github.io/Logging_0980/artfynd/A 32666-2021 artfynd.xlsx", "A 32666-2021")</f>
        <v/>
      </c>
      <c r="T92">
        <f>HYPERLINK("https://klasma.github.io/Logging_0980/kartor/A 32666-2021 karta.png", "A 32666-2021")</f>
        <v/>
      </c>
      <c r="V92">
        <f>HYPERLINK("https://klasma.github.io/Logging_0980/klagomål/A 32666-2021 FSC-klagomål.docx", "A 32666-2021")</f>
        <v/>
      </c>
      <c r="W92">
        <f>HYPERLINK("https://klasma.github.io/Logging_0980/klagomålsmail/A 32666-2021 FSC-klagomål mail.docx", "A 32666-2021")</f>
        <v/>
      </c>
      <c r="X92">
        <f>HYPERLINK("https://klasma.github.io/Logging_0980/tillsyn/A 32666-2021 tillsynsbegäran.docx", "A 32666-2021")</f>
        <v/>
      </c>
      <c r="Y92">
        <f>HYPERLINK("https://klasma.github.io/Logging_0980/tillsynsmail/A 32666-2021 tillsynsbegäran mail.docx", "A 32666-2021")</f>
        <v/>
      </c>
    </row>
    <row r="93" ht="15" customHeight="1">
      <c r="A93" t="inlineStr">
        <is>
          <t>A 32718-2021</t>
        </is>
      </c>
      <c r="B93" s="1" t="n">
        <v>44375</v>
      </c>
      <c r="C93" s="1" t="n">
        <v>46183</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17982-2023</t>
        </is>
      </c>
      <c r="B94" s="1" t="n">
        <v>45040</v>
      </c>
      <c r="C94" s="1" t="n">
        <v>46183</v>
      </c>
      <c r="D94" t="inlineStr">
        <is>
          <t>GOTLANDS LÄN</t>
        </is>
      </c>
      <c r="E94" t="inlineStr">
        <is>
          <t>GOTLAND</t>
        </is>
      </c>
      <c r="G94" t="n">
        <v>2.2</v>
      </c>
      <c r="H94" t="n">
        <v>0</v>
      </c>
      <c r="I94" t="n">
        <v>0</v>
      </c>
      <c r="J94" t="n">
        <v>2</v>
      </c>
      <c r="K94" t="n">
        <v>0</v>
      </c>
      <c r="L94" t="n">
        <v>0</v>
      </c>
      <c r="M94" t="n">
        <v>1</v>
      </c>
      <c r="N94" t="n">
        <v>0</v>
      </c>
      <c r="O94" t="n">
        <v>3</v>
      </c>
      <c r="P94" t="n">
        <v>1</v>
      </c>
      <c r="Q94" t="n">
        <v>3</v>
      </c>
      <c r="R94" s="2" t="inlineStr">
        <is>
          <t>Lundalm
Krusfrö
Ängsskära</t>
        </is>
      </c>
      <c r="S94">
        <f>HYPERLINK("https://klasma.github.io/Logging_0980/artfynd/A 17982-2023 artfynd.xlsx", "A 17982-2023")</f>
        <v/>
      </c>
      <c r="T94">
        <f>HYPERLINK("https://klasma.github.io/Logging_0980/kartor/A 17982-2023 karta.png", "A 17982-2023")</f>
        <v/>
      </c>
      <c r="V94">
        <f>HYPERLINK("https://klasma.github.io/Logging_0980/klagomål/A 17982-2023 FSC-klagomål.docx", "A 17982-2023")</f>
        <v/>
      </c>
      <c r="W94">
        <f>HYPERLINK("https://klasma.github.io/Logging_0980/klagomålsmail/A 17982-2023 FSC-klagomål mail.docx", "A 17982-2023")</f>
        <v/>
      </c>
      <c r="X94">
        <f>HYPERLINK("https://klasma.github.io/Logging_0980/tillsyn/A 17982-2023 tillsynsbegäran.docx", "A 17982-2023")</f>
        <v/>
      </c>
      <c r="Y94">
        <f>HYPERLINK("https://klasma.github.io/Logging_0980/tillsynsmail/A 17982-2023 tillsynsbegäran mail.docx", "A 17982-2023")</f>
        <v/>
      </c>
    </row>
    <row r="95" ht="15" customHeight="1">
      <c r="A95" t="inlineStr">
        <is>
          <t>A 17975-2024</t>
        </is>
      </c>
      <c r="B95" s="1" t="n">
        <v>45419.85546296297</v>
      </c>
      <c r="C95" s="1" t="n">
        <v>46183</v>
      </c>
      <c r="D95" t="inlineStr">
        <is>
          <t>GOTLANDS LÄN</t>
        </is>
      </c>
      <c r="E95" t="inlineStr">
        <is>
          <t>GOTLAND</t>
        </is>
      </c>
      <c r="G95" t="n">
        <v>7.9</v>
      </c>
      <c r="H95" t="n">
        <v>0</v>
      </c>
      <c r="I95" t="n">
        <v>1</v>
      </c>
      <c r="J95" t="n">
        <v>1</v>
      </c>
      <c r="K95" t="n">
        <v>0</v>
      </c>
      <c r="L95" t="n">
        <v>1</v>
      </c>
      <c r="M95" t="n">
        <v>0</v>
      </c>
      <c r="N95" t="n">
        <v>0</v>
      </c>
      <c r="O95" t="n">
        <v>2</v>
      </c>
      <c r="P95" t="n">
        <v>1</v>
      </c>
      <c r="Q95" t="n">
        <v>3</v>
      </c>
      <c r="R95" s="2" t="inlineStr">
        <is>
          <t>Ask
Skugglosta
Strävlosta</t>
        </is>
      </c>
      <c r="S95">
        <f>HYPERLINK("https://klasma.github.io/Logging_0980/artfynd/A 17975-2024 artfynd.xlsx", "A 17975-2024")</f>
        <v/>
      </c>
      <c r="T95">
        <f>HYPERLINK("https://klasma.github.io/Logging_0980/kartor/A 17975-2024 karta.png", "A 17975-2024")</f>
        <v/>
      </c>
      <c r="V95">
        <f>HYPERLINK("https://klasma.github.io/Logging_0980/klagomål/A 17975-2024 FSC-klagomål.docx", "A 17975-2024")</f>
        <v/>
      </c>
      <c r="W95">
        <f>HYPERLINK("https://klasma.github.io/Logging_0980/klagomålsmail/A 17975-2024 FSC-klagomål mail.docx", "A 17975-2024")</f>
        <v/>
      </c>
      <c r="X95">
        <f>HYPERLINK("https://klasma.github.io/Logging_0980/tillsyn/A 17975-2024 tillsynsbegäran.docx", "A 17975-2024")</f>
        <v/>
      </c>
      <c r="Y95">
        <f>HYPERLINK("https://klasma.github.io/Logging_0980/tillsynsmail/A 17975-2024 tillsynsbegäran mail.docx", "A 17975-2024")</f>
        <v/>
      </c>
    </row>
    <row r="96" ht="15" customHeight="1">
      <c r="A96" t="inlineStr">
        <is>
          <t>A 48126-2022</t>
        </is>
      </c>
      <c r="B96" s="1" t="n">
        <v>44857</v>
      </c>
      <c r="C96" s="1" t="n">
        <v>46183</v>
      </c>
      <c r="D96" t="inlineStr">
        <is>
          <t>GOTLANDS LÄN</t>
        </is>
      </c>
      <c r="E96" t="inlineStr">
        <is>
          <t>GOTLAND</t>
        </is>
      </c>
      <c r="G96" t="n">
        <v>9.800000000000001</v>
      </c>
      <c r="H96" t="n">
        <v>1</v>
      </c>
      <c r="I96" t="n">
        <v>0</v>
      </c>
      <c r="J96" t="n">
        <v>3</v>
      </c>
      <c r="K96" t="n">
        <v>0</v>
      </c>
      <c r="L96" t="n">
        <v>0</v>
      </c>
      <c r="M96" t="n">
        <v>0</v>
      </c>
      <c r="N96" t="n">
        <v>0</v>
      </c>
      <c r="O96" t="n">
        <v>3</v>
      </c>
      <c r="P96" t="n">
        <v>0</v>
      </c>
      <c r="Q96" t="n">
        <v>3</v>
      </c>
      <c r="R96" s="2" t="inlineStr">
        <is>
          <t>Jordtistel
Spillkråka
Svinrot</t>
        </is>
      </c>
      <c r="S96">
        <f>HYPERLINK("https://klasma.github.io/Logging_0980/artfynd/A 48126-2022 artfynd.xlsx", "A 48126-2022")</f>
        <v/>
      </c>
      <c r="T96">
        <f>HYPERLINK("https://klasma.github.io/Logging_0980/kartor/A 48126-2022 karta.png", "A 48126-2022")</f>
        <v/>
      </c>
      <c r="V96">
        <f>HYPERLINK("https://klasma.github.io/Logging_0980/klagomål/A 48126-2022 FSC-klagomål.docx", "A 48126-2022")</f>
        <v/>
      </c>
      <c r="W96">
        <f>HYPERLINK("https://klasma.github.io/Logging_0980/klagomålsmail/A 48126-2022 FSC-klagomål mail.docx", "A 48126-2022")</f>
        <v/>
      </c>
      <c r="X96">
        <f>HYPERLINK("https://klasma.github.io/Logging_0980/tillsyn/A 48126-2022 tillsynsbegäran.docx", "A 48126-2022")</f>
        <v/>
      </c>
      <c r="Y96">
        <f>HYPERLINK("https://klasma.github.io/Logging_0980/tillsynsmail/A 48126-2022 tillsynsbegäran mail.docx", "A 48126-2022")</f>
        <v/>
      </c>
      <c r="Z96">
        <f>HYPERLINK("https://klasma.github.io/Logging_0980/fåglar/A 48126-2022 prioriterade fågelarter.docx", "A 48126-2022")</f>
        <v/>
      </c>
    </row>
    <row r="97" ht="15" customHeight="1">
      <c r="A97" t="inlineStr">
        <is>
          <t>A 13499-2022</t>
        </is>
      </c>
      <c r="B97" s="1" t="n">
        <v>44647.79203703703</v>
      </c>
      <c r="C97" s="1" t="n">
        <v>46183</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12315-2024</t>
        </is>
      </c>
      <c r="B98" s="1" t="n">
        <v>45378.6434837963</v>
      </c>
      <c r="C98" s="1" t="n">
        <v>46183</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43013-2022</t>
        </is>
      </c>
      <c r="B99" s="1" t="n">
        <v>44833</v>
      </c>
      <c r="C99" s="1" t="n">
        <v>46183</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46183</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49709-2025</t>
        </is>
      </c>
      <c r="B101" s="1" t="n">
        <v>45939.68228009259</v>
      </c>
      <c r="C101" s="1" t="n">
        <v>46183</v>
      </c>
      <c r="D101" t="inlineStr">
        <is>
          <t>GOTLANDS LÄN</t>
        </is>
      </c>
      <c r="E101" t="inlineStr">
        <is>
          <t>GOTLAND</t>
        </is>
      </c>
      <c r="G101" t="n">
        <v>10.2</v>
      </c>
      <c r="H101" t="n">
        <v>0</v>
      </c>
      <c r="I101" t="n">
        <v>2</v>
      </c>
      <c r="J101" t="n">
        <v>1</v>
      </c>
      <c r="K101" t="n">
        <v>0</v>
      </c>
      <c r="L101" t="n">
        <v>0</v>
      </c>
      <c r="M101" t="n">
        <v>0</v>
      </c>
      <c r="N101" t="n">
        <v>0</v>
      </c>
      <c r="O101" t="n">
        <v>1</v>
      </c>
      <c r="P101" t="n">
        <v>0</v>
      </c>
      <c r="Q101" t="n">
        <v>3</v>
      </c>
      <c r="R101" s="2" t="inlineStr">
        <is>
          <t>Tallticka
Blåmossa
Grovticka</t>
        </is>
      </c>
      <c r="S101">
        <f>HYPERLINK("https://klasma.github.io/Logging_0980/artfynd/A 49709-2025 artfynd.xlsx", "A 49709-2025")</f>
        <v/>
      </c>
      <c r="T101">
        <f>HYPERLINK("https://klasma.github.io/Logging_0980/kartor/A 49709-2025 karta.png", "A 49709-2025")</f>
        <v/>
      </c>
      <c r="V101">
        <f>HYPERLINK("https://klasma.github.io/Logging_0980/klagomål/A 49709-2025 FSC-klagomål.docx", "A 49709-2025")</f>
        <v/>
      </c>
      <c r="W101">
        <f>HYPERLINK("https://klasma.github.io/Logging_0980/klagomålsmail/A 49709-2025 FSC-klagomål mail.docx", "A 49709-2025")</f>
        <v/>
      </c>
      <c r="X101">
        <f>HYPERLINK("https://klasma.github.io/Logging_0980/tillsyn/A 49709-2025 tillsynsbegäran.docx", "A 49709-2025")</f>
        <v/>
      </c>
      <c r="Y101">
        <f>HYPERLINK("https://klasma.github.io/Logging_0980/tillsynsmail/A 49709-2025 tillsynsbegäran mail.docx", "A 49709-2025")</f>
        <v/>
      </c>
    </row>
    <row r="102" ht="15" customHeight="1">
      <c r="A102" t="inlineStr">
        <is>
          <t>A 53552-2021</t>
        </is>
      </c>
      <c r="B102" s="1" t="n">
        <v>44468</v>
      </c>
      <c r="C102" s="1" t="n">
        <v>46183</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73144-2021</t>
        </is>
      </c>
      <c r="B103" s="1" t="n">
        <v>44550</v>
      </c>
      <c r="C103" s="1" t="n">
        <v>46183</v>
      </c>
      <c r="D103" t="inlineStr">
        <is>
          <t>GOTLANDS LÄN</t>
        </is>
      </c>
      <c r="E103" t="inlineStr">
        <is>
          <t>GOTLAND</t>
        </is>
      </c>
      <c r="G103" t="n">
        <v>1.9</v>
      </c>
      <c r="H103" t="n">
        <v>0</v>
      </c>
      <c r="I103" t="n">
        <v>1</v>
      </c>
      <c r="J103" t="n">
        <v>1</v>
      </c>
      <c r="K103" t="n">
        <v>1</v>
      </c>
      <c r="L103" t="n">
        <v>0</v>
      </c>
      <c r="M103" t="n">
        <v>0</v>
      </c>
      <c r="N103" t="n">
        <v>0</v>
      </c>
      <c r="O103" t="n">
        <v>2</v>
      </c>
      <c r="P103" t="n">
        <v>1</v>
      </c>
      <c r="Q103" t="n">
        <v>3</v>
      </c>
      <c r="R103" s="2" t="inlineStr">
        <is>
          <t>Skogskorn
Igelkott
Kambräken</t>
        </is>
      </c>
      <c r="S103">
        <f>HYPERLINK("https://klasma.github.io/Logging_0980/artfynd/A 73144-2021 artfynd.xlsx", "A 73144-2021")</f>
        <v/>
      </c>
      <c r="T103">
        <f>HYPERLINK("https://klasma.github.io/Logging_0980/kartor/A 73144-2021 karta.png", "A 73144-2021")</f>
        <v/>
      </c>
      <c r="V103">
        <f>HYPERLINK("https://klasma.github.io/Logging_0980/klagomål/A 73144-2021 FSC-klagomål.docx", "A 73144-2021")</f>
        <v/>
      </c>
      <c r="W103">
        <f>HYPERLINK("https://klasma.github.io/Logging_0980/klagomålsmail/A 73144-2021 FSC-klagomål mail.docx", "A 73144-2021")</f>
        <v/>
      </c>
      <c r="X103">
        <f>HYPERLINK("https://klasma.github.io/Logging_0980/tillsyn/A 73144-2021 tillsynsbegäran.docx", "A 73144-2021")</f>
        <v/>
      </c>
      <c r="Y103">
        <f>HYPERLINK("https://klasma.github.io/Logging_0980/tillsynsmail/A 73144-2021 tillsynsbegäran mail.docx", "A 73144-2021")</f>
        <v/>
      </c>
    </row>
    <row r="104" ht="15" customHeight="1">
      <c r="A104" t="inlineStr">
        <is>
          <t>A 20831-2024</t>
        </is>
      </c>
      <c r="B104" s="1" t="n">
        <v>45439</v>
      </c>
      <c r="C104" s="1" t="n">
        <v>46183</v>
      </c>
      <c r="D104" t="inlineStr">
        <is>
          <t>GOTLANDS LÄN</t>
        </is>
      </c>
      <c r="E104" t="inlineStr">
        <is>
          <t>GOTLAND</t>
        </is>
      </c>
      <c r="G104" t="n">
        <v>2.9</v>
      </c>
      <c r="H104" t="n">
        <v>2</v>
      </c>
      <c r="I104" t="n">
        <v>1</v>
      </c>
      <c r="J104" t="n">
        <v>2</v>
      </c>
      <c r="K104" t="n">
        <v>0</v>
      </c>
      <c r="L104" t="n">
        <v>0</v>
      </c>
      <c r="M104" t="n">
        <v>0</v>
      </c>
      <c r="N104" t="n">
        <v>0</v>
      </c>
      <c r="O104" t="n">
        <v>2</v>
      </c>
      <c r="P104" t="n">
        <v>0</v>
      </c>
      <c r="Q104" t="n">
        <v>3</v>
      </c>
      <c r="R104" s="2" t="inlineStr">
        <is>
          <t>Dårgräsfjäril
Svinrot
Skogsknipprot</t>
        </is>
      </c>
      <c r="S104">
        <f>HYPERLINK("https://klasma.github.io/Logging_0980/artfynd/A 20831-2024 artfynd.xlsx", "A 20831-2024")</f>
        <v/>
      </c>
      <c r="T104">
        <f>HYPERLINK("https://klasma.github.io/Logging_0980/kartor/A 20831-2024 karta.png", "A 20831-2024")</f>
        <v/>
      </c>
      <c r="V104">
        <f>HYPERLINK("https://klasma.github.io/Logging_0980/klagomål/A 20831-2024 FSC-klagomål.docx", "A 20831-2024")</f>
        <v/>
      </c>
      <c r="W104">
        <f>HYPERLINK("https://klasma.github.io/Logging_0980/klagomålsmail/A 20831-2024 FSC-klagomål mail.docx", "A 20831-2024")</f>
        <v/>
      </c>
      <c r="X104">
        <f>HYPERLINK("https://klasma.github.io/Logging_0980/tillsyn/A 20831-2024 tillsynsbegäran.docx", "A 20831-2024")</f>
        <v/>
      </c>
      <c r="Y104">
        <f>HYPERLINK("https://klasma.github.io/Logging_0980/tillsynsmail/A 20831-2024 tillsynsbegäran mail.docx", "A 20831-2024")</f>
        <v/>
      </c>
    </row>
    <row r="105" ht="15" customHeight="1">
      <c r="A105" t="inlineStr">
        <is>
          <t>A 29870-2021</t>
        </is>
      </c>
      <c r="B105" s="1" t="n">
        <v>44362</v>
      </c>
      <c r="C105" s="1" t="n">
        <v>46183</v>
      </c>
      <c r="D105" t="inlineStr">
        <is>
          <t>GOTLANDS LÄN</t>
        </is>
      </c>
      <c r="E105" t="inlineStr">
        <is>
          <t>GOTLAND</t>
        </is>
      </c>
      <c r="G105" t="n">
        <v>2.4</v>
      </c>
      <c r="H105" t="n">
        <v>0</v>
      </c>
      <c r="I105" t="n">
        <v>1</v>
      </c>
      <c r="J105" t="n">
        <v>0</v>
      </c>
      <c r="K105" t="n">
        <v>1</v>
      </c>
      <c r="L105" t="n">
        <v>0</v>
      </c>
      <c r="M105" t="n">
        <v>0</v>
      </c>
      <c r="N105" t="n">
        <v>0</v>
      </c>
      <c r="O105" t="n">
        <v>1</v>
      </c>
      <c r="P105" t="n">
        <v>1</v>
      </c>
      <c r="Q105" t="n">
        <v>2</v>
      </c>
      <c r="R105" s="2" t="inlineStr">
        <is>
          <t>Blåfotad fagerspindling
Olivspindling</t>
        </is>
      </c>
      <c r="S105">
        <f>HYPERLINK("https://klasma.github.io/Logging_0980/artfynd/A 29870-2021 artfynd.xlsx", "A 29870-2021")</f>
        <v/>
      </c>
      <c r="T105">
        <f>HYPERLINK("https://klasma.github.io/Logging_0980/kartor/A 29870-2021 karta.png", "A 29870-2021")</f>
        <v/>
      </c>
      <c r="V105">
        <f>HYPERLINK("https://klasma.github.io/Logging_0980/klagomål/A 29870-2021 FSC-klagomål.docx", "A 29870-2021")</f>
        <v/>
      </c>
      <c r="W105">
        <f>HYPERLINK("https://klasma.github.io/Logging_0980/klagomålsmail/A 29870-2021 FSC-klagomål mail.docx", "A 29870-2021")</f>
        <v/>
      </c>
      <c r="X105">
        <f>HYPERLINK("https://klasma.github.io/Logging_0980/tillsyn/A 29870-2021 tillsynsbegäran.docx", "A 29870-2021")</f>
        <v/>
      </c>
      <c r="Y105">
        <f>HYPERLINK("https://klasma.github.io/Logging_0980/tillsynsmail/A 29870-2021 tillsynsbegäran mail.docx", "A 29870-2021")</f>
        <v/>
      </c>
    </row>
    <row r="106" ht="15" customHeight="1">
      <c r="A106" t="inlineStr">
        <is>
          <t>A 60665-2021</t>
        </is>
      </c>
      <c r="B106" s="1" t="n">
        <v>44496</v>
      </c>
      <c r="C106" s="1" t="n">
        <v>46183</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46183</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54357-2024</t>
        </is>
      </c>
      <c r="B108" s="1" t="n">
        <v>45617.40662037037</v>
      </c>
      <c r="C108" s="1" t="n">
        <v>46183</v>
      </c>
      <c r="D108" t="inlineStr">
        <is>
          <t>GOTLANDS LÄN</t>
        </is>
      </c>
      <c r="E108" t="inlineStr">
        <is>
          <t>GOTLAND</t>
        </is>
      </c>
      <c r="G108" t="n">
        <v>1.5</v>
      </c>
      <c r="H108" t="n">
        <v>1</v>
      </c>
      <c r="I108" t="n">
        <v>0</v>
      </c>
      <c r="J108" t="n">
        <v>1</v>
      </c>
      <c r="K108" t="n">
        <v>0</v>
      </c>
      <c r="L108" t="n">
        <v>0</v>
      </c>
      <c r="M108" t="n">
        <v>0</v>
      </c>
      <c r="N108" t="n">
        <v>0</v>
      </c>
      <c r="O108" t="n">
        <v>1</v>
      </c>
      <c r="P108" t="n">
        <v>0</v>
      </c>
      <c r="Q108" t="n">
        <v>2</v>
      </c>
      <c r="R108" s="2" t="inlineStr">
        <is>
          <t>Loppstarr
Fläcknycklar</t>
        </is>
      </c>
      <c r="S108">
        <f>HYPERLINK("https://klasma.github.io/Logging_0980/artfynd/A 54357-2024 artfynd.xlsx", "A 54357-2024")</f>
        <v/>
      </c>
      <c r="T108">
        <f>HYPERLINK("https://klasma.github.io/Logging_0980/kartor/A 54357-2024 karta.png", "A 54357-2024")</f>
        <v/>
      </c>
      <c r="V108">
        <f>HYPERLINK("https://klasma.github.io/Logging_0980/klagomål/A 54357-2024 FSC-klagomål.docx", "A 54357-2024")</f>
        <v/>
      </c>
      <c r="W108">
        <f>HYPERLINK("https://klasma.github.io/Logging_0980/klagomålsmail/A 54357-2024 FSC-klagomål mail.docx", "A 54357-2024")</f>
        <v/>
      </c>
      <c r="X108">
        <f>HYPERLINK("https://klasma.github.io/Logging_0980/tillsyn/A 54357-2024 tillsynsbegäran.docx", "A 54357-2024")</f>
        <v/>
      </c>
      <c r="Y108">
        <f>HYPERLINK("https://klasma.github.io/Logging_0980/tillsynsmail/A 54357-2024 tillsynsbegäran mail.docx", "A 54357-2024")</f>
        <v/>
      </c>
    </row>
    <row r="109" ht="15" customHeight="1">
      <c r="A109" t="inlineStr">
        <is>
          <t>A 26077-2024</t>
        </is>
      </c>
      <c r="B109" s="1" t="n">
        <v>45467</v>
      </c>
      <c r="C109" s="1" t="n">
        <v>46183</v>
      </c>
      <c r="D109" t="inlineStr">
        <is>
          <t>GOTLANDS LÄN</t>
        </is>
      </c>
      <c r="E109" t="inlineStr">
        <is>
          <t>GOTLAND</t>
        </is>
      </c>
      <c r="G109" t="n">
        <v>4.6</v>
      </c>
      <c r="H109" t="n">
        <v>0</v>
      </c>
      <c r="I109" t="n">
        <v>0</v>
      </c>
      <c r="J109" t="n">
        <v>1</v>
      </c>
      <c r="K109" t="n">
        <v>0</v>
      </c>
      <c r="L109" t="n">
        <v>1</v>
      </c>
      <c r="M109" t="n">
        <v>0</v>
      </c>
      <c r="N109" t="n">
        <v>0</v>
      </c>
      <c r="O109" t="n">
        <v>2</v>
      </c>
      <c r="P109" t="n">
        <v>1</v>
      </c>
      <c r="Q109" t="n">
        <v>2</v>
      </c>
      <c r="R109" s="2" t="inlineStr">
        <is>
          <t>Ask
Tallticka</t>
        </is>
      </c>
      <c r="S109">
        <f>HYPERLINK("https://klasma.github.io/Logging_0980/artfynd/A 26077-2024 artfynd.xlsx", "A 26077-2024")</f>
        <v/>
      </c>
      <c r="T109">
        <f>HYPERLINK("https://klasma.github.io/Logging_0980/kartor/A 26077-2024 karta.png", "A 26077-2024")</f>
        <v/>
      </c>
      <c r="V109">
        <f>HYPERLINK("https://klasma.github.io/Logging_0980/klagomål/A 26077-2024 FSC-klagomål.docx", "A 26077-2024")</f>
        <v/>
      </c>
      <c r="W109">
        <f>HYPERLINK("https://klasma.github.io/Logging_0980/klagomålsmail/A 26077-2024 FSC-klagomål mail.docx", "A 26077-2024")</f>
        <v/>
      </c>
      <c r="X109">
        <f>HYPERLINK("https://klasma.github.io/Logging_0980/tillsyn/A 26077-2024 tillsynsbegäran.docx", "A 26077-2024")</f>
        <v/>
      </c>
      <c r="Y109">
        <f>HYPERLINK("https://klasma.github.io/Logging_0980/tillsynsmail/A 26077-2024 tillsynsbegäran mail.docx", "A 26077-2024")</f>
        <v/>
      </c>
    </row>
    <row r="110" ht="15" customHeight="1">
      <c r="A110" t="inlineStr">
        <is>
          <t>A 7070-2022</t>
        </is>
      </c>
      <c r="B110" s="1" t="n">
        <v>44603</v>
      </c>
      <c r="C110" s="1" t="n">
        <v>46183</v>
      </c>
      <c r="D110" t="inlineStr">
        <is>
          <t>GOTLANDS LÄN</t>
        </is>
      </c>
      <c r="E110" t="inlineStr">
        <is>
          <t>GOTLAND</t>
        </is>
      </c>
      <c r="G110" t="n">
        <v>2.6</v>
      </c>
      <c r="H110" t="n">
        <v>0</v>
      </c>
      <c r="I110" t="n">
        <v>2</v>
      </c>
      <c r="J110" t="n">
        <v>0</v>
      </c>
      <c r="K110" t="n">
        <v>0</v>
      </c>
      <c r="L110" t="n">
        <v>0</v>
      </c>
      <c r="M110" t="n">
        <v>0</v>
      </c>
      <c r="N110" t="n">
        <v>0</v>
      </c>
      <c r="O110" t="n">
        <v>0</v>
      </c>
      <c r="P110" t="n">
        <v>0</v>
      </c>
      <c r="Q110" t="n">
        <v>2</v>
      </c>
      <c r="R110" s="2" t="inlineStr">
        <is>
          <t>Blåmossa
Kattfotslav</t>
        </is>
      </c>
      <c r="S110">
        <f>HYPERLINK("https://klasma.github.io/Logging_0980/artfynd/A 7070-2022 artfynd.xlsx", "A 7070-2022")</f>
        <v/>
      </c>
      <c r="T110">
        <f>HYPERLINK("https://klasma.github.io/Logging_0980/kartor/A 7070-2022 karta.png", "A 7070-2022")</f>
        <v/>
      </c>
      <c r="V110">
        <f>HYPERLINK("https://klasma.github.io/Logging_0980/klagomål/A 7070-2022 FSC-klagomål.docx", "A 7070-2022")</f>
        <v/>
      </c>
      <c r="W110">
        <f>HYPERLINK("https://klasma.github.io/Logging_0980/klagomålsmail/A 7070-2022 FSC-klagomål mail.docx", "A 7070-2022")</f>
        <v/>
      </c>
      <c r="X110">
        <f>HYPERLINK("https://klasma.github.io/Logging_0980/tillsyn/A 7070-2022 tillsynsbegäran.docx", "A 7070-2022")</f>
        <v/>
      </c>
      <c r="Y110">
        <f>HYPERLINK("https://klasma.github.io/Logging_0980/tillsynsmail/A 7070-2022 tillsynsbegäran mail.docx", "A 7070-2022")</f>
        <v/>
      </c>
    </row>
    <row r="111" ht="15" customHeight="1">
      <c r="A111" t="inlineStr">
        <is>
          <t>A 43219-2023</t>
        </is>
      </c>
      <c r="B111" s="1" t="n">
        <v>45183</v>
      </c>
      <c r="C111" s="1" t="n">
        <v>46183</v>
      </c>
      <c r="D111" t="inlineStr">
        <is>
          <t>GOTLANDS LÄN</t>
        </is>
      </c>
      <c r="E111" t="inlineStr">
        <is>
          <t>GOTLAND</t>
        </is>
      </c>
      <c r="G111" t="n">
        <v>3.6</v>
      </c>
      <c r="H111" t="n">
        <v>1</v>
      </c>
      <c r="I111" t="n">
        <v>0</v>
      </c>
      <c r="J111" t="n">
        <v>1</v>
      </c>
      <c r="K111" t="n">
        <v>0</v>
      </c>
      <c r="L111" t="n">
        <v>0</v>
      </c>
      <c r="M111" t="n">
        <v>0</v>
      </c>
      <c r="N111" t="n">
        <v>0</v>
      </c>
      <c r="O111" t="n">
        <v>1</v>
      </c>
      <c r="P111" t="n">
        <v>0</v>
      </c>
      <c r="Q111" t="n">
        <v>2</v>
      </c>
      <c r="R111" s="2" t="inlineStr">
        <is>
          <t>Axveronika
Skogsduva</t>
        </is>
      </c>
      <c r="S111">
        <f>HYPERLINK("https://klasma.github.io/Logging_0980/artfynd/A 43219-2023 artfynd.xlsx", "A 43219-2023")</f>
        <v/>
      </c>
      <c r="T111">
        <f>HYPERLINK("https://klasma.github.io/Logging_0980/kartor/A 43219-2023 karta.png", "A 43219-2023")</f>
        <v/>
      </c>
      <c r="V111">
        <f>HYPERLINK("https://klasma.github.io/Logging_0980/klagomål/A 43219-2023 FSC-klagomål.docx", "A 43219-2023")</f>
        <v/>
      </c>
      <c r="W111">
        <f>HYPERLINK("https://klasma.github.io/Logging_0980/klagomålsmail/A 43219-2023 FSC-klagomål mail.docx", "A 43219-2023")</f>
        <v/>
      </c>
      <c r="X111">
        <f>HYPERLINK("https://klasma.github.io/Logging_0980/tillsyn/A 43219-2023 tillsynsbegäran.docx", "A 43219-2023")</f>
        <v/>
      </c>
      <c r="Y111">
        <f>HYPERLINK("https://klasma.github.io/Logging_0980/tillsynsmail/A 43219-2023 tillsynsbegäran mail.docx", "A 43219-2023")</f>
        <v/>
      </c>
      <c r="Z111">
        <f>HYPERLINK("https://klasma.github.io/Logging_0980/fåglar/A 43219-2023 prioriterade fågelarter.docx", "A 43219-2023")</f>
        <v/>
      </c>
    </row>
    <row r="112" ht="15" customHeight="1">
      <c r="A112" t="inlineStr">
        <is>
          <t>A 12914-2025</t>
        </is>
      </c>
      <c r="B112" s="1" t="n">
        <v>45733</v>
      </c>
      <c r="C112" s="1" t="n">
        <v>46183</v>
      </c>
      <c r="D112" t="inlineStr">
        <is>
          <t>GOTLANDS LÄN</t>
        </is>
      </c>
      <c r="E112" t="inlineStr">
        <is>
          <t>GOTLAND</t>
        </is>
      </c>
      <c r="G112" t="n">
        <v>24.8</v>
      </c>
      <c r="H112" t="n">
        <v>2</v>
      </c>
      <c r="I112" t="n">
        <v>1</v>
      </c>
      <c r="J112" t="n">
        <v>0</v>
      </c>
      <c r="K112" t="n">
        <v>0</v>
      </c>
      <c r="L112" t="n">
        <v>0</v>
      </c>
      <c r="M112" t="n">
        <v>0</v>
      </c>
      <c r="N112" t="n">
        <v>0</v>
      </c>
      <c r="O112" t="n">
        <v>0</v>
      </c>
      <c r="P112" t="n">
        <v>0</v>
      </c>
      <c r="Q112" t="n">
        <v>2</v>
      </c>
      <c r="R112" s="2" t="inlineStr">
        <is>
          <t>Purpurknipprot
Brudsporre</t>
        </is>
      </c>
      <c r="S112">
        <f>HYPERLINK("https://klasma.github.io/Logging_0980/artfynd/A 12914-2025 artfynd.xlsx", "A 12914-2025")</f>
        <v/>
      </c>
      <c r="T112">
        <f>HYPERLINK("https://klasma.github.io/Logging_0980/kartor/A 12914-2025 karta.png", "A 12914-2025")</f>
        <v/>
      </c>
      <c r="V112">
        <f>HYPERLINK("https://klasma.github.io/Logging_0980/klagomål/A 12914-2025 FSC-klagomål.docx", "A 12914-2025")</f>
        <v/>
      </c>
      <c r="W112">
        <f>HYPERLINK("https://klasma.github.io/Logging_0980/klagomålsmail/A 12914-2025 FSC-klagomål mail.docx", "A 12914-2025")</f>
        <v/>
      </c>
      <c r="X112">
        <f>HYPERLINK("https://klasma.github.io/Logging_0980/tillsyn/A 12914-2025 tillsynsbegäran.docx", "A 12914-2025")</f>
        <v/>
      </c>
      <c r="Y112">
        <f>HYPERLINK("https://klasma.github.io/Logging_0980/tillsynsmail/A 12914-2025 tillsynsbegäran mail.docx", "A 12914-2025")</f>
        <v/>
      </c>
    </row>
    <row r="113" ht="15" customHeight="1">
      <c r="A113" t="inlineStr">
        <is>
          <t>A 28261-2024</t>
        </is>
      </c>
      <c r="B113" s="1" t="n">
        <v>45477</v>
      </c>
      <c r="C113" s="1" t="n">
        <v>46183</v>
      </c>
      <c r="D113" t="inlineStr">
        <is>
          <t>GOTLANDS LÄN</t>
        </is>
      </c>
      <c r="E113" t="inlineStr">
        <is>
          <t>GOTLAND</t>
        </is>
      </c>
      <c r="G113" t="n">
        <v>22.8</v>
      </c>
      <c r="H113" t="n">
        <v>0</v>
      </c>
      <c r="I113" t="n">
        <v>0</v>
      </c>
      <c r="J113" t="n">
        <v>2</v>
      </c>
      <c r="K113" t="n">
        <v>0</v>
      </c>
      <c r="L113" t="n">
        <v>0</v>
      </c>
      <c r="M113" t="n">
        <v>0</v>
      </c>
      <c r="N113" t="n">
        <v>0</v>
      </c>
      <c r="O113" t="n">
        <v>2</v>
      </c>
      <c r="P113" t="n">
        <v>0</v>
      </c>
      <c r="Q113" t="n">
        <v>2</v>
      </c>
      <c r="R113" s="2" t="inlineStr">
        <is>
          <t>Grådådra
Åkerkulla</t>
        </is>
      </c>
      <c r="S113">
        <f>HYPERLINK("https://klasma.github.io/Logging_0980/artfynd/A 28261-2024 artfynd.xlsx", "A 28261-2024")</f>
        <v/>
      </c>
      <c r="T113">
        <f>HYPERLINK("https://klasma.github.io/Logging_0980/kartor/A 28261-2024 karta.png", "A 28261-2024")</f>
        <v/>
      </c>
      <c r="V113">
        <f>HYPERLINK("https://klasma.github.io/Logging_0980/klagomål/A 28261-2024 FSC-klagomål.docx", "A 28261-2024")</f>
        <v/>
      </c>
      <c r="W113">
        <f>HYPERLINK("https://klasma.github.io/Logging_0980/klagomålsmail/A 28261-2024 FSC-klagomål mail.docx", "A 28261-2024")</f>
        <v/>
      </c>
      <c r="X113">
        <f>HYPERLINK("https://klasma.github.io/Logging_0980/tillsyn/A 28261-2024 tillsynsbegäran.docx", "A 28261-2024")</f>
        <v/>
      </c>
      <c r="Y113">
        <f>HYPERLINK("https://klasma.github.io/Logging_0980/tillsynsmail/A 28261-2024 tillsynsbegäran mail.docx", "A 28261-2024")</f>
        <v/>
      </c>
    </row>
    <row r="114" ht="15" customHeight="1">
      <c r="A114" t="inlineStr">
        <is>
          <t>A 55649-2024</t>
        </is>
      </c>
      <c r="B114" s="1" t="n">
        <v>45622.63053240741</v>
      </c>
      <c r="C114" s="1" t="n">
        <v>46183</v>
      </c>
      <c r="D114" t="inlineStr">
        <is>
          <t>GOTLANDS LÄN</t>
        </is>
      </c>
      <c r="E114" t="inlineStr">
        <is>
          <t>GOTLAND</t>
        </is>
      </c>
      <c r="G114" t="n">
        <v>4.6</v>
      </c>
      <c r="H114" t="n">
        <v>2</v>
      </c>
      <c r="I114" t="n">
        <v>0</v>
      </c>
      <c r="J114" t="n">
        <v>0</v>
      </c>
      <c r="K114" t="n">
        <v>0</v>
      </c>
      <c r="L114" t="n">
        <v>0</v>
      </c>
      <c r="M114" t="n">
        <v>0</v>
      </c>
      <c r="N114" t="n">
        <v>0</v>
      </c>
      <c r="O114" t="n">
        <v>0</v>
      </c>
      <c r="P114" t="n">
        <v>0</v>
      </c>
      <c r="Q114" t="n">
        <v>2</v>
      </c>
      <c r="R114" s="2" t="inlineStr">
        <is>
          <t>Sankt pers nycklar
Blåsippa</t>
        </is>
      </c>
      <c r="S114">
        <f>HYPERLINK("https://klasma.github.io/Logging_0980/artfynd/A 55649-2024 artfynd.xlsx", "A 55649-2024")</f>
        <v/>
      </c>
      <c r="T114">
        <f>HYPERLINK("https://klasma.github.io/Logging_0980/kartor/A 55649-2024 karta.png", "A 55649-2024")</f>
        <v/>
      </c>
      <c r="V114">
        <f>HYPERLINK("https://klasma.github.io/Logging_0980/klagomål/A 55649-2024 FSC-klagomål.docx", "A 55649-2024")</f>
        <v/>
      </c>
      <c r="W114">
        <f>HYPERLINK("https://klasma.github.io/Logging_0980/klagomålsmail/A 55649-2024 FSC-klagomål mail.docx", "A 55649-2024")</f>
        <v/>
      </c>
      <c r="X114">
        <f>HYPERLINK("https://klasma.github.io/Logging_0980/tillsyn/A 55649-2024 tillsynsbegäran.docx", "A 55649-2024")</f>
        <v/>
      </c>
      <c r="Y114">
        <f>HYPERLINK("https://klasma.github.io/Logging_0980/tillsynsmail/A 55649-2024 tillsynsbegäran mail.docx", "A 55649-2024")</f>
        <v/>
      </c>
    </row>
    <row r="115" ht="15" customHeight="1">
      <c r="A115" t="inlineStr">
        <is>
          <t>A 20429-2025</t>
        </is>
      </c>
      <c r="B115" s="1" t="n">
        <v>45775.47728009259</v>
      </c>
      <c r="C115" s="1" t="n">
        <v>46183</v>
      </c>
      <c r="D115" t="inlineStr">
        <is>
          <t>GOTLANDS LÄN</t>
        </is>
      </c>
      <c r="E115" t="inlineStr">
        <is>
          <t>GOTLAND</t>
        </is>
      </c>
      <c r="G115" t="n">
        <v>1.4</v>
      </c>
      <c r="H115" t="n">
        <v>2</v>
      </c>
      <c r="I115" t="n">
        <v>0</v>
      </c>
      <c r="J115" t="n">
        <v>0</v>
      </c>
      <c r="K115" t="n">
        <v>0</v>
      </c>
      <c r="L115" t="n">
        <v>0</v>
      </c>
      <c r="M115" t="n">
        <v>0</v>
      </c>
      <c r="N115" t="n">
        <v>0</v>
      </c>
      <c r="O115" t="n">
        <v>0</v>
      </c>
      <c r="P115" t="n">
        <v>0</v>
      </c>
      <c r="Q115" t="n">
        <v>2</v>
      </c>
      <c r="R115" s="2" t="inlineStr">
        <is>
          <t>Lopplummer (aggregat)
Äkta lopplummer</t>
        </is>
      </c>
      <c r="S115">
        <f>HYPERLINK("https://klasma.github.io/Logging_0980/artfynd/A 20429-2025 artfynd.xlsx", "A 20429-2025")</f>
        <v/>
      </c>
      <c r="T115">
        <f>HYPERLINK("https://klasma.github.io/Logging_0980/kartor/A 20429-2025 karta.png", "A 20429-2025")</f>
        <v/>
      </c>
      <c r="V115">
        <f>HYPERLINK("https://klasma.github.io/Logging_0980/klagomål/A 20429-2025 FSC-klagomål.docx", "A 20429-2025")</f>
        <v/>
      </c>
      <c r="W115">
        <f>HYPERLINK("https://klasma.github.io/Logging_0980/klagomålsmail/A 20429-2025 FSC-klagomål mail.docx", "A 20429-2025")</f>
        <v/>
      </c>
      <c r="X115">
        <f>HYPERLINK("https://klasma.github.io/Logging_0980/tillsyn/A 20429-2025 tillsynsbegäran.docx", "A 20429-2025")</f>
        <v/>
      </c>
      <c r="Y115">
        <f>HYPERLINK("https://klasma.github.io/Logging_0980/tillsynsmail/A 20429-2025 tillsynsbegäran mail.docx", "A 20429-2025")</f>
        <v/>
      </c>
    </row>
    <row r="116" ht="15" customHeight="1">
      <c r="A116" t="inlineStr">
        <is>
          <t>A 20838-2024</t>
        </is>
      </c>
      <c r="B116" s="1" t="n">
        <v>45439</v>
      </c>
      <c r="C116" s="1" t="n">
        <v>46183</v>
      </c>
      <c r="D116" t="inlineStr">
        <is>
          <t>GOTLANDS LÄN</t>
        </is>
      </c>
      <c r="E116" t="inlineStr">
        <is>
          <t>GOTLAND</t>
        </is>
      </c>
      <c r="G116" t="n">
        <v>0.7</v>
      </c>
      <c r="H116" t="n">
        <v>2</v>
      </c>
      <c r="I116" t="n">
        <v>1</v>
      </c>
      <c r="J116" t="n">
        <v>1</v>
      </c>
      <c r="K116" t="n">
        <v>0</v>
      </c>
      <c r="L116" t="n">
        <v>0</v>
      </c>
      <c r="M116" t="n">
        <v>0</v>
      </c>
      <c r="N116" t="n">
        <v>0</v>
      </c>
      <c r="O116" t="n">
        <v>1</v>
      </c>
      <c r="P116" t="n">
        <v>0</v>
      </c>
      <c r="Q116" t="n">
        <v>2</v>
      </c>
      <c r="R116" s="2" t="inlineStr">
        <is>
          <t>Spillkråka
Skogsknipprot</t>
        </is>
      </c>
      <c r="S116">
        <f>HYPERLINK("https://klasma.github.io/Logging_0980/artfynd/A 20838-2024 artfynd.xlsx", "A 20838-2024")</f>
        <v/>
      </c>
      <c r="T116">
        <f>HYPERLINK("https://klasma.github.io/Logging_0980/kartor/A 20838-2024 karta.png", "A 20838-2024")</f>
        <v/>
      </c>
      <c r="V116">
        <f>HYPERLINK("https://klasma.github.io/Logging_0980/klagomål/A 20838-2024 FSC-klagomål.docx", "A 20838-2024")</f>
        <v/>
      </c>
      <c r="W116">
        <f>HYPERLINK("https://klasma.github.io/Logging_0980/klagomålsmail/A 20838-2024 FSC-klagomål mail.docx", "A 20838-2024")</f>
        <v/>
      </c>
      <c r="X116">
        <f>HYPERLINK("https://klasma.github.io/Logging_0980/tillsyn/A 20838-2024 tillsynsbegäran.docx", "A 20838-2024")</f>
        <v/>
      </c>
      <c r="Y116">
        <f>HYPERLINK("https://klasma.github.io/Logging_0980/tillsynsmail/A 20838-2024 tillsynsbegäran mail.docx", "A 20838-2024")</f>
        <v/>
      </c>
      <c r="Z116">
        <f>HYPERLINK("https://klasma.github.io/Logging_0980/fåglar/A 20838-2024 prioriterade fågelarter.docx", "A 20838-2024")</f>
        <v/>
      </c>
    </row>
    <row r="117" ht="15" customHeight="1">
      <c r="A117" t="inlineStr">
        <is>
          <t>A 28276-2024</t>
        </is>
      </c>
      <c r="B117" s="1" t="n">
        <v>45477</v>
      </c>
      <c r="C117" s="1" t="n">
        <v>46183</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28276-2024 artfynd.xlsx", "A 28276-2024")</f>
        <v/>
      </c>
      <c r="T117">
        <f>HYPERLINK("https://klasma.github.io/Logging_0980/kartor/A 28276-2024 karta.png", "A 28276-2024")</f>
        <v/>
      </c>
      <c r="V117">
        <f>HYPERLINK("https://klasma.github.io/Logging_0980/klagomål/A 28276-2024 FSC-klagomål.docx", "A 28276-2024")</f>
        <v/>
      </c>
      <c r="W117">
        <f>HYPERLINK("https://klasma.github.io/Logging_0980/klagomålsmail/A 28276-2024 FSC-klagomål mail.docx", "A 28276-2024")</f>
        <v/>
      </c>
      <c r="X117">
        <f>HYPERLINK("https://klasma.github.io/Logging_0980/tillsyn/A 28276-2024 tillsynsbegäran.docx", "A 28276-2024")</f>
        <v/>
      </c>
      <c r="Y117">
        <f>HYPERLINK("https://klasma.github.io/Logging_0980/tillsynsmail/A 28276-2024 tillsynsbegäran mail.docx", "A 28276-2024")</f>
        <v/>
      </c>
    </row>
    <row r="118" ht="15" customHeight="1">
      <c r="A118" t="inlineStr">
        <is>
          <t>A 62760-2025</t>
        </is>
      </c>
      <c r="B118" s="1" t="n">
        <v>46008</v>
      </c>
      <c r="C118" s="1" t="n">
        <v>46183</v>
      </c>
      <c r="D118" t="inlineStr">
        <is>
          <t>GOTLANDS LÄN</t>
        </is>
      </c>
      <c r="E118" t="inlineStr">
        <is>
          <t>GOTLAND</t>
        </is>
      </c>
      <c r="F118" t="inlineStr">
        <is>
          <t>Övriga Aktiebolag</t>
        </is>
      </c>
      <c r="G118" t="n">
        <v>4.6</v>
      </c>
      <c r="H118" t="n">
        <v>1</v>
      </c>
      <c r="I118" t="n">
        <v>2</v>
      </c>
      <c r="J118" t="n">
        <v>0</v>
      </c>
      <c r="K118" t="n">
        <v>0</v>
      </c>
      <c r="L118" t="n">
        <v>0</v>
      </c>
      <c r="M118" t="n">
        <v>0</v>
      </c>
      <c r="N118" t="n">
        <v>0</v>
      </c>
      <c r="O118" t="n">
        <v>0</v>
      </c>
      <c r="P118" t="n">
        <v>0</v>
      </c>
      <c r="Q118" t="n">
        <v>2</v>
      </c>
      <c r="R118" s="2" t="inlineStr">
        <is>
          <t>Nästrot
Vårärt</t>
        </is>
      </c>
      <c r="S118">
        <f>HYPERLINK("https://klasma.github.io/Logging_0980/artfynd/A 62760-2025 artfynd.xlsx", "A 62760-2025")</f>
        <v/>
      </c>
      <c r="T118">
        <f>HYPERLINK("https://klasma.github.io/Logging_0980/kartor/A 62760-2025 karta.png", "A 62760-2025")</f>
        <v/>
      </c>
      <c r="V118">
        <f>HYPERLINK("https://klasma.github.io/Logging_0980/klagomål/A 62760-2025 FSC-klagomål.docx", "A 62760-2025")</f>
        <v/>
      </c>
      <c r="W118">
        <f>HYPERLINK("https://klasma.github.io/Logging_0980/klagomålsmail/A 62760-2025 FSC-klagomål mail.docx", "A 62760-2025")</f>
        <v/>
      </c>
      <c r="X118">
        <f>HYPERLINK("https://klasma.github.io/Logging_0980/tillsyn/A 62760-2025 tillsynsbegäran.docx", "A 62760-2025")</f>
        <v/>
      </c>
      <c r="Y118">
        <f>HYPERLINK("https://klasma.github.io/Logging_0980/tillsynsmail/A 62760-2025 tillsynsbegäran mail.docx", "A 62760-2025")</f>
        <v/>
      </c>
    </row>
    <row r="119" ht="15" customHeight="1">
      <c r="A119" t="inlineStr">
        <is>
          <t>A 63162-2025</t>
        </is>
      </c>
      <c r="B119" s="1" t="n">
        <v>46010.37629629629</v>
      </c>
      <c r="C119" s="1" t="n">
        <v>46183</v>
      </c>
      <c r="D119" t="inlineStr">
        <is>
          <t>GOTLANDS LÄN</t>
        </is>
      </c>
      <c r="E119" t="inlineStr">
        <is>
          <t>GOTLAND</t>
        </is>
      </c>
      <c r="G119" t="n">
        <v>3.5</v>
      </c>
      <c r="H119" t="n">
        <v>0</v>
      </c>
      <c r="I119" t="n">
        <v>1</v>
      </c>
      <c r="J119" t="n">
        <v>0</v>
      </c>
      <c r="K119" t="n">
        <v>1</v>
      </c>
      <c r="L119" t="n">
        <v>0</v>
      </c>
      <c r="M119" t="n">
        <v>0</v>
      </c>
      <c r="N119" t="n">
        <v>0</v>
      </c>
      <c r="O119" t="n">
        <v>1</v>
      </c>
      <c r="P119" t="n">
        <v>1</v>
      </c>
      <c r="Q119" t="n">
        <v>2</v>
      </c>
      <c r="R119" s="2" t="inlineStr">
        <is>
          <t>Gotlandsmåra
Myskmadra</t>
        </is>
      </c>
      <c r="S119">
        <f>HYPERLINK("https://klasma.github.io/Logging_0980/artfynd/A 63162-2025 artfynd.xlsx", "A 63162-2025")</f>
        <v/>
      </c>
      <c r="T119">
        <f>HYPERLINK("https://klasma.github.io/Logging_0980/kartor/A 63162-2025 karta.png", "A 63162-2025")</f>
        <v/>
      </c>
      <c r="V119">
        <f>HYPERLINK("https://klasma.github.io/Logging_0980/klagomål/A 63162-2025 FSC-klagomål.docx", "A 63162-2025")</f>
        <v/>
      </c>
      <c r="W119">
        <f>HYPERLINK("https://klasma.github.io/Logging_0980/klagomålsmail/A 63162-2025 FSC-klagomål mail.docx", "A 63162-2025")</f>
        <v/>
      </c>
      <c r="X119">
        <f>HYPERLINK("https://klasma.github.io/Logging_0980/tillsyn/A 63162-2025 tillsynsbegäran.docx", "A 63162-2025")</f>
        <v/>
      </c>
      <c r="Y119">
        <f>HYPERLINK("https://klasma.github.io/Logging_0980/tillsynsmail/A 63162-2025 tillsynsbegäran mail.docx", "A 63162-2025")</f>
        <v/>
      </c>
    </row>
    <row r="120" ht="15" customHeight="1">
      <c r="A120" t="inlineStr">
        <is>
          <t>A 16997-2026</t>
        </is>
      </c>
      <c r="B120" s="1" t="n">
        <v>46114.42539351852</v>
      </c>
      <c r="C120" s="1" t="n">
        <v>46183</v>
      </c>
      <c r="D120" t="inlineStr">
        <is>
          <t>GOTLANDS LÄN</t>
        </is>
      </c>
      <c r="E120" t="inlineStr">
        <is>
          <t>GOTLAND</t>
        </is>
      </c>
      <c r="G120" t="n">
        <v>0.7</v>
      </c>
      <c r="H120" t="n">
        <v>0</v>
      </c>
      <c r="I120" t="n">
        <v>1</v>
      </c>
      <c r="J120" t="n">
        <v>0</v>
      </c>
      <c r="K120" t="n">
        <v>0</v>
      </c>
      <c r="L120" t="n">
        <v>1</v>
      </c>
      <c r="M120" t="n">
        <v>0</v>
      </c>
      <c r="N120" t="n">
        <v>0</v>
      </c>
      <c r="O120" t="n">
        <v>1</v>
      </c>
      <c r="P120" t="n">
        <v>1</v>
      </c>
      <c r="Q120" t="n">
        <v>2</v>
      </c>
      <c r="R120" s="2" t="inlineStr">
        <is>
          <t>Ask
Hasselticka</t>
        </is>
      </c>
      <c r="S120">
        <f>HYPERLINK("https://klasma.github.io/Logging_0980/artfynd/A 16997-2026 artfynd.xlsx", "A 16997-2026")</f>
        <v/>
      </c>
      <c r="T120">
        <f>HYPERLINK("https://klasma.github.io/Logging_0980/kartor/A 16997-2026 karta.png", "A 16997-2026")</f>
        <v/>
      </c>
      <c r="V120">
        <f>HYPERLINK("https://klasma.github.io/Logging_0980/klagomål/A 16997-2026 FSC-klagomål.docx", "A 16997-2026")</f>
        <v/>
      </c>
      <c r="W120">
        <f>HYPERLINK("https://klasma.github.io/Logging_0980/klagomålsmail/A 16997-2026 FSC-klagomål mail.docx", "A 16997-2026")</f>
        <v/>
      </c>
      <c r="X120">
        <f>HYPERLINK("https://klasma.github.io/Logging_0980/tillsyn/A 16997-2026 tillsynsbegäran.docx", "A 16997-2026")</f>
        <v/>
      </c>
      <c r="Y120">
        <f>HYPERLINK("https://klasma.github.io/Logging_0980/tillsynsmail/A 16997-2026 tillsynsbegäran mail.docx", "A 16997-2026")</f>
        <v/>
      </c>
    </row>
    <row r="121" ht="15" customHeight="1">
      <c r="A121" t="inlineStr">
        <is>
          <t>A 17328-2026</t>
        </is>
      </c>
      <c r="B121" s="1" t="n">
        <v>46119</v>
      </c>
      <c r="C121" s="1" t="n">
        <v>46183</v>
      </c>
      <c r="D121" t="inlineStr">
        <is>
          <t>GOTLANDS LÄN</t>
        </is>
      </c>
      <c r="E121" t="inlineStr">
        <is>
          <t>GOTLAND</t>
        </is>
      </c>
      <c r="F121" t="inlineStr">
        <is>
          <t>Kyrkan</t>
        </is>
      </c>
      <c r="G121" t="n">
        <v>4</v>
      </c>
      <c r="H121" t="n">
        <v>1</v>
      </c>
      <c r="I121" t="n">
        <v>0</v>
      </c>
      <c r="J121" t="n">
        <v>2</v>
      </c>
      <c r="K121" t="n">
        <v>0</v>
      </c>
      <c r="L121" t="n">
        <v>0</v>
      </c>
      <c r="M121" t="n">
        <v>0</v>
      </c>
      <c r="N121" t="n">
        <v>0</v>
      </c>
      <c r="O121" t="n">
        <v>2</v>
      </c>
      <c r="P121" t="n">
        <v>0</v>
      </c>
      <c r="Q121" t="n">
        <v>2</v>
      </c>
      <c r="R121" s="2" t="inlineStr">
        <is>
          <t>Backtimjan
Spillkråka</t>
        </is>
      </c>
      <c r="S121">
        <f>HYPERLINK("https://klasma.github.io/Logging_0980/artfynd/A 17328-2026 artfynd.xlsx", "A 17328-2026")</f>
        <v/>
      </c>
      <c r="T121">
        <f>HYPERLINK("https://klasma.github.io/Logging_0980/kartor/A 17328-2026 karta.png", "A 17328-2026")</f>
        <v/>
      </c>
      <c r="V121">
        <f>HYPERLINK("https://klasma.github.io/Logging_0980/klagomål/A 17328-2026 FSC-klagomål.docx", "A 17328-2026")</f>
        <v/>
      </c>
      <c r="W121">
        <f>HYPERLINK("https://klasma.github.io/Logging_0980/klagomålsmail/A 17328-2026 FSC-klagomål mail.docx", "A 17328-2026")</f>
        <v/>
      </c>
      <c r="X121">
        <f>HYPERLINK("https://klasma.github.io/Logging_0980/tillsyn/A 17328-2026 tillsynsbegäran.docx", "A 17328-2026")</f>
        <v/>
      </c>
      <c r="Y121">
        <f>HYPERLINK("https://klasma.github.io/Logging_0980/tillsynsmail/A 17328-2026 tillsynsbegäran mail.docx", "A 17328-2026")</f>
        <v/>
      </c>
      <c r="Z121">
        <f>HYPERLINK("https://klasma.github.io/Logging_0980/fåglar/A 17328-2026 prioriterade fågelarter.docx", "A 17328-2026")</f>
        <v/>
      </c>
    </row>
    <row r="122" ht="15" customHeight="1">
      <c r="A122" t="inlineStr">
        <is>
          <t>A 46362-2021</t>
        </is>
      </c>
      <c r="B122" s="1" t="n">
        <v>44442</v>
      </c>
      <c r="C122" s="1" t="n">
        <v>46183</v>
      </c>
      <c r="D122" t="inlineStr">
        <is>
          <t>GOTLANDS LÄN</t>
        </is>
      </c>
      <c r="E122" t="inlineStr">
        <is>
          <t>GOTLAND</t>
        </is>
      </c>
      <c r="G122" t="n">
        <v>2.1</v>
      </c>
      <c r="H122" t="n">
        <v>0</v>
      </c>
      <c r="I122" t="n">
        <v>0</v>
      </c>
      <c r="J122" t="n">
        <v>1</v>
      </c>
      <c r="K122" t="n">
        <v>0</v>
      </c>
      <c r="L122" t="n">
        <v>0</v>
      </c>
      <c r="M122" t="n">
        <v>0</v>
      </c>
      <c r="N122" t="n">
        <v>0</v>
      </c>
      <c r="O122" t="n">
        <v>1</v>
      </c>
      <c r="P122" t="n">
        <v>0</v>
      </c>
      <c r="Q122" t="n">
        <v>1</v>
      </c>
      <c r="R122" s="2" t="inlineStr">
        <is>
          <t>Igelkott</t>
        </is>
      </c>
      <c r="S122">
        <f>HYPERLINK("https://klasma.github.io/Logging_0980/artfynd/A 46362-2021 artfynd.xlsx", "A 46362-2021")</f>
        <v/>
      </c>
      <c r="T122">
        <f>HYPERLINK("https://klasma.github.io/Logging_0980/kartor/A 46362-2021 karta.png", "A 46362-2021")</f>
        <v/>
      </c>
      <c r="V122">
        <f>HYPERLINK("https://klasma.github.io/Logging_0980/klagomål/A 46362-2021 FSC-klagomål.docx", "A 46362-2021")</f>
        <v/>
      </c>
      <c r="W122">
        <f>HYPERLINK("https://klasma.github.io/Logging_0980/klagomålsmail/A 46362-2021 FSC-klagomål mail.docx", "A 46362-2021")</f>
        <v/>
      </c>
      <c r="X122">
        <f>HYPERLINK("https://klasma.github.io/Logging_0980/tillsyn/A 46362-2021 tillsynsbegäran.docx", "A 46362-2021")</f>
        <v/>
      </c>
      <c r="Y122">
        <f>HYPERLINK("https://klasma.github.io/Logging_0980/tillsynsmail/A 46362-2021 tillsynsbegäran mail.docx", "A 46362-2021")</f>
        <v/>
      </c>
    </row>
    <row r="123" ht="15" customHeight="1">
      <c r="A123" t="inlineStr">
        <is>
          <t>A 12379-2024</t>
        </is>
      </c>
      <c r="B123" s="1" t="n">
        <v>45379.28155092592</v>
      </c>
      <c r="C123" s="1" t="n">
        <v>46183</v>
      </c>
      <c r="D123" t="inlineStr">
        <is>
          <t>GOTLANDS LÄN</t>
        </is>
      </c>
      <c r="E123" t="inlineStr">
        <is>
          <t>GOTLAND</t>
        </is>
      </c>
      <c r="G123" t="n">
        <v>4.4</v>
      </c>
      <c r="H123" t="n">
        <v>0</v>
      </c>
      <c r="I123" t="n">
        <v>0</v>
      </c>
      <c r="J123" t="n">
        <v>1</v>
      </c>
      <c r="K123" t="n">
        <v>0</v>
      </c>
      <c r="L123" t="n">
        <v>0</v>
      </c>
      <c r="M123" t="n">
        <v>0</v>
      </c>
      <c r="N123" t="n">
        <v>0</v>
      </c>
      <c r="O123" t="n">
        <v>1</v>
      </c>
      <c r="P123" t="n">
        <v>0</v>
      </c>
      <c r="Q123" t="n">
        <v>1</v>
      </c>
      <c r="R123" s="2" t="inlineStr">
        <is>
          <t>Svinrot</t>
        </is>
      </c>
      <c r="S123">
        <f>HYPERLINK("https://klasma.github.io/Logging_0980/artfynd/A 12379-2024 artfynd.xlsx", "A 12379-2024")</f>
        <v/>
      </c>
      <c r="T123">
        <f>HYPERLINK("https://klasma.github.io/Logging_0980/kartor/A 12379-2024 karta.png", "A 12379-2024")</f>
        <v/>
      </c>
      <c r="V123">
        <f>HYPERLINK("https://klasma.github.io/Logging_0980/klagomål/A 12379-2024 FSC-klagomål.docx", "A 12379-2024")</f>
        <v/>
      </c>
      <c r="W123">
        <f>HYPERLINK("https://klasma.github.io/Logging_0980/klagomålsmail/A 12379-2024 FSC-klagomål mail.docx", "A 12379-2024")</f>
        <v/>
      </c>
      <c r="X123">
        <f>HYPERLINK("https://klasma.github.io/Logging_0980/tillsyn/A 12379-2024 tillsynsbegäran.docx", "A 12379-2024")</f>
        <v/>
      </c>
      <c r="Y123">
        <f>HYPERLINK("https://klasma.github.io/Logging_0980/tillsynsmail/A 12379-2024 tillsynsbegäran mail.docx", "A 12379-2024")</f>
        <v/>
      </c>
    </row>
    <row r="124" ht="15" customHeight="1">
      <c r="A124" t="inlineStr">
        <is>
          <t>A 63576-2021</t>
        </is>
      </c>
      <c r="B124" s="1" t="n">
        <v>44508</v>
      </c>
      <c r="C124" s="1" t="n">
        <v>46183</v>
      </c>
      <c r="D124" t="inlineStr">
        <is>
          <t>GOTLANDS LÄN</t>
        </is>
      </c>
      <c r="E124" t="inlineStr">
        <is>
          <t>GOTLAND</t>
        </is>
      </c>
      <c r="F124" t="inlineStr">
        <is>
          <t>Kyrkan</t>
        </is>
      </c>
      <c r="G124" t="n">
        <v>4.1</v>
      </c>
      <c r="H124" t="n">
        <v>1</v>
      </c>
      <c r="I124" t="n">
        <v>0</v>
      </c>
      <c r="J124" t="n">
        <v>1</v>
      </c>
      <c r="K124" t="n">
        <v>0</v>
      </c>
      <c r="L124" t="n">
        <v>0</v>
      </c>
      <c r="M124" t="n">
        <v>0</v>
      </c>
      <c r="N124" t="n">
        <v>0</v>
      </c>
      <c r="O124" t="n">
        <v>1</v>
      </c>
      <c r="P124" t="n">
        <v>0</v>
      </c>
      <c r="Q124" t="n">
        <v>1</v>
      </c>
      <c r="R124" s="2" t="inlineStr">
        <is>
          <t>Dårgräsfjäril</t>
        </is>
      </c>
      <c r="S124">
        <f>HYPERLINK("https://klasma.github.io/Logging_0980/artfynd/A 63576-2021 artfynd.xlsx", "A 63576-2021")</f>
        <v/>
      </c>
      <c r="T124">
        <f>HYPERLINK("https://klasma.github.io/Logging_0980/kartor/A 63576-2021 karta.png", "A 63576-2021")</f>
        <v/>
      </c>
      <c r="V124">
        <f>HYPERLINK("https://klasma.github.io/Logging_0980/klagomål/A 63576-2021 FSC-klagomål.docx", "A 63576-2021")</f>
        <v/>
      </c>
      <c r="W124">
        <f>HYPERLINK("https://klasma.github.io/Logging_0980/klagomålsmail/A 63576-2021 FSC-klagomål mail.docx", "A 63576-2021")</f>
        <v/>
      </c>
      <c r="X124">
        <f>HYPERLINK("https://klasma.github.io/Logging_0980/tillsyn/A 63576-2021 tillsynsbegäran.docx", "A 63576-2021")</f>
        <v/>
      </c>
      <c r="Y124">
        <f>HYPERLINK("https://klasma.github.io/Logging_0980/tillsynsmail/A 63576-2021 tillsynsbegäran mail.docx", "A 63576-2021")</f>
        <v/>
      </c>
    </row>
    <row r="125" ht="15" customHeight="1">
      <c r="A125" t="inlineStr">
        <is>
          <t>A 10218-2025</t>
        </is>
      </c>
      <c r="B125" s="1" t="n">
        <v>45720</v>
      </c>
      <c r="C125" s="1" t="n">
        <v>46183</v>
      </c>
      <c r="D125" t="inlineStr">
        <is>
          <t>GOTLANDS LÄN</t>
        </is>
      </c>
      <c r="E125" t="inlineStr">
        <is>
          <t>GOTLAND</t>
        </is>
      </c>
      <c r="G125" t="n">
        <v>8.1</v>
      </c>
      <c r="H125" t="n">
        <v>0</v>
      </c>
      <c r="I125" t="n">
        <v>1</v>
      </c>
      <c r="J125" t="n">
        <v>0</v>
      </c>
      <c r="K125" t="n">
        <v>0</v>
      </c>
      <c r="L125" t="n">
        <v>0</v>
      </c>
      <c r="M125" t="n">
        <v>0</v>
      </c>
      <c r="N125" t="n">
        <v>0</v>
      </c>
      <c r="O125" t="n">
        <v>0</v>
      </c>
      <c r="P125" t="n">
        <v>0</v>
      </c>
      <c r="Q125" t="n">
        <v>1</v>
      </c>
      <c r="R125" s="2" t="inlineStr">
        <is>
          <t>Kalktallört</t>
        </is>
      </c>
      <c r="S125">
        <f>HYPERLINK("https://klasma.github.io/Logging_0980/artfynd/A 10218-2025 artfynd.xlsx", "A 10218-2025")</f>
        <v/>
      </c>
      <c r="T125">
        <f>HYPERLINK("https://klasma.github.io/Logging_0980/kartor/A 10218-2025 karta.png", "A 10218-2025")</f>
        <v/>
      </c>
      <c r="V125">
        <f>HYPERLINK("https://klasma.github.io/Logging_0980/klagomål/A 10218-2025 FSC-klagomål.docx", "A 10218-2025")</f>
        <v/>
      </c>
      <c r="W125">
        <f>HYPERLINK("https://klasma.github.io/Logging_0980/klagomålsmail/A 10218-2025 FSC-klagomål mail.docx", "A 10218-2025")</f>
        <v/>
      </c>
      <c r="X125">
        <f>HYPERLINK("https://klasma.github.io/Logging_0980/tillsyn/A 10218-2025 tillsynsbegäran.docx", "A 10218-2025")</f>
        <v/>
      </c>
      <c r="Y125">
        <f>HYPERLINK("https://klasma.github.io/Logging_0980/tillsynsmail/A 10218-2025 tillsynsbegäran mail.docx", "A 10218-2025")</f>
        <v/>
      </c>
    </row>
    <row r="126" ht="15" customHeight="1">
      <c r="A126" t="inlineStr">
        <is>
          <t>A 64700-2021</t>
        </is>
      </c>
      <c r="B126" s="1" t="n">
        <v>44511</v>
      </c>
      <c r="C126" s="1" t="n">
        <v>46183</v>
      </c>
      <c r="D126" t="inlineStr">
        <is>
          <t>GOTLANDS LÄN</t>
        </is>
      </c>
      <c r="E126" t="inlineStr">
        <is>
          <t>GOTLAND</t>
        </is>
      </c>
      <c r="F126" t="inlineStr">
        <is>
          <t>Naturvårdsverket</t>
        </is>
      </c>
      <c r="G126" t="n">
        <v>2.4</v>
      </c>
      <c r="H126" t="n">
        <v>1</v>
      </c>
      <c r="I126" t="n">
        <v>0</v>
      </c>
      <c r="J126" t="n">
        <v>0</v>
      </c>
      <c r="K126" t="n">
        <v>1</v>
      </c>
      <c r="L126" t="n">
        <v>0</v>
      </c>
      <c r="M126" t="n">
        <v>0</v>
      </c>
      <c r="N126" t="n">
        <v>0</v>
      </c>
      <c r="O126" t="n">
        <v>1</v>
      </c>
      <c r="P126" t="n">
        <v>1</v>
      </c>
      <c r="Q126" t="n">
        <v>1</v>
      </c>
      <c r="R126" s="2" t="inlineStr">
        <is>
          <t>Kalkdån</t>
        </is>
      </c>
      <c r="S126">
        <f>HYPERLINK("https://klasma.github.io/Logging_0980/artfynd/A 64700-2021 artfynd.xlsx", "A 64700-2021")</f>
        <v/>
      </c>
      <c r="T126">
        <f>HYPERLINK("https://klasma.github.io/Logging_0980/kartor/A 64700-2021 karta.png", "A 64700-2021")</f>
        <v/>
      </c>
      <c r="V126">
        <f>HYPERLINK("https://klasma.github.io/Logging_0980/klagomål/A 64700-2021 FSC-klagomål.docx", "A 64700-2021")</f>
        <v/>
      </c>
      <c r="W126">
        <f>HYPERLINK("https://klasma.github.io/Logging_0980/klagomålsmail/A 64700-2021 FSC-klagomål mail.docx", "A 64700-2021")</f>
        <v/>
      </c>
      <c r="X126">
        <f>HYPERLINK("https://klasma.github.io/Logging_0980/tillsyn/A 64700-2021 tillsynsbegäran.docx", "A 64700-2021")</f>
        <v/>
      </c>
      <c r="Y126">
        <f>HYPERLINK("https://klasma.github.io/Logging_0980/tillsynsmail/A 64700-2021 tillsynsbegäran mail.docx", "A 64700-2021")</f>
        <v/>
      </c>
    </row>
    <row r="127" ht="15" customHeight="1">
      <c r="A127" t="inlineStr">
        <is>
          <t>A 37591-2023</t>
        </is>
      </c>
      <c r="B127" s="1" t="n">
        <v>45159</v>
      </c>
      <c r="C127" s="1" t="n">
        <v>46183</v>
      </c>
      <c r="D127" t="inlineStr">
        <is>
          <t>GOTLANDS LÄN</t>
        </is>
      </c>
      <c r="E127" t="inlineStr">
        <is>
          <t>GOTLAND</t>
        </is>
      </c>
      <c r="G127" t="n">
        <v>8.300000000000001</v>
      </c>
      <c r="H127" t="n">
        <v>0</v>
      </c>
      <c r="I127" t="n">
        <v>0</v>
      </c>
      <c r="J127" t="n">
        <v>1</v>
      </c>
      <c r="K127" t="n">
        <v>0</v>
      </c>
      <c r="L127" t="n">
        <v>0</v>
      </c>
      <c r="M127" t="n">
        <v>0</v>
      </c>
      <c r="N127" t="n">
        <v>0</v>
      </c>
      <c r="O127" t="n">
        <v>1</v>
      </c>
      <c r="P127" t="n">
        <v>0</v>
      </c>
      <c r="Q127" t="n">
        <v>1</v>
      </c>
      <c r="R127" s="2" t="inlineStr">
        <is>
          <t>Ängsstarr</t>
        </is>
      </c>
      <c r="S127">
        <f>HYPERLINK("https://klasma.github.io/Logging_0980/artfynd/A 37591-2023 artfynd.xlsx", "A 37591-2023")</f>
        <v/>
      </c>
      <c r="T127">
        <f>HYPERLINK("https://klasma.github.io/Logging_0980/kartor/A 37591-2023 karta.png", "A 37591-2023")</f>
        <v/>
      </c>
      <c r="V127">
        <f>HYPERLINK("https://klasma.github.io/Logging_0980/klagomål/A 37591-2023 FSC-klagomål.docx", "A 37591-2023")</f>
        <v/>
      </c>
      <c r="W127">
        <f>HYPERLINK("https://klasma.github.io/Logging_0980/klagomålsmail/A 37591-2023 FSC-klagomål mail.docx", "A 37591-2023")</f>
        <v/>
      </c>
      <c r="X127">
        <f>HYPERLINK("https://klasma.github.io/Logging_0980/tillsyn/A 37591-2023 tillsynsbegäran.docx", "A 37591-2023")</f>
        <v/>
      </c>
      <c r="Y127">
        <f>HYPERLINK("https://klasma.github.io/Logging_0980/tillsynsmail/A 37591-2023 tillsynsbegäran mail.docx", "A 37591-2023")</f>
        <v/>
      </c>
    </row>
    <row r="128" ht="15" customHeight="1">
      <c r="A128" t="inlineStr">
        <is>
          <t>A 27589-2023</t>
        </is>
      </c>
      <c r="B128" s="1" t="n">
        <v>45097</v>
      </c>
      <c r="C128" s="1" t="n">
        <v>46183</v>
      </c>
      <c r="D128" t="inlineStr">
        <is>
          <t>GOTLANDS LÄN</t>
        </is>
      </c>
      <c r="E128" t="inlineStr">
        <is>
          <t>GOTLAND</t>
        </is>
      </c>
      <c r="G128" t="n">
        <v>5.4</v>
      </c>
      <c r="H128" t="n">
        <v>0</v>
      </c>
      <c r="I128" t="n">
        <v>0</v>
      </c>
      <c r="J128" t="n">
        <v>0</v>
      </c>
      <c r="K128" t="n">
        <v>0</v>
      </c>
      <c r="L128" t="n">
        <v>0</v>
      </c>
      <c r="M128" t="n">
        <v>1</v>
      </c>
      <c r="N128" t="n">
        <v>0</v>
      </c>
      <c r="O128" t="n">
        <v>1</v>
      </c>
      <c r="P128" t="n">
        <v>1</v>
      </c>
      <c r="Q128" t="n">
        <v>1</v>
      </c>
      <c r="R128" s="2" t="inlineStr">
        <is>
          <t>Skogsalm</t>
        </is>
      </c>
      <c r="S128">
        <f>HYPERLINK("https://klasma.github.io/Logging_0980/artfynd/A 27589-2023 artfynd.xlsx", "A 27589-2023")</f>
        <v/>
      </c>
      <c r="T128">
        <f>HYPERLINK("https://klasma.github.io/Logging_0980/kartor/A 27589-2023 karta.png", "A 27589-2023")</f>
        <v/>
      </c>
      <c r="V128">
        <f>HYPERLINK("https://klasma.github.io/Logging_0980/klagomål/A 27589-2023 FSC-klagomål.docx", "A 27589-2023")</f>
        <v/>
      </c>
      <c r="W128">
        <f>HYPERLINK("https://klasma.github.io/Logging_0980/klagomålsmail/A 27589-2023 FSC-klagomål mail.docx", "A 27589-2023")</f>
        <v/>
      </c>
      <c r="X128">
        <f>HYPERLINK("https://klasma.github.io/Logging_0980/tillsyn/A 27589-2023 tillsynsbegäran.docx", "A 27589-2023")</f>
        <v/>
      </c>
      <c r="Y128">
        <f>HYPERLINK("https://klasma.github.io/Logging_0980/tillsynsmail/A 27589-2023 tillsynsbegäran mail.docx", "A 27589-2023")</f>
        <v/>
      </c>
    </row>
    <row r="129" ht="15" customHeight="1">
      <c r="A129" t="inlineStr">
        <is>
          <t>A 1477-2024</t>
        </is>
      </c>
      <c r="B129" s="1" t="n">
        <v>45305.37987268518</v>
      </c>
      <c r="C129" s="1" t="n">
        <v>46183</v>
      </c>
      <c r="D129" t="inlineStr">
        <is>
          <t>GOTLANDS LÄN</t>
        </is>
      </c>
      <c r="E129" t="inlineStr">
        <is>
          <t>GOTLAND</t>
        </is>
      </c>
      <c r="G129" t="n">
        <v>6.9</v>
      </c>
      <c r="H129" t="n">
        <v>0</v>
      </c>
      <c r="I129" t="n">
        <v>0</v>
      </c>
      <c r="J129" t="n">
        <v>1</v>
      </c>
      <c r="K129" t="n">
        <v>0</v>
      </c>
      <c r="L129" t="n">
        <v>0</v>
      </c>
      <c r="M129" t="n">
        <v>0</v>
      </c>
      <c r="N129" t="n">
        <v>0</v>
      </c>
      <c r="O129" t="n">
        <v>1</v>
      </c>
      <c r="P129" t="n">
        <v>0</v>
      </c>
      <c r="Q129" t="n">
        <v>1</v>
      </c>
      <c r="R129" s="2" t="inlineStr">
        <is>
          <t>Igelkott</t>
        </is>
      </c>
      <c r="S129">
        <f>HYPERLINK("https://klasma.github.io/Logging_0980/artfynd/A 1477-2024 artfynd.xlsx", "A 1477-2024")</f>
        <v/>
      </c>
      <c r="T129">
        <f>HYPERLINK("https://klasma.github.io/Logging_0980/kartor/A 1477-2024 karta.png", "A 1477-2024")</f>
        <v/>
      </c>
      <c r="V129">
        <f>HYPERLINK("https://klasma.github.io/Logging_0980/klagomål/A 1477-2024 FSC-klagomål.docx", "A 1477-2024")</f>
        <v/>
      </c>
      <c r="W129">
        <f>HYPERLINK("https://klasma.github.io/Logging_0980/klagomålsmail/A 1477-2024 FSC-klagomål mail.docx", "A 1477-2024")</f>
        <v/>
      </c>
      <c r="X129">
        <f>HYPERLINK("https://klasma.github.io/Logging_0980/tillsyn/A 1477-2024 tillsynsbegäran.docx", "A 1477-2024")</f>
        <v/>
      </c>
      <c r="Y129">
        <f>HYPERLINK("https://klasma.github.io/Logging_0980/tillsynsmail/A 1477-2024 tillsynsbegäran mail.docx", "A 1477-2024")</f>
        <v/>
      </c>
    </row>
    <row r="130" ht="15" customHeight="1">
      <c r="A130" t="inlineStr">
        <is>
          <t>A 35574-2024</t>
        </is>
      </c>
      <c r="B130" s="1" t="n">
        <v>45531</v>
      </c>
      <c r="C130" s="1" t="n">
        <v>46183</v>
      </c>
      <c r="D130" t="inlineStr">
        <is>
          <t>GOTLANDS LÄN</t>
        </is>
      </c>
      <c r="E130" t="inlineStr">
        <is>
          <t>GOTLAND</t>
        </is>
      </c>
      <c r="G130" t="n">
        <v>5.7</v>
      </c>
      <c r="H130" t="n">
        <v>0</v>
      </c>
      <c r="I130" t="n">
        <v>1</v>
      </c>
      <c r="J130" t="n">
        <v>0</v>
      </c>
      <c r="K130" t="n">
        <v>0</v>
      </c>
      <c r="L130" t="n">
        <v>0</v>
      </c>
      <c r="M130" t="n">
        <v>0</v>
      </c>
      <c r="N130" t="n">
        <v>0</v>
      </c>
      <c r="O130" t="n">
        <v>0</v>
      </c>
      <c r="P130" t="n">
        <v>0</v>
      </c>
      <c r="Q130" t="n">
        <v>1</v>
      </c>
      <c r="R130" s="2" t="inlineStr">
        <is>
          <t>Murgröna</t>
        </is>
      </c>
      <c r="S130">
        <f>HYPERLINK("https://klasma.github.io/Logging_0980/artfynd/A 35574-2024 artfynd.xlsx", "A 35574-2024")</f>
        <v/>
      </c>
      <c r="T130">
        <f>HYPERLINK("https://klasma.github.io/Logging_0980/kartor/A 35574-2024 karta.png", "A 35574-2024")</f>
        <v/>
      </c>
      <c r="V130">
        <f>HYPERLINK("https://klasma.github.io/Logging_0980/klagomål/A 35574-2024 FSC-klagomål.docx", "A 35574-2024")</f>
        <v/>
      </c>
      <c r="W130">
        <f>HYPERLINK("https://klasma.github.io/Logging_0980/klagomålsmail/A 35574-2024 FSC-klagomål mail.docx", "A 35574-2024")</f>
        <v/>
      </c>
      <c r="X130">
        <f>HYPERLINK("https://klasma.github.io/Logging_0980/tillsyn/A 35574-2024 tillsynsbegäran.docx", "A 35574-2024")</f>
        <v/>
      </c>
      <c r="Y130">
        <f>HYPERLINK("https://klasma.github.io/Logging_0980/tillsynsmail/A 35574-2024 tillsynsbegäran mail.docx", "A 35574-2024")</f>
        <v/>
      </c>
    </row>
    <row r="131" ht="15" customHeight="1">
      <c r="A131" t="inlineStr">
        <is>
          <t>A 7637-2025</t>
        </is>
      </c>
      <c r="B131" s="1" t="n">
        <v>45705.77181712963</v>
      </c>
      <c r="C131" s="1" t="n">
        <v>46183</v>
      </c>
      <c r="D131" t="inlineStr">
        <is>
          <t>GOTLANDS LÄN</t>
        </is>
      </c>
      <c r="E131" t="inlineStr">
        <is>
          <t>GOTLAND</t>
        </is>
      </c>
      <c r="G131" t="n">
        <v>3.7</v>
      </c>
      <c r="H131" t="n">
        <v>0</v>
      </c>
      <c r="I131" t="n">
        <v>0</v>
      </c>
      <c r="J131" t="n">
        <v>0</v>
      </c>
      <c r="K131" t="n">
        <v>0</v>
      </c>
      <c r="L131" t="n">
        <v>0</v>
      </c>
      <c r="M131" t="n">
        <v>1</v>
      </c>
      <c r="N131" t="n">
        <v>0</v>
      </c>
      <c r="O131" t="n">
        <v>1</v>
      </c>
      <c r="P131" t="n">
        <v>1</v>
      </c>
      <c r="Q131" t="n">
        <v>1</v>
      </c>
      <c r="R131" s="2" t="inlineStr">
        <is>
          <t>Skogsalm</t>
        </is>
      </c>
      <c r="S131">
        <f>HYPERLINK("https://klasma.github.io/Logging_0980/artfynd/A 7637-2025 artfynd.xlsx", "A 7637-2025")</f>
        <v/>
      </c>
      <c r="T131">
        <f>HYPERLINK("https://klasma.github.io/Logging_0980/kartor/A 7637-2025 karta.png", "A 7637-2025")</f>
        <v/>
      </c>
      <c r="V131">
        <f>HYPERLINK("https://klasma.github.io/Logging_0980/klagomål/A 7637-2025 FSC-klagomål.docx", "A 7637-2025")</f>
        <v/>
      </c>
      <c r="W131">
        <f>HYPERLINK("https://klasma.github.io/Logging_0980/klagomålsmail/A 7637-2025 FSC-klagomål mail.docx", "A 7637-2025")</f>
        <v/>
      </c>
      <c r="X131">
        <f>HYPERLINK("https://klasma.github.io/Logging_0980/tillsyn/A 7637-2025 tillsynsbegäran.docx", "A 7637-2025")</f>
        <v/>
      </c>
      <c r="Y131">
        <f>HYPERLINK("https://klasma.github.io/Logging_0980/tillsynsmail/A 7637-2025 tillsynsbegäran mail.docx", "A 7637-2025")</f>
        <v/>
      </c>
    </row>
    <row r="132" ht="15" customHeight="1">
      <c r="A132" t="inlineStr">
        <is>
          <t>A 44304-2021</t>
        </is>
      </c>
      <c r="B132" s="1" t="n">
        <v>44434</v>
      </c>
      <c r="C132" s="1" t="n">
        <v>46183</v>
      </c>
      <c r="D132" t="inlineStr">
        <is>
          <t>GOTLANDS LÄN</t>
        </is>
      </c>
      <c r="E132" t="inlineStr">
        <is>
          <t>GOTLAND</t>
        </is>
      </c>
      <c r="G132" t="n">
        <v>5.8</v>
      </c>
      <c r="H132" t="n">
        <v>0</v>
      </c>
      <c r="I132" t="n">
        <v>0</v>
      </c>
      <c r="J132" t="n">
        <v>1</v>
      </c>
      <c r="K132" t="n">
        <v>0</v>
      </c>
      <c r="L132" t="n">
        <v>0</v>
      </c>
      <c r="M132" t="n">
        <v>0</v>
      </c>
      <c r="N132" t="n">
        <v>0</v>
      </c>
      <c r="O132" t="n">
        <v>1</v>
      </c>
      <c r="P132" t="n">
        <v>0</v>
      </c>
      <c r="Q132" t="n">
        <v>1</v>
      </c>
      <c r="R132" s="2" t="inlineStr">
        <is>
          <t>Svinrot</t>
        </is>
      </c>
      <c r="S132">
        <f>HYPERLINK("https://klasma.github.io/Logging_0980/artfynd/A 44304-2021 artfynd.xlsx", "A 44304-2021")</f>
        <v/>
      </c>
      <c r="T132">
        <f>HYPERLINK("https://klasma.github.io/Logging_0980/kartor/A 44304-2021 karta.png", "A 44304-2021")</f>
        <v/>
      </c>
      <c r="V132">
        <f>HYPERLINK("https://klasma.github.io/Logging_0980/klagomål/A 44304-2021 FSC-klagomål.docx", "A 44304-2021")</f>
        <v/>
      </c>
      <c r="W132">
        <f>HYPERLINK("https://klasma.github.io/Logging_0980/klagomålsmail/A 44304-2021 FSC-klagomål mail.docx", "A 44304-2021")</f>
        <v/>
      </c>
      <c r="X132">
        <f>HYPERLINK("https://klasma.github.io/Logging_0980/tillsyn/A 44304-2021 tillsynsbegäran.docx", "A 44304-2021")</f>
        <v/>
      </c>
      <c r="Y132">
        <f>HYPERLINK("https://klasma.github.io/Logging_0980/tillsynsmail/A 44304-2021 tillsynsbegäran mail.docx", "A 44304-2021")</f>
        <v/>
      </c>
    </row>
    <row r="133" ht="15" customHeight="1">
      <c r="A133" t="inlineStr">
        <is>
          <t>A 10440-2024</t>
        </is>
      </c>
      <c r="B133" s="1" t="n">
        <v>45366.32818287037</v>
      </c>
      <c r="C133" s="1" t="n">
        <v>46183</v>
      </c>
      <c r="D133" t="inlineStr">
        <is>
          <t>GOTLANDS LÄN</t>
        </is>
      </c>
      <c r="E133" t="inlineStr">
        <is>
          <t>GOTLAND</t>
        </is>
      </c>
      <c r="G133" t="n">
        <v>2.5</v>
      </c>
      <c r="H133" t="n">
        <v>1</v>
      </c>
      <c r="I133" t="n">
        <v>0</v>
      </c>
      <c r="J133" t="n">
        <v>1</v>
      </c>
      <c r="K133" t="n">
        <v>0</v>
      </c>
      <c r="L133" t="n">
        <v>0</v>
      </c>
      <c r="M133" t="n">
        <v>0</v>
      </c>
      <c r="N133" t="n">
        <v>0</v>
      </c>
      <c r="O133" t="n">
        <v>1</v>
      </c>
      <c r="P133" t="n">
        <v>0</v>
      </c>
      <c r="Q133" t="n">
        <v>1</v>
      </c>
      <c r="R133" s="2" t="inlineStr">
        <is>
          <t>Mindre hackspett</t>
        </is>
      </c>
      <c r="S133">
        <f>HYPERLINK("https://klasma.github.io/Logging_0980/artfynd/A 10440-2024 artfynd.xlsx", "A 10440-2024")</f>
        <v/>
      </c>
      <c r="T133">
        <f>HYPERLINK("https://klasma.github.io/Logging_0980/kartor/A 10440-2024 karta.png", "A 10440-2024")</f>
        <v/>
      </c>
      <c r="V133">
        <f>HYPERLINK("https://klasma.github.io/Logging_0980/klagomål/A 10440-2024 FSC-klagomål.docx", "A 10440-2024")</f>
        <v/>
      </c>
      <c r="W133">
        <f>HYPERLINK("https://klasma.github.io/Logging_0980/klagomålsmail/A 10440-2024 FSC-klagomål mail.docx", "A 10440-2024")</f>
        <v/>
      </c>
      <c r="X133">
        <f>HYPERLINK("https://klasma.github.io/Logging_0980/tillsyn/A 10440-2024 tillsynsbegäran.docx", "A 10440-2024")</f>
        <v/>
      </c>
      <c r="Y133">
        <f>HYPERLINK("https://klasma.github.io/Logging_0980/tillsynsmail/A 10440-2024 tillsynsbegäran mail.docx", "A 10440-2024")</f>
        <v/>
      </c>
      <c r="Z133">
        <f>HYPERLINK("https://klasma.github.io/Logging_0980/fåglar/A 10440-2024 prioriterade fågelarter.docx", "A 10440-2024")</f>
        <v/>
      </c>
    </row>
    <row r="134" ht="15" customHeight="1">
      <c r="A134" t="inlineStr">
        <is>
          <t>A 25977-2024</t>
        </is>
      </c>
      <c r="B134" s="1" t="n">
        <v>45467.69356481481</v>
      </c>
      <c r="C134" s="1" t="n">
        <v>46183</v>
      </c>
      <c r="D134" t="inlineStr">
        <is>
          <t>GOTLANDS LÄN</t>
        </is>
      </c>
      <c r="E134" t="inlineStr">
        <is>
          <t>GOTLAND</t>
        </is>
      </c>
      <c r="G134" t="n">
        <v>3</v>
      </c>
      <c r="H134" t="n">
        <v>1</v>
      </c>
      <c r="I134" t="n">
        <v>0</v>
      </c>
      <c r="J134" t="n">
        <v>0</v>
      </c>
      <c r="K134" t="n">
        <v>0</v>
      </c>
      <c r="L134" t="n">
        <v>0</v>
      </c>
      <c r="M134" t="n">
        <v>0</v>
      </c>
      <c r="N134" t="n">
        <v>0</v>
      </c>
      <c r="O134" t="n">
        <v>0</v>
      </c>
      <c r="P134" t="n">
        <v>0</v>
      </c>
      <c r="Q134" t="n">
        <v>1</v>
      </c>
      <c r="R134" s="2" t="inlineStr">
        <is>
          <t>Nattviol</t>
        </is>
      </c>
      <c r="S134">
        <f>HYPERLINK("https://klasma.github.io/Logging_0980/artfynd/A 25977-2024 artfynd.xlsx", "A 25977-2024")</f>
        <v/>
      </c>
      <c r="T134">
        <f>HYPERLINK("https://klasma.github.io/Logging_0980/kartor/A 25977-2024 karta.png", "A 25977-2024")</f>
        <v/>
      </c>
      <c r="V134">
        <f>HYPERLINK("https://klasma.github.io/Logging_0980/klagomål/A 25977-2024 FSC-klagomål.docx", "A 25977-2024")</f>
        <v/>
      </c>
      <c r="W134">
        <f>HYPERLINK("https://klasma.github.io/Logging_0980/klagomålsmail/A 25977-2024 FSC-klagomål mail.docx", "A 25977-2024")</f>
        <v/>
      </c>
      <c r="X134">
        <f>HYPERLINK("https://klasma.github.io/Logging_0980/tillsyn/A 25977-2024 tillsynsbegäran.docx", "A 25977-2024")</f>
        <v/>
      </c>
      <c r="Y134">
        <f>HYPERLINK("https://klasma.github.io/Logging_0980/tillsynsmail/A 25977-2024 tillsynsbegäran mail.docx", "A 25977-2024")</f>
        <v/>
      </c>
    </row>
    <row r="135" ht="15" customHeight="1">
      <c r="A135" t="inlineStr">
        <is>
          <t>A 6303-2024</t>
        </is>
      </c>
      <c r="B135" s="1" t="n">
        <v>45338.35376157407</v>
      </c>
      <c r="C135" s="1" t="n">
        <v>46183</v>
      </c>
      <c r="D135" t="inlineStr">
        <is>
          <t>GOTLANDS LÄN</t>
        </is>
      </c>
      <c r="E135" t="inlineStr">
        <is>
          <t>GOTLAND</t>
        </is>
      </c>
      <c r="G135" t="n">
        <v>0.6</v>
      </c>
      <c r="H135" t="n">
        <v>0</v>
      </c>
      <c r="I135" t="n">
        <v>1</v>
      </c>
      <c r="J135" t="n">
        <v>0</v>
      </c>
      <c r="K135" t="n">
        <v>0</v>
      </c>
      <c r="L135" t="n">
        <v>0</v>
      </c>
      <c r="M135" t="n">
        <v>0</v>
      </c>
      <c r="N135" t="n">
        <v>0</v>
      </c>
      <c r="O135" t="n">
        <v>0</v>
      </c>
      <c r="P135" t="n">
        <v>0</v>
      </c>
      <c r="Q135" t="n">
        <v>1</v>
      </c>
      <c r="R135" s="2" t="inlineStr">
        <is>
          <t>Strävlosta</t>
        </is>
      </c>
      <c r="S135">
        <f>HYPERLINK("https://klasma.github.io/Logging_0980/artfynd/A 6303-2024 artfynd.xlsx", "A 6303-2024")</f>
        <v/>
      </c>
      <c r="T135">
        <f>HYPERLINK("https://klasma.github.io/Logging_0980/kartor/A 6303-2024 karta.png", "A 6303-2024")</f>
        <v/>
      </c>
      <c r="V135">
        <f>HYPERLINK("https://klasma.github.io/Logging_0980/klagomål/A 6303-2024 FSC-klagomål.docx", "A 6303-2024")</f>
        <v/>
      </c>
      <c r="W135">
        <f>HYPERLINK("https://klasma.github.io/Logging_0980/klagomålsmail/A 6303-2024 FSC-klagomål mail.docx", "A 6303-2024")</f>
        <v/>
      </c>
      <c r="X135">
        <f>HYPERLINK("https://klasma.github.io/Logging_0980/tillsyn/A 6303-2024 tillsynsbegäran.docx", "A 6303-2024")</f>
        <v/>
      </c>
      <c r="Y135">
        <f>HYPERLINK("https://klasma.github.io/Logging_0980/tillsynsmail/A 6303-2024 tillsynsbegäran mail.docx", "A 6303-2024")</f>
        <v/>
      </c>
    </row>
    <row r="136" ht="15" customHeight="1">
      <c r="A136" t="inlineStr">
        <is>
          <t>A 65927-2021</t>
        </is>
      </c>
      <c r="B136" s="1" t="n">
        <v>44516</v>
      </c>
      <c r="C136" s="1" t="n">
        <v>46183</v>
      </c>
      <c r="D136" t="inlineStr">
        <is>
          <t>GOTLANDS LÄN</t>
        </is>
      </c>
      <c r="E136" t="inlineStr">
        <is>
          <t>GOTLAND</t>
        </is>
      </c>
      <c r="G136" t="n">
        <v>3.1</v>
      </c>
      <c r="H136" t="n">
        <v>1</v>
      </c>
      <c r="I136" t="n">
        <v>0</v>
      </c>
      <c r="J136" t="n">
        <v>0</v>
      </c>
      <c r="K136" t="n">
        <v>1</v>
      </c>
      <c r="L136" t="n">
        <v>0</v>
      </c>
      <c r="M136" t="n">
        <v>0</v>
      </c>
      <c r="N136" t="n">
        <v>0</v>
      </c>
      <c r="O136" t="n">
        <v>1</v>
      </c>
      <c r="P136" t="n">
        <v>1</v>
      </c>
      <c r="Q136" t="n">
        <v>1</v>
      </c>
      <c r="R136" s="2" t="inlineStr">
        <is>
          <t>Grenigt kungsljus</t>
        </is>
      </c>
      <c r="S136">
        <f>HYPERLINK("https://klasma.github.io/Logging_0980/artfynd/A 65927-2021 artfynd.xlsx", "A 65927-2021")</f>
        <v/>
      </c>
      <c r="T136">
        <f>HYPERLINK("https://klasma.github.io/Logging_0980/kartor/A 65927-2021 karta.png", "A 65927-2021")</f>
        <v/>
      </c>
      <c r="V136">
        <f>HYPERLINK("https://klasma.github.io/Logging_0980/klagomål/A 65927-2021 FSC-klagomål.docx", "A 65927-2021")</f>
        <v/>
      </c>
      <c r="W136">
        <f>HYPERLINK("https://klasma.github.io/Logging_0980/klagomålsmail/A 65927-2021 FSC-klagomål mail.docx", "A 65927-2021")</f>
        <v/>
      </c>
      <c r="X136">
        <f>HYPERLINK("https://klasma.github.io/Logging_0980/tillsyn/A 65927-2021 tillsynsbegäran.docx", "A 65927-2021")</f>
        <v/>
      </c>
      <c r="Y136">
        <f>HYPERLINK("https://klasma.github.io/Logging_0980/tillsynsmail/A 65927-2021 tillsynsbegäran mail.docx", "A 65927-2021")</f>
        <v/>
      </c>
    </row>
    <row r="137" ht="15" customHeight="1">
      <c r="A137" t="inlineStr">
        <is>
          <t>A 6739-2025</t>
        </is>
      </c>
      <c r="B137" s="1" t="n">
        <v>45700</v>
      </c>
      <c r="C137" s="1" t="n">
        <v>46183</v>
      </c>
      <c r="D137" t="inlineStr">
        <is>
          <t>GOTLANDS LÄN</t>
        </is>
      </c>
      <c r="E137" t="inlineStr">
        <is>
          <t>GOTLAND</t>
        </is>
      </c>
      <c r="G137" t="n">
        <v>4.5</v>
      </c>
      <c r="H137" t="n">
        <v>1</v>
      </c>
      <c r="I137" t="n">
        <v>0</v>
      </c>
      <c r="J137" t="n">
        <v>0</v>
      </c>
      <c r="K137" t="n">
        <v>0</v>
      </c>
      <c r="L137" t="n">
        <v>0</v>
      </c>
      <c r="M137" t="n">
        <v>0</v>
      </c>
      <c r="N137" t="n">
        <v>0</v>
      </c>
      <c r="O137" t="n">
        <v>0</v>
      </c>
      <c r="P137" t="n">
        <v>0</v>
      </c>
      <c r="Q137" t="n">
        <v>1</v>
      </c>
      <c r="R137" s="2" t="inlineStr">
        <is>
          <t>Röd glada</t>
        </is>
      </c>
      <c r="S137">
        <f>HYPERLINK("https://klasma.github.io/Logging_0980/artfynd/A 6739-2025 artfynd.xlsx", "A 6739-2025")</f>
        <v/>
      </c>
      <c r="T137">
        <f>HYPERLINK("https://klasma.github.io/Logging_0980/kartor/A 6739-2025 karta.png", "A 6739-2025")</f>
        <v/>
      </c>
      <c r="V137">
        <f>HYPERLINK("https://klasma.github.io/Logging_0980/klagomål/A 6739-2025 FSC-klagomål.docx", "A 6739-2025")</f>
        <v/>
      </c>
      <c r="W137">
        <f>HYPERLINK("https://klasma.github.io/Logging_0980/klagomålsmail/A 6739-2025 FSC-klagomål mail.docx", "A 6739-2025")</f>
        <v/>
      </c>
      <c r="X137">
        <f>HYPERLINK("https://klasma.github.io/Logging_0980/tillsyn/A 6739-2025 tillsynsbegäran.docx", "A 6739-2025")</f>
        <v/>
      </c>
      <c r="Y137">
        <f>HYPERLINK("https://klasma.github.io/Logging_0980/tillsynsmail/A 6739-2025 tillsynsbegäran mail.docx", "A 6739-2025")</f>
        <v/>
      </c>
      <c r="Z137">
        <f>HYPERLINK("https://klasma.github.io/Logging_0980/fåglar/A 6739-2025 prioriterade fågelarter.docx", "A 6739-2025")</f>
        <v/>
      </c>
    </row>
    <row r="138" ht="15" customHeight="1">
      <c r="A138" t="inlineStr">
        <is>
          <t>A 61796-2022</t>
        </is>
      </c>
      <c r="B138" s="1" t="n">
        <v>44917</v>
      </c>
      <c r="C138" s="1" t="n">
        <v>46183</v>
      </c>
      <c r="D138" t="inlineStr">
        <is>
          <t>GOTLANDS LÄN</t>
        </is>
      </c>
      <c r="E138" t="inlineStr">
        <is>
          <t>GOTLAND</t>
        </is>
      </c>
      <c r="G138" t="n">
        <v>1.5</v>
      </c>
      <c r="H138" t="n">
        <v>1</v>
      </c>
      <c r="I138" t="n">
        <v>0</v>
      </c>
      <c r="J138" t="n">
        <v>0</v>
      </c>
      <c r="K138" t="n">
        <v>0</v>
      </c>
      <c r="L138" t="n">
        <v>0</v>
      </c>
      <c r="M138" t="n">
        <v>0</v>
      </c>
      <c r="N138" t="n">
        <v>0</v>
      </c>
      <c r="O138" t="n">
        <v>0</v>
      </c>
      <c r="P138" t="n">
        <v>0</v>
      </c>
      <c r="Q138" t="n">
        <v>1</v>
      </c>
      <c r="R138" s="2" t="inlineStr">
        <is>
          <t>Skogsduva</t>
        </is>
      </c>
      <c r="S138">
        <f>HYPERLINK("https://klasma.github.io/Logging_0980/artfynd/A 61796-2022 artfynd.xlsx", "A 61796-2022")</f>
        <v/>
      </c>
      <c r="T138">
        <f>HYPERLINK("https://klasma.github.io/Logging_0980/kartor/A 61796-2022 karta.png", "A 61796-2022")</f>
        <v/>
      </c>
      <c r="V138">
        <f>HYPERLINK("https://klasma.github.io/Logging_0980/klagomål/A 61796-2022 FSC-klagomål.docx", "A 61796-2022")</f>
        <v/>
      </c>
      <c r="W138">
        <f>HYPERLINK("https://klasma.github.io/Logging_0980/klagomålsmail/A 61796-2022 FSC-klagomål mail.docx", "A 61796-2022")</f>
        <v/>
      </c>
      <c r="X138">
        <f>HYPERLINK("https://klasma.github.io/Logging_0980/tillsyn/A 61796-2022 tillsynsbegäran.docx", "A 61796-2022")</f>
        <v/>
      </c>
      <c r="Y138">
        <f>HYPERLINK("https://klasma.github.io/Logging_0980/tillsynsmail/A 61796-2022 tillsynsbegäran mail.docx", "A 61796-2022")</f>
        <v/>
      </c>
      <c r="Z138">
        <f>HYPERLINK("https://klasma.github.io/Logging_0980/fåglar/A 61796-2022 prioriterade fågelarter.docx", "A 61796-2022")</f>
        <v/>
      </c>
    </row>
    <row r="139" ht="15" customHeight="1">
      <c r="A139" t="inlineStr">
        <is>
          <t>A 34809-2024</t>
        </is>
      </c>
      <c r="B139" s="1" t="n">
        <v>45526</v>
      </c>
      <c r="C139" s="1" t="n">
        <v>46183</v>
      </c>
      <c r="D139" t="inlineStr">
        <is>
          <t>GOTLANDS LÄN</t>
        </is>
      </c>
      <c r="E139" t="inlineStr">
        <is>
          <t>GOTLAND</t>
        </is>
      </c>
      <c r="G139" t="n">
        <v>9.9</v>
      </c>
      <c r="H139" t="n">
        <v>1</v>
      </c>
      <c r="I139" t="n">
        <v>0</v>
      </c>
      <c r="J139" t="n">
        <v>1</v>
      </c>
      <c r="K139" t="n">
        <v>0</v>
      </c>
      <c r="L139" t="n">
        <v>0</v>
      </c>
      <c r="M139" t="n">
        <v>0</v>
      </c>
      <c r="N139" t="n">
        <v>0</v>
      </c>
      <c r="O139" t="n">
        <v>1</v>
      </c>
      <c r="P139" t="n">
        <v>0</v>
      </c>
      <c r="Q139" t="n">
        <v>1</v>
      </c>
      <c r="R139" s="2" t="inlineStr">
        <is>
          <t>Brun ögontröst</t>
        </is>
      </c>
      <c r="S139">
        <f>HYPERLINK("https://klasma.github.io/Logging_0980/artfynd/A 34809-2024 artfynd.xlsx", "A 34809-2024")</f>
        <v/>
      </c>
      <c r="T139">
        <f>HYPERLINK("https://klasma.github.io/Logging_0980/kartor/A 34809-2024 karta.png", "A 34809-2024")</f>
        <v/>
      </c>
      <c r="V139">
        <f>HYPERLINK("https://klasma.github.io/Logging_0980/klagomål/A 34809-2024 FSC-klagomål.docx", "A 34809-2024")</f>
        <v/>
      </c>
      <c r="W139">
        <f>HYPERLINK("https://klasma.github.io/Logging_0980/klagomålsmail/A 34809-2024 FSC-klagomål mail.docx", "A 34809-2024")</f>
        <v/>
      </c>
      <c r="X139">
        <f>HYPERLINK("https://klasma.github.io/Logging_0980/tillsyn/A 34809-2024 tillsynsbegäran.docx", "A 34809-2024")</f>
        <v/>
      </c>
      <c r="Y139">
        <f>HYPERLINK("https://klasma.github.io/Logging_0980/tillsynsmail/A 34809-2024 tillsynsbegäran mail.docx", "A 34809-2024")</f>
        <v/>
      </c>
    </row>
    <row r="140" ht="15" customHeight="1">
      <c r="A140" t="inlineStr">
        <is>
          <t>A 15637-2024</t>
        </is>
      </c>
      <c r="B140" s="1" t="n">
        <v>45403.6684837963</v>
      </c>
      <c r="C140" s="1" t="n">
        <v>46183</v>
      </c>
      <c r="D140" t="inlineStr">
        <is>
          <t>GOTLANDS LÄN</t>
        </is>
      </c>
      <c r="E140" t="inlineStr">
        <is>
          <t>GOTLAND</t>
        </is>
      </c>
      <c r="G140" t="n">
        <v>4.1</v>
      </c>
      <c r="H140" t="n">
        <v>1</v>
      </c>
      <c r="I140" t="n">
        <v>0</v>
      </c>
      <c r="J140" t="n">
        <v>0</v>
      </c>
      <c r="K140" t="n">
        <v>0</v>
      </c>
      <c r="L140" t="n">
        <v>0</v>
      </c>
      <c r="M140" t="n">
        <v>0</v>
      </c>
      <c r="N140" t="n">
        <v>0</v>
      </c>
      <c r="O140" t="n">
        <v>0</v>
      </c>
      <c r="P140" t="n">
        <v>0</v>
      </c>
      <c r="Q140" t="n">
        <v>1</v>
      </c>
      <c r="R140" s="2" t="inlineStr">
        <is>
          <t>Blåsippa</t>
        </is>
      </c>
      <c r="S140">
        <f>HYPERLINK("https://klasma.github.io/Logging_0980/artfynd/A 15637-2024 artfynd.xlsx", "A 15637-2024")</f>
        <v/>
      </c>
      <c r="T140">
        <f>HYPERLINK("https://klasma.github.io/Logging_0980/kartor/A 15637-2024 karta.png", "A 15637-2024")</f>
        <v/>
      </c>
      <c r="V140">
        <f>HYPERLINK("https://klasma.github.io/Logging_0980/klagomål/A 15637-2024 FSC-klagomål.docx", "A 15637-2024")</f>
        <v/>
      </c>
      <c r="W140">
        <f>HYPERLINK("https://klasma.github.io/Logging_0980/klagomålsmail/A 15637-2024 FSC-klagomål mail.docx", "A 15637-2024")</f>
        <v/>
      </c>
      <c r="X140">
        <f>HYPERLINK("https://klasma.github.io/Logging_0980/tillsyn/A 15637-2024 tillsynsbegäran.docx", "A 15637-2024")</f>
        <v/>
      </c>
      <c r="Y140">
        <f>HYPERLINK("https://klasma.github.io/Logging_0980/tillsynsmail/A 15637-2024 tillsynsbegäran mail.docx", "A 15637-2024")</f>
        <v/>
      </c>
    </row>
    <row r="141" ht="15" customHeight="1">
      <c r="A141" t="inlineStr">
        <is>
          <t>A 34141-2024</t>
        </is>
      </c>
      <c r="B141" s="1" t="n">
        <v>45524.36229166666</v>
      </c>
      <c r="C141" s="1" t="n">
        <v>46183</v>
      </c>
      <c r="D141" t="inlineStr">
        <is>
          <t>GOTLANDS LÄN</t>
        </is>
      </c>
      <c r="E141" t="inlineStr">
        <is>
          <t>GOTLAND</t>
        </is>
      </c>
      <c r="G141" t="n">
        <v>0.9</v>
      </c>
      <c r="H141" t="n">
        <v>0</v>
      </c>
      <c r="I141" t="n">
        <v>1</v>
      </c>
      <c r="J141" t="n">
        <v>0</v>
      </c>
      <c r="K141" t="n">
        <v>0</v>
      </c>
      <c r="L141" t="n">
        <v>0</v>
      </c>
      <c r="M141" t="n">
        <v>0</v>
      </c>
      <c r="N141" t="n">
        <v>0</v>
      </c>
      <c r="O141" t="n">
        <v>0</v>
      </c>
      <c r="P141" t="n">
        <v>0</v>
      </c>
      <c r="Q141" t="n">
        <v>1</v>
      </c>
      <c r="R141" s="2" t="inlineStr">
        <is>
          <t>Strävlosta</t>
        </is>
      </c>
      <c r="S141">
        <f>HYPERLINK("https://klasma.github.io/Logging_0980/artfynd/A 34141-2024 artfynd.xlsx", "A 34141-2024")</f>
        <v/>
      </c>
      <c r="T141">
        <f>HYPERLINK("https://klasma.github.io/Logging_0980/kartor/A 34141-2024 karta.png", "A 34141-2024")</f>
        <v/>
      </c>
      <c r="V141">
        <f>HYPERLINK("https://klasma.github.io/Logging_0980/klagomål/A 34141-2024 FSC-klagomål.docx", "A 34141-2024")</f>
        <v/>
      </c>
      <c r="W141">
        <f>HYPERLINK("https://klasma.github.io/Logging_0980/klagomålsmail/A 34141-2024 FSC-klagomål mail.docx", "A 34141-2024")</f>
        <v/>
      </c>
      <c r="X141">
        <f>HYPERLINK("https://klasma.github.io/Logging_0980/tillsyn/A 34141-2024 tillsynsbegäran.docx", "A 34141-2024")</f>
        <v/>
      </c>
      <c r="Y141">
        <f>HYPERLINK("https://klasma.github.io/Logging_0980/tillsynsmail/A 34141-2024 tillsynsbegäran mail.docx", "A 34141-2024")</f>
        <v/>
      </c>
    </row>
    <row r="142" ht="15" customHeight="1">
      <c r="A142" t="inlineStr">
        <is>
          <t>A 9862-2024</t>
        </is>
      </c>
      <c r="B142" s="1" t="n">
        <v>45363</v>
      </c>
      <c r="C142" s="1" t="n">
        <v>46183</v>
      </c>
      <c r="D142" t="inlineStr">
        <is>
          <t>GOTLANDS LÄN</t>
        </is>
      </c>
      <c r="E142" t="inlineStr">
        <is>
          <t>GOTLAND</t>
        </is>
      </c>
      <c r="G142" t="n">
        <v>3.5</v>
      </c>
      <c r="H142" t="n">
        <v>1</v>
      </c>
      <c r="I142" t="n">
        <v>0</v>
      </c>
      <c r="J142" t="n">
        <v>0</v>
      </c>
      <c r="K142" t="n">
        <v>0</v>
      </c>
      <c r="L142" t="n">
        <v>0</v>
      </c>
      <c r="M142" t="n">
        <v>0</v>
      </c>
      <c r="N142" t="n">
        <v>0</v>
      </c>
      <c r="O142" t="n">
        <v>0</v>
      </c>
      <c r="P142" t="n">
        <v>0</v>
      </c>
      <c r="Q142" t="n">
        <v>1</v>
      </c>
      <c r="R142" s="2" t="inlineStr">
        <is>
          <t>Nattviol</t>
        </is>
      </c>
      <c r="S142">
        <f>HYPERLINK("https://klasma.github.io/Logging_0980/artfynd/A 9862-2024 artfynd.xlsx", "A 9862-2024")</f>
        <v/>
      </c>
      <c r="T142">
        <f>HYPERLINK("https://klasma.github.io/Logging_0980/kartor/A 9862-2024 karta.png", "A 9862-2024")</f>
        <v/>
      </c>
      <c r="V142">
        <f>HYPERLINK("https://klasma.github.io/Logging_0980/klagomål/A 9862-2024 FSC-klagomål.docx", "A 9862-2024")</f>
        <v/>
      </c>
      <c r="W142">
        <f>HYPERLINK("https://klasma.github.io/Logging_0980/klagomålsmail/A 9862-2024 FSC-klagomål mail.docx", "A 9862-2024")</f>
        <v/>
      </c>
      <c r="X142">
        <f>HYPERLINK("https://klasma.github.io/Logging_0980/tillsyn/A 9862-2024 tillsynsbegäran.docx", "A 9862-2024")</f>
        <v/>
      </c>
      <c r="Y142">
        <f>HYPERLINK("https://klasma.github.io/Logging_0980/tillsynsmail/A 9862-2024 tillsynsbegäran mail.docx", "A 9862-2024")</f>
        <v/>
      </c>
    </row>
    <row r="143" ht="15" customHeight="1">
      <c r="A143" t="inlineStr">
        <is>
          <t>A 2476-2025</t>
        </is>
      </c>
      <c r="B143" s="1" t="n">
        <v>45673</v>
      </c>
      <c r="C143" s="1" t="n">
        <v>46183</v>
      </c>
      <c r="D143" t="inlineStr">
        <is>
          <t>GOTLANDS LÄN</t>
        </is>
      </c>
      <c r="E143" t="inlineStr">
        <is>
          <t>GOTLAND</t>
        </is>
      </c>
      <c r="G143" t="n">
        <v>3.1</v>
      </c>
      <c r="H143" t="n">
        <v>0</v>
      </c>
      <c r="I143" t="n">
        <v>1</v>
      </c>
      <c r="J143" t="n">
        <v>0</v>
      </c>
      <c r="K143" t="n">
        <v>0</v>
      </c>
      <c r="L143" t="n">
        <v>0</v>
      </c>
      <c r="M143" t="n">
        <v>0</v>
      </c>
      <c r="N143" t="n">
        <v>0</v>
      </c>
      <c r="O143" t="n">
        <v>0</v>
      </c>
      <c r="P143" t="n">
        <v>0</v>
      </c>
      <c r="Q143" t="n">
        <v>1</v>
      </c>
      <c r="R143" s="2" t="inlineStr">
        <is>
          <t>Kryddspindling</t>
        </is>
      </c>
      <c r="S143">
        <f>HYPERLINK("https://klasma.github.io/Logging_0980/artfynd/A 2476-2025 artfynd.xlsx", "A 2476-2025")</f>
        <v/>
      </c>
      <c r="T143">
        <f>HYPERLINK("https://klasma.github.io/Logging_0980/kartor/A 2476-2025 karta.png", "A 2476-2025")</f>
        <v/>
      </c>
      <c r="V143">
        <f>HYPERLINK("https://klasma.github.io/Logging_0980/klagomål/A 2476-2025 FSC-klagomål.docx", "A 2476-2025")</f>
        <v/>
      </c>
      <c r="W143">
        <f>HYPERLINK("https://klasma.github.io/Logging_0980/klagomålsmail/A 2476-2025 FSC-klagomål mail.docx", "A 2476-2025")</f>
        <v/>
      </c>
      <c r="X143">
        <f>HYPERLINK("https://klasma.github.io/Logging_0980/tillsyn/A 2476-2025 tillsynsbegäran.docx", "A 2476-2025")</f>
        <v/>
      </c>
      <c r="Y143">
        <f>HYPERLINK("https://klasma.github.io/Logging_0980/tillsynsmail/A 2476-2025 tillsynsbegäran mail.docx", "A 2476-2025")</f>
        <v/>
      </c>
    </row>
    <row r="144" ht="15" customHeight="1">
      <c r="A144" t="inlineStr">
        <is>
          <t>A 35467-2021</t>
        </is>
      </c>
      <c r="B144" s="1" t="n">
        <v>44385</v>
      </c>
      <c r="C144" s="1" t="n">
        <v>46183</v>
      </c>
      <c r="D144" t="inlineStr">
        <is>
          <t>GOTLANDS LÄN</t>
        </is>
      </c>
      <c r="E144" t="inlineStr">
        <is>
          <t>GOTLAND</t>
        </is>
      </c>
      <c r="G144" t="n">
        <v>12.7</v>
      </c>
      <c r="H144" t="n">
        <v>0</v>
      </c>
      <c r="I144" t="n">
        <v>0</v>
      </c>
      <c r="J144" t="n">
        <v>1</v>
      </c>
      <c r="K144" t="n">
        <v>0</v>
      </c>
      <c r="L144" t="n">
        <v>0</v>
      </c>
      <c r="M144" t="n">
        <v>0</v>
      </c>
      <c r="N144" t="n">
        <v>0</v>
      </c>
      <c r="O144" t="n">
        <v>1</v>
      </c>
      <c r="P144" t="n">
        <v>0</v>
      </c>
      <c r="Q144" t="n">
        <v>1</v>
      </c>
      <c r="R144" s="2" t="inlineStr">
        <is>
          <t>Loppstarr</t>
        </is>
      </c>
      <c r="S144">
        <f>HYPERLINK("https://klasma.github.io/Logging_0980/artfynd/A 35467-2021 artfynd.xlsx", "A 35467-2021")</f>
        <v/>
      </c>
      <c r="T144">
        <f>HYPERLINK("https://klasma.github.io/Logging_0980/kartor/A 35467-2021 karta.png", "A 35467-2021")</f>
        <v/>
      </c>
      <c r="V144">
        <f>HYPERLINK("https://klasma.github.io/Logging_0980/klagomål/A 35467-2021 FSC-klagomål.docx", "A 35467-2021")</f>
        <v/>
      </c>
      <c r="W144">
        <f>HYPERLINK("https://klasma.github.io/Logging_0980/klagomålsmail/A 35467-2021 FSC-klagomål mail.docx", "A 35467-2021")</f>
        <v/>
      </c>
      <c r="X144">
        <f>HYPERLINK("https://klasma.github.io/Logging_0980/tillsyn/A 35467-2021 tillsynsbegäran.docx", "A 35467-2021")</f>
        <v/>
      </c>
      <c r="Y144">
        <f>HYPERLINK("https://klasma.github.io/Logging_0980/tillsynsmail/A 35467-2021 tillsynsbegäran mail.docx", "A 35467-2021")</f>
        <v/>
      </c>
    </row>
    <row r="145" ht="15" customHeight="1">
      <c r="A145" t="inlineStr">
        <is>
          <t>A 10995-2023</t>
        </is>
      </c>
      <c r="B145" s="1" t="n">
        <v>44986</v>
      </c>
      <c r="C145" s="1" t="n">
        <v>46183</v>
      </c>
      <c r="D145" t="inlineStr">
        <is>
          <t>GOTLANDS LÄN</t>
        </is>
      </c>
      <c r="E145" t="inlineStr">
        <is>
          <t>GOTLAND</t>
        </is>
      </c>
      <c r="G145" t="n">
        <v>2.8</v>
      </c>
      <c r="H145" t="n">
        <v>0</v>
      </c>
      <c r="I145" t="n">
        <v>0</v>
      </c>
      <c r="J145" t="n">
        <v>0</v>
      </c>
      <c r="K145" t="n">
        <v>1</v>
      </c>
      <c r="L145" t="n">
        <v>0</v>
      </c>
      <c r="M145" t="n">
        <v>0</v>
      </c>
      <c r="N145" t="n">
        <v>0</v>
      </c>
      <c r="O145" t="n">
        <v>1</v>
      </c>
      <c r="P145" t="n">
        <v>1</v>
      </c>
      <c r="Q145" t="n">
        <v>1</v>
      </c>
      <c r="R145" s="2" t="inlineStr">
        <is>
          <t>Violettfläckig spindling</t>
        </is>
      </c>
      <c r="S145">
        <f>HYPERLINK("https://klasma.github.io/Logging_0980/artfynd/A 10995-2023 artfynd.xlsx", "A 10995-2023")</f>
        <v/>
      </c>
      <c r="T145">
        <f>HYPERLINK("https://klasma.github.io/Logging_0980/kartor/A 10995-2023 karta.png", "A 10995-2023")</f>
        <v/>
      </c>
      <c r="V145">
        <f>HYPERLINK("https://klasma.github.io/Logging_0980/klagomål/A 10995-2023 FSC-klagomål.docx", "A 10995-2023")</f>
        <v/>
      </c>
      <c r="W145">
        <f>HYPERLINK("https://klasma.github.io/Logging_0980/klagomålsmail/A 10995-2023 FSC-klagomål mail.docx", "A 10995-2023")</f>
        <v/>
      </c>
      <c r="X145">
        <f>HYPERLINK("https://klasma.github.io/Logging_0980/tillsyn/A 10995-2023 tillsynsbegäran.docx", "A 10995-2023")</f>
        <v/>
      </c>
      <c r="Y145">
        <f>HYPERLINK("https://klasma.github.io/Logging_0980/tillsynsmail/A 10995-2023 tillsynsbegäran mail.docx", "A 10995-2023")</f>
        <v/>
      </c>
    </row>
    <row r="146" ht="15" customHeight="1">
      <c r="A146" t="inlineStr">
        <is>
          <t>A 61561-2023</t>
        </is>
      </c>
      <c r="B146" s="1" t="n">
        <v>45265</v>
      </c>
      <c r="C146" s="1" t="n">
        <v>46183</v>
      </c>
      <c r="D146" t="inlineStr">
        <is>
          <t>GOTLANDS LÄN</t>
        </is>
      </c>
      <c r="E146" t="inlineStr">
        <is>
          <t>GOTLAND</t>
        </is>
      </c>
      <c r="G146" t="n">
        <v>7.4</v>
      </c>
      <c r="H146" t="n">
        <v>0</v>
      </c>
      <c r="I146" t="n">
        <v>0</v>
      </c>
      <c r="J146" t="n">
        <v>1</v>
      </c>
      <c r="K146" t="n">
        <v>0</v>
      </c>
      <c r="L146" t="n">
        <v>0</v>
      </c>
      <c r="M146" t="n">
        <v>0</v>
      </c>
      <c r="N146" t="n">
        <v>0</v>
      </c>
      <c r="O146" t="n">
        <v>1</v>
      </c>
      <c r="P146" t="n">
        <v>0</v>
      </c>
      <c r="Q146" t="n">
        <v>1</v>
      </c>
      <c r="R146" s="2" t="inlineStr">
        <is>
          <t>Loppstarr</t>
        </is>
      </c>
      <c r="S146">
        <f>HYPERLINK("https://klasma.github.io/Logging_0980/artfynd/A 61561-2023 artfynd.xlsx", "A 61561-2023")</f>
        <v/>
      </c>
      <c r="T146">
        <f>HYPERLINK("https://klasma.github.io/Logging_0980/kartor/A 61561-2023 karta.png", "A 61561-2023")</f>
        <v/>
      </c>
      <c r="V146">
        <f>HYPERLINK("https://klasma.github.io/Logging_0980/klagomål/A 61561-2023 FSC-klagomål.docx", "A 61561-2023")</f>
        <v/>
      </c>
      <c r="W146">
        <f>HYPERLINK("https://klasma.github.io/Logging_0980/klagomålsmail/A 61561-2023 FSC-klagomål mail.docx", "A 61561-2023")</f>
        <v/>
      </c>
      <c r="X146">
        <f>HYPERLINK("https://klasma.github.io/Logging_0980/tillsyn/A 61561-2023 tillsynsbegäran.docx", "A 61561-2023")</f>
        <v/>
      </c>
      <c r="Y146">
        <f>HYPERLINK("https://klasma.github.io/Logging_0980/tillsynsmail/A 61561-2023 tillsynsbegäran mail.docx", "A 61561-2023")</f>
        <v/>
      </c>
    </row>
    <row r="147" ht="15" customHeight="1">
      <c r="A147" t="inlineStr">
        <is>
          <t>A 62552-2022</t>
        </is>
      </c>
      <c r="B147" s="1" t="n">
        <v>44924</v>
      </c>
      <c r="C147" s="1" t="n">
        <v>46183</v>
      </c>
      <c r="D147" t="inlineStr">
        <is>
          <t>GOTLANDS LÄN</t>
        </is>
      </c>
      <c r="E147" t="inlineStr">
        <is>
          <t>GOTLAND</t>
        </is>
      </c>
      <c r="G147" t="n">
        <v>1.6</v>
      </c>
      <c r="H147" t="n">
        <v>0</v>
      </c>
      <c r="I147" t="n">
        <v>0</v>
      </c>
      <c r="J147" t="n">
        <v>1</v>
      </c>
      <c r="K147" t="n">
        <v>0</v>
      </c>
      <c r="L147" t="n">
        <v>0</v>
      </c>
      <c r="M147" t="n">
        <v>0</v>
      </c>
      <c r="N147" t="n">
        <v>0</v>
      </c>
      <c r="O147" t="n">
        <v>1</v>
      </c>
      <c r="P147" t="n">
        <v>0</v>
      </c>
      <c r="Q147" t="n">
        <v>1</v>
      </c>
      <c r="R147" s="2" t="inlineStr">
        <is>
          <t>Äggspindling</t>
        </is>
      </c>
      <c r="S147">
        <f>HYPERLINK("https://klasma.github.io/Logging_0980/artfynd/A 62552-2022 artfynd.xlsx", "A 62552-2022")</f>
        <v/>
      </c>
      <c r="T147">
        <f>HYPERLINK("https://klasma.github.io/Logging_0980/kartor/A 62552-2022 karta.png", "A 62552-2022")</f>
        <v/>
      </c>
      <c r="V147">
        <f>HYPERLINK("https://klasma.github.io/Logging_0980/klagomål/A 62552-2022 FSC-klagomål.docx", "A 62552-2022")</f>
        <v/>
      </c>
      <c r="W147">
        <f>HYPERLINK("https://klasma.github.io/Logging_0980/klagomålsmail/A 62552-2022 FSC-klagomål mail.docx", "A 62552-2022")</f>
        <v/>
      </c>
      <c r="X147">
        <f>HYPERLINK("https://klasma.github.io/Logging_0980/tillsyn/A 62552-2022 tillsynsbegäran.docx", "A 62552-2022")</f>
        <v/>
      </c>
      <c r="Y147">
        <f>HYPERLINK("https://klasma.github.io/Logging_0980/tillsynsmail/A 62552-2022 tillsynsbegäran mail.docx", "A 62552-2022")</f>
        <v/>
      </c>
    </row>
    <row r="148" ht="15" customHeight="1">
      <c r="A148" t="inlineStr">
        <is>
          <t>A 44088-2022</t>
        </is>
      </c>
      <c r="B148" s="1" t="n">
        <v>44839</v>
      </c>
      <c r="C148" s="1" t="n">
        <v>46183</v>
      </c>
      <c r="D148" t="inlineStr">
        <is>
          <t>GOTLANDS LÄN</t>
        </is>
      </c>
      <c r="E148" t="inlineStr">
        <is>
          <t>GOTLAND</t>
        </is>
      </c>
      <c r="G148" t="n">
        <v>1.5</v>
      </c>
      <c r="H148" t="n">
        <v>0</v>
      </c>
      <c r="I148" t="n">
        <v>1</v>
      </c>
      <c r="J148" t="n">
        <v>0</v>
      </c>
      <c r="K148" t="n">
        <v>0</v>
      </c>
      <c r="L148" t="n">
        <v>0</v>
      </c>
      <c r="M148" t="n">
        <v>0</v>
      </c>
      <c r="N148" t="n">
        <v>0</v>
      </c>
      <c r="O148" t="n">
        <v>0</v>
      </c>
      <c r="P148" t="n">
        <v>0</v>
      </c>
      <c r="Q148" t="n">
        <v>1</v>
      </c>
      <c r="R148" s="2" t="inlineStr">
        <is>
          <t>Strävlosta</t>
        </is>
      </c>
      <c r="S148">
        <f>HYPERLINK("https://klasma.github.io/Logging_0980/artfynd/A 44088-2022 artfynd.xlsx", "A 44088-2022")</f>
        <v/>
      </c>
      <c r="T148">
        <f>HYPERLINK("https://klasma.github.io/Logging_0980/kartor/A 44088-2022 karta.png", "A 44088-2022")</f>
        <v/>
      </c>
      <c r="V148">
        <f>HYPERLINK("https://klasma.github.io/Logging_0980/klagomål/A 44088-2022 FSC-klagomål.docx", "A 44088-2022")</f>
        <v/>
      </c>
      <c r="W148">
        <f>HYPERLINK("https://klasma.github.io/Logging_0980/klagomålsmail/A 44088-2022 FSC-klagomål mail.docx", "A 44088-2022")</f>
        <v/>
      </c>
      <c r="X148">
        <f>HYPERLINK("https://klasma.github.io/Logging_0980/tillsyn/A 44088-2022 tillsynsbegäran.docx", "A 44088-2022")</f>
        <v/>
      </c>
      <c r="Y148">
        <f>HYPERLINK("https://klasma.github.io/Logging_0980/tillsynsmail/A 44088-2022 tillsynsbegäran mail.docx", "A 44088-2022")</f>
        <v/>
      </c>
    </row>
    <row r="149" ht="15" customHeight="1">
      <c r="A149" t="inlineStr">
        <is>
          <t>A 44308-2021</t>
        </is>
      </c>
      <c r="B149" s="1" t="n">
        <v>44434</v>
      </c>
      <c r="C149" s="1" t="n">
        <v>46183</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22782-2023</t>
        </is>
      </c>
      <c r="B150" s="1" t="n">
        <v>45072</v>
      </c>
      <c r="C150" s="1" t="n">
        <v>46183</v>
      </c>
      <c r="D150" t="inlineStr">
        <is>
          <t>GOTLANDS LÄN</t>
        </is>
      </c>
      <c r="E150" t="inlineStr">
        <is>
          <t>GOTLAND</t>
        </is>
      </c>
      <c r="F150" t="inlineStr">
        <is>
          <t>Kyrkan</t>
        </is>
      </c>
      <c r="G150" t="n">
        <v>3.1</v>
      </c>
      <c r="H150" t="n">
        <v>1</v>
      </c>
      <c r="I150" t="n">
        <v>0</v>
      </c>
      <c r="J150" t="n">
        <v>0</v>
      </c>
      <c r="K150" t="n">
        <v>0</v>
      </c>
      <c r="L150" t="n">
        <v>0</v>
      </c>
      <c r="M150" t="n">
        <v>0</v>
      </c>
      <c r="N150" t="n">
        <v>0</v>
      </c>
      <c r="O150" t="n">
        <v>0</v>
      </c>
      <c r="P150" t="n">
        <v>0</v>
      </c>
      <c r="Q150" t="n">
        <v>1</v>
      </c>
      <c r="R150" s="2" t="inlineStr">
        <is>
          <t>Ängsnycklar × skogsnycklar</t>
        </is>
      </c>
      <c r="S150">
        <f>HYPERLINK("https://klasma.github.io/Logging_0980/artfynd/A 22782-2023 artfynd.xlsx", "A 22782-2023")</f>
        <v/>
      </c>
      <c r="T150">
        <f>HYPERLINK("https://klasma.github.io/Logging_0980/kartor/A 22782-2023 karta.png", "A 22782-2023")</f>
        <v/>
      </c>
      <c r="V150">
        <f>HYPERLINK("https://klasma.github.io/Logging_0980/klagomål/A 22782-2023 FSC-klagomål.docx", "A 22782-2023")</f>
        <v/>
      </c>
      <c r="W150">
        <f>HYPERLINK("https://klasma.github.io/Logging_0980/klagomålsmail/A 22782-2023 FSC-klagomål mail.docx", "A 22782-2023")</f>
        <v/>
      </c>
      <c r="X150">
        <f>HYPERLINK("https://klasma.github.io/Logging_0980/tillsyn/A 22782-2023 tillsynsbegäran.docx", "A 22782-2023")</f>
        <v/>
      </c>
      <c r="Y150">
        <f>HYPERLINK("https://klasma.github.io/Logging_0980/tillsynsmail/A 22782-2023 tillsynsbegäran mail.docx", "A 22782-2023")</f>
        <v/>
      </c>
    </row>
    <row r="151" ht="15" customHeight="1">
      <c r="A151" t="inlineStr">
        <is>
          <t>A 447-2023</t>
        </is>
      </c>
      <c r="B151" s="1" t="n">
        <v>44929</v>
      </c>
      <c r="C151" s="1" t="n">
        <v>46183</v>
      </c>
      <c r="D151" t="inlineStr">
        <is>
          <t>GOTLANDS LÄN</t>
        </is>
      </c>
      <c r="E151" t="inlineStr">
        <is>
          <t>GOTLAND</t>
        </is>
      </c>
      <c r="G151" t="n">
        <v>5.1</v>
      </c>
      <c r="H151" t="n">
        <v>0</v>
      </c>
      <c r="I151" t="n">
        <v>0</v>
      </c>
      <c r="J151" t="n">
        <v>1</v>
      </c>
      <c r="K151" t="n">
        <v>0</v>
      </c>
      <c r="L151" t="n">
        <v>0</v>
      </c>
      <c r="M151" t="n">
        <v>0</v>
      </c>
      <c r="N151" t="n">
        <v>0</v>
      </c>
      <c r="O151" t="n">
        <v>1</v>
      </c>
      <c r="P151" t="n">
        <v>0</v>
      </c>
      <c r="Q151" t="n">
        <v>1</v>
      </c>
      <c r="R151" s="2" t="inlineStr">
        <is>
          <t>Äggspindling</t>
        </is>
      </c>
      <c r="S151">
        <f>HYPERLINK("https://klasma.github.io/Logging_0980/artfynd/A 447-2023 artfynd.xlsx", "A 447-2023")</f>
        <v/>
      </c>
      <c r="T151">
        <f>HYPERLINK("https://klasma.github.io/Logging_0980/kartor/A 447-2023 karta.png", "A 447-2023")</f>
        <v/>
      </c>
      <c r="V151">
        <f>HYPERLINK("https://klasma.github.io/Logging_0980/klagomål/A 447-2023 FSC-klagomål.docx", "A 447-2023")</f>
        <v/>
      </c>
      <c r="W151">
        <f>HYPERLINK("https://klasma.github.io/Logging_0980/klagomålsmail/A 447-2023 FSC-klagomål mail.docx", "A 447-2023")</f>
        <v/>
      </c>
      <c r="X151">
        <f>HYPERLINK("https://klasma.github.io/Logging_0980/tillsyn/A 447-2023 tillsynsbegäran.docx", "A 447-2023")</f>
        <v/>
      </c>
      <c r="Y151">
        <f>HYPERLINK("https://klasma.github.io/Logging_0980/tillsynsmail/A 447-2023 tillsynsbegäran mail.docx", "A 447-2023")</f>
        <v/>
      </c>
    </row>
    <row r="152" ht="15" customHeight="1">
      <c r="A152" t="inlineStr">
        <is>
          <t>A 22883-2024</t>
        </is>
      </c>
      <c r="B152" s="1" t="n">
        <v>45448.66368055555</v>
      </c>
      <c r="C152" s="1" t="n">
        <v>46183</v>
      </c>
      <c r="D152" t="inlineStr">
        <is>
          <t>GOTLANDS LÄN</t>
        </is>
      </c>
      <c r="E152" t="inlineStr">
        <is>
          <t>GOTLAND</t>
        </is>
      </c>
      <c r="G152" t="n">
        <v>0.5</v>
      </c>
      <c r="H152" t="n">
        <v>0</v>
      </c>
      <c r="I152" t="n">
        <v>0</v>
      </c>
      <c r="J152" t="n">
        <v>0</v>
      </c>
      <c r="K152" t="n">
        <v>1</v>
      </c>
      <c r="L152" t="n">
        <v>0</v>
      </c>
      <c r="M152" t="n">
        <v>0</v>
      </c>
      <c r="N152" t="n">
        <v>0</v>
      </c>
      <c r="O152" t="n">
        <v>1</v>
      </c>
      <c r="P152" t="n">
        <v>1</v>
      </c>
      <c r="Q152" t="n">
        <v>1</v>
      </c>
      <c r="R152" s="2" t="inlineStr">
        <is>
          <t>Gotlandsmåra</t>
        </is>
      </c>
      <c r="S152">
        <f>HYPERLINK("https://klasma.github.io/Logging_0980/artfynd/A 22883-2024 artfynd.xlsx", "A 22883-2024")</f>
        <v/>
      </c>
      <c r="T152">
        <f>HYPERLINK("https://klasma.github.io/Logging_0980/kartor/A 22883-2024 karta.png", "A 22883-2024")</f>
        <v/>
      </c>
      <c r="V152">
        <f>HYPERLINK("https://klasma.github.io/Logging_0980/klagomål/A 22883-2024 FSC-klagomål.docx", "A 22883-2024")</f>
        <v/>
      </c>
      <c r="W152">
        <f>HYPERLINK("https://klasma.github.io/Logging_0980/klagomålsmail/A 22883-2024 FSC-klagomål mail.docx", "A 22883-2024")</f>
        <v/>
      </c>
      <c r="X152">
        <f>HYPERLINK("https://klasma.github.io/Logging_0980/tillsyn/A 22883-2024 tillsynsbegäran.docx", "A 22883-2024")</f>
        <v/>
      </c>
      <c r="Y152">
        <f>HYPERLINK("https://klasma.github.io/Logging_0980/tillsynsmail/A 22883-2024 tillsynsbegäran mail.docx", "A 22883-2024")</f>
        <v/>
      </c>
    </row>
    <row r="153" ht="15" customHeight="1">
      <c r="A153" t="inlineStr">
        <is>
          <t>A 947-2023</t>
        </is>
      </c>
      <c r="B153" s="1" t="n">
        <v>44934</v>
      </c>
      <c r="C153" s="1" t="n">
        <v>46183</v>
      </c>
      <c r="D153" t="inlineStr">
        <is>
          <t>GOTLANDS LÄN</t>
        </is>
      </c>
      <c r="E153" t="inlineStr">
        <is>
          <t>GOTLAND</t>
        </is>
      </c>
      <c r="G153" t="n">
        <v>0.7</v>
      </c>
      <c r="H153" t="n">
        <v>1</v>
      </c>
      <c r="I153" t="n">
        <v>0</v>
      </c>
      <c r="J153" t="n">
        <v>0</v>
      </c>
      <c r="K153" t="n">
        <v>1</v>
      </c>
      <c r="L153" t="n">
        <v>0</v>
      </c>
      <c r="M153" t="n">
        <v>0</v>
      </c>
      <c r="N153" t="n">
        <v>0</v>
      </c>
      <c r="O153" t="n">
        <v>1</v>
      </c>
      <c r="P153" t="n">
        <v>1</v>
      </c>
      <c r="Q153" t="n">
        <v>1</v>
      </c>
      <c r="R153" s="2" t="inlineStr">
        <is>
          <t>Garderönn</t>
        </is>
      </c>
      <c r="S153">
        <f>HYPERLINK("https://klasma.github.io/Logging_0980/artfynd/A 947-2023 artfynd.xlsx", "A 947-2023")</f>
        <v/>
      </c>
      <c r="T153">
        <f>HYPERLINK("https://klasma.github.io/Logging_0980/kartor/A 947-2023 karta.png", "A 947-2023")</f>
        <v/>
      </c>
      <c r="V153">
        <f>HYPERLINK("https://klasma.github.io/Logging_0980/klagomål/A 947-2023 FSC-klagomål.docx", "A 947-2023")</f>
        <v/>
      </c>
      <c r="W153">
        <f>HYPERLINK("https://klasma.github.io/Logging_0980/klagomålsmail/A 947-2023 FSC-klagomål mail.docx", "A 947-2023")</f>
        <v/>
      </c>
      <c r="X153">
        <f>HYPERLINK("https://klasma.github.io/Logging_0980/tillsyn/A 947-2023 tillsynsbegäran.docx", "A 947-2023")</f>
        <v/>
      </c>
      <c r="Y153">
        <f>HYPERLINK("https://klasma.github.io/Logging_0980/tillsynsmail/A 947-2023 tillsynsbegäran mail.docx", "A 947-2023")</f>
        <v/>
      </c>
    </row>
    <row r="154" ht="15" customHeight="1">
      <c r="A154" t="inlineStr">
        <is>
          <t>A 49304-2024</t>
        </is>
      </c>
      <c r="B154" s="1" t="n">
        <v>45595.54996527778</v>
      </c>
      <c r="C154" s="1" t="n">
        <v>46183</v>
      </c>
      <c r="D154" t="inlineStr">
        <is>
          <t>GOTLANDS LÄN</t>
        </is>
      </c>
      <c r="E154" t="inlineStr">
        <is>
          <t>GOTLAND</t>
        </is>
      </c>
      <c r="G154" t="n">
        <v>10.8</v>
      </c>
      <c r="H154" t="n">
        <v>0</v>
      </c>
      <c r="I154" t="n">
        <v>0</v>
      </c>
      <c r="J154" t="n">
        <v>1</v>
      </c>
      <c r="K154" t="n">
        <v>0</v>
      </c>
      <c r="L154" t="n">
        <v>0</v>
      </c>
      <c r="M154" t="n">
        <v>0</v>
      </c>
      <c r="N154" t="n">
        <v>0</v>
      </c>
      <c r="O154" t="n">
        <v>1</v>
      </c>
      <c r="P154" t="n">
        <v>0</v>
      </c>
      <c r="Q154" t="n">
        <v>1</v>
      </c>
      <c r="R154" s="2" t="inlineStr">
        <is>
          <t>Åkerranunkel</t>
        </is>
      </c>
      <c r="S154">
        <f>HYPERLINK("https://klasma.github.io/Logging_0980/artfynd/A 49304-2024 artfynd.xlsx", "A 49304-2024")</f>
        <v/>
      </c>
      <c r="T154">
        <f>HYPERLINK("https://klasma.github.io/Logging_0980/kartor/A 49304-2024 karta.png", "A 49304-2024")</f>
        <v/>
      </c>
      <c r="V154">
        <f>HYPERLINK("https://klasma.github.io/Logging_0980/klagomål/A 49304-2024 FSC-klagomål.docx", "A 49304-2024")</f>
        <v/>
      </c>
      <c r="W154">
        <f>HYPERLINK("https://klasma.github.io/Logging_0980/klagomålsmail/A 49304-2024 FSC-klagomål mail.docx", "A 49304-2024")</f>
        <v/>
      </c>
      <c r="X154">
        <f>HYPERLINK("https://klasma.github.io/Logging_0980/tillsyn/A 49304-2024 tillsynsbegäran.docx", "A 49304-2024")</f>
        <v/>
      </c>
      <c r="Y154">
        <f>HYPERLINK("https://klasma.github.io/Logging_0980/tillsynsmail/A 49304-2024 tillsynsbegäran mail.docx", "A 49304-2024")</f>
        <v/>
      </c>
    </row>
    <row r="155" ht="15" customHeight="1">
      <c r="A155" t="inlineStr">
        <is>
          <t>A 24245-2022</t>
        </is>
      </c>
      <c r="B155" s="1" t="n">
        <v>44725</v>
      </c>
      <c r="C155" s="1" t="n">
        <v>46183</v>
      </c>
      <c r="D155" t="inlineStr">
        <is>
          <t>GOTLANDS LÄN</t>
        </is>
      </c>
      <c r="E155" t="inlineStr">
        <is>
          <t>GOTLAND</t>
        </is>
      </c>
      <c r="G155" t="n">
        <v>4.9</v>
      </c>
      <c r="H155" t="n">
        <v>0</v>
      </c>
      <c r="I155" t="n">
        <v>0</v>
      </c>
      <c r="J155" t="n">
        <v>0</v>
      </c>
      <c r="K155" t="n">
        <v>0</v>
      </c>
      <c r="L155" t="n">
        <v>1</v>
      </c>
      <c r="M155" t="n">
        <v>0</v>
      </c>
      <c r="N155" t="n">
        <v>0</v>
      </c>
      <c r="O155" t="n">
        <v>1</v>
      </c>
      <c r="P155" t="n">
        <v>1</v>
      </c>
      <c r="Q155" t="n">
        <v>1</v>
      </c>
      <c r="R155" s="2" t="inlineStr">
        <is>
          <t>Slät taggsvamp</t>
        </is>
      </c>
      <c r="S155">
        <f>HYPERLINK("https://klasma.github.io/Logging_0980/artfynd/A 24245-2022 artfynd.xlsx", "A 24245-2022")</f>
        <v/>
      </c>
      <c r="T155">
        <f>HYPERLINK("https://klasma.github.io/Logging_0980/kartor/A 24245-2022 karta.png", "A 24245-2022")</f>
        <v/>
      </c>
      <c r="V155">
        <f>HYPERLINK("https://klasma.github.io/Logging_0980/klagomål/A 24245-2022 FSC-klagomål.docx", "A 24245-2022")</f>
        <v/>
      </c>
      <c r="W155">
        <f>HYPERLINK("https://klasma.github.io/Logging_0980/klagomålsmail/A 24245-2022 FSC-klagomål mail.docx", "A 24245-2022")</f>
        <v/>
      </c>
      <c r="X155">
        <f>HYPERLINK("https://klasma.github.io/Logging_0980/tillsyn/A 24245-2022 tillsynsbegäran.docx", "A 24245-2022")</f>
        <v/>
      </c>
      <c r="Y155">
        <f>HYPERLINK("https://klasma.github.io/Logging_0980/tillsynsmail/A 24245-2022 tillsynsbegäran mail.docx", "A 24245-2022")</f>
        <v/>
      </c>
    </row>
    <row r="156" ht="15" customHeight="1">
      <c r="A156" t="inlineStr">
        <is>
          <t>A 49847-2023</t>
        </is>
      </c>
      <c r="B156" s="1" t="n">
        <v>45212</v>
      </c>
      <c r="C156" s="1" t="n">
        <v>46183</v>
      </c>
      <c r="D156" t="inlineStr">
        <is>
          <t>GOTLANDS LÄN</t>
        </is>
      </c>
      <c r="E156" t="inlineStr">
        <is>
          <t>GOTLAND</t>
        </is>
      </c>
      <c r="G156" t="n">
        <v>35.2</v>
      </c>
      <c r="H156" t="n">
        <v>0</v>
      </c>
      <c r="I156" t="n">
        <v>0</v>
      </c>
      <c r="J156" t="n">
        <v>0</v>
      </c>
      <c r="K156" t="n">
        <v>1</v>
      </c>
      <c r="L156" t="n">
        <v>0</v>
      </c>
      <c r="M156" t="n">
        <v>0</v>
      </c>
      <c r="N156" t="n">
        <v>0</v>
      </c>
      <c r="O156" t="n">
        <v>1</v>
      </c>
      <c r="P156" t="n">
        <v>1</v>
      </c>
      <c r="Q156" t="n">
        <v>1</v>
      </c>
      <c r="R156" s="2" t="inlineStr">
        <is>
          <t>Strandviol</t>
        </is>
      </c>
      <c r="S156">
        <f>HYPERLINK("https://klasma.github.io/Logging_0980/artfynd/A 49847-2023 artfynd.xlsx", "A 49847-2023")</f>
        <v/>
      </c>
      <c r="T156">
        <f>HYPERLINK("https://klasma.github.io/Logging_0980/kartor/A 49847-2023 karta.png", "A 49847-2023")</f>
        <v/>
      </c>
      <c r="V156">
        <f>HYPERLINK("https://klasma.github.io/Logging_0980/klagomål/A 49847-2023 FSC-klagomål.docx", "A 49847-2023")</f>
        <v/>
      </c>
      <c r="W156">
        <f>HYPERLINK("https://klasma.github.io/Logging_0980/klagomålsmail/A 49847-2023 FSC-klagomål mail.docx", "A 49847-2023")</f>
        <v/>
      </c>
      <c r="X156">
        <f>HYPERLINK("https://klasma.github.io/Logging_0980/tillsyn/A 49847-2023 tillsynsbegäran.docx", "A 49847-2023")</f>
        <v/>
      </c>
      <c r="Y156">
        <f>HYPERLINK("https://klasma.github.io/Logging_0980/tillsynsmail/A 49847-2023 tillsynsbegäran mail.docx", "A 49847-2023")</f>
        <v/>
      </c>
    </row>
    <row r="157" ht="15" customHeight="1">
      <c r="A157" t="inlineStr">
        <is>
          <t>A 46527-2023</t>
        </is>
      </c>
      <c r="B157" s="1" t="n">
        <v>45197</v>
      </c>
      <c r="C157" s="1" t="n">
        <v>46183</v>
      </c>
      <c r="D157" t="inlineStr">
        <is>
          <t>GOTLANDS LÄN</t>
        </is>
      </c>
      <c r="E157" t="inlineStr">
        <is>
          <t>GOTLAND</t>
        </is>
      </c>
      <c r="G157" t="n">
        <v>0.9</v>
      </c>
      <c r="H157" t="n">
        <v>0</v>
      </c>
      <c r="I157" t="n">
        <v>0</v>
      </c>
      <c r="J157" t="n">
        <v>1</v>
      </c>
      <c r="K157" t="n">
        <v>0</v>
      </c>
      <c r="L157" t="n">
        <v>0</v>
      </c>
      <c r="M157" t="n">
        <v>0</v>
      </c>
      <c r="N157" t="n">
        <v>0</v>
      </c>
      <c r="O157" t="n">
        <v>1</v>
      </c>
      <c r="P157" t="n">
        <v>0</v>
      </c>
      <c r="Q157" t="n">
        <v>1</v>
      </c>
      <c r="R157" s="2" t="inlineStr">
        <is>
          <t>Guldgräshoppa</t>
        </is>
      </c>
      <c r="S157">
        <f>HYPERLINK("https://klasma.github.io/Logging_0980/artfynd/A 46527-2023 artfynd.xlsx", "A 46527-2023")</f>
        <v/>
      </c>
      <c r="T157">
        <f>HYPERLINK("https://klasma.github.io/Logging_0980/kartor/A 46527-2023 karta.png", "A 46527-2023")</f>
        <v/>
      </c>
      <c r="V157">
        <f>HYPERLINK("https://klasma.github.io/Logging_0980/klagomål/A 46527-2023 FSC-klagomål.docx", "A 46527-2023")</f>
        <v/>
      </c>
      <c r="W157">
        <f>HYPERLINK("https://klasma.github.io/Logging_0980/klagomålsmail/A 46527-2023 FSC-klagomål mail.docx", "A 46527-2023")</f>
        <v/>
      </c>
      <c r="X157">
        <f>HYPERLINK("https://klasma.github.io/Logging_0980/tillsyn/A 46527-2023 tillsynsbegäran.docx", "A 46527-2023")</f>
        <v/>
      </c>
      <c r="Y157">
        <f>HYPERLINK("https://klasma.github.io/Logging_0980/tillsynsmail/A 46527-2023 tillsynsbegäran mail.docx", "A 46527-2023")</f>
        <v/>
      </c>
    </row>
    <row r="158" ht="15" customHeight="1">
      <c r="A158" t="inlineStr">
        <is>
          <t>A 11708-2026</t>
        </is>
      </c>
      <c r="B158" s="1" t="n">
        <v>46084</v>
      </c>
      <c r="C158" s="1" t="n">
        <v>46183</v>
      </c>
      <c r="D158" t="inlineStr">
        <is>
          <t>GOTLANDS LÄN</t>
        </is>
      </c>
      <c r="E158" t="inlineStr">
        <is>
          <t>GOTLAND</t>
        </is>
      </c>
      <c r="G158" t="n">
        <v>8.4</v>
      </c>
      <c r="H158" t="n">
        <v>1</v>
      </c>
      <c r="I158" t="n">
        <v>0</v>
      </c>
      <c r="J158" t="n">
        <v>1</v>
      </c>
      <c r="K158" t="n">
        <v>0</v>
      </c>
      <c r="L158" t="n">
        <v>0</v>
      </c>
      <c r="M158" t="n">
        <v>0</v>
      </c>
      <c r="N158" t="n">
        <v>0</v>
      </c>
      <c r="O158" t="n">
        <v>1</v>
      </c>
      <c r="P158" t="n">
        <v>0</v>
      </c>
      <c r="Q158" t="n">
        <v>1</v>
      </c>
      <c r="R158" s="2" t="inlineStr">
        <is>
          <t>Bredarun</t>
        </is>
      </c>
      <c r="S158">
        <f>HYPERLINK("https://klasma.github.io/Logging_0980/artfynd/A 11708-2026 artfynd.xlsx", "A 11708-2026")</f>
        <v/>
      </c>
      <c r="T158">
        <f>HYPERLINK("https://klasma.github.io/Logging_0980/kartor/A 11708-2026 karta.png", "A 11708-2026")</f>
        <v/>
      </c>
      <c r="V158">
        <f>HYPERLINK("https://klasma.github.io/Logging_0980/klagomål/A 11708-2026 FSC-klagomål.docx", "A 11708-2026")</f>
        <v/>
      </c>
      <c r="W158">
        <f>HYPERLINK("https://klasma.github.io/Logging_0980/klagomålsmail/A 11708-2026 FSC-klagomål mail.docx", "A 11708-2026")</f>
        <v/>
      </c>
      <c r="X158">
        <f>HYPERLINK("https://klasma.github.io/Logging_0980/tillsyn/A 11708-2026 tillsynsbegäran.docx", "A 11708-2026")</f>
        <v/>
      </c>
      <c r="Y158">
        <f>HYPERLINK("https://klasma.github.io/Logging_0980/tillsynsmail/A 11708-2026 tillsynsbegäran mail.docx", "A 11708-2026")</f>
        <v/>
      </c>
    </row>
    <row r="159" ht="15" customHeight="1">
      <c r="A159" t="inlineStr">
        <is>
          <t>A 13482-2026</t>
        </is>
      </c>
      <c r="B159" s="1" t="n">
        <v>46094</v>
      </c>
      <c r="C159" s="1" t="n">
        <v>46183</v>
      </c>
      <c r="D159" t="inlineStr">
        <is>
          <t>GOTLANDS LÄN</t>
        </is>
      </c>
      <c r="E159" t="inlineStr">
        <is>
          <t>GOTLAND</t>
        </is>
      </c>
      <c r="G159" t="n">
        <v>1.7</v>
      </c>
      <c r="H159" t="n">
        <v>1</v>
      </c>
      <c r="I159" t="n">
        <v>0</v>
      </c>
      <c r="J159" t="n">
        <v>1</v>
      </c>
      <c r="K159" t="n">
        <v>0</v>
      </c>
      <c r="L159" t="n">
        <v>0</v>
      </c>
      <c r="M159" t="n">
        <v>0</v>
      </c>
      <c r="N159" t="n">
        <v>0</v>
      </c>
      <c r="O159" t="n">
        <v>1</v>
      </c>
      <c r="P159" t="n">
        <v>0</v>
      </c>
      <c r="Q159" t="n">
        <v>1</v>
      </c>
      <c r="R159" s="2" t="inlineStr">
        <is>
          <t>Spillkråka</t>
        </is>
      </c>
      <c r="S159">
        <f>HYPERLINK("https://klasma.github.io/Logging_0980/artfynd/A 13482-2026 artfynd.xlsx", "A 13482-2026")</f>
        <v/>
      </c>
      <c r="T159">
        <f>HYPERLINK("https://klasma.github.io/Logging_0980/kartor/A 13482-2026 karta.png", "A 13482-2026")</f>
        <v/>
      </c>
      <c r="V159">
        <f>HYPERLINK("https://klasma.github.io/Logging_0980/klagomål/A 13482-2026 FSC-klagomål.docx", "A 13482-2026")</f>
        <v/>
      </c>
      <c r="W159">
        <f>HYPERLINK("https://klasma.github.io/Logging_0980/klagomålsmail/A 13482-2026 FSC-klagomål mail.docx", "A 13482-2026")</f>
        <v/>
      </c>
      <c r="X159">
        <f>HYPERLINK("https://klasma.github.io/Logging_0980/tillsyn/A 13482-2026 tillsynsbegäran.docx", "A 13482-2026")</f>
        <v/>
      </c>
      <c r="Y159">
        <f>HYPERLINK("https://klasma.github.io/Logging_0980/tillsynsmail/A 13482-2026 tillsynsbegäran mail.docx", "A 13482-2026")</f>
        <v/>
      </c>
      <c r="Z159">
        <f>HYPERLINK("https://klasma.github.io/Logging_0980/fåglar/A 13482-2026 prioriterade fågelarter.docx", "A 13482-2026")</f>
        <v/>
      </c>
    </row>
    <row r="160" ht="15" customHeight="1">
      <c r="A160" t="inlineStr">
        <is>
          <t>A 22281-2026</t>
        </is>
      </c>
      <c r="B160" s="1" t="n">
        <v>46154</v>
      </c>
      <c r="C160" s="1" t="n">
        <v>46183</v>
      </c>
      <c r="D160" t="inlineStr">
        <is>
          <t>GOTLANDS LÄN</t>
        </is>
      </c>
      <c r="E160" t="inlineStr">
        <is>
          <t>GOTLAND</t>
        </is>
      </c>
      <c r="G160" t="n">
        <v>8.1</v>
      </c>
      <c r="H160" t="n">
        <v>0</v>
      </c>
      <c r="I160" t="n">
        <v>0</v>
      </c>
      <c r="J160" t="n">
        <v>1</v>
      </c>
      <c r="K160" t="n">
        <v>0</v>
      </c>
      <c r="L160" t="n">
        <v>0</v>
      </c>
      <c r="M160" t="n">
        <v>0</v>
      </c>
      <c r="N160" t="n">
        <v>0</v>
      </c>
      <c r="O160" t="n">
        <v>1</v>
      </c>
      <c r="P160" t="n">
        <v>0</v>
      </c>
      <c r="Q160" t="n">
        <v>1</v>
      </c>
      <c r="R160" s="2" t="inlineStr">
        <is>
          <t>Vasstandad trädbasbagge</t>
        </is>
      </c>
      <c r="S160">
        <f>HYPERLINK("https://klasma.github.io/Logging_0980/artfynd/A 22281-2026 artfynd.xlsx", "A 22281-2026")</f>
        <v/>
      </c>
      <c r="T160">
        <f>HYPERLINK("https://klasma.github.io/Logging_0980/kartor/A 22281-2026 karta.png", "A 22281-2026")</f>
        <v/>
      </c>
      <c r="V160">
        <f>HYPERLINK("https://klasma.github.io/Logging_0980/klagomål/A 22281-2026 FSC-klagomål.docx", "A 22281-2026")</f>
        <v/>
      </c>
      <c r="W160">
        <f>HYPERLINK("https://klasma.github.io/Logging_0980/klagomålsmail/A 22281-2026 FSC-klagomål mail.docx", "A 22281-2026")</f>
        <v/>
      </c>
      <c r="X160">
        <f>HYPERLINK("https://klasma.github.io/Logging_0980/tillsyn/A 22281-2026 tillsynsbegäran.docx", "A 22281-2026")</f>
        <v/>
      </c>
      <c r="Y160">
        <f>HYPERLINK("https://klasma.github.io/Logging_0980/tillsynsmail/A 22281-2026 tillsynsbegäran mail.docx", "A 22281-2026")</f>
        <v/>
      </c>
    </row>
    <row r="161" ht="15" customHeight="1">
      <c r="A161" t="inlineStr">
        <is>
          <t>A 17854-2026</t>
        </is>
      </c>
      <c r="B161" s="1" t="n">
        <v>46121</v>
      </c>
      <c r="C161" s="1" t="n">
        <v>46183</v>
      </c>
      <c r="D161" t="inlineStr">
        <is>
          <t>GOTLANDS LÄN</t>
        </is>
      </c>
      <c r="E161" t="inlineStr">
        <is>
          <t>GOTLAND</t>
        </is>
      </c>
      <c r="G161" t="n">
        <v>6.6</v>
      </c>
      <c r="H161" t="n">
        <v>0</v>
      </c>
      <c r="I161" t="n">
        <v>1</v>
      </c>
      <c r="J161" t="n">
        <v>0</v>
      </c>
      <c r="K161" t="n">
        <v>0</v>
      </c>
      <c r="L161" t="n">
        <v>0</v>
      </c>
      <c r="M161" t="n">
        <v>0</v>
      </c>
      <c r="N161" t="n">
        <v>0</v>
      </c>
      <c r="O161" t="n">
        <v>0</v>
      </c>
      <c r="P161" t="n">
        <v>0</v>
      </c>
      <c r="Q161" t="n">
        <v>1</v>
      </c>
      <c r="R161" s="2" t="inlineStr">
        <is>
          <t>Blå slemspindling</t>
        </is>
      </c>
      <c r="S161">
        <f>HYPERLINK("https://klasma.github.io/Logging_0980/artfynd/A 17854-2026 artfynd.xlsx", "A 17854-2026")</f>
        <v/>
      </c>
      <c r="T161">
        <f>HYPERLINK("https://klasma.github.io/Logging_0980/kartor/A 17854-2026 karta.png", "A 17854-2026")</f>
        <v/>
      </c>
      <c r="V161">
        <f>HYPERLINK("https://klasma.github.io/Logging_0980/klagomål/A 17854-2026 FSC-klagomål.docx", "A 17854-2026")</f>
        <v/>
      </c>
      <c r="W161">
        <f>HYPERLINK("https://klasma.github.io/Logging_0980/klagomålsmail/A 17854-2026 FSC-klagomål mail.docx", "A 17854-2026")</f>
        <v/>
      </c>
      <c r="X161">
        <f>HYPERLINK("https://klasma.github.io/Logging_0980/tillsyn/A 17854-2026 tillsynsbegäran.docx", "A 17854-2026")</f>
        <v/>
      </c>
      <c r="Y161">
        <f>HYPERLINK("https://klasma.github.io/Logging_0980/tillsynsmail/A 17854-2026 tillsynsbegäran mail.docx", "A 17854-2026")</f>
        <v/>
      </c>
    </row>
    <row r="162" ht="15" customHeight="1">
      <c r="A162" t="inlineStr">
        <is>
          <t>A 18036-2026</t>
        </is>
      </c>
      <c r="B162" s="1" t="n">
        <v>46125.39576388889</v>
      </c>
      <c r="C162" s="1" t="n">
        <v>46183</v>
      </c>
      <c r="D162" t="inlineStr">
        <is>
          <t>GOTLANDS LÄN</t>
        </is>
      </c>
      <c r="E162" t="inlineStr">
        <is>
          <t>GOTLAND</t>
        </is>
      </c>
      <c r="G162" t="n">
        <v>1.8</v>
      </c>
      <c r="H162" t="n">
        <v>0</v>
      </c>
      <c r="I162" t="n">
        <v>0</v>
      </c>
      <c r="J162" t="n">
        <v>1</v>
      </c>
      <c r="K162" t="n">
        <v>0</v>
      </c>
      <c r="L162" t="n">
        <v>0</v>
      </c>
      <c r="M162" t="n">
        <v>0</v>
      </c>
      <c r="N162" t="n">
        <v>0</v>
      </c>
      <c r="O162" t="n">
        <v>1</v>
      </c>
      <c r="P162" t="n">
        <v>0</v>
      </c>
      <c r="Q162" t="n">
        <v>1</v>
      </c>
      <c r="R162" s="2" t="inlineStr">
        <is>
          <t>Sommarfibbla</t>
        </is>
      </c>
      <c r="S162">
        <f>HYPERLINK("https://klasma.github.io/Logging_0980/artfynd/A 18036-2026 artfynd.xlsx", "A 18036-2026")</f>
        <v/>
      </c>
      <c r="T162">
        <f>HYPERLINK("https://klasma.github.io/Logging_0980/kartor/A 18036-2026 karta.png", "A 18036-2026")</f>
        <v/>
      </c>
      <c r="V162">
        <f>HYPERLINK("https://klasma.github.io/Logging_0980/klagomål/A 18036-2026 FSC-klagomål.docx", "A 18036-2026")</f>
        <v/>
      </c>
      <c r="W162">
        <f>HYPERLINK("https://klasma.github.io/Logging_0980/klagomålsmail/A 18036-2026 FSC-klagomål mail.docx", "A 18036-2026")</f>
        <v/>
      </c>
      <c r="X162">
        <f>HYPERLINK("https://klasma.github.io/Logging_0980/tillsyn/A 18036-2026 tillsynsbegäran.docx", "A 18036-2026")</f>
        <v/>
      </c>
      <c r="Y162">
        <f>HYPERLINK("https://klasma.github.io/Logging_0980/tillsynsmail/A 18036-2026 tillsynsbegäran mail.docx", "A 18036-2026")</f>
        <v/>
      </c>
    </row>
    <row r="163" ht="15" customHeight="1">
      <c r="A163" t="inlineStr">
        <is>
          <t>A 36313-2021</t>
        </is>
      </c>
      <c r="B163" s="1" t="n">
        <v>44390</v>
      </c>
      <c r="C163" s="1" t="n">
        <v>46183</v>
      </c>
      <c r="D163" t="inlineStr">
        <is>
          <t>GOTLANDS LÄN</t>
        </is>
      </c>
      <c r="E163" t="inlineStr">
        <is>
          <t>GOTLAND</t>
        </is>
      </c>
      <c r="G163" t="n">
        <v>2.2</v>
      </c>
      <c r="H163" t="n">
        <v>0</v>
      </c>
      <c r="I163" t="n">
        <v>0</v>
      </c>
      <c r="J163" t="n">
        <v>0</v>
      </c>
      <c r="K163" t="n">
        <v>0</v>
      </c>
      <c r="L163" t="n">
        <v>0</v>
      </c>
      <c r="M163" t="n">
        <v>0</v>
      </c>
      <c r="N163" t="n">
        <v>0</v>
      </c>
      <c r="O163" t="n">
        <v>0</v>
      </c>
      <c r="P163" t="n">
        <v>0</v>
      </c>
      <c r="Q163" t="n">
        <v>0</v>
      </c>
      <c r="R163" s="2" t="inlineStr"/>
    </row>
    <row r="164" ht="15" customHeight="1">
      <c r="A164" t="inlineStr">
        <is>
          <t>A 31981-2021</t>
        </is>
      </c>
      <c r="B164" s="1" t="n">
        <v>44370</v>
      </c>
      <c r="C164" s="1" t="n">
        <v>46183</v>
      </c>
      <c r="D164" t="inlineStr">
        <is>
          <t>GOTLANDS LÄN</t>
        </is>
      </c>
      <c r="E164" t="inlineStr">
        <is>
          <t>GOTLAND</t>
        </is>
      </c>
      <c r="G164" t="n">
        <v>6.1</v>
      </c>
      <c r="H164" t="n">
        <v>0</v>
      </c>
      <c r="I164" t="n">
        <v>0</v>
      </c>
      <c r="J164" t="n">
        <v>0</v>
      </c>
      <c r="K164" t="n">
        <v>0</v>
      </c>
      <c r="L164" t="n">
        <v>0</v>
      </c>
      <c r="M164" t="n">
        <v>0</v>
      </c>
      <c r="N164" t="n">
        <v>0</v>
      </c>
      <c r="O164" t="n">
        <v>0</v>
      </c>
      <c r="P164" t="n">
        <v>0</v>
      </c>
      <c r="Q164" t="n">
        <v>0</v>
      </c>
      <c r="R164" s="2" t="inlineStr"/>
    </row>
    <row r="165" ht="15" customHeight="1">
      <c r="A165" t="inlineStr">
        <is>
          <t>A 50892-2021</t>
        </is>
      </c>
      <c r="B165" s="1" t="n">
        <v>44459</v>
      </c>
      <c r="C165" s="1" t="n">
        <v>46183</v>
      </c>
      <c r="D165" t="inlineStr">
        <is>
          <t>GOTLANDS LÄN</t>
        </is>
      </c>
      <c r="E165" t="inlineStr">
        <is>
          <t>GOTLAND</t>
        </is>
      </c>
      <c r="G165" t="n">
        <v>0.8</v>
      </c>
      <c r="H165" t="n">
        <v>0</v>
      </c>
      <c r="I165" t="n">
        <v>0</v>
      </c>
      <c r="J165" t="n">
        <v>0</v>
      </c>
      <c r="K165" t="n">
        <v>0</v>
      </c>
      <c r="L165" t="n">
        <v>0</v>
      </c>
      <c r="M165" t="n">
        <v>0</v>
      </c>
      <c r="N165" t="n">
        <v>0</v>
      </c>
      <c r="O165" t="n">
        <v>0</v>
      </c>
      <c r="P165" t="n">
        <v>0</v>
      </c>
      <c r="Q165" t="n">
        <v>0</v>
      </c>
      <c r="R165" s="2" t="inlineStr"/>
    </row>
    <row r="166" ht="15" customHeight="1">
      <c r="A166" t="inlineStr">
        <is>
          <t>A 16858-2022</t>
        </is>
      </c>
      <c r="B166" s="1" t="n">
        <v>44674.62</v>
      </c>
      <c r="C166" s="1" t="n">
        <v>46183</v>
      </c>
      <c r="D166" t="inlineStr">
        <is>
          <t>GOTLANDS LÄN</t>
        </is>
      </c>
      <c r="E166" t="inlineStr">
        <is>
          <t>GOTLAND</t>
        </is>
      </c>
      <c r="G166" t="n">
        <v>1.4</v>
      </c>
      <c r="H166" t="n">
        <v>0</v>
      </c>
      <c r="I166" t="n">
        <v>0</v>
      </c>
      <c r="J166" t="n">
        <v>0</v>
      </c>
      <c r="K166" t="n">
        <v>0</v>
      </c>
      <c r="L166" t="n">
        <v>0</v>
      </c>
      <c r="M166" t="n">
        <v>0</v>
      </c>
      <c r="N166" t="n">
        <v>0</v>
      </c>
      <c r="O166" t="n">
        <v>0</v>
      </c>
      <c r="P166" t="n">
        <v>0</v>
      </c>
      <c r="Q166" t="n">
        <v>0</v>
      </c>
      <c r="R166" s="2" t="inlineStr"/>
    </row>
    <row r="167" ht="15" customHeight="1">
      <c r="A167" t="inlineStr">
        <is>
          <t>A 44108-2022</t>
        </is>
      </c>
      <c r="B167" s="1" t="n">
        <v>44839.38159722222</v>
      </c>
      <c r="C167" s="1" t="n">
        <v>46183</v>
      </c>
      <c r="D167" t="inlineStr">
        <is>
          <t>GOTLANDS LÄN</t>
        </is>
      </c>
      <c r="E167" t="inlineStr">
        <is>
          <t>GOTLAND</t>
        </is>
      </c>
      <c r="G167" t="n">
        <v>12.9</v>
      </c>
      <c r="H167" t="n">
        <v>0</v>
      </c>
      <c r="I167" t="n">
        <v>0</v>
      </c>
      <c r="J167" t="n">
        <v>0</v>
      </c>
      <c r="K167" t="n">
        <v>0</v>
      </c>
      <c r="L167" t="n">
        <v>0</v>
      </c>
      <c r="M167" t="n">
        <v>0</v>
      </c>
      <c r="N167" t="n">
        <v>0</v>
      </c>
      <c r="O167" t="n">
        <v>0</v>
      </c>
      <c r="P167" t="n">
        <v>0</v>
      </c>
      <c r="Q167" t="n">
        <v>0</v>
      </c>
      <c r="R167" s="2" t="inlineStr"/>
    </row>
    <row r="168" ht="15" customHeight="1">
      <c r="A168" t="inlineStr">
        <is>
          <t>A 24235-2022</t>
        </is>
      </c>
      <c r="B168" s="1" t="n">
        <v>44725</v>
      </c>
      <c r="C168" s="1" t="n">
        <v>46183</v>
      </c>
      <c r="D168" t="inlineStr">
        <is>
          <t>GOTLANDS LÄN</t>
        </is>
      </c>
      <c r="E168" t="inlineStr">
        <is>
          <t>GOTLAND</t>
        </is>
      </c>
      <c r="G168" t="n">
        <v>0.8</v>
      </c>
      <c r="H168" t="n">
        <v>0</v>
      </c>
      <c r="I168" t="n">
        <v>0</v>
      </c>
      <c r="J168" t="n">
        <v>0</v>
      </c>
      <c r="K168" t="n">
        <v>0</v>
      </c>
      <c r="L168" t="n">
        <v>0</v>
      </c>
      <c r="M168" t="n">
        <v>0</v>
      </c>
      <c r="N168" t="n">
        <v>0</v>
      </c>
      <c r="O168" t="n">
        <v>0</v>
      </c>
      <c r="P168" t="n">
        <v>0</v>
      </c>
      <c r="Q168" t="n">
        <v>0</v>
      </c>
      <c r="R168" s="2" t="inlineStr"/>
    </row>
    <row r="169" ht="15" customHeight="1">
      <c r="A169" t="inlineStr">
        <is>
          <t>A 32647-2021</t>
        </is>
      </c>
      <c r="B169" s="1" t="n">
        <v>44375</v>
      </c>
      <c r="C169" s="1" t="n">
        <v>46183</v>
      </c>
      <c r="D169" t="inlineStr">
        <is>
          <t>GOTLANDS LÄN</t>
        </is>
      </c>
      <c r="E169" t="inlineStr">
        <is>
          <t>GOTLAND</t>
        </is>
      </c>
      <c r="G169" t="n">
        <v>1.7</v>
      </c>
      <c r="H169" t="n">
        <v>0</v>
      </c>
      <c r="I169" t="n">
        <v>0</v>
      </c>
      <c r="J169" t="n">
        <v>0</v>
      </c>
      <c r="K169" t="n">
        <v>0</v>
      </c>
      <c r="L169" t="n">
        <v>0</v>
      </c>
      <c r="M169" t="n">
        <v>0</v>
      </c>
      <c r="N169" t="n">
        <v>0</v>
      </c>
      <c r="O169" t="n">
        <v>0</v>
      </c>
      <c r="P169" t="n">
        <v>0</v>
      </c>
      <c r="Q169" t="n">
        <v>0</v>
      </c>
      <c r="R169" s="2" t="inlineStr"/>
    </row>
    <row r="170" ht="15" customHeight="1">
      <c r="A170" t="inlineStr">
        <is>
          <t>A 39909-2021</t>
        </is>
      </c>
      <c r="B170" s="1" t="n">
        <v>44417.82444444444</v>
      </c>
      <c r="C170" s="1" t="n">
        <v>46183</v>
      </c>
      <c r="D170" t="inlineStr">
        <is>
          <t>GOTLANDS LÄN</t>
        </is>
      </c>
      <c r="E170" t="inlineStr">
        <is>
          <t>GOTLAND</t>
        </is>
      </c>
      <c r="G170" t="n">
        <v>1.1</v>
      </c>
      <c r="H170" t="n">
        <v>0</v>
      </c>
      <c r="I170" t="n">
        <v>0</v>
      </c>
      <c r="J170" t="n">
        <v>0</v>
      </c>
      <c r="K170" t="n">
        <v>0</v>
      </c>
      <c r="L170" t="n">
        <v>0</v>
      </c>
      <c r="M170" t="n">
        <v>0</v>
      </c>
      <c r="N170" t="n">
        <v>0</v>
      </c>
      <c r="O170" t="n">
        <v>0</v>
      </c>
      <c r="P170" t="n">
        <v>0</v>
      </c>
      <c r="Q170" t="n">
        <v>0</v>
      </c>
      <c r="R170" s="2" t="inlineStr"/>
    </row>
    <row r="171" ht="15" customHeight="1">
      <c r="A171" t="inlineStr">
        <is>
          <t>A 22498-2022</t>
        </is>
      </c>
      <c r="B171" s="1" t="n">
        <v>44713.64682870371</v>
      </c>
      <c r="C171" s="1" t="n">
        <v>46183</v>
      </c>
      <c r="D171" t="inlineStr">
        <is>
          <t>GOTLANDS LÄN</t>
        </is>
      </c>
      <c r="E171" t="inlineStr">
        <is>
          <t>GOTLAND</t>
        </is>
      </c>
      <c r="G171" t="n">
        <v>0.7</v>
      </c>
      <c r="H171" t="n">
        <v>0</v>
      </c>
      <c r="I171" t="n">
        <v>0</v>
      </c>
      <c r="J171" t="n">
        <v>0</v>
      </c>
      <c r="K171" t="n">
        <v>0</v>
      </c>
      <c r="L171" t="n">
        <v>0</v>
      </c>
      <c r="M171" t="n">
        <v>0</v>
      </c>
      <c r="N171" t="n">
        <v>0</v>
      </c>
      <c r="O171" t="n">
        <v>0</v>
      </c>
      <c r="P171" t="n">
        <v>0</v>
      </c>
      <c r="Q171" t="n">
        <v>0</v>
      </c>
      <c r="R171" s="2" t="inlineStr"/>
    </row>
    <row r="172" ht="15" customHeight="1">
      <c r="A172" t="inlineStr">
        <is>
          <t>A 42688-2021</t>
        </is>
      </c>
      <c r="B172" s="1" t="n">
        <v>44428</v>
      </c>
      <c r="C172" s="1" t="n">
        <v>46183</v>
      </c>
      <c r="D172" t="inlineStr">
        <is>
          <t>GOTLANDS LÄN</t>
        </is>
      </c>
      <c r="E172" t="inlineStr">
        <is>
          <t>GOTLAND</t>
        </is>
      </c>
      <c r="G172" t="n">
        <v>0.6</v>
      </c>
      <c r="H172" t="n">
        <v>0</v>
      </c>
      <c r="I172" t="n">
        <v>0</v>
      </c>
      <c r="J172" t="n">
        <v>0</v>
      </c>
      <c r="K172" t="n">
        <v>0</v>
      </c>
      <c r="L172" t="n">
        <v>0</v>
      </c>
      <c r="M172" t="n">
        <v>0</v>
      </c>
      <c r="N172" t="n">
        <v>0</v>
      </c>
      <c r="O172" t="n">
        <v>0</v>
      </c>
      <c r="P172" t="n">
        <v>0</v>
      </c>
      <c r="Q172" t="n">
        <v>0</v>
      </c>
      <c r="R172" s="2" t="inlineStr"/>
    </row>
    <row r="173" ht="15" customHeight="1">
      <c r="A173" t="inlineStr">
        <is>
          <t>A 44207-2022</t>
        </is>
      </c>
      <c r="B173" s="1" t="n">
        <v>44839</v>
      </c>
      <c r="C173" s="1" t="n">
        <v>46183</v>
      </c>
      <c r="D173" t="inlineStr">
        <is>
          <t>GOTLANDS LÄN</t>
        </is>
      </c>
      <c r="E173" t="inlineStr">
        <is>
          <t>GOTLAND</t>
        </is>
      </c>
      <c r="G173" t="n">
        <v>3.8</v>
      </c>
      <c r="H173" t="n">
        <v>0</v>
      </c>
      <c r="I173" t="n">
        <v>0</v>
      </c>
      <c r="J173" t="n">
        <v>0</v>
      </c>
      <c r="K173" t="n">
        <v>0</v>
      </c>
      <c r="L173" t="n">
        <v>0</v>
      </c>
      <c r="M173" t="n">
        <v>0</v>
      </c>
      <c r="N173" t="n">
        <v>0</v>
      </c>
      <c r="O173" t="n">
        <v>0</v>
      </c>
      <c r="P173" t="n">
        <v>0</v>
      </c>
      <c r="Q173" t="n">
        <v>0</v>
      </c>
      <c r="R173" s="2" t="inlineStr"/>
    </row>
    <row r="174" ht="15" customHeight="1">
      <c r="A174" t="inlineStr">
        <is>
          <t>A 24123-2022</t>
        </is>
      </c>
      <c r="B174" s="1" t="n">
        <v>44725.4384375</v>
      </c>
      <c r="C174" s="1" t="n">
        <v>46183</v>
      </c>
      <c r="D174" t="inlineStr">
        <is>
          <t>GOTLANDS LÄN</t>
        </is>
      </c>
      <c r="E174" t="inlineStr">
        <is>
          <t>GOTLAND</t>
        </is>
      </c>
      <c r="G174" t="n">
        <v>6</v>
      </c>
      <c r="H174" t="n">
        <v>0</v>
      </c>
      <c r="I174" t="n">
        <v>0</v>
      </c>
      <c r="J174" t="n">
        <v>0</v>
      </c>
      <c r="K174" t="n">
        <v>0</v>
      </c>
      <c r="L174" t="n">
        <v>0</v>
      </c>
      <c r="M174" t="n">
        <v>0</v>
      </c>
      <c r="N174" t="n">
        <v>0</v>
      </c>
      <c r="O174" t="n">
        <v>0</v>
      </c>
      <c r="P174" t="n">
        <v>0</v>
      </c>
      <c r="Q174" t="n">
        <v>0</v>
      </c>
      <c r="R174" s="2" t="inlineStr"/>
    </row>
    <row r="175" ht="15" customHeight="1">
      <c r="A175" t="inlineStr">
        <is>
          <t>A 32691-2021</t>
        </is>
      </c>
      <c r="B175" s="1" t="n">
        <v>44375</v>
      </c>
      <c r="C175" s="1" t="n">
        <v>46183</v>
      </c>
      <c r="D175" t="inlineStr">
        <is>
          <t>GOTLANDS LÄN</t>
        </is>
      </c>
      <c r="E175" t="inlineStr">
        <is>
          <t>GOTLAND</t>
        </is>
      </c>
      <c r="G175" t="n">
        <v>0.8</v>
      </c>
      <c r="H175" t="n">
        <v>0</v>
      </c>
      <c r="I175" t="n">
        <v>0</v>
      </c>
      <c r="J175" t="n">
        <v>0</v>
      </c>
      <c r="K175" t="n">
        <v>0</v>
      </c>
      <c r="L175" t="n">
        <v>0</v>
      </c>
      <c r="M175" t="n">
        <v>0</v>
      </c>
      <c r="N175" t="n">
        <v>0</v>
      </c>
      <c r="O175" t="n">
        <v>0</v>
      </c>
      <c r="P175" t="n">
        <v>0</v>
      </c>
      <c r="Q175" t="n">
        <v>0</v>
      </c>
      <c r="R175" s="2" t="inlineStr"/>
    </row>
    <row r="176" ht="15" customHeight="1">
      <c r="A176" t="inlineStr">
        <is>
          <t>A 60607-2021</t>
        </is>
      </c>
      <c r="B176" s="1" t="n">
        <v>44496.58627314815</v>
      </c>
      <c r="C176" s="1" t="n">
        <v>46183</v>
      </c>
      <c r="D176" t="inlineStr">
        <is>
          <t>GOTLANDS LÄN</t>
        </is>
      </c>
      <c r="E176" t="inlineStr">
        <is>
          <t>GOTLAND</t>
        </is>
      </c>
      <c r="G176" t="n">
        <v>0.6</v>
      </c>
      <c r="H176" t="n">
        <v>0</v>
      </c>
      <c r="I176" t="n">
        <v>0</v>
      </c>
      <c r="J176" t="n">
        <v>0</v>
      </c>
      <c r="K176" t="n">
        <v>0</v>
      </c>
      <c r="L176" t="n">
        <v>0</v>
      </c>
      <c r="M176" t="n">
        <v>0</v>
      </c>
      <c r="N176" t="n">
        <v>0</v>
      </c>
      <c r="O176" t="n">
        <v>0</v>
      </c>
      <c r="P176" t="n">
        <v>0</v>
      </c>
      <c r="Q176" t="n">
        <v>0</v>
      </c>
      <c r="R176" s="2" t="inlineStr"/>
    </row>
    <row r="177" ht="15" customHeight="1">
      <c r="A177" t="inlineStr">
        <is>
          <t>A 11029-2022</t>
        </is>
      </c>
      <c r="B177" s="1" t="n">
        <v>44628</v>
      </c>
      <c r="C177" s="1" t="n">
        <v>46183</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47369-2021</t>
        </is>
      </c>
      <c r="B178" s="1" t="n">
        <v>44447</v>
      </c>
      <c r="C178" s="1" t="n">
        <v>46183</v>
      </c>
      <c r="D178" t="inlineStr">
        <is>
          <t>GOTLANDS LÄN</t>
        </is>
      </c>
      <c r="E178" t="inlineStr">
        <is>
          <t>GOTLAND</t>
        </is>
      </c>
      <c r="G178" t="n">
        <v>2.3</v>
      </c>
      <c r="H178" t="n">
        <v>0</v>
      </c>
      <c r="I178" t="n">
        <v>0</v>
      </c>
      <c r="J178" t="n">
        <v>0</v>
      </c>
      <c r="K178" t="n">
        <v>0</v>
      </c>
      <c r="L178" t="n">
        <v>0</v>
      </c>
      <c r="M178" t="n">
        <v>0</v>
      </c>
      <c r="N178" t="n">
        <v>0</v>
      </c>
      <c r="O178" t="n">
        <v>0</v>
      </c>
      <c r="P178" t="n">
        <v>0</v>
      </c>
      <c r="Q178" t="n">
        <v>0</v>
      </c>
      <c r="R178" s="2" t="inlineStr"/>
    </row>
    <row r="179" ht="15" customHeight="1">
      <c r="A179" t="inlineStr">
        <is>
          <t>A 31239-2022</t>
        </is>
      </c>
      <c r="B179" s="1" t="n">
        <v>44771.49383101852</v>
      </c>
      <c r="C179" s="1" t="n">
        <v>46183</v>
      </c>
      <c r="D179" t="inlineStr">
        <is>
          <t>GOTLANDS LÄN</t>
        </is>
      </c>
      <c r="E179" t="inlineStr">
        <is>
          <t>GOTLAND</t>
        </is>
      </c>
      <c r="G179" t="n">
        <v>1.9</v>
      </c>
      <c r="H179" t="n">
        <v>0</v>
      </c>
      <c r="I179" t="n">
        <v>0</v>
      </c>
      <c r="J179" t="n">
        <v>0</v>
      </c>
      <c r="K179" t="n">
        <v>0</v>
      </c>
      <c r="L179" t="n">
        <v>0</v>
      </c>
      <c r="M179" t="n">
        <v>0</v>
      </c>
      <c r="N179" t="n">
        <v>0</v>
      </c>
      <c r="O179" t="n">
        <v>0</v>
      </c>
      <c r="P179" t="n">
        <v>0</v>
      </c>
      <c r="Q179" t="n">
        <v>0</v>
      </c>
      <c r="R179" s="2" t="inlineStr"/>
    </row>
    <row r="180" ht="15" customHeight="1">
      <c r="A180" t="inlineStr">
        <is>
          <t>A 58224-2021</t>
        </is>
      </c>
      <c r="B180" s="1" t="n">
        <v>44487</v>
      </c>
      <c r="C180" s="1" t="n">
        <v>46183</v>
      </c>
      <c r="D180" t="inlineStr">
        <is>
          <t>GOTLANDS LÄN</t>
        </is>
      </c>
      <c r="E180" t="inlineStr">
        <is>
          <t>GOTLAND</t>
        </is>
      </c>
      <c r="G180" t="n">
        <v>1.4</v>
      </c>
      <c r="H180" t="n">
        <v>0</v>
      </c>
      <c r="I180" t="n">
        <v>0</v>
      </c>
      <c r="J180" t="n">
        <v>0</v>
      </c>
      <c r="K180" t="n">
        <v>0</v>
      </c>
      <c r="L180" t="n">
        <v>0</v>
      </c>
      <c r="M180" t="n">
        <v>0</v>
      </c>
      <c r="N180" t="n">
        <v>0</v>
      </c>
      <c r="O180" t="n">
        <v>0</v>
      </c>
      <c r="P180" t="n">
        <v>0</v>
      </c>
      <c r="Q180" t="n">
        <v>0</v>
      </c>
      <c r="R180" s="2" t="inlineStr"/>
    </row>
    <row r="181" ht="15" customHeight="1">
      <c r="A181" t="inlineStr">
        <is>
          <t>A 58815-2021</t>
        </is>
      </c>
      <c r="B181" s="1" t="n">
        <v>44489</v>
      </c>
      <c r="C181" s="1" t="n">
        <v>46183</v>
      </c>
      <c r="D181" t="inlineStr">
        <is>
          <t>GOTLANDS LÄN</t>
        </is>
      </c>
      <c r="E181" t="inlineStr">
        <is>
          <t>GOTLAND</t>
        </is>
      </c>
      <c r="G181" t="n">
        <v>4.1</v>
      </c>
      <c r="H181" t="n">
        <v>0</v>
      </c>
      <c r="I181" t="n">
        <v>0</v>
      </c>
      <c r="J181" t="n">
        <v>0</v>
      </c>
      <c r="K181" t="n">
        <v>0</v>
      </c>
      <c r="L181" t="n">
        <v>0</v>
      </c>
      <c r="M181" t="n">
        <v>0</v>
      </c>
      <c r="N181" t="n">
        <v>0</v>
      </c>
      <c r="O181" t="n">
        <v>0</v>
      </c>
      <c r="P181" t="n">
        <v>0</v>
      </c>
      <c r="Q181" t="n">
        <v>0</v>
      </c>
      <c r="R181" s="2" t="inlineStr"/>
    </row>
    <row r="182" ht="15" customHeight="1">
      <c r="A182" t="inlineStr">
        <is>
          <t>A 30055-2021</t>
        </is>
      </c>
      <c r="B182" s="1" t="n">
        <v>44363</v>
      </c>
      <c r="C182" s="1" t="n">
        <v>46183</v>
      </c>
      <c r="D182" t="inlineStr">
        <is>
          <t>GOTLANDS LÄN</t>
        </is>
      </c>
      <c r="E182" t="inlineStr">
        <is>
          <t>GOTLAND</t>
        </is>
      </c>
      <c r="G182" t="n">
        <v>1.8</v>
      </c>
      <c r="H182" t="n">
        <v>0</v>
      </c>
      <c r="I182" t="n">
        <v>0</v>
      </c>
      <c r="J182" t="n">
        <v>0</v>
      </c>
      <c r="K182" t="n">
        <v>0</v>
      </c>
      <c r="L182" t="n">
        <v>0</v>
      </c>
      <c r="M182" t="n">
        <v>0</v>
      </c>
      <c r="N182" t="n">
        <v>0</v>
      </c>
      <c r="O182" t="n">
        <v>0</v>
      </c>
      <c r="P182" t="n">
        <v>0</v>
      </c>
      <c r="Q182" t="n">
        <v>0</v>
      </c>
      <c r="R182" s="2" t="inlineStr"/>
    </row>
    <row r="183" ht="15" customHeight="1">
      <c r="A183" t="inlineStr">
        <is>
          <t>A 65393-2021</t>
        </is>
      </c>
      <c r="B183" s="1" t="n">
        <v>44515</v>
      </c>
      <c r="C183" s="1" t="n">
        <v>46183</v>
      </c>
      <c r="D183" t="inlineStr">
        <is>
          <t>GOTLANDS LÄN</t>
        </is>
      </c>
      <c r="E183" t="inlineStr">
        <is>
          <t>GOTLAND</t>
        </is>
      </c>
      <c r="G183" t="n">
        <v>1.1</v>
      </c>
      <c r="H183" t="n">
        <v>0</v>
      </c>
      <c r="I183" t="n">
        <v>0</v>
      </c>
      <c r="J183" t="n">
        <v>0</v>
      </c>
      <c r="K183" t="n">
        <v>0</v>
      </c>
      <c r="L183" t="n">
        <v>0</v>
      </c>
      <c r="M183" t="n">
        <v>0</v>
      </c>
      <c r="N183" t="n">
        <v>0</v>
      </c>
      <c r="O183" t="n">
        <v>0</v>
      </c>
      <c r="P183" t="n">
        <v>0</v>
      </c>
      <c r="Q183" t="n">
        <v>0</v>
      </c>
      <c r="R183" s="2" t="inlineStr"/>
    </row>
    <row r="184" ht="15" customHeight="1">
      <c r="A184" t="inlineStr">
        <is>
          <t>A 71010-2021</t>
        </is>
      </c>
      <c r="B184" s="1" t="n">
        <v>44538.63775462963</v>
      </c>
      <c r="C184" s="1" t="n">
        <v>46183</v>
      </c>
      <c r="D184" t="inlineStr">
        <is>
          <t>GOTLANDS LÄN</t>
        </is>
      </c>
      <c r="E184" t="inlineStr">
        <is>
          <t>GOTLAND</t>
        </is>
      </c>
      <c r="G184" t="n">
        <v>0.5</v>
      </c>
      <c r="H184" t="n">
        <v>0</v>
      </c>
      <c r="I184" t="n">
        <v>0</v>
      </c>
      <c r="J184" t="n">
        <v>0</v>
      </c>
      <c r="K184" t="n">
        <v>0</v>
      </c>
      <c r="L184" t="n">
        <v>0</v>
      </c>
      <c r="M184" t="n">
        <v>0</v>
      </c>
      <c r="N184" t="n">
        <v>0</v>
      </c>
      <c r="O184" t="n">
        <v>0</v>
      </c>
      <c r="P184" t="n">
        <v>0</v>
      </c>
      <c r="Q184" t="n">
        <v>0</v>
      </c>
      <c r="R184" s="2" t="inlineStr"/>
    </row>
    <row r="185" ht="15" customHeight="1">
      <c r="A185" t="inlineStr">
        <is>
          <t>A 17354-2022</t>
        </is>
      </c>
      <c r="B185" s="1" t="n">
        <v>44678</v>
      </c>
      <c r="C185" s="1" t="n">
        <v>46183</v>
      </c>
      <c r="D185" t="inlineStr">
        <is>
          <t>GOTLANDS LÄN</t>
        </is>
      </c>
      <c r="E185" t="inlineStr">
        <is>
          <t>GOTLAND</t>
        </is>
      </c>
      <c r="G185" t="n">
        <v>7.1</v>
      </c>
      <c r="H185" t="n">
        <v>0</v>
      </c>
      <c r="I185" t="n">
        <v>0</v>
      </c>
      <c r="J185" t="n">
        <v>0</v>
      </c>
      <c r="K185" t="n">
        <v>0</v>
      </c>
      <c r="L185" t="n">
        <v>0</v>
      </c>
      <c r="M185" t="n">
        <v>0</v>
      </c>
      <c r="N185" t="n">
        <v>0</v>
      </c>
      <c r="O185" t="n">
        <v>0</v>
      </c>
      <c r="P185" t="n">
        <v>0</v>
      </c>
      <c r="Q185" t="n">
        <v>0</v>
      </c>
      <c r="R185" s="2" t="inlineStr"/>
    </row>
    <row r="186" ht="15" customHeight="1">
      <c r="A186" t="inlineStr">
        <is>
          <t>A 13498-2022</t>
        </is>
      </c>
      <c r="B186" s="1" t="n">
        <v>44647.78866898148</v>
      </c>
      <c r="C186" s="1" t="n">
        <v>46183</v>
      </c>
      <c r="D186" t="inlineStr">
        <is>
          <t>GOTLANDS LÄN</t>
        </is>
      </c>
      <c r="E186" t="inlineStr">
        <is>
          <t>GOTLAND</t>
        </is>
      </c>
      <c r="G186" t="n">
        <v>1.2</v>
      </c>
      <c r="H186" t="n">
        <v>0</v>
      </c>
      <c r="I186" t="n">
        <v>0</v>
      </c>
      <c r="J186" t="n">
        <v>0</v>
      </c>
      <c r="K186" t="n">
        <v>0</v>
      </c>
      <c r="L186" t="n">
        <v>0</v>
      </c>
      <c r="M186" t="n">
        <v>0</v>
      </c>
      <c r="N186" t="n">
        <v>0</v>
      </c>
      <c r="O186" t="n">
        <v>0</v>
      </c>
      <c r="P186" t="n">
        <v>0</v>
      </c>
      <c r="Q186" t="n">
        <v>0</v>
      </c>
      <c r="R186" s="2" t="inlineStr"/>
    </row>
    <row r="187" ht="15" customHeight="1">
      <c r="A187" t="inlineStr">
        <is>
          <t>A 13500-2022</t>
        </is>
      </c>
      <c r="B187" s="1" t="n">
        <v>44647.79513888889</v>
      </c>
      <c r="C187" s="1" t="n">
        <v>46183</v>
      </c>
      <c r="D187" t="inlineStr">
        <is>
          <t>GOTLANDS LÄN</t>
        </is>
      </c>
      <c r="E187" t="inlineStr">
        <is>
          <t>GOTLAND</t>
        </is>
      </c>
      <c r="G187" t="n">
        <v>1.2</v>
      </c>
      <c r="H187" t="n">
        <v>0</v>
      </c>
      <c r="I187" t="n">
        <v>0</v>
      </c>
      <c r="J187" t="n">
        <v>0</v>
      </c>
      <c r="K187" t="n">
        <v>0</v>
      </c>
      <c r="L187" t="n">
        <v>0</v>
      </c>
      <c r="M187" t="n">
        <v>0</v>
      </c>
      <c r="N187" t="n">
        <v>0</v>
      </c>
      <c r="O187" t="n">
        <v>0</v>
      </c>
      <c r="P187" t="n">
        <v>0</v>
      </c>
      <c r="Q187" t="n">
        <v>0</v>
      </c>
      <c r="R187" s="2" t="inlineStr"/>
    </row>
    <row r="188" ht="15" customHeight="1">
      <c r="A188" t="inlineStr">
        <is>
          <t>A 56951-2021</t>
        </is>
      </c>
      <c r="B188" s="1" t="n">
        <v>44482.37388888889</v>
      </c>
      <c r="C188" s="1" t="n">
        <v>46183</v>
      </c>
      <c r="D188" t="inlineStr">
        <is>
          <t>GOTLANDS LÄN</t>
        </is>
      </c>
      <c r="E188" t="inlineStr">
        <is>
          <t>GOTLAND</t>
        </is>
      </c>
      <c r="G188" t="n">
        <v>2.1</v>
      </c>
      <c r="H188" t="n">
        <v>0</v>
      </c>
      <c r="I188" t="n">
        <v>0</v>
      </c>
      <c r="J188" t="n">
        <v>0</v>
      </c>
      <c r="K188" t="n">
        <v>0</v>
      </c>
      <c r="L188" t="n">
        <v>0</v>
      </c>
      <c r="M188" t="n">
        <v>0</v>
      </c>
      <c r="N188" t="n">
        <v>0</v>
      </c>
      <c r="O188" t="n">
        <v>0</v>
      </c>
      <c r="P188" t="n">
        <v>0</v>
      </c>
      <c r="Q188" t="n">
        <v>0</v>
      </c>
      <c r="R188" s="2" t="inlineStr"/>
    </row>
    <row r="189" ht="15" customHeight="1">
      <c r="A189" t="inlineStr">
        <is>
          <t>A 22495-2022</t>
        </is>
      </c>
      <c r="B189" s="1" t="n">
        <v>44713.6452199074</v>
      </c>
      <c r="C189" s="1" t="n">
        <v>46183</v>
      </c>
      <c r="D189" t="inlineStr">
        <is>
          <t>GOTLANDS LÄN</t>
        </is>
      </c>
      <c r="E189" t="inlineStr">
        <is>
          <t>GOTLAND</t>
        </is>
      </c>
      <c r="G189" t="n">
        <v>0.5</v>
      </c>
      <c r="H189" t="n">
        <v>0</v>
      </c>
      <c r="I189" t="n">
        <v>0</v>
      </c>
      <c r="J189" t="n">
        <v>0</v>
      </c>
      <c r="K189" t="n">
        <v>0</v>
      </c>
      <c r="L189" t="n">
        <v>0</v>
      </c>
      <c r="M189" t="n">
        <v>0</v>
      </c>
      <c r="N189" t="n">
        <v>0</v>
      </c>
      <c r="O189" t="n">
        <v>0</v>
      </c>
      <c r="P189" t="n">
        <v>0</v>
      </c>
      <c r="Q189" t="n">
        <v>0</v>
      </c>
      <c r="R189" s="2" t="inlineStr"/>
    </row>
    <row r="190" ht="15" customHeight="1">
      <c r="A190" t="inlineStr">
        <is>
          <t>A 57219-2021</t>
        </is>
      </c>
      <c r="B190" s="1" t="n">
        <v>44483</v>
      </c>
      <c r="C190" s="1" t="n">
        <v>46183</v>
      </c>
      <c r="D190" t="inlineStr">
        <is>
          <t>GOTLANDS LÄN</t>
        </is>
      </c>
      <c r="E190" t="inlineStr">
        <is>
          <t>GOTLAND</t>
        </is>
      </c>
      <c r="F190" t="inlineStr">
        <is>
          <t>Kyrkan</t>
        </is>
      </c>
      <c r="G190" t="n">
        <v>4</v>
      </c>
      <c r="H190" t="n">
        <v>0</v>
      </c>
      <c r="I190" t="n">
        <v>0</v>
      </c>
      <c r="J190" t="n">
        <v>0</v>
      </c>
      <c r="K190" t="n">
        <v>0</v>
      </c>
      <c r="L190" t="n">
        <v>0</v>
      </c>
      <c r="M190" t="n">
        <v>0</v>
      </c>
      <c r="N190" t="n">
        <v>0</v>
      </c>
      <c r="O190" t="n">
        <v>0</v>
      </c>
      <c r="P190" t="n">
        <v>0</v>
      </c>
      <c r="Q190" t="n">
        <v>0</v>
      </c>
      <c r="R190" s="2" t="inlineStr"/>
    </row>
    <row r="191" ht="15" customHeight="1">
      <c r="A191" t="inlineStr">
        <is>
          <t>A 14413-2022</t>
        </is>
      </c>
      <c r="B191" s="1" t="n">
        <v>44652</v>
      </c>
      <c r="C191" s="1" t="n">
        <v>46183</v>
      </c>
      <c r="D191" t="inlineStr">
        <is>
          <t>GOTLANDS LÄN</t>
        </is>
      </c>
      <c r="E191" t="inlineStr">
        <is>
          <t>GOTLAND</t>
        </is>
      </c>
      <c r="G191" t="n">
        <v>3.1</v>
      </c>
      <c r="H191" t="n">
        <v>0</v>
      </c>
      <c r="I191" t="n">
        <v>0</v>
      </c>
      <c r="J191" t="n">
        <v>0</v>
      </c>
      <c r="K191" t="n">
        <v>0</v>
      </c>
      <c r="L191" t="n">
        <v>0</v>
      </c>
      <c r="M191" t="n">
        <v>0</v>
      </c>
      <c r="N191" t="n">
        <v>0</v>
      </c>
      <c r="O191" t="n">
        <v>0</v>
      </c>
      <c r="P191" t="n">
        <v>0</v>
      </c>
      <c r="Q191" t="n">
        <v>0</v>
      </c>
      <c r="R191" s="2" t="inlineStr"/>
    </row>
    <row r="192" ht="15" customHeight="1">
      <c r="A192" t="inlineStr">
        <is>
          <t>A 46545-2024</t>
        </is>
      </c>
      <c r="B192" s="1" t="n">
        <v>45582.65831018519</v>
      </c>
      <c r="C192" s="1" t="n">
        <v>46183</v>
      </c>
      <c r="D192" t="inlineStr">
        <is>
          <t>GOTLANDS LÄN</t>
        </is>
      </c>
      <c r="E192" t="inlineStr">
        <is>
          <t>GOTLAND</t>
        </is>
      </c>
      <c r="G192" t="n">
        <v>1.2</v>
      </c>
      <c r="H192" t="n">
        <v>0</v>
      </c>
      <c r="I192" t="n">
        <v>0</v>
      </c>
      <c r="J192" t="n">
        <v>0</v>
      </c>
      <c r="K192" t="n">
        <v>0</v>
      </c>
      <c r="L192" t="n">
        <v>0</v>
      </c>
      <c r="M192" t="n">
        <v>0</v>
      </c>
      <c r="N192" t="n">
        <v>0</v>
      </c>
      <c r="O192" t="n">
        <v>0</v>
      </c>
      <c r="P192" t="n">
        <v>0</v>
      </c>
      <c r="Q192" t="n">
        <v>0</v>
      </c>
      <c r="R192" s="2" t="inlineStr"/>
    </row>
    <row r="193" ht="15" customHeight="1">
      <c r="A193" t="inlineStr">
        <is>
          <t>A 60086-2022</t>
        </is>
      </c>
      <c r="B193" s="1" t="n">
        <v>44909</v>
      </c>
      <c r="C193" s="1" t="n">
        <v>46183</v>
      </c>
      <c r="D193" t="inlineStr">
        <is>
          <t>GOTLANDS LÄN</t>
        </is>
      </c>
      <c r="E193" t="inlineStr">
        <is>
          <t>GOTLAND</t>
        </is>
      </c>
      <c r="G193" t="n">
        <v>2.1</v>
      </c>
      <c r="H193" t="n">
        <v>0</v>
      </c>
      <c r="I193" t="n">
        <v>0</v>
      </c>
      <c r="J193" t="n">
        <v>0</v>
      </c>
      <c r="K193" t="n">
        <v>0</v>
      </c>
      <c r="L193" t="n">
        <v>0</v>
      </c>
      <c r="M193" t="n">
        <v>0</v>
      </c>
      <c r="N193" t="n">
        <v>0</v>
      </c>
      <c r="O193" t="n">
        <v>0</v>
      </c>
      <c r="P193" t="n">
        <v>0</v>
      </c>
      <c r="Q193" t="n">
        <v>0</v>
      </c>
      <c r="R193" s="2" t="inlineStr"/>
    </row>
    <row r="194" ht="15" customHeight="1">
      <c r="A194" t="inlineStr">
        <is>
          <t>A 28485-2023</t>
        </is>
      </c>
      <c r="B194" s="1" t="n">
        <v>45103.43731481482</v>
      </c>
      <c r="C194" s="1" t="n">
        <v>46183</v>
      </c>
      <c r="D194" t="inlineStr">
        <is>
          <t>GOTLANDS LÄN</t>
        </is>
      </c>
      <c r="E194" t="inlineStr">
        <is>
          <t>GOTLAND</t>
        </is>
      </c>
      <c r="G194" t="n">
        <v>2.3</v>
      </c>
      <c r="H194" t="n">
        <v>0</v>
      </c>
      <c r="I194" t="n">
        <v>0</v>
      </c>
      <c r="J194" t="n">
        <v>0</v>
      </c>
      <c r="K194" t="n">
        <v>0</v>
      </c>
      <c r="L194" t="n">
        <v>0</v>
      </c>
      <c r="M194" t="n">
        <v>0</v>
      </c>
      <c r="N194" t="n">
        <v>0</v>
      </c>
      <c r="O194" t="n">
        <v>0</v>
      </c>
      <c r="P194" t="n">
        <v>0</v>
      </c>
      <c r="Q194" t="n">
        <v>0</v>
      </c>
      <c r="R194" s="2" t="inlineStr"/>
    </row>
    <row r="195" ht="15" customHeight="1">
      <c r="A195" t="inlineStr">
        <is>
          <t>A 44942-2022</t>
        </is>
      </c>
      <c r="B195" s="1" t="n">
        <v>44841</v>
      </c>
      <c r="C195" s="1" t="n">
        <v>46183</v>
      </c>
      <c r="D195" t="inlineStr">
        <is>
          <t>GOTLANDS LÄN</t>
        </is>
      </c>
      <c r="E195" t="inlineStr">
        <is>
          <t>GOTLAND</t>
        </is>
      </c>
      <c r="G195" t="n">
        <v>2</v>
      </c>
      <c r="H195" t="n">
        <v>0</v>
      </c>
      <c r="I195" t="n">
        <v>0</v>
      </c>
      <c r="J195" t="n">
        <v>0</v>
      </c>
      <c r="K195" t="n">
        <v>0</v>
      </c>
      <c r="L195" t="n">
        <v>0</v>
      </c>
      <c r="M195" t="n">
        <v>0</v>
      </c>
      <c r="N195" t="n">
        <v>0</v>
      </c>
      <c r="O195" t="n">
        <v>0</v>
      </c>
      <c r="P195" t="n">
        <v>0</v>
      </c>
      <c r="Q195" t="n">
        <v>0</v>
      </c>
      <c r="R195" s="2" t="inlineStr"/>
    </row>
    <row r="196" ht="15" customHeight="1">
      <c r="A196" t="inlineStr">
        <is>
          <t>A 62915-2021</t>
        </is>
      </c>
      <c r="B196" s="1" t="n">
        <v>44504</v>
      </c>
      <c r="C196" s="1" t="n">
        <v>46183</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53225-2022</t>
        </is>
      </c>
      <c r="B197" s="1" t="n">
        <v>44876</v>
      </c>
      <c r="C197" s="1" t="n">
        <v>46183</v>
      </c>
      <c r="D197" t="inlineStr">
        <is>
          <t>GOTLANDS LÄN</t>
        </is>
      </c>
      <c r="E197" t="inlineStr">
        <is>
          <t>GOTLAND</t>
        </is>
      </c>
      <c r="F197" t="inlineStr">
        <is>
          <t>Kyrkan</t>
        </is>
      </c>
      <c r="G197" t="n">
        <v>0.9</v>
      </c>
      <c r="H197" t="n">
        <v>0</v>
      </c>
      <c r="I197" t="n">
        <v>0</v>
      </c>
      <c r="J197" t="n">
        <v>0</v>
      </c>
      <c r="K197" t="n">
        <v>0</v>
      </c>
      <c r="L197" t="n">
        <v>0</v>
      </c>
      <c r="M197" t="n">
        <v>0</v>
      </c>
      <c r="N197" t="n">
        <v>0</v>
      </c>
      <c r="O197" t="n">
        <v>0</v>
      </c>
      <c r="P197" t="n">
        <v>0</v>
      </c>
      <c r="Q197" t="n">
        <v>0</v>
      </c>
      <c r="R197" s="2" t="inlineStr"/>
    </row>
    <row r="198" ht="15" customHeight="1">
      <c r="A198" t="inlineStr">
        <is>
          <t>A 53935-2024</t>
        </is>
      </c>
      <c r="B198" s="1" t="n">
        <v>45615</v>
      </c>
      <c r="C198" s="1" t="n">
        <v>46183</v>
      </c>
      <c r="D198" t="inlineStr">
        <is>
          <t>GOTLANDS LÄN</t>
        </is>
      </c>
      <c r="E198" t="inlineStr">
        <is>
          <t>GOTLAND</t>
        </is>
      </c>
      <c r="G198" t="n">
        <v>1.2</v>
      </c>
      <c r="H198" t="n">
        <v>0</v>
      </c>
      <c r="I198" t="n">
        <v>0</v>
      </c>
      <c r="J198" t="n">
        <v>0</v>
      </c>
      <c r="K198" t="n">
        <v>0</v>
      </c>
      <c r="L198" t="n">
        <v>0</v>
      </c>
      <c r="M198" t="n">
        <v>0</v>
      </c>
      <c r="N198" t="n">
        <v>0</v>
      </c>
      <c r="O198" t="n">
        <v>0</v>
      </c>
      <c r="P198" t="n">
        <v>0</v>
      </c>
      <c r="Q198" t="n">
        <v>0</v>
      </c>
      <c r="R198" s="2" t="inlineStr"/>
    </row>
    <row r="199" ht="15" customHeight="1">
      <c r="A199" t="inlineStr">
        <is>
          <t>A 18223-2025</t>
        </is>
      </c>
      <c r="B199" s="1" t="n">
        <v>45761</v>
      </c>
      <c r="C199" s="1" t="n">
        <v>46183</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4420-2025</t>
        </is>
      </c>
      <c r="B200" s="1" t="n">
        <v>45686.47157407407</v>
      </c>
      <c r="C200" s="1" t="n">
        <v>46183</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44949-2023</t>
        </is>
      </c>
      <c r="B201" s="1" t="n">
        <v>45190.69520833333</v>
      </c>
      <c r="C201" s="1" t="n">
        <v>46183</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5891-2025</t>
        </is>
      </c>
      <c r="B202" s="1" t="n">
        <v>45695.38327546296</v>
      </c>
      <c r="C202" s="1" t="n">
        <v>46183</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37222-2021</t>
        </is>
      </c>
      <c r="B203" s="1" t="n">
        <v>44396</v>
      </c>
      <c r="C203" s="1" t="n">
        <v>46183</v>
      </c>
      <c r="D203" t="inlineStr">
        <is>
          <t>GOTLANDS LÄN</t>
        </is>
      </c>
      <c r="E203" t="inlineStr">
        <is>
          <t>GOTLAND</t>
        </is>
      </c>
      <c r="G203" t="n">
        <v>3</v>
      </c>
      <c r="H203" t="n">
        <v>0</v>
      </c>
      <c r="I203" t="n">
        <v>0</v>
      </c>
      <c r="J203" t="n">
        <v>0</v>
      </c>
      <c r="K203" t="n">
        <v>0</v>
      </c>
      <c r="L203" t="n">
        <v>0</v>
      </c>
      <c r="M203" t="n">
        <v>0</v>
      </c>
      <c r="N203" t="n">
        <v>0</v>
      </c>
      <c r="O203" t="n">
        <v>0</v>
      </c>
      <c r="P203" t="n">
        <v>0</v>
      </c>
      <c r="Q203" t="n">
        <v>0</v>
      </c>
      <c r="R203" s="2" t="inlineStr"/>
    </row>
    <row r="204" ht="15" customHeight="1">
      <c r="A204" t="inlineStr">
        <is>
          <t>A 30282-2022</t>
        </is>
      </c>
      <c r="B204" s="1" t="n">
        <v>44760</v>
      </c>
      <c r="C204" s="1" t="n">
        <v>46183</v>
      </c>
      <c r="D204" t="inlineStr">
        <is>
          <t>GOTLANDS LÄN</t>
        </is>
      </c>
      <c r="E204" t="inlineStr">
        <is>
          <t>GOTLAND</t>
        </is>
      </c>
      <c r="G204" t="n">
        <v>2.6</v>
      </c>
      <c r="H204" t="n">
        <v>0</v>
      </c>
      <c r="I204" t="n">
        <v>0</v>
      </c>
      <c r="J204" t="n">
        <v>0</v>
      </c>
      <c r="K204" t="n">
        <v>0</v>
      </c>
      <c r="L204" t="n">
        <v>0</v>
      </c>
      <c r="M204" t="n">
        <v>0</v>
      </c>
      <c r="N204" t="n">
        <v>0</v>
      </c>
      <c r="O204" t="n">
        <v>0</v>
      </c>
      <c r="P204" t="n">
        <v>0</v>
      </c>
      <c r="Q204" t="n">
        <v>0</v>
      </c>
      <c r="R204" s="2" t="inlineStr"/>
    </row>
    <row r="205" ht="15" customHeight="1">
      <c r="A205" t="inlineStr">
        <is>
          <t>A 3964-2024</t>
        </is>
      </c>
      <c r="B205" s="1" t="n">
        <v>45322</v>
      </c>
      <c r="C205" s="1" t="n">
        <v>46183</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45084-2024</t>
        </is>
      </c>
      <c r="B206" s="1" t="n">
        <v>45575</v>
      </c>
      <c r="C206" s="1" t="n">
        <v>46183</v>
      </c>
      <c r="D206" t="inlineStr">
        <is>
          <t>GOTLANDS LÄN</t>
        </is>
      </c>
      <c r="E206" t="inlineStr">
        <is>
          <t>GOTLAND</t>
        </is>
      </c>
      <c r="G206" t="n">
        <v>6.8</v>
      </c>
      <c r="H206" t="n">
        <v>0</v>
      </c>
      <c r="I206" t="n">
        <v>0</v>
      </c>
      <c r="J206" t="n">
        <v>0</v>
      </c>
      <c r="K206" t="n">
        <v>0</v>
      </c>
      <c r="L206" t="n">
        <v>0</v>
      </c>
      <c r="M206" t="n">
        <v>0</v>
      </c>
      <c r="N206" t="n">
        <v>0</v>
      </c>
      <c r="O206" t="n">
        <v>0</v>
      </c>
      <c r="P206" t="n">
        <v>0</v>
      </c>
      <c r="Q206" t="n">
        <v>0</v>
      </c>
      <c r="R206" s="2" t="inlineStr"/>
    </row>
    <row r="207" ht="15" customHeight="1">
      <c r="A207" t="inlineStr">
        <is>
          <t>A 46189-2022</t>
        </is>
      </c>
      <c r="B207" s="1" t="n">
        <v>44847</v>
      </c>
      <c r="C207" s="1" t="n">
        <v>46183</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7835-2024</t>
        </is>
      </c>
      <c r="B208" s="1" t="n">
        <v>45349.83138888889</v>
      </c>
      <c r="C208" s="1" t="n">
        <v>46183</v>
      </c>
      <c r="D208" t="inlineStr">
        <is>
          <t>GOTLANDS LÄN</t>
        </is>
      </c>
      <c r="E208" t="inlineStr">
        <is>
          <t>GOTLAND</t>
        </is>
      </c>
      <c r="G208" t="n">
        <v>3.8</v>
      </c>
      <c r="H208" t="n">
        <v>0</v>
      </c>
      <c r="I208" t="n">
        <v>0</v>
      </c>
      <c r="J208" t="n">
        <v>0</v>
      </c>
      <c r="K208" t="n">
        <v>0</v>
      </c>
      <c r="L208" t="n">
        <v>0</v>
      </c>
      <c r="M208" t="n">
        <v>0</v>
      </c>
      <c r="N208" t="n">
        <v>0</v>
      </c>
      <c r="O208" t="n">
        <v>0</v>
      </c>
      <c r="P208" t="n">
        <v>0</v>
      </c>
      <c r="Q208" t="n">
        <v>0</v>
      </c>
      <c r="R208" s="2" t="inlineStr"/>
    </row>
    <row r="209" ht="15" customHeight="1">
      <c r="A209" t="inlineStr">
        <is>
          <t>A 21389-2025</t>
        </is>
      </c>
      <c r="B209" s="1" t="n">
        <v>45782</v>
      </c>
      <c r="C209" s="1" t="n">
        <v>46183</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21651-2025</t>
        </is>
      </c>
      <c r="B210" s="1" t="n">
        <v>45783</v>
      </c>
      <c r="C210" s="1" t="n">
        <v>46183</v>
      </c>
      <c r="D210" t="inlineStr">
        <is>
          <t>GOTLANDS LÄN</t>
        </is>
      </c>
      <c r="E210" t="inlineStr">
        <is>
          <t>GOTLAND</t>
        </is>
      </c>
      <c r="G210" t="n">
        <v>4.2</v>
      </c>
      <c r="H210" t="n">
        <v>0</v>
      </c>
      <c r="I210" t="n">
        <v>0</v>
      </c>
      <c r="J210" t="n">
        <v>0</v>
      </c>
      <c r="K210" t="n">
        <v>0</v>
      </c>
      <c r="L210" t="n">
        <v>0</v>
      </c>
      <c r="M210" t="n">
        <v>0</v>
      </c>
      <c r="N210" t="n">
        <v>0</v>
      </c>
      <c r="O210" t="n">
        <v>0</v>
      </c>
      <c r="P210" t="n">
        <v>0</v>
      </c>
      <c r="Q210" t="n">
        <v>0</v>
      </c>
      <c r="R210" s="2" t="inlineStr"/>
    </row>
    <row r="211" ht="15" customHeight="1">
      <c r="A211" t="inlineStr">
        <is>
          <t>A 22031-2024</t>
        </is>
      </c>
      <c r="B211" s="1" t="n">
        <v>45443.60075231481</v>
      </c>
      <c r="C211" s="1" t="n">
        <v>46183</v>
      </c>
      <c r="D211" t="inlineStr">
        <is>
          <t>GOTLANDS LÄN</t>
        </is>
      </c>
      <c r="E211" t="inlineStr">
        <is>
          <t>GOTLAND</t>
        </is>
      </c>
      <c r="G211" t="n">
        <v>2.3</v>
      </c>
      <c r="H211" t="n">
        <v>0</v>
      </c>
      <c r="I211" t="n">
        <v>0</v>
      </c>
      <c r="J211" t="n">
        <v>0</v>
      </c>
      <c r="K211" t="n">
        <v>0</v>
      </c>
      <c r="L211" t="n">
        <v>0</v>
      </c>
      <c r="M211" t="n">
        <v>0</v>
      </c>
      <c r="N211" t="n">
        <v>0</v>
      </c>
      <c r="O211" t="n">
        <v>0</v>
      </c>
      <c r="P211" t="n">
        <v>0</v>
      </c>
      <c r="Q211" t="n">
        <v>0</v>
      </c>
      <c r="R211" s="2" t="inlineStr"/>
    </row>
    <row r="212" ht="15" customHeight="1">
      <c r="A212" t="inlineStr">
        <is>
          <t>A 49314-2024</t>
        </is>
      </c>
      <c r="B212" s="1" t="n">
        <v>45595.55893518519</v>
      </c>
      <c r="C212" s="1" t="n">
        <v>46183</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44919-2022</t>
        </is>
      </c>
      <c r="B213" s="1" t="n">
        <v>44841</v>
      </c>
      <c r="C213" s="1" t="n">
        <v>46183</v>
      </c>
      <c r="D213" t="inlineStr">
        <is>
          <t>GOTLANDS LÄN</t>
        </is>
      </c>
      <c r="E213" t="inlineStr">
        <is>
          <t>GOTLAND</t>
        </is>
      </c>
      <c r="G213" t="n">
        <v>2.2</v>
      </c>
      <c r="H213" t="n">
        <v>0</v>
      </c>
      <c r="I213" t="n">
        <v>0</v>
      </c>
      <c r="J213" t="n">
        <v>0</v>
      </c>
      <c r="K213" t="n">
        <v>0</v>
      </c>
      <c r="L213" t="n">
        <v>0</v>
      </c>
      <c r="M213" t="n">
        <v>0</v>
      </c>
      <c r="N213" t="n">
        <v>0</v>
      </c>
      <c r="O213" t="n">
        <v>0</v>
      </c>
      <c r="P213" t="n">
        <v>0</v>
      </c>
      <c r="Q213" t="n">
        <v>0</v>
      </c>
      <c r="R213" s="2" t="inlineStr"/>
    </row>
    <row r="214" ht="15" customHeight="1">
      <c r="A214" t="inlineStr">
        <is>
          <t>A 5217-2023</t>
        </is>
      </c>
      <c r="B214" s="1" t="n">
        <v>44959.39582175926</v>
      </c>
      <c r="C214" s="1" t="n">
        <v>46183</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1677-2023</t>
        </is>
      </c>
      <c r="B215" s="1" t="n">
        <v>44938</v>
      </c>
      <c r="C215" s="1" t="n">
        <v>46183</v>
      </c>
      <c r="D215" t="inlineStr">
        <is>
          <t>GOTLANDS LÄN</t>
        </is>
      </c>
      <c r="E215" t="inlineStr">
        <is>
          <t>GOTLAND</t>
        </is>
      </c>
      <c r="G215" t="n">
        <v>1.6</v>
      </c>
      <c r="H215" t="n">
        <v>0</v>
      </c>
      <c r="I215" t="n">
        <v>0</v>
      </c>
      <c r="J215" t="n">
        <v>0</v>
      </c>
      <c r="K215" t="n">
        <v>0</v>
      </c>
      <c r="L215" t="n">
        <v>0</v>
      </c>
      <c r="M215" t="n">
        <v>0</v>
      </c>
      <c r="N215" t="n">
        <v>0</v>
      </c>
      <c r="O215" t="n">
        <v>0</v>
      </c>
      <c r="P215" t="n">
        <v>0</v>
      </c>
      <c r="Q215" t="n">
        <v>0</v>
      </c>
      <c r="R215" s="2" t="inlineStr"/>
    </row>
    <row r="216" ht="15" customHeight="1">
      <c r="A216" t="inlineStr">
        <is>
          <t>A 48503-2023</t>
        </is>
      </c>
      <c r="B216" s="1" t="n">
        <v>45207</v>
      </c>
      <c r="C216" s="1" t="n">
        <v>46183</v>
      </c>
      <c r="D216" t="inlineStr">
        <is>
          <t>GOTLANDS LÄN</t>
        </is>
      </c>
      <c r="E216" t="inlineStr">
        <is>
          <t>GOTLAND</t>
        </is>
      </c>
      <c r="G216" t="n">
        <v>1.6</v>
      </c>
      <c r="H216" t="n">
        <v>0</v>
      </c>
      <c r="I216" t="n">
        <v>0</v>
      </c>
      <c r="J216" t="n">
        <v>0</v>
      </c>
      <c r="K216" t="n">
        <v>0</v>
      </c>
      <c r="L216" t="n">
        <v>0</v>
      </c>
      <c r="M216" t="n">
        <v>0</v>
      </c>
      <c r="N216" t="n">
        <v>0</v>
      </c>
      <c r="O216" t="n">
        <v>0</v>
      </c>
      <c r="P216" t="n">
        <v>0</v>
      </c>
      <c r="Q216" t="n">
        <v>0</v>
      </c>
      <c r="R216" s="2" t="inlineStr"/>
    </row>
    <row r="217" ht="15" customHeight="1">
      <c r="A217" t="inlineStr">
        <is>
          <t>A 65901-2021</t>
        </is>
      </c>
      <c r="B217" s="1" t="n">
        <v>44516</v>
      </c>
      <c r="C217" s="1" t="n">
        <v>46183</v>
      </c>
      <c r="D217" t="inlineStr">
        <is>
          <t>GOTLANDS LÄN</t>
        </is>
      </c>
      <c r="E217" t="inlineStr">
        <is>
          <t>GOTLAND</t>
        </is>
      </c>
      <c r="G217" t="n">
        <v>4.9</v>
      </c>
      <c r="H217" t="n">
        <v>0</v>
      </c>
      <c r="I217" t="n">
        <v>0</v>
      </c>
      <c r="J217" t="n">
        <v>0</v>
      </c>
      <c r="K217" t="n">
        <v>0</v>
      </c>
      <c r="L217" t="n">
        <v>0</v>
      </c>
      <c r="M217" t="n">
        <v>0</v>
      </c>
      <c r="N217" t="n">
        <v>0</v>
      </c>
      <c r="O217" t="n">
        <v>0</v>
      </c>
      <c r="P217" t="n">
        <v>0</v>
      </c>
      <c r="Q217" t="n">
        <v>0</v>
      </c>
      <c r="R217" s="2" t="inlineStr"/>
    </row>
    <row r="218" ht="15" customHeight="1">
      <c r="A218" t="inlineStr">
        <is>
          <t>A 45244-2024</t>
        </is>
      </c>
      <c r="B218" s="1" t="n">
        <v>45576</v>
      </c>
      <c r="C218" s="1" t="n">
        <v>46183</v>
      </c>
      <c r="D218" t="inlineStr">
        <is>
          <t>GOTLANDS LÄN</t>
        </is>
      </c>
      <c r="E218" t="inlineStr">
        <is>
          <t>GOTLAND</t>
        </is>
      </c>
      <c r="G218" t="n">
        <v>2.4</v>
      </c>
      <c r="H218" t="n">
        <v>0</v>
      </c>
      <c r="I218" t="n">
        <v>0</v>
      </c>
      <c r="J218" t="n">
        <v>0</v>
      </c>
      <c r="K218" t="n">
        <v>0</v>
      </c>
      <c r="L218" t="n">
        <v>0</v>
      </c>
      <c r="M218" t="n">
        <v>0</v>
      </c>
      <c r="N218" t="n">
        <v>0</v>
      </c>
      <c r="O218" t="n">
        <v>0</v>
      </c>
      <c r="P218" t="n">
        <v>0</v>
      </c>
      <c r="Q218" t="n">
        <v>0</v>
      </c>
      <c r="R218" s="2" t="inlineStr"/>
    </row>
    <row r="219" ht="15" customHeight="1">
      <c r="A219" t="inlineStr">
        <is>
          <t>A 44649-2021</t>
        </is>
      </c>
      <c r="B219" s="1" t="n">
        <v>44437</v>
      </c>
      <c r="C219" s="1" t="n">
        <v>46183</v>
      </c>
      <c r="D219" t="inlineStr">
        <is>
          <t>GOTLANDS LÄN</t>
        </is>
      </c>
      <c r="E219" t="inlineStr">
        <is>
          <t>GOTLAND</t>
        </is>
      </c>
      <c r="G219" t="n">
        <v>8.1</v>
      </c>
      <c r="H219" t="n">
        <v>0</v>
      </c>
      <c r="I219" t="n">
        <v>0</v>
      </c>
      <c r="J219" t="n">
        <v>0</v>
      </c>
      <c r="K219" t="n">
        <v>0</v>
      </c>
      <c r="L219" t="n">
        <v>0</v>
      </c>
      <c r="M219" t="n">
        <v>0</v>
      </c>
      <c r="N219" t="n">
        <v>0</v>
      </c>
      <c r="O219" t="n">
        <v>0</v>
      </c>
      <c r="P219" t="n">
        <v>0</v>
      </c>
      <c r="Q219" t="n">
        <v>0</v>
      </c>
      <c r="R219" s="2" t="inlineStr"/>
    </row>
    <row r="220" ht="15" customHeight="1">
      <c r="A220" t="inlineStr">
        <is>
          <t>A 8260-2023</t>
        </is>
      </c>
      <c r="B220" s="1" t="n">
        <v>44974.61608796296</v>
      </c>
      <c r="C220" s="1" t="n">
        <v>46183</v>
      </c>
      <c r="D220" t="inlineStr">
        <is>
          <t>GOTLANDS LÄN</t>
        </is>
      </c>
      <c r="E220" t="inlineStr">
        <is>
          <t>GOTLAND</t>
        </is>
      </c>
      <c r="G220" t="n">
        <v>2.9</v>
      </c>
      <c r="H220" t="n">
        <v>0</v>
      </c>
      <c r="I220" t="n">
        <v>0</v>
      </c>
      <c r="J220" t="n">
        <v>0</v>
      </c>
      <c r="K220" t="n">
        <v>0</v>
      </c>
      <c r="L220" t="n">
        <v>0</v>
      </c>
      <c r="M220" t="n">
        <v>0</v>
      </c>
      <c r="N220" t="n">
        <v>0</v>
      </c>
      <c r="O220" t="n">
        <v>0</v>
      </c>
      <c r="P220" t="n">
        <v>0</v>
      </c>
      <c r="Q220" t="n">
        <v>0</v>
      </c>
      <c r="R220" s="2" t="inlineStr"/>
    </row>
    <row r="221" ht="15" customHeight="1">
      <c r="A221" t="inlineStr">
        <is>
          <t>A 9947-2024</t>
        </is>
      </c>
      <c r="B221" s="1" t="n">
        <v>45363</v>
      </c>
      <c r="C221" s="1" t="n">
        <v>46183</v>
      </c>
      <c r="D221" t="inlineStr">
        <is>
          <t>GOTLANDS LÄN</t>
        </is>
      </c>
      <c r="E221" t="inlineStr">
        <is>
          <t>GOTLAND</t>
        </is>
      </c>
      <c r="G221" t="n">
        <v>2</v>
      </c>
      <c r="H221" t="n">
        <v>0</v>
      </c>
      <c r="I221" t="n">
        <v>0</v>
      </c>
      <c r="J221" t="n">
        <v>0</v>
      </c>
      <c r="K221" t="n">
        <v>0</v>
      </c>
      <c r="L221" t="n">
        <v>0</v>
      </c>
      <c r="M221" t="n">
        <v>0</v>
      </c>
      <c r="N221" t="n">
        <v>0</v>
      </c>
      <c r="O221" t="n">
        <v>0</v>
      </c>
      <c r="P221" t="n">
        <v>0</v>
      </c>
      <c r="Q221" t="n">
        <v>0</v>
      </c>
      <c r="R221" s="2" t="inlineStr"/>
    </row>
    <row r="222" ht="15" customHeight="1">
      <c r="A222" t="inlineStr">
        <is>
          <t>A 64969-2023</t>
        </is>
      </c>
      <c r="B222" s="1" t="n">
        <v>45284.54009259259</v>
      </c>
      <c r="C222" s="1" t="n">
        <v>46183</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48843-2024</t>
        </is>
      </c>
      <c r="B223" s="1" t="n">
        <v>45593</v>
      </c>
      <c r="C223" s="1" t="n">
        <v>46183</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17541-2024</t>
        </is>
      </c>
      <c r="B224" s="1" t="n">
        <v>45415</v>
      </c>
      <c r="C224" s="1" t="n">
        <v>46183</v>
      </c>
      <c r="D224" t="inlineStr">
        <is>
          <t>GOTLANDS LÄN</t>
        </is>
      </c>
      <c r="E224" t="inlineStr">
        <is>
          <t>GOTLAND</t>
        </is>
      </c>
      <c r="G224" t="n">
        <v>2.6</v>
      </c>
      <c r="H224" t="n">
        <v>0</v>
      </c>
      <c r="I224" t="n">
        <v>0</v>
      </c>
      <c r="J224" t="n">
        <v>0</v>
      </c>
      <c r="K224" t="n">
        <v>0</v>
      </c>
      <c r="L224" t="n">
        <v>0</v>
      </c>
      <c r="M224" t="n">
        <v>0</v>
      </c>
      <c r="N224" t="n">
        <v>0</v>
      </c>
      <c r="O224" t="n">
        <v>0</v>
      </c>
      <c r="P224" t="n">
        <v>0</v>
      </c>
      <c r="Q224" t="n">
        <v>0</v>
      </c>
      <c r="R224" s="2" t="inlineStr"/>
    </row>
    <row r="225" ht="15" customHeight="1">
      <c r="A225" t="inlineStr">
        <is>
          <t>A 17682-2024</t>
        </is>
      </c>
      <c r="B225" s="1" t="n">
        <v>45418.42966435185</v>
      </c>
      <c r="C225" s="1" t="n">
        <v>46183</v>
      </c>
      <c r="D225" t="inlineStr">
        <is>
          <t>GOTLANDS LÄN</t>
        </is>
      </c>
      <c r="E225" t="inlineStr">
        <is>
          <t>GOTLAND</t>
        </is>
      </c>
      <c r="G225" t="n">
        <v>2.9</v>
      </c>
      <c r="H225" t="n">
        <v>0</v>
      </c>
      <c r="I225" t="n">
        <v>0</v>
      </c>
      <c r="J225" t="n">
        <v>0</v>
      </c>
      <c r="K225" t="n">
        <v>0</v>
      </c>
      <c r="L225" t="n">
        <v>0</v>
      </c>
      <c r="M225" t="n">
        <v>0</v>
      </c>
      <c r="N225" t="n">
        <v>0</v>
      </c>
      <c r="O225" t="n">
        <v>0</v>
      </c>
      <c r="P225" t="n">
        <v>0</v>
      </c>
      <c r="Q225" t="n">
        <v>0</v>
      </c>
      <c r="R225" s="2" t="inlineStr"/>
    </row>
    <row r="226" ht="15" customHeight="1">
      <c r="A226" t="inlineStr">
        <is>
          <t>A 57522-2022</t>
        </is>
      </c>
      <c r="B226" s="1" t="n">
        <v>44896</v>
      </c>
      <c r="C226" s="1" t="n">
        <v>46183</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27593-2023</t>
        </is>
      </c>
      <c r="B227" s="1" t="n">
        <v>45097</v>
      </c>
      <c r="C227" s="1" t="n">
        <v>46183</v>
      </c>
      <c r="D227" t="inlineStr">
        <is>
          <t>GOTLANDS LÄN</t>
        </is>
      </c>
      <c r="E227" t="inlineStr">
        <is>
          <t>GOTLAND</t>
        </is>
      </c>
      <c r="G227" t="n">
        <v>3.1</v>
      </c>
      <c r="H227" t="n">
        <v>0</v>
      </c>
      <c r="I227" t="n">
        <v>0</v>
      </c>
      <c r="J227" t="n">
        <v>0</v>
      </c>
      <c r="K227" t="n">
        <v>0</v>
      </c>
      <c r="L227" t="n">
        <v>0</v>
      </c>
      <c r="M227" t="n">
        <v>0</v>
      </c>
      <c r="N227" t="n">
        <v>0</v>
      </c>
      <c r="O227" t="n">
        <v>0</v>
      </c>
      <c r="P227" t="n">
        <v>0</v>
      </c>
      <c r="Q227" t="n">
        <v>0</v>
      </c>
      <c r="R227" s="2" t="inlineStr"/>
    </row>
    <row r="228" ht="15" customHeight="1">
      <c r="A228" t="inlineStr">
        <is>
          <t>A 57356-2023</t>
        </is>
      </c>
      <c r="B228" s="1" t="n">
        <v>45240</v>
      </c>
      <c r="C228" s="1" t="n">
        <v>46183</v>
      </c>
      <c r="D228" t="inlineStr">
        <is>
          <t>GOTLANDS LÄN</t>
        </is>
      </c>
      <c r="E228" t="inlineStr">
        <is>
          <t>GOTLAND</t>
        </is>
      </c>
      <c r="G228" t="n">
        <v>6.4</v>
      </c>
      <c r="H228" t="n">
        <v>0</v>
      </c>
      <c r="I228" t="n">
        <v>0</v>
      </c>
      <c r="J228" t="n">
        <v>0</v>
      </c>
      <c r="K228" t="n">
        <v>0</v>
      </c>
      <c r="L228" t="n">
        <v>0</v>
      </c>
      <c r="M228" t="n">
        <v>0</v>
      </c>
      <c r="N228" t="n">
        <v>0</v>
      </c>
      <c r="O228" t="n">
        <v>0</v>
      </c>
      <c r="P228" t="n">
        <v>0</v>
      </c>
      <c r="Q228" t="n">
        <v>0</v>
      </c>
      <c r="R228" s="2" t="inlineStr"/>
    </row>
    <row r="229" ht="15" customHeight="1">
      <c r="A229" t="inlineStr">
        <is>
          <t>A 10656-2024</t>
        </is>
      </c>
      <c r="B229" s="1" t="n">
        <v>45368</v>
      </c>
      <c r="C229" s="1" t="n">
        <v>46183</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15434-2024</t>
        </is>
      </c>
      <c r="B230" s="1" t="n">
        <v>45401.38836805556</v>
      </c>
      <c r="C230" s="1" t="n">
        <v>46183</v>
      </c>
      <c r="D230" t="inlineStr">
        <is>
          <t>GOTLANDS LÄN</t>
        </is>
      </c>
      <c r="E230" t="inlineStr">
        <is>
          <t>GOTLAND</t>
        </is>
      </c>
      <c r="G230" t="n">
        <v>2.5</v>
      </c>
      <c r="H230" t="n">
        <v>0</v>
      </c>
      <c r="I230" t="n">
        <v>0</v>
      </c>
      <c r="J230" t="n">
        <v>0</v>
      </c>
      <c r="K230" t="n">
        <v>0</v>
      </c>
      <c r="L230" t="n">
        <v>0</v>
      </c>
      <c r="M230" t="n">
        <v>0</v>
      </c>
      <c r="N230" t="n">
        <v>0</v>
      </c>
      <c r="O230" t="n">
        <v>0</v>
      </c>
      <c r="P230" t="n">
        <v>0</v>
      </c>
      <c r="Q230" t="n">
        <v>0</v>
      </c>
      <c r="R230" s="2" t="inlineStr"/>
    </row>
    <row r="231" ht="15" customHeight="1">
      <c r="A231" t="inlineStr">
        <is>
          <t>A 28506-2023</t>
        </is>
      </c>
      <c r="B231" s="1" t="n">
        <v>45103</v>
      </c>
      <c r="C231" s="1" t="n">
        <v>46183</v>
      </c>
      <c r="D231" t="inlineStr">
        <is>
          <t>GOTLANDS LÄN</t>
        </is>
      </c>
      <c r="E231" t="inlineStr">
        <is>
          <t>GOTLAND</t>
        </is>
      </c>
      <c r="G231" t="n">
        <v>3.2</v>
      </c>
      <c r="H231" t="n">
        <v>0</v>
      </c>
      <c r="I231" t="n">
        <v>0</v>
      </c>
      <c r="J231" t="n">
        <v>0</v>
      </c>
      <c r="K231" t="n">
        <v>0</v>
      </c>
      <c r="L231" t="n">
        <v>0</v>
      </c>
      <c r="M231" t="n">
        <v>0</v>
      </c>
      <c r="N231" t="n">
        <v>0</v>
      </c>
      <c r="O231" t="n">
        <v>0</v>
      </c>
      <c r="P231" t="n">
        <v>0</v>
      </c>
      <c r="Q231" t="n">
        <v>0</v>
      </c>
      <c r="R231" s="2" t="inlineStr"/>
    </row>
    <row r="232" ht="15" customHeight="1">
      <c r="A232" t="inlineStr">
        <is>
          <t>A 21420-2024</t>
        </is>
      </c>
      <c r="B232" s="1" t="n">
        <v>45441.38293981482</v>
      </c>
      <c r="C232" s="1" t="n">
        <v>46183</v>
      </c>
      <c r="D232" t="inlineStr">
        <is>
          <t>GOTLANDS LÄN</t>
        </is>
      </c>
      <c r="E232" t="inlineStr">
        <is>
          <t>GOTLAND</t>
        </is>
      </c>
      <c r="G232" t="n">
        <v>4.1</v>
      </c>
      <c r="H232" t="n">
        <v>0</v>
      </c>
      <c r="I232" t="n">
        <v>0</v>
      </c>
      <c r="J232" t="n">
        <v>0</v>
      </c>
      <c r="K232" t="n">
        <v>0</v>
      </c>
      <c r="L232" t="n">
        <v>0</v>
      </c>
      <c r="M232" t="n">
        <v>0</v>
      </c>
      <c r="N232" t="n">
        <v>0</v>
      </c>
      <c r="O232" t="n">
        <v>0</v>
      </c>
      <c r="P232" t="n">
        <v>0</v>
      </c>
      <c r="Q232" t="n">
        <v>0</v>
      </c>
      <c r="R232" s="2" t="inlineStr"/>
    </row>
    <row r="233" ht="15" customHeight="1">
      <c r="A233" t="inlineStr">
        <is>
          <t>A 23188-2025</t>
        </is>
      </c>
      <c r="B233" s="1" t="n">
        <v>45791</v>
      </c>
      <c r="C233" s="1" t="n">
        <v>46183</v>
      </c>
      <c r="D233" t="inlineStr">
        <is>
          <t>GOTLANDS LÄN</t>
        </is>
      </c>
      <c r="E233" t="inlineStr">
        <is>
          <t>GOTLAND</t>
        </is>
      </c>
      <c r="G233" t="n">
        <v>6.2</v>
      </c>
      <c r="H233" t="n">
        <v>0</v>
      </c>
      <c r="I233" t="n">
        <v>0</v>
      </c>
      <c r="J233" t="n">
        <v>0</v>
      </c>
      <c r="K233" t="n">
        <v>0</v>
      </c>
      <c r="L233" t="n">
        <v>0</v>
      </c>
      <c r="M233" t="n">
        <v>0</v>
      </c>
      <c r="N233" t="n">
        <v>0</v>
      </c>
      <c r="O233" t="n">
        <v>0</v>
      </c>
      <c r="P233" t="n">
        <v>0</v>
      </c>
      <c r="Q233" t="n">
        <v>0</v>
      </c>
      <c r="R233" s="2" t="inlineStr"/>
    </row>
    <row r="234" ht="15" customHeight="1">
      <c r="A234" t="inlineStr">
        <is>
          <t>A 5943-2024</t>
        </is>
      </c>
      <c r="B234" s="1" t="n">
        <v>45336</v>
      </c>
      <c r="C234" s="1" t="n">
        <v>46183</v>
      </c>
      <c r="D234" t="inlineStr">
        <is>
          <t>GOTLANDS LÄN</t>
        </is>
      </c>
      <c r="E234" t="inlineStr">
        <is>
          <t>GOTLAND</t>
        </is>
      </c>
      <c r="G234" t="n">
        <v>4.3</v>
      </c>
      <c r="H234" t="n">
        <v>0</v>
      </c>
      <c r="I234" t="n">
        <v>0</v>
      </c>
      <c r="J234" t="n">
        <v>0</v>
      </c>
      <c r="K234" t="n">
        <v>0</v>
      </c>
      <c r="L234" t="n">
        <v>0</v>
      </c>
      <c r="M234" t="n">
        <v>0</v>
      </c>
      <c r="N234" t="n">
        <v>0</v>
      </c>
      <c r="O234" t="n">
        <v>0</v>
      </c>
      <c r="P234" t="n">
        <v>0</v>
      </c>
      <c r="Q234" t="n">
        <v>0</v>
      </c>
      <c r="R234" s="2" t="inlineStr"/>
    </row>
    <row r="235" ht="15" customHeight="1">
      <c r="A235" t="inlineStr">
        <is>
          <t>A 63516-2023</t>
        </is>
      </c>
      <c r="B235" s="1" t="n">
        <v>45274</v>
      </c>
      <c r="C235" s="1" t="n">
        <v>46183</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54073-2022</t>
        </is>
      </c>
      <c r="B236" s="1" t="n">
        <v>44881.50380787037</v>
      </c>
      <c r="C236" s="1" t="n">
        <v>46183</v>
      </c>
      <c r="D236" t="inlineStr">
        <is>
          <t>GOTLANDS LÄN</t>
        </is>
      </c>
      <c r="E236" t="inlineStr">
        <is>
          <t>GOTLAND</t>
        </is>
      </c>
      <c r="G236" t="n">
        <v>3.8</v>
      </c>
      <c r="H236" t="n">
        <v>0</v>
      </c>
      <c r="I236" t="n">
        <v>0</v>
      </c>
      <c r="J236" t="n">
        <v>0</v>
      </c>
      <c r="K236" t="n">
        <v>0</v>
      </c>
      <c r="L236" t="n">
        <v>0</v>
      </c>
      <c r="M236" t="n">
        <v>0</v>
      </c>
      <c r="N236" t="n">
        <v>0</v>
      </c>
      <c r="O236" t="n">
        <v>0</v>
      </c>
      <c r="P236" t="n">
        <v>0</v>
      </c>
      <c r="Q236" t="n">
        <v>0</v>
      </c>
      <c r="R236" s="2" t="inlineStr"/>
    </row>
    <row r="237" ht="15" customHeight="1">
      <c r="A237" t="inlineStr">
        <is>
          <t>A 16361-2024</t>
        </is>
      </c>
      <c r="B237" s="1" t="n">
        <v>45407</v>
      </c>
      <c r="C237" s="1" t="n">
        <v>46183</v>
      </c>
      <c r="D237" t="inlineStr">
        <is>
          <t>GOTLANDS LÄN</t>
        </is>
      </c>
      <c r="E237" t="inlineStr">
        <is>
          <t>GOTLAND</t>
        </is>
      </c>
      <c r="G237" t="n">
        <v>6</v>
      </c>
      <c r="H237" t="n">
        <v>0</v>
      </c>
      <c r="I237" t="n">
        <v>0</v>
      </c>
      <c r="J237" t="n">
        <v>0</v>
      </c>
      <c r="K237" t="n">
        <v>0</v>
      </c>
      <c r="L237" t="n">
        <v>0</v>
      </c>
      <c r="M237" t="n">
        <v>0</v>
      </c>
      <c r="N237" t="n">
        <v>0</v>
      </c>
      <c r="O237" t="n">
        <v>0</v>
      </c>
      <c r="P237" t="n">
        <v>0</v>
      </c>
      <c r="Q237" t="n">
        <v>0</v>
      </c>
      <c r="R237" s="2" t="inlineStr"/>
    </row>
    <row r="238" ht="15" customHeight="1">
      <c r="A238" t="inlineStr">
        <is>
          <t>A 41038-2023</t>
        </is>
      </c>
      <c r="B238" s="1" t="n">
        <v>45173.60959490741</v>
      </c>
      <c r="C238" s="1" t="n">
        <v>46183</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23856-2025</t>
        </is>
      </c>
      <c r="B239" s="1" t="n">
        <v>45793</v>
      </c>
      <c r="C239" s="1" t="n">
        <v>46183</v>
      </c>
      <c r="D239" t="inlineStr">
        <is>
          <t>GOTLANDS LÄN</t>
        </is>
      </c>
      <c r="E239" t="inlineStr">
        <is>
          <t>GOTLAND</t>
        </is>
      </c>
      <c r="G239" t="n">
        <v>4.4</v>
      </c>
      <c r="H239" t="n">
        <v>0</v>
      </c>
      <c r="I239" t="n">
        <v>0</v>
      </c>
      <c r="J239" t="n">
        <v>0</v>
      </c>
      <c r="K239" t="n">
        <v>0</v>
      </c>
      <c r="L239" t="n">
        <v>0</v>
      </c>
      <c r="M239" t="n">
        <v>0</v>
      </c>
      <c r="N239" t="n">
        <v>0</v>
      </c>
      <c r="O239" t="n">
        <v>0</v>
      </c>
      <c r="P239" t="n">
        <v>0</v>
      </c>
      <c r="Q239" t="n">
        <v>0</v>
      </c>
      <c r="R239" s="2" t="inlineStr"/>
    </row>
    <row r="240" ht="15" customHeight="1">
      <c r="A240" t="inlineStr">
        <is>
          <t>A 15073-2025</t>
        </is>
      </c>
      <c r="B240" s="1" t="n">
        <v>45743</v>
      </c>
      <c r="C240" s="1" t="n">
        <v>46183</v>
      </c>
      <c r="D240" t="inlineStr">
        <is>
          <t>GOTLANDS LÄN</t>
        </is>
      </c>
      <c r="E240" t="inlineStr">
        <is>
          <t>GOTLAND</t>
        </is>
      </c>
      <c r="G240" t="n">
        <v>12.1</v>
      </c>
      <c r="H240" t="n">
        <v>0</v>
      </c>
      <c r="I240" t="n">
        <v>0</v>
      </c>
      <c r="J240" t="n">
        <v>0</v>
      </c>
      <c r="K240" t="n">
        <v>0</v>
      </c>
      <c r="L240" t="n">
        <v>0</v>
      </c>
      <c r="M240" t="n">
        <v>0</v>
      </c>
      <c r="N240" t="n">
        <v>0</v>
      </c>
      <c r="O240" t="n">
        <v>0</v>
      </c>
      <c r="P240" t="n">
        <v>0</v>
      </c>
      <c r="Q240" t="n">
        <v>0</v>
      </c>
      <c r="R240" s="2" t="inlineStr"/>
    </row>
    <row r="241" ht="15" customHeight="1">
      <c r="A241" t="inlineStr">
        <is>
          <t>A 6749-2025</t>
        </is>
      </c>
      <c r="B241" s="1" t="n">
        <v>45700</v>
      </c>
      <c r="C241" s="1" t="n">
        <v>46183</v>
      </c>
      <c r="D241" t="inlineStr">
        <is>
          <t>GOTLANDS LÄN</t>
        </is>
      </c>
      <c r="E241" t="inlineStr">
        <is>
          <t>GOTLAND</t>
        </is>
      </c>
      <c r="G241" t="n">
        <v>4.5</v>
      </c>
      <c r="H241" t="n">
        <v>0</v>
      </c>
      <c r="I241" t="n">
        <v>0</v>
      </c>
      <c r="J241" t="n">
        <v>0</v>
      </c>
      <c r="K241" t="n">
        <v>0</v>
      </c>
      <c r="L241" t="n">
        <v>0</v>
      </c>
      <c r="M241" t="n">
        <v>0</v>
      </c>
      <c r="N241" t="n">
        <v>0</v>
      </c>
      <c r="O241" t="n">
        <v>0</v>
      </c>
      <c r="P241" t="n">
        <v>0</v>
      </c>
      <c r="Q241" t="n">
        <v>0</v>
      </c>
      <c r="R241" s="2" t="inlineStr"/>
    </row>
    <row r="242" ht="15" customHeight="1">
      <c r="A242" t="inlineStr">
        <is>
          <t>A 30365-2024</t>
        </is>
      </c>
      <c r="B242" s="1" t="n">
        <v>45491.3716087963</v>
      </c>
      <c r="C242" s="1" t="n">
        <v>46183</v>
      </c>
      <c r="D242" t="inlineStr">
        <is>
          <t>GOTLANDS LÄN</t>
        </is>
      </c>
      <c r="E242" t="inlineStr">
        <is>
          <t>GOTLAND</t>
        </is>
      </c>
      <c r="G242" t="n">
        <v>0.5</v>
      </c>
      <c r="H242" t="n">
        <v>0</v>
      </c>
      <c r="I242" t="n">
        <v>0</v>
      </c>
      <c r="J242" t="n">
        <v>0</v>
      </c>
      <c r="K242" t="n">
        <v>0</v>
      </c>
      <c r="L242" t="n">
        <v>0</v>
      </c>
      <c r="M242" t="n">
        <v>0</v>
      </c>
      <c r="N242" t="n">
        <v>0</v>
      </c>
      <c r="O242" t="n">
        <v>0</v>
      </c>
      <c r="P242" t="n">
        <v>0</v>
      </c>
      <c r="Q242" t="n">
        <v>0</v>
      </c>
      <c r="R242" s="2" t="inlineStr"/>
    </row>
    <row r="243" ht="15" customHeight="1">
      <c r="A243" t="inlineStr">
        <is>
          <t>A 14427-2024</t>
        </is>
      </c>
      <c r="B243" s="1" t="n">
        <v>45394</v>
      </c>
      <c r="C243" s="1" t="n">
        <v>46183</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23698-2025</t>
        </is>
      </c>
      <c r="B244" s="1" t="n">
        <v>45793</v>
      </c>
      <c r="C244" s="1" t="n">
        <v>46183</v>
      </c>
      <c r="D244" t="inlineStr">
        <is>
          <t>GOTLANDS LÄN</t>
        </is>
      </c>
      <c r="E244" t="inlineStr">
        <is>
          <t>GOTLAND</t>
        </is>
      </c>
      <c r="G244" t="n">
        <v>0.8</v>
      </c>
      <c r="H244" t="n">
        <v>0</v>
      </c>
      <c r="I244" t="n">
        <v>0</v>
      </c>
      <c r="J244" t="n">
        <v>0</v>
      </c>
      <c r="K244" t="n">
        <v>0</v>
      </c>
      <c r="L244" t="n">
        <v>0</v>
      </c>
      <c r="M244" t="n">
        <v>0</v>
      </c>
      <c r="N244" t="n">
        <v>0</v>
      </c>
      <c r="O244" t="n">
        <v>0</v>
      </c>
      <c r="P244" t="n">
        <v>0</v>
      </c>
      <c r="Q244" t="n">
        <v>0</v>
      </c>
      <c r="R244" s="2" t="inlineStr"/>
    </row>
    <row r="245" ht="15" customHeight="1">
      <c r="A245" t="inlineStr">
        <is>
          <t>A 1681-2023</t>
        </is>
      </c>
      <c r="B245" s="1" t="n">
        <v>44938.39715277778</v>
      </c>
      <c r="C245" s="1" t="n">
        <v>46183</v>
      </c>
      <c r="D245" t="inlineStr">
        <is>
          <t>GOTLANDS LÄN</t>
        </is>
      </c>
      <c r="E245" t="inlineStr">
        <is>
          <t>GOTLAND</t>
        </is>
      </c>
      <c r="G245" t="n">
        <v>2.4</v>
      </c>
      <c r="H245" t="n">
        <v>0</v>
      </c>
      <c r="I245" t="n">
        <v>0</v>
      </c>
      <c r="J245" t="n">
        <v>0</v>
      </c>
      <c r="K245" t="n">
        <v>0</v>
      </c>
      <c r="L245" t="n">
        <v>0</v>
      </c>
      <c r="M245" t="n">
        <v>0</v>
      </c>
      <c r="N245" t="n">
        <v>0</v>
      </c>
      <c r="O245" t="n">
        <v>0</v>
      </c>
      <c r="P245" t="n">
        <v>0</v>
      </c>
      <c r="Q245" t="n">
        <v>0</v>
      </c>
      <c r="R245" s="2" t="inlineStr"/>
    </row>
    <row r="246" ht="15" customHeight="1">
      <c r="A246" t="inlineStr">
        <is>
          <t>A 31802-2024</t>
        </is>
      </c>
      <c r="B246" s="1" t="n">
        <v>45509</v>
      </c>
      <c r="C246" s="1" t="n">
        <v>46183</v>
      </c>
      <c r="D246" t="inlineStr">
        <is>
          <t>GOTLANDS LÄN</t>
        </is>
      </c>
      <c r="E246" t="inlineStr">
        <is>
          <t>GOTLAND</t>
        </is>
      </c>
      <c r="G246" t="n">
        <v>2.8</v>
      </c>
      <c r="H246" t="n">
        <v>0</v>
      </c>
      <c r="I246" t="n">
        <v>0</v>
      </c>
      <c r="J246" t="n">
        <v>0</v>
      </c>
      <c r="K246" t="n">
        <v>0</v>
      </c>
      <c r="L246" t="n">
        <v>0</v>
      </c>
      <c r="M246" t="n">
        <v>0</v>
      </c>
      <c r="N246" t="n">
        <v>0</v>
      </c>
      <c r="O246" t="n">
        <v>0</v>
      </c>
      <c r="P246" t="n">
        <v>0</v>
      </c>
      <c r="Q246" t="n">
        <v>0</v>
      </c>
      <c r="R246" s="2" t="inlineStr"/>
    </row>
    <row r="247" ht="15" customHeight="1">
      <c r="A247" t="inlineStr">
        <is>
          <t>A 15595-2024</t>
        </is>
      </c>
      <c r="B247" s="1" t="n">
        <v>45401.81480324074</v>
      </c>
      <c r="C247" s="1" t="n">
        <v>46183</v>
      </c>
      <c r="D247" t="inlineStr">
        <is>
          <t>GOTLANDS LÄN</t>
        </is>
      </c>
      <c r="E247" t="inlineStr">
        <is>
          <t>GOTLAND</t>
        </is>
      </c>
      <c r="G247" t="n">
        <v>6.4</v>
      </c>
      <c r="H247" t="n">
        <v>0</v>
      </c>
      <c r="I247" t="n">
        <v>0</v>
      </c>
      <c r="J247" t="n">
        <v>0</v>
      </c>
      <c r="K247" t="n">
        <v>0</v>
      </c>
      <c r="L247" t="n">
        <v>0</v>
      </c>
      <c r="M247" t="n">
        <v>0</v>
      </c>
      <c r="N247" t="n">
        <v>0</v>
      </c>
      <c r="O247" t="n">
        <v>0</v>
      </c>
      <c r="P247" t="n">
        <v>0</v>
      </c>
      <c r="Q247" t="n">
        <v>0</v>
      </c>
      <c r="R247" s="2" t="inlineStr"/>
    </row>
    <row r="248" ht="15" customHeight="1">
      <c r="A248" t="inlineStr">
        <is>
          <t>A 5751-2024</t>
        </is>
      </c>
      <c r="B248" s="1" t="n">
        <v>45335.32702546296</v>
      </c>
      <c r="C248" s="1" t="n">
        <v>46183</v>
      </c>
      <c r="D248" t="inlineStr">
        <is>
          <t>GOTLANDS LÄN</t>
        </is>
      </c>
      <c r="E248" t="inlineStr">
        <is>
          <t>GOTLAND</t>
        </is>
      </c>
      <c r="G248" t="n">
        <v>4.2</v>
      </c>
      <c r="H248" t="n">
        <v>0</v>
      </c>
      <c r="I248" t="n">
        <v>0</v>
      </c>
      <c r="J248" t="n">
        <v>0</v>
      </c>
      <c r="K248" t="n">
        <v>0</v>
      </c>
      <c r="L248" t="n">
        <v>0</v>
      </c>
      <c r="M248" t="n">
        <v>0</v>
      </c>
      <c r="N248" t="n">
        <v>0</v>
      </c>
      <c r="O248" t="n">
        <v>0</v>
      </c>
      <c r="P248" t="n">
        <v>0</v>
      </c>
      <c r="Q248" t="n">
        <v>0</v>
      </c>
      <c r="R248" s="2" t="inlineStr"/>
    </row>
    <row r="249" ht="15" customHeight="1">
      <c r="A249" t="inlineStr">
        <is>
          <t>A 6099-2024</t>
        </is>
      </c>
      <c r="B249" s="1" t="n">
        <v>45337</v>
      </c>
      <c r="C249" s="1" t="n">
        <v>46183</v>
      </c>
      <c r="D249" t="inlineStr">
        <is>
          <t>GOTLANDS LÄN</t>
        </is>
      </c>
      <c r="E249" t="inlineStr">
        <is>
          <t>GOTLAND</t>
        </is>
      </c>
      <c r="G249" t="n">
        <v>12.6</v>
      </c>
      <c r="H249" t="n">
        <v>0</v>
      </c>
      <c r="I249" t="n">
        <v>0</v>
      </c>
      <c r="J249" t="n">
        <v>0</v>
      </c>
      <c r="K249" t="n">
        <v>0</v>
      </c>
      <c r="L249" t="n">
        <v>0</v>
      </c>
      <c r="M249" t="n">
        <v>0</v>
      </c>
      <c r="N249" t="n">
        <v>0</v>
      </c>
      <c r="O249" t="n">
        <v>0</v>
      </c>
      <c r="P249" t="n">
        <v>0</v>
      </c>
      <c r="Q249" t="n">
        <v>0</v>
      </c>
      <c r="R249" s="2" t="inlineStr"/>
    </row>
    <row r="250" ht="15" customHeight="1">
      <c r="A250" t="inlineStr">
        <is>
          <t>A 1273-2023</t>
        </is>
      </c>
      <c r="B250" s="1" t="n">
        <v>44936</v>
      </c>
      <c r="C250" s="1" t="n">
        <v>46183</v>
      </c>
      <c r="D250" t="inlineStr">
        <is>
          <t>GOTLANDS LÄN</t>
        </is>
      </c>
      <c r="E250" t="inlineStr">
        <is>
          <t>GOTLAND</t>
        </is>
      </c>
      <c r="G250" t="n">
        <v>4.5</v>
      </c>
      <c r="H250" t="n">
        <v>0</v>
      </c>
      <c r="I250" t="n">
        <v>0</v>
      </c>
      <c r="J250" t="n">
        <v>0</v>
      </c>
      <c r="K250" t="n">
        <v>0</v>
      </c>
      <c r="L250" t="n">
        <v>0</v>
      </c>
      <c r="M250" t="n">
        <v>0</v>
      </c>
      <c r="N250" t="n">
        <v>0</v>
      </c>
      <c r="O250" t="n">
        <v>0</v>
      </c>
      <c r="P250" t="n">
        <v>0</v>
      </c>
      <c r="Q250" t="n">
        <v>0</v>
      </c>
      <c r="R250" s="2" t="inlineStr"/>
    </row>
    <row r="251" ht="15" customHeight="1">
      <c r="A251" t="inlineStr">
        <is>
          <t>A 8036-2022</t>
        </is>
      </c>
      <c r="B251" s="1" t="n">
        <v>44609.44362268518</v>
      </c>
      <c r="C251" s="1" t="n">
        <v>46183</v>
      </c>
      <c r="D251" t="inlineStr">
        <is>
          <t>GOTLANDS LÄN</t>
        </is>
      </c>
      <c r="E251" t="inlineStr">
        <is>
          <t>GOTLAND</t>
        </is>
      </c>
      <c r="G251" t="n">
        <v>6.1</v>
      </c>
      <c r="H251" t="n">
        <v>0</v>
      </c>
      <c r="I251" t="n">
        <v>0</v>
      </c>
      <c r="J251" t="n">
        <v>0</v>
      </c>
      <c r="K251" t="n">
        <v>0</v>
      </c>
      <c r="L251" t="n">
        <v>0</v>
      </c>
      <c r="M251" t="n">
        <v>0</v>
      </c>
      <c r="N251" t="n">
        <v>0</v>
      </c>
      <c r="O251" t="n">
        <v>0</v>
      </c>
      <c r="P251" t="n">
        <v>0</v>
      </c>
      <c r="Q251" t="n">
        <v>0</v>
      </c>
      <c r="R251" s="2" t="inlineStr"/>
    </row>
    <row r="252" ht="15" customHeight="1">
      <c r="A252" t="inlineStr">
        <is>
          <t>A 12846-2025</t>
        </is>
      </c>
      <c r="B252" s="1" t="n">
        <v>45733.65049768519</v>
      </c>
      <c r="C252" s="1" t="n">
        <v>46183</v>
      </c>
      <c r="D252" t="inlineStr">
        <is>
          <t>GOTLANDS LÄN</t>
        </is>
      </c>
      <c r="E252" t="inlineStr">
        <is>
          <t>GOTLAND</t>
        </is>
      </c>
      <c r="G252" t="n">
        <v>1.7</v>
      </c>
      <c r="H252" t="n">
        <v>0</v>
      </c>
      <c r="I252" t="n">
        <v>0</v>
      </c>
      <c r="J252" t="n">
        <v>0</v>
      </c>
      <c r="K252" t="n">
        <v>0</v>
      </c>
      <c r="L252" t="n">
        <v>0</v>
      </c>
      <c r="M252" t="n">
        <v>0</v>
      </c>
      <c r="N252" t="n">
        <v>0</v>
      </c>
      <c r="O252" t="n">
        <v>0</v>
      </c>
      <c r="P252" t="n">
        <v>0</v>
      </c>
      <c r="Q252" t="n">
        <v>0</v>
      </c>
      <c r="R252" s="2" t="inlineStr"/>
    </row>
    <row r="253" ht="15" customHeight="1">
      <c r="A253" t="inlineStr">
        <is>
          <t>A 5462-2025</t>
        </is>
      </c>
      <c r="B253" s="1" t="n">
        <v>45693.29331018519</v>
      </c>
      <c r="C253" s="1" t="n">
        <v>46183</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58780-2024</t>
        </is>
      </c>
      <c r="B254" s="1" t="n">
        <v>45635.84113425926</v>
      </c>
      <c r="C254" s="1" t="n">
        <v>46183</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33876-2024</t>
        </is>
      </c>
      <c r="B255" s="1" t="n">
        <v>45521.87988425926</v>
      </c>
      <c r="C255" s="1" t="n">
        <v>46183</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46949-2024</t>
        </is>
      </c>
      <c r="B256" s="1" t="n">
        <v>45585</v>
      </c>
      <c r="C256" s="1" t="n">
        <v>46183</v>
      </c>
      <c r="D256" t="inlineStr">
        <is>
          <t>GOTLANDS LÄN</t>
        </is>
      </c>
      <c r="E256" t="inlineStr">
        <is>
          <t>GOTLAND</t>
        </is>
      </c>
      <c r="G256" t="n">
        <v>0.6</v>
      </c>
      <c r="H256" t="n">
        <v>0</v>
      </c>
      <c r="I256" t="n">
        <v>0</v>
      </c>
      <c r="J256" t="n">
        <v>0</v>
      </c>
      <c r="K256" t="n">
        <v>0</v>
      </c>
      <c r="L256" t="n">
        <v>0</v>
      </c>
      <c r="M256" t="n">
        <v>0</v>
      </c>
      <c r="N256" t="n">
        <v>0</v>
      </c>
      <c r="O256" t="n">
        <v>0</v>
      </c>
      <c r="P256" t="n">
        <v>0</v>
      </c>
      <c r="Q256" t="n">
        <v>0</v>
      </c>
      <c r="R256" s="2" t="inlineStr"/>
    </row>
    <row r="257" ht="15" customHeight="1">
      <c r="A257" t="inlineStr">
        <is>
          <t>A 10650-2022</t>
        </is>
      </c>
      <c r="B257" s="1" t="n">
        <v>44624.57945601852</v>
      </c>
      <c r="C257" s="1" t="n">
        <v>46183</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28285-2024</t>
        </is>
      </c>
      <c r="B258" s="1" t="n">
        <v>45477</v>
      </c>
      <c r="C258" s="1" t="n">
        <v>46183</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61100-2022</t>
        </is>
      </c>
      <c r="B259" s="1" t="n">
        <v>44915</v>
      </c>
      <c r="C259" s="1" t="n">
        <v>46183</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61682-2024</t>
        </is>
      </c>
      <c r="B260" s="1" t="n">
        <v>45647.48824074074</v>
      </c>
      <c r="C260" s="1" t="n">
        <v>46183</v>
      </c>
      <c r="D260" t="inlineStr">
        <is>
          <t>GOTLANDS LÄN</t>
        </is>
      </c>
      <c r="E260" t="inlineStr">
        <is>
          <t>GOTLAND</t>
        </is>
      </c>
      <c r="G260" t="n">
        <v>1.9</v>
      </c>
      <c r="H260" t="n">
        <v>0</v>
      </c>
      <c r="I260" t="n">
        <v>0</v>
      </c>
      <c r="J260" t="n">
        <v>0</v>
      </c>
      <c r="K260" t="n">
        <v>0</v>
      </c>
      <c r="L260" t="n">
        <v>0</v>
      </c>
      <c r="M260" t="n">
        <v>0</v>
      </c>
      <c r="N260" t="n">
        <v>0</v>
      </c>
      <c r="O260" t="n">
        <v>0</v>
      </c>
      <c r="P260" t="n">
        <v>0</v>
      </c>
      <c r="Q260" t="n">
        <v>0</v>
      </c>
      <c r="R260" s="2" t="inlineStr"/>
    </row>
    <row r="261" ht="15" customHeight="1">
      <c r="A261" t="inlineStr">
        <is>
          <t>A 20356-2022</t>
        </is>
      </c>
      <c r="B261" s="1" t="n">
        <v>44699</v>
      </c>
      <c r="C261" s="1" t="n">
        <v>46183</v>
      </c>
      <c r="D261" t="inlineStr">
        <is>
          <t>GOTLANDS LÄN</t>
        </is>
      </c>
      <c r="E261" t="inlineStr">
        <is>
          <t>GOTLAND</t>
        </is>
      </c>
      <c r="F261" t="inlineStr">
        <is>
          <t>Övriga Aktiebolag</t>
        </is>
      </c>
      <c r="G261" t="n">
        <v>4.4</v>
      </c>
      <c r="H261" t="n">
        <v>0</v>
      </c>
      <c r="I261" t="n">
        <v>0</v>
      </c>
      <c r="J261" t="n">
        <v>0</v>
      </c>
      <c r="K261" t="n">
        <v>0</v>
      </c>
      <c r="L261" t="n">
        <v>0</v>
      </c>
      <c r="M261" t="n">
        <v>0</v>
      </c>
      <c r="N261" t="n">
        <v>0</v>
      </c>
      <c r="O261" t="n">
        <v>0</v>
      </c>
      <c r="P261" t="n">
        <v>0</v>
      </c>
      <c r="Q261" t="n">
        <v>0</v>
      </c>
      <c r="R261" s="2" t="inlineStr"/>
    </row>
    <row r="262" ht="15" customHeight="1">
      <c r="A262" t="inlineStr">
        <is>
          <t>A 1351-2025</t>
        </is>
      </c>
      <c r="B262" s="1" t="n">
        <v>45667.62246527777</v>
      </c>
      <c r="C262" s="1" t="n">
        <v>46183</v>
      </c>
      <c r="D262" t="inlineStr">
        <is>
          <t>GOTLANDS LÄN</t>
        </is>
      </c>
      <c r="E262" t="inlineStr">
        <is>
          <t>GOTLAND</t>
        </is>
      </c>
      <c r="G262" t="n">
        <v>1.3</v>
      </c>
      <c r="H262" t="n">
        <v>0</v>
      </c>
      <c r="I262" t="n">
        <v>0</v>
      </c>
      <c r="J262" t="n">
        <v>0</v>
      </c>
      <c r="K262" t="n">
        <v>0</v>
      </c>
      <c r="L262" t="n">
        <v>0</v>
      </c>
      <c r="M262" t="n">
        <v>0</v>
      </c>
      <c r="N262" t="n">
        <v>0</v>
      </c>
      <c r="O262" t="n">
        <v>0</v>
      </c>
      <c r="P262" t="n">
        <v>0</v>
      </c>
      <c r="Q262" t="n">
        <v>0</v>
      </c>
      <c r="R262" s="2" t="inlineStr"/>
    </row>
    <row r="263" ht="15" customHeight="1">
      <c r="A263" t="inlineStr">
        <is>
          <t>A 39496-2022</t>
        </is>
      </c>
      <c r="B263" s="1" t="n">
        <v>44818</v>
      </c>
      <c r="C263" s="1" t="n">
        <v>46183</v>
      </c>
      <c r="D263" t="inlineStr">
        <is>
          <t>GOTLANDS LÄN</t>
        </is>
      </c>
      <c r="E263" t="inlineStr">
        <is>
          <t>GOTLAND</t>
        </is>
      </c>
      <c r="G263" t="n">
        <v>2.4</v>
      </c>
      <c r="H263" t="n">
        <v>0</v>
      </c>
      <c r="I263" t="n">
        <v>0</v>
      </c>
      <c r="J263" t="n">
        <v>0</v>
      </c>
      <c r="K263" t="n">
        <v>0</v>
      </c>
      <c r="L263" t="n">
        <v>0</v>
      </c>
      <c r="M263" t="n">
        <v>0</v>
      </c>
      <c r="N263" t="n">
        <v>0</v>
      </c>
      <c r="O263" t="n">
        <v>0</v>
      </c>
      <c r="P263" t="n">
        <v>0</v>
      </c>
      <c r="Q263" t="n">
        <v>0</v>
      </c>
      <c r="R263" s="2" t="inlineStr"/>
    </row>
    <row r="264" ht="15" customHeight="1">
      <c r="A264" t="inlineStr">
        <is>
          <t>A 58388-2022</t>
        </is>
      </c>
      <c r="B264" s="1" t="n">
        <v>44894</v>
      </c>
      <c r="C264" s="1" t="n">
        <v>46183</v>
      </c>
      <c r="D264" t="inlineStr">
        <is>
          <t>GOTLANDS LÄN</t>
        </is>
      </c>
      <c r="E264" t="inlineStr">
        <is>
          <t>GOTLAND</t>
        </is>
      </c>
      <c r="F264" t="inlineStr">
        <is>
          <t>Övriga statliga verk och myndigheter</t>
        </is>
      </c>
      <c r="G264" t="n">
        <v>3.1</v>
      </c>
      <c r="H264" t="n">
        <v>0</v>
      </c>
      <c r="I264" t="n">
        <v>0</v>
      </c>
      <c r="J264" t="n">
        <v>0</v>
      </c>
      <c r="K264" t="n">
        <v>0</v>
      </c>
      <c r="L264" t="n">
        <v>0</v>
      </c>
      <c r="M264" t="n">
        <v>0</v>
      </c>
      <c r="N264" t="n">
        <v>0</v>
      </c>
      <c r="O264" t="n">
        <v>0</v>
      </c>
      <c r="P264" t="n">
        <v>0</v>
      </c>
      <c r="Q264" t="n">
        <v>0</v>
      </c>
      <c r="R264" s="2" t="inlineStr"/>
    </row>
    <row r="265" ht="15" customHeight="1">
      <c r="A265" t="inlineStr">
        <is>
          <t>A 49874-2024</t>
        </is>
      </c>
      <c r="B265" s="1" t="n">
        <v>45597.49274305555</v>
      </c>
      <c r="C265" s="1" t="n">
        <v>46183</v>
      </c>
      <c r="D265" t="inlineStr">
        <is>
          <t>GOTLANDS LÄN</t>
        </is>
      </c>
      <c r="E265" t="inlineStr">
        <is>
          <t>GOTLAND</t>
        </is>
      </c>
      <c r="G265" t="n">
        <v>1.1</v>
      </c>
      <c r="H265" t="n">
        <v>0</v>
      </c>
      <c r="I265" t="n">
        <v>0</v>
      </c>
      <c r="J265" t="n">
        <v>0</v>
      </c>
      <c r="K265" t="n">
        <v>0</v>
      </c>
      <c r="L265" t="n">
        <v>0</v>
      </c>
      <c r="M265" t="n">
        <v>0</v>
      </c>
      <c r="N265" t="n">
        <v>0</v>
      </c>
      <c r="O265" t="n">
        <v>0</v>
      </c>
      <c r="P265" t="n">
        <v>0</v>
      </c>
      <c r="Q265" t="n">
        <v>0</v>
      </c>
      <c r="R265" s="2" t="inlineStr"/>
    </row>
    <row r="266" ht="15" customHeight="1">
      <c r="A266" t="inlineStr">
        <is>
          <t>A 46400-2023</t>
        </is>
      </c>
      <c r="B266" s="1" t="n">
        <v>45197.49290509259</v>
      </c>
      <c r="C266" s="1" t="n">
        <v>46183</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21164-2024</t>
        </is>
      </c>
      <c r="B267" s="1" t="n">
        <v>45440</v>
      </c>
      <c r="C267" s="1" t="n">
        <v>46183</v>
      </c>
      <c r="D267" t="inlineStr">
        <is>
          <t>GOTLANDS LÄN</t>
        </is>
      </c>
      <c r="E267" t="inlineStr">
        <is>
          <t>GOTLAND</t>
        </is>
      </c>
      <c r="G267" t="n">
        <v>6.3</v>
      </c>
      <c r="H267" t="n">
        <v>0</v>
      </c>
      <c r="I267" t="n">
        <v>0</v>
      </c>
      <c r="J267" t="n">
        <v>0</v>
      </c>
      <c r="K267" t="n">
        <v>0</v>
      </c>
      <c r="L267" t="n">
        <v>0</v>
      </c>
      <c r="M267" t="n">
        <v>0</v>
      </c>
      <c r="N267" t="n">
        <v>0</v>
      </c>
      <c r="O267" t="n">
        <v>0</v>
      </c>
      <c r="P267" t="n">
        <v>0</v>
      </c>
      <c r="Q267" t="n">
        <v>0</v>
      </c>
      <c r="R267" s="2" t="inlineStr"/>
    </row>
    <row r="268" ht="15" customHeight="1">
      <c r="A268" t="inlineStr">
        <is>
          <t>A 17688-2024</t>
        </is>
      </c>
      <c r="B268" s="1" t="n">
        <v>45418.43575231481</v>
      </c>
      <c r="C268" s="1" t="n">
        <v>46183</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8045-2022</t>
        </is>
      </c>
      <c r="B269" s="1" t="n">
        <v>44609</v>
      </c>
      <c r="C269" s="1" t="n">
        <v>46183</v>
      </c>
      <c r="D269" t="inlineStr">
        <is>
          <t>GOTLANDS LÄN</t>
        </is>
      </c>
      <c r="E269" t="inlineStr">
        <is>
          <t>GOTLAND</t>
        </is>
      </c>
      <c r="G269" t="n">
        <v>7</v>
      </c>
      <c r="H269" t="n">
        <v>0</v>
      </c>
      <c r="I269" t="n">
        <v>0</v>
      </c>
      <c r="J269" t="n">
        <v>0</v>
      </c>
      <c r="K269" t="n">
        <v>0</v>
      </c>
      <c r="L269" t="n">
        <v>0</v>
      </c>
      <c r="M269" t="n">
        <v>0</v>
      </c>
      <c r="N269" t="n">
        <v>0</v>
      </c>
      <c r="O269" t="n">
        <v>0</v>
      </c>
      <c r="P269" t="n">
        <v>0</v>
      </c>
      <c r="Q269" t="n">
        <v>0</v>
      </c>
      <c r="R269" s="2" t="inlineStr"/>
    </row>
    <row r="270" ht="15" customHeight="1">
      <c r="A270" t="inlineStr">
        <is>
          <t>A 27355-2025</t>
        </is>
      </c>
      <c r="B270" s="1" t="n">
        <v>45812</v>
      </c>
      <c r="C270" s="1" t="n">
        <v>46183</v>
      </c>
      <c r="D270" t="inlineStr">
        <is>
          <t>GOTLANDS LÄN</t>
        </is>
      </c>
      <c r="E270" t="inlineStr">
        <is>
          <t>GOTLAND</t>
        </is>
      </c>
      <c r="G270" t="n">
        <v>1.1</v>
      </c>
      <c r="H270" t="n">
        <v>0</v>
      </c>
      <c r="I270" t="n">
        <v>0</v>
      </c>
      <c r="J270" t="n">
        <v>0</v>
      </c>
      <c r="K270" t="n">
        <v>0</v>
      </c>
      <c r="L270" t="n">
        <v>0</v>
      </c>
      <c r="M270" t="n">
        <v>0</v>
      </c>
      <c r="N270" t="n">
        <v>0</v>
      </c>
      <c r="O270" t="n">
        <v>0</v>
      </c>
      <c r="P270" t="n">
        <v>0</v>
      </c>
      <c r="Q270" t="n">
        <v>0</v>
      </c>
      <c r="R270" s="2" t="inlineStr"/>
    </row>
    <row r="271" ht="15" customHeight="1">
      <c r="A271" t="inlineStr">
        <is>
          <t>A 7837-2024</t>
        </is>
      </c>
      <c r="B271" s="1" t="n">
        <v>45349.83787037037</v>
      </c>
      <c r="C271" s="1" t="n">
        <v>46183</v>
      </c>
      <c r="D271" t="inlineStr">
        <is>
          <t>GOTLANDS LÄN</t>
        </is>
      </c>
      <c r="E271" t="inlineStr">
        <is>
          <t>GOTLAND</t>
        </is>
      </c>
      <c r="G271" t="n">
        <v>5</v>
      </c>
      <c r="H271" t="n">
        <v>0</v>
      </c>
      <c r="I271" t="n">
        <v>0</v>
      </c>
      <c r="J271" t="n">
        <v>0</v>
      </c>
      <c r="K271" t="n">
        <v>0</v>
      </c>
      <c r="L271" t="n">
        <v>0</v>
      </c>
      <c r="M271" t="n">
        <v>0</v>
      </c>
      <c r="N271" t="n">
        <v>0</v>
      </c>
      <c r="O271" t="n">
        <v>0</v>
      </c>
      <c r="P271" t="n">
        <v>0</v>
      </c>
      <c r="Q271" t="n">
        <v>0</v>
      </c>
      <c r="R271" s="2" t="inlineStr"/>
    </row>
    <row r="272" ht="15" customHeight="1">
      <c r="A272" t="inlineStr">
        <is>
          <t>A 22897-2023</t>
        </is>
      </c>
      <c r="B272" s="1" t="n">
        <v>45072.55239583334</v>
      </c>
      <c r="C272" s="1" t="n">
        <v>46183</v>
      </c>
      <c r="D272" t="inlineStr">
        <is>
          <t>GOTLANDS LÄN</t>
        </is>
      </c>
      <c r="E272" t="inlineStr">
        <is>
          <t>GOTLAND</t>
        </is>
      </c>
      <c r="G272" t="n">
        <v>1.1</v>
      </c>
      <c r="H272" t="n">
        <v>0</v>
      </c>
      <c r="I272" t="n">
        <v>0</v>
      </c>
      <c r="J272" t="n">
        <v>0</v>
      </c>
      <c r="K272" t="n">
        <v>0</v>
      </c>
      <c r="L272" t="n">
        <v>0</v>
      </c>
      <c r="M272" t="n">
        <v>0</v>
      </c>
      <c r="N272" t="n">
        <v>0</v>
      </c>
      <c r="O272" t="n">
        <v>0</v>
      </c>
      <c r="P272" t="n">
        <v>0</v>
      </c>
      <c r="Q272" t="n">
        <v>0</v>
      </c>
      <c r="R272" s="2" t="inlineStr"/>
    </row>
    <row r="273" ht="15" customHeight="1">
      <c r="A273" t="inlineStr">
        <is>
          <t>A 7850-2025</t>
        </is>
      </c>
      <c r="B273" s="1" t="n">
        <v>45706</v>
      </c>
      <c r="C273" s="1" t="n">
        <v>46183</v>
      </c>
      <c r="D273" t="inlineStr">
        <is>
          <t>GOTLANDS LÄN</t>
        </is>
      </c>
      <c r="E273" t="inlineStr">
        <is>
          <t>GOTLAND</t>
        </is>
      </c>
      <c r="G273" t="n">
        <v>0.5</v>
      </c>
      <c r="H273" t="n">
        <v>0</v>
      </c>
      <c r="I273" t="n">
        <v>0</v>
      </c>
      <c r="J273" t="n">
        <v>0</v>
      </c>
      <c r="K273" t="n">
        <v>0</v>
      </c>
      <c r="L273" t="n">
        <v>0</v>
      </c>
      <c r="M273" t="n">
        <v>0</v>
      </c>
      <c r="N273" t="n">
        <v>0</v>
      </c>
      <c r="O273" t="n">
        <v>0</v>
      </c>
      <c r="P273" t="n">
        <v>0</v>
      </c>
      <c r="Q273" t="n">
        <v>0</v>
      </c>
      <c r="R273" s="2" t="inlineStr"/>
    </row>
    <row r="274" ht="15" customHeight="1">
      <c r="A274" t="inlineStr">
        <is>
          <t>A 4568-2025</t>
        </is>
      </c>
      <c r="B274" s="1" t="n">
        <v>45687</v>
      </c>
      <c r="C274" s="1" t="n">
        <v>46183</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61897-2024</t>
        </is>
      </c>
      <c r="B275" s="1" t="n">
        <v>45652.75685185185</v>
      </c>
      <c r="C275" s="1" t="n">
        <v>46183</v>
      </c>
      <c r="D275" t="inlineStr">
        <is>
          <t>GOTLANDS LÄN</t>
        </is>
      </c>
      <c r="E275" t="inlineStr">
        <is>
          <t>GOTLAND</t>
        </is>
      </c>
      <c r="G275" t="n">
        <v>6.4</v>
      </c>
      <c r="H275" t="n">
        <v>0</v>
      </c>
      <c r="I275" t="n">
        <v>0</v>
      </c>
      <c r="J275" t="n">
        <v>0</v>
      </c>
      <c r="K275" t="n">
        <v>0</v>
      </c>
      <c r="L275" t="n">
        <v>0</v>
      </c>
      <c r="M275" t="n">
        <v>0</v>
      </c>
      <c r="N275" t="n">
        <v>0</v>
      </c>
      <c r="O275" t="n">
        <v>0</v>
      </c>
      <c r="P275" t="n">
        <v>0</v>
      </c>
      <c r="Q275" t="n">
        <v>0</v>
      </c>
      <c r="R275" s="2" t="inlineStr"/>
    </row>
    <row r="276" ht="15" customHeight="1">
      <c r="A276" t="inlineStr">
        <is>
          <t>A 8444-2025</t>
        </is>
      </c>
      <c r="B276" s="1" t="n">
        <v>45709</v>
      </c>
      <c r="C276" s="1" t="n">
        <v>46183</v>
      </c>
      <c r="D276" t="inlineStr">
        <is>
          <t>GOTLANDS LÄN</t>
        </is>
      </c>
      <c r="E276" t="inlineStr">
        <is>
          <t>GOTLAND</t>
        </is>
      </c>
      <c r="G276" t="n">
        <v>5.2</v>
      </c>
      <c r="H276" t="n">
        <v>0</v>
      </c>
      <c r="I276" t="n">
        <v>0</v>
      </c>
      <c r="J276" t="n">
        <v>0</v>
      </c>
      <c r="K276" t="n">
        <v>0</v>
      </c>
      <c r="L276" t="n">
        <v>0</v>
      </c>
      <c r="M276" t="n">
        <v>0</v>
      </c>
      <c r="N276" t="n">
        <v>0</v>
      </c>
      <c r="O276" t="n">
        <v>0</v>
      </c>
      <c r="P276" t="n">
        <v>0</v>
      </c>
      <c r="Q276" t="n">
        <v>0</v>
      </c>
      <c r="R276" s="2" t="inlineStr"/>
    </row>
    <row r="277" ht="15" customHeight="1">
      <c r="A277" t="inlineStr">
        <is>
          <t>A 35512-2023</t>
        </is>
      </c>
      <c r="B277" s="1" t="n">
        <v>45147.25623842593</v>
      </c>
      <c r="C277" s="1" t="n">
        <v>46183</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5905-2024</t>
        </is>
      </c>
      <c r="B278" s="1" t="n">
        <v>45335.88993055555</v>
      </c>
      <c r="C278" s="1" t="n">
        <v>46183</v>
      </c>
      <c r="D278" t="inlineStr">
        <is>
          <t>GOTLANDS LÄN</t>
        </is>
      </c>
      <c r="E278" t="inlineStr">
        <is>
          <t>GOTLAND</t>
        </is>
      </c>
      <c r="G278" t="n">
        <v>3</v>
      </c>
      <c r="H278" t="n">
        <v>0</v>
      </c>
      <c r="I278" t="n">
        <v>0</v>
      </c>
      <c r="J278" t="n">
        <v>0</v>
      </c>
      <c r="K278" t="n">
        <v>0</v>
      </c>
      <c r="L278" t="n">
        <v>0</v>
      </c>
      <c r="M278" t="n">
        <v>0</v>
      </c>
      <c r="N278" t="n">
        <v>0</v>
      </c>
      <c r="O278" t="n">
        <v>0</v>
      </c>
      <c r="P278" t="n">
        <v>0</v>
      </c>
      <c r="Q278" t="n">
        <v>0</v>
      </c>
      <c r="R278" s="2" t="inlineStr"/>
    </row>
    <row r="279" ht="15" customHeight="1">
      <c r="A279" t="inlineStr">
        <is>
          <t>A 20165-2022</t>
        </is>
      </c>
      <c r="B279" s="1" t="n">
        <v>44698.49854166667</v>
      </c>
      <c r="C279" s="1" t="n">
        <v>46183</v>
      </c>
      <c r="D279" t="inlineStr">
        <is>
          <t>GOTLANDS LÄN</t>
        </is>
      </c>
      <c r="E279" t="inlineStr">
        <is>
          <t>GOTLAND</t>
        </is>
      </c>
      <c r="G279" t="n">
        <v>4.1</v>
      </c>
      <c r="H279" t="n">
        <v>0</v>
      </c>
      <c r="I279" t="n">
        <v>0</v>
      </c>
      <c r="J279" t="n">
        <v>0</v>
      </c>
      <c r="K279" t="n">
        <v>0</v>
      </c>
      <c r="L279" t="n">
        <v>0</v>
      </c>
      <c r="M279" t="n">
        <v>0</v>
      </c>
      <c r="N279" t="n">
        <v>0</v>
      </c>
      <c r="O279" t="n">
        <v>0</v>
      </c>
      <c r="P279" t="n">
        <v>0</v>
      </c>
      <c r="Q279" t="n">
        <v>0</v>
      </c>
      <c r="R279" s="2" t="inlineStr"/>
    </row>
    <row r="280" ht="15" customHeight="1">
      <c r="A280" t="inlineStr">
        <is>
          <t>A 40294-2022</t>
        </is>
      </c>
      <c r="B280" s="1" t="n">
        <v>44821</v>
      </c>
      <c r="C280" s="1" t="n">
        <v>46183</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1291-2023</t>
        </is>
      </c>
      <c r="B281" s="1" t="n">
        <v>44936.47561342592</v>
      </c>
      <c r="C281" s="1" t="n">
        <v>46183</v>
      </c>
      <c r="D281" t="inlineStr">
        <is>
          <t>GOTLANDS LÄN</t>
        </is>
      </c>
      <c r="E281" t="inlineStr">
        <is>
          <t>GOTLAND</t>
        </is>
      </c>
      <c r="G281" t="n">
        <v>7.4</v>
      </c>
      <c r="H281" t="n">
        <v>0</v>
      </c>
      <c r="I281" t="n">
        <v>0</v>
      </c>
      <c r="J281" t="n">
        <v>0</v>
      </c>
      <c r="K281" t="n">
        <v>0</v>
      </c>
      <c r="L281" t="n">
        <v>0</v>
      </c>
      <c r="M281" t="n">
        <v>0</v>
      </c>
      <c r="N281" t="n">
        <v>0</v>
      </c>
      <c r="O281" t="n">
        <v>0</v>
      </c>
      <c r="P281" t="n">
        <v>0</v>
      </c>
      <c r="Q281" t="n">
        <v>0</v>
      </c>
      <c r="R281" s="2" t="inlineStr"/>
    </row>
    <row r="282" ht="15" customHeight="1">
      <c r="A282" t="inlineStr">
        <is>
          <t>A 12032-2025</t>
        </is>
      </c>
      <c r="B282" s="1" t="n">
        <v>45728.64472222222</v>
      </c>
      <c r="C282" s="1" t="n">
        <v>46183</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19905-2025</t>
        </is>
      </c>
      <c r="B283" s="1" t="n">
        <v>45771</v>
      </c>
      <c r="C283" s="1" t="n">
        <v>46183</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38787-2023</t>
        </is>
      </c>
      <c r="B284" s="1" t="n">
        <v>45163</v>
      </c>
      <c r="C284" s="1" t="n">
        <v>46183</v>
      </c>
      <c r="D284" t="inlineStr">
        <is>
          <t>GOTLANDS LÄN</t>
        </is>
      </c>
      <c r="E284" t="inlineStr">
        <is>
          <t>GOTLAND</t>
        </is>
      </c>
      <c r="G284" t="n">
        <v>0.4</v>
      </c>
      <c r="H284" t="n">
        <v>0</v>
      </c>
      <c r="I284" t="n">
        <v>0</v>
      </c>
      <c r="J284" t="n">
        <v>0</v>
      </c>
      <c r="K284" t="n">
        <v>0</v>
      </c>
      <c r="L284" t="n">
        <v>0</v>
      </c>
      <c r="M284" t="n">
        <v>0</v>
      </c>
      <c r="N284" t="n">
        <v>0</v>
      </c>
      <c r="O284" t="n">
        <v>0</v>
      </c>
      <c r="P284" t="n">
        <v>0</v>
      </c>
      <c r="Q284" t="n">
        <v>0</v>
      </c>
      <c r="R284" s="2" t="inlineStr"/>
    </row>
    <row r="285" ht="15" customHeight="1">
      <c r="A285" t="inlineStr">
        <is>
          <t>A 29196-2025</t>
        </is>
      </c>
      <c r="B285" s="1" t="n">
        <v>45822</v>
      </c>
      <c r="C285" s="1" t="n">
        <v>46183</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57652-2023</t>
        </is>
      </c>
      <c r="B286" s="1" t="n">
        <v>45246</v>
      </c>
      <c r="C286" s="1" t="n">
        <v>46183</v>
      </c>
      <c r="D286" t="inlineStr">
        <is>
          <t>GOTLANDS LÄN</t>
        </is>
      </c>
      <c r="E286" t="inlineStr">
        <is>
          <t>GOTLAND</t>
        </is>
      </c>
      <c r="G286" t="n">
        <v>7.2</v>
      </c>
      <c r="H286" t="n">
        <v>0</v>
      </c>
      <c r="I286" t="n">
        <v>0</v>
      </c>
      <c r="J286" t="n">
        <v>0</v>
      </c>
      <c r="K286" t="n">
        <v>0</v>
      </c>
      <c r="L286" t="n">
        <v>0</v>
      </c>
      <c r="M286" t="n">
        <v>0</v>
      </c>
      <c r="N286" t="n">
        <v>0</v>
      </c>
      <c r="O286" t="n">
        <v>0</v>
      </c>
      <c r="P286" t="n">
        <v>0</v>
      </c>
      <c r="Q286" t="n">
        <v>0</v>
      </c>
      <c r="R286" s="2" t="inlineStr"/>
    </row>
    <row r="287" ht="15" customHeight="1">
      <c r="A287" t="inlineStr">
        <is>
          <t>A 30061-2025</t>
        </is>
      </c>
      <c r="B287" s="1" t="n">
        <v>45826.61488425926</v>
      </c>
      <c r="C287" s="1" t="n">
        <v>46183</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49315-2024</t>
        </is>
      </c>
      <c r="B288" s="1" t="n">
        <v>45595</v>
      </c>
      <c r="C288" s="1" t="n">
        <v>46183</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43231-2023</t>
        </is>
      </c>
      <c r="B289" s="1" t="n">
        <v>45183.47025462963</v>
      </c>
      <c r="C289" s="1" t="n">
        <v>46183</v>
      </c>
      <c r="D289" t="inlineStr">
        <is>
          <t>GOTLANDS LÄN</t>
        </is>
      </c>
      <c r="E289" t="inlineStr">
        <is>
          <t>GOTLAND</t>
        </is>
      </c>
      <c r="G289" t="n">
        <v>3.6</v>
      </c>
      <c r="H289" t="n">
        <v>0</v>
      </c>
      <c r="I289" t="n">
        <v>0</v>
      </c>
      <c r="J289" t="n">
        <v>0</v>
      </c>
      <c r="K289" t="n">
        <v>0</v>
      </c>
      <c r="L289" t="n">
        <v>0</v>
      </c>
      <c r="M289" t="n">
        <v>0</v>
      </c>
      <c r="N289" t="n">
        <v>0</v>
      </c>
      <c r="O289" t="n">
        <v>0</v>
      </c>
      <c r="P289" t="n">
        <v>0</v>
      </c>
      <c r="Q289" t="n">
        <v>0</v>
      </c>
      <c r="R289" s="2" t="inlineStr"/>
    </row>
    <row r="290" ht="15" customHeight="1">
      <c r="A290" t="inlineStr">
        <is>
          <t>A 12599-2025</t>
        </is>
      </c>
      <c r="B290" s="1" t="n">
        <v>45733.29546296296</v>
      </c>
      <c r="C290" s="1" t="n">
        <v>46183</v>
      </c>
      <c r="D290" t="inlineStr">
        <is>
          <t>GOTLANDS LÄN</t>
        </is>
      </c>
      <c r="E290" t="inlineStr">
        <is>
          <t>GOTLAND</t>
        </is>
      </c>
      <c r="G290" t="n">
        <v>4.7</v>
      </c>
      <c r="H290" t="n">
        <v>0</v>
      </c>
      <c r="I290" t="n">
        <v>0</v>
      </c>
      <c r="J290" t="n">
        <v>0</v>
      </c>
      <c r="K290" t="n">
        <v>0</v>
      </c>
      <c r="L290" t="n">
        <v>0</v>
      </c>
      <c r="M290" t="n">
        <v>0</v>
      </c>
      <c r="N290" t="n">
        <v>0</v>
      </c>
      <c r="O290" t="n">
        <v>0</v>
      </c>
      <c r="P290" t="n">
        <v>0</v>
      </c>
      <c r="Q290" t="n">
        <v>0</v>
      </c>
      <c r="R290" s="2" t="inlineStr"/>
    </row>
    <row r="291" ht="15" customHeight="1">
      <c r="A291" t="inlineStr">
        <is>
          <t>A 35141-2025</t>
        </is>
      </c>
      <c r="B291" s="1" t="n">
        <v>45852.65206018519</v>
      </c>
      <c r="C291" s="1" t="n">
        <v>46183</v>
      </c>
      <c r="D291" t="inlineStr">
        <is>
          <t>GOTLANDS LÄN</t>
        </is>
      </c>
      <c r="E291" t="inlineStr">
        <is>
          <t>GOTLAND</t>
        </is>
      </c>
      <c r="G291" t="n">
        <v>1</v>
      </c>
      <c r="H291" t="n">
        <v>0</v>
      </c>
      <c r="I291" t="n">
        <v>0</v>
      </c>
      <c r="J291" t="n">
        <v>0</v>
      </c>
      <c r="K291" t="n">
        <v>0</v>
      </c>
      <c r="L291" t="n">
        <v>0</v>
      </c>
      <c r="M291" t="n">
        <v>0</v>
      </c>
      <c r="N291" t="n">
        <v>0</v>
      </c>
      <c r="O291" t="n">
        <v>0</v>
      </c>
      <c r="P291" t="n">
        <v>0</v>
      </c>
      <c r="Q291" t="n">
        <v>0</v>
      </c>
      <c r="R291" s="2" t="inlineStr"/>
    </row>
    <row r="292" ht="15" customHeight="1">
      <c r="A292" t="inlineStr">
        <is>
          <t>A 17532-2024</t>
        </is>
      </c>
      <c r="B292" s="1" t="n">
        <v>45415</v>
      </c>
      <c r="C292" s="1" t="n">
        <v>46183</v>
      </c>
      <c r="D292" t="inlineStr">
        <is>
          <t>GOTLANDS LÄN</t>
        </is>
      </c>
      <c r="E292" t="inlineStr">
        <is>
          <t>GOTLAND</t>
        </is>
      </c>
      <c r="G292" t="n">
        <v>4.3</v>
      </c>
      <c r="H292" t="n">
        <v>0</v>
      </c>
      <c r="I292" t="n">
        <v>0</v>
      </c>
      <c r="J292" t="n">
        <v>0</v>
      </c>
      <c r="K292" t="n">
        <v>0</v>
      </c>
      <c r="L292" t="n">
        <v>0</v>
      </c>
      <c r="M292" t="n">
        <v>0</v>
      </c>
      <c r="N292" t="n">
        <v>0</v>
      </c>
      <c r="O292" t="n">
        <v>0</v>
      </c>
      <c r="P292" t="n">
        <v>0</v>
      </c>
      <c r="Q292" t="n">
        <v>0</v>
      </c>
      <c r="R292" s="2" t="inlineStr"/>
    </row>
    <row r="293" ht="15" customHeight="1">
      <c r="A293" t="inlineStr">
        <is>
          <t>A 35142-2025</t>
        </is>
      </c>
      <c r="B293" s="1" t="n">
        <v>45852.65532407408</v>
      </c>
      <c r="C293" s="1" t="n">
        <v>46183</v>
      </c>
      <c r="D293" t="inlineStr">
        <is>
          <t>GOTLANDS LÄN</t>
        </is>
      </c>
      <c r="E293" t="inlineStr">
        <is>
          <t>GOTLAND</t>
        </is>
      </c>
      <c r="G293" t="n">
        <v>2.4</v>
      </c>
      <c r="H293" t="n">
        <v>0</v>
      </c>
      <c r="I293" t="n">
        <v>0</v>
      </c>
      <c r="J293" t="n">
        <v>0</v>
      </c>
      <c r="K293" t="n">
        <v>0</v>
      </c>
      <c r="L293" t="n">
        <v>0</v>
      </c>
      <c r="M293" t="n">
        <v>0</v>
      </c>
      <c r="N293" t="n">
        <v>0</v>
      </c>
      <c r="O293" t="n">
        <v>0</v>
      </c>
      <c r="P293" t="n">
        <v>0</v>
      </c>
      <c r="Q293" t="n">
        <v>0</v>
      </c>
      <c r="R293" s="2" t="inlineStr"/>
    </row>
    <row r="294" ht="15" customHeight="1">
      <c r="A294" t="inlineStr">
        <is>
          <t>A 58160-2024</t>
        </is>
      </c>
      <c r="B294" s="1" t="n">
        <v>45632.44927083333</v>
      </c>
      <c r="C294" s="1" t="n">
        <v>46183</v>
      </c>
      <c r="D294" t="inlineStr">
        <is>
          <t>GOTLANDS LÄN</t>
        </is>
      </c>
      <c r="E294" t="inlineStr">
        <is>
          <t>GOTLAND</t>
        </is>
      </c>
      <c r="G294" t="n">
        <v>5.6</v>
      </c>
      <c r="H294" t="n">
        <v>0</v>
      </c>
      <c r="I294" t="n">
        <v>0</v>
      </c>
      <c r="J294" t="n">
        <v>0</v>
      </c>
      <c r="K294" t="n">
        <v>0</v>
      </c>
      <c r="L294" t="n">
        <v>0</v>
      </c>
      <c r="M294" t="n">
        <v>0</v>
      </c>
      <c r="N294" t="n">
        <v>0</v>
      </c>
      <c r="O294" t="n">
        <v>0</v>
      </c>
      <c r="P294" t="n">
        <v>0</v>
      </c>
      <c r="Q294" t="n">
        <v>0</v>
      </c>
      <c r="R294" s="2" t="inlineStr"/>
    </row>
    <row r="295" ht="15" customHeight="1">
      <c r="A295" t="inlineStr">
        <is>
          <t>A 2676-2023</t>
        </is>
      </c>
      <c r="B295" s="1" t="n">
        <v>44944</v>
      </c>
      <c r="C295" s="1" t="n">
        <v>46183</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3150-2025</t>
        </is>
      </c>
      <c r="B296" s="1" t="n">
        <v>45679.28974537037</v>
      </c>
      <c r="C296" s="1" t="n">
        <v>46183</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8484-2025</t>
        </is>
      </c>
      <c r="B297" s="1" t="n">
        <v>45709</v>
      </c>
      <c r="C297" s="1" t="n">
        <v>46183</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7636-2025</t>
        </is>
      </c>
      <c r="B298" s="1" t="n">
        <v>45705.7687962963</v>
      </c>
      <c r="C298" s="1" t="n">
        <v>46183</v>
      </c>
      <c r="D298" t="inlineStr">
        <is>
          <t>GOTLANDS LÄN</t>
        </is>
      </c>
      <c r="E298" t="inlineStr">
        <is>
          <t>GOTLAND</t>
        </is>
      </c>
      <c r="G298" t="n">
        <v>0.6</v>
      </c>
      <c r="H298" t="n">
        <v>0</v>
      </c>
      <c r="I298" t="n">
        <v>0</v>
      </c>
      <c r="J298" t="n">
        <v>0</v>
      </c>
      <c r="K298" t="n">
        <v>0</v>
      </c>
      <c r="L298" t="n">
        <v>0</v>
      </c>
      <c r="M298" t="n">
        <v>0</v>
      </c>
      <c r="N298" t="n">
        <v>0</v>
      </c>
      <c r="O298" t="n">
        <v>0</v>
      </c>
      <c r="P298" t="n">
        <v>0</v>
      </c>
      <c r="Q298" t="n">
        <v>0</v>
      </c>
      <c r="R298" s="2" t="inlineStr"/>
    </row>
    <row r="299" ht="15" customHeight="1">
      <c r="A299" t="inlineStr">
        <is>
          <t>A 7639-2025</t>
        </is>
      </c>
      <c r="B299" s="1" t="n">
        <v>45705.77465277778</v>
      </c>
      <c r="C299" s="1" t="n">
        <v>46183</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20356-2022</t>
        </is>
      </c>
      <c r="B300" s="1" t="n">
        <v>44699</v>
      </c>
      <c r="C300" s="1" t="n">
        <v>46183</v>
      </c>
      <c r="D300" t="inlineStr">
        <is>
          <t>GOTLANDS LÄN</t>
        </is>
      </c>
      <c r="E300" t="inlineStr">
        <is>
          <t>GOTLAND</t>
        </is>
      </c>
      <c r="F300" t="inlineStr">
        <is>
          <t>Övriga Aktiebolag</t>
        </is>
      </c>
      <c r="G300" t="n">
        <v>4.4</v>
      </c>
      <c r="H300" t="n">
        <v>0</v>
      </c>
      <c r="I300" t="n">
        <v>0</v>
      </c>
      <c r="J300" t="n">
        <v>0</v>
      </c>
      <c r="K300" t="n">
        <v>0</v>
      </c>
      <c r="L300" t="n">
        <v>0</v>
      </c>
      <c r="M300" t="n">
        <v>0</v>
      </c>
      <c r="N300" t="n">
        <v>0</v>
      </c>
      <c r="O300" t="n">
        <v>0</v>
      </c>
      <c r="P300" t="n">
        <v>0</v>
      </c>
      <c r="Q300" t="n">
        <v>0</v>
      </c>
      <c r="R300" s="2" t="inlineStr"/>
    </row>
    <row r="301" ht="15" customHeight="1">
      <c r="A301" t="inlineStr">
        <is>
          <t>A 48734-2022</t>
        </is>
      </c>
      <c r="B301" s="1" t="n">
        <v>44855</v>
      </c>
      <c r="C301" s="1" t="n">
        <v>46183</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29809-2022</t>
        </is>
      </c>
      <c r="B302" s="1" t="n">
        <v>44755.8713425926</v>
      </c>
      <c r="C302" s="1" t="n">
        <v>46183</v>
      </c>
      <c r="D302" t="inlineStr">
        <is>
          <t>GOTLANDS LÄN</t>
        </is>
      </c>
      <c r="E302" t="inlineStr">
        <is>
          <t>GOTLAND</t>
        </is>
      </c>
      <c r="G302" t="n">
        <v>11.5</v>
      </c>
      <c r="H302" t="n">
        <v>0</v>
      </c>
      <c r="I302" t="n">
        <v>0</v>
      </c>
      <c r="J302" t="n">
        <v>0</v>
      </c>
      <c r="K302" t="n">
        <v>0</v>
      </c>
      <c r="L302" t="n">
        <v>0</v>
      </c>
      <c r="M302" t="n">
        <v>0</v>
      </c>
      <c r="N302" t="n">
        <v>0</v>
      </c>
      <c r="O302" t="n">
        <v>0</v>
      </c>
      <c r="P302" t="n">
        <v>0</v>
      </c>
      <c r="Q302" t="n">
        <v>0</v>
      </c>
      <c r="R302" s="2" t="inlineStr"/>
    </row>
    <row r="303" ht="15" customHeight="1">
      <c r="A303" t="inlineStr">
        <is>
          <t>A 16109-2025</t>
        </is>
      </c>
      <c r="B303" s="1" t="n">
        <v>45750</v>
      </c>
      <c r="C303" s="1" t="n">
        <v>46183</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57685-2022</t>
        </is>
      </c>
      <c r="B304" s="1" t="n">
        <v>44897.4777662037</v>
      </c>
      <c r="C304" s="1" t="n">
        <v>46183</v>
      </c>
      <c r="D304" t="inlineStr">
        <is>
          <t>GOTLANDS LÄN</t>
        </is>
      </c>
      <c r="E304" t="inlineStr">
        <is>
          <t>GOTLAND</t>
        </is>
      </c>
      <c r="G304" t="n">
        <v>3.7</v>
      </c>
      <c r="H304" t="n">
        <v>0</v>
      </c>
      <c r="I304" t="n">
        <v>0</v>
      </c>
      <c r="J304" t="n">
        <v>0</v>
      </c>
      <c r="K304" t="n">
        <v>0</v>
      </c>
      <c r="L304" t="n">
        <v>0</v>
      </c>
      <c r="M304" t="n">
        <v>0</v>
      </c>
      <c r="N304" t="n">
        <v>0</v>
      </c>
      <c r="O304" t="n">
        <v>0</v>
      </c>
      <c r="P304" t="n">
        <v>0</v>
      </c>
      <c r="Q304" t="n">
        <v>0</v>
      </c>
      <c r="R304" s="2" t="inlineStr"/>
    </row>
    <row r="305" ht="15" customHeight="1">
      <c r="A305" t="inlineStr">
        <is>
          <t>A 30815-2023</t>
        </is>
      </c>
      <c r="B305" s="1" t="n">
        <v>45112</v>
      </c>
      <c r="C305" s="1" t="n">
        <v>46183</v>
      </c>
      <c r="D305" t="inlineStr">
        <is>
          <t>GOTLANDS LÄN</t>
        </is>
      </c>
      <c r="E305" t="inlineStr">
        <is>
          <t>GOTLAND</t>
        </is>
      </c>
      <c r="G305" t="n">
        <v>6</v>
      </c>
      <c r="H305" t="n">
        <v>0</v>
      </c>
      <c r="I305" t="n">
        <v>0</v>
      </c>
      <c r="J305" t="n">
        <v>0</v>
      </c>
      <c r="K305" t="n">
        <v>0</v>
      </c>
      <c r="L305" t="n">
        <v>0</v>
      </c>
      <c r="M305" t="n">
        <v>0</v>
      </c>
      <c r="N305" t="n">
        <v>0</v>
      </c>
      <c r="O305" t="n">
        <v>0</v>
      </c>
      <c r="P305" t="n">
        <v>0</v>
      </c>
      <c r="Q305" t="n">
        <v>0</v>
      </c>
      <c r="R305" s="2" t="inlineStr"/>
    </row>
    <row r="306" ht="15" customHeight="1">
      <c r="A306" t="inlineStr">
        <is>
          <t>A 7034-2023</t>
        </is>
      </c>
      <c r="B306" s="1" t="n">
        <v>44968.32108796296</v>
      </c>
      <c r="C306" s="1" t="n">
        <v>46183</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7042-2023</t>
        </is>
      </c>
      <c r="B307" s="1" t="n">
        <v>44968</v>
      </c>
      <c r="C307" s="1" t="n">
        <v>46183</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23516-2023</t>
        </is>
      </c>
      <c r="B308" s="1" t="n">
        <v>45076.93391203704</v>
      </c>
      <c r="C308" s="1" t="n">
        <v>46183</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64660-2023</t>
        </is>
      </c>
      <c r="B309" s="1" t="n">
        <v>45281.60122685185</v>
      </c>
      <c r="C309" s="1" t="n">
        <v>46183</v>
      </c>
      <c r="D309" t="inlineStr">
        <is>
          <t>GOTLANDS LÄN</t>
        </is>
      </c>
      <c r="E309" t="inlineStr">
        <is>
          <t>GOTLAND</t>
        </is>
      </c>
      <c r="G309" t="n">
        <v>6.3</v>
      </c>
      <c r="H309" t="n">
        <v>0</v>
      </c>
      <c r="I309" t="n">
        <v>0</v>
      </c>
      <c r="J309" t="n">
        <v>0</v>
      </c>
      <c r="K309" t="n">
        <v>0</v>
      </c>
      <c r="L309" t="n">
        <v>0</v>
      </c>
      <c r="M309" t="n">
        <v>0</v>
      </c>
      <c r="N309" t="n">
        <v>0</v>
      </c>
      <c r="O309" t="n">
        <v>0</v>
      </c>
      <c r="P309" t="n">
        <v>0</v>
      </c>
      <c r="Q309" t="n">
        <v>0</v>
      </c>
      <c r="R309" s="2" t="inlineStr"/>
    </row>
    <row r="310" ht="15" customHeight="1">
      <c r="A310" t="inlineStr">
        <is>
          <t>A 63763-2023</t>
        </is>
      </c>
      <c r="B310" s="1" t="n">
        <v>45278.33944444444</v>
      </c>
      <c r="C310" s="1" t="n">
        <v>46183</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1066-2024</t>
        </is>
      </c>
      <c r="B311" s="1" t="n">
        <v>45302.285</v>
      </c>
      <c r="C311" s="1" t="n">
        <v>46183</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35123-2025</t>
        </is>
      </c>
      <c r="B312" s="1" t="n">
        <v>45852.614375</v>
      </c>
      <c r="C312" s="1" t="n">
        <v>46183</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35096-2025</t>
        </is>
      </c>
      <c r="B313" s="1" t="n">
        <v>45852.54356481481</v>
      </c>
      <c r="C313" s="1" t="n">
        <v>46183</v>
      </c>
      <c r="D313" t="inlineStr">
        <is>
          <t>GOTLANDS LÄN</t>
        </is>
      </c>
      <c r="E313" t="inlineStr">
        <is>
          <t>GOTLAND</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63229-2021</t>
        </is>
      </c>
      <c r="B314" s="1" t="n">
        <v>44508.34518518519</v>
      </c>
      <c r="C314" s="1" t="n">
        <v>46183</v>
      </c>
      <c r="D314" t="inlineStr">
        <is>
          <t>GOTLANDS LÄN</t>
        </is>
      </c>
      <c r="E314" t="inlineStr">
        <is>
          <t>GOTLAND</t>
        </is>
      </c>
      <c r="F314" t="inlineStr">
        <is>
          <t>Kyrkan</t>
        </is>
      </c>
      <c r="G314" t="n">
        <v>3.8</v>
      </c>
      <c r="H314" t="n">
        <v>0</v>
      </c>
      <c r="I314" t="n">
        <v>0</v>
      </c>
      <c r="J314" t="n">
        <v>0</v>
      </c>
      <c r="K314" t="n">
        <v>0</v>
      </c>
      <c r="L314" t="n">
        <v>0</v>
      </c>
      <c r="M314" t="n">
        <v>0</v>
      </c>
      <c r="N314" t="n">
        <v>0</v>
      </c>
      <c r="O314" t="n">
        <v>0</v>
      </c>
      <c r="P314" t="n">
        <v>0</v>
      </c>
      <c r="Q314" t="n">
        <v>0</v>
      </c>
      <c r="R314" s="2" t="inlineStr"/>
    </row>
    <row r="315" ht="15" customHeight="1">
      <c r="A315" t="inlineStr">
        <is>
          <t>A 30104-2025</t>
        </is>
      </c>
      <c r="B315" s="1" t="n">
        <v>45826.68806712963</v>
      </c>
      <c r="C315" s="1" t="n">
        <v>46183</v>
      </c>
      <c r="D315" t="inlineStr">
        <is>
          <t>GOTLANDS LÄN</t>
        </is>
      </c>
      <c r="E315" t="inlineStr">
        <is>
          <t>GOTLAND</t>
        </is>
      </c>
      <c r="G315" t="n">
        <v>15.4</v>
      </c>
      <c r="H315" t="n">
        <v>0</v>
      </c>
      <c r="I315" t="n">
        <v>0</v>
      </c>
      <c r="J315" t="n">
        <v>0</v>
      </c>
      <c r="K315" t="n">
        <v>0</v>
      </c>
      <c r="L315" t="n">
        <v>0</v>
      </c>
      <c r="M315" t="n">
        <v>0</v>
      </c>
      <c r="N315" t="n">
        <v>0</v>
      </c>
      <c r="O315" t="n">
        <v>0</v>
      </c>
      <c r="P315" t="n">
        <v>0</v>
      </c>
      <c r="Q315" t="n">
        <v>0</v>
      </c>
      <c r="R315" s="2" t="inlineStr"/>
    </row>
    <row r="316" ht="15" customHeight="1">
      <c r="A316" t="inlineStr">
        <is>
          <t>A 35290-2025</t>
        </is>
      </c>
      <c r="B316" s="1" t="n">
        <v>45854.38502314815</v>
      </c>
      <c r="C316" s="1" t="n">
        <v>46183</v>
      </c>
      <c r="D316" t="inlineStr">
        <is>
          <t>GOTLANDS LÄN</t>
        </is>
      </c>
      <c r="E316" t="inlineStr">
        <is>
          <t>GOTLAND</t>
        </is>
      </c>
      <c r="G316" t="n">
        <v>5.4</v>
      </c>
      <c r="H316" t="n">
        <v>0</v>
      </c>
      <c r="I316" t="n">
        <v>0</v>
      </c>
      <c r="J316" t="n">
        <v>0</v>
      </c>
      <c r="K316" t="n">
        <v>0</v>
      </c>
      <c r="L316" t="n">
        <v>0</v>
      </c>
      <c r="M316" t="n">
        <v>0</v>
      </c>
      <c r="N316" t="n">
        <v>0</v>
      </c>
      <c r="O316" t="n">
        <v>0</v>
      </c>
      <c r="P316" t="n">
        <v>0</v>
      </c>
      <c r="Q316" t="n">
        <v>0</v>
      </c>
      <c r="R316" s="2" t="inlineStr"/>
    </row>
    <row r="317" ht="15" customHeight="1">
      <c r="A317" t="inlineStr">
        <is>
          <t>A 32669-2024</t>
        </is>
      </c>
      <c r="B317" s="1" t="n">
        <v>45514</v>
      </c>
      <c r="C317" s="1" t="n">
        <v>46183</v>
      </c>
      <c r="D317" t="inlineStr">
        <is>
          <t>GOTLANDS LÄN</t>
        </is>
      </c>
      <c r="E317" t="inlineStr">
        <is>
          <t>GOTLAND</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15216-2025</t>
        </is>
      </c>
      <c r="B318" s="1" t="n">
        <v>45744</v>
      </c>
      <c r="C318" s="1" t="n">
        <v>46183</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43790-2024</t>
        </is>
      </c>
      <c r="B319" s="1" t="n">
        <v>45571</v>
      </c>
      <c r="C319" s="1" t="n">
        <v>46183</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15001-2025</t>
        </is>
      </c>
      <c r="B320" s="1" t="n">
        <v>45743</v>
      </c>
      <c r="C320" s="1" t="n">
        <v>46183</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30488-2025</t>
        </is>
      </c>
      <c r="B321" s="1" t="n">
        <v>45830</v>
      </c>
      <c r="C321" s="1" t="n">
        <v>46183</v>
      </c>
      <c r="D321" t="inlineStr">
        <is>
          <t>GOTLANDS LÄN</t>
        </is>
      </c>
      <c r="E321" t="inlineStr">
        <is>
          <t>GOTLAND</t>
        </is>
      </c>
      <c r="F321" t="inlineStr">
        <is>
          <t>Kyrkan</t>
        </is>
      </c>
      <c r="G321" t="n">
        <v>3.9</v>
      </c>
      <c r="H321" t="n">
        <v>0</v>
      </c>
      <c r="I321" t="n">
        <v>0</v>
      </c>
      <c r="J321" t="n">
        <v>0</v>
      </c>
      <c r="K321" t="n">
        <v>0</v>
      </c>
      <c r="L321" t="n">
        <v>0</v>
      </c>
      <c r="M321" t="n">
        <v>0</v>
      </c>
      <c r="N321" t="n">
        <v>0</v>
      </c>
      <c r="O321" t="n">
        <v>0</v>
      </c>
      <c r="P321" t="n">
        <v>0</v>
      </c>
      <c r="Q321" t="n">
        <v>0</v>
      </c>
      <c r="R321" s="2" t="inlineStr"/>
    </row>
    <row r="322" ht="15" customHeight="1">
      <c r="A322" t="inlineStr">
        <is>
          <t>A 17847-2025</t>
        </is>
      </c>
      <c r="B322" s="1" t="n">
        <v>45758</v>
      </c>
      <c r="C322" s="1" t="n">
        <v>46183</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18742-2025</t>
        </is>
      </c>
      <c r="B323" s="1" t="n">
        <v>45763</v>
      </c>
      <c r="C323" s="1" t="n">
        <v>46183</v>
      </c>
      <c r="D323" t="inlineStr">
        <is>
          <t>GOTLANDS LÄN</t>
        </is>
      </c>
      <c r="E323" t="inlineStr">
        <is>
          <t>GOTLAND</t>
        </is>
      </c>
      <c r="G323" t="n">
        <v>3.4</v>
      </c>
      <c r="H323" t="n">
        <v>0</v>
      </c>
      <c r="I323" t="n">
        <v>0</v>
      </c>
      <c r="J323" t="n">
        <v>0</v>
      </c>
      <c r="K323" t="n">
        <v>0</v>
      </c>
      <c r="L323" t="n">
        <v>0</v>
      </c>
      <c r="M323" t="n">
        <v>0</v>
      </c>
      <c r="N323" t="n">
        <v>0</v>
      </c>
      <c r="O323" t="n">
        <v>0</v>
      </c>
      <c r="P323" t="n">
        <v>0</v>
      </c>
      <c r="Q323" t="n">
        <v>0</v>
      </c>
      <c r="R323" s="2" t="inlineStr"/>
    </row>
    <row r="324" ht="15" customHeight="1">
      <c r="A324" t="inlineStr">
        <is>
          <t>A 39816-2025</t>
        </is>
      </c>
      <c r="B324" s="1" t="n">
        <v>45891</v>
      </c>
      <c r="C324" s="1" t="n">
        <v>46183</v>
      </c>
      <c r="D324" t="inlineStr">
        <is>
          <t>GOTLANDS LÄN</t>
        </is>
      </c>
      <c r="E324" t="inlineStr">
        <is>
          <t>GOTLAND</t>
        </is>
      </c>
      <c r="G324" t="n">
        <v>0.9</v>
      </c>
      <c r="H324" t="n">
        <v>0</v>
      </c>
      <c r="I324" t="n">
        <v>0</v>
      </c>
      <c r="J324" t="n">
        <v>0</v>
      </c>
      <c r="K324" t="n">
        <v>0</v>
      </c>
      <c r="L324" t="n">
        <v>0</v>
      </c>
      <c r="M324" t="n">
        <v>0</v>
      </c>
      <c r="N324" t="n">
        <v>0</v>
      </c>
      <c r="O324" t="n">
        <v>0</v>
      </c>
      <c r="P324" t="n">
        <v>0</v>
      </c>
      <c r="Q324" t="n">
        <v>0</v>
      </c>
      <c r="R324" s="2" t="inlineStr"/>
    </row>
    <row r="325" ht="15" customHeight="1">
      <c r="A325" t="inlineStr">
        <is>
          <t>A 35129-2025</t>
        </is>
      </c>
      <c r="B325" s="1" t="n">
        <v>45852.63224537037</v>
      </c>
      <c r="C325" s="1" t="n">
        <v>46183</v>
      </c>
      <c r="D325" t="inlineStr">
        <is>
          <t>GOTLANDS LÄN</t>
        </is>
      </c>
      <c r="E325" t="inlineStr">
        <is>
          <t>GOTLAND</t>
        </is>
      </c>
      <c r="G325" t="n">
        <v>3.2</v>
      </c>
      <c r="H325" t="n">
        <v>0</v>
      </c>
      <c r="I325" t="n">
        <v>0</v>
      </c>
      <c r="J325" t="n">
        <v>0</v>
      </c>
      <c r="K325" t="n">
        <v>0</v>
      </c>
      <c r="L325" t="n">
        <v>0</v>
      </c>
      <c r="M325" t="n">
        <v>0</v>
      </c>
      <c r="N325" t="n">
        <v>0</v>
      </c>
      <c r="O325" t="n">
        <v>0</v>
      </c>
      <c r="P325" t="n">
        <v>0</v>
      </c>
      <c r="Q325" t="n">
        <v>0</v>
      </c>
      <c r="R325" s="2" t="inlineStr"/>
    </row>
    <row r="326" ht="15" customHeight="1">
      <c r="A326" t="inlineStr">
        <is>
          <t>A 40373-2025</t>
        </is>
      </c>
      <c r="B326" s="1" t="n">
        <v>45895.51821759259</v>
      </c>
      <c r="C326" s="1" t="n">
        <v>46183</v>
      </c>
      <c r="D326" t="inlineStr">
        <is>
          <t>GOTLANDS LÄN</t>
        </is>
      </c>
      <c r="E326" t="inlineStr">
        <is>
          <t>GOTLAND</t>
        </is>
      </c>
      <c r="G326" t="n">
        <v>0.6</v>
      </c>
      <c r="H326" t="n">
        <v>0</v>
      </c>
      <c r="I326" t="n">
        <v>0</v>
      </c>
      <c r="J326" t="n">
        <v>0</v>
      </c>
      <c r="K326" t="n">
        <v>0</v>
      </c>
      <c r="L326" t="n">
        <v>0</v>
      </c>
      <c r="M326" t="n">
        <v>0</v>
      </c>
      <c r="N326" t="n">
        <v>0</v>
      </c>
      <c r="O326" t="n">
        <v>0</v>
      </c>
      <c r="P326" t="n">
        <v>0</v>
      </c>
      <c r="Q326" t="n">
        <v>0</v>
      </c>
      <c r="R326" s="2" t="inlineStr"/>
    </row>
    <row r="327" ht="15" customHeight="1">
      <c r="A327" t="inlineStr">
        <is>
          <t>A 40499-2025</t>
        </is>
      </c>
      <c r="B327" s="1" t="n">
        <v>45896.32517361111</v>
      </c>
      <c r="C327" s="1" t="n">
        <v>46183</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40372-2025</t>
        </is>
      </c>
      <c r="B328" s="1" t="n">
        <v>45895.5162037037</v>
      </c>
      <c r="C328" s="1" t="n">
        <v>46183</v>
      </c>
      <c r="D328" t="inlineStr">
        <is>
          <t>GOTLANDS LÄN</t>
        </is>
      </c>
      <c r="E328" t="inlineStr">
        <is>
          <t>GOTLAND</t>
        </is>
      </c>
      <c r="G328" t="n">
        <v>3.3</v>
      </c>
      <c r="H328" t="n">
        <v>0</v>
      </c>
      <c r="I328" t="n">
        <v>0</v>
      </c>
      <c r="J328" t="n">
        <v>0</v>
      </c>
      <c r="K328" t="n">
        <v>0</v>
      </c>
      <c r="L328" t="n">
        <v>0</v>
      </c>
      <c r="M328" t="n">
        <v>0</v>
      </c>
      <c r="N328" t="n">
        <v>0</v>
      </c>
      <c r="O328" t="n">
        <v>0</v>
      </c>
      <c r="P328" t="n">
        <v>0</v>
      </c>
      <c r="Q328" t="n">
        <v>0</v>
      </c>
      <c r="R328" s="2" t="inlineStr"/>
    </row>
    <row r="329" ht="15" customHeight="1">
      <c r="A329" t="inlineStr">
        <is>
          <t>A 39278-2025</t>
        </is>
      </c>
      <c r="B329" s="1" t="n">
        <v>45889</v>
      </c>
      <c r="C329" s="1" t="n">
        <v>46183</v>
      </c>
      <c r="D329" t="inlineStr">
        <is>
          <t>GOTLANDS LÄN</t>
        </is>
      </c>
      <c r="E329" t="inlineStr">
        <is>
          <t>GOTLAND</t>
        </is>
      </c>
      <c r="G329" t="n">
        <v>3.7</v>
      </c>
      <c r="H329" t="n">
        <v>0</v>
      </c>
      <c r="I329" t="n">
        <v>0</v>
      </c>
      <c r="J329" t="n">
        <v>0</v>
      </c>
      <c r="K329" t="n">
        <v>0</v>
      </c>
      <c r="L329" t="n">
        <v>0</v>
      </c>
      <c r="M329" t="n">
        <v>0</v>
      </c>
      <c r="N329" t="n">
        <v>0</v>
      </c>
      <c r="O329" t="n">
        <v>0</v>
      </c>
      <c r="P329" t="n">
        <v>0</v>
      </c>
      <c r="Q329" t="n">
        <v>0</v>
      </c>
      <c r="R329" s="2" t="inlineStr"/>
    </row>
    <row r="330" ht="15" customHeight="1">
      <c r="A330" t="inlineStr">
        <is>
          <t>A 42338-2023</t>
        </is>
      </c>
      <c r="B330" s="1" t="n">
        <v>45180</v>
      </c>
      <c r="C330" s="1" t="n">
        <v>46183</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1734-2025</t>
        </is>
      </c>
      <c r="B331" s="1" t="n">
        <v>45671.3840625</v>
      </c>
      <c r="C331" s="1" t="n">
        <v>46183</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20993-2023</t>
        </is>
      </c>
      <c r="B332" s="1" t="n">
        <v>45056</v>
      </c>
      <c r="C332" s="1" t="n">
        <v>46183</v>
      </c>
      <c r="D332" t="inlineStr">
        <is>
          <t>GOTLANDS LÄN</t>
        </is>
      </c>
      <c r="E332" t="inlineStr">
        <is>
          <t>GOTLAND</t>
        </is>
      </c>
      <c r="G332" t="n">
        <v>7.1</v>
      </c>
      <c r="H332" t="n">
        <v>0</v>
      </c>
      <c r="I332" t="n">
        <v>0</v>
      </c>
      <c r="J332" t="n">
        <v>0</v>
      </c>
      <c r="K332" t="n">
        <v>0</v>
      </c>
      <c r="L332" t="n">
        <v>0</v>
      </c>
      <c r="M332" t="n">
        <v>0</v>
      </c>
      <c r="N332" t="n">
        <v>0</v>
      </c>
      <c r="O332" t="n">
        <v>0</v>
      </c>
      <c r="P332" t="n">
        <v>0</v>
      </c>
      <c r="Q332" t="n">
        <v>0</v>
      </c>
      <c r="R332" s="2" t="inlineStr"/>
    </row>
    <row r="333" ht="15" customHeight="1">
      <c r="A333" t="inlineStr">
        <is>
          <t>A 6108-2025</t>
        </is>
      </c>
      <c r="B333" s="1" t="n">
        <v>45698.29880787037</v>
      </c>
      <c r="C333" s="1" t="n">
        <v>46183</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21142-2025</t>
        </is>
      </c>
      <c r="B334" s="1" t="n">
        <v>45779</v>
      </c>
      <c r="C334" s="1" t="n">
        <v>46183</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17343-2025</t>
        </is>
      </c>
      <c r="B335" s="1" t="n">
        <v>45756.6687037037</v>
      </c>
      <c r="C335" s="1" t="n">
        <v>46183</v>
      </c>
      <c r="D335" t="inlineStr">
        <is>
          <t>GOTLANDS LÄN</t>
        </is>
      </c>
      <c r="E335" t="inlineStr">
        <is>
          <t>GOTLAND</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12596-2023</t>
        </is>
      </c>
      <c r="B336" s="1" t="n">
        <v>45000.43310185185</v>
      </c>
      <c r="C336" s="1" t="n">
        <v>46183</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18938-2025</t>
        </is>
      </c>
      <c r="B337" s="1" t="n">
        <v>45764.49172453704</v>
      </c>
      <c r="C337" s="1" t="n">
        <v>46183</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2125-2025</t>
        </is>
      </c>
      <c r="B338" s="1" t="n">
        <v>45672.64940972222</v>
      </c>
      <c r="C338" s="1" t="n">
        <v>46183</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30489-2025</t>
        </is>
      </c>
      <c r="B339" s="1" t="n">
        <v>45830</v>
      </c>
      <c r="C339" s="1" t="n">
        <v>46183</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20307-2025</t>
        </is>
      </c>
      <c r="B340" s="1" t="n">
        <v>45774.95546296296</v>
      </c>
      <c r="C340" s="1" t="n">
        <v>46183</v>
      </c>
      <c r="D340" t="inlineStr">
        <is>
          <t>GOTLANDS LÄN</t>
        </is>
      </c>
      <c r="E340" t="inlineStr">
        <is>
          <t>GOTLAND</t>
        </is>
      </c>
      <c r="G340" t="n">
        <v>6.8</v>
      </c>
      <c r="H340" t="n">
        <v>0</v>
      </c>
      <c r="I340" t="n">
        <v>0</v>
      </c>
      <c r="J340" t="n">
        <v>0</v>
      </c>
      <c r="K340" t="n">
        <v>0</v>
      </c>
      <c r="L340" t="n">
        <v>0</v>
      </c>
      <c r="M340" t="n">
        <v>0</v>
      </c>
      <c r="N340" t="n">
        <v>0</v>
      </c>
      <c r="O340" t="n">
        <v>0</v>
      </c>
      <c r="P340" t="n">
        <v>0</v>
      </c>
      <c r="Q340" t="n">
        <v>0</v>
      </c>
      <c r="R340" s="2" t="inlineStr"/>
    </row>
    <row r="341" ht="15" customHeight="1">
      <c r="A341" t="inlineStr">
        <is>
          <t>A 12155-2023</t>
        </is>
      </c>
      <c r="B341" s="1" t="n">
        <v>44998.49106481481</v>
      </c>
      <c r="C341" s="1" t="n">
        <v>46183</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457-2023</t>
        </is>
      </c>
      <c r="B342" s="1" t="n">
        <v>44929.87238425926</v>
      </c>
      <c r="C342" s="1" t="n">
        <v>46183</v>
      </c>
      <c r="D342" t="inlineStr">
        <is>
          <t>GOTLANDS LÄN</t>
        </is>
      </c>
      <c r="E342" t="inlineStr">
        <is>
          <t>GOTLAND</t>
        </is>
      </c>
      <c r="G342" t="n">
        <v>2.4</v>
      </c>
      <c r="H342" t="n">
        <v>0</v>
      </c>
      <c r="I342" t="n">
        <v>0</v>
      </c>
      <c r="J342" t="n">
        <v>0</v>
      </c>
      <c r="K342" t="n">
        <v>0</v>
      </c>
      <c r="L342" t="n">
        <v>0</v>
      </c>
      <c r="M342" t="n">
        <v>0</v>
      </c>
      <c r="N342" t="n">
        <v>0</v>
      </c>
      <c r="O342" t="n">
        <v>0</v>
      </c>
      <c r="P342" t="n">
        <v>0</v>
      </c>
      <c r="Q342" t="n">
        <v>0</v>
      </c>
      <c r="R342" s="2" t="inlineStr"/>
    </row>
    <row r="343" ht="15" customHeight="1">
      <c r="A343" t="inlineStr">
        <is>
          <t>A 459-2023</t>
        </is>
      </c>
      <c r="B343" s="1" t="n">
        <v>44929.87423611111</v>
      </c>
      <c r="C343" s="1" t="n">
        <v>46183</v>
      </c>
      <c r="D343" t="inlineStr">
        <is>
          <t>GOTLANDS LÄN</t>
        </is>
      </c>
      <c r="E343" t="inlineStr">
        <is>
          <t>GOTLAND</t>
        </is>
      </c>
      <c r="G343" t="n">
        <v>4.2</v>
      </c>
      <c r="H343" t="n">
        <v>0</v>
      </c>
      <c r="I343" t="n">
        <v>0</v>
      </c>
      <c r="J343" t="n">
        <v>0</v>
      </c>
      <c r="K343" t="n">
        <v>0</v>
      </c>
      <c r="L343" t="n">
        <v>0</v>
      </c>
      <c r="M343" t="n">
        <v>0</v>
      </c>
      <c r="N343" t="n">
        <v>0</v>
      </c>
      <c r="O343" t="n">
        <v>0</v>
      </c>
      <c r="P343" t="n">
        <v>0</v>
      </c>
      <c r="Q343" t="n">
        <v>0</v>
      </c>
      <c r="R343" s="2" t="inlineStr"/>
    </row>
    <row r="344" ht="15" customHeight="1">
      <c r="A344" t="inlineStr">
        <is>
          <t>A 38234-2023</t>
        </is>
      </c>
      <c r="B344" s="1" t="n">
        <v>45161.56663194444</v>
      </c>
      <c r="C344" s="1" t="n">
        <v>46183</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50744-2024</t>
        </is>
      </c>
      <c r="B345" s="1" t="n">
        <v>45602.4187037037</v>
      </c>
      <c r="C345" s="1" t="n">
        <v>46183</v>
      </c>
      <c r="D345" t="inlineStr">
        <is>
          <t>GOTLANDS LÄN</t>
        </is>
      </c>
      <c r="E345" t="inlineStr">
        <is>
          <t>GOTLAND</t>
        </is>
      </c>
      <c r="G345" t="n">
        <v>3.2</v>
      </c>
      <c r="H345" t="n">
        <v>0</v>
      </c>
      <c r="I345" t="n">
        <v>0</v>
      </c>
      <c r="J345" t="n">
        <v>0</v>
      </c>
      <c r="K345" t="n">
        <v>0</v>
      </c>
      <c r="L345" t="n">
        <v>0</v>
      </c>
      <c r="M345" t="n">
        <v>0</v>
      </c>
      <c r="N345" t="n">
        <v>0</v>
      </c>
      <c r="O345" t="n">
        <v>0</v>
      </c>
      <c r="P345" t="n">
        <v>0</v>
      </c>
      <c r="Q345" t="n">
        <v>0</v>
      </c>
      <c r="R345" s="2" t="inlineStr"/>
    </row>
    <row r="346" ht="15" customHeight="1">
      <c r="A346" t="inlineStr">
        <is>
          <t>A 10158-2025</t>
        </is>
      </c>
      <c r="B346" s="1" t="n">
        <v>45719</v>
      </c>
      <c r="C346" s="1" t="n">
        <v>46183</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61386-2023</t>
        </is>
      </c>
      <c r="B347" s="1" t="n">
        <v>45264</v>
      </c>
      <c r="C347" s="1" t="n">
        <v>46183</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873-2024</t>
        </is>
      </c>
      <c r="B348" s="1" t="n">
        <v>45301</v>
      </c>
      <c r="C348" s="1" t="n">
        <v>46183</v>
      </c>
      <c r="D348" t="inlineStr">
        <is>
          <t>GOTLANDS LÄN</t>
        </is>
      </c>
      <c r="E348" t="inlineStr">
        <is>
          <t>GOTLAND</t>
        </is>
      </c>
      <c r="G348" t="n">
        <v>2.7</v>
      </c>
      <c r="H348" t="n">
        <v>0</v>
      </c>
      <c r="I348" t="n">
        <v>0</v>
      </c>
      <c r="J348" t="n">
        <v>0</v>
      </c>
      <c r="K348" t="n">
        <v>0</v>
      </c>
      <c r="L348" t="n">
        <v>0</v>
      </c>
      <c r="M348" t="n">
        <v>0</v>
      </c>
      <c r="N348" t="n">
        <v>0</v>
      </c>
      <c r="O348" t="n">
        <v>0</v>
      </c>
      <c r="P348" t="n">
        <v>0</v>
      </c>
      <c r="Q348" t="n">
        <v>0</v>
      </c>
      <c r="R348" s="2" t="inlineStr"/>
    </row>
    <row r="349" ht="15" customHeight="1">
      <c r="A349" t="inlineStr">
        <is>
          <t>A 49411-2023</t>
        </is>
      </c>
      <c r="B349" s="1" t="n">
        <v>45205</v>
      </c>
      <c r="C349" s="1" t="n">
        <v>46183</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22275-2023</t>
        </is>
      </c>
      <c r="B350" s="1" t="n">
        <v>45070.39875</v>
      </c>
      <c r="C350" s="1" t="n">
        <v>46183</v>
      </c>
      <c r="D350" t="inlineStr">
        <is>
          <t>GOTLANDS LÄN</t>
        </is>
      </c>
      <c r="E350" t="inlineStr">
        <is>
          <t>GOTLAND</t>
        </is>
      </c>
      <c r="G350" t="n">
        <v>7.2</v>
      </c>
      <c r="H350" t="n">
        <v>0</v>
      </c>
      <c r="I350" t="n">
        <v>0</v>
      </c>
      <c r="J350" t="n">
        <v>0</v>
      </c>
      <c r="K350" t="n">
        <v>0</v>
      </c>
      <c r="L350" t="n">
        <v>0</v>
      </c>
      <c r="M350" t="n">
        <v>0</v>
      </c>
      <c r="N350" t="n">
        <v>0</v>
      </c>
      <c r="O350" t="n">
        <v>0</v>
      </c>
      <c r="P350" t="n">
        <v>0</v>
      </c>
      <c r="Q350" t="n">
        <v>0</v>
      </c>
      <c r="R350" s="2" t="inlineStr"/>
    </row>
    <row r="351" ht="15" customHeight="1">
      <c r="A351" t="inlineStr">
        <is>
          <t>A 12322-2025</t>
        </is>
      </c>
      <c r="B351" s="1" t="n">
        <v>45730</v>
      </c>
      <c r="C351" s="1" t="n">
        <v>46183</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35537-2025</t>
        </is>
      </c>
      <c r="B352" s="1" t="n">
        <v>45856</v>
      </c>
      <c r="C352" s="1" t="n">
        <v>46183</v>
      </c>
      <c r="D352" t="inlineStr">
        <is>
          <t>GOTLANDS LÄN</t>
        </is>
      </c>
      <c r="E352" t="inlineStr">
        <is>
          <t>GOTLAND</t>
        </is>
      </c>
      <c r="G352" t="n">
        <v>16.8</v>
      </c>
      <c r="H352" t="n">
        <v>0</v>
      </c>
      <c r="I352" t="n">
        <v>0</v>
      </c>
      <c r="J352" t="n">
        <v>0</v>
      </c>
      <c r="K352" t="n">
        <v>0</v>
      </c>
      <c r="L352" t="n">
        <v>0</v>
      </c>
      <c r="M352" t="n">
        <v>0</v>
      </c>
      <c r="N352" t="n">
        <v>0</v>
      </c>
      <c r="O352" t="n">
        <v>0</v>
      </c>
      <c r="P352" t="n">
        <v>0</v>
      </c>
      <c r="Q352" t="n">
        <v>0</v>
      </c>
      <c r="R352" s="2" t="inlineStr"/>
    </row>
    <row r="353" ht="15" customHeight="1">
      <c r="A353" t="inlineStr">
        <is>
          <t>A 43951-2025</t>
        </is>
      </c>
      <c r="B353" s="1" t="n">
        <v>45915.38119212963</v>
      </c>
      <c r="C353" s="1" t="n">
        <v>46183</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1446-2025</t>
        </is>
      </c>
      <c r="B354" s="1" t="n">
        <v>45669.86035879629</v>
      </c>
      <c r="C354" s="1" t="n">
        <v>46183</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31264-2021</t>
        </is>
      </c>
      <c r="B355" s="1" t="n">
        <v>44368</v>
      </c>
      <c r="C355" s="1" t="n">
        <v>46183</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43901-2023</t>
        </is>
      </c>
      <c r="B356" s="1" t="n">
        <v>45187</v>
      </c>
      <c r="C356" s="1" t="n">
        <v>46183</v>
      </c>
      <c r="D356" t="inlineStr">
        <is>
          <t>GOTLANDS LÄN</t>
        </is>
      </c>
      <c r="E356" t="inlineStr">
        <is>
          <t>GOTLAND</t>
        </is>
      </c>
      <c r="G356" t="n">
        <v>5.4</v>
      </c>
      <c r="H356" t="n">
        <v>0</v>
      </c>
      <c r="I356" t="n">
        <v>0</v>
      </c>
      <c r="J356" t="n">
        <v>0</v>
      </c>
      <c r="K356" t="n">
        <v>0</v>
      </c>
      <c r="L356" t="n">
        <v>0</v>
      </c>
      <c r="M356" t="n">
        <v>0</v>
      </c>
      <c r="N356" t="n">
        <v>0</v>
      </c>
      <c r="O356" t="n">
        <v>0</v>
      </c>
      <c r="P356" t="n">
        <v>0</v>
      </c>
      <c r="Q356" t="n">
        <v>0</v>
      </c>
      <c r="R356" s="2" t="inlineStr"/>
    </row>
    <row r="357" ht="15" customHeight="1">
      <c r="A357" t="inlineStr">
        <is>
          <t>A 14797-2024</t>
        </is>
      </c>
      <c r="B357" s="1" t="n">
        <v>45397.87030092593</v>
      </c>
      <c r="C357" s="1" t="n">
        <v>46183</v>
      </c>
      <c r="D357" t="inlineStr">
        <is>
          <t>GOTLANDS LÄN</t>
        </is>
      </c>
      <c r="E357" t="inlineStr">
        <is>
          <t>GOTLAND</t>
        </is>
      </c>
      <c r="G357" t="n">
        <v>8.1</v>
      </c>
      <c r="H357" t="n">
        <v>0</v>
      </c>
      <c r="I357" t="n">
        <v>0</v>
      </c>
      <c r="J357" t="n">
        <v>0</v>
      </c>
      <c r="K357" t="n">
        <v>0</v>
      </c>
      <c r="L357" t="n">
        <v>0</v>
      </c>
      <c r="M357" t="n">
        <v>0</v>
      </c>
      <c r="N357" t="n">
        <v>0</v>
      </c>
      <c r="O357" t="n">
        <v>0</v>
      </c>
      <c r="P357" t="n">
        <v>0</v>
      </c>
      <c r="Q357" t="n">
        <v>0</v>
      </c>
      <c r="R357" s="2" t="inlineStr"/>
    </row>
    <row r="358" ht="15" customHeight="1">
      <c r="A358" t="inlineStr">
        <is>
          <t>A 999-2024</t>
        </is>
      </c>
      <c r="B358" s="1" t="n">
        <v>45301</v>
      </c>
      <c r="C358" s="1" t="n">
        <v>46183</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10746-2025</t>
        </is>
      </c>
      <c r="B359" s="1" t="n">
        <v>45722.42766203704</v>
      </c>
      <c r="C359" s="1" t="n">
        <v>46183</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16501-2023</t>
        </is>
      </c>
      <c r="B360" s="1" t="n">
        <v>45029</v>
      </c>
      <c r="C360" s="1" t="n">
        <v>46183</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61596-2023</t>
        </is>
      </c>
      <c r="B361" s="1" t="n">
        <v>45265</v>
      </c>
      <c r="C361" s="1" t="n">
        <v>46183</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14638-2025</t>
        </is>
      </c>
      <c r="B362" s="1" t="n">
        <v>45742</v>
      </c>
      <c r="C362" s="1" t="n">
        <v>46183</v>
      </c>
      <c r="D362" t="inlineStr">
        <is>
          <t>GOTLANDS LÄN</t>
        </is>
      </c>
      <c r="E362" t="inlineStr">
        <is>
          <t>GOTLAND</t>
        </is>
      </c>
      <c r="G362" t="n">
        <v>13.4</v>
      </c>
      <c r="H362" t="n">
        <v>0</v>
      </c>
      <c r="I362" t="n">
        <v>0</v>
      </c>
      <c r="J362" t="n">
        <v>0</v>
      </c>
      <c r="K362" t="n">
        <v>0</v>
      </c>
      <c r="L362" t="n">
        <v>0</v>
      </c>
      <c r="M362" t="n">
        <v>0</v>
      </c>
      <c r="N362" t="n">
        <v>0</v>
      </c>
      <c r="O362" t="n">
        <v>0</v>
      </c>
      <c r="P362" t="n">
        <v>0</v>
      </c>
      <c r="Q362" t="n">
        <v>0</v>
      </c>
      <c r="R362" s="2" t="inlineStr"/>
    </row>
    <row r="363" ht="15" customHeight="1">
      <c r="A363" t="inlineStr">
        <is>
          <t>A 60675-2021</t>
        </is>
      </c>
      <c r="B363" s="1" t="n">
        <v>44496.64855324074</v>
      </c>
      <c r="C363" s="1" t="n">
        <v>46183</v>
      </c>
      <c r="D363" t="inlineStr">
        <is>
          <t>GOTLANDS LÄN</t>
        </is>
      </c>
      <c r="E363" t="inlineStr">
        <is>
          <t>GOTLAND</t>
        </is>
      </c>
      <c r="G363" t="n">
        <v>4.6</v>
      </c>
      <c r="H363" t="n">
        <v>0</v>
      </c>
      <c r="I363" t="n">
        <v>0</v>
      </c>
      <c r="J363" t="n">
        <v>0</v>
      </c>
      <c r="K363" t="n">
        <v>0</v>
      </c>
      <c r="L363" t="n">
        <v>0</v>
      </c>
      <c r="M363" t="n">
        <v>0</v>
      </c>
      <c r="N363" t="n">
        <v>0</v>
      </c>
      <c r="O363" t="n">
        <v>0</v>
      </c>
      <c r="P363" t="n">
        <v>0</v>
      </c>
      <c r="Q363" t="n">
        <v>0</v>
      </c>
      <c r="R363" s="2" t="inlineStr"/>
    </row>
    <row r="364" ht="15" customHeight="1">
      <c r="A364" t="inlineStr">
        <is>
          <t>A 37728-2024</t>
        </is>
      </c>
      <c r="B364" s="1" t="n">
        <v>45541</v>
      </c>
      <c r="C364" s="1" t="n">
        <v>46183</v>
      </c>
      <c r="D364" t="inlineStr">
        <is>
          <t>GOTLANDS LÄN</t>
        </is>
      </c>
      <c r="E364" t="inlineStr">
        <is>
          <t>GOTLAND</t>
        </is>
      </c>
      <c r="G364" t="n">
        <v>0.4</v>
      </c>
      <c r="H364" t="n">
        <v>0</v>
      </c>
      <c r="I364" t="n">
        <v>0</v>
      </c>
      <c r="J364" t="n">
        <v>0</v>
      </c>
      <c r="K364" t="n">
        <v>0</v>
      </c>
      <c r="L364" t="n">
        <v>0</v>
      </c>
      <c r="M364" t="n">
        <v>0</v>
      </c>
      <c r="N364" t="n">
        <v>0</v>
      </c>
      <c r="O364" t="n">
        <v>0</v>
      </c>
      <c r="P364" t="n">
        <v>0</v>
      </c>
      <c r="Q364" t="n">
        <v>0</v>
      </c>
      <c r="R364" s="2" t="inlineStr"/>
    </row>
    <row r="365" ht="15" customHeight="1">
      <c r="A365" t="inlineStr">
        <is>
          <t>A 61962-2024</t>
        </is>
      </c>
      <c r="B365" s="1" t="n">
        <v>45653.54340277778</v>
      </c>
      <c r="C365" s="1" t="n">
        <v>46183</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26391-2025</t>
        </is>
      </c>
      <c r="B366" s="1" t="n">
        <v>45806</v>
      </c>
      <c r="C366" s="1" t="n">
        <v>46183</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22287-2022</t>
        </is>
      </c>
      <c r="B367" s="1" t="n">
        <v>44712</v>
      </c>
      <c r="C367" s="1" t="n">
        <v>46183</v>
      </c>
      <c r="D367" t="inlineStr">
        <is>
          <t>GOTLANDS LÄN</t>
        </is>
      </c>
      <c r="E367" t="inlineStr">
        <is>
          <t>GOTLAND</t>
        </is>
      </c>
      <c r="G367" t="n">
        <v>6.1</v>
      </c>
      <c r="H367" t="n">
        <v>0</v>
      </c>
      <c r="I367" t="n">
        <v>0</v>
      </c>
      <c r="J367" t="n">
        <v>0</v>
      </c>
      <c r="K367" t="n">
        <v>0</v>
      </c>
      <c r="L367" t="n">
        <v>0</v>
      </c>
      <c r="M367" t="n">
        <v>0</v>
      </c>
      <c r="N367" t="n">
        <v>0</v>
      </c>
      <c r="O367" t="n">
        <v>0</v>
      </c>
      <c r="P367" t="n">
        <v>0</v>
      </c>
      <c r="Q367" t="n">
        <v>0</v>
      </c>
      <c r="R367" s="2" t="inlineStr"/>
    </row>
    <row r="368" ht="15" customHeight="1">
      <c r="A368" t="inlineStr">
        <is>
          <t>A 46836-2025</t>
        </is>
      </c>
      <c r="B368" s="1" t="n">
        <v>45928.31511574074</v>
      </c>
      <c r="C368" s="1" t="n">
        <v>46183</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10492-2023</t>
        </is>
      </c>
      <c r="B369" s="1" t="n">
        <v>44987</v>
      </c>
      <c r="C369" s="1" t="n">
        <v>46183</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54074-2022</t>
        </is>
      </c>
      <c r="B370" s="1" t="n">
        <v>44881</v>
      </c>
      <c r="C370" s="1" t="n">
        <v>46183</v>
      </c>
      <c r="D370" t="inlineStr">
        <is>
          <t>GOTLANDS LÄN</t>
        </is>
      </c>
      <c r="E370" t="inlineStr">
        <is>
          <t>GOTLAND</t>
        </is>
      </c>
      <c r="G370" t="n">
        <v>0.9</v>
      </c>
      <c r="H370" t="n">
        <v>0</v>
      </c>
      <c r="I370" t="n">
        <v>0</v>
      </c>
      <c r="J370" t="n">
        <v>0</v>
      </c>
      <c r="K370" t="n">
        <v>0</v>
      </c>
      <c r="L370" t="n">
        <v>0</v>
      </c>
      <c r="M370" t="n">
        <v>0</v>
      </c>
      <c r="N370" t="n">
        <v>0</v>
      </c>
      <c r="O370" t="n">
        <v>0</v>
      </c>
      <c r="P370" t="n">
        <v>0</v>
      </c>
      <c r="Q370" t="n">
        <v>0</v>
      </c>
      <c r="R370" s="2" t="inlineStr"/>
    </row>
    <row r="371" ht="15" customHeight="1">
      <c r="A371" t="inlineStr">
        <is>
          <t>A 65249-2023</t>
        </is>
      </c>
      <c r="B371" s="1" t="n">
        <v>45290</v>
      </c>
      <c r="C371" s="1" t="n">
        <v>46183</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5909-2025</t>
        </is>
      </c>
      <c r="B372" s="1" t="n">
        <v>45695.40634259259</v>
      </c>
      <c r="C372" s="1" t="n">
        <v>46183</v>
      </c>
      <c r="D372" t="inlineStr">
        <is>
          <t>GOTLANDS LÄN</t>
        </is>
      </c>
      <c r="E372" t="inlineStr">
        <is>
          <t>GOTLAND</t>
        </is>
      </c>
      <c r="G372" t="n">
        <v>2.9</v>
      </c>
      <c r="H372" t="n">
        <v>0</v>
      </c>
      <c r="I372" t="n">
        <v>0</v>
      </c>
      <c r="J372" t="n">
        <v>0</v>
      </c>
      <c r="K372" t="n">
        <v>0</v>
      </c>
      <c r="L372" t="n">
        <v>0</v>
      </c>
      <c r="M372" t="n">
        <v>0</v>
      </c>
      <c r="N372" t="n">
        <v>0</v>
      </c>
      <c r="O372" t="n">
        <v>0</v>
      </c>
      <c r="P372" t="n">
        <v>0</v>
      </c>
      <c r="Q372" t="n">
        <v>0</v>
      </c>
      <c r="R372" s="2" t="inlineStr"/>
    </row>
    <row r="373" ht="15" customHeight="1">
      <c r="A373" t="inlineStr">
        <is>
          <t>A 10653-2023</t>
        </is>
      </c>
      <c r="B373" s="1" t="n">
        <v>44988.48859953704</v>
      </c>
      <c r="C373" s="1" t="n">
        <v>46183</v>
      </c>
      <c r="D373" t="inlineStr">
        <is>
          <t>GOTLANDS LÄN</t>
        </is>
      </c>
      <c r="E373" t="inlineStr">
        <is>
          <t>GOTLAND</t>
        </is>
      </c>
      <c r="F373" t="inlineStr">
        <is>
          <t>Kyrkan</t>
        </is>
      </c>
      <c r="G373" t="n">
        <v>3</v>
      </c>
      <c r="H373" t="n">
        <v>0</v>
      </c>
      <c r="I373" t="n">
        <v>0</v>
      </c>
      <c r="J373" t="n">
        <v>0</v>
      </c>
      <c r="K373" t="n">
        <v>0</v>
      </c>
      <c r="L373" t="n">
        <v>0</v>
      </c>
      <c r="M373" t="n">
        <v>0</v>
      </c>
      <c r="N373" t="n">
        <v>0</v>
      </c>
      <c r="O373" t="n">
        <v>0</v>
      </c>
      <c r="P373" t="n">
        <v>0</v>
      </c>
      <c r="Q373" t="n">
        <v>0</v>
      </c>
      <c r="R373" s="2" t="inlineStr"/>
    </row>
    <row r="374" ht="15" customHeight="1">
      <c r="A374" t="inlineStr">
        <is>
          <t>A 47637-2025</t>
        </is>
      </c>
      <c r="B374" s="1" t="n">
        <v>45931.49753472222</v>
      </c>
      <c r="C374" s="1" t="n">
        <v>46183</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4990-2025</t>
        </is>
      </c>
      <c r="B375" s="1" t="n">
        <v>45691</v>
      </c>
      <c r="C375" s="1" t="n">
        <v>46183</v>
      </c>
      <c r="D375" t="inlineStr">
        <is>
          <t>GOTLANDS LÄN</t>
        </is>
      </c>
      <c r="E375" t="inlineStr">
        <is>
          <t>GOTLAND</t>
        </is>
      </c>
      <c r="G375" t="n">
        <v>7.7</v>
      </c>
      <c r="H375" t="n">
        <v>0</v>
      </c>
      <c r="I375" t="n">
        <v>0</v>
      </c>
      <c r="J375" t="n">
        <v>0</v>
      </c>
      <c r="K375" t="n">
        <v>0</v>
      </c>
      <c r="L375" t="n">
        <v>0</v>
      </c>
      <c r="M375" t="n">
        <v>0</v>
      </c>
      <c r="N375" t="n">
        <v>0</v>
      </c>
      <c r="O375" t="n">
        <v>0</v>
      </c>
      <c r="P375" t="n">
        <v>0</v>
      </c>
      <c r="Q375" t="n">
        <v>0</v>
      </c>
      <c r="R375" s="2" t="inlineStr"/>
    </row>
    <row r="376" ht="15" customHeight="1">
      <c r="A376" t="inlineStr">
        <is>
          <t>A 32378-2025</t>
        </is>
      </c>
      <c r="B376" s="1" t="n">
        <v>45837</v>
      </c>
      <c r="C376" s="1" t="n">
        <v>46183</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35550-2025</t>
        </is>
      </c>
      <c r="B377" s="1" t="n">
        <v>45856.49324074074</v>
      </c>
      <c r="C377" s="1" t="n">
        <v>46183</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47578-2025</t>
        </is>
      </c>
      <c r="B378" s="1" t="n">
        <v>45931</v>
      </c>
      <c r="C378" s="1" t="n">
        <v>46183</v>
      </c>
      <c r="D378" t="inlineStr">
        <is>
          <t>GOTLANDS LÄN</t>
        </is>
      </c>
      <c r="E378" t="inlineStr">
        <is>
          <t>GOTLAND</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43081-2022</t>
        </is>
      </c>
      <c r="B379" s="1" t="n">
        <v>44833</v>
      </c>
      <c r="C379" s="1" t="n">
        <v>46183</v>
      </c>
      <c r="D379" t="inlineStr">
        <is>
          <t>GOTLANDS LÄN</t>
        </is>
      </c>
      <c r="E379" t="inlineStr">
        <is>
          <t>GOTLAND</t>
        </is>
      </c>
      <c r="G379" t="n">
        <v>6.8</v>
      </c>
      <c r="H379" t="n">
        <v>0</v>
      </c>
      <c r="I379" t="n">
        <v>0</v>
      </c>
      <c r="J379" t="n">
        <v>0</v>
      </c>
      <c r="K379" t="n">
        <v>0</v>
      </c>
      <c r="L379" t="n">
        <v>0</v>
      </c>
      <c r="M379" t="n">
        <v>0</v>
      </c>
      <c r="N379" t="n">
        <v>0</v>
      </c>
      <c r="O379" t="n">
        <v>0</v>
      </c>
      <c r="P379" t="n">
        <v>0</v>
      </c>
      <c r="Q379" t="n">
        <v>0</v>
      </c>
      <c r="R379" s="2" t="inlineStr"/>
    </row>
    <row r="380" ht="15" customHeight="1">
      <c r="A380" t="inlineStr">
        <is>
          <t>A 32958-2021</t>
        </is>
      </c>
      <c r="B380" s="1" t="n">
        <v>44376</v>
      </c>
      <c r="C380" s="1" t="n">
        <v>46183</v>
      </c>
      <c r="D380" t="inlineStr">
        <is>
          <t>GOTLANDS LÄN</t>
        </is>
      </c>
      <c r="E380" t="inlineStr">
        <is>
          <t>GOTLAND</t>
        </is>
      </c>
      <c r="G380" t="n">
        <v>2.2</v>
      </c>
      <c r="H380" t="n">
        <v>0</v>
      </c>
      <c r="I380" t="n">
        <v>0</v>
      </c>
      <c r="J380" t="n">
        <v>0</v>
      </c>
      <c r="K380" t="n">
        <v>0</v>
      </c>
      <c r="L380" t="n">
        <v>0</v>
      </c>
      <c r="M380" t="n">
        <v>0</v>
      </c>
      <c r="N380" t="n">
        <v>0</v>
      </c>
      <c r="O380" t="n">
        <v>0</v>
      </c>
      <c r="P380" t="n">
        <v>0</v>
      </c>
      <c r="Q380" t="n">
        <v>0</v>
      </c>
      <c r="R380" s="2" t="inlineStr"/>
    </row>
    <row r="381" ht="15" customHeight="1">
      <c r="A381" t="inlineStr">
        <is>
          <t>A 5884-2025</t>
        </is>
      </c>
      <c r="B381" s="1" t="n">
        <v>45695.37482638889</v>
      </c>
      <c r="C381" s="1" t="n">
        <v>46183</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5897-2025</t>
        </is>
      </c>
      <c r="B382" s="1" t="n">
        <v>45695.39273148148</v>
      </c>
      <c r="C382" s="1" t="n">
        <v>46183</v>
      </c>
      <c r="D382" t="inlineStr">
        <is>
          <t>GOTLANDS LÄN</t>
        </is>
      </c>
      <c r="E382" t="inlineStr">
        <is>
          <t>GOTLAND</t>
        </is>
      </c>
      <c r="G382" t="n">
        <v>3.7</v>
      </c>
      <c r="H382" t="n">
        <v>0</v>
      </c>
      <c r="I382" t="n">
        <v>0</v>
      </c>
      <c r="J382" t="n">
        <v>0</v>
      </c>
      <c r="K382" t="n">
        <v>0</v>
      </c>
      <c r="L382" t="n">
        <v>0</v>
      </c>
      <c r="M382" t="n">
        <v>0</v>
      </c>
      <c r="N382" t="n">
        <v>0</v>
      </c>
      <c r="O382" t="n">
        <v>0</v>
      </c>
      <c r="P382" t="n">
        <v>0</v>
      </c>
      <c r="Q382" t="n">
        <v>0</v>
      </c>
      <c r="R382" s="2" t="inlineStr"/>
    </row>
    <row r="383" ht="15" customHeight="1">
      <c r="A383" t="inlineStr">
        <is>
          <t>A 49730-2025</t>
        </is>
      </c>
      <c r="B383" s="1" t="n">
        <v>45939.87613425926</v>
      </c>
      <c r="C383" s="1" t="n">
        <v>46183</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49693-2023</t>
        </is>
      </c>
      <c r="B384" s="1" t="n">
        <v>45212.38138888889</v>
      </c>
      <c r="C384" s="1" t="n">
        <v>46183</v>
      </c>
      <c r="D384" t="inlineStr">
        <is>
          <t>GOTLANDS LÄN</t>
        </is>
      </c>
      <c r="E384" t="inlineStr">
        <is>
          <t>GOTLAND</t>
        </is>
      </c>
      <c r="G384" t="n">
        <v>2.4</v>
      </c>
      <c r="H384" t="n">
        <v>0</v>
      </c>
      <c r="I384" t="n">
        <v>0</v>
      </c>
      <c r="J384" t="n">
        <v>0</v>
      </c>
      <c r="K384" t="n">
        <v>0</v>
      </c>
      <c r="L384" t="n">
        <v>0</v>
      </c>
      <c r="M384" t="n">
        <v>0</v>
      </c>
      <c r="N384" t="n">
        <v>0</v>
      </c>
      <c r="O384" t="n">
        <v>0</v>
      </c>
      <c r="P384" t="n">
        <v>0</v>
      </c>
      <c r="Q384" t="n">
        <v>0</v>
      </c>
      <c r="R384" s="2" t="inlineStr"/>
    </row>
    <row r="385" ht="15" customHeight="1">
      <c r="A385" t="inlineStr">
        <is>
          <t>A 49697-2023</t>
        </is>
      </c>
      <c r="B385" s="1" t="n">
        <v>45212.38909722222</v>
      </c>
      <c r="C385" s="1" t="n">
        <v>46183</v>
      </c>
      <c r="D385" t="inlineStr">
        <is>
          <t>GOTLANDS LÄN</t>
        </is>
      </c>
      <c r="E385" t="inlineStr">
        <is>
          <t>GOTLAND</t>
        </is>
      </c>
      <c r="G385" t="n">
        <v>4.4</v>
      </c>
      <c r="H385" t="n">
        <v>0</v>
      </c>
      <c r="I385" t="n">
        <v>0</v>
      </c>
      <c r="J385" t="n">
        <v>0</v>
      </c>
      <c r="K385" t="n">
        <v>0</v>
      </c>
      <c r="L385" t="n">
        <v>0</v>
      </c>
      <c r="M385" t="n">
        <v>0</v>
      </c>
      <c r="N385" t="n">
        <v>0</v>
      </c>
      <c r="O385" t="n">
        <v>0</v>
      </c>
      <c r="P385" t="n">
        <v>0</v>
      </c>
      <c r="Q385" t="n">
        <v>0</v>
      </c>
      <c r="R385" s="2" t="inlineStr"/>
    </row>
    <row r="386" ht="15" customHeight="1">
      <c r="A386" t="inlineStr">
        <is>
          <t>A 49690-2025</t>
        </is>
      </c>
      <c r="B386" s="1" t="n">
        <v>45939.66730324074</v>
      </c>
      <c r="C386" s="1" t="n">
        <v>46183</v>
      </c>
      <c r="D386" t="inlineStr">
        <is>
          <t>GOTLANDS LÄN</t>
        </is>
      </c>
      <c r="E386" t="inlineStr">
        <is>
          <t>GOTLAND</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33011-2025</t>
        </is>
      </c>
      <c r="B387" s="1" t="n">
        <v>45840</v>
      </c>
      <c r="C387" s="1" t="n">
        <v>46183</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17901-2023</t>
        </is>
      </c>
      <c r="B388" s="1" t="n">
        <v>45039</v>
      </c>
      <c r="C388" s="1" t="n">
        <v>46183</v>
      </c>
      <c r="D388" t="inlineStr">
        <is>
          <t>GOTLANDS LÄN</t>
        </is>
      </c>
      <c r="E388" t="inlineStr">
        <is>
          <t>GOTLAND</t>
        </is>
      </c>
      <c r="F388" t="inlineStr">
        <is>
          <t>Kyrkan</t>
        </is>
      </c>
      <c r="G388" t="n">
        <v>0.6</v>
      </c>
      <c r="H388" t="n">
        <v>0</v>
      </c>
      <c r="I388" t="n">
        <v>0</v>
      </c>
      <c r="J388" t="n">
        <v>0</v>
      </c>
      <c r="K388" t="n">
        <v>0</v>
      </c>
      <c r="L388" t="n">
        <v>0</v>
      </c>
      <c r="M388" t="n">
        <v>0</v>
      </c>
      <c r="N388" t="n">
        <v>0</v>
      </c>
      <c r="O388" t="n">
        <v>0</v>
      </c>
      <c r="P388" t="n">
        <v>0</v>
      </c>
      <c r="Q388" t="n">
        <v>0</v>
      </c>
      <c r="R388" s="2" t="inlineStr"/>
    </row>
    <row r="389" ht="15" customHeight="1">
      <c r="A389" t="inlineStr">
        <is>
          <t>A 17780-2022</t>
        </is>
      </c>
      <c r="B389" s="1" t="n">
        <v>44682.82622685185</v>
      </c>
      <c r="C389" s="1" t="n">
        <v>46183</v>
      </c>
      <c r="D389" t="inlineStr">
        <is>
          <t>GOTLANDS LÄN</t>
        </is>
      </c>
      <c r="E389" t="inlineStr">
        <is>
          <t>GOTLAND</t>
        </is>
      </c>
      <c r="G389" t="n">
        <v>2.2</v>
      </c>
      <c r="H389" t="n">
        <v>0</v>
      </c>
      <c r="I389" t="n">
        <v>0</v>
      </c>
      <c r="J389" t="n">
        <v>0</v>
      </c>
      <c r="K389" t="n">
        <v>0</v>
      </c>
      <c r="L389" t="n">
        <v>0</v>
      </c>
      <c r="M389" t="n">
        <v>0</v>
      </c>
      <c r="N389" t="n">
        <v>0</v>
      </c>
      <c r="O389" t="n">
        <v>0</v>
      </c>
      <c r="P389" t="n">
        <v>0</v>
      </c>
      <c r="Q389" t="n">
        <v>0</v>
      </c>
      <c r="R389" s="2" t="inlineStr"/>
    </row>
    <row r="390" ht="15" customHeight="1">
      <c r="A390" t="inlineStr">
        <is>
          <t>A 50928-2025</t>
        </is>
      </c>
      <c r="B390" s="1" t="n">
        <v>45946.67896990741</v>
      </c>
      <c r="C390" s="1" t="n">
        <v>46183</v>
      </c>
      <c r="D390" t="inlineStr">
        <is>
          <t>GOTLANDS LÄN</t>
        </is>
      </c>
      <c r="E390" t="inlineStr">
        <is>
          <t>GOTLAND</t>
        </is>
      </c>
      <c r="G390" t="n">
        <v>1.3</v>
      </c>
      <c r="H390" t="n">
        <v>0</v>
      </c>
      <c r="I390" t="n">
        <v>0</v>
      </c>
      <c r="J390" t="n">
        <v>0</v>
      </c>
      <c r="K390" t="n">
        <v>0</v>
      </c>
      <c r="L390" t="n">
        <v>0</v>
      </c>
      <c r="M390" t="n">
        <v>0</v>
      </c>
      <c r="N390" t="n">
        <v>0</v>
      </c>
      <c r="O390" t="n">
        <v>0</v>
      </c>
      <c r="P390" t="n">
        <v>0</v>
      </c>
      <c r="Q390" t="n">
        <v>0</v>
      </c>
      <c r="R390" s="2" t="inlineStr"/>
    </row>
    <row r="391" ht="15" customHeight="1">
      <c r="A391" t="inlineStr">
        <is>
          <t>A 52892-2021</t>
        </is>
      </c>
      <c r="B391" s="1" t="n">
        <v>44467.49048611111</v>
      </c>
      <c r="C391" s="1" t="n">
        <v>46183</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59986-2022</t>
        </is>
      </c>
      <c r="B392" s="1" t="n">
        <v>44909</v>
      </c>
      <c r="C392" s="1" t="n">
        <v>46183</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46396-2023</t>
        </is>
      </c>
      <c r="B393" s="1" t="n">
        <v>45197</v>
      </c>
      <c r="C393" s="1" t="n">
        <v>46183</v>
      </c>
      <c r="D393" t="inlineStr">
        <is>
          <t>GOTLANDS LÄN</t>
        </is>
      </c>
      <c r="E393" t="inlineStr">
        <is>
          <t>GOTLAND</t>
        </is>
      </c>
      <c r="G393" t="n">
        <v>1.4</v>
      </c>
      <c r="H393" t="n">
        <v>0</v>
      </c>
      <c r="I393" t="n">
        <v>0</v>
      </c>
      <c r="J393" t="n">
        <v>0</v>
      </c>
      <c r="K393" t="n">
        <v>0</v>
      </c>
      <c r="L393" t="n">
        <v>0</v>
      </c>
      <c r="M393" t="n">
        <v>0</v>
      </c>
      <c r="N393" t="n">
        <v>0</v>
      </c>
      <c r="O393" t="n">
        <v>0</v>
      </c>
      <c r="P393" t="n">
        <v>0</v>
      </c>
      <c r="Q393" t="n">
        <v>0</v>
      </c>
      <c r="R393" s="2" t="inlineStr"/>
    </row>
    <row r="394" ht="15" customHeight="1">
      <c r="A394" t="inlineStr">
        <is>
          <t>A 17724-2024</t>
        </is>
      </c>
      <c r="B394" s="1" t="n">
        <v>45418.55096064815</v>
      </c>
      <c r="C394" s="1" t="n">
        <v>46183</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34312-2024</t>
        </is>
      </c>
      <c r="B395" s="1" t="n">
        <v>45524.69703703704</v>
      </c>
      <c r="C395" s="1" t="n">
        <v>46183</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11874-2024</t>
        </is>
      </c>
      <c r="B396" s="1" t="n">
        <v>45376.46956018519</v>
      </c>
      <c r="C396" s="1" t="n">
        <v>46183</v>
      </c>
      <c r="D396" t="inlineStr">
        <is>
          <t>GOTLANDS LÄN</t>
        </is>
      </c>
      <c r="E396" t="inlineStr">
        <is>
          <t>GOTLAND</t>
        </is>
      </c>
      <c r="G396" t="n">
        <v>0.8</v>
      </c>
      <c r="H396" t="n">
        <v>0</v>
      </c>
      <c r="I396" t="n">
        <v>0</v>
      </c>
      <c r="J396" t="n">
        <v>0</v>
      </c>
      <c r="K396" t="n">
        <v>0</v>
      </c>
      <c r="L396" t="n">
        <v>0</v>
      </c>
      <c r="M396" t="n">
        <v>0</v>
      </c>
      <c r="N396" t="n">
        <v>0</v>
      </c>
      <c r="O396" t="n">
        <v>0</v>
      </c>
      <c r="P396" t="n">
        <v>0</v>
      </c>
      <c r="Q396" t="n">
        <v>0</v>
      </c>
      <c r="R396" s="2" t="inlineStr"/>
    </row>
    <row r="397" ht="15" customHeight="1">
      <c r="A397" t="inlineStr">
        <is>
          <t>A 42041-2024</t>
        </is>
      </c>
      <c r="B397" s="1" t="n">
        <v>45561</v>
      </c>
      <c r="C397" s="1" t="n">
        <v>46183</v>
      </c>
      <c r="D397" t="inlineStr">
        <is>
          <t>GOTLANDS LÄN</t>
        </is>
      </c>
      <c r="E397" t="inlineStr">
        <is>
          <t>GOTLAND</t>
        </is>
      </c>
      <c r="G397" t="n">
        <v>3.2</v>
      </c>
      <c r="H397" t="n">
        <v>0</v>
      </c>
      <c r="I397" t="n">
        <v>0</v>
      </c>
      <c r="J397" t="n">
        <v>0</v>
      </c>
      <c r="K397" t="n">
        <v>0</v>
      </c>
      <c r="L397" t="n">
        <v>0</v>
      </c>
      <c r="M397" t="n">
        <v>0</v>
      </c>
      <c r="N397" t="n">
        <v>0</v>
      </c>
      <c r="O397" t="n">
        <v>0</v>
      </c>
      <c r="P397" t="n">
        <v>0</v>
      </c>
      <c r="Q397" t="n">
        <v>0</v>
      </c>
      <c r="R397" s="2" t="inlineStr"/>
    </row>
    <row r="398" ht="15" customHeight="1">
      <c r="A398" t="inlineStr">
        <is>
          <t>A 61694-2023</t>
        </is>
      </c>
      <c r="B398" s="1" t="n">
        <v>45264</v>
      </c>
      <c r="C398" s="1" t="n">
        <v>46183</v>
      </c>
      <c r="D398" t="inlineStr">
        <is>
          <t>GOTLANDS LÄN</t>
        </is>
      </c>
      <c r="E398" t="inlineStr">
        <is>
          <t>GOTLAND</t>
        </is>
      </c>
      <c r="G398" t="n">
        <v>4.6</v>
      </c>
      <c r="H398" t="n">
        <v>0</v>
      </c>
      <c r="I398" t="n">
        <v>0</v>
      </c>
      <c r="J398" t="n">
        <v>0</v>
      </c>
      <c r="K398" t="n">
        <v>0</v>
      </c>
      <c r="L398" t="n">
        <v>0</v>
      </c>
      <c r="M398" t="n">
        <v>0</v>
      </c>
      <c r="N398" t="n">
        <v>0</v>
      </c>
      <c r="O398" t="n">
        <v>0</v>
      </c>
      <c r="P398" t="n">
        <v>0</v>
      </c>
      <c r="Q398" t="n">
        <v>0</v>
      </c>
      <c r="R398" s="2" t="inlineStr"/>
    </row>
    <row r="399" ht="15" customHeight="1">
      <c r="A399" t="inlineStr">
        <is>
          <t>A 64555-2023</t>
        </is>
      </c>
      <c r="B399" s="1" t="n">
        <v>45281</v>
      </c>
      <c r="C399" s="1" t="n">
        <v>46183</v>
      </c>
      <c r="D399" t="inlineStr">
        <is>
          <t>GOTLANDS LÄN</t>
        </is>
      </c>
      <c r="E399" t="inlineStr">
        <is>
          <t>GOTLAND</t>
        </is>
      </c>
      <c r="G399" t="n">
        <v>3.5</v>
      </c>
      <c r="H399" t="n">
        <v>0</v>
      </c>
      <c r="I399" t="n">
        <v>0</v>
      </c>
      <c r="J399" t="n">
        <v>0</v>
      </c>
      <c r="K399" t="n">
        <v>0</v>
      </c>
      <c r="L399" t="n">
        <v>0</v>
      </c>
      <c r="M399" t="n">
        <v>0</v>
      </c>
      <c r="N399" t="n">
        <v>0</v>
      </c>
      <c r="O399" t="n">
        <v>0</v>
      </c>
      <c r="P399" t="n">
        <v>0</v>
      </c>
      <c r="Q399" t="n">
        <v>0</v>
      </c>
      <c r="R399" s="2" t="inlineStr"/>
    </row>
    <row r="400" ht="15" customHeight="1">
      <c r="A400" t="inlineStr">
        <is>
          <t>A 64831-2023</t>
        </is>
      </c>
      <c r="B400" s="1" t="n">
        <v>45282.44924768519</v>
      </c>
      <c r="C400" s="1" t="n">
        <v>46183</v>
      </c>
      <c r="D400" t="inlineStr">
        <is>
          <t>GOTLANDS LÄN</t>
        </is>
      </c>
      <c r="E400" t="inlineStr">
        <is>
          <t>GOTLAND</t>
        </is>
      </c>
      <c r="G400" t="n">
        <v>1.9</v>
      </c>
      <c r="H400" t="n">
        <v>0</v>
      </c>
      <c r="I400" t="n">
        <v>0</v>
      </c>
      <c r="J400" t="n">
        <v>0</v>
      </c>
      <c r="K400" t="n">
        <v>0</v>
      </c>
      <c r="L400" t="n">
        <v>0</v>
      </c>
      <c r="M400" t="n">
        <v>0</v>
      </c>
      <c r="N400" t="n">
        <v>0</v>
      </c>
      <c r="O400" t="n">
        <v>0</v>
      </c>
      <c r="P400" t="n">
        <v>0</v>
      </c>
      <c r="Q400" t="n">
        <v>0</v>
      </c>
      <c r="R400" s="2" t="inlineStr"/>
    </row>
    <row r="401" ht="15" customHeight="1">
      <c r="A401" t="inlineStr">
        <is>
          <t>A 999-2023</t>
        </is>
      </c>
      <c r="B401" s="1" t="n">
        <v>44935</v>
      </c>
      <c r="C401" s="1" t="n">
        <v>46183</v>
      </c>
      <c r="D401" t="inlineStr">
        <is>
          <t>GOTLANDS LÄN</t>
        </is>
      </c>
      <c r="E401" t="inlineStr">
        <is>
          <t>GOTLAND</t>
        </is>
      </c>
      <c r="G401" t="n">
        <v>4.7</v>
      </c>
      <c r="H401" t="n">
        <v>0</v>
      </c>
      <c r="I401" t="n">
        <v>0</v>
      </c>
      <c r="J401" t="n">
        <v>0</v>
      </c>
      <c r="K401" t="n">
        <v>0</v>
      </c>
      <c r="L401" t="n">
        <v>0</v>
      </c>
      <c r="M401" t="n">
        <v>0</v>
      </c>
      <c r="N401" t="n">
        <v>0</v>
      </c>
      <c r="O401" t="n">
        <v>0</v>
      </c>
      <c r="P401" t="n">
        <v>0</v>
      </c>
      <c r="Q401" t="n">
        <v>0</v>
      </c>
      <c r="R401" s="2" t="inlineStr"/>
    </row>
    <row r="402" ht="15" customHeight="1">
      <c r="A402" t="inlineStr">
        <is>
          <t>A 27602-2023</t>
        </is>
      </c>
      <c r="B402" s="1" t="n">
        <v>45097</v>
      </c>
      <c r="C402" s="1" t="n">
        <v>46183</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69112-2021</t>
        </is>
      </c>
      <c r="B403" s="1" t="n">
        <v>44530</v>
      </c>
      <c r="C403" s="1" t="n">
        <v>46183</v>
      </c>
      <c r="D403" t="inlineStr">
        <is>
          <t>GOTLANDS LÄN</t>
        </is>
      </c>
      <c r="E403" t="inlineStr">
        <is>
          <t>GOTLAND</t>
        </is>
      </c>
      <c r="G403" t="n">
        <v>4.2</v>
      </c>
      <c r="H403" t="n">
        <v>0</v>
      </c>
      <c r="I403" t="n">
        <v>0</v>
      </c>
      <c r="J403" t="n">
        <v>0</v>
      </c>
      <c r="K403" t="n">
        <v>0</v>
      </c>
      <c r="L403" t="n">
        <v>0</v>
      </c>
      <c r="M403" t="n">
        <v>0</v>
      </c>
      <c r="N403" t="n">
        <v>0</v>
      </c>
      <c r="O403" t="n">
        <v>0</v>
      </c>
      <c r="P403" t="n">
        <v>0</v>
      </c>
      <c r="Q403" t="n">
        <v>0</v>
      </c>
      <c r="R403" s="2" t="inlineStr"/>
    </row>
    <row r="404" ht="15" customHeight="1">
      <c r="A404" t="inlineStr">
        <is>
          <t>A 4377-2023</t>
        </is>
      </c>
      <c r="B404" s="1" t="n">
        <v>44955.5502662037</v>
      </c>
      <c r="C404" s="1" t="n">
        <v>46183</v>
      </c>
      <c r="D404" t="inlineStr">
        <is>
          <t>GOTLANDS LÄN</t>
        </is>
      </c>
      <c r="E404" t="inlineStr">
        <is>
          <t>GOTLAND</t>
        </is>
      </c>
      <c r="F404" t="inlineStr">
        <is>
          <t>Kyrkan</t>
        </is>
      </c>
      <c r="G404" t="n">
        <v>0.6</v>
      </c>
      <c r="H404" t="n">
        <v>0</v>
      </c>
      <c r="I404" t="n">
        <v>0</v>
      </c>
      <c r="J404" t="n">
        <v>0</v>
      </c>
      <c r="K404" t="n">
        <v>0</v>
      </c>
      <c r="L404" t="n">
        <v>0</v>
      </c>
      <c r="M404" t="n">
        <v>0</v>
      </c>
      <c r="N404" t="n">
        <v>0</v>
      </c>
      <c r="O404" t="n">
        <v>0</v>
      </c>
      <c r="P404" t="n">
        <v>0</v>
      </c>
      <c r="Q404" t="n">
        <v>0</v>
      </c>
      <c r="R404" s="2" t="inlineStr"/>
    </row>
    <row r="405" ht="15" customHeight="1">
      <c r="A405" t="inlineStr">
        <is>
          <t>A 4387-2023</t>
        </is>
      </c>
      <c r="B405" s="1" t="n">
        <v>44955.73359953704</v>
      </c>
      <c r="C405" s="1" t="n">
        <v>46183</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7638-2025</t>
        </is>
      </c>
      <c r="B406" s="1" t="n">
        <v>45705.77306712963</v>
      </c>
      <c r="C406" s="1" t="n">
        <v>46183</v>
      </c>
      <c r="D406" t="inlineStr">
        <is>
          <t>GOTLANDS LÄN</t>
        </is>
      </c>
      <c r="E406" t="inlineStr">
        <is>
          <t>GOTLAND</t>
        </is>
      </c>
      <c r="G406" t="n">
        <v>2.2</v>
      </c>
      <c r="H406" t="n">
        <v>0</v>
      </c>
      <c r="I406" t="n">
        <v>0</v>
      </c>
      <c r="J406" t="n">
        <v>0</v>
      </c>
      <c r="K406" t="n">
        <v>0</v>
      </c>
      <c r="L406" t="n">
        <v>0</v>
      </c>
      <c r="M406" t="n">
        <v>0</v>
      </c>
      <c r="N406" t="n">
        <v>0</v>
      </c>
      <c r="O406" t="n">
        <v>0</v>
      </c>
      <c r="P406" t="n">
        <v>0</v>
      </c>
      <c r="Q406" t="n">
        <v>0</v>
      </c>
      <c r="R406" s="2" t="inlineStr"/>
    </row>
    <row r="407" ht="15" customHeight="1">
      <c r="A407" t="inlineStr">
        <is>
          <t>A 50482-2024</t>
        </is>
      </c>
      <c r="B407" s="1" t="n">
        <v>45601.48114583334</v>
      </c>
      <c r="C407" s="1" t="n">
        <v>46183</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39479-2022</t>
        </is>
      </c>
      <c r="B408" s="1" t="n">
        <v>44818</v>
      </c>
      <c r="C408" s="1" t="n">
        <v>46183</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1394-2023</t>
        </is>
      </c>
      <c r="B409" s="1" t="n">
        <v>44936.72997685185</v>
      </c>
      <c r="C409" s="1" t="n">
        <v>46183</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51963-2024</t>
        </is>
      </c>
      <c r="B410" s="1" t="n">
        <v>45607.64833333333</v>
      </c>
      <c r="C410" s="1" t="n">
        <v>46183</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811-2023</t>
        </is>
      </c>
      <c r="B411" s="1" t="n">
        <v>44931</v>
      </c>
      <c r="C411" s="1" t="n">
        <v>46183</v>
      </c>
      <c r="D411" t="inlineStr">
        <is>
          <t>GOTLANDS LÄN</t>
        </is>
      </c>
      <c r="E411" t="inlineStr">
        <is>
          <t>GOTLAND</t>
        </is>
      </c>
      <c r="G411" t="n">
        <v>0.6</v>
      </c>
      <c r="H411" t="n">
        <v>0</v>
      </c>
      <c r="I411" t="n">
        <v>0</v>
      </c>
      <c r="J411" t="n">
        <v>0</v>
      </c>
      <c r="K411" t="n">
        <v>0</v>
      </c>
      <c r="L411" t="n">
        <v>0</v>
      </c>
      <c r="M411" t="n">
        <v>0</v>
      </c>
      <c r="N411" t="n">
        <v>0</v>
      </c>
      <c r="O411" t="n">
        <v>0</v>
      </c>
      <c r="P411" t="n">
        <v>0</v>
      </c>
      <c r="Q411" t="n">
        <v>0</v>
      </c>
      <c r="R411" s="2" t="inlineStr"/>
    </row>
    <row r="412" ht="15" customHeight="1">
      <c r="A412" t="inlineStr">
        <is>
          <t>A 1462-2025</t>
        </is>
      </c>
      <c r="B412" s="1" t="n">
        <v>45670.36319444444</v>
      </c>
      <c r="C412" s="1" t="n">
        <v>46183</v>
      </c>
      <c r="D412" t="inlineStr">
        <is>
          <t>GOTLANDS LÄN</t>
        </is>
      </c>
      <c r="E412" t="inlineStr">
        <is>
          <t>GOTLAND</t>
        </is>
      </c>
      <c r="G412" t="n">
        <v>2.8</v>
      </c>
      <c r="H412" t="n">
        <v>0</v>
      </c>
      <c r="I412" t="n">
        <v>0</v>
      </c>
      <c r="J412" t="n">
        <v>0</v>
      </c>
      <c r="K412" t="n">
        <v>0</v>
      </c>
      <c r="L412" t="n">
        <v>0</v>
      </c>
      <c r="M412" t="n">
        <v>0</v>
      </c>
      <c r="N412" t="n">
        <v>0</v>
      </c>
      <c r="O412" t="n">
        <v>0</v>
      </c>
      <c r="P412" t="n">
        <v>0</v>
      </c>
      <c r="Q412" t="n">
        <v>0</v>
      </c>
      <c r="R412" s="2" t="inlineStr"/>
    </row>
    <row r="413" ht="15" customHeight="1">
      <c r="A413" t="inlineStr">
        <is>
          <t>A 46389-2021</t>
        </is>
      </c>
      <c r="B413" s="1" t="n">
        <v>44443</v>
      </c>
      <c r="C413" s="1" t="n">
        <v>46183</v>
      </c>
      <c r="D413" t="inlineStr">
        <is>
          <t>GOTLANDS LÄN</t>
        </is>
      </c>
      <c r="E413" t="inlineStr">
        <is>
          <t>GOTLAND</t>
        </is>
      </c>
      <c r="F413" t="inlineStr">
        <is>
          <t>Kyrkan</t>
        </is>
      </c>
      <c r="G413" t="n">
        <v>2.1</v>
      </c>
      <c r="H413" t="n">
        <v>0</v>
      </c>
      <c r="I413" t="n">
        <v>0</v>
      </c>
      <c r="J413" t="n">
        <v>0</v>
      </c>
      <c r="K413" t="n">
        <v>0</v>
      </c>
      <c r="L413" t="n">
        <v>0</v>
      </c>
      <c r="M413" t="n">
        <v>0</v>
      </c>
      <c r="N413" t="n">
        <v>0</v>
      </c>
      <c r="O413" t="n">
        <v>0</v>
      </c>
      <c r="P413" t="n">
        <v>0</v>
      </c>
      <c r="Q413" t="n">
        <v>0</v>
      </c>
      <c r="R413" s="2" t="inlineStr"/>
    </row>
    <row r="414" ht="15" customHeight="1">
      <c r="A414" t="inlineStr">
        <is>
          <t>A 25129-2023</t>
        </is>
      </c>
      <c r="B414" s="1" t="n">
        <v>45086.44261574074</v>
      </c>
      <c r="C414" s="1" t="n">
        <v>46183</v>
      </c>
      <c r="D414" t="inlineStr">
        <is>
          <t>GOTLANDS LÄN</t>
        </is>
      </c>
      <c r="E414" t="inlineStr">
        <is>
          <t>GOTLAND</t>
        </is>
      </c>
      <c r="G414" t="n">
        <v>1.5</v>
      </c>
      <c r="H414" t="n">
        <v>0</v>
      </c>
      <c r="I414" t="n">
        <v>0</v>
      </c>
      <c r="J414" t="n">
        <v>0</v>
      </c>
      <c r="K414" t="n">
        <v>0</v>
      </c>
      <c r="L414" t="n">
        <v>0</v>
      </c>
      <c r="M414" t="n">
        <v>0</v>
      </c>
      <c r="N414" t="n">
        <v>0</v>
      </c>
      <c r="O414" t="n">
        <v>0</v>
      </c>
      <c r="P414" t="n">
        <v>0</v>
      </c>
      <c r="Q414" t="n">
        <v>0</v>
      </c>
      <c r="R414" s="2" t="inlineStr"/>
    </row>
    <row r="415" ht="15" customHeight="1">
      <c r="A415" t="inlineStr">
        <is>
          <t>A 24192-2023</t>
        </is>
      </c>
      <c r="B415" s="1" t="n">
        <v>45079</v>
      </c>
      <c r="C415" s="1" t="n">
        <v>46183</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5923-2023</t>
        </is>
      </c>
      <c r="B416" s="1" t="n">
        <v>44963.69503472222</v>
      </c>
      <c r="C416" s="1" t="n">
        <v>46183</v>
      </c>
      <c r="D416" t="inlineStr">
        <is>
          <t>GOTLANDS LÄN</t>
        </is>
      </c>
      <c r="E416" t="inlineStr">
        <is>
          <t>GOTLAND</t>
        </is>
      </c>
      <c r="G416" t="n">
        <v>2.6</v>
      </c>
      <c r="H416" t="n">
        <v>0</v>
      </c>
      <c r="I416" t="n">
        <v>0</v>
      </c>
      <c r="J416" t="n">
        <v>0</v>
      </c>
      <c r="K416" t="n">
        <v>0</v>
      </c>
      <c r="L416" t="n">
        <v>0</v>
      </c>
      <c r="M416" t="n">
        <v>0</v>
      </c>
      <c r="N416" t="n">
        <v>0</v>
      </c>
      <c r="O416" t="n">
        <v>0</v>
      </c>
      <c r="P416" t="n">
        <v>0</v>
      </c>
      <c r="Q416" t="n">
        <v>0</v>
      </c>
      <c r="R416" s="2" t="inlineStr"/>
    </row>
    <row r="417" ht="15" customHeight="1">
      <c r="A417" t="inlineStr">
        <is>
          <t>A 18918-2025</t>
        </is>
      </c>
      <c r="B417" s="1" t="n">
        <v>45764</v>
      </c>
      <c r="C417" s="1" t="n">
        <v>46183</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2674-2023</t>
        </is>
      </c>
      <c r="B418" s="1" t="n">
        <v>44944</v>
      </c>
      <c r="C418" s="1" t="n">
        <v>46183</v>
      </c>
      <c r="D418" t="inlineStr">
        <is>
          <t>GOTLANDS LÄN</t>
        </is>
      </c>
      <c r="E418" t="inlineStr">
        <is>
          <t>GOTLAND</t>
        </is>
      </c>
      <c r="G418" t="n">
        <v>2.5</v>
      </c>
      <c r="H418" t="n">
        <v>0</v>
      </c>
      <c r="I418" t="n">
        <v>0</v>
      </c>
      <c r="J418" t="n">
        <v>0</v>
      </c>
      <c r="K418" t="n">
        <v>0</v>
      </c>
      <c r="L418" t="n">
        <v>0</v>
      </c>
      <c r="M418" t="n">
        <v>0</v>
      </c>
      <c r="N418" t="n">
        <v>0</v>
      </c>
      <c r="O418" t="n">
        <v>0</v>
      </c>
      <c r="P418" t="n">
        <v>0</v>
      </c>
      <c r="Q418" t="n">
        <v>0</v>
      </c>
      <c r="R418" s="2" t="inlineStr"/>
    </row>
    <row r="419" ht="15" customHeight="1">
      <c r="A419" t="inlineStr">
        <is>
          <t>A 5386-2023</t>
        </is>
      </c>
      <c r="B419" s="1" t="n">
        <v>44959</v>
      </c>
      <c r="C419" s="1" t="n">
        <v>46183</v>
      </c>
      <c r="D419" t="inlineStr">
        <is>
          <t>GOTLANDS LÄN</t>
        </is>
      </c>
      <c r="E419" t="inlineStr">
        <is>
          <t>GOTLAND</t>
        </is>
      </c>
      <c r="G419" t="n">
        <v>5.4</v>
      </c>
      <c r="H419" t="n">
        <v>0</v>
      </c>
      <c r="I419" t="n">
        <v>0</v>
      </c>
      <c r="J419" t="n">
        <v>0</v>
      </c>
      <c r="K419" t="n">
        <v>0</v>
      </c>
      <c r="L419" t="n">
        <v>0</v>
      </c>
      <c r="M419" t="n">
        <v>0</v>
      </c>
      <c r="N419" t="n">
        <v>0</v>
      </c>
      <c r="O419" t="n">
        <v>0</v>
      </c>
      <c r="P419" t="n">
        <v>0</v>
      </c>
      <c r="Q419" t="n">
        <v>0</v>
      </c>
      <c r="R419" s="2" t="inlineStr"/>
    </row>
    <row r="420" ht="15" customHeight="1">
      <c r="A420" t="inlineStr">
        <is>
          <t>A 7026-2023</t>
        </is>
      </c>
      <c r="B420" s="1" t="n">
        <v>44968.30340277778</v>
      </c>
      <c r="C420" s="1" t="n">
        <v>46183</v>
      </c>
      <c r="D420" t="inlineStr">
        <is>
          <t>GOTLANDS LÄN</t>
        </is>
      </c>
      <c r="E420" t="inlineStr">
        <is>
          <t>GOTLAND</t>
        </is>
      </c>
      <c r="G420" t="n">
        <v>2.9</v>
      </c>
      <c r="H420" t="n">
        <v>0</v>
      </c>
      <c r="I420" t="n">
        <v>0</v>
      </c>
      <c r="J420" t="n">
        <v>0</v>
      </c>
      <c r="K420" t="n">
        <v>0</v>
      </c>
      <c r="L420" t="n">
        <v>0</v>
      </c>
      <c r="M420" t="n">
        <v>0</v>
      </c>
      <c r="N420" t="n">
        <v>0</v>
      </c>
      <c r="O420" t="n">
        <v>0</v>
      </c>
      <c r="P420" t="n">
        <v>0</v>
      </c>
      <c r="Q420" t="n">
        <v>0</v>
      </c>
      <c r="R420" s="2" t="inlineStr"/>
    </row>
    <row r="421" ht="15" customHeight="1">
      <c r="A421" t="inlineStr">
        <is>
          <t>A 20855-2023</t>
        </is>
      </c>
      <c r="B421" s="1" t="n">
        <v>45058.82172453704</v>
      </c>
      <c r="C421" s="1" t="n">
        <v>46183</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10655-2023</t>
        </is>
      </c>
      <c r="B422" s="1" t="n">
        <v>44988.49543981482</v>
      </c>
      <c r="C422" s="1" t="n">
        <v>46183</v>
      </c>
      <c r="D422" t="inlineStr">
        <is>
          <t>GOTLANDS LÄN</t>
        </is>
      </c>
      <c r="E422" t="inlineStr">
        <is>
          <t>GOTLAND</t>
        </is>
      </c>
      <c r="F422" t="inlineStr">
        <is>
          <t>Kyrkan</t>
        </is>
      </c>
      <c r="G422" t="n">
        <v>2</v>
      </c>
      <c r="H422" t="n">
        <v>0</v>
      </c>
      <c r="I422" t="n">
        <v>0</v>
      </c>
      <c r="J422" t="n">
        <v>0</v>
      </c>
      <c r="K422" t="n">
        <v>0</v>
      </c>
      <c r="L422" t="n">
        <v>0</v>
      </c>
      <c r="M422" t="n">
        <v>0</v>
      </c>
      <c r="N422" t="n">
        <v>0</v>
      </c>
      <c r="O422" t="n">
        <v>0</v>
      </c>
      <c r="P422" t="n">
        <v>0</v>
      </c>
      <c r="Q422" t="n">
        <v>0</v>
      </c>
      <c r="R422" s="2" t="inlineStr"/>
    </row>
    <row r="423" ht="15" customHeight="1">
      <c r="A423" t="inlineStr">
        <is>
          <t>A 1000-2024</t>
        </is>
      </c>
      <c r="B423" s="1" t="n">
        <v>45301.63371527778</v>
      </c>
      <c r="C423" s="1" t="n">
        <v>46183</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1010-2024</t>
        </is>
      </c>
      <c r="B424" s="1" t="n">
        <v>45301</v>
      </c>
      <c r="C424" s="1" t="n">
        <v>46183</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2719-2023</t>
        </is>
      </c>
      <c r="B425" s="1" t="n">
        <v>44944.55361111111</v>
      </c>
      <c r="C425" s="1" t="n">
        <v>46183</v>
      </c>
      <c r="D425" t="inlineStr">
        <is>
          <t>GOTLANDS LÄN</t>
        </is>
      </c>
      <c r="E425" t="inlineStr">
        <is>
          <t>GOTLAND</t>
        </is>
      </c>
      <c r="G425" t="n">
        <v>0.5</v>
      </c>
      <c r="H425" t="n">
        <v>0</v>
      </c>
      <c r="I425" t="n">
        <v>0</v>
      </c>
      <c r="J425" t="n">
        <v>0</v>
      </c>
      <c r="K425" t="n">
        <v>0</v>
      </c>
      <c r="L425" t="n">
        <v>0</v>
      </c>
      <c r="M425" t="n">
        <v>0</v>
      </c>
      <c r="N425" t="n">
        <v>0</v>
      </c>
      <c r="O425" t="n">
        <v>0</v>
      </c>
      <c r="P425" t="n">
        <v>0</v>
      </c>
      <c r="Q425" t="n">
        <v>0</v>
      </c>
      <c r="R425" s="2" t="inlineStr"/>
    </row>
    <row r="426" ht="15" customHeight="1">
      <c r="A426" t="inlineStr">
        <is>
          <t>A 26891-2024</t>
        </is>
      </c>
      <c r="B426" s="1" t="n">
        <v>45470.65540509259</v>
      </c>
      <c r="C426" s="1" t="n">
        <v>46183</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42007-2023</t>
        </is>
      </c>
      <c r="B427" s="1" t="n">
        <v>45177</v>
      </c>
      <c r="C427" s="1" t="n">
        <v>46183</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9887-2025</t>
        </is>
      </c>
      <c r="B428" s="1" t="n">
        <v>45716</v>
      </c>
      <c r="C428" s="1" t="n">
        <v>46183</v>
      </c>
      <c r="D428" t="inlineStr">
        <is>
          <t>GOTLANDS LÄN</t>
        </is>
      </c>
      <c r="E428" t="inlineStr">
        <is>
          <t>GOTLAND</t>
        </is>
      </c>
      <c r="G428" t="n">
        <v>7.5</v>
      </c>
      <c r="H428" t="n">
        <v>0</v>
      </c>
      <c r="I428" t="n">
        <v>0</v>
      </c>
      <c r="J428" t="n">
        <v>0</v>
      </c>
      <c r="K428" t="n">
        <v>0</v>
      </c>
      <c r="L428" t="n">
        <v>0</v>
      </c>
      <c r="M428" t="n">
        <v>0</v>
      </c>
      <c r="N428" t="n">
        <v>0</v>
      </c>
      <c r="O428" t="n">
        <v>0</v>
      </c>
      <c r="P428" t="n">
        <v>0</v>
      </c>
      <c r="Q428" t="n">
        <v>0</v>
      </c>
      <c r="R428" s="2" t="inlineStr"/>
    </row>
    <row r="429" ht="15" customHeight="1">
      <c r="A429" t="inlineStr">
        <is>
          <t>A 47762-2023</t>
        </is>
      </c>
      <c r="B429" s="1" t="n">
        <v>45203.86256944444</v>
      </c>
      <c r="C429" s="1" t="n">
        <v>46183</v>
      </c>
      <c r="D429" t="inlineStr">
        <is>
          <t>GOTLANDS LÄN</t>
        </is>
      </c>
      <c r="E429" t="inlineStr">
        <is>
          <t>GOTLAND</t>
        </is>
      </c>
      <c r="G429" t="n">
        <v>1.3</v>
      </c>
      <c r="H429" t="n">
        <v>0</v>
      </c>
      <c r="I429" t="n">
        <v>0</v>
      </c>
      <c r="J429" t="n">
        <v>0</v>
      </c>
      <c r="K429" t="n">
        <v>0</v>
      </c>
      <c r="L429" t="n">
        <v>0</v>
      </c>
      <c r="M429" t="n">
        <v>0</v>
      </c>
      <c r="N429" t="n">
        <v>0</v>
      </c>
      <c r="O429" t="n">
        <v>0</v>
      </c>
      <c r="P429" t="n">
        <v>0</v>
      </c>
      <c r="Q429" t="n">
        <v>0</v>
      </c>
      <c r="R429" s="2" t="inlineStr"/>
    </row>
    <row r="430" ht="15" customHeight="1">
      <c r="A430" t="inlineStr">
        <is>
          <t>A 27596-2023</t>
        </is>
      </c>
      <c r="B430" s="1" t="n">
        <v>45097</v>
      </c>
      <c r="C430" s="1" t="n">
        <v>46183</v>
      </c>
      <c r="D430" t="inlineStr">
        <is>
          <t>GOTLANDS LÄN</t>
        </is>
      </c>
      <c r="E430" t="inlineStr">
        <is>
          <t>GOTLAND</t>
        </is>
      </c>
      <c r="G430" t="n">
        <v>3.6</v>
      </c>
      <c r="H430" t="n">
        <v>0</v>
      </c>
      <c r="I430" t="n">
        <v>0</v>
      </c>
      <c r="J430" t="n">
        <v>0</v>
      </c>
      <c r="K430" t="n">
        <v>0</v>
      </c>
      <c r="L430" t="n">
        <v>0</v>
      </c>
      <c r="M430" t="n">
        <v>0</v>
      </c>
      <c r="N430" t="n">
        <v>0</v>
      </c>
      <c r="O430" t="n">
        <v>0</v>
      </c>
      <c r="P430" t="n">
        <v>0</v>
      </c>
      <c r="Q430" t="n">
        <v>0</v>
      </c>
      <c r="R430" s="2" t="inlineStr"/>
    </row>
    <row r="431" ht="15" customHeight="1">
      <c r="A431" t="inlineStr">
        <is>
          <t>A 24825-2024</t>
        </is>
      </c>
      <c r="B431" s="1" t="n">
        <v>45461</v>
      </c>
      <c r="C431" s="1" t="n">
        <v>46183</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6696-2023</t>
        </is>
      </c>
      <c r="B432" s="1" t="n">
        <v>44966.66425925926</v>
      </c>
      <c r="C432" s="1" t="n">
        <v>46183</v>
      </c>
      <c r="D432" t="inlineStr">
        <is>
          <t>GOTLANDS LÄN</t>
        </is>
      </c>
      <c r="E432" t="inlineStr">
        <is>
          <t>GOTLAND</t>
        </is>
      </c>
      <c r="G432" t="n">
        <v>1.5</v>
      </c>
      <c r="H432" t="n">
        <v>0</v>
      </c>
      <c r="I432" t="n">
        <v>0</v>
      </c>
      <c r="J432" t="n">
        <v>0</v>
      </c>
      <c r="K432" t="n">
        <v>0</v>
      </c>
      <c r="L432" t="n">
        <v>0</v>
      </c>
      <c r="M432" t="n">
        <v>0</v>
      </c>
      <c r="N432" t="n">
        <v>0</v>
      </c>
      <c r="O432" t="n">
        <v>0</v>
      </c>
      <c r="P432" t="n">
        <v>0</v>
      </c>
      <c r="Q432" t="n">
        <v>0</v>
      </c>
      <c r="R432" s="2" t="inlineStr"/>
    </row>
    <row r="433" ht="15" customHeight="1">
      <c r="A433" t="inlineStr">
        <is>
          <t>A 21247-2022</t>
        </is>
      </c>
      <c r="B433" s="1" t="n">
        <v>44705.38832175926</v>
      </c>
      <c r="C433" s="1" t="n">
        <v>46183</v>
      </c>
      <c r="D433" t="inlineStr">
        <is>
          <t>GOTLANDS LÄN</t>
        </is>
      </c>
      <c r="E433" t="inlineStr">
        <is>
          <t>GOTLAND</t>
        </is>
      </c>
      <c r="G433" t="n">
        <v>16.2</v>
      </c>
      <c r="H433" t="n">
        <v>0</v>
      </c>
      <c r="I433" t="n">
        <v>0</v>
      </c>
      <c r="J433" t="n">
        <v>0</v>
      </c>
      <c r="K433" t="n">
        <v>0</v>
      </c>
      <c r="L433" t="n">
        <v>0</v>
      </c>
      <c r="M433" t="n">
        <v>0</v>
      </c>
      <c r="N433" t="n">
        <v>0</v>
      </c>
      <c r="O433" t="n">
        <v>0</v>
      </c>
      <c r="P433" t="n">
        <v>0</v>
      </c>
      <c r="Q433" t="n">
        <v>0</v>
      </c>
      <c r="R433" s="2" t="inlineStr"/>
    </row>
    <row r="434" ht="15" customHeight="1">
      <c r="A434" t="inlineStr">
        <is>
          <t>A 456-2023</t>
        </is>
      </c>
      <c r="B434" s="1" t="n">
        <v>44929.87122685185</v>
      </c>
      <c r="C434" s="1" t="n">
        <v>46183</v>
      </c>
      <c r="D434" t="inlineStr">
        <is>
          <t>GOTLANDS LÄN</t>
        </is>
      </c>
      <c r="E434" t="inlineStr">
        <is>
          <t>GOTLAND</t>
        </is>
      </c>
      <c r="G434" t="n">
        <v>3.2</v>
      </c>
      <c r="H434" t="n">
        <v>0</v>
      </c>
      <c r="I434" t="n">
        <v>0</v>
      </c>
      <c r="J434" t="n">
        <v>0</v>
      </c>
      <c r="K434" t="n">
        <v>0</v>
      </c>
      <c r="L434" t="n">
        <v>0</v>
      </c>
      <c r="M434" t="n">
        <v>0</v>
      </c>
      <c r="N434" t="n">
        <v>0</v>
      </c>
      <c r="O434" t="n">
        <v>0</v>
      </c>
      <c r="P434" t="n">
        <v>0</v>
      </c>
      <c r="Q434" t="n">
        <v>0</v>
      </c>
      <c r="R434" s="2" t="inlineStr"/>
    </row>
    <row r="435" ht="15" customHeight="1">
      <c r="A435" t="inlineStr">
        <is>
          <t>A 2714-2023</t>
        </is>
      </c>
      <c r="B435" s="1" t="n">
        <v>44944.54896990741</v>
      </c>
      <c r="C435" s="1" t="n">
        <v>46183</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4421-2024</t>
        </is>
      </c>
      <c r="B436" s="1" t="n">
        <v>45327.45173611111</v>
      </c>
      <c r="C436" s="1" t="n">
        <v>46183</v>
      </c>
      <c r="D436" t="inlineStr">
        <is>
          <t>GOTLANDS LÄN</t>
        </is>
      </c>
      <c r="E436" t="inlineStr">
        <is>
          <t>GOTLAND</t>
        </is>
      </c>
      <c r="G436" t="n">
        <v>5.1</v>
      </c>
      <c r="H436" t="n">
        <v>0</v>
      </c>
      <c r="I436" t="n">
        <v>0</v>
      </c>
      <c r="J436" t="n">
        <v>0</v>
      </c>
      <c r="K436" t="n">
        <v>0</v>
      </c>
      <c r="L436" t="n">
        <v>0</v>
      </c>
      <c r="M436" t="n">
        <v>0</v>
      </c>
      <c r="N436" t="n">
        <v>0</v>
      </c>
      <c r="O436" t="n">
        <v>0</v>
      </c>
      <c r="P436" t="n">
        <v>0</v>
      </c>
      <c r="Q436" t="n">
        <v>0</v>
      </c>
      <c r="R436" s="2" t="inlineStr"/>
    </row>
    <row r="437" ht="15" customHeight="1">
      <c r="A437" t="inlineStr">
        <is>
          <t>A 51782-2023</t>
        </is>
      </c>
      <c r="B437" s="1" t="n">
        <v>45222.80952546297</v>
      </c>
      <c r="C437" s="1" t="n">
        <v>46183</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54268-2022</t>
        </is>
      </c>
      <c r="B438" s="1" t="n">
        <v>44882</v>
      </c>
      <c r="C438" s="1" t="n">
        <v>46183</v>
      </c>
      <c r="D438" t="inlineStr">
        <is>
          <t>GOTLANDS LÄN</t>
        </is>
      </c>
      <c r="E438" t="inlineStr">
        <is>
          <t>GOTLAND</t>
        </is>
      </c>
      <c r="G438" t="n">
        <v>2.7</v>
      </c>
      <c r="H438" t="n">
        <v>0</v>
      </c>
      <c r="I438" t="n">
        <v>0</v>
      </c>
      <c r="J438" t="n">
        <v>0</v>
      </c>
      <c r="K438" t="n">
        <v>0</v>
      </c>
      <c r="L438" t="n">
        <v>0</v>
      </c>
      <c r="M438" t="n">
        <v>0</v>
      </c>
      <c r="N438" t="n">
        <v>0</v>
      </c>
      <c r="O438" t="n">
        <v>0</v>
      </c>
      <c r="P438" t="n">
        <v>0</v>
      </c>
      <c r="Q438" t="n">
        <v>0</v>
      </c>
      <c r="R438" s="2" t="inlineStr"/>
    </row>
    <row r="439" ht="15" customHeight="1">
      <c r="A439" t="inlineStr">
        <is>
          <t>A 56799-2025</t>
        </is>
      </c>
      <c r="B439" s="1" t="n">
        <v>45978.43392361111</v>
      </c>
      <c r="C439" s="1" t="n">
        <v>46183</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57534-2022</t>
        </is>
      </c>
      <c r="B440" s="1" t="n">
        <v>44896</v>
      </c>
      <c r="C440" s="1" t="n">
        <v>46183</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56688-2025</t>
        </is>
      </c>
      <c r="B441" s="1" t="n">
        <v>45975.84331018518</v>
      </c>
      <c r="C441" s="1" t="n">
        <v>46183</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25866-2022</t>
        </is>
      </c>
      <c r="B442" s="1" t="n">
        <v>44733</v>
      </c>
      <c r="C442" s="1" t="n">
        <v>46183</v>
      </c>
      <c r="D442" t="inlineStr">
        <is>
          <t>GOTLANDS LÄN</t>
        </is>
      </c>
      <c r="E442" t="inlineStr">
        <is>
          <t>GOTLAND</t>
        </is>
      </c>
      <c r="G442" t="n">
        <v>2.9</v>
      </c>
      <c r="H442" t="n">
        <v>0</v>
      </c>
      <c r="I442" t="n">
        <v>0</v>
      </c>
      <c r="J442" t="n">
        <v>0</v>
      </c>
      <c r="K442" t="n">
        <v>0</v>
      </c>
      <c r="L442" t="n">
        <v>0</v>
      </c>
      <c r="M442" t="n">
        <v>0</v>
      </c>
      <c r="N442" t="n">
        <v>0</v>
      </c>
      <c r="O442" t="n">
        <v>0</v>
      </c>
      <c r="P442" t="n">
        <v>0</v>
      </c>
      <c r="Q442" t="n">
        <v>0</v>
      </c>
      <c r="R442" s="2" t="inlineStr"/>
    </row>
    <row r="443" ht="15" customHeight="1">
      <c r="A443" t="inlineStr">
        <is>
          <t>A 43229-2023</t>
        </is>
      </c>
      <c r="B443" s="1" t="n">
        <v>45183.46704861111</v>
      </c>
      <c r="C443" s="1" t="n">
        <v>46183</v>
      </c>
      <c r="D443" t="inlineStr">
        <is>
          <t>GOTLANDS LÄN</t>
        </is>
      </c>
      <c r="E443" t="inlineStr">
        <is>
          <t>GOTLAND</t>
        </is>
      </c>
      <c r="G443" t="n">
        <v>7.1</v>
      </c>
      <c r="H443" t="n">
        <v>0</v>
      </c>
      <c r="I443" t="n">
        <v>0</v>
      </c>
      <c r="J443" t="n">
        <v>0</v>
      </c>
      <c r="K443" t="n">
        <v>0</v>
      </c>
      <c r="L443" t="n">
        <v>0</v>
      </c>
      <c r="M443" t="n">
        <v>0</v>
      </c>
      <c r="N443" t="n">
        <v>0</v>
      </c>
      <c r="O443" t="n">
        <v>0</v>
      </c>
      <c r="P443" t="n">
        <v>0</v>
      </c>
      <c r="Q443" t="n">
        <v>0</v>
      </c>
      <c r="R443" s="2" t="inlineStr"/>
    </row>
    <row r="444" ht="15" customHeight="1">
      <c r="A444" t="inlineStr">
        <is>
          <t>A 1175-2025</t>
        </is>
      </c>
      <c r="B444" s="1" t="n">
        <v>45667.34449074074</v>
      </c>
      <c r="C444" s="1" t="n">
        <v>46183</v>
      </c>
      <c r="D444" t="inlineStr">
        <is>
          <t>GOTLANDS LÄN</t>
        </is>
      </c>
      <c r="E444" t="inlineStr">
        <is>
          <t>GOTLAND</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27095-2022</t>
        </is>
      </c>
      <c r="B445" s="1" t="n">
        <v>44741</v>
      </c>
      <c r="C445" s="1" t="n">
        <v>46183</v>
      </c>
      <c r="D445" t="inlineStr">
        <is>
          <t>GOTLANDS LÄN</t>
        </is>
      </c>
      <c r="E445" t="inlineStr">
        <is>
          <t>GOTLAND</t>
        </is>
      </c>
      <c r="F445" t="inlineStr">
        <is>
          <t>Övriga Aktiebolag</t>
        </is>
      </c>
      <c r="G445" t="n">
        <v>2.9</v>
      </c>
      <c r="H445" t="n">
        <v>0</v>
      </c>
      <c r="I445" t="n">
        <v>0</v>
      </c>
      <c r="J445" t="n">
        <v>0</v>
      </c>
      <c r="K445" t="n">
        <v>0</v>
      </c>
      <c r="L445" t="n">
        <v>0</v>
      </c>
      <c r="M445" t="n">
        <v>0</v>
      </c>
      <c r="N445" t="n">
        <v>0</v>
      </c>
      <c r="O445" t="n">
        <v>0</v>
      </c>
      <c r="P445" t="n">
        <v>0</v>
      </c>
      <c r="Q445" t="n">
        <v>0</v>
      </c>
      <c r="R445" s="2" t="inlineStr"/>
    </row>
    <row r="446" ht="15" customHeight="1">
      <c r="A446" t="inlineStr">
        <is>
          <t>A 22899-2023</t>
        </is>
      </c>
      <c r="B446" s="1" t="n">
        <v>45072</v>
      </c>
      <c r="C446" s="1" t="n">
        <v>46183</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23978-2023</t>
        </is>
      </c>
      <c r="B447" s="1" t="n">
        <v>45078</v>
      </c>
      <c r="C447" s="1" t="n">
        <v>46183</v>
      </c>
      <c r="D447" t="inlineStr">
        <is>
          <t>GOTLANDS LÄN</t>
        </is>
      </c>
      <c r="E447" t="inlineStr">
        <is>
          <t>GOTLAND</t>
        </is>
      </c>
      <c r="F447" t="inlineStr">
        <is>
          <t>Naturvårdsverket</t>
        </is>
      </c>
      <c r="G447" t="n">
        <v>1.7</v>
      </c>
      <c r="H447" t="n">
        <v>0</v>
      </c>
      <c r="I447" t="n">
        <v>0</v>
      </c>
      <c r="J447" t="n">
        <v>0</v>
      </c>
      <c r="K447" t="n">
        <v>0</v>
      </c>
      <c r="L447" t="n">
        <v>0</v>
      </c>
      <c r="M447" t="n">
        <v>0</v>
      </c>
      <c r="N447" t="n">
        <v>0</v>
      </c>
      <c r="O447" t="n">
        <v>0</v>
      </c>
      <c r="P447" t="n">
        <v>0</v>
      </c>
      <c r="Q447" t="n">
        <v>0</v>
      </c>
      <c r="R447" s="2" t="inlineStr"/>
    </row>
    <row r="448" ht="15" customHeight="1">
      <c r="A448" t="inlineStr">
        <is>
          <t>A 34407-2023</t>
        </is>
      </c>
      <c r="B448" s="1" t="n">
        <v>45132</v>
      </c>
      <c r="C448" s="1" t="n">
        <v>46183</v>
      </c>
      <c r="D448" t="inlineStr">
        <is>
          <t>GOTLANDS LÄN</t>
        </is>
      </c>
      <c r="E448" t="inlineStr">
        <is>
          <t>GOTLAND</t>
        </is>
      </c>
      <c r="G448" t="n">
        <v>4.4</v>
      </c>
      <c r="H448" t="n">
        <v>0</v>
      </c>
      <c r="I448" t="n">
        <v>0</v>
      </c>
      <c r="J448" t="n">
        <v>0</v>
      </c>
      <c r="K448" t="n">
        <v>0</v>
      </c>
      <c r="L448" t="n">
        <v>0</v>
      </c>
      <c r="M448" t="n">
        <v>0</v>
      </c>
      <c r="N448" t="n">
        <v>0</v>
      </c>
      <c r="O448" t="n">
        <v>0</v>
      </c>
      <c r="P448" t="n">
        <v>0</v>
      </c>
      <c r="Q448" t="n">
        <v>0</v>
      </c>
      <c r="R448" s="2" t="inlineStr"/>
    </row>
    <row r="449" ht="15" customHeight="1">
      <c r="A449" t="inlineStr">
        <is>
          <t>A 11013-2024</t>
        </is>
      </c>
      <c r="B449" s="1" t="n">
        <v>45370</v>
      </c>
      <c r="C449" s="1" t="n">
        <v>46183</v>
      </c>
      <c r="D449" t="inlineStr">
        <is>
          <t>GOTLANDS LÄN</t>
        </is>
      </c>
      <c r="E449" t="inlineStr">
        <is>
          <t>GOTLAND</t>
        </is>
      </c>
      <c r="G449" t="n">
        <v>0.7</v>
      </c>
      <c r="H449" t="n">
        <v>0</v>
      </c>
      <c r="I449" t="n">
        <v>0</v>
      </c>
      <c r="J449" t="n">
        <v>0</v>
      </c>
      <c r="K449" t="n">
        <v>0</v>
      </c>
      <c r="L449" t="n">
        <v>0</v>
      </c>
      <c r="M449" t="n">
        <v>0</v>
      </c>
      <c r="N449" t="n">
        <v>0</v>
      </c>
      <c r="O449" t="n">
        <v>0</v>
      </c>
      <c r="P449" t="n">
        <v>0</v>
      </c>
      <c r="Q449" t="n">
        <v>0</v>
      </c>
      <c r="R449" s="2" t="inlineStr"/>
    </row>
    <row r="450" ht="15" customHeight="1">
      <c r="A450" t="inlineStr">
        <is>
          <t>A 27694-2024</t>
        </is>
      </c>
      <c r="B450" s="1" t="n">
        <v>45475</v>
      </c>
      <c r="C450" s="1" t="n">
        <v>46183</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15083-2025</t>
        </is>
      </c>
      <c r="B451" s="1" t="n">
        <v>45743</v>
      </c>
      <c r="C451" s="1" t="n">
        <v>46183</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13037-2025</t>
        </is>
      </c>
      <c r="B452" s="1" t="n">
        <v>45734</v>
      </c>
      <c r="C452" s="1" t="n">
        <v>46183</v>
      </c>
      <c r="D452" t="inlineStr">
        <is>
          <t>GOTLANDS LÄN</t>
        </is>
      </c>
      <c r="E452" t="inlineStr">
        <is>
          <t>GOTLAND</t>
        </is>
      </c>
      <c r="G452" t="n">
        <v>9.5</v>
      </c>
      <c r="H452" t="n">
        <v>0</v>
      </c>
      <c r="I452" t="n">
        <v>0</v>
      </c>
      <c r="J452" t="n">
        <v>0</v>
      </c>
      <c r="K452" t="n">
        <v>0</v>
      </c>
      <c r="L452" t="n">
        <v>0</v>
      </c>
      <c r="M452" t="n">
        <v>0</v>
      </c>
      <c r="N452" t="n">
        <v>0</v>
      </c>
      <c r="O452" t="n">
        <v>0</v>
      </c>
      <c r="P452" t="n">
        <v>0</v>
      </c>
      <c r="Q452" t="n">
        <v>0</v>
      </c>
      <c r="R452" s="2" t="inlineStr"/>
    </row>
    <row r="453" ht="15" customHeight="1">
      <c r="A453" t="inlineStr">
        <is>
          <t>A 44228-2022</t>
        </is>
      </c>
      <c r="B453" s="1" t="n">
        <v>44839.51599537037</v>
      </c>
      <c r="C453" s="1" t="n">
        <v>46183</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58132-2023</t>
        </is>
      </c>
      <c r="B454" s="1" t="n">
        <v>45250</v>
      </c>
      <c r="C454" s="1" t="n">
        <v>46183</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49884-2023</t>
        </is>
      </c>
      <c r="B455" s="1" t="n">
        <v>45213</v>
      </c>
      <c r="C455" s="1" t="n">
        <v>46183</v>
      </c>
      <c r="D455" t="inlineStr">
        <is>
          <t>GOTLANDS LÄN</t>
        </is>
      </c>
      <c r="E455" t="inlineStr">
        <is>
          <t>GOTLAND</t>
        </is>
      </c>
      <c r="G455" t="n">
        <v>8.9</v>
      </c>
      <c r="H455" t="n">
        <v>0</v>
      </c>
      <c r="I455" t="n">
        <v>0</v>
      </c>
      <c r="J455" t="n">
        <v>0</v>
      </c>
      <c r="K455" t="n">
        <v>0</v>
      </c>
      <c r="L455" t="n">
        <v>0</v>
      </c>
      <c r="M455" t="n">
        <v>0</v>
      </c>
      <c r="N455" t="n">
        <v>0</v>
      </c>
      <c r="O455" t="n">
        <v>0</v>
      </c>
      <c r="P455" t="n">
        <v>0</v>
      </c>
      <c r="Q455" t="n">
        <v>0</v>
      </c>
      <c r="R455" s="2" t="inlineStr"/>
    </row>
    <row r="456" ht="15" customHeight="1">
      <c r="A456" t="inlineStr">
        <is>
          <t>A 876-2024</t>
        </is>
      </c>
      <c r="B456" s="1" t="n">
        <v>45301</v>
      </c>
      <c r="C456" s="1" t="n">
        <v>46183</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22704-2023</t>
        </is>
      </c>
      <c r="B457" s="1" t="n">
        <v>45071</v>
      </c>
      <c r="C457" s="1" t="n">
        <v>46183</v>
      </c>
      <c r="D457" t="inlineStr">
        <is>
          <t>GOTLANDS LÄN</t>
        </is>
      </c>
      <c r="E457" t="inlineStr">
        <is>
          <t>GOTLAND</t>
        </is>
      </c>
      <c r="G457" t="n">
        <v>1.9</v>
      </c>
      <c r="H457" t="n">
        <v>0</v>
      </c>
      <c r="I457" t="n">
        <v>0</v>
      </c>
      <c r="J457" t="n">
        <v>0</v>
      </c>
      <c r="K457" t="n">
        <v>0</v>
      </c>
      <c r="L457" t="n">
        <v>0</v>
      </c>
      <c r="M457" t="n">
        <v>0</v>
      </c>
      <c r="N457" t="n">
        <v>0</v>
      </c>
      <c r="O457" t="n">
        <v>0</v>
      </c>
      <c r="P457" t="n">
        <v>0</v>
      </c>
      <c r="Q457" t="n">
        <v>0</v>
      </c>
      <c r="R457" s="2" t="inlineStr"/>
    </row>
    <row r="458" ht="15" customHeight="1">
      <c r="A458" t="inlineStr">
        <is>
          <t>A 28425-2023</t>
        </is>
      </c>
      <c r="B458" s="1" t="n">
        <v>45102</v>
      </c>
      <c r="C458" s="1" t="n">
        <v>46183</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58476-2022</t>
        </is>
      </c>
      <c r="B459" s="1" t="n">
        <v>44902</v>
      </c>
      <c r="C459" s="1" t="n">
        <v>46183</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43200-2023</t>
        </is>
      </c>
      <c r="B460" s="1" t="n">
        <v>45183</v>
      </c>
      <c r="C460" s="1" t="n">
        <v>46183</v>
      </c>
      <c r="D460" t="inlineStr">
        <is>
          <t>GOTLANDS LÄN</t>
        </is>
      </c>
      <c r="E460" t="inlineStr">
        <is>
          <t>GOTLAND</t>
        </is>
      </c>
      <c r="G460" t="n">
        <v>0.5</v>
      </c>
      <c r="H460" t="n">
        <v>0</v>
      </c>
      <c r="I460" t="n">
        <v>0</v>
      </c>
      <c r="J460" t="n">
        <v>0</v>
      </c>
      <c r="K460" t="n">
        <v>0</v>
      </c>
      <c r="L460" t="n">
        <v>0</v>
      </c>
      <c r="M460" t="n">
        <v>0</v>
      </c>
      <c r="N460" t="n">
        <v>0</v>
      </c>
      <c r="O460" t="n">
        <v>0</v>
      </c>
      <c r="P460" t="n">
        <v>0</v>
      </c>
      <c r="Q460" t="n">
        <v>0</v>
      </c>
      <c r="R460" s="2" t="inlineStr"/>
    </row>
    <row r="461" ht="15" customHeight="1">
      <c r="A461" t="inlineStr">
        <is>
          <t>A 43223-2023</t>
        </is>
      </c>
      <c r="B461" s="1" t="n">
        <v>45183.45642361111</v>
      </c>
      <c r="C461" s="1" t="n">
        <v>46183</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3431-2025</t>
        </is>
      </c>
      <c r="B462" s="1" t="n">
        <v>45680.42935185185</v>
      </c>
      <c r="C462" s="1" t="n">
        <v>46183</v>
      </c>
      <c r="D462" t="inlineStr">
        <is>
          <t>GOTLANDS LÄN</t>
        </is>
      </c>
      <c r="E462" t="inlineStr">
        <is>
          <t>GOTLAND</t>
        </is>
      </c>
      <c r="G462" t="n">
        <v>4.8</v>
      </c>
      <c r="H462" t="n">
        <v>0</v>
      </c>
      <c r="I462" t="n">
        <v>0</v>
      </c>
      <c r="J462" t="n">
        <v>0</v>
      </c>
      <c r="K462" t="n">
        <v>0</v>
      </c>
      <c r="L462" t="n">
        <v>0</v>
      </c>
      <c r="M462" t="n">
        <v>0</v>
      </c>
      <c r="N462" t="n">
        <v>0</v>
      </c>
      <c r="O462" t="n">
        <v>0</v>
      </c>
      <c r="P462" t="n">
        <v>0</v>
      </c>
      <c r="Q462" t="n">
        <v>0</v>
      </c>
      <c r="R462" s="2" t="inlineStr"/>
    </row>
    <row r="463" ht="15" customHeight="1">
      <c r="A463" t="inlineStr">
        <is>
          <t>A 36319-2025</t>
        </is>
      </c>
      <c r="B463" s="1" t="n">
        <v>45868</v>
      </c>
      <c r="C463" s="1" t="n">
        <v>46183</v>
      </c>
      <c r="D463" t="inlineStr">
        <is>
          <t>GOTLANDS LÄN</t>
        </is>
      </c>
      <c r="E463" t="inlineStr">
        <is>
          <t>GOTLAND</t>
        </is>
      </c>
      <c r="G463" t="n">
        <v>2.9</v>
      </c>
      <c r="H463" t="n">
        <v>0</v>
      </c>
      <c r="I463" t="n">
        <v>0</v>
      </c>
      <c r="J463" t="n">
        <v>0</v>
      </c>
      <c r="K463" t="n">
        <v>0</v>
      </c>
      <c r="L463" t="n">
        <v>0</v>
      </c>
      <c r="M463" t="n">
        <v>0</v>
      </c>
      <c r="N463" t="n">
        <v>0</v>
      </c>
      <c r="O463" t="n">
        <v>0</v>
      </c>
      <c r="P463" t="n">
        <v>0</v>
      </c>
      <c r="Q463" t="n">
        <v>0</v>
      </c>
      <c r="R463" s="2" t="inlineStr"/>
    </row>
    <row r="464" ht="15" customHeight="1">
      <c r="A464" t="inlineStr">
        <is>
          <t>A 12209-2024</t>
        </is>
      </c>
      <c r="B464" s="1" t="n">
        <v>45378</v>
      </c>
      <c r="C464" s="1" t="n">
        <v>46183</v>
      </c>
      <c r="D464" t="inlineStr">
        <is>
          <t>GOTLANDS LÄN</t>
        </is>
      </c>
      <c r="E464" t="inlineStr">
        <is>
          <t>GOTLAND</t>
        </is>
      </c>
      <c r="G464" t="n">
        <v>5.3</v>
      </c>
      <c r="H464" t="n">
        <v>0</v>
      </c>
      <c r="I464" t="n">
        <v>0</v>
      </c>
      <c r="J464" t="n">
        <v>0</v>
      </c>
      <c r="K464" t="n">
        <v>0</v>
      </c>
      <c r="L464" t="n">
        <v>0</v>
      </c>
      <c r="M464" t="n">
        <v>0</v>
      </c>
      <c r="N464" t="n">
        <v>0</v>
      </c>
      <c r="O464" t="n">
        <v>0</v>
      </c>
      <c r="P464" t="n">
        <v>0</v>
      </c>
      <c r="Q464" t="n">
        <v>0</v>
      </c>
      <c r="R464" s="2" t="inlineStr"/>
    </row>
    <row r="465" ht="15" customHeight="1">
      <c r="A465" t="inlineStr">
        <is>
          <t>A 12210-2024</t>
        </is>
      </c>
      <c r="B465" s="1" t="n">
        <v>45378</v>
      </c>
      <c r="C465" s="1" t="n">
        <v>46183</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49257-2024</t>
        </is>
      </c>
      <c r="B466" s="1" t="n">
        <v>45595.47627314815</v>
      </c>
      <c r="C466" s="1" t="n">
        <v>46183</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37202-2024</t>
        </is>
      </c>
      <c r="B467" s="1" t="n">
        <v>45539.67310185185</v>
      </c>
      <c r="C467" s="1" t="n">
        <v>46183</v>
      </c>
      <c r="D467" t="inlineStr">
        <is>
          <t>GOTLANDS LÄN</t>
        </is>
      </c>
      <c r="E467" t="inlineStr">
        <is>
          <t>GOTLAND</t>
        </is>
      </c>
      <c r="G467" t="n">
        <v>0.3</v>
      </c>
      <c r="H467" t="n">
        <v>0</v>
      </c>
      <c r="I467" t="n">
        <v>0</v>
      </c>
      <c r="J467" t="n">
        <v>0</v>
      </c>
      <c r="K467" t="n">
        <v>0</v>
      </c>
      <c r="L467" t="n">
        <v>0</v>
      </c>
      <c r="M467" t="n">
        <v>0</v>
      </c>
      <c r="N467" t="n">
        <v>0</v>
      </c>
      <c r="O467" t="n">
        <v>0</v>
      </c>
      <c r="P467" t="n">
        <v>0</v>
      </c>
      <c r="Q467" t="n">
        <v>0</v>
      </c>
      <c r="R467" s="2" t="inlineStr"/>
    </row>
    <row r="468" ht="15" customHeight="1">
      <c r="A468" t="inlineStr">
        <is>
          <t>A 56115-2023</t>
        </is>
      </c>
      <c r="B468" s="1" t="n">
        <v>45236</v>
      </c>
      <c r="C468" s="1" t="n">
        <v>46183</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2774-2024</t>
        </is>
      </c>
      <c r="B469" s="1" t="n">
        <v>45314.62375</v>
      </c>
      <c r="C469" s="1" t="n">
        <v>46183</v>
      </c>
      <c r="D469" t="inlineStr">
        <is>
          <t>GOTLANDS LÄN</t>
        </is>
      </c>
      <c r="E469" t="inlineStr">
        <is>
          <t>GOTLAND</t>
        </is>
      </c>
      <c r="G469" t="n">
        <v>1</v>
      </c>
      <c r="H469" t="n">
        <v>0</v>
      </c>
      <c r="I469" t="n">
        <v>0</v>
      </c>
      <c r="J469" t="n">
        <v>0</v>
      </c>
      <c r="K469" t="n">
        <v>0</v>
      </c>
      <c r="L469" t="n">
        <v>0</v>
      </c>
      <c r="M469" t="n">
        <v>0</v>
      </c>
      <c r="N469" t="n">
        <v>0</v>
      </c>
      <c r="O469" t="n">
        <v>0</v>
      </c>
      <c r="P469" t="n">
        <v>0</v>
      </c>
      <c r="Q469" t="n">
        <v>0</v>
      </c>
      <c r="R469" s="2" t="inlineStr"/>
    </row>
    <row r="470" ht="15" customHeight="1">
      <c r="A470" t="inlineStr">
        <is>
          <t>A 60709-2023</t>
        </is>
      </c>
      <c r="B470" s="1" t="n">
        <v>45260</v>
      </c>
      <c r="C470" s="1" t="n">
        <v>46183</v>
      </c>
      <c r="D470" t="inlineStr">
        <is>
          <t>GOTLANDS LÄN</t>
        </is>
      </c>
      <c r="E470" t="inlineStr">
        <is>
          <t>GOTLAND</t>
        </is>
      </c>
      <c r="G470" t="n">
        <v>1.7</v>
      </c>
      <c r="H470" t="n">
        <v>0</v>
      </c>
      <c r="I470" t="n">
        <v>0</v>
      </c>
      <c r="J470" t="n">
        <v>0</v>
      </c>
      <c r="K470" t="n">
        <v>0</v>
      </c>
      <c r="L470" t="n">
        <v>0</v>
      </c>
      <c r="M470" t="n">
        <v>0</v>
      </c>
      <c r="N470" t="n">
        <v>0</v>
      </c>
      <c r="O470" t="n">
        <v>0</v>
      </c>
      <c r="P470" t="n">
        <v>0</v>
      </c>
      <c r="Q470" t="n">
        <v>0</v>
      </c>
      <c r="R470" s="2" t="inlineStr"/>
    </row>
    <row r="471" ht="15" customHeight="1">
      <c r="A471" t="inlineStr">
        <is>
          <t>A 64208-2021</t>
        </is>
      </c>
      <c r="B471" s="1" t="n">
        <v>44510</v>
      </c>
      <c r="C471" s="1" t="n">
        <v>46183</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39764-2022</t>
        </is>
      </c>
      <c r="B472" s="1" t="n">
        <v>44819</v>
      </c>
      <c r="C472" s="1" t="n">
        <v>46183</v>
      </c>
      <c r="D472" t="inlineStr">
        <is>
          <t>GOTLANDS LÄN</t>
        </is>
      </c>
      <c r="E472" t="inlineStr">
        <is>
          <t>GOTLAND</t>
        </is>
      </c>
      <c r="F472" t="inlineStr">
        <is>
          <t>Kyrkan</t>
        </is>
      </c>
      <c r="G472" t="n">
        <v>3.7</v>
      </c>
      <c r="H472" t="n">
        <v>0</v>
      </c>
      <c r="I472" t="n">
        <v>0</v>
      </c>
      <c r="J472" t="n">
        <v>0</v>
      </c>
      <c r="K472" t="n">
        <v>0</v>
      </c>
      <c r="L472" t="n">
        <v>0</v>
      </c>
      <c r="M472" t="n">
        <v>0</v>
      </c>
      <c r="N472" t="n">
        <v>0</v>
      </c>
      <c r="O472" t="n">
        <v>0</v>
      </c>
      <c r="P472" t="n">
        <v>0</v>
      </c>
      <c r="Q472" t="n">
        <v>0</v>
      </c>
      <c r="R472" s="2" t="inlineStr"/>
    </row>
    <row r="473" ht="15" customHeight="1">
      <c r="A473" t="inlineStr">
        <is>
          <t>A 30956-2024</t>
        </is>
      </c>
      <c r="B473" s="1" t="n">
        <v>45499.42527777778</v>
      </c>
      <c r="C473" s="1" t="n">
        <v>46183</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30892-2024</t>
        </is>
      </c>
      <c r="B474" s="1" t="n">
        <v>45491</v>
      </c>
      <c r="C474" s="1" t="n">
        <v>46183</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14635-2023</t>
        </is>
      </c>
      <c r="B475" s="1" t="n">
        <v>45013.69365740741</v>
      </c>
      <c r="C475" s="1" t="n">
        <v>46183</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59469-2024</t>
        </is>
      </c>
      <c r="B476" s="1" t="n">
        <v>45638</v>
      </c>
      <c r="C476" s="1" t="n">
        <v>46183</v>
      </c>
      <c r="D476" t="inlineStr">
        <is>
          <t>GOTLANDS LÄN</t>
        </is>
      </c>
      <c r="E476" t="inlineStr">
        <is>
          <t>GOTLAND</t>
        </is>
      </c>
      <c r="G476" t="n">
        <v>0.4</v>
      </c>
      <c r="H476" t="n">
        <v>0</v>
      </c>
      <c r="I476" t="n">
        <v>0</v>
      </c>
      <c r="J476" t="n">
        <v>0</v>
      </c>
      <c r="K476" t="n">
        <v>0</v>
      </c>
      <c r="L476" t="n">
        <v>0</v>
      </c>
      <c r="M476" t="n">
        <v>0</v>
      </c>
      <c r="N476" t="n">
        <v>0</v>
      </c>
      <c r="O476" t="n">
        <v>0</v>
      </c>
      <c r="P476" t="n">
        <v>0</v>
      </c>
      <c r="Q476" t="n">
        <v>0</v>
      </c>
      <c r="R476" s="2" t="inlineStr"/>
    </row>
    <row r="477" ht="15" customHeight="1">
      <c r="A477" t="inlineStr">
        <is>
          <t>A 7858-2025</t>
        </is>
      </c>
      <c r="B477" s="1" t="n">
        <v>45706.68633101852</v>
      </c>
      <c r="C477" s="1" t="n">
        <v>46183</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63002-2025</t>
        </is>
      </c>
      <c r="B478" s="1" t="n">
        <v>46009.56564814815</v>
      </c>
      <c r="C478" s="1" t="n">
        <v>46183</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46183</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61078-2025</t>
        </is>
      </c>
      <c r="B480" s="1" t="n">
        <v>46000</v>
      </c>
      <c r="C480" s="1" t="n">
        <v>46183</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36-2026</t>
        </is>
      </c>
      <c r="B481" s="1" t="n">
        <v>46024.38886574074</v>
      </c>
      <c r="C481" s="1" t="n">
        <v>46183</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2415-2026</t>
        </is>
      </c>
      <c r="B482" s="1" t="n">
        <v>46036.76203703704</v>
      </c>
      <c r="C482" s="1" t="n">
        <v>46183</v>
      </c>
      <c r="D482" t="inlineStr">
        <is>
          <t>GOTLANDS LÄN</t>
        </is>
      </c>
      <c r="E482" t="inlineStr">
        <is>
          <t>GOTLAND</t>
        </is>
      </c>
      <c r="G482" t="n">
        <v>6.9</v>
      </c>
      <c r="H482" t="n">
        <v>0</v>
      </c>
      <c r="I482" t="n">
        <v>0</v>
      </c>
      <c r="J482" t="n">
        <v>0</v>
      </c>
      <c r="K482" t="n">
        <v>0</v>
      </c>
      <c r="L482" t="n">
        <v>0</v>
      </c>
      <c r="M482" t="n">
        <v>0</v>
      </c>
      <c r="N482" t="n">
        <v>0</v>
      </c>
      <c r="O482" t="n">
        <v>0</v>
      </c>
      <c r="P482" t="n">
        <v>0</v>
      </c>
      <c r="Q482" t="n">
        <v>0</v>
      </c>
      <c r="R482" s="2" t="inlineStr"/>
    </row>
    <row r="483" ht="15" customHeight="1">
      <c r="A483" t="inlineStr">
        <is>
          <t>A 4646-2026</t>
        </is>
      </c>
      <c r="B483" s="1" t="n">
        <v>46048.40357638889</v>
      </c>
      <c r="C483" s="1" t="n">
        <v>46183</v>
      </c>
      <c r="D483" t="inlineStr">
        <is>
          <t>GOTLANDS LÄN</t>
        </is>
      </c>
      <c r="E483" t="inlineStr">
        <is>
          <t>GOTLAND</t>
        </is>
      </c>
      <c r="G483" t="n">
        <v>2.7</v>
      </c>
      <c r="H483" t="n">
        <v>0</v>
      </c>
      <c r="I483" t="n">
        <v>0</v>
      </c>
      <c r="J483" t="n">
        <v>0</v>
      </c>
      <c r="K483" t="n">
        <v>0</v>
      </c>
      <c r="L483" t="n">
        <v>0</v>
      </c>
      <c r="M483" t="n">
        <v>0</v>
      </c>
      <c r="N483" t="n">
        <v>0</v>
      </c>
      <c r="O483" t="n">
        <v>0</v>
      </c>
      <c r="P483" t="n">
        <v>0</v>
      </c>
      <c r="Q483" t="n">
        <v>0</v>
      </c>
      <c r="R483" s="2" t="inlineStr"/>
    </row>
    <row r="484" ht="15" customHeight="1">
      <c r="A484" t="inlineStr">
        <is>
          <t>A 4634-2026</t>
        </is>
      </c>
      <c r="B484" s="1" t="n">
        <v>46048.39304398148</v>
      </c>
      <c r="C484" s="1" t="n">
        <v>46183</v>
      </c>
      <c r="D484" t="inlineStr">
        <is>
          <t>GOTLANDS LÄN</t>
        </is>
      </c>
      <c r="E484" t="inlineStr">
        <is>
          <t>GOTLAND</t>
        </is>
      </c>
      <c r="G484" t="n">
        <v>7.8</v>
      </c>
      <c r="H484" t="n">
        <v>0</v>
      </c>
      <c r="I484" t="n">
        <v>0</v>
      </c>
      <c r="J484" t="n">
        <v>0</v>
      </c>
      <c r="K484" t="n">
        <v>0</v>
      </c>
      <c r="L484" t="n">
        <v>0</v>
      </c>
      <c r="M484" t="n">
        <v>0</v>
      </c>
      <c r="N484" t="n">
        <v>0</v>
      </c>
      <c r="O484" t="n">
        <v>0</v>
      </c>
      <c r="P484" t="n">
        <v>0</v>
      </c>
      <c r="Q484" t="n">
        <v>0</v>
      </c>
      <c r="R484" s="2" t="inlineStr"/>
    </row>
    <row r="485" ht="15" customHeight="1">
      <c r="A485" t="inlineStr">
        <is>
          <t>A 4670-2026</t>
        </is>
      </c>
      <c r="B485" s="1" t="n">
        <v>46048.41733796296</v>
      </c>
      <c r="C485" s="1" t="n">
        <v>46183</v>
      </c>
      <c r="D485" t="inlineStr">
        <is>
          <t>GOTLANDS LÄN</t>
        </is>
      </c>
      <c r="E485" t="inlineStr">
        <is>
          <t>GOTLAND</t>
        </is>
      </c>
      <c r="G485" t="n">
        <v>1.7</v>
      </c>
      <c r="H485" t="n">
        <v>0</v>
      </c>
      <c r="I485" t="n">
        <v>0</v>
      </c>
      <c r="J485" t="n">
        <v>0</v>
      </c>
      <c r="K485" t="n">
        <v>0</v>
      </c>
      <c r="L485" t="n">
        <v>0</v>
      </c>
      <c r="M485" t="n">
        <v>0</v>
      </c>
      <c r="N485" t="n">
        <v>0</v>
      </c>
      <c r="O485" t="n">
        <v>0</v>
      </c>
      <c r="P485" t="n">
        <v>0</v>
      </c>
      <c r="Q485" t="n">
        <v>0</v>
      </c>
      <c r="R485" s="2" t="inlineStr"/>
    </row>
    <row r="486" ht="15" customHeight="1">
      <c r="A486" t="inlineStr">
        <is>
          <t>A 6218-2026</t>
        </is>
      </c>
      <c r="B486" s="1" t="n">
        <v>46055.42859953704</v>
      </c>
      <c r="C486" s="1" t="n">
        <v>46183</v>
      </c>
      <c r="D486" t="inlineStr">
        <is>
          <t>GOTLANDS LÄN</t>
        </is>
      </c>
      <c r="E486" t="inlineStr">
        <is>
          <t>GOTLAND</t>
        </is>
      </c>
      <c r="G486" t="n">
        <v>4.3</v>
      </c>
      <c r="H486" t="n">
        <v>0</v>
      </c>
      <c r="I486" t="n">
        <v>0</v>
      </c>
      <c r="J486" t="n">
        <v>0</v>
      </c>
      <c r="K486" t="n">
        <v>0</v>
      </c>
      <c r="L486" t="n">
        <v>0</v>
      </c>
      <c r="M486" t="n">
        <v>0</v>
      </c>
      <c r="N486" t="n">
        <v>0</v>
      </c>
      <c r="O486" t="n">
        <v>0</v>
      </c>
      <c r="P486" t="n">
        <v>0</v>
      </c>
      <c r="Q486" t="n">
        <v>0</v>
      </c>
      <c r="R486" s="2" t="inlineStr"/>
    </row>
    <row r="487" ht="15" customHeight="1">
      <c r="A487" t="inlineStr">
        <is>
          <t>A 6207-2026</t>
        </is>
      </c>
      <c r="B487" s="1" t="n">
        <v>46055.42083333333</v>
      </c>
      <c r="C487" s="1" t="n">
        <v>46183</v>
      </c>
      <c r="D487" t="inlineStr">
        <is>
          <t>GOTLANDS LÄN</t>
        </is>
      </c>
      <c r="E487" t="inlineStr">
        <is>
          <t>GOTLAND</t>
        </is>
      </c>
      <c r="G487" t="n">
        <v>7.6</v>
      </c>
      <c r="H487" t="n">
        <v>0</v>
      </c>
      <c r="I487" t="n">
        <v>0</v>
      </c>
      <c r="J487" t="n">
        <v>0</v>
      </c>
      <c r="K487" t="n">
        <v>0</v>
      </c>
      <c r="L487" t="n">
        <v>0</v>
      </c>
      <c r="M487" t="n">
        <v>0</v>
      </c>
      <c r="N487" t="n">
        <v>0</v>
      </c>
      <c r="O487" t="n">
        <v>0</v>
      </c>
      <c r="P487" t="n">
        <v>0</v>
      </c>
      <c r="Q487" t="n">
        <v>0</v>
      </c>
      <c r="R487" s="2" t="inlineStr"/>
    </row>
    <row r="488" ht="15" customHeight="1">
      <c r="A488" t="inlineStr">
        <is>
          <t>A 7627-2026</t>
        </is>
      </c>
      <c r="B488" s="1" t="n">
        <v>46062.35465277778</v>
      </c>
      <c r="C488" s="1" t="n">
        <v>46183</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2135-2026</t>
        </is>
      </c>
      <c r="B489" s="1" t="n">
        <v>46036</v>
      </c>
      <c r="C489" s="1" t="n">
        <v>46183</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9518-2026</t>
        </is>
      </c>
      <c r="B490" s="1" t="n">
        <v>46071.59653935185</v>
      </c>
      <c r="C490" s="1" t="n">
        <v>46183</v>
      </c>
      <c r="D490" t="inlineStr">
        <is>
          <t>GOTLANDS LÄN</t>
        </is>
      </c>
      <c r="E490" t="inlineStr">
        <is>
          <t>GOTLAND</t>
        </is>
      </c>
      <c r="G490" t="n">
        <v>6.2</v>
      </c>
      <c r="H490" t="n">
        <v>0</v>
      </c>
      <c r="I490" t="n">
        <v>0</v>
      </c>
      <c r="J490" t="n">
        <v>0</v>
      </c>
      <c r="K490" t="n">
        <v>0</v>
      </c>
      <c r="L490" t="n">
        <v>0</v>
      </c>
      <c r="M490" t="n">
        <v>0</v>
      </c>
      <c r="N490" t="n">
        <v>0</v>
      </c>
      <c r="O490" t="n">
        <v>0</v>
      </c>
      <c r="P490" t="n">
        <v>0</v>
      </c>
      <c r="Q490" t="n">
        <v>0</v>
      </c>
      <c r="R490" s="2" t="inlineStr"/>
    </row>
    <row r="491" ht="15" customHeight="1">
      <c r="A491" t="inlineStr">
        <is>
          <t>A 9519-2026</t>
        </is>
      </c>
      <c r="B491" s="1" t="n">
        <v>46071.59820601852</v>
      </c>
      <c r="C491" s="1" t="n">
        <v>46183</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9540-2026</t>
        </is>
      </c>
      <c r="B492" s="1" t="n">
        <v>46071.61961805556</v>
      </c>
      <c r="C492" s="1" t="n">
        <v>46183</v>
      </c>
      <c r="D492" t="inlineStr">
        <is>
          <t>GOTLANDS LÄN</t>
        </is>
      </c>
      <c r="E492" t="inlineStr">
        <is>
          <t>GOTLAND</t>
        </is>
      </c>
      <c r="G492" t="n">
        <v>2.8</v>
      </c>
      <c r="H492" t="n">
        <v>0</v>
      </c>
      <c r="I492" t="n">
        <v>0</v>
      </c>
      <c r="J492" t="n">
        <v>0</v>
      </c>
      <c r="K492" t="n">
        <v>0</v>
      </c>
      <c r="L492" t="n">
        <v>0</v>
      </c>
      <c r="M492" t="n">
        <v>0</v>
      </c>
      <c r="N492" t="n">
        <v>0</v>
      </c>
      <c r="O492" t="n">
        <v>0</v>
      </c>
      <c r="P492" t="n">
        <v>0</v>
      </c>
      <c r="Q492" t="n">
        <v>0</v>
      </c>
      <c r="R492" s="2" t="inlineStr"/>
    </row>
    <row r="493" ht="15" customHeight="1">
      <c r="A493" t="inlineStr">
        <is>
          <t>A 9521-2026</t>
        </is>
      </c>
      <c r="B493" s="1" t="n">
        <v>46071.59969907408</v>
      </c>
      <c r="C493" s="1" t="n">
        <v>46183</v>
      </c>
      <c r="D493" t="inlineStr">
        <is>
          <t>GOTLANDS LÄN</t>
        </is>
      </c>
      <c r="E493" t="inlineStr">
        <is>
          <t>GOTLAND</t>
        </is>
      </c>
      <c r="G493" t="n">
        <v>3.9</v>
      </c>
      <c r="H493" t="n">
        <v>0</v>
      </c>
      <c r="I493" t="n">
        <v>0</v>
      </c>
      <c r="J493" t="n">
        <v>0</v>
      </c>
      <c r="K493" t="n">
        <v>0</v>
      </c>
      <c r="L493" t="n">
        <v>0</v>
      </c>
      <c r="M493" t="n">
        <v>0</v>
      </c>
      <c r="N493" t="n">
        <v>0</v>
      </c>
      <c r="O493" t="n">
        <v>0</v>
      </c>
      <c r="P493" t="n">
        <v>0</v>
      </c>
      <c r="Q493" t="n">
        <v>0</v>
      </c>
      <c r="R493" s="2" t="inlineStr"/>
    </row>
    <row r="494" ht="15" customHeight="1">
      <c r="A494" t="inlineStr">
        <is>
          <t>A 9524-2026</t>
        </is>
      </c>
      <c r="B494" s="1" t="n">
        <v>46071.60108796296</v>
      </c>
      <c r="C494" s="1" t="n">
        <v>46183</v>
      </c>
      <c r="D494" t="inlineStr">
        <is>
          <t>GOTLANDS LÄN</t>
        </is>
      </c>
      <c r="E494" t="inlineStr">
        <is>
          <t>GOTLAND</t>
        </is>
      </c>
      <c r="G494" t="n">
        <v>2.5</v>
      </c>
      <c r="H494" t="n">
        <v>0</v>
      </c>
      <c r="I494" t="n">
        <v>0</v>
      </c>
      <c r="J494" t="n">
        <v>0</v>
      </c>
      <c r="K494" t="n">
        <v>0</v>
      </c>
      <c r="L494" t="n">
        <v>0</v>
      </c>
      <c r="M494" t="n">
        <v>0</v>
      </c>
      <c r="N494" t="n">
        <v>0</v>
      </c>
      <c r="O494" t="n">
        <v>0</v>
      </c>
      <c r="P494" t="n">
        <v>0</v>
      </c>
      <c r="Q494" t="n">
        <v>0</v>
      </c>
      <c r="R494" s="2" t="inlineStr"/>
    </row>
    <row r="495" ht="15" customHeight="1">
      <c r="A495" t="inlineStr">
        <is>
          <t>A 9543-2026</t>
        </is>
      </c>
      <c r="B495" s="1" t="n">
        <v>46071.62486111111</v>
      </c>
      <c r="C495" s="1" t="n">
        <v>46183</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9901-2026</t>
        </is>
      </c>
      <c r="B496" s="1" t="n">
        <v>46073.40391203704</v>
      </c>
      <c r="C496" s="1" t="n">
        <v>46183</v>
      </c>
      <c r="D496" t="inlineStr">
        <is>
          <t>GOTLANDS LÄN</t>
        </is>
      </c>
      <c r="E496" t="inlineStr">
        <is>
          <t>GOTLAND</t>
        </is>
      </c>
      <c r="F496" t="inlineStr">
        <is>
          <t>Kyrkan</t>
        </is>
      </c>
      <c r="G496" t="n">
        <v>0.9</v>
      </c>
      <c r="H496" t="n">
        <v>0</v>
      </c>
      <c r="I496" t="n">
        <v>0</v>
      </c>
      <c r="J496" t="n">
        <v>0</v>
      </c>
      <c r="K496" t="n">
        <v>0</v>
      </c>
      <c r="L496" t="n">
        <v>0</v>
      </c>
      <c r="M496" t="n">
        <v>0</v>
      </c>
      <c r="N496" t="n">
        <v>0</v>
      </c>
      <c r="O496" t="n">
        <v>0</v>
      </c>
      <c r="P496" t="n">
        <v>0</v>
      </c>
      <c r="Q496" t="n">
        <v>0</v>
      </c>
      <c r="R496" s="2" t="inlineStr"/>
    </row>
    <row r="497" ht="15" customHeight="1">
      <c r="A497" t="inlineStr">
        <is>
          <t>A 10284-2026</t>
        </is>
      </c>
      <c r="B497" s="1" t="n">
        <v>46076</v>
      </c>
      <c r="C497" s="1" t="n">
        <v>46183</v>
      </c>
      <c r="D497" t="inlineStr">
        <is>
          <t>GOTLANDS LÄN</t>
        </is>
      </c>
      <c r="E497" t="inlineStr">
        <is>
          <t>GOTLAND</t>
        </is>
      </c>
      <c r="G497" t="n">
        <v>5.2</v>
      </c>
      <c r="H497" t="n">
        <v>0</v>
      </c>
      <c r="I497" t="n">
        <v>0</v>
      </c>
      <c r="J497" t="n">
        <v>0</v>
      </c>
      <c r="K497" t="n">
        <v>0</v>
      </c>
      <c r="L497" t="n">
        <v>0</v>
      </c>
      <c r="M497" t="n">
        <v>0</v>
      </c>
      <c r="N497" t="n">
        <v>0</v>
      </c>
      <c r="O497" t="n">
        <v>0</v>
      </c>
      <c r="P497" t="n">
        <v>0</v>
      </c>
      <c r="Q497" t="n">
        <v>0</v>
      </c>
      <c r="R497" s="2" t="inlineStr"/>
    </row>
    <row r="498" ht="15" customHeight="1">
      <c r="A498" t="inlineStr">
        <is>
          <t>A 11424-2026</t>
        </is>
      </c>
      <c r="B498" s="1" t="n">
        <v>46083.48068287037</v>
      </c>
      <c r="C498" s="1" t="n">
        <v>46183</v>
      </c>
      <c r="D498" t="inlineStr">
        <is>
          <t>GOTLANDS LÄN</t>
        </is>
      </c>
      <c r="E498" t="inlineStr">
        <is>
          <t>GOTLAND</t>
        </is>
      </c>
      <c r="G498" t="n">
        <v>1.3</v>
      </c>
      <c r="H498" t="n">
        <v>0</v>
      </c>
      <c r="I498" t="n">
        <v>0</v>
      </c>
      <c r="J498" t="n">
        <v>0</v>
      </c>
      <c r="K498" t="n">
        <v>0</v>
      </c>
      <c r="L498" t="n">
        <v>0</v>
      </c>
      <c r="M498" t="n">
        <v>0</v>
      </c>
      <c r="N498" t="n">
        <v>0</v>
      </c>
      <c r="O498" t="n">
        <v>0</v>
      </c>
      <c r="P498" t="n">
        <v>0</v>
      </c>
      <c r="Q498" t="n">
        <v>0</v>
      </c>
      <c r="R498" s="2" t="inlineStr"/>
    </row>
    <row r="499" ht="15" customHeight="1">
      <c r="A499" t="inlineStr">
        <is>
          <t>A 3067-2026</t>
        </is>
      </c>
      <c r="B499" s="1" t="n">
        <v>46040.59025462963</v>
      </c>
      <c r="C499" s="1" t="n">
        <v>46183</v>
      </c>
      <c r="D499" t="inlineStr">
        <is>
          <t>GOTLANDS LÄN</t>
        </is>
      </c>
      <c r="E499" t="inlineStr">
        <is>
          <t>GOTLAND</t>
        </is>
      </c>
      <c r="G499" t="n">
        <v>7.8</v>
      </c>
      <c r="H499" t="n">
        <v>0</v>
      </c>
      <c r="I499" t="n">
        <v>0</v>
      </c>
      <c r="J499" t="n">
        <v>0</v>
      </c>
      <c r="K499" t="n">
        <v>0</v>
      </c>
      <c r="L499" t="n">
        <v>0</v>
      </c>
      <c r="M499" t="n">
        <v>0</v>
      </c>
      <c r="N499" t="n">
        <v>0</v>
      </c>
      <c r="O499" t="n">
        <v>0</v>
      </c>
      <c r="P499" t="n">
        <v>0</v>
      </c>
      <c r="Q499" t="n">
        <v>0</v>
      </c>
      <c r="R499" s="2" t="inlineStr"/>
    </row>
    <row r="500" ht="15" customHeight="1">
      <c r="A500" t="inlineStr">
        <is>
          <t>A 11982-2026</t>
        </is>
      </c>
      <c r="B500" s="1" t="n">
        <v>46085.6434375</v>
      </c>
      <c r="C500" s="1" t="n">
        <v>46183</v>
      </c>
      <c r="D500" t="inlineStr">
        <is>
          <t>GOTLANDS LÄN</t>
        </is>
      </c>
      <c r="E500" t="inlineStr">
        <is>
          <t>GOTLAND</t>
        </is>
      </c>
      <c r="G500" t="n">
        <v>2.2</v>
      </c>
      <c r="H500" t="n">
        <v>0</v>
      </c>
      <c r="I500" t="n">
        <v>0</v>
      </c>
      <c r="J500" t="n">
        <v>0</v>
      </c>
      <c r="K500" t="n">
        <v>0</v>
      </c>
      <c r="L500" t="n">
        <v>0</v>
      </c>
      <c r="M500" t="n">
        <v>0</v>
      </c>
      <c r="N500" t="n">
        <v>0</v>
      </c>
      <c r="O500" t="n">
        <v>0</v>
      </c>
      <c r="P500" t="n">
        <v>0</v>
      </c>
      <c r="Q500" t="n">
        <v>0</v>
      </c>
      <c r="R500" s="2" t="inlineStr"/>
    </row>
    <row r="501" ht="15" customHeight="1">
      <c r="A501" t="inlineStr">
        <is>
          <t>A 12135-2026</t>
        </is>
      </c>
      <c r="B501" s="1" t="n">
        <v>46086</v>
      </c>
      <c r="C501" s="1" t="n">
        <v>46183</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42201-2023</t>
        </is>
      </c>
      <c r="B502" s="1" t="n">
        <v>45179</v>
      </c>
      <c r="C502" s="1" t="n">
        <v>46183</v>
      </c>
      <c r="D502" t="inlineStr">
        <is>
          <t>GOTLANDS LÄN</t>
        </is>
      </c>
      <c r="E502" t="inlineStr">
        <is>
          <t>GOTLAND</t>
        </is>
      </c>
      <c r="G502" t="n">
        <v>11.9</v>
      </c>
      <c r="H502" t="n">
        <v>0</v>
      </c>
      <c r="I502" t="n">
        <v>0</v>
      </c>
      <c r="J502" t="n">
        <v>0</v>
      </c>
      <c r="K502" t="n">
        <v>0</v>
      </c>
      <c r="L502" t="n">
        <v>0</v>
      </c>
      <c r="M502" t="n">
        <v>0</v>
      </c>
      <c r="N502" t="n">
        <v>0</v>
      </c>
      <c r="O502" t="n">
        <v>0</v>
      </c>
      <c r="P502" t="n">
        <v>0</v>
      </c>
      <c r="Q502" t="n">
        <v>0</v>
      </c>
      <c r="R502" s="2" t="inlineStr"/>
    </row>
    <row r="503" ht="15" customHeight="1">
      <c r="A503" t="inlineStr">
        <is>
          <t>A 63000-2025</t>
        </is>
      </c>
      <c r="B503" s="1" t="n">
        <v>46009</v>
      </c>
      <c r="C503" s="1" t="n">
        <v>46183</v>
      </c>
      <c r="D503" t="inlineStr">
        <is>
          <t>GOTLANDS LÄN</t>
        </is>
      </c>
      <c r="E503" t="inlineStr">
        <is>
          <t>GOTLAND</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13486-2026</t>
        </is>
      </c>
      <c r="B504" s="1" t="n">
        <v>46094</v>
      </c>
      <c r="C504" s="1" t="n">
        <v>46183</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62751-2025</t>
        </is>
      </c>
      <c r="B505" s="1" t="n">
        <v>46008</v>
      </c>
      <c r="C505" s="1" t="n">
        <v>46183</v>
      </c>
      <c r="D505" t="inlineStr">
        <is>
          <t>GOTLANDS LÄN</t>
        </is>
      </c>
      <c r="E505" t="inlineStr">
        <is>
          <t>GOTLAND</t>
        </is>
      </c>
      <c r="F505" t="inlineStr">
        <is>
          <t>Övriga Aktiebolag</t>
        </is>
      </c>
      <c r="G505" t="n">
        <v>7.8</v>
      </c>
      <c r="H505" t="n">
        <v>0</v>
      </c>
      <c r="I505" t="n">
        <v>0</v>
      </c>
      <c r="J505" t="n">
        <v>0</v>
      </c>
      <c r="K505" t="n">
        <v>0</v>
      </c>
      <c r="L505" t="n">
        <v>0</v>
      </c>
      <c r="M505" t="n">
        <v>0</v>
      </c>
      <c r="N505" t="n">
        <v>0</v>
      </c>
      <c r="O505" t="n">
        <v>0</v>
      </c>
      <c r="P505" t="n">
        <v>0</v>
      </c>
      <c r="Q505" t="n">
        <v>0</v>
      </c>
      <c r="R505" s="2" t="inlineStr"/>
    </row>
    <row r="506" ht="15" customHeight="1">
      <c r="A506" t="inlineStr">
        <is>
          <t>A 21396-2026</t>
        </is>
      </c>
      <c r="B506" s="1" t="n">
        <v>46148.30710648148</v>
      </c>
      <c r="C506" s="1" t="n">
        <v>46183</v>
      </c>
      <c r="D506" t="inlineStr">
        <is>
          <t>GOTLANDS LÄN</t>
        </is>
      </c>
      <c r="E506" t="inlineStr">
        <is>
          <t>GOTLAND</t>
        </is>
      </c>
      <c r="G506" t="n">
        <v>6.1</v>
      </c>
      <c r="H506" t="n">
        <v>0</v>
      </c>
      <c r="I506" t="n">
        <v>0</v>
      </c>
      <c r="J506" t="n">
        <v>0</v>
      </c>
      <c r="K506" t="n">
        <v>0</v>
      </c>
      <c r="L506" t="n">
        <v>0</v>
      </c>
      <c r="M506" t="n">
        <v>0</v>
      </c>
      <c r="N506" t="n">
        <v>0</v>
      </c>
      <c r="O506" t="n">
        <v>0</v>
      </c>
      <c r="P506" t="n">
        <v>0</v>
      </c>
      <c r="Q506" t="n">
        <v>0</v>
      </c>
      <c r="R506" s="2" t="inlineStr"/>
    </row>
    <row r="507" ht="15" customHeight="1">
      <c r="A507" t="inlineStr">
        <is>
          <t>A 4662-2026</t>
        </is>
      </c>
      <c r="B507" s="1" t="n">
        <v>46048.40949074074</v>
      </c>
      <c r="C507" s="1" t="n">
        <v>46183</v>
      </c>
      <c r="D507" t="inlineStr">
        <is>
          <t>GOTLANDS LÄN</t>
        </is>
      </c>
      <c r="E507" t="inlineStr">
        <is>
          <t>GOTLAND</t>
        </is>
      </c>
      <c r="G507" t="n">
        <v>7.6</v>
      </c>
      <c r="H507" t="n">
        <v>0</v>
      </c>
      <c r="I507" t="n">
        <v>0</v>
      </c>
      <c r="J507" t="n">
        <v>0</v>
      </c>
      <c r="K507" t="n">
        <v>0</v>
      </c>
      <c r="L507" t="n">
        <v>0</v>
      </c>
      <c r="M507" t="n">
        <v>0</v>
      </c>
      <c r="N507" t="n">
        <v>0</v>
      </c>
      <c r="O507" t="n">
        <v>0</v>
      </c>
      <c r="P507" t="n">
        <v>0</v>
      </c>
      <c r="Q507" t="n">
        <v>0</v>
      </c>
      <c r="R507" s="2" t="inlineStr"/>
    </row>
    <row r="508" ht="15" customHeight="1">
      <c r="A508" t="inlineStr">
        <is>
          <t>A 22351-2026</t>
        </is>
      </c>
      <c r="B508" s="1" t="n">
        <v>46154.58350694444</v>
      </c>
      <c r="C508" s="1" t="n">
        <v>46183</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22275-2026</t>
        </is>
      </c>
      <c r="B509" s="1" t="n">
        <v>46154.41924768518</v>
      </c>
      <c r="C509" s="1" t="n">
        <v>46183</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22348-2026</t>
        </is>
      </c>
      <c r="B510" s="1" t="n">
        <v>46154.58071759259</v>
      </c>
      <c r="C510" s="1" t="n">
        <v>46183</v>
      </c>
      <c r="D510" t="inlineStr">
        <is>
          <t>GOTLANDS LÄN</t>
        </is>
      </c>
      <c r="E510" t="inlineStr">
        <is>
          <t>GOTLAND</t>
        </is>
      </c>
      <c r="G510" t="n">
        <v>3.3</v>
      </c>
      <c r="H510" t="n">
        <v>0</v>
      </c>
      <c r="I510" t="n">
        <v>0</v>
      </c>
      <c r="J510" t="n">
        <v>0</v>
      </c>
      <c r="K510" t="n">
        <v>0</v>
      </c>
      <c r="L510" t="n">
        <v>0</v>
      </c>
      <c r="M510" t="n">
        <v>0</v>
      </c>
      <c r="N510" t="n">
        <v>0</v>
      </c>
      <c r="O510" t="n">
        <v>0</v>
      </c>
      <c r="P510" t="n">
        <v>0</v>
      </c>
      <c r="Q510" t="n">
        <v>0</v>
      </c>
      <c r="R510" s="2" t="inlineStr"/>
    </row>
    <row r="511" ht="15" customHeight="1">
      <c r="A511" t="inlineStr">
        <is>
          <t>A 16993-2026</t>
        </is>
      </c>
      <c r="B511" s="1" t="n">
        <v>46114.41918981481</v>
      </c>
      <c r="C511" s="1" t="n">
        <v>46183</v>
      </c>
      <c r="D511" t="inlineStr">
        <is>
          <t>GOTLANDS LÄN</t>
        </is>
      </c>
      <c r="E511" t="inlineStr">
        <is>
          <t>GOTLAND</t>
        </is>
      </c>
      <c r="G511" t="n">
        <v>3</v>
      </c>
      <c r="H511" t="n">
        <v>0</v>
      </c>
      <c r="I511" t="n">
        <v>0</v>
      </c>
      <c r="J511" t="n">
        <v>0</v>
      </c>
      <c r="K511" t="n">
        <v>0</v>
      </c>
      <c r="L511" t="n">
        <v>0</v>
      </c>
      <c r="M511" t="n">
        <v>0</v>
      </c>
      <c r="N511" t="n">
        <v>0</v>
      </c>
      <c r="O511" t="n">
        <v>0</v>
      </c>
      <c r="P511" t="n">
        <v>0</v>
      </c>
      <c r="Q511" t="n">
        <v>0</v>
      </c>
      <c r="R511" s="2" t="inlineStr"/>
    </row>
    <row r="512" ht="15" customHeight="1">
      <c r="A512" t="inlineStr">
        <is>
          <t>A 17000-2026</t>
        </is>
      </c>
      <c r="B512" s="1" t="n">
        <v>46114.42690972222</v>
      </c>
      <c r="C512" s="1" t="n">
        <v>46183</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22887-2026</t>
        </is>
      </c>
      <c r="B513" s="1" t="n">
        <v>46160.47591435185</v>
      </c>
      <c r="C513" s="1" t="n">
        <v>46183</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23103-2026</t>
        </is>
      </c>
      <c r="B514" s="1" t="n">
        <v>46161.57108796296</v>
      </c>
      <c r="C514" s="1" t="n">
        <v>46183</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23504-2026</t>
        </is>
      </c>
      <c r="B515" s="1" t="n">
        <v>46163.45875</v>
      </c>
      <c r="C515" s="1" t="n">
        <v>46183</v>
      </c>
      <c r="D515" t="inlineStr">
        <is>
          <t>GOTLANDS LÄN</t>
        </is>
      </c>
      <c r="E515" t="inlineStr">
        <is>
          <t>GOTLAND</t>
        </is>
      </c>
      <c r="G515" t="n">
        <v>1</v>
      </c>
      <c r="H515" t="n">
        <v>0</v>
      </c>
      <c r="I515" t="n">
        <v>0</v>
      </c>
      <c r="J515" t="n">
        <v>0</v>
      </c>
      <c r="K515" t="n">
        <v>0</v>
      </c>
      <c r="L515" t="n">
        <v>0</v>
      </c>
      <c r="M515" t="n">
        <v>0</v>
      </c>
      <c r="N515" t="n">
        <v>0</v>
      </c>
      <c r="O515" t="n">
        <v>0</v>
      </c>
      <c r="P515" t="n">
        <v>0</v>
      </c>
      <c r="Q515" t="n">
        <v>0</v>
      </c>
      <c r="R515" s="2" t="inlineStr"/>
    </row>
    <row r="516" ht="15" customHeight="1">
      <c r="A516" t="inlineStr">
        <is>
          <t>A 17935-2026</t>
        </is>
      </c>
      <c r="B516" s="1" t="n">
        <v>46122</v>
      </c>
      <c r="C516" s="1" t="n">
        <v>46183</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62836-2025</t>
        </is>
      </c>
      <c r="B517" s="1" t="n">
        <v>46008</v>
      </c>
      <c r="C517" s="1" t="n">
        <v>46183</v>
      </c>
      <c r="D517" t="inlineStr">
        <is>
          <t>GOTLANDS LÄN</t>
        </is>
      </c>
      <c r="E517" t="inlineStr">
        <is>
          <t>GOTLAND</t>
        </is>
      </c>
      <c r="G517" t="n">
        <v>6.5</v>
      </c>
      <c r="H517" t="n">
        <v>0</v>
      </c>
      <c r="I517" t="n">
        <v>0</v>
      </c>
      <c r="J517" t="n">
        <v>0</v>
      </c>
      <c r="K517" t="n">
        <v>0</v>
      </c>
      <c r="L517" t="n">
        <v>0</v>
      </c>
      <c r="M517" t="n">
        <v>0</v>
      </c>
      <c r="N517" t="n">
        <v>0</v>
      </c>
      <c r="O517" t="n">
        <v>0</v>
      </c>
      <c r="P517" t="n">
        <v>0</v>
      </c>
      <c r="Q517" t="n">
        <v>0</v>
      </c>
      <c r="R517" s="2" t="inlineStr"/>
    </row>
    <row r="518" ht="15" customHeight="1">
      <c r="A518" t="inlineStr">
        <is>
          <t>A 7625-2026</t>
        </is>
      </c>
      <c r="B518" s="1" t="n">
        <v>46062.35135416667</v>
      </c>
      <c r="C518" s="1" t="n">
        <v>46183</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4639-2026</t>
        </is>
      </c>
      <c r="B519" s="1" t="n">
        <v>46048.39880787037</v>
      </c>
      <c r="C519" s="1" t="n">
        <v>46183</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19322-2026</t>
        </is>
      </c>
      <c r="B520" s="1" t="n">
        <v>46129</v>
      </c>
      <c r="C520" s="1" t="n">
        <v>46183</v>
      </c>
      <c r="D520" t="inlineStr">
        <is>
          <t>GOTLANDS LÄN</t>
        </is>
      </c>
      <c r="E520" t="inlineStr">
        <is>
          <t>GOTLAND</t>
        </is>
      </c>
      <c r="G520" t="n">
        <v>1</v>
      </c>
      <c r="H520" t="n">
        <v>0</v>
      </c>
      <c r="I520" t="n">
        <v>0</v>
      </c>
      <c r="J520" t="n">
        <v>0</v>
      </c>
      <c r="K520" t="n">
        <v>0</v>
      </c>
      <c r="L520" t="n">
        <v>0</v>
      </c>
      <c r="M520" t="n">
        <v>0</v>
      </c>
      <c r="N520" t="n">
        <v>0</v>
      </c>
      <c r="O520" t="n">
        <v>0</v>
      </c>
      <c r="P520" t="n">
        <v>0</v>
      </c>
      <c r="Q520" t="n">
        <v>0</v>
      </c>
      <c r="R520" s="2" t="inlineStr"/>
    </row>
    <row r="521" ht="15" customHeight="1">
      <c r="A521" t="inlineStr">
        <is>
          <t>A 5863-2026</t>
        </is>
      </c>
      <c r="B521" s="1" t="n">
        <v>46052</v>
      </c>
      <c r="C521" s="1" t="n">
        <v>46183</v>
      </c>
      <c r="D521" t="inlineStr">
        <is>
          <t>GOTLANDS LÄN</t>
        </is>
      </c>
      <c r="E521" t="inlineStr">
        <is>
          <t>GOTLAND</t>
        </is>
      </c>
      <c r="G521" t="n">
        <v>1.8</v>
      </c>
      <c r="H521" t="n">
        <v>0</v>
      </c>
      <c r="I521" t="n">
        <v>0</v>
      </c>
      <c r="J521" t="n">
        <v>0</v>
      </c>
      <c r="K521" t="n">
        <v>0</v>
      </c>
      <c r="L521" t="n">
        <v>0</v>
      </c>
      <c r="M521" t="n">
        <v>0</v>
      </c>
      <c r="N521" t="n">
        <v>0</v>
      </c>
      <c r="O521" t="n">
        <v>0</v>
      </c>
      <c r="P521" t="n">
        <v>0</v>
      </c>
      <c r="Q521" t="n">
        <v>0</v>
      </c>
      <c r="R521" s="2" t="inlineStr"/>
    </row>
    <row r="522" ht="15" customHeight="1">
      <c r="A522" t="inlineStr">
        <is>
          <t>A 18804-2026</t>
        </is>
      </c>
      <c r="B522" s="1" t="n">
        <v>46128.62366898148</v>
      </c>
      <c r="C522" s="1" t="n">
        <v>46183</v>
      </c>
      <c r="D522" t="inlineStr">
        <is>
          <t>GOTLANDS LÄN</t>
        </is>
      </c>
      <c r="E522" t="inlineStr">
        <is>
          <t>GOTLAND</t>
        </is>
      </c>
      <c r="F522" t="inlineStr">
        <is>
          <t>Kyrkan</t>
        </is>
      </c>
      <c r="G522" t="n">
        <v>2.6</v>
      </c>
      <c r="H522" t="n">
        <v>0</v>
      </c>
      <c r="I522" t="n">
        <v>0</v>
      </c>
      <c r="J522" t="n">
        <v>0</v>
      </c>
      <c r="K522" t="n">
        <v>0</v>
      </c>
      <c r="L522" t="n">
        <v>0</v>
      </c>
      <c r="M522" t="n">
        <v>0</v>
      </c>
      <c r="N522" t="n">
        <v>0</v>
      </c>
      <c r="O522" t="n">
        <v>0</v>
      </c>
      <c r="P522" t="n">
        <v>0</v>
      </c>
      <c r="Q522" t="n">
        <v>0</v>
      </c>
      <c r="R522" s="2" t="inlineStr"/>
    </row>
    <row r="523" ht="15" customHeight="1">
      <c r="A523" t="inlineStr">
        <is>
          <t>A 17943-2026</t>
        </is>
      </c>
      <c r="B523" s="1" t="n">
        <v>46122</v>
      </c>
      <c r="C523" s="1" t="n">
        <v>46183</v>
      </c>
      <c r="D523" t="inlineStr">
        <is>
          <t>GOTLANDS LÄN</t>
        </is>
      </c>
      <c r="E523" t="inlineStr">
        <is>
          <t>GOTLAND</t>
        </is>
      </c>
      <c r="G523" t="n">
        <v>2.8</v>
      </c>
      <c r="H523" t="n">
        <v>0</v>
      </c>
      <c r="I523" t="n">
        <v>0</v>
      </c>
      <c r="J523" t="n">
        <v>0</v>
      </c>
      <c r="K523" t="n">
        <v>0</v>
      </c>
      <c r="L523" t="n">
        <v>0</v>
      </c>
      <c r="M523" t="n">
        <v>0</v>
      </c>
      <c r="N523" t="n">
        <v>0</v>
      </c>
      <c r="O523" t="n">
        <v>0</v>
      </c>
      <c r="P523" t="n">
        <v>0</v>
      </c>
      <c r="Q523" t="n">
        <v>0</v>
      </c>
      <c r="R523" s="2" t="inlineStr"/>
    </row>
    <row r="524" ht="15" customHeight="1">
      <c r="A524" t="inlineStr">
        <is>
          <t>A 24448-2026</t>
        </is>
      </c>
      <c r="B524" s="1" t="n">
        <v>46170.35354166666</v>
      </c>
      <c r="C524" s="1" t="n">
        <v>46183</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883-2025</t>
        </is>
      </c>
      <c r="B525" s="1" t="n">
        <v>45665</v>
      </c>
      <c r="C525" s="1" t="n">
        <v>46183</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26467-2025</t>
        </is>
      </c>
      <c r="B526" s="1" t="n">
        <v>45807.44640046296</v>
      </c>
      <c r="C526" s="1" t="n">
        <v>46183</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29207-2025</t>
        </is>
      </c>
      <c r="B527" s="1" t="n">
        <v>45823</v>
      </c>
      <c r="C527" s="1" t="n">
        <v>46183</v>
      </c>
      <c r="D527" t="inlineStr">
        <is>
          <t>GOTLANDS LÄN</t>
        </is>
      </c>
      <c r="E527" t="inlineStr">
        <is>
          <t>GOTLAND</t>
        </is>
      </c>
      <c r="G527" t="n">
        <v>1.9</v>
      </c>
      <c r="H527" t="n">
        <v>0</v>
      </c>
      <c r="I527" t="n">
        <v>0</v>
      </c>
      <c r="J527" t="n">
        <v>0</v>
      </c>
      <c r="K527" t="n">
        <v>0</v>
      </c>
      <c r="L527" t="n">
        <v>0</v>
      </c>
      <c r="M527" t="n">
        <v>0</v>
      </c>
      <c r="N527" t="n">
        <v>0</v>
      </c>
      <c r="O527" t="n">
        <v>0</v>
      </c>
      <c r="P527" t="n">
        <v>0</v>
      </c>
      <c r="Q527" t="n">
        <v>0</v>
      </c>
      <c r="R527" s="2" t="inlineStr"/>
    </row>
    <row r="528" ht="15" customHeight="1">
      <c r="A528" t="inlineStr">
        <is>
          <t>A 25796-2025</t>
        </is>
      </c>
      <c r="B528" s="1" t="n">
        <v>45804.39543981481</v>
      </c>
      <c r="C528" s="1" t="n">
        <v>46183</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2180-2025</t>
        </is>
      </c>
      <c r="B529" s="1" t="n">
        <v>45673</v>
      </c>
      <c r="C529" s="1" t="n">
        <v>46183</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62754-2025</t>
        </is>
      </c>
      <c r="B530" s="1" t="n">
        <v>46008</v>
      </c>
      <c r="C530" s="1" t="n">
        <v>46183</v>
      </c>
      <c r="D530" t="inlineStr">
        <is>
          <t>GOTLANDS LÄN</t>
        </is>
      </c>
      <c r="E530" t="inlineStr">
        <is>
          <t>GOTLAND</t>
        </is>
      </c>
      <c r="F530" t="inlineStr">
        <is>
          <t>Övriga Aktiebolag</t>
        </is>
      </c>
      <c r="G530" t="n">
        <v>2.9</v>
      </c>
      <c r="H530" t="n">
        <v>0</v>
      </c>
      <c r="I530" t="n">
        <v>0</v>
      </c>
      <c r="J530" t="n">
        <v>0</v>
      </c>
      <c r="K530" t="n">
        <v>0</v>
      </c>
      <c r="L530" t="n">
        <v>0</v>
      </c>
      <c r="M530" t="n">
        <v>0</v>
      </c>
      <c r="N530" t="n">
        <v>0</v>
      </c>
      <c r="O530" t="n">
        <v>0</v>
      </c>
      <c r="P530" t="n">
        <v>0</v>
      </c>
      <c r="Q530" t="n">
        <v>0</v>
      </c>
      <c r="R530" s="2" t="inlineStr"/>
    </row>
    <row r="531" ht="15" customHeight="1">
      <c r="A531" t="inlineStr">
        <is>
          <t>A 20225-2025</t>
        </is>
      </c>
      <c r="B531" s="1" t="n">
        <v>45772.65802083333</v>
      </c>
      <c r="C531" s="1" t="n">
        <v>46183</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32379-2025</t>
        </is>
      </c>
      <c r="B532" s="1" t="n">
        <v>45837</v>
      </c>
      <c r="C532" s="1" t="n">
        <v>46183</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45112-2024</t>
        </is>
      </c>
      <c r="B533" s="1" t="n">
        <v>45575</v>
      </c>
      <c r="C533" s="1" t="n">
        <v>46183</v>
      </c>
      <c r="D533" t="inlineStr">
        <is>
          <t>GOTLANDS LÄN</t>
        </is>
      </c>
      <c r="E533" t="inlineStr">
        <is>
          <t>GOTLAND</t>
        </is>
      </c>
      <c r="G533" t="n">
        <v>5.1</v>
      </c>
      <c r="H533" t="n">
        <v>0</v>
      </c>
      <c r="I533" t="n">
        <v>0</v>
      </c>
      <c r="J533" t="n">
        <v>0</v>
      </c>
      <c r="K533" t="n">
        <v>0</v>
      </c>
      <c r="L533" t="n">
        <v>0</v>
      </c>
      <c r="M533" t="n">
        <v>0</v>
      </c>
      <c r="N533" t="n">
        <v>0</v>
      </c>
      <c r="O533" t="n">
        <v>0</v>
      </c>
      <c r="P533" t="n">
        <v>0</v>
      </c>
      <c r="Q533" t="n">
        <v>0</v>
      </c>
      <c r="R533" s="2" t="inlineStr"/>
    </row>
    <row r="534" ht="15" customHeight="1">
      <c r="A534" t="inlineStr">
        <is>
          <t>A 1854-2026</t>
        </is>
      </c>
      <c r="B534" s="1" t="n">
        <v>46035</v>
      </c>
      <c r="C534" s="1" t="n">
        <v>46183</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13910-2025</t>
        </is>
      </c>
      <c r="B535" s="1" t="n">
        <v>45737</v>
      </c>
      <c r="C535" s="1" t="n">
        <v>46183</v>
      </c>
      <c r="D535" t="inlineStr">
        <is>
          <t>GOTLANDS LÄN</t>
        </is>
      </c>
      <c r="E535" t="inlineStr">
        <is>
          <t>GOTLAND</t>
        </is>
      </c>
      <c r="F535" t="inlineStr">
        <is>
          <t>Kommuner</t>
        </is>
      </c>
      <c r="G535" t="n">
        <v>3.2</v>
      </c>
      <c r="H535" t="n">
        <v>0</v>
      </c>
      <c r="I535" t="n">
        <v>0</v>
      </c>
      <c r="J535" t="n">
        <v>0</v>
      </c>
      <c r="K535" t="n">
        <v>0</v>
      </c>
      <c r="L535" t="n">
        <v>0</v>
      </c>
      <c r="M535" t="n">
        <v>0</v>
      </c>
      <c r="N535" t="n">
        <v>0</v>
      </c>
      <c r="O535" t="n">
        <v>0</v>
      </c>
      <c r="P535" t="n">
        <v>0</v>
      </c>
      <c r="Q535" t="n">
        <v>0</v>
      </c>
      <c r="R535" s="2" t="inlineStr"/>
    </row>
    <row r="536" ht="15" customHeight="1">
      <c r="A536" t="inlineStr">
        <is>
          <t>A 6959-2026</t>
        </is>
      </c>
      <c r="B536" s="1" t="n">
        <v>46057.580625</v>
      </c>
      <c r="C536" s="1" t="n">
        <v>46183</v>
      </c>
      <c r="D536" t="inlineStr">
        <is>
          <t>GOTLANDS LÄN</t>
        </is>
      </c>
      <c r="E536" t="inlineStr">
        <is>
          <t>GOTLAND</t>
        </is>
      </c>
      <c r="F536" t="inlineStr">
        <is>
          <t>Kyrkan</t>
        </is>
      </c>
      <c r="G536" t="n">
        <v>1.2</v>
      </c>
      <c r="H536" t="n">
        <v>0</v>
      </c>
      <c r="I536" t="n">
        <v>0</v>
      </c>
      <c r="J536" t="n">
        <v>0</v>
      </c>
      <c r="K536" t="n">
        <v>0</v>
      </c>
      <c r="L536" t="n">
        <v>0</v>
      </c>
      <c r="M536" t="n">
        <v>0</v>
      </c>
      <c r="N536" t="n">
        <v>0</v>
      </c>
      <c r="O536" t="n">
        <v>0</v>
      </c>
      <c r="P536" t="n">
        <v>0</v>
      </c>
      <c r="Q536" t="n">
        <v>0</v>
      </c>
      <c r="R536" s="2" t="inlineStr"/>
    </row>
    <row r="537">
      <c r="A537" t="inlineStr">
        <is>
          <t>A 38165-2023</t>
        </is>
      </c>
      <c r="B537" s="1" t="n">
        <v>45161</v>
      </c>
      <c r="C537" s="1" t="n">
        <v>46183</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2026-06-10T09:24:24Z</dcterms:created>
  <dcterms:modified xmlns:dcterms="http://purl.org/dc/terms/" xmlns:xsi="http://www.w3.org/2001/XMLSchema-instance" xsi:type="dcterms:W3CDTF">2026-06-10T09:24:25Z</dcterms:modified>
</cp:coreProperties>
</file>