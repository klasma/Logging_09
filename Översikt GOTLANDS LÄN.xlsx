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46171</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46171</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46171</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46171</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46171</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46171</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46171</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46171</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46171</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34100-2024</t>
        </is>
      </c>
      <c r="B21" s="1" t="n">
        <v>45523</v>
      </c>
      <c r="C21" s="1" t="n">
        <v>46171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46171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46171</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46171</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17762-2024</t>
        </is>
      </c>
      <c r="B25" s="1" t="n">
        <v>45418</v>
      </c>
      <c r="C25" s="1" t="n">
        <v>46171</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62132-2023</t>
        </is>
      </c>
      <c r="B26" s="1" t="n">
        <v>45267</v>
      </c>
      <c r="C26" s="1" t="n">
        <v>46171</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61697-2023</t>
        </is>
      </c>
      <c r="B27" s="1" t="n">
        <v>45265</v>
      </c>
      <c r="C27" s="1" t="n">
        <v>46171</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2222-2024</t>
        </is>
      </c>
      <c r="B28" s="1" t="n">
        <v>45309</v>
      </c>
      <c r="C28" s="1" t="n">
        <v>46171</v>
      </c>
      <c r="D28" t="inlineStr">
        <is>
          <t>GOTLANDS LÄN</t>
        </is>
      </c>
      <c r="E28" t="inlineStr">
        <is>
          <t>GOTLAND</t>
        </is>
      </c>
      <c r="F28" t="inlineStr">
        <is>
          <t>Kyrkan</t>
        </is>
      </c>
      <c r="G28" t="n">
        <v>10.6</v>
      </c>
      <c r="H28" t="n">
        <v>0</v>
      </c>
      <c r="I28" t="n">
        <v>6</v>
      </c>
      <c r="J28" t="n">
        <v>3</v>
      </c>
      <c r="K28" t="n">
        <v>5</v>
      </c>
      <c r="L28" t="n">
        <v>0</v>
      </c>
      <c r="M28" t="n">
        <v>0</v>
      </c>
      <c r="N28" t="n">
        <v>0</v>
      </c>
      <c r="O28" t="n">
        <v>8</v>
      </c>
      <c r="P28" t="n">
        <v>5</v>
      </c>
      <c r="Q28" t="n">
        <v>14</v>
      </c>
      <c r="R28" s="2" t="inlineStr">
        <is>
          <t>Granrotspindling
Gulsträngad fagerspindling
Svartgrön spindling
Tvillingspindling
Vit taggsvamp
Denisespindling
Odörspindling
Svinrot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25779-2022</t>
        </is>
      </c>
      <c r="B29" s="1" t="n">
        <v>44733</v>
      </c>
      <c r="C29" s="1" t="n">
        <v>46171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44928-2022</t>
        </is>
      </c>
      <c r="B30" s="1" t="n">
        <v>44841</v>
      </c>
      <c r="C30" s="1" t="n">
        <v>46171</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46171</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46171</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46171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46171</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61664-2023</t>
        </is>
      </c>
      <c r="B35" s="1" t="n">
        <v>45265</v>
      </c>
      <c r="C35" s="1" t="n">
        <v>46171</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46171</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63872-2021</t>
        </is>
      </c>
      <c r="B37" s="1" t="n">
        <v>44509</v>
      </c>
      <c r="C37" s="1" t="n">
        <v>46171</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46171</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37037-2021</t>
        </is>
      </c>
      <c r="B39" s="1" t="n">
        <v>44393.84688657407</v>
      </c>
      <c r="C39" s="1" t="n">
        <v>46171</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46171</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46171</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52223-2025</t>
        </is>
      </c>
      <c r="B42" s="1" t="n">
        <v>45953.44509259259</v>
      </c>
      <c r="C42" s="1" t="n">
        <v>46171</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10274-2026</t>
        </is>
      </c>
      <c r="B43" s="1" t="n">
        <v>46076</v>
      </c>
      <c r="C43" s="1" t="n">
        <v>46171</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43201-2023</t>
        </is>
      </c>
      <c r="B44" s="1" t="n">
        <v>45183</v>
      </c>
      <c r="C44" s="1" t="n">
        <v>46171</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17766-2024</t>
        </is>
      </c>
      <c r="B45" s="1" t="n">
        <v>45418</v>
      </c>
      <c r="C45" s="1" t="n">
        <v>46171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45248-2024</t>
        </is>
      </c>
      <c r="B46" s="1" t="n">
        <v>45576</v>
      </c>
      <c r="C46" s="1" t="n">
        <v>46171</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27280-2023</t>
        </is>
      </c>
      <c r="B47" s="1" t="n">
        <v>45096</v>
      </c>
      <c r="C47" s="1" t="n">
        <v>46171</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1719-2025</t>
        </is>
      </c>
      <c r="B48" s="1" t="n">
        <v>45671</v>
      </c>
      <c r="C48" s="1" t="n">
        <v>46171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46171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46171</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46171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46171</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46171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46171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46171</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46171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46171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46171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46171</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46171</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46171</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46171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46171</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46171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46171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46171</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446-2023</t>
        </is>
      </c>
      <c r="B69" s="1" t="n">
        <v>44929</v>
      </c>
      <c r="C69" s="1" t="n">
        <v>46171</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46171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54527-2023</t>
        </is>
      </c>
      <c r="B71" s="1" t="n">
        <v>45233</v>
      </c>
      <c r="C71" s="1" t="n">
        <v>46171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46171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46171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46171</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46171</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46171</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46171</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46171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46171</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46171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46171</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46171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6839-2026</t>
        </is>
      </c>
      <c r="B83" s="1" t="n">
        <v>46057.41193287037</v>
      </c>
      <c r="C83" s="1" t="n">
        <v>46171</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46171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46171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46171</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46171</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6159-2023</t>
        </is>
      </c>
      <c r="B88" s="1" t="n">
        <v>44964</v>
      </c>
      <c r="C88" s="1" t="n">
        <v>46171</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40099-2025</t>
        </is>
      </c>
      <c r="B89" s="1" t="n">
        <v>45894.48462962963</v>
      </c>
      <c r="C89" s="1" t="n">
        <v>46171</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43197-2023</t>
        </is>
      </c>
      <c r="B90" s="1" t="n">
        <v>45183</v>
      </c>
      <c r="C90" s="1" t="n">
        <v>46171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46171</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52250-2025</t>
        </is>
      </c>
      <c r="B92" s="1" t="n">
        <v>45953.48998842593</v>
      </c>
      <c r="C92" s="1" t="n">
        <v>46171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54523-2023</t>
        </is>
      </c>
      <c r="B93" s="1" t="n">
        <v>45233</v>
      </c>
      <c r="C93" s="1" t="n">
        <v>46171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44933-2022</t>
        </is>
      </c>
      <c r="B94" s="1" t="n">
        <v>44841</v>
      </c>
      <c r="C94" s="1" t="n">
        <v>46171</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46171</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46171</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46171</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20833-2024</t>
        </is>
      </c>
      <c r="B98" s="1" t="n">
        <v>45439</v>
      </c>
      <c r="C98" s="1" t="n">
        <v>46171</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8265-2023</t>
        </is>
      </c>
      <c r="B99" s="1" t="n">
        <v>44974</v>
      </c>
      <c r="C99" s="1" t="n">
        <v>46171</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57463-2025</t>
        </is>
      </c>
      <c r="B100" s="1" t="n">
        <v>45980</v>
      </c>
      <c r="C100" s="1" t="n">
        <v>46171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186-2023</t>
        </is>
      </c>
      <c r="B101" s="1" t="n">
        <v>44928</v>
      </c>
      <c r="C101" s="1" t="n">
        <v>46171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46171</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46171</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46171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55334-2024</t>
        </is>
      </c>
      <c r="B107" s="1" t="n">
        <v>45621</v>
      </c>
      <c r="C107" s="1" t="n">
        <v>46171</v>
      </c>
      <c r="D107" t="inlineStr">
        <is>
          <t>GOTLANDS LÄN</t>
        </is>
      </c>
      <c r="E107" t="inlineStr">
        <is>
          <t>GOTLAND</t>
        </is>
      </c>
      <c r="G107" t="n">
        <v>21.7</v>
      </c>
      <c r="H107" t="n">
        <v>0</v>
      </c>
      <c r="I107" t="n">
        <v>3</v>
      </c>
      <c r="J107" t="n">
        <v>0</v>
      </c>
      <c r="K107" t="n">
        <v>0</v>
      </c>
      <c r="L107" t="n">
        <v>0</v>
      </c>
      <c r="M107" t="n">
        <v>0</v>
      </c>
      <c r="N107" t="n">
        <v>0</v>
      </c>
      <c r="O107" t="n">
        <v>0</v>
      </c>
      <c r="P107" t="n">
        <v>0</v>
      </c>
      <c r="Q107" t="n">
        <v>3</v>
      </c>
      <c r="R107" s="2" t="inlineStr">
        <is>
          <t>Anisspindling
Besk kastanjemusseron
Svavelriska</t>
        </is>
      </c>
      <c r="S107">
        <f>HYPERLINK("https://klasma.github.io/Logging_0980/artfynd/A 55334-2024 artfynd.xlsx", "A 55334-2024")</f>
        <v/>
      </c>
      <c r="T107">
        <f>HYPERLINK("https://klasma.github.io/Logging_0980/kartor/A 55334-2024 karta.png", "A 55334-2024")</f>
        <v/>
      </c>
      <c r="V107">
        <f>HYPERLINK("https://klasma.github.io/Logging_0980/klagomål/A 55334-2024 FSC-klagomål.docx", "A 55334-2024")</f>
        <v/>
      </c>
      <c r="W107">
        <f>HYPERLINK("https://klasma.github.io/Logging_0980/klagomålsmail/A 55334-2024 FSC-klagomål mail.docx", "A 55334-2024")</f>
        <v/>
      </c>
      <c r="X107">
        <f>HYPERLINK("https://klasma.github.io/Logging_0980/tillsyn/A 55334-2024 tillsynsbegäran.docx", "A 55334-2024")</f>
        <v/>
      </c>
      <c r="Y107">
        <f>HYPERLINK("https://klasma.github.io/Logging_0980/tillsynsmail/A 55334-2024 tillsynsbegäran mail.docx", "A 55334-2024")</f>
        <v/>
      </c>
    </row>
    <row r="108" ht="15" customHeight="1">
      <c r="A108" t="inlineStr">
        <is>
          <t>A 30490-2025</t>
        </is>
      </c>
      <c r="B108" s="1" t="n">
        <v>45830</v>
      </c>
      <c r="C108" s="1" t="n">
        <v>46171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49709-2025</t>
        </is>
      </c>
      <c r="B109" s="1" t="n">
        <v>45939.68228009259</v>
      </c>
      <c r="C109" s="1" t="n">
        <v>46171</v>
      </c>
      <c r="D109" t="inlineStr">
        <is>
          <t>GOTLANDS LÄN</t>
        </is>
      </c>
      <c r="E109" t="inlineStr">
        <is>
          <t>GOTLAND</t>
        </is>
      </c>
      <c r="G109" t="n">
        <v>10.2</v>
      </c>
      <c r="H109" t="n">
        <v>0</v>
      </c>
      <c r="I109" t="n">
        <v>2</v>
      </c>
      <c r="J109" t="n">
        <v>1</v>
      </c>
      <c r="K109" t="n">
        <v>0</v>
      </c>
      <c r="L109" t="n">
        <v>0</v>
      </c>
      <c r="M109" t="n">
        <v>0</v>
      </c>
      <c r="N109" t="n">
        <v>0</v>
      </c>
      <c r="O109" t="n">
        <v>1</v>
      </c>
      <c r="P109" t="n">
        <v>0</v>
      </c>
      <c r="Q109" t="n">
        <v>3</v>
      </c>
      <c r="R109" s="2" t="inlineStr">
        <is>
          <t>Tallticka
Blåmossa
Grovticka</t>
        </is>
      </c>
      <c r="S109">
        <f>HYPERLINK("https://klasma.github.io/Logging_0980/artfynd/A 49709-2025 artfynd.xlsx", "A 49709-2025")</f>
        <v/>
      </c>
      <c r="T109">
        <f>HYPERLINK("https://klasma.github.io/Logging_0980/kartor/A 49709-2025 karta.png", "A 49709-2025")</f>
        <v/>
      </c>
      <c r="V109">
        <f>HYPERLINK("https://klasma.github.io/Logging_0980/klagomål/A 49709-2025 FSC-klagomål.docx", "A 49709-2025")</f>
        <v/>
      </c>
      <c r="W109">
        <f>HYPERLINK("https://klasma.github.io/Logging_0980/klagomålsmail/A 49709-2025 FSC-klagomål mail.docx", "A 49709-2025")</f>
        <v/>
      </c>
      <c r="X109">
        <f>HYPERLINK("https://klasma.github.io/Logging_0980/tillsyn/A 49709-2025 tillsynsbegäran.docx", "A 49709-2025")</f>
        <v/>
      </c>
      <c r="Y109">
        <f>HYPERLINK("https://klasma.github.io/Logging_0980/tillsynsmail/A 49709-2025 tillsynsbegäran mail.docx", "A 49709-2025")</f>
        <v/>
      </c>
    </row>
    <row r="110" ht="15" customHeight="1">
      <c r="A110" t="inlineStr">
        <is>
          <t>A 43013-2022</t>
        </is>
      </c>
      <c r="B110" s="1" t="n">
        <v>44833</v>
      </c>
      <c r="C110" s="1" t="n">
        <v>46171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46171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46171</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17982-2023</t>
        </is>
      </c>
      <c r="B113" s="1" t="n">
        <v>45040</v>
      </c>
      <c r="C113" s="1" t="n">
        <v>46171</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46171</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46171</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46171</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46171</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46171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73144-2021</t>
        </is>
      </c>
      <c r="B119" s="1" t="n">
        <v>44550</v>
      </c>
      <c r="C119" s="1" t="n">
        <v>46171</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29870-2021</t>
        </is>
      </c>
      <c r="B120" s="1" t="n">
        <v>44362</v>
      </c>
      <c r="C120" s="1" t="n">
        <v>46171</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46171</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46171</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46171</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46171</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20429-2025</t>
        </is>
      </c>
      <c r="B125" s="1" t="n">
        <v>45775.47728009259</v>
      </c>
      <c r="C125" s="1" t="n">
        <v>46171</v>
      </c>
      <c r="D125" t="inlineStr">
        <is>
          <t>GOTLANDS LÄN</t>
        </is>
      </c>
      <c r="E125" t="inlineStr">
        <is>
          <t>GOTLAND</t>
        </is>
      </c>
      <c r="G125" t="n">
        <v>1.4</v>
      </c>
      <c r="H125" t="n">
        <v>2</v>
      </c>
      <c r="I125" t="n">
        <v>0</v>
      </c>
      <c r="J125" t="n">
        <v>0</v>
      </c>
      <c r="K125" t="n">
        <v>0</v>
      </c>
      <c r="L125" t="n">
        <v>0</v>
      </c>
      <c r="M125" t="n">
        <v>0</v>
      </c>
      <c r="N125" t="n">
        <v>0</v>
      </c>
      <c r="O125" t="n">
        <v>0</v>
      </c>
      <c r="P125" t="n">
        <v>0</v>
      </c>
      <c r="Q125" t="n">
        <v>2</v>
      </c>
      <c r="R125" s="2" t="inlineStr">
        <is>
          <t>Lopplummer (aggregat)
Äkta lopplummer</t>
        </is>
      </c>
      <c r="S125">
        <f>HYPERLINK("https://klasma.github.io/Logging_0980/artfynd/A 20429-2025 artfynd.xlsx", "A 20429-2025")</f>
        <v/>
      </c>
      <c r="T125">
        <f>HYPERLINK("https://klasma.github.io/Logging_0980/kartor/A 20429-2025 karta.png", "A 20429-2025")</f>
        <v/>
      </c>
      <c r="V125">
        <f>HYPERLINK("https://klasma.github.io/Logging_0980/klagomål/A 20429-2025 FSC-klagomål.docx", "A 20429-2025")</f>
        <v/>
      </c>
      <c r="W125">
        <f>HYPERLINK("https://klasma.github.io/Logging_0980/klagomålsmail/A 20429-2025 FSC-klagomål mail.docx", "A 20429-2025")</f>
        <v/>
      </c>
      <c r="X125">
        <f>HYPERLINK("https://klasma.github.io/Logging_0980/tillsyn/A 20429-2025 tillsynsbegäran.docx", "A 20429-2025")</f>
        <v/>
      </c>
      <c r="Y125">
        <f>HYPERLINK("https://klasma.github.io/Logging_0980/tillsynsmail/A 20429-2025 tillsynsbegäran mail.docx", "A 20429-2025")</f>
        <v/>
      </c>
    </row>
    <row r="126" ht="15" customHeight="1">
      <c r="A126" t="inlineStr">
        <is>
          <t>A 62760-2025</t>
        </is>
      </c>
      <c r="B126" s="1" t="n">
        <v>46008</v>
      </c>
      <c r="C126" s="1" t="n">
        <v>46171</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46171</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20838-2024</t>
        </is>
      </c>
      <c r="B128" s="1" t="n">
        <v>45439</v>
      </c>
      <c r="C128" s="1" t="n">
        <v>46171</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54357-2024</t>
        </is>
      </c>
      <c r="B129" s="1" t="n">
        <v>45617.40662037037</v>
      </c>
      <c r="C129" s="1" t="n">
        <v>46171</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7070-2022</t>
        </is>
      </c>
      <c r="B130" s="1" t="n">
        <v>44603</v>
      </c>
      <c r="C130" s="1" t="n">
        <v>46171</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46171</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46171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46171</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46171</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16997-2026</t>
        </is>
      </c>
      <c r="B135" s="1" t="n">
        <v>46114.42539351852</v>
      </c>
      <c r="C135" s="1" t="n">
        <v>46171</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17328-2026</t>
        </is>
      </c>
      <c r="B136" s="1" t="n">
        <v>46119.61216435185</v>
      </c>
      <c r="C136" s="1" t="n">
        <v>46171</v>
      </c>
      <c r="D136" t="inlineStr">
        <is>
          <t>GOTLANDS LÄN</t>
        </is>
      </c>
      <c r="E136" t="inlineStr">
        <is>
          <t>GOTLAND</t>
        </is>
      </c>
      <c r="F136" t="inlineStr">
        <is>
          <t>Kyrkan</t>
        </is>
      </c>
      <c r="G136" t="n">
        <v>4</v>
      </c>
      <c r="H136" t="n">
        <v>1</v>
      </c>
      <c r="I136" t="n">
        <v>0</v>
      </c>
      <c r="J136" t="n">
        <v>2</v>
      </c>
      <c r="K136" t="n">
        <v>0</v>
      </c>
      <c r="L136" t="n">
        <v>0</v>
      </c>
      <c r="M136" t="n">
        <v>0</v>
      </c>
      <c r="N136" t="n">
        <v>0</v>
      </c>
      <c r="O136" t="n">
        <v>2</v>
      </c>
      <c r="P136" t="n">
        <v>0</v>
      </c>
      <c r="Q136" t="n">
        <v>2</v>
      </c>
      <c r="R136" s="2" t="inlineStr">
        <is>
          <t>Backtimjan
Spillkråka</t>
        </is>
      </c>
      <c r="S136">
        <f>HYPERLINK("https://klasma.github.io/Logging_0980/artfynd/A 17328-2026 artfynd.xlsx", "A 17328-2026")</f>
        <v/>
      </c>
      <c r="T136">
        <f>HYPERLINK("https://klasma.github.io/Logging_0980/kartor/A 17328-2026 karta.png", "A 17328-2026")</f>
        <v/>
      </c>
      <c r="V136">
        <f>HYPERLINK("https://klasma.github.io/Logging_0980/klagomål/A 17328-2026 FSC-klagomål.docx", "A 17328-2026")</f>
        <v/>
      </c>
      <c r="W136">
        <f>HYPERLINK("https://klasma.github.io/Logging_0980/klagomålsmail/A 17328-2026 FSC-klagomål mail.docx", "A 17328-2026")</f>
        <v/>
      </c>
      <c r="X136">
        <f>HYPERLINK("https://klasma.github.io/Logging_0980/tillsyn/A 17328-2026 tillsynsbegäran.docx", "A 17328-2026")</f>
        <v/>
      </c>
      <c r="Y136">
        <f>HYPERLINK("https://klasma.github.io/Logging_0980/tillsynsmail/A 17328-2026 tillsynsbegäran mail.docx", "A 17328-2026")</f>
        <v/>
      </c>
      <c r="Z136">
        <f>HYPERLINK("https://klasma.github.io/Logging_0980/fåglar/A 17328-2026 prioriterade fågelarter.docx", "A 17328-2026")</f>
        <v/>
      </c>
    </row>
    <row r="137" ht="15" customHeight="1">
      <c r="A137" t="inlineStr">
        <is>
          <t>A 28276-2024</t>
        </is>
      </c>
      <c r="B137" s="1" t="n">
        <v>45477</v>
      </c>
      <c r="C137" s="1" t="n">
        <v>46171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46171</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46171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46171</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46171</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10440-2024</t>
        </is>
      </c>
      <c r="B142" s="1" t="n">
        <v>45366.32818287037</v>
      </c>
      <c r="C142" s="1" t="n">
        <v>46171</v>
      </c>
      <c r="D142" t="inlineStr">
        <is>
          <t>GOTLANDS LÄN</t>
        </is>
      </c>
      <c r="E142" t="inlineStr">
        <is>
          <t>GOTLAND</t>
        </is>
      </c>
      <c r="G142" t="n">
        <v>2.5</v>
      </c>
      <c r="H142" t="n">
        <v>1</v>
      </c>
      <c r="I142" t="n">
        <v>0</v>
      </c>
      <c r="J142" t="n">
        <v>1</v>
      </c>
      <c r="K142" t="n">
        <v>0</v>
      </c>
      <c r="L142" t="n">
        <v>0</v>
      </c>
      <c r="M142" t="n">
        <v>0</v>
      </c>
      <c r="N142" t="n">
        <v>0</v>
      </c>
      <c r="O142" t="n">
        <v>1</v>
      </c>
      <c r="P142" t="n">
        <v>0</v>
      </c>
      <c r="Q142" t="n">
        <v>1</v>
      </c>
      <c r="R142" s="2" t="inlineStr">
        <is>
          <t>Mindre hackspett</t>
        </is>
      </c>
      <c r="S142">
        <f>HYPERLINK("https://klasma.github.io/Logging_0980/artfynd/A 10440-2024 artfynd.xlsx", "A 10440-2024")</f>
        <v/>
      </c>
      <c r="T142">
        <f>HYPERLINK("https://klasma.github.io/Logging_0980/kartor/A 10440-2024 karta.png", "A 10440-2024")</f>
        <v/>
      </c>
      <c r="V142">
        <f>HYPERLINK("https://klasma.github.io/Logging_0980/klagomål/A 10440-2024 FSC-klagomål.docx", "A 10440-2024")</f>
        <v/>
      </c>
      <c r="W142">
        <f>HYPERLINK("https://klasma.github.io/Logging_0980/klagomålsmail/A 10440-2024 FSC-klagomål mail.docx", "A 10440-2024")</f>
        <v/>
      </c>
      <c r="X142">
        <f>HYPERLINK("https://klasma.github.io/Logging_0980/tillsyn/A 10440-2024 tillsynsbegäran.docx", "A 10440-2024")</f>
        <v/>
      </c>
      <c r="Y142">
        <f>HYPERLINK("https://klasma.github.io/Logging_0980/tillsynsmail/A 10440-2024 tillsynsbegäran mail.docx", "A 10440-2024")</f>
        <v/>
      </c>
      <c r="Z142">
        <f>HYPERLINK("https://klasma.github.io/Logging_0980/fåglar/A 10440-2024 prioriterade fågelarter.docx", "A 10440-2024")</f>
        <v/>
      </c>
    </row>
    <row r="143" ht="15" customHeight="1">
      <c r="A143" t="inlineStr">
        <is>
          <t>A 44304-2021</t>
        </is>
      </c>
      <c r="B143" s="1" t="n">
        <v>44434</v>
      </c>
      <c r="C143" s="1" t="n">
        <v>46171</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39812-2025</t>
        </is>
      </c>
      <c r="B144" s="1" t="n">
        <v>45891</v>
      </c>
      <c r="C144" s="1" t="n">
        <v>46171</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25977-2024</t>
        </is>
      </c>
      <c r="B145" s="1" t="n">
        <v>45467.69356481481</v>
      </c>
      <c r="C145" s="1" t="n">
        <v>46171</v>
      </c>
      <c r="D145" t="inlineStr">
        <is>
          <t>GOTLANDS LÄN</t>
        </is>
      </c>
      <c r="E145" t="inlineStr">
        <is>
          <t>GOTLAND</t>
        </is>
      </c>
      <c r="G145" t="n">
        <v>3</v>
      </c>
      <c r="H145" t="n">
        <v>1</v>
      </c>
      <c r="I145" t="n">
        <v>0</v>
      </c>
      <c r="J145" t="n">
        <v>0</v>
      </c>
      <c r="K145" t="n">
        <v>0</v>
      </c>
      <c r="L145" t="n">
        <v>0</v>
      </c>
      <c r="M145" t="n">
        <v>0</v>
      </c>
      <c r="N145" t="n">
        <v>0</v>
      </c>
      <c r="O145" t="n">
        <v>0</v>
      </c>
      <c r="P145" t="n">
        <v>0</v>
      </c>
      <c r="Q145" t="n">
        <v>1</v>
      </c>
      <c r="R145" s="2" t="inlineStr">
        <is>
          <t>Nattviol</t>
        </is>
      </c>
      <c r="S145">
        <f>HYPERLINK("https://klasma.github.io/Logging_0980/artfynd/A 25977-2024 artfynd.xlsx", "A 25977-2024")</f>
        <v/>
      </c>
      <c r="T145">
        <f>HYPERLINK("https://klasma.github.io/Logging_0980/kartor/A 25977-2024 karta.png", "A 25977-2024")</f>
        <v/>
      </c>
      <c r="V145">
        <f>HYPERLINK("https://klasma.github.io/Logging_0980/klagomål/A 25977-2024 FSC-klagomål.docx", "A 25977-2024")</f>
        <v/>
      </c>
      <c r="W145">
        <f>HYPERLINK("https://klasma.github.io/Logging_0980/klagomålsmail/A 25977-2024 FSC-klagomål mail.docx", "A 25977-2024")</f>
        <v/>
      </c>
      <c r="X145">
        <f>HYPERLINK("https://klasma.github.io/Logging_0980/tillsyn/A 25977-2024 tillsynsbegäran.docx", "A 25977-2024")</f>
        <v/>
      </c>
      <c r="Y145">
        <f>HYPERLINK("https://klasma.github.io/Logging_0980/tillsynsmail/A 25977-2024 tillsynsbegäran mail.docx", "A 25977-2024")</f>
        <v/>
      </c>
    </row>
    <row r="146" ht="15" customHeight="1">
      <c r="A146" t="inlineStr">
        <is>
          <t>A 65927-2021</t>
        </is>
      </c>
      <c r="B146" s="1" t="n">
        <v>44516</v>
      </c>
      <c r="C146" s="1" t="n">
        <v>46171</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26461-2025</t>
        </is>
      </c>
      <c r="B147" s="1" t="n">
        <v>45807.43337962963</v>
      </c>
      <c r="C147" s="1" t="n">
        <v>46171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6739-2025</t>
        </is>
      </c>
      <c r="B148" s="1" t="n">
        <v>45700</v>
      </c>
      <c r="C148" s="1" t="n">
        <v>46171</v>
      </c>
      <c r="D148" t="inlineStr">
        <is>
          <t>GOTLANDS LÄN</t>
        </is>
      </c>
      <c r="E148" t="inlineStr">
        <is>
          <t>GOTLAND</t>
        </is>
      </c>
      <c r="G148" t="n">
        <v>4.5</v>
      </c>
      <c r="H148" t="n">
        <v>1</v>
      </c>
      <c r="I148" t="n">
        <v>0</v>
      </c>
      <c r="J148" t="n">
        <v>0</v>
      </c>
      <c r="K148" t="n">
        <v>0</v>
      </c>
      <c r="L148" t="n">
        <v>0</v>
      </c>
      <c r="M148" t="n">
        <v>0</v>
      </c>
      <c r="N148" t="n">
        <v>0</v>
      </c>
      <c r="O148" t="n">
        <v>0</v>
      </c>
      <c r="P148" t="n">
        <v>0</v>
      </c>
      <c r="Q148" t="n">
        <v>1</v>
      </c>
      <c r="R148" s="2" t="inlineStr">
        <is>
          <t>Röd glada</t>
        </is>
      </c>
      <c r="S148">
        <f>HYPERLINK("https://klasma.github.io/Logging_0980/artfynd/A 6739-2025 artfynd.xlsx", "A 6739-2025")</f>
        <v/>
      </c>
      <c r="T148">
        <f>HYPERLINK("https://klasma.github.io/Logging_0980/kartor/A 6739-2025 karta.png", "A 6739-2025")</f>
        <v/>
      </c>
      <c r="V148">
        <f>HYPERLINK("https://klasma.github.io/Logging_0980/klagomål/A 6739-2025 FSC-klagomål.docx", "A 6739-2025")</f>
        <v/>
      </c>
      <c r="W148">
        <f>HYPERLINK("https://klasma.github.io/Logging_0980/klagomålsmail/A 6739-2025 FSC-klagomål mail.docx", "A 6739-2025")</f>
        <v/>
      </c>
      <c r="X148">
        <f>HYPERLINK("https://klasma.github.io/Logging_0980/tillsyn/A 6739-2025 tillsynsbegäran.docx", "A 6739-2025")</f>
        <v/>
      </c>
      <c r="Y148">
        <f>HYPERLINK("https://klasma.github.io/Logging_0980/tillsynsmail/A 6739-2025 tillsynsbegäran mail.docx", "A 6739-2025")</f>
        <v/>
      </c>
      <c r="Z148">
        <f>HYPERLINK("https://klasma.github.io/Logging_0980/fåglar/A 6739-2025 prioriterade fågelarter.docx", "A 6739-2025")</f>
        <v/>
      </c>
    </row>
    <row r="149" ht="15" customHeight="1">
      <c r="A149" t="inlineStr">
        <is>
          <t>A 61796-2022</t>
        </is>
      </c>
      <c r="B149" s="1" t="n">
        <v>44917</v>
      </c>
      <c r="C149" s="1" t="n">
        <v>46171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35467-2021</t>
        </is>
      </c>
      <c r="B150" s="1" t="n">
        <v>44385</v>
      </c>
      <c r="C150" s="1" t="n">
        <v>46171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46171</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15637-2024</t>
        </is>
      </c>
      <c r="B152" s="1" t="n">
        <v>45403.6684837963</v>
      </c>
      <c r="C152" s="1" t="n">
        <v>46171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49726-2025</t>
        </is>
      </c>
      <c r="B153" s="1" t="n">
        <v>45939.84466435185</v>
      </c>
      <c r="C153" s="1" t="n">
        <v>46171</v>
      </c>
      <c r="D153" t="inlineStr">
        <is>
          <t>GOTLANDS LÄN</t>
        </is>
      </c>
      <c r="E153" t="inlineStr">
        <is>
          <t>GOTLAND</t>
        </is>
      </c>
      <c r="F153" t="inlineStr">
        <is>
          <t>Kyrkan</t>
        </is>
      </c>
      <c r="G153" t="n">
        <v>5.4</v>
      </c>
      <c r="H153" t="n">
        <v>0</v>
      </c>
      <c r="I153" t="n">
        <v>0</v>
      </c>
      <c r="J153" t="n">
        <v>1</v>
      </c>
      <c r="K153" t="n">
        <v>0</v>
      </c>
      <c r="L153" t="n">
        <v>0</v>
      </c>
      <c r="M153" t="n">
        <v>0</v>
      </c>
      <c r="N153" t="n">
        <v>0</v>
      </c>
      <c r="O153" t="n">
        <v>1</v>
      </c>
      <c r="P153" t="n">
        <v>0</v>
      </c>
      <c r="Q153" t="n">
        <v>1</v>
      </c>
      <c r="R153" s="2" t="inlineStr">
        <is>
          <t>Odörspindling</t>
        </is>
      </c>
      <c r="S153">
        <f>HYPERLINK("https://klasma.github.io/Logging_0980/artfynd/A 49726-2025 artfynd.xlsx", "A 49726-2025")</f>
        <v/>
      </c>
      <c r="T153">
        <f>HYPERLINK("https://klasma.github.io/Logging_0980/kartor/A 49726-2025 karta.png", "A 49726-2025")</f>
        <v/>
      </c>
      <c r="V153">
        <f>HYPERLINK("https://klasma.github.io/Logging_0980/klagomål/A 49726-2025 FSC-klagomål.docx", "A 49726-2025")</f>
        <v/>
      </c>
      <c r="W153">
        <f>HYPERLINK("https://klasma.github.io/Logging_0980/klagomålsmail/A 49726-2025 FSC-klagomål mail.docx", "A 49726-2025")</f>
        <v/>
      </c>
      <c r="X153">
        <f>HYPERLINK("https://klasma.github.io/Logging_0980/tillsyn/A 49726-2025 tillsynsbegäran.docx", "A 49726-2025")</f>
        <v/>
      </c>
      <c r="Y153">
        <f>HYPERLINK("https://klasma.github.io/Logging_0980/tillsynsmail/A 49726-2025 tillsynsbegäran mail.docx", "A 49726-2025")</f>
        <v/>
      </c>
    </row>
    <row r="154" ht="15" customHeight="1">
      <c r="A154" t="inlineStr">
        <is>
          <t>A 2476-2025</t>
        </is>
      </c>
      <c r="B154" s="1" t="n">
        <v>45673</v>
      </c>
      <c r="C154" s="1" t="n">
        <v>46171</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34141-2024</t>
        </is>
      </c>
      <c r="B155" s="1" t="n">
        <v>45524.36229166666</v>
      </c>
      <c r="C155" s="1" t="n">
        <v>46171</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46171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10995-2023</t>
        </is>
      </c>
      <c r="B157" s="1" t="n">
        <v>44986</v>
      </c>
      <c r="C157" s="1" t="n">
        <v>46171</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46171</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46171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46171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12924-2025</t>
        </is>
      </c>
      <c r="B161" s="1" t="n">
        <v>45734</v>
      </c>
      <c r="C161" s="1" t="n">
        <v>46171</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447-2023</t>
        </is>
      </c>
      <c r="B162" s="1" t="n">
        <v>44929</v>
      </c>
      <c r="C162" s="1" t="n">
        <v>46171</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46171</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46171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46171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46171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11708-2026</t>
        </is>
      </c>
      <c r="B167" s="1" t="n">
        <v>46084</v>
      </c>
      <c r="C167" s="1" t="n">
        <v>46171</v>
      </c>
      <c r="D167" t="inlineStr">
        <is>
          <t>GOTLANDS LÄN</t>
        </is>
      </c>
      <c r="E167" t="inlineStr">
        <is>
          <t>GOTLAND</t>
        </is>
      </c>
      <c r="G167" t="n">
        <v>8.4</v>
      </c>
      <c r="H167" t="n">
        <v>1</v>
      </c>
      <c r="I167" t="n">
        <v>0</v>
      </c>
      <c r="J167" t="n">
        <v>1</v>
      </c>
      <c r="K167" t="n">
        <v>0</v>
      </c>
      <c r="L167" t="n">
        <v>0</v>
      </c>
      <c r="M167" t="n">
        <v>0</v>
      </c>
      <c r="N167" t="n">
        <v>0</v>
      </c>
      <c r="O167" t="n">
        <v>1</v>
      </c>
      <c r="P167" t="n">
        <v>0</v>
      </c>
      <c r="Q167" t="n">
        <v>1</v>
      </c>
      <c r="R167" s="2" t="inlineStr">
        <is>
          <t>Bredarun</t>
        </is>
      </c>
      <c r="S167">
        <f>HYPERLINK("https://klasma.github.io/Logging_0980/artfynd/A 11708-2026 artfynd.xlsx", "A 11708-2026")</f>
        <v/>
      </c>
      <c r="T167">
        <f>HYPERLINK("https://klasma.github.io/Logging_0980/kartor/A 11708-2026 karta.png", "A 11708-2026")</f>
        <v/>
      </c>
      <c r="V167">
        <f>HYPERLINK("https://klasma.github.io/Logging_0980/klagomål/A 11708-2026 FSC-klagomål.docx", "A 11708-2026")</f>
        <v/>
      </c>
      <c r="W167">
        <f>HYPERLINK("https://klasma.github.io/Logging_0980/klagomålsmail/A 11708-2026 FSC-klagomål mail.docx", "A 11708-2026")</f>
        <v/>
      </c>
      <c r="X167">
        <f>HYPERLINK("https://klasma.github.io/Logging_0980/tillsyn/A 11708-2026 tillsynsbegäran.docx", "A 11708-2026")</f>
        <v/>
      </c>
      <c r="Y167">
        <f>HYPERLINK("https://klasma.github.io/Logging_0980/tillsynsmail/A 11708-2026 tillsynsbegäran mail.docx", "A 11708-2026")</f>
        <v/>
      </c>
    </row>
    <row r="168" ht="15" customHeight="1">
      <c r="A168" t="inlineStr">
        <is>
          <t>A 27589-2023</t>
        </is>
      </c>
      <c r="B168" s="1" t="n">
        <v>45097</v>
      </c>
      <c r="C168" s="1" t="n">
        <v>46171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46171</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46171</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46171</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6303-2024</t>
        </is>
      </c>
      <c r="B172" s="1" t="n">
        <v>45338.35376157407</v>
      </c>
      <c r="C172" s="1" t="n">
        <v>46171</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Strävlosta</t>
        </is>
      </c>
      <c r="S172">
        <f>HYPERLINK("https://klasma.github.io/Logging_0980/artfynd/A 6303-2024 artfynd.xlsx", "A 6303-2024")</f>
        <v/>
      </c>
      <c r="T172">
        <f>HYPERLINK("https://klasma.github.io/Logging_0980/kartor/A 6303-2024 karta.png", "A 6303-2024")</f>
        <v/>
      </c>
      <c r="V172">
        <f>HYPERLINK("https://klasma.github.io/Logging_0980/klagomål/A 6303-2024 FSC-klagomål.docx", "A 6303-2024")</f>
        <v/>
      </c>
      <c r="W172">
        <f>HYPERLINK("https://klasma.github.io/Logging_0980/klagomålsmail/A 6303-2024 FSC-klagomål mail.docx", "A 6303-2024")</f>
        <v/>
      </c>
      <c r="X172">
        <f>HYPERLINK("https://klasma.github.io/Logging_0980/tillsyn/A 6303-2024 tillsynsbegäran.docx", "A 6303-2024")</f>
        <v/>
      </c>
      <c r="Y172">
        <f>HYPERLINK("https://klasma.github.io/Logging_0980/tillsynsmail/A 6303-2024 tillsynsbegäran mail.docx", "A 6303-2024")</f>
        <v/>
      </c>
    </row>
    <row r="173" ht="15" customHeight="1">
      <c r="A173" t="inlineStr">
        <is>
          <t>A 34809-2024</t>
        </is>
      </c>
      <c r="B173" s="1" t="n">
        <v>45526</v>
      </c>
      <c r="C173" s="1" t="n">
        <v>46171</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13482-2026</t>
        </is>
      </c>
      <c r="B174" s="1" t="n">
        <v>46094</v>
      </c>
      <c r="C174" s="1" t="n">
        <v>46171</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61561-2023</t>
        </is>
      </c>
      <c r="B175" s="1" t="n">
        <v>45265</v>
      </c>
      <c r="C175" s="1" t="n">
        <v>46171</v>
      </c>
      <c r="D175" t="inlineStr">
        <is>
          <t>GOTLANDS LÄN</t>
        </is>
      </c>
      <c r="E175" t="inlineStr">
        <is>
          <t>GOTLAND</t>
        </is>
      </c>
      <c r="G175" t="n">
        <v>7.4</v>
      </c>
      <c r="H175" t="n">
        <v>0</v>
      </c>
      <c r="I175" t="n">
        <v>0</v>
      </c>
      <c r="J175" t="n">
        <v>1</v>
      </c>
      <c r="K175" t="n">
        <v>0</v>
      </c>
      <c r="L175" t="n">
        <v>0</v>
      </c>
      <c r="M175" t="n">
        <v>0</v>
      </c>
      <c r="N175" t="n">
        <v>0</v>
      </c>
      <c r="O175" t="n">
        <v>1</v>
      </c>
      <c r="P175" t="n">
        <v>0</v>
      </c>
      <c r="Q175" t="n">
        <v>1</v>
      </c>
      <c r="R175" s="2" t="inlineStr">
        <is>
          <t>Loppstarr</t>
        </is>
      </c>
      <c r="S175">
        <f>HYPERLINK("https://klasma.github.io/Logging_0980/artfynd/A 61561-2023 artfynd.xlsx", "A 61561-2023")</f>
        <v/>
      </c>
      <c r="T175">
        <f>HYPERLINK("https://klasma.github.io/Logging_0980/kartor/A 61561-2023 karta.png", "A 61561-2023")</f>
        <v/>
      </c>
      <c r="V175">
        <f>HYPERLINK("https://klasma.github.io/Logging_0980/klagomål/A 61561-2023 FSC-klagomål.docx", "A 61561-2023")</f>
        <v/>
      </c>
      <c r="W175">
        <f>HYPERLINK("https://klasma.github.io/Logging_0980/klagomålsmail/A 61561-2023 FSC-klagomål mail.docx", "A 61561-2023")</f>
        <v/>
      </c>
      <c r="X175">
        <f>HYPERLINK("https://klasma.github.io/Logging_0980/tillsyn/A 61561-2023 tillsynsbegäran.docx", "A 61561-2023")</f>
        <v/>
      </c>
      <c r="Y175">
        <f>HYPERLINK("https://klasma.github.io/Logging_0980/tillsynsmail/A 61561-2023 tillsynsbegäran mail.docx", "A 61561-2023")</f>
        <v/>
      </c>
    </row>
    <row r="176" ht="15" customHeight="1">
      <c r="A176" t="inlineStr">
        <is>
          <t>A 22782-2023</t>
        </is>
      </c>
      <c r="B176" s="1" t="n">
        <v>45072</v>
      </c>
      <c r="C176" s="1" t="n">
        <v>46171</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22883-2024</t>
        </is>
      </c>
      <c r="B177" s="1" t="n">
        <v>45448.66368055555</v>
      </c>
      <c r="C177" s="1" t="n">
        <v>46171</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22281-2026</t>
        </is>
      </c>
      <c r="B178" s="1" t="n">
        <v>46154</v>
      </c>
      <c r="C178" s="1" t="n">
        <v>46171</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17854-2026</t>
        </is>
      </c>
      <c r="B179" s="1" t="n">
        <v>46121</v>
      </c>
      <c r="C179" s="1" t="n">
        <v>46171</v>
      </c>
      <c r="D179" t="inlineStr">
        <is>
          <t>GOTLANDS LÄN</t>
        </is>
      </c>
      <c r="E179" t="inlineStr">
        <is>
          <t>GOTLAND</t>
        </is>
      </c>
      <c r="G179" t="n">
        <v>6.6</v>
      </c>
      <c r="H179" t="n">
        <v>0</v>
      </c>
      <c r="I179" t="n">
        <v>1</v>
      </c>
      <c r="J179" t="n">
        <v>0</v>
      </c>
      <c r="K179" t="n">
        <v>0</v>
      </c>
      <c r="L179" t="n">
        <v>0</v>
      </c>
      <c r="M179" t="n">
        <v>0</v>
      </c>
      <c r="N179" t="n">
        <v>0</v>
      </c>
      <c r="O179" t="n">
        <v>0</v>
      </c>
      <c r="P179" t="n">
        <v>0</v>
      </c>
      <c r="Q179" t="n">
        <v>1</v>
      </c>
      <c r="R179" s="2" t="inlineStr">
        <is>
          <t>Blå slemspindling</t>
        </is>
      </c>
      <c r="S179">
        <f>HYPERLINK("https://klasma.github.io/Logging_0980/artfynd/A 17854-2026 artfynd.xlsx", "A 17854-2026")</f>
        <v/>
      </c>
      <c r="T179">
        <f>HYPERLINK("https://klasma.github.io/Logging_0980/kartor/A 17854-2026 karta.png", "A 17854-2026")</f>
        <v/>
      </c>
      <c r="V179">
        <f>HYPERLINK("https://klasma.github.io/Logging_0980/klagomål/A 17854-2026 FSC-klagomål.docx", "A 17854-2026")</f>
        <v/>
      </c>
      <c r="W179">
        <f>HYPERLINK("https://klasma.github.io/Logging_0980/klagomålsmail/A 17854-2026 FSC-klagomål mail.docx", "A 17854-2026")</f>
        <v/>
      </c>
      <c r="X179">
        <f>HYPERLINK("https://klasma.github.io/Logging_0980/tillsyn/A 17854-2026 tillsynsbegäran.docx", "A 17854-2026")</f>
        <v/>
      </c>
      <c r="Y179">
        <f>HYPERLINK("https://klasma.github.io/Logging_0980/tillsynsmail/A 17854-2026 tillsynsbegäran mail.docx", "A 17854-2026")</f>
        <v/>
      </c>
    </row>
    <row r="180" ht="15" customHeight="1">
      <c r="A180" t="inlineStr">
        <is>
          <t>A 18036-2026</t>
        </is>
      </c>
      <c r="B180" s="1" t="n">
        <v>46125.39576388889</v>
      </c>
      <c r="C180" s="1" t="n">
        <v>46171</v>
      </c>
      <c r="D180" t="inlineStr">
        <is>
          <t>GOTLANDS LÄN</t>
        </is>
      </c>
      <c r="E180" t="inlineStr">
        <is>
          <t>GOTLAND</t>
        </is>
      </c>
      <c r="G180" t="n">
        <v>1.8</v>
      </c>
      <c r="H180" t="n">
        <v>0</v>
      </c>
      <c r="I180" t="n">
        <v>0</v>
      </c>
      <c r="J180" t="n">
        <v>1</v>
      </c>
      <c r="K180" t="n">
        <v>0</v>
      </c>
      <c r="L180" t="n">
        <v>0</v>
      </c>
      <c r="M180" t="n">
        <v>0</v>
      </c>
      <c r="N180" t="n">
        <v>0</v>
      </c>
      <c r="O180" t="n">
        <v>1</v>
      </c>
      <c r="P180" t="n">
        <v>0</v>
      </c>
      <c r="Q180" t="n">
        <v>1</v>
      </c>
      <c r="R180" s="2" t="inlineStr">
        <is>
          <t>Sommarfibbla</t>
        </is>
      </c>
      <c r="S180">
        <f>HYPERLINK("https://klasma.github.io/Logging_0980/artfynd/A 18036-2026 artfynd.xlsx", "A 18036-2026")</f>
        <v/>
      </c>
      <c r="T180">
        <f>HYPERLINK("https://klasma.github.io/Logging_0980/kartor/A 18036-2026 karta.png", "A 18036-2026")</f>
        <v/>
      </c>
      <c r="V180">
        <f>HYPERLINK("https://klasma.github.io/Logging_0980/klagomål/A 18036-2026 FSC-klagomål.docx", "A 18036-2026")</f>
        <v/>
      </c>
      <c r="W180">
        <f>HYPERLINK("https://klasma.github.io/Logging_0980/klagomålsmail/A 18036-2026 FSC-klagomål mail.docx", "A 18036-2026")</f>
        <v/>
      </c>
      <c r="X180">
        <f>HYPERLINK("https://klasma.github.io/Logging_0980/tillsyn/A 18036-2026 tillsynsbegäran.docx", "A 18036-2026")</f>
        <v/>
      </c>
      <c r="Y180">
        <f>HYPERLINK("https://klasma.github.io/Logging_0980/tillsynsmail/A 18036-2026 tillsynsbegäran mail.docx", "A 18036-2026")</f>
        <v/>
      </c>
    </row>
    <row r="181" ht="15" customHeight="1">
      <c r="A181" t="inlineStr">
        <is>
          <t>A 24245-2022</t>
        </is>
      </c>
      <c r="B181" s="1" t="n">
        <v>44725</v>
      </c>
      <c r="C181" s="1" t="n">
        <v>46171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46171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46171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46171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10013-2026</t>
        </is>
      </c>
      <c r="B185" s="1" t="n">
        <v>46073</v>
      </c>
      <c r="C185" s="1" t="n">
        <v>46171</v>
      </c>
      <c r="D185" t="inlineStr">
        <is>
          <t>GOTLANDS LÄN</t>
        </is>
      </c>
      <c r="E185" t="inlineStr">
        <is>
          <t>GOTLAND</t>
        </is>
      </c>
      <c r="G185" t="n">
        <v>10.5</v>
      </c>
      <c r="H185" t="n">
        <v>0</v>
      </c>
      <c r="I185" t="n">
        <v>0</v>
      </c>
      <c r="J185" t="n">
        <v>0</v>
      </c>
      <c r="K185" t="n">
        <v>1</v>
      </c>
      <c r="L185" t="n">
        <v>0</v>
      </c>
      <c r="M185" t="n">
        <v>0</v>
      </c>
      <c r="N185" t="n">
        <v>0</v>
      </c>
      <c r="O185" t="n">
        <v>1</v>
      </c>
      <c r="P185" t="n">
        <v>1</v>
      </c>
      <c r="Q185" t="n">
        <v>1</v>
      </c>
      <c r="R185" s="2" t="inlineStr">
        <is>
          <t>Skogskorn</t>
        </is>
      </c>
      <c r="S185">
        <f>HYPERLINK("https://klasma.github.io/Logging_0980/artfynd/A 10013-2026 artfynd.xlsx", "A 10013-2026")</f>
        <v/>
      </c>
      <c r="T185">
        <f>HYPERLINK("https://klasma.github.io/Logging_0980/kartor/A 10013-2026 karta.png", "A 10013-2026")</f>
        <v/>
      </c>
      <c r="V185">
        <f>HYPERLINK("https://klasma.github.io/Logging_0980/klagomål/A 10013-2026 FSC-klagomål.docx", "A 10013-2026")</f>
        <v/>
      </c>
      <c r="W185">
        <f>HYPERLINK("https://klasma.github.io/Logging_0980/klagomålsmail/A 10013-2026 FSC-klagomål mail.docx", "A 10013-2026")</f>
        <v/>
      </c>
      <c r="X185">
        <f>HYPERLINK("https://klasma.github.io/Logging_0980/tillsyn/A 10013-2026 tillsynsbegäran.docx", "A 10013-2026")</f>
        <v/>
      </c>
      <c r="Y185">
        <f>HYPERLINK("https://klasma.github.io/Logging_0980/tillsynsmail/A 10013-2026 tillsynsbegäran mail.docx", "A 10013-2026")</f>
        <v/>
      </c>
    </row>
    <row r="186" ht="15" customHeight="1">
      <c r="A186" t="inlineStr">
        <is>
          <t>A 37591-2023</t>
        </is>
      </c>
      <c r="B186" s="1" t="n">
        <v>45159</v>
      </c>
      <c r="C186" s="1" t="n">
        <v>46171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46171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46171</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46171</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46171</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46171</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46171</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46171</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46171</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46171</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46171</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46171</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46171</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46171</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46171</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46171</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46171</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46171</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46171</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46171</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46171</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46171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46171</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46171</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46171</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46171</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46171</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46171</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46171</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30282-2022</t>
        </is>
      </c>
      <c r="B219" s="1" t="n">
        <v>44760</v>
      </c>
      <c r="C219" s="1" t="n">
        <v>46171</v>
      </c>
      <c r="D219" t="inlineStr">
        <is>
          <t>GOTLANDS LÄN</t>
        </is>
      </c>
      <c r="E219" t="inlineStr">
        <is>
          <t>GOTLAND</t>
        </is>
      </c>
      <c r="G219" t="n">
        <v>2.6</v>
      </c>
      <c r="H219" t="n">
        <v>0</v>
      </c>
      <c r="I219" t="n">
        <v>0</v>
      </c>
      <c r="J219" t="n">
        <v>0</v>
      </c>
      <c r="K219" t="n">
        <v>0</v>
      </c>
      <c r="L219" t="n">
        <v>0</v>
      </c>
      <c r="M219" t="n">
        <v>0</v>
      </c>
      <c r="N219" t="n">
        <v>0</v>
      </c>
      <c r="O219" t="n">
        <v>0</v>
      </c>
      <c r="P219" t="n">
        <v>0</v>
      </c>
      <c r="Q219" t="n">
        <v>0</v>
      </c>
      <c r="R219" s="2" t="inlineStr"/>
    </row>
    <row r="220" ht="15" customHeight="1">
      <c r="A220" t="inlineStr">
        <is>
          <t>A 4868-2024</t>
        </is>
      </c>
      <c r="B220" s="1" t="n">
        <v>45329</v>
      </c>
      <c r="C220" s="1" t="n">
        <v>46171</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32330-2024</t>
        </is>
      </c>
      <c r="B221" s="1" t="n">
        <v>45512</v>
      </c>
      <c r="C221" s="1" t="n">
        <v>46171</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5751-2024</t>
        </is>
      </c>
      <c r="B222" s="1" t="n">
        <v>45335.32702546296</v>
      </c>
      <c r="C222" s="1" t="n">
        <v>46171</v>
      </c>
      <c r="D222" t="inlineStr">
        <is>
          <t>GOTLANDS LÄN</t>
        </is>
      </c>
      <c r="E222" t="inlineStr">
        <is>
          <t>GOTLAND</t>
        </is>
      </c>
      <c r="G222" t="n">
        <v>4.2</v>
      </c>
      <c r="H222" t="n">
        <v>0</v>
      </c>
      <c r="I222" t="n">
        <v>0</v>
      </c>
      <c r="J222" t="n">
        <v>0</v>
      </c>
      <c r="K222" t="n">
        <v>0</v>
      </c>
      <c r="L222" t="n">
        <v>0</v>
      </c>
      <c r="M222" t="n">
        <v>0</v>
      </c>
      <c r="N222" t="n">
        <v>0</v>
      </c>
      <c r="O222" t="n">
        <v>0</v>
      </c>
      <c r="P222" t="n">
        <v>0</v>
      </c>
      <c r="Q222" t="n">
        <v>0</v>
      </c>
      <c r="R222" s="2" t="inlineStr"/>
    </row>
    <row r="223" ht="15" customHeight="1">
      <c r="A223" t="inlineStr">
        <is>
          <t>A 9613-2025</t>
        </is>
      </c>
      <c r="B223" s="1" t="n">
        <v>45715</v>
      </c>
      <c r="C223" s="1" t="n">
        <v>46171</v>
      </c>
      <c r="D223" t="inlineStr">
        <is>
          <t>GOTLANDS LÄN</t>
        </is>
      </c>
      <c r="E223" t="inlineStr">
        <is>
          <t>GOTLAND</t>
        </is>
      </c>
      <c r="G223" t="n">
        <v>3.5</v>
      </c>
      <c r="H223" t="n">
        <v>0</v>
      </c>
      <c r="I223" t="n">
        <v>0</v>
      </c>
      <c r="J223" t="n">
        <v>0</v>
      </c>
      <c r="K223" t="n">
        <v>0</v>
      </c>
      <c r="L223" t="n">
        <v>0</v>
      </c>
      <c r="M223" t="n">
        <v>0</v>
      </c>
      <c r="N223" t="n">
        <v>0</v>
      </c>
      <c r="O223" t="n">
        <v>0</v>
      </c>
      <c r="P223" t="n">
        <v>0</v>
      </c>
      <c r="Q223" t="n">
        <v>0</v>
      </c>
      <c r="R223" s="2" t="inlineStr"/>
    </row>
    <row r="224" ht="15" customHeight="1">
      <c r="A224" t="inlineStr">
        <is>
          <t>A 15595-2024</t>
        </is>
      </c>
      <c r="B224" s="1" t="n">
        <v>45401.81480324074</v>
      </c>
      <c r="C224" s="1" t="n">
        <v>46171</v>
      </c>
      <c r="D224" t="inlineStr">
        <is>
          <t>GOTLANDS LÄN</t>
        </is>
      </c>
      <c r="E224" t="inlineStr">
        <is>
          <t>GOTLAND</t>
        </is>
      </c>
      <c r="G224" t="n">
        <v>6.4</v>
      </c>
      <c r="H224" t="n">
        <v>0</v>
      </c>
      <c r="I224" t="n">
        <v>0</v>
      </c>
      <c r="J224" t="n">
        <v>0</v>
      </c>
      <c r="K224" t="n">
        <v>0</v>
      </c>
      <c r="L224" t="n">
        <v>0</v>
      </c>
      <c r="M224" t="n">
        <v>0</v>
      </c>
      <c r="N224" t="n">
        <v>0</v>
      </c>
      <c r="O224" t="n">
        <v>0</v>
      </c>
      <c r="P224" t="n">
        <v>0</v>
      </c>
      <c r="Q224" t="n">
        <v>0</v>
      </c>
      <c r="R224" s="2" t="inlineStr"/>
    </row>
    <row r="225" ht="15" customHeight="1">
      <c r="A225" t="inlineStr">
        <is>
          <t>A 24966-2023</t>
        </is>
      </c>
      <c r="B225" s="1" t="n">
        <v>45085</v>
      </c>
      <c r="C225" s="1" t="n">
        <v>46171</v>
      </c>
      <c r="D225" t="inlineStr">
        <is>
          <t>GOTLANDS LÄN</t>
        </is>
      </c>
      <c r="E225" t="inlineStr">
        <is>
          <t>GOTLAND</t>
        </is>
      </c>
      <c r="G225" t="n">
        <v>7</v>
      </c>
      <c r="H225" t="n">
        <v>0</v>
      </c>
      <c r="I225" t="n">
        <v>0</v>
      </c>
      <c r="J225" t="n">
        <v>0</v>
      </c>
      <c r="K225" t="n">
        <v>0</v>
      </c>
      <c r="L225" t="n">
        <v>0</v>
      </c>
      <c r="M225" t="n">
        <v>0</v>
      </c>
      <c r="N225" t="n">
        <v>0</v>
      </c>
      <c r="O225" t="n">
        <v>0</v>
      </c>
      <c r="P225" t="n">
        <v>0</v>
      </c>
      <c r="Q225" t="n">
        <v>0</v>
      </c>
      <c r="R225" s="2" t="inlineStr"/>
    </row>
    <row r="226" ht="15" customHeight="1">
      <c r="A226" t="inlineStr">
        <is>
          <t>A 46189-2022</t>
        </is>
      </c>
      <c r="B226" s="1" t="n">
        <v>44847</v>
      </c>
      <c r="C226" s="1" t="n">
        <v>46171</v>
      </c>
      <c r="D226" t="inlineStr">
        <is>
          <t>GOTLANDS LÄN</t>
        </is>
      </c>
      <c r="E226" t="inlineStr">
        <is>
          <t>GOTLAND</t>
        </is>
      </c>
      <c r="G226" t="n">
        <v>0.4</v>
      </c>
      <c r="H226" t="n">
        <v>0</v>
      </c>
      <c r="I226" t="n">
        <v>0</v>
      </c>
      <c r="J226" t="n">
        <v>0</v>
      </c>
      <c r="K226" t="n">
        <v>0</v>
      </c>
      <c r="L226" t="n">
        <v>0</v>
      </c>
      <c r="M226" t="n">
        <v>0</v>
      </c>
      <c r="N226" t="n">
        <v>0</v>
      </c>
      <c r="O226" t="n">
        <v>0</v>
      </c>
      <c r="P226" t="n">
        <v>0</v>
      </c>
      <c r="Q226" t="n">
        <v>0</v>
      </c>
      <c r="R226" s="2" t="inlineStr"/>
    </row>
    <row r="227" ht="15" customHeight="1">
      <c r="A227" t="inlineStr">
        <is>
          <t>A 22031-2024</t>
        </is>
      </c>
      <c r="B227" s="1" t="n">
        <v>45443.60075231481</v>
      </c>
      <c r="C227" s="1" t="n">
        <v>46171</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49314-2024</t>
        </is>
      </c>
      <c r="B228" s="1" t="n">
        <v>45595.55893518519</v>
      </c>
      <c r="C228" s="1" t="n">
        <v>46171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44919-2022</t>
        </is>
      </c>
      <c r="B229" s="1" t="n">
        <v>44841</v>
      </c>
      <c r="C229" s="1" t="n">
        <v>46171</v>
      </c>
      <c r="D229" t="inlineStr">
        <is>
          <t>GOTLANDS LÄN</t>
        </is>
      </c>
      <c r="E229" t="inlineStr">
        <is>
          <t>GOTLAND</t>
        </is>
      </c>
      <c r="G229" t="n">
        <v>2.2</v>
      </c>
      <c r="H229" t="n">
        <v>0</v>
      </c>
      <c r="I229" t="n">
        <v>0</v>
      </c>
      <c r="J229" t="n">
        <v>0</v>
      </c>
      <c r="K229" t="n">
        <v>0</v>
      </c>
      <c r="L229" t="n">
        <v>0</v>
      </c>
      <c r="M229" t="n">
        <v>0</v>
      </c>
      <c r="N229" t="n">
        <v>0</v>
      </c>
      <c r="O229" t="n">
        <v>0</v>
      </c>
      <c r="P229" t="n">
        <v>0</v>
      </c>
      <c r="Q229" t="n">
        <v>0</v>
      </c>
      <c r="R229" s="2" t="inlineStr"/>
    </row>
    <row r="230" ht="15" customHeight="1">
      <c r="A230" t="inlineStr">
        <is>
          <t>A 48503-2023</t>
        </is>
      </c>
      <c r="B230" s="1" t="n">
        <v>45207</v>
      </c>
      <c r="C230" s="1" t="n">
        <v>46171</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57356-2023</t>
        </is>
      </c>
      <c r="B231" s="1" t="n">
        <v>45240</v>
      </c>
      <c r="C231" s="1" t="n">
        <v>46171</v>
      </c>
      <c r="D231" t="inlineStr">
        <is>
          <t>GOTLANDS LÄN</t>
        </is>
      </c>
      <c r="E231" t="inlineStr">
        <is>
          <t>GOTLAND</t>
        </is>
      </c>
      <c r="G231" t="n">
        <v>6.4</v>
      </c>
      <c r="H231" t="n">
        <v>0</v>
      </c>
      <c r="I231" t="n">
        <v>0</v>
      </c>
      <c r="J231" t="n">
        <v>0</v>
      </c>
      <c r="K231" t="n">
        <v>0</v>
      </c>
      <c r="L231" t="n">
        <v>0</v>
      </c>
      <c r="M231" t="n">
        <v>0</v>
      </c>
      <c r="N231" t="n">
        <v>0</v>
      </c>
      <c r="O231" t="n">
        <v>0</v>
      </c>
      <c r="P231" t="n">
        <v>0</v>
      </c>
      <c r="Q231" t="n">
        <v>0</v>
      </c>
      <c r="R231" s="2" t="inlineStr"/>
    </row>
    <row r="232" ht="15" customHeight="1">
      <c r="A232" t="inlineStr">
        <is>
          <t>A 10656-2024</t>
        </is>
      </c>
      <c r="B232" s="1" t="n">
        <v>45368</v>
      </c>
      <c r="C232" s="1" t="n">
        <v>46171</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46171</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20356-2022</t>
        </is>
      </c>
      <c r="B234" s="1" t="n">
        <v>44699</v>
      </c>
      <c r="C234" s="1" t="n">
        <v>46171</v>
      </c>
      <c r="D234" t="inlineStr">
        <is>
          <t>GOTLANDS LÄN</t>
        </is>
      </c>
      <c r="E234" t="inlineStr">
        <is>
          <t>GOTLAND</t>
        </is>
      </c>
      <c r="F234" t="inlineStr">
        <is>
          <t>Övriga Aktiebolag</t>
        </is>
      </c>
      <c r="G234" t="n">
        <v>4.4</v>
      </c>
      <c r="H234" t="n">
        <v>0</v>
      </c>
      <c r="I234" t="n">
        <v>0</v>
      </c>
      <c r="J234" t="n">
        <v>0</v>
      </c>
      <c r="K234" t="n">
        <v>0</v>
      </c>
      <c r="L234" t="n">
        <v>0</v>
      </c>
      <c r="M234" t="n">
        <v>0</v>
      </c>
      <c r="N234" t="n">
        <v>0</v>
      </c>
      <c r="O234" t="n">
        <v>0</v>
      </c>
      <c r="P234" t="n">
        <v>0</v>
      </c>
      <c r="Q234" t="n">
        <v>0</v>
      </c>
      <c r="R234" s="2" t="inlineStr"/>
    </row>
    <row r="235" ht="15" customHeight="1">
      <c r="A235" t="inlineStr">
        <is>
          <t>A 28506-2023</t>
        </is>
      </c>
      <c r="B235" s="1" t="n">
        <v>45103</v>
      </c>
      <c r="C235" s="1" t="n">
        <v>46171</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21420-2024</t>
        </is>
      </c>
      <c r="B236" s="1" t="n">
        <v>45441.38293981482</v>
      </c>
      <c r="C236" s="1" t="n">
        <v>46171</v>
      </c>
      <c r="D236" t="inlineStr">
        <is>
          <t>GOTLANDS LÄN</t>
        </is>
      </c>
      <c r="E236" t="inlineStr">
        <is>
          <t>GOTLAND</t>
        </is>
      </c>
      <c r="G236" t="n">
        <v>4.1</v>
      </c>
      <c r="H236" t="n">
        <v>0</v>
      </c>
      <c r="I236" t="n">
        <v>0</v>
      </c>
      <c r="J236" t="n">
        <v>0</v>
      </c>
      <c r="K236" t="n">
        <v>0</v>
      </c>
      <c r="L236" t="n">
        <v>0</v>
      </c>
      <c r="M236" t="n">
        <v>0</v>
      </c>
      <c r="N236" t="n">
        <v>0</v>
      </c>
      <c r="O236" t="n">
        <v>0</v>
      </c>
      <c r="P236" t="n">
        <v>0</v>
      </c>
      <c r="Q236" t="n">
        <v>0</v>
      </c>
      <c r="R236" s="2" t="inlineStr"/>
    </row>
    <row r="237" ht="15" customHeight="1">
      <c r="A237" t="inlineStr">
        <is>
          <t>A 44649-2021</t>
        </is>
      </c>
      <c r="B237" s="1" t="n">
        <v>44437</v>
      </c>
      <c r="C237" s="1" t="n">
        <v>46171</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23188-2025</t>
        </is>
      </c>
      <c r="B238" s="1" t="n">
        <v>45791</v>
      </c>
      <c r="C238" s="1" t="n">
        <v>46171</v>
      </c>
      <c r="D238" t="inlineStr">
        <is>
          <t>GOTLANDS LÄN</t>
        </is>
      </c>
      <c r="E238" t="inlineStr">
        <is>
          <t>GOTLAND</t>
        </is>
      </c>
      <c r="G238" t="n">
        <v>6.2</v>
      </c>
      <c r="H238" t="n">
        <v>0</v>
      </c>
      <c r="I238" t="n">
        <v>0</v>
      </c>
      <c r="J238" t="n">
        <v>0</v>
      </c>
      <c r="K238" t="n">
        <v>0</v>
      </c>
      <c r="L238" t="n">
        <v>0</v>
      </c>
      <c r="M238" t="n">
        <v>0</v>
      </c>
      <c r="N238" t="n">
        <v>0</v>
      </c>
      <c r="O238" t="n">
        <v>0</v>
      </c>
      <c r="P238" t="n">
        <v>0</v>
      </c>
      <c r="Q238" t="n">
        <v>0</v>
      </c>
      <c r="R238" s="2" t="inlineStr"/>
    </row>
    <row r="239" ht="15" customHeight="1">
      <c r="A239" t="inlineStr">
        <is>
          <t>A 9947-2024</t>
        </is>
      </c>
      <c r="B239" s="1" t="n">
        <v>45363</v>
      </c>
      <c r="C239" s="1" t="n">
        <v>46171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17682-2024</t>
        </is>
      </c>
      <c r="B240" s="1" t="n">
        <v>45418.42966435185</v>
      </c>
      <c r="C240" s="1" t="n">
        <v>46171</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57522-2022</t>
        </is>
      </c>
      <c r="B241" s="1" t="n">
        <v>44896</v>
      </c>
      <c r="C241" s="1" t="n">
        <v>46171</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23473-2025</t>
        </is>
      </c>
      <c r="B242" s="1" t="n">
        <v>45792</v>
      </c>
      <c r="C242" s="1" t="n">
        <v>46171</v>
      </c>
      <c r="D242" t="inlineStr">
        <is>
          <t>GOTLANDS LÄN</t>
        </is>
      </c>
      <c r="E242" t="inlineStr">
        <is>
          <t>GOTLAND</t>
        </is>
      </c>
      <c r="G242" t="n">
        <v>3.6</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46171</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23856-2025</t>
        </is>
      </c>
      <c r="B244" s="1" t="n">
        <v>45793</v>
      </c>
      <c r="C244" s="1" t="n">
        <v>46171</v>
      </c>
      <c r="D244" t="inlineStr">
        <is>
          <t>GOTLANDS LÄN</t>
        </is>
      </c>
      <c r="E244" t="inlineStr">
        <is>
          <t>GOTLAND</t>
        </is>
      </c>
      <c r="G244" t="n">
        <v>4.4</v>
      </c>
      <c r="H244" t="n">
        <v>0</v>
      </c>
      <c r="I244" t="n">
        <v>0</v>
      </c>
      <c r="J244" t="n">
        <v>0</v>
      </c>
      <c r="K244" t="n">
        <v>0</v>
      </c>
      <c r="L244" t="n">
        <v>0</v>
      </c>
      <c r="M244" t="n">
        <v>0</v>
      </c>
      <c r="N244" t="n">
        <v>0</v>
      </c>
      <c r="O244" t="n">
        <v>0</v>
      </c>
      <c r="P244" t="n">
        <v>0</v>
      </c>
      <c r="Q244" t="n">
        <v>0</v>
      </c>
      <c r="R244" s="2" t="inlineStr"/>
    </row>
    <row r="245" ht="15" customHeight="1">
      <c r="A245" t="inlineStr">
        <is>
          <t>A 15073-2025</t>
        </is>
      </c>
      <c r="B245" s="1" t="n">
        <v>45743</v>
      </c>
      <c r="C245" s="1" t="n">
        <v>46171</v>
      </c>
      <c r="D245" t="inlineStr">
        <is>
          <t>GOTLANDS LÄN</t>
        </is>
      </c>
      <c r="E245" t="inlineStr">
        <is>
          <t>GOTLAND</t>
        </is>
      </c>
      <c r="G245" t="n">
        <v>12.1</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46171</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62066-2025</t>
        </is>
      </c>
      <c r="B247" s="1" t="n">
        <v>46006.34738425926</v>
      </c>
      <c r="C247" s="1" t="n">
        <v>46171</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46171</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62103-2025</t>
        </is>
      </c>
      <c r="B249" s="1" t="n">
        <v>46006</v>
      </c>
      <c r="C249" s="1" t="n">
        <v>46171</v>
      </c>
      <c r="D249" t="inlineStr">
        <is>
          <t>GOTLANDS LÄN</t>
        </is>
      </c>
      <c r="E249" t="inlineStr">
        <is>
          <t>GOTLAND</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46171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18993-2025</t>
        </is>
      </c>
      <c r="B251" s="1" t="n">
        <v>45764</v>
      </c>
      <c r="C251" s="1" t="n">
        <v>46171</v>
      </c>
      <c r="D251" t="inlineStr">
        <is>
          <t>GOTLANDS LÄN</t>
        </is>
      </c>
      <c r="E251" t="inlineStr">
        <is>
          <t>GOTLAND</t>
        </is>
      </c>
      <c r="G251" t="n">
        <v>3</v>
      </c>
      <c r="H251" t="n">
        <v>0</v>
      </c>
      <c r="I251" t="n">
        <v>0</v>
      </c>
      <c r="J251" t="n">
        <v>0</v>
      </c>
      <c r="K251" t="n">
        <v>0</v>
      </c>
      <c r="L251" t="n">
        <v>0</v>
      </c>
      <c r="M251" t="n">
        <v>0</v>
      </c>
      <c r="N251" t="n">
        <v>0</v>
      </c>
      <c r="O251" t="n">
        <v>0</v>
      </c>
      <c r="P251" t="n">
        <v>0</v>
      </c>
      <c r="Q251" t="n">
        <v>0</v>
      </c>
      <c r="R251" s="2" t="inlineStr"/>
    </row>
    <row r="252" ht="15" customHeight="1">
      <c r="A252" t="inlineStr">
        <is>
          <t>A 30135-2025</t>
        </is>
      </c>
      <c r="B252" s="1" t="n">
        <v>45826</v>
      </c>
      <c r="C252" s="1" t="n">
        <v>46171</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12599-2025</t>
        </is>
      </c>
      <c r="B253" s="1" t="n">
        <v>45733.29546296296</v>
      </c>
      <c r="C253" s="1" t="n">
        <v>46171</v>
      </c>
      <c r="D253" t="inlineStr">
        <is>
          <t>GOTLANDS LÄN</t>
        </is>
      </c>
      <c r="E253" t="inlineStr">
        <is>
          <t>GOTLAND</t>
        </is>
      </c>
      <c r="G253" t="n">
        <v>4.7</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46171</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46171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63002-2025</t>
        </is>
      </c>
      <c r="B256" s="1" t="n">
        <v>46009.56564814815</v>
      </c>
      <c r="C256" s="1" t="n">
        <v>46171</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30365-2024</t>
        </is>
      </c>
      <c r="B257" s="1" t="n">
        <v>45491.3716087963</v>
      </c>
      <c r="C257" s="1" t="n">
        <v>46171</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1681-2023</t>
        </is>
      </c>
      <c r="B258" s="1" t="n">
        <v>44938.39715277778</v>
      </c>
      <c r="C258" s="1" t="n">
        <v>46171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39819-2025</t>
        </is>
      </c>
      <c r="B259" s="1" t="n">
        <v>45891.53418981482</v>
      </c>
      <c r="C259" s="1" t="n">
        <v>46171</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39814-2025</t>
        </is>
      </c>
      <c r="B260" s="1" t="n">
        <v>45891.52694444444</v>
      </c>
      <c r="C260" s="1" t="n">
        <v>46171</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38649-2025</t>
        </is>
      </c>
      <c r="B261" s="1" t="n">
        <v>45884</v>
      </c>
      <c r="C261" s="1" t="n">
        <v>46171</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46171</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46171</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6099-2024</t>
        </is>
      </c>
      <c r="B264" s="1" t="n">
        <v>45337</v>
      </c>
      <c r="C264" s="1" t="n">
        <v>46171</v>
      </c>
      <c r="D264" t="inlineStr">
        <is>
          <t>GOTLANDS LÄN</t>
        </is>
      </c>
      <c r="E264" t="inlineStr">
        <is>
          <t>GOTLAND</t>
        </is>
      </c>
      <c r="G264" t="n">
        <v>12.6</v>
      </c>
      <c r="H264" t="n">
        <v>0</v>
      </c>
      <c r="I264" t="n">
        <v>0</v>
      </c>
      <c r="J264" t="n">
        <v>0</v>
      </c>
      <c r="K264" t="n">
        <v>0</v>
      </c>
      <c r="L264" t="n">
        <v>0</v>
      </c>
      <c r="M264" t="n">
        <v>0</v>
      </c>
      <c r="N264" t="n">
        <v>0</v>
      </c>
      <c r="O264" t="n">
        <v>0</v>
      </c>
      <c r="P264" t="n">
        <v>0</v>
      </c>
      <c r="Q264" t="n">
        <v>0</v>
      </c>
      <c r="R264" s="2" t="inlineStr"/>
    </row>
    <row r="265" ht="15" customHeight="1">
      <c r="A265" t="inlineStr">
        <is>
          <t>A 61078-2025</t>
        </is>
      </c>
      <c r="B265" s="1" t="n">
        <v>46000</v>
      </c>
      <c r="C265" s="1" t="n">
        <v>46171</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46171</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1273-2023</t>
        </is>
      </c>
      <c r="B267" s="1" t="n">
        <v>44936</v>
      </c>
      <c r="C267" s="1" t="n">
        <v>46171</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39816-2025</t>
        </is>
      </c>
      <c r="B268" s="1" t="n">
        <v>45891</v>
      </c>
      <c r="C268" s="1" t="n">
        <v>46171</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46171</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40373-2025</t>
        </is>
      </c>
      <c r="B270" s="1" t="n">
        <v>45895.51821759259</v>
      </c>
      <c r="C270" s="1" t="n">
        <v>46171</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46171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46171</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58780-2024</t>
        </is>
      </c>
      <c r="B273" s="1" t="n">
        <v>45635.84113425926</v>
      </c>
      <c r="C273" s="1" t="n">
        <v>46171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46171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25796-2025</t>
        </is>
      </c>
      <c r="B275" s="1" t="n">
        <v>45804.39543981481</v>
      </c>
      <c r="C275" s="1" t="n">
        <v>46171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46171</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39278-2025</t>
        </is>
      </c>
      <c r="B277" s="1" t="n">
        <v>45889</v>
      </c>
      <c r="C277" s="1" t="n">
        <v>46171</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46171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46171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46171</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46171</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41551-2025</t>
        </is>
      </c>
      <c r="B282" s="1" t="n">
        <v>45901.58854166666</v>
      </c>
      <c r="C282" s="1" t="n">
        <v>46171</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26457-2025</t>
        </is>
      </c>
      <c r="B283" s="1" t="n">
        <v>45807.42773148148</v>
      </c>
      <c r="C283" s="1" t="n">
        <v>46171</v>
      </c>
      <c r="D283" t="inlineStr">
        <is>
          <t>GOTLANDS LÄN</t>
        </is>
      </c>
      <c r="E283" t="inlineStr">
        <is>
          <t>GOTLAND</t>
        </is>
      </c>
      <c r="G283" t="n">
        <v>5.7</v>
      </c>
      <c r="H283" t="n">
        <v>0</v>
      </c>
      <c r="I283" t="n">
        <v>0</v>
      </c>
      <c r="J283" t="n">
        <v>0</v>
      </c>
      <c r="K283" t="n">
        <v>0</v>
      </c>
      <c r="L283" t="n">
        <v>0</v>
      </c>
      <c r="M283" t="n">
        <v>0</v>
      </c>
      <c r="N283" t="n">
        <v>0</v>
      </c>
      <c r="O283" t="n">
        <v>0</v>
      </c>
      <c r="P283" t="n">
        <v>0</v>
      </c>
      <c r="Q283" t="n">
        <v>0</v>
      </c>
      <c r="R283" s="2" t="inlineStr"/>
    </row>
    <row r="284" ht="15" customHeight="1">
      <c r="A284" t="inlineStr">
        <is>
          <t>A 26467-2025</t>
        </is>
      </c>
      <c r="B284" s="1" t="n">
        <v>45807.44640046296</v>
      </c>
      <c r="C284" s="1" t="n">
        <v>46171</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58388-2022</t>
        </is>
      </c>
      <c r="B285" s="1" t="n">
        <v>44894</v>
      </c>
      <c r="C285" s="1" t="n">
        <v>46171</v>
      </c>
      <c r="D285" t="inlineStr">
        <is>
          <t>GOTLANDS LÄN</t>
        </is>
      </c>
      <c r="E285" t="inlineStr">
        <is>
          <t>GOTLAND</t>
        </is>
      </c>
      <c r="F285" t="inlineStr">
        <is>
          <t>Övriga statliga verk och myndigheter</t>
        </is>
      </c>
      <c r="G285" t="n">
        <v>3.1</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46171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36-2026</t>
        </is>
      </c>
      <c r="B287" s="1" t="n">
        <v>46024.38886574074</v>
      </c>
      <c r="C287" s="1" t="n">
        <v>46171</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46171</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46171</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42608-2025</t>
        </is>
      </c>
      <c r="B290" s="1" t="n">
        <v>45905</v>
      </c>
      <c r="C290" s="1" t="n">
        <v>46171</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17688-2024</t>
        </is>
      </c>
      <c r="B291" s="1" t="n">
        <v>45418.43575231481</v>
      </c>
      <c r="C291" s="1" t="n">
        <v>46171</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27371-2025</t>
        </is>
      </c>
      <c r="B292" s="1" t="n">
        <v>45812</v>
      </c>
      <c r="C292" s="1" t="n">
        <v>46171</v>
      </c>
      <c r="D292" t="inlineStr">
        <is>
          <t>GOTLANDS LÄN</t>
        </is>
      </c>
      <c r="E292" t="inlineStr">
        <is>
          <t>GOTLAND</t>
        </is>
      </c>
      <c r="G292" t="n">
        <v>8</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46171</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16373-2025</t>
        </is>
      </c>
      <c r="B294" s="1" t="n">
        <v>45751</v>
      </c>
      <c r="C294" s="1" t="n">
        <v>46171</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7837-2024</t>
        </is>
      </c>
      <c r="B295" s="1" t="n">
        <v>45349.83787037037</v>
      </c>
      <c r="C295" s="1" t="n">
        <v>46171</v>
      </c>
      <c r="D295" t="inlineStr">
        <is>
          <t>GOTLANDS LÄN</t>
        </is>
      </c>
      <c r="E295" t="inlineStr">
        <is>
          <t>GOTLAND</t>
        </is>
      </c>
      <c r="G295" t="n">
        <v>5</v>
      </c>
      <c r="H295" t="n">
        <v>0</v>
      </c>
      <c r="I295" t="n">
        <v>0</v>
      </c>
      <c r="J295" t="n">
        <v>0</v>
      </c>
      <c r="K295" t="n">
        <v>0</v>
      </c>
      <c r="L295" t="n">
        <v>0</v>
      </c>
      <c r="M295" t="n">
        <v>0</v>
      </c>
      <c r="N295" t="n">
        <v>0</v>
      </c>
      <c r="O295" t="n">
        <v>0</v>
      </c>
      <c r="P295" t="n">
        <v>0</v>
      </c>
      <c r="Q295" t="n">
        <v>0</v>
      </c>
      <c r="R295" s="2" t="inlineStr"/>
    </row>
    <row r="296" ht="15" customHeight="1">
      <c r="A296" t="inlineStr">
        <is>
          <t>A 7850-2025</t>
        </is>
      </c>
      <c r="B296" s="1" t="n">
        <v>45706</v>
      </c>
      <c r="C296" s="1" t="n">
        <v>46171</v>
      </c>
      <c r="D296" t="inlineStr">
        <is>
          <t>GOTLANDS LÄN</t>
        </is>
      </c>
      <c r="E296" t="inlineStr">
        <is>
          <t>GOTLAND</t>
        </is>
      </c>
      <c r="G296" t="n">
        <v>0.5</v>
      </c>
      <c r="H296" t="n">
        <v>0</v>
      </c>
      <c r="I296" t="n">
        <v>0</v>
      </c>
      <c r="J296" t="n">
        <v>0</v>
      </c>
      <c r="K296" t="n">
        <v>0</v>
      </c>
      <c r="L296" t="n">
        <v>0</v>
      </c>
      <c r="M296" t="n">
        <v>0</v>
      </c>
      <c r="N296" t="n">
        <v>0</v>
      </c>
      <c r="O296" t="n">
        <v>0</v>
      </c>
      <c r="P296" t="n">
        <v>0</v>
      </c>
      <c r="Q296" t="n">
        <v>0</v>
      </c>
      <c r="R296" s="2" t="inlineStr"/>
    </row>
    <row r="297" ht="15" customHeight="1">
      <c r="A297" t="inlineStr">
        <is>
          <t>A 4568-2025</t>
        </is>
      </c>
      <c r="B297" s="1" t="n">
        <v>45687</v>
      </c>
      <c r="C297" s="1" t="n">
        <v>46171</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8444-2025</t>
        </is>
      </c>
      <c r="B298" s="1" t="n">
        <v>45709</v>
      </c>
      <c r="C298" s="1" t="n">
        <v>46171</v>
      </c>
      <c r="D298" t="inlineStr">
        <is>
          <t>GOTLANDS LÄN</t>
        </is>
      </c>
      <c r="E298" t="inlineStr">
        <is>
          <t>GOTLAND</t>
        </is>
      </c>
      <c r="G298" t="n">
        <v>5.2</v>
      </c>
      <c r="H298" t="n">
        <v>0</v>
      </c>
      <c r="I298" t="n">
        <v>0</v>
      </c>
      <c r="J298" t="n">
        <v>0</v>
      </c>
      <c r="K298" t="n">
        <v>0</v>
      </c>
      <c r="L298" t="n">
        <v>0</v>
      </c>
      <c r="M298" t="n">
        <v>0</v>
      </c>
      <c r="N298" t="n">
        <v>0</v>
      </c>
      <c r="O298" t="n">
        <v>0</v>
      </c>
      <c r="P298" t="n">
        <v>0</v>
      </c>
      <c r="Q298" t="n">
        <v>0</v>
      </c>
      <c r="R298" s="2" t="inlineStr"/>
    </row>
    <row r="299" ht="15" customHeight="1">
      <c r="A299" t="inlineStr">
        <is>
          <t>A 10158-2025</t>
        </is>
      </c>
      <c r="B299" s="1" t="n">
        <v>45719</v>
      </c>
      <c r="C299" s="1" t="n">
        <v>46171</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1355-2026</t>
        </is>
      </c>
      <c r="B300" s="1" t="n">
        <v>46031.59909722222</v>
      </c>
      <c r="C300" s="1" t="n">
        <v>46171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43911-2025</t>
        </is>
      </c>
      <c r="B301" s="1" t="n">
        <v>45914.3881712963</v>
      </c>
      <c r="C301" s="1" t="n">
        <v>46171</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44410-2025</t>
        </is>
      </c>
      <c r="B302" s="1" t="n">
        <v>45916.53699074074</v>
      </c>
      <c r="C302" s="1" t="n">
        <v>46171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46171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46171</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43951-2025</t>
        </is>
      </c>
      <c r="B305" s="1" t="n">
        <v>45915.38119212963</v>
      </c>
      <c r="C305" s="1" t="n">
        <v>46171</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44405-2025</t>
        </is>
      </c>
      <c r="B306" s="1" t="n">
        <v>45916.52405092592</v>
      </c>
      <c r="C306" s="1" t="n">
        <v>46171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1898-2026</t>
        </is>
      </c>
      <c r="B307" s="1" t="n">
        <v>46035.52024305556</v>
      </c>
      <c r="C307" s="1" t="n">
        <v>46171</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1291-2023</t>
        </is>
      </c>
      <c r="B308" s="1" t="n">
        <v>44936.47561342592</v>
      </c>
      <c r="C308" s="1" t="n">
        <v>46171</v>
      </c>
      <c r="D308" t="inlineStr">
        <is>
          <t>GOTLANDS LÄN</t>
        </is>
      </c>
      <c r="E308" t="inlineStr">
        <is>
          <t>GOTLAND</t>
        </is>
      </c>
      <c r="G308" t="n">
        <v>7.4</v>
      </c>
      <c r="H308" t="n">
        <v>0</v>
      </c>
      <c r="I308" t="n">
        <v>0</v>
      </c>
      <c r="J308" t="n">
        <v>0</v>
      </c>
      <c r="K308" t="n">
        <v>0</v>
      </c>
      <c r="L308" t="n">
        <v>0</v>
      </c>
      <c r="M308" t="n">
        <v>0</v>
      </c>
      <c r="N308" t="n">
        <v>0</v>
      </c>
      <c r="O308" t="n">
        <v>0</v>
      </c>
      <c r="P308" t="n">
        <v>0</v>
      </c>
      <c r="Q308" t="n">
        <v>0</v>
      </c>
      <c r="R308" s="2" t="inlineStr"/>
    </row>
    <row r="309" ht="15" customHeight="1">
      <c r="A309" t="inlineStr">
        <is>
          <t>A 57652-2023</t>
        </is>
      </c>
      <c r="B309" s="1" t="n">
        <v>45246</v>
      </c>
      <c r="C309" s="1" t="n">
        <v>46171</v>
      </c>
      <c r="D309" t="inlineStr">
        <is>
          <t>GOTLANDS LÄN</t>
        </is>
      </c>
      <c r="E309" t="inlineStr">
        <is>
          <t>GOTLAND</t>
        </is>
      </c>
      <c r="G309" t="n">
        <v>7.2</v>
      </c>
      <c r="H309" t="n">
        <v>0</v>
      </c>
      <c r="I309" t="n">
        <v>0</v>
      </c>
      <c r="J309" t="n">
        <v>0</v>
      </c>
      <c r="K309" t="n">
        <v>0</v>
      </c>
      <c r="L309" t="n">
        <v>0</v>
      </c>
      <c r="M309" t="n">
        <v>0</v>
      </c>
      <c r="N309" t="n">
        <v>0</v>
      </c>
      <c r="O309" t="n">
        <v>0</v>
      </c>
      <c r="P309" t="n">
        <v>0</v>
      </c>
      <c r="Q309" t="n">
        <v>0</v>
      </c>
      <c r="R309" s="2" t="inlineStr"/>
    </row>
    <row r="310" ht="15" customHeight="1">
      <c r="A310" t="inlineStr">
        <is>
          <t>A 19905-2025</t>
        </is>
      </c>
      <c r="B310" s="1" t="n">
        <v>45771</v>
      </c>
      <c r="C310" s="1" t="n">
        <v>46171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2415-2026</t>
        </is>
      </c>
      <c r="B311" s="1" t="n">
        <v>46036.76203703704</v>
      </c>
      <c r="C311" s="1" t="n">
        <v>46171</v>
      </c>
      <c r="D311" t="inlineStr">
        <is>
          <t>GOTLANDS LÄN</t>
        </is>
      </c>
      <c r="E311" t="inlineStr">
        <is>
          <t>GOTLAND</t>
        </is>
      </c>
      <c r="G311" t="n">
        <v>6.9</v>
      </c>
      <c r="H311" t="n">
        <v>0</v>
      </c>
      <c r="I311" t="n">
        <v>0</v>
      </c>
      <c r="J311" t="n">
        <v>0</v>
      </c>
      <c r="K311" t="n">
        <v>0</v>
      </c>
      <c r="L311" t="n">
        <v>0</v>
      </c>
      <c r="M311" t="n">
        <v>0</v>
      </c>
      <c r="N311" t="n">
        <v>0</v>
      </c>
      <c r="O311" t="n">
        <v>0</v>
      </c>
      <c r="P311" t="n">
        <v>0</v>
      </c>
      <c r="Q311" t="n">
        <v>0</v>
      </c>
      <c r="R311" s="2" t="inlineStr"/>
    </row>
    <row r="312" ht="15" customHeight="1">
      <c r="A312" t="inlineStr">
        <is>
          <t>A 29196-2025</t>
        </is>
      </c>
      <c r="B312" s="1" t="n">
        <v>45822</v>
      </c>
      <c r="C312" s="1" t="n">
        <v>46171</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49315-2024</t>
        </is>
      </c>
      <c r="B313" s="1" t="n">
        <v>45595</v>
      </c>
      <c r="C313" s="1" t="n">
        <v>46171</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45106-2024</t>
        </is>
      </c>
      <c r="B314" s="1" t="n">
        <v>45575</v>
      </c>
      <c r="C314" s="1" t="n">
        <v>46171</v>
      </c>
      <c r="D314" t="inlineStr">
        <is>
          <t>GOTLANDS LÄN</t>
        </is>
      </c>
      <c r="E314" t="inlineStr">
        <is>
          <t>GOTLAND</t>
        </is>
      </c>
      <c r="G314" t="n">
        <v>10</v>
      </c>
      <c r="H314" t="n">
        <v>0</v>
      </c>
      <c r="I314" t="n">
        <v>0</v>
      </c>
      <c r="J314" t="n">
        <v>0</v>
      </c>
      <c r="K314" t="n">
        <v>0</v>
      </c>
      <c r="L314" t="n">
        <v>0</v>
      </c>
      <c r="M314" t="n">
        <v>0</v>
      </c>
      <c r="N314" t="n">
        <v>0</v>
      </c>
      <c r="O314" t="n">
        <v>0</v>
      </c>
      <c r="P314" t="n">
        <v>0</v>
      </c>
      <c r="Q314" t="n">
        <v>0</v>
      </c>
      <c r="R314" s="2" t="inlineStr"/>
    </row>
    <row r="315" ht="15" customHeight="1">
      <c r="A315" t="inlineStr">
        <is>
          <t>A 45112-2024</t>
        </is>
      </c>
      <c r="B315" s="1" t="n">
        <v>45575</v>
      </c>
      <c r="C315" s="1" t="n">
        <v>46171</v>
      </c>
      <c r="D315" t="inlineStr">
        <is>
          <t>GOTLANDS LÄN</t>
        </is>
      </c>
      <c r="E315" t="inlineStr">
        <is>
          <t>GOTLAND</t>
        </is>
      </c>
      <c r="G315" t="n">
        <v>5.1</v>
      </c>
      <c r="H315" t="n">
        <v>0</v>
      </c>
      <c r="I315" t="n">
        <v>0</v>
      </c>
      <c r="J315" t="n">
        <v>0</v>
      </c>
      <c r="K315" t="n">
        <v>0</v>
      </c>
      <c r="L315" t="n">
        <v>0</v>
      </c>
      <c r="M315" t="n">
        <v>0</v>
      </c>
      <c r="N315" t="n">
        <v>0</v>
      </c>
      <c r="O315" t="n">
        <v>0</v>
      </c>
      <c r="P315" t="n">
        <v>0</v>
      </c>
      <c r="Q315" t="n">
        <v>0</v>
      </c>
      <c r="R315" s="2" t="inlineStr"/>
    </row>
    <row r="316" ht="15" customHeight="1">
      <c r="A316" t="inlineStr">
        <is>
          <t>A 2676-2023</t>
        </is>
      </c>
      <c r="B316" s="1" t="n">
        <v>44944</v>
      </c>
      <c r="C316" s="1" t="n">
        <v>46171</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46171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3150-2025</t>
        </is>
      </c>
      <c r="B318" s="1" t="n">
        <v>45679.28974537037</v>
      </c>
      <c r="C318" s="1" t="n">
        <v>46171</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8484-2025</t>
        </is>
      </c>
      <c r="B319" s="1" t="n">
        <v>45709</v>
      </c>
      <c r="C319" s="1" t="n">
        <v>46171</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7635-2025</t>
        </is>
      </c>
      <c r="B320" s="1" t="n">
        <v>45705</v>
      </c>
      <c r="C320" s="1" t="n">
        <v>46171</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7636-2025</t>
        </is>
      </c>
      <c r="B321" s="1" t="n">
        <v>45705.7687962963</v>
      </c>
      <c r="C321" s="1" t="n">
        <v>46171</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7639-2025</t>
        </is>
      </c>
      <c r="B322" s="1" t="n">
        <v>45705.77465277778</v>
      </c>
      <c r="C322" s="1" t="n">
        <v>46171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3253-2026</t>
        </is>
      </c>
      <c r="B323" s="1" t="n">
        <v>46041.58902777778</v>
      </c>
      <c r="C323" s="1" t="n">
        <v>46171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46171</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46171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14141-2024</t>
        </is>
      </c>
      <c r="B326" s="1" t="n">
        <v>45392.85193287037</v>
      </c>
      <c r="C326" s="1" t="n">
        <v>46171</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29809-2022</t>
        </is>
      </c>
      <c r="B327" s="1" t="n">
        <v>44755.8713425926</v>
      </c>
      <c r="C327" s="1" t="n">
        <v>46171</v>
      </c>
      <c r="D327" t="inlineStr">
        <is>
          <t>GOTLANDS LÄN</t>
        </is>
      </c>
      <c r="E327" t="inlineStr">
        <is>
          <t>GOTLAND</t>
        </is>
      </c>
      <c r="G327" t="n">
        <v>11.5</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46171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26391-2025</t>
        </is>
      </c>
      <c r="B329" s="1" t="n">
        <v>45806</v>
      </c>
      <c r="C329" s="1" t="n">
        <v>46171</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46171</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44897.4777662037</v>
      </c>
      <c r="C331" s="1" t="n">
        <v>46171</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46836-2025</t>
        </is>
      </c>
      <c r="B332" s="1" t="n">
        <v>45928.31511574074</v>
      </c>
      <c r="C332" s="1" t="n">
        <v>46171</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30815-2023</t>
        </is>
      </c>
      <c r="B333" s="1" t="n">
        <v>45112</v>
      </c>
      <c r="C333" s="1" t="n">
        <v>46171</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4646-2026</t>
        </is>
      </c>
      <c r="B334" s="1" t="n">
        <v>46048.40357638889</v>
      </c>
      <c r="C334" s="1" t="n">
        <v>46171</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1839-2026</t>
        </is>
      </c>
      <c r="B335" s="1" t="n">
        <v>46035.3942824074</v>
      </c>
      <c r="C335" s="1" t="n">
        <v>46171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4634-2026</t>
        </is>
      </c>
      <c r="B336" s="1" t="n">
        <v>46048.39304398148</v>
      </c>
      <c r="C336" s="1" t="n">
        <v>46171</v>
      </c>
      <c r="D336" t="inlineStr">
        <is>
          <t>GOTLANDS LÄN</t>
        </is>
      </c>
      <c r="E336" t="inlineStr">
        <is>
          <t>GOTLAND</t>
        </is>
      </c>
      <c r="G336" t="n">
        <v>7.8</v>
      </c>
      <c r="H336" t="n">
        <v>0</v>
      </c>
      <c r="I336" t="n">
        <v>0</v>
      </c>
      <c r="J336" t="n">
        <v>0</v>
      </c>
      <c r="K336" t="n">
        <v>0</v>
      </c>
      <c r="L336" t="n">
        <v>0</v>
      </c>
      <c r="M336" t="n">
        <v>0</v>
      </c>
      <c r="N336" t="n">
        <v>0</v>
      </c>
      <c r="O336" t="n">
        <v>0</v>
      </c>
      <c r="P336" t="n">
        <v>0</v>
      </c>
      <c r="Q336" t="n">
        <v>0</v>
      </c>
      <c r="R336" s="2" t="inlineStr"/>
    </row>
    <row r="337" ht="15" customHeight="1">
      <c r="A337" t="inlineStr">
        <is>
          <t>A 7034-2023</t>
        </is>
      </c>
      <c r="B337" s="1" t="n">
        <v>44968.32108796296</v>
      </c>
      <c r="C337" s="1" t="n">
        <v>46171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7042-2023</t>
        </is>
      </c>
      <c r="B338" s="1" t="n">
        <v>44968</v>
      </c>
      <c r="C338" s="1" t="n">
        <v>46171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23516-2023</t>
        </is>
      </c>
      <c r="B339" s="1" t="n">
        <v>45076.93391203704</v>
      </c>
      <c r="C339" s="1" t="n">
        <v>46171</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64660-2023</t>
        </is>
      </c>
      <c r="B340" s="1" t="n">
        <v>45281.60122685185</v>
      </c>
      <c r="C340" s="1" t="n">
        <v>46171</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63763-2023</t>
        </is>
      </c>
      <c r="B341" s="1" t="n">
        <v>45278.33944444444</v>
      </c>
      <c r="C341" s="1" t="n">
        <v>46171</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47637-2025</t>
        </is>
      </c>
      <c r="B342" s="1" t="n">
        <v>45931.49753472222</v>
      </c>
      <c r="C342" s="1" t="n">
        <v>46171</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4670-2026</t>
        </is>
      </c>
      <c r="B343" s="1" t="n">
        <v>46048.41733796296</v>
      </c>
      <c r="C343" s="1" t="n">
        <v>46171</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63229-2021</t>
        </is>
      </c>
      <c r="B344" s="1" t="n">
        <v>44508.34518518519</v>
      </c>
      <c r="C344" s="1" t="n">
        <v>46171</v>
      </c>
      <c r="D344" t="inlineStr">
        <is>
          <t>GOTLANDS LÄN</t>
        </is>
      </c>
      <c r="E344" t="inlineStr">
        <is>
          <t>GOTLAND</t>
        </is>
      </c>
      <c r="F344" t="inlineStr">
        <is>
          <t>Kyrkan</t>
        </is>
      </c>
      <c r="G344" t="n">
        <v>3.8</v>
      </c>
      <c r="H344" t="n">
        <v>0</v>
      </c>
      <c r="I344" t="n">
        <v>0</v>
      </c>
      <c r="J344" t="n">
        <v>0</v>
      </c>
      <c r="K344" t="n">
        <v>0</v>
      </c>
      <c r="L344" t="n">
        <v>0</v>
      </c>
      <c r="M344" t="n">
        <v>0</v>
      </c>
      <c r="N344" t="n">
        <v>0</v>
      </c>
      <c r="O344" t="n">
        <v>0</v>
      </c>
      <c r="P344" t="n">
        <v>0</v>
      </c>
      <c r="Q344" t="n">
        <v>0</v>
      </c>
      <c r="R344" s="2" t="inlineStr"/>
    </row>
    <row r="345" ht="15" customHeight="1">
      <c r="A345" t="inlineStr">
        <is>
          <t>A 46375-2024</t>
        </is>
      </c>
      <c r="B345" s="1" t="n">
        <v>45582</v>
      </c>
      <c r="C345" s="1" t="n">
        <v>46171</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46171</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46171</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32379-2025</t>
        </is>
      </c>
      <c r="B348" s="1" t="n">
        <v>45837</v>
      </c>
      <c r="C348" s="1" t="n">
        <v>46171</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47578-2025</t>
        </is>
      </c>
      <c r="B349" s="1" t="n">
        <v>45931</v>
      </c>
      <c r="C349" s="1" t="n">
        <v>46171</v>
      </c>
      <c r="D349" t="inlineStr">
        <is>
          <t>GOTLANDS LÄN</t>
        </is>
      </c>
      <c r="E349" t="inlineStr">
        <is>
          <t>GOTLAND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1734-2025</t>
        </is>
      </c>
      <c r="B350" s="1" t="n">
        <v>45671.3840625</v>
      </c>
      <c r="C350" s="1" t="n">
        <v>46171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49724-2025</t>
        </is>
      </c>
      <c r="B351" s="1" t="n">
        <v>45939.83730324074</v>
      </c>
      <c r="C351" s="1" t="n">
        <v>46171</v>
      </c>
      <c r="D351" t="inlineStr">
        <is>
          <t>GOTLANDS LÄN</t>
        </is>
      </c>
      <c r="E351" t="inlineStr">
        <is>
          <t>GOTLAND</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49730-2025</t>
        </is>
      </c>
      <c r="B352" s="1" t="n">
        <v>45939.87613425926</v>
      </c>
      <c r="C352" s="1" t="n">
        <v>46171</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20993-2023</t>
        </is>
      </c>
      <c r="B353" s="1" t="n">
        <v>45056</v>
      </c>
      <c r="C353" s="1" t="n">
        <v>46171</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32467-2025</t>
        </is>
      </c>
      <c r="B354" s="1" t="n">
        <v>45838.42111111111</v>
      </c>
      <c r="C354" s="1" t="n">
        <v>46171</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46171</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33011-2025</t>
        </is>
      </c>
      <c r="B356" s="1" t="n">
        <v>45840</v>
      </c>
      <c r="C356" s="1" t="n">
        <v>46171</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16109-2025</t>
        </is>
      </c>
      <c r="B357" s="1" t="n">
        <v>45750</v>
      </c>
      <c r="C357" s="1" t="n">
        <v>46171</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46171</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50421-2025</t>
        </is>
      </c>
      <c r="B359" s="1" t="n">
        <v>45944.66049768519</v>
      </c>
      <c r="C359" s="1" t="n">
        <v>46171</v>
      </c>
      <c r="D359" t="inlineStr">
        <is>
          <t>GOTLANDS LÄN</t>
        </is>
      </c>
      <c r="E359" t="inlineStr">
        <is>
          <t>GOTLAND</t>
        </is>
      </c>
      <c r="G359" t="n">
        <v>3.9</v>
      </c>
      <c r="H359" t="n">
        <v>0</v>
      </c>
      <c r="I359" t="n">
        <v>0</v>
      </c>
      <c r="J359" t="n">
        <v>0</v>
      </c>
      <c r="K359" t="n">
        <v>0</v>
      </c>
      <c r="L359" t="n">
        <v>0</v>
      </c>
      <c r="M359" t="n">
        <v>0</v>
      </c>
      <c r="N359" t="n">
        <v>0</v>
      </c>
      <c r="O359" t="n">
        <v>0</v>
      </c>
      <c r="P359" t="n">
        <v>0</v>
      </c>
      <c r="Q359" t="n">
        <v>0</v>
      </c>
      <c r="R359" s="2" t="inlineStr"/>
    </row>
    <row r="360" ht="15" customHeight="1">
      <c r="A360" t="inlineStr">
        <is>
          <t>A 2125-2025</t>
        </is>
      </c>
      <c r="B360" s="1" t="n">
        <v>45672.64940972222</v>
      </c>
      <c r="C360" s="1" t="n">
        <v>46171</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33007-2025</t>
        </is>
      </c>
      <c r="B361" s="1" t="n">
        <v>45840</v>
      </c>
      <c r="C361" s="1" t="n">
        <v>46171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12155-2023</t>
        </is>
      </c>
      <c r="B362" s="1" t="n">
        <v>44998.49106481481</v>
      </c>
      <c r="C362" s="1" t="n">
        <v>46171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457-2023</t>
        </is>
      </c>
      <c r="B363" s="1" t="n">
        <v>44929.87238425926</v>
      </c>
      <c r="C363" s="1" t="n">
        <v>46171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459-2023</t>
        </is>
      </c>
      <c r="B364" s="1" t="n">
        <v>44929.87423611111</v>
      </c>
      <c r="C364" s="1" t="n">
        <v>46171</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38234-2023</t>
        </is>
      </c>
      <c r="B365" s="1" t="n">
        <v>45161.56663194444</v>
      </c>
      <c r="C365" s="1" t="n">
        <v>46171</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6218-2026</t>
        </is>
      </c>
      <c r="B366" s="1" t="n">
        <v>46055.42859953704</v>
      </c>
      <c r="C366" s="1" t="n">
        <v>46171</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46171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46171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50744-2024</t>
        </is>
      </c>
      <c r="B369" s="1" t="n">
        <v>45602.4187037037</v>
      </c>
      <c r="C369" s="1" t="n">
        <v>46171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6207-2026</t>
        </is>
      </c>
      <c r="B370" s="1" t="n">
        <v>46055.42083333333</v>
      </c>
      <c r="C370" s="1" t="n">
        <v>46171</v>
      </c>
      <c r="D370" t="inlineStr">
        <is>
          <t>GOTLANDS LÄN</t>
        </is>
      </c>
      <c r="E370" t="inlineStr">
        <is>
          <t>GOTLAND</t>
        </is>
      </c>
      <c r="G370" t="n">
        <v>7.6</v>
      </c>
      <c r="H370" t="n">
        <v>0</v>
      </c>
      <c r="I370" t="n">
        <v>0</v>
      </c>
      <c r="J370" t="n">
        <v>0</v>
      </c>
      <c r="K370" t="n">
        <v>0</v>
      </c>
      <c r="L370" t="n">
        <v>0</v>
      </c>
      <c r="M370" t="n">
        <v>0</v>
      </c>
      <c r="N370" t="n">
        <v>0</v>
      </c>
      <c r="O370" t="n">
        <v>0</v>
      </c>
      <c r="P370" t="n">
        <v>0</v>
      </c>
      <c r="Q370" t="n">
        <v>0</v>
      </c>
      <c r="R370" s="2" t="inlineStr"/>
    </row>
    <row r="371" ht="15" customHeight="1">
      <c r="A371" t="inlineStr">
        <is>
          <t>A 6959-2026</t>
        </is>
      </c>
      <c r="B371" s="1" t="n">
        <v>46057.580625</v>
      </c>
      <c r="C371" s="1" t="n">
        <v>46171</v>
      </c>
      <c r="D371" t="inlineStr">
        <is>
          <t>GOTLANDS LÄN</t>
        </is>
      </c>
      <c r="E371" t="inlineStr">
        <is>
          <t>GOTLAND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53934-2024</t>
        </is>
      </c>
      <c r="B372" s="1" t="n">
        <v>45615</v>
      </c>
      <c r="C372" s="1" t="n">
        <v>46171</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46171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6960-2026</t>
        </is>
      </c>
      <c r="B374" s="1" t="n">
        <v>46057.58105324074</v>
      </c>
      <c r="C374" s="1" t="n">
        <v>46171</v>
      </c>
      <c r="D374" t="inlineStr">
        <is>
          <t>GOTLANDS LÄN</t>
        </is>
      </c>
      <c r="E374" t="inlineStr">
        <is>
          <t>GOTLAND</t>
        </is>
      </c>
      <c r="F374" t="inlineStr">
        <is>
          <t>Kyrkan</t>
        </is>
      </c>
      <c r="G374" t="n">
        <v>2.4</v>
      </c>
      <c r="H374" t="n">
        <v>0</v>
      </c>
      <c r="I374" t="n">
        <v>0</v>
      </c>
      <c r="J374" t="n">
        <v>0</v>
      </c>
      <c r="K374" t="n">
        <v>0</v>
      </c>
      <c r="L374" t="n">
        <v>0</v>
      </c>
      <c r="M374" t="n">
        <v>0</v>
      </c>
      <c r="N374" t="n">
        <v>0</v>
      </c>
      <c r="O374" t="n">
        <v>0</v>
      </c>
      <c r="P374" t="n">
        <v>0</v>
      </c>
      <c r="Q374" t="n">
        <v>0</v>
      </c>
      <c r="R374" s="2" t="inlineStr"/>
    </row>
    <row r="375" ht="15" customHeight="1">
      <c r="A375" t="inlineStr">
        <is>
          <t>A 15413-2025</t>
        </is>
      </c>
      <c r="B375" s="1" t="n">
        <v>45747.451875</v>
      </c>
      <c r="C375" s="1" t="n">
        <v>46171</v>
      </c>
      <c r="D375" t="inlineStr">
        <is>
          <t>GOTLANDS LÄN</t>
        </is>
      </c>
      <c r="E375" t="inlineStr">
        <is>
          <t>GOTLAND</t>
        </is>
      </c>
      <c r="G375" t="n">
        <v>0.6</v>
      </c>
      <c r="H375" t="n">
        <v>0</v>
      </c>
      <c r="I375" t="n">
        <v>0</v>
      </c>
      <c r="J375" t="n">
        <v>0</v>
      </c>
      <c r="K375" t="n">
        <v>0</v>
      </c>
      <c r="L375" t="n">
        <v>0</v>
      </c>
      <c r="M375" t="n">
        <v>0</v>
      </c>
      <c r="N375" t="n">
        <v>0</v>
      </c>
      <c r="O375" t="n">
        <v>0</v>
      </c>
      <c r="P375" t="n">
        <v>0</v>
      </c>
      <c r="Q375" t="n">
        <v>0</v>
      </c>
      <c r="R375" s="2" t="inlineStr"/>
    </row>
    <row r="376" ht="15" customHeight="1">
      <c r="A376" t="inlineStr">
        <is>
          <t>A 7627-2026</t>
        </is>
      </c>
      <c r="B376" s="1" t="n">
        <v>46062.35465277778</v>
      </c>
      <c r="C376" s="1" t="n">
        <v>46171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46171</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63105-2025</t>
        </is>
      </c>
      <c r="B378" s="1" t="n">
        <v>46009</v>
      </c>
      <c r="C378" s="1" t="n">
        <v>46171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35123-2025</t>
        </is>
      </c>
      <c r="B379" s="1" t="n">
        <v>45852.614375</v>
      </c>
      <c r="C379" s="1" t="n">
        <v>46171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52249-2025</t>
        </is>
      </c>
      <c r="B380" s="1" t="n">
        <v>45953.48637731482</v>
      </c>
      <c r="C380" s="1" t="n">
        <v>46171</v>
      </c>
      <c r="D380" t="inlineStr">
        <is>
          <t>GOTLANDS LÄN</t>
        </is>
      </c>
      <c r="E380" t="inlineStr">
        <is>
          <t>GOTLAND</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31264-2021</t>
        </is>
      </c>
      <c r="B381" s="1" t="n">
        <v>44368</v>
      </c>
      <c r="C381" s="1" t="n">
        <v>46171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35096-2025</t>
        </is>
      </c>
      <c r="B382" s="1" t="n">
        <v>45852.54356481481</v>
      </c>
      <c r="C382" s="1" t="n">
        <v>46171</v>
      </c>
      <c r="D382" t="inlineStr">
        <is>
          <t>GOTLANDS LÄN</t>
        </is>
      </c>
      <c r="E382" t="inlineStr">
        <is>
          <t>GOTLAND</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43901-2023</t>
        </is>
      </c>
      <c r="B383" s="1" t="n">
        <v>45187</v>
      </c>
      <c r="C383" s="1" t="n">
        <v>46171</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16501-2023</t>
        </is>
      </c>
      <c r="B385" s="1" t="n">
        <v>45029</v>
      </c>
      <c r="C385" s="1" t="n">
        <v>46171</v>
      </c>
      <c r="D385" t="inlineStr">
        <is>
          <t>GOTLANDS LÄN</t>
        </is>
      </c>
      <c r="E385" t="inlineStr">
        <is>
          <t>GOTLAND</t>
        </is>
      </c>
      <c r="G385" t="n">
        <v>3.1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46171</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30104-2025</t>
        </is>
      </c>
      <c r="B387" s="1" t="n">
        <v>45826.68806712963</v>
      </c>
      <c r="C387" s="1" t="n">
        <v>46171</v>
      </c>
      <c r="D387" t="inlineStr">
        <is>
          <t>GOTLANDS LÄN</t>
        </is>
      </c>
      <c r="E387" t="inlineStr">
        <is>
          <t>GOTLAND</t>
        </is>
      </c>
      <c r="G387" t="n">
        <v>15.4</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46171</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35290-2025</t>
        </is>
      </c>
      <c r="B389" s="1" t="n">
        <v>45854.38502314815</v>
      </c>
      <c r="C389" s="1" t="n">
        <v>46171</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32669-2024</t>
        </is>
      </c>
      <c r="B390" s="1" t="n">
        <v>45514</v>
      </c>
      <c r="C390" s="1" t="n">
        <v>46171</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46171</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2135-2026</t>
        </is>
      </c>
      <c r="B392" s="1" t="n">
        <v>46036</v>
      </c>
      <c r="C392" s="1" t="n">
        <v>46171</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35537-2025</t>
        </is>
      </c>
      <c r="B393" s="1" t="n">
        <v>45856</v>
      </c>
      <c r="C393" s="1" t="n">
        <v>46171</v>
      </c>
      <c r="D393" t="inlineStr">
        <is>
          <t>GOTLANDS LÄN</t>
        </is>
      </c>
      <c r="E393" t="inlineStr">
        <is>
          <t>GOTLAND</t>
        </is>
      </c>
      <c r="G393" t="n">
        <v>16.8</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46171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53569-2025</t>
        </is>
      </c>
      <c r="B395" s="1" t="n">
        <v>45960.41155092593</v>
      </c>
      <c r="C395" s="1" t="n">
        <v>46171</v>
      </c>
      <c r="D395" t="inlineStr">
        <is>
          <t>GOTLANDS LÄN</t>
        </is>
      </c>
      <c r="E395" t="inlineStr">
        <is>
          <t>GOTLAND</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53577-2025</t>
        </is>
      </c>
      <c r="B396" s="1" t="n">
        <v>45960.42224537037</v>
      </c>
      <c r="C396" s="1" t="n">
        <v>46171</v>
      </c>
      <c r="D396" t="inlineStr">
        <is>
          <t>GOTLANDS LÄN</t>
        </is>
      </c>
      <c r="E396" t="inlineStr">
        <is>
          <t>GOTLAND</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46171</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46171</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46171</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15216-2025</t>
        </is>
      </c>
      <c r="B400" s="1" t="n">
        <v>45744</v>
      </c>
      <c r="C400" s="1" t="n">
        <v>46171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43790-2024</t>
        </is>
      </c>
      <c r="B401" s="1" t="n">
        <v>45571</v>
      </c>
      <c r="C401" s="1" t="n">
        <v>46171</v>
      </c>
      <c r="D401" t="inlineStr">
        <is>
          <t>GOTLANDS LÄN</t>
        </is>
      </c>
      <c r="E401" t="inlineStr">
        <is>
          <t>GOTLAND</t>
        </is>
      </c>
      <c r="G401" t="n">
        <v>3.5</v>
      </c>
      <c r="H401" t="n">
        <v>0</v>
      </c>
      <c r="I401" t="n">
        <v>0</v>
      </c>
      <c r="J401" t="n">
        <v>0</v>
      </c>
      <c r="K401" t="n">
        <v>0</v>
      </c>
      <c r="L401" t="n">
        <v>0</v>
      </c>
      <c r="M401" t="n">
        <v>0</v>
      </c>
      <c r="N401" t="n">
        <v>0</v>
      </c>
      <c r="O401" t="n">
        <v>0</v>
      </c>
      <c r="P401" t="n">
        <v>0</v>
      </c>
      <c r="Q401" t="n">
        <v>0</v>
      </c>
      <c r="R401" s="2" t="inlineStr"/>
    </row>
    <row r="402" ht="15" customHeight="1">
      <c r="A402" t="inlineStr">
        <is>
          <t>A 15001-2025</t>
        </is>
      </c>
      <c r="B402" s="1" t="n">
        <v>45743</v>
      </c>
      <c r="C402" s="1" t="n">
        <v>46171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43081-2022</t>
        </is>
      </c>
      <c r="B403" s="1" t="n">
        <v>44833</v>
      </c>
      <c r="C403" s="1" t="n">
        <v>46171</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30488-2025</t>
        </is>
      </c>
      <c r="B404" s="1" t="n">
        <v>45830</v>
      </c>
      <c r="C404" s="1" t="n">
        <v>46171</v>
      </c>
      <c r="D404" t="inlineStr">
        <is>
          <t>GOTLANDS LÄN</t>
        </is>
      </c>
      <c r="E404" t="inlineStr">
        <is>
          <t>GOTLAND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32958-2021</t>
        </is>
      </c>
      <c r="B405" s="1" t="n">
        <v>44376</v>
      </c>
      <c r="C405" s="1" t="n">
        <v>46171</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2134-2026</t>
        </is>
      </c>
      <c r="B406" s="1" t="n">
        <v>46036</v>
      </c>
      <c r="C406" s="1" t="n">
        <v>46171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5884-2025</t>
        </is>
      </c>
      <c r="B407" s="1" t="n">
        <v>45695.37482638889</v>
      </c>
      <c r="C407" s="1" t="n">
        <v>46171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5897-2025</t>
        </is>
      </c>
      <c r="B408" s="1" t="n">
        <v>45695.39273148148</v>
      </c>
      <c r="C408" s="1" t="n">
        <v>46171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17847-2025</t>
        </is>
      </c>
      <c r="B409" s="1" t="n">
        <v>45758</v>
      </c>
      <c r="C409" s="1" t="n">
        <v>46171</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18742-2025</t>
        </is>
      </c>
      <c r="B410" s="1" t="n">
        <v>45763</v>
      </c>
      <c r="C410" s="1" t="n">
        <v>46171</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35129-2025</t>
        </is>
      </c>
      <c r="B411" s="1" t="n">
        <v>45852.63224537037</v>
      </c>
      <c r="C411" s="1" t="n">
        <v>46171</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49693-2023</t>
        </is>
      </c>
      <c r="B412" s="1" t="n">
        <v>45212.38138888889</v>
      </c>
      <c r="C412" s="1" t="n">
        <v>46171</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49697-2023</t>
        </is>
      </c>
      <c r="B413" s="1" t="n">
        <v>45212.38909722222</v>
      </c>
      <c r="C413" s="1" t="n">
        <v>46171</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17901-2023</t>
        </is>
      </c>
      <c r="B414" s="1" t="n">
        <v>45039</v>
      </c>
      <c r="C414" s="1" t="n">
        <v>46171</v>
      </c>
      <c r="D414" t="inlineStr">
        <is>
          <t>GOTLANDS LÄN</t>
        </is>
      </c>
      <c r="E414" t="inlineStr">
        <is>
          <t>GOTLAND</t>
        </is>
      </c>
      <c r="F414" t="inlineStr">
        <is>
          <t>Kyrkan</t>
        </is>
      </c>
      <c r="G414" t="n">
        <v>0.6</v>
      </c>
      <c r="H414" t="n">
        <v>0</v>
      </c>
      <c r="I414" t="n">
        <v>0</v>
      </c>
      <c r="J414" t="n">
        <v>0</v>
      </c>
      <c r="K414" t="n">
        <v>0</v>
      </c>
      <c r="L414" t="n">
        <v>0</v>
      </c>
      <c r="M414" t="n">
        <v>0</v>
      </c>
      <c r="N414" t="n">
        <v>0</v>
      </c>
      <c r="O414" t="n">
        <v>0</v>
      </c>
      <c r="P414" t="n">
        <v>0</v>
      </c>
      <c r="Q414" t="n">
        <v>0</v>
      </c>
      <c r="R414" s="2" t="inlineStr"/>
    </row>
    <row r="415" ht="15" customHeight="1">
      <c r="A415" t="inlineStr">
        <is>
          <t>A 52892-2021</t>
        </is>
      </c>
      <c r="B415" s="1" t="n">
        <v>44467.49048611111</v>
      </c>
      <c r="C415" s="1" t="n">
        <v>46171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53561-2025</t>
        </is>
      </c>
      <c r="B416" s="1" t="n">
        <v>45960.4059375</v>
      </c>
      <c r="C416" s="1" t="n">
        <v>46171</v>
      </c>
      <c r="D416" t="inlineStr">
        <is>
          <t>GOTLANDS LÄN</t>
        </is>
      </c>
      <c r="E416" t="inlineStr">
        <is>
          <t>GOTLAND</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46396-2023</t>
        </is>
      </c>
      <c r="B417" s="1" t="n">
        <v>45197</v>
      </c>
      <c r="C417" s="1" t="n">
        <v>46171</v>
      </c>
      <c r="D417" t="inlineStr">
        <is>
          <t>GOTLANDS LÄN</t>
        </is>
      </c>
      <c r="E417" t="inlineStr">
        <is>
          <t>GOTLAND</t>
        </is>
      </c>
      <c r="G417" t="n">
        <v>1.4</v>
      </c>
      <c r="H417" t="n">
        <v>0</v>
      </c>
      <c r="I417" t="n">
        <v>0</v>
      </c>
      <c r="J417" t="n">
        <v>0</v>
      </c>
      <c r="K417" t="n">
        <v>0</v>
      </c>
      <c r="L417" t="n">
        <v>0</v>
      </c>
      <c r="M417" t="n">
        <v>0</v>
      </c>
      <c r="N417" t="n">
        <v>0</v>
      </c>
      <c r="O417" t="n">
        <v>0</v>
      </c>
      <c r="P417" t="n">
        <v>0</v>
      </c>
      <c r="Q417" t="n">
        <v>0</v>
      </c>
      <c r="R417" s="2" t="inlineStr"/>
    </row>
    <row r="418" ht="15" customHeight="1">
      <c r="A418" t="inlineStr">
        <is>
          <t>A 53587-2025</t>
        </is>
      </c>
      <c r="B418" s="1" t="n">
        <v>45960.43681712963</v>
      </c>
      <c r="C418" s="1" t="n">
        <v>46171</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56799-2025</t>
        </is>
      </c>
      <c r="B419" s="1" t="n">
        <v>45978.43392361111</v>
      </c>
      <c r="C419" s="1" t="n">
        <v>46171</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9504-2026</t>
        </is>
      </c>
      <c r="B420" s="1" t="n">
        <v>46071.57730324074</v>
      </c>
      <c r="C420" s="1" t="n">
        <v>46171</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9518-2026</t>
        </is>
      </c>
      <c r="B421" s="1" t="n">
        <v>46071.59653935185</v>
      </c>
      <c r="C421" s="1" t="n">
        <v>46171</v>
      </c>
      <c r="D421" t="inlineStr">
        <is>
          <t>GOTLANDS LÄN</t>
        </is>
      </c>
      <c r="E421" t="inlineStr">
        <is>
          <t>GOTLAND</t>
        </is>
      </c>
      <c r="G421" t="n">
        <v>6.2</v>
      </c>
      <c r="H421" t="n">
        <v>0</v>
      </c>
      <c r="I421" t="n">
        <v>0</v>
      </c>
      <c r="J421" t="n">
        <v>0</v>
      </c>
      <c r="K421" t="n">
        <v>0</v>
      </c>
      <c r="L421" t="n">
        <v>0</v>
      </c>
      <c r="M421" t="n">
        <v>0</v>
      </c>
      <c r="N421" t="n">
        <v>0</v>
      </c>
      <c r="O421" t="n">
        <v>0</v>
      </c>
      <c r="P421" t="n">
        <v>0</v>
      </c>
      <c r="Q421" t="n">
        <v>0</v>
      </c>
      <c r="R421" s="2" t="inlineStr"/>
    </row>
    <row r="422" ht="15" customHeight="1">
      <c r="A422" t="inlineStr">
        <is>
          <t>A 9519-2026</t>
        </is>
      </c>
      <c r="B422" s="1" t="n">
        <v>46071.59820601852</v>
      </c>
      <c r="C422" s="1" t="n">
        <v>46171</v>
      </c>
      <c r="D422" t="inlineStr">
        <is>
          <t>GOTLANDS LÄN</t>
        </is>
      </c>
      <c r="E422" t="inlineStr">
        <is>
          <t>GOTLAND</t>
        </is>
      </c>
      <c r="G422" t="n">
        <v>4</v>
      </c>
      <c r="H422" t="n">
        <v>0</v>
      </c>
      <c r="I422" t="n">
        <v>0</v>
      </c>
      <c r="J422" t="n">
        <v>0</v>
      </c>
      <c r="K422" t="n">
        <v>0</v>
      </c>
      <c r="L422" t="n">
        <v>0</v>
      </c>
      <c r="M422" t="n">
        <v>0</v>
      </c>
      <c r="N422" t="n">
        <v>0</v>
      </c>
      <c r="O422" t="n">
        <v>0</v>
      </c>
      <c r="P422" t="n">
        <v>0</v>
      </c>
      <c r="Q422" t="n">
        <v>0</v>
      </c>
      <c r="R422" s="2" t="inlineStr"/>
    </row>
    <row r="423" ht="15" customHeight="1">
      <c r="A423" t="inlineStr">
        <is>
          <t>A 9540-2026</t>
        </is>
      </c>
      <c r="B423" s="1" t="n">
        <v>46071.61961805556</v>
      </c>
      <c r="C423" s="1" t="n">
        <v>46171</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56688-2025</t>
        </is>
      </c>
      <c r="B424" s="1" t="n">
        <v>45975.84331018518</v>
      </c>
      <c r="C424" s="1" t="n">
        <v>46171</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9521-2026</t>
        </is>
      </c>
      <c r="B425" s="1" t="n">
        <v>46071.59969907408</v>
      </c>
      <c r="C425" s="1" t="n">
        <v>46171</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9524-2026</t>
        </is>
      </c>
      <c r="B426" s="1" t="n">
        <v>46071.60108796296</v>
      </c>
      <c r="C426" s="1" t="n">
        <v>46171</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9543-2026</t>
        </is>
      </c>
      <c r="B427" s="1" t="n">
        <v>46071.62486111111</v>
      </c>
      <c r="C427" s="1" t="n">
        <v>46171</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46171</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46171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6108-2025</t>
        </is>
      </c>
      <c r="B430" s="1" t="n">
        <v>45698.29880787037</v>
      </c>
      <c r="C430" s="1" t="n">
        <v>46171</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21142-2025</t>
        </is>
      </c>
      <c r="B431" s="1" t="n">
        <v>45779</v>
      </c>
      <c r="C431" s="1" t="n">
        <v>46171</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69112-2021</t>
        </is>
      </c>
      <c r="B432" s="1" t="n">
        <v>44530</v>
      </c>
      <c r="C432" s="1" t="n">
        <v>46171</v>
      </c>
      <c r="D432" t="inlineStr">
        <is>
          <t>GOTLANDS LÄN</t>
        </is>
      </c>
      <c r="E432" t="inlineStr">
        <is>
          <t>GOTLAND</t>
        </is>
      </c>
      <c r="G432" t="n">
        <v>4.2</v>
      </c>
      <c r="H432" t="n">
        <v>0</v>
      </c>
      <c r="I432" t="n">
        <v>0</v>
      </c>
      <c r="J432" t="n">
        <v>0</v>
      </c>
      <c r="K432" t="n">
        <v>0</v>
      </c>
      <c r="L432" t="n">
        <v>0</v>
      </c>
      <c r="M432" t="n">
        <v>0</v>
      </c>
      <c r="N432" t="n">
        <v>0</v>
      </c>
      <c r="O432" t="n">
        <v>0</v>
      </c>
      <c r="P432" t="n">
        <v>0</v>
      </c>
      <c r="Q432" t="n">
        <v>0</v>
      </c>
      <c r="R432" s="2" t="inlineStr"/>
    </row>
    <row r="433" ht="15" customHeight="1">
      <c r="A433" t="inlineStr">
        <is>
          <t>A 17343-2025</t>
        </is>
      </c>
      <c r="B433" s="1" t="n">
        <v>45756.6687037037</v>
      </c>
      <c r="C433" s="1" t="n">
        <v>46171</v>
      </c>
      <c r="D433" t="inlineStr">
        <is>
          <t>GOTLANDS LÄN</t>
        </is>
      </c>
      <c r="E433" t="inlineStr">
        <is>
          <t>GOTLAND</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45705.77306712963</v>
      </c>
      <c r="C434" s="1" t="n">
        <v>46171</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50482-2024</t>
        </is>
      </c>
      <c r="B435" s="1" t="n">
        <v>45601.48114583334</v>
      </c>
      <c r="C435" s="1" t="n">
        <v>46171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18938-2025</t>
        </is>
      </c>
      <c r="B436" s="1" t="n">
        <v>45764.49172453704</v>
      </c>
      <c r="C436" s="1" t="n">
        <v>46171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1394-2023</t>
        </is>
      </c>
      <c r="B437" s="1" t="n">
        <v>44936.72997685185</v>
      </c>
      <c r="C437" s="1" t="n">
        <v>46171</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30489-2025</t>
        </is>
      </c>
      <c r="B438" s="1" t="n">
        <v>45830</v>
      </c>
      <c r="C438" s="1" t="n">
        <v>46171</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20307-2025</t>
        </is>
      </c>
      <c r="B439" s="1" t="n">
        <v>45774.95546296296</v>
      </c>
      <c r="C439" s="1" t="n">
        <v>46171</v>
      </c>
      <c r="D439" t="inlineStr">
        <is>
          <t>GOTLANDS LÄN</t>
        </is>
      </c>
      <c r="E439" t="inlineStr">
        <is>
          <t>GOTLAND</t>
        </is>
      </c>
      <c r="G439" t="n">
        <v>6.8</v>
      </c>
      <c r="H439" t="n">
        <v>0</v>
      </c>
      <c r="I439" t="n">
        <v>0</v>
      </c>
      <c r="J439" t="n">
        <v>0</v>
      </c>
      <c r="K439" t="n">
        <v>0</v>
      </c>
      <c r="L439" t="n">
        <v>0</v>
      </c>
      <c r="M439" t="n">
        <v>0</v>
      </c>
      <c r="N439" t="n">
        <v>0</v>
      </c>
      <c r="O439" t="n">
        <v>0</v>
      </c>
      <c r="P439" t="n">
        <v>0</v>
      </c>
      <c r="Q439" t="n">
        <v>0</v>
      </c>
      <c r="R439" s="2" t="inlineStr"/>
    </row>
    <row r="440" ht="15" customHeight="1">
      <c r="A440" t="inlineStr">
        <is>
          <t>A 58230-2024</t>
        </is>
      </c>
      <c r="B440" s="1" t="n">
        <v>45632.51625</v>
      </c>
      <c r="C440" s="1" t="n">
        <v>46171</v>
      </c>
      <c r="D440" t="inlineStr">
        <is>
          <t>GOTLANDS LÄN</t>
        </is>
      </c>
      <c r="E440" t="inlineStr">
        <is>
          <t>GOTLAND</t>
        </is>
      </c>
      <c r="G440" t="n">
        <v>7.3</v>
      </c>
      <c r="H440" t="n">
        <v>0</v>
      </c>
      <c r="I440" t="n">
        <v>0</v>
      </c>
      <c r="J440" t="n">
        <v>0</v>
      </c>
      <c r="K440" t="n">
        <v>0</v>
      </c>
      <c r="L440" t="n">
        <v>0</v>
      </c>
      <c r="M440" t="n">
        <v>0</v>
      </c>
      <c r="N440" t="n">
        <v>0</v>
      </c>
      <c r="O440" t="n">
        <v>0</v>
      </c>
      <c r="P440" t="n">
        <v>0</v>
      </c>
      <c r="Q440" t="n">
        <v>0</v>
      </c>
      <c r="R440" s="2" t="inlineStr"/>
    </row>
    <row r="441" ht="15" customHeight="1">
      <c r="A441" t="inlineStr">
        <is>
          <t>A 1462-2025</t>
        </is>
      </c>
      <c r="B441" s="1" t="n">
        <v>45670.36319444444</v>
      </c>
      <c r="C441" s="1" t="n">
        <v>46171</v>
      </c>
      <c r="D441" t="inlineStr">
        <is>
          <t>GOTLANDS LÄN</t>
        </is>
      </c>
      <c r="E441" t="inlineStr">
        <is>
          <t>GOTLAND</t>
        </is>
      </c>
      <c r="G441" t="n">
        <v>2.8</v>
      </c>
      <c r="H441" t="n">
        <v>0</v>
      </c>
      <c r="I441" t="n">
        <v>0</v>
      </c>
      <c r="J441" t="n">
        <v>0</v>
      </c>
      <c r="K441" t="n">
        <v>0</v>
      </c>
      <c r="L441" t="n">
        <v>0</v>
      </c>
      <c r="M441" t="n">
        <v>0</v>
      </c>
      <c r="N441" t="n">
        <v>0</v>
      </c>
      <c r="O441" t="n">
        <v>0</v>
      </c>
      <c r="P441" t="n">
        <v>0</v>
      </c>
      <c r="Q441" t="n">
        <v>0</v>
      </c>
      <c r="R441" s="2" t="inlineStr"/>
    </row>
    <row r="442" ht="15" customHeight="1">
      <c r="A442" t="inlineStr">
        <is>
          <t>A 10486-2026</t>
        </is>
      </c>
      <c r="B442" s="1" t="n">
        <v>46077.51425925926</v>
      </c>
      <c r="C442" s="1" t="n">
        <v>46171</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59197-2025</t>
        </is>
      </c>
      <c r="B443" s="1" t="n">
        <v>45988.59846064815</v>
      </c>
      <c r="C443" s="1" t="n">
        <v>46171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9901-2026</t>
        </is>
      </c>
      <c r="B444" s="1" t="n">
        <v>46073.40391203704</v>
      </c>
      <c r="C444" s="1" t="n">
        <v>46171</v>
      </c>
      <c r="D444" t="inlineStr">
        <is>
          <t>GOTLANDS LÄN</t>
        </is>
      </c>
      <c r="E444" t="inlineStr">
        <is>
          <t>GOTLAND</t>
        </is>
      </c>
      <c r="F444" t="inlineStr">
        <is>
          <t>Kyrkan</t>
        </is>
      </c>
      <c r="G444" t="n">
        <v>0.9</v>
      </c>
      <c r="H444" t="n">
        <v>0</v>
      </c>
      <c r="I444" t="n">
        <v>0</v>
      </c>
      <c r="J444" t="n">
        <v>0</v>
      </c>
      <c r="K444" t="n">
        <v>0</v>
      </c>
      <c r="L444" t="n">
        <v>0</v>
      </c>
      <c r="M444" t="n">
        <v>0</v>
      </c>
      <c r="N444" t="n">
        <v>0</v>
      </c>
      <c r="O444" t="n">
        <v>0</v>
      </c>
      <c r="P444" t="n">
        <v>0</v>
      </c>
      <c r="Q444" t="n">
        <v>0</v>
      </c>
      <c r="R444" s="2" t="inlineStr"/>
    </row>
    <row r="445" ht="15" customHeight="1">
      <c r="A445" t="inlineStr">
        <is>
          <t>A 10284-2026</t>
        </is>
      </c>
      <c r="B445" s="1" t="n">
        <v>46076</v>
      </c>
      <c r="C445" s="1" t="n">
        <v>46171</v>
      </c>
      <c r="D445" t="inlineStr">
        <is>
          <t>GOTLANDS LÄN</t>
        </is>
      </c>
      <c r="E445" t="inlineStr">
        <is>
          <t>GOTLAND</t>
        </is>
      </c>
      <c r="G445" t="n">
        <v>5.2</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46171</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46171</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60384-2025</t>
        </is>
      </c>
      <c r="B448" s="1" t="n">
        <v>45995</v>
      </c>
      <c r="C448" s="1" t="n">
        <v>46171</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5386-2023</t>
        </is>
      </c>
      <c r="B449" s="1" t="n">
        <v>44959</v>
      </c>
      <c r="C449" s="1" t="n">
        <v>46171</v>
      </c>
      <c r="D449" t="inlineStr">
        <is>
          <t>GOTLANDS LÄN</t>
        </is>
      </c>
      <c r="E449" t="inlineStr">
        <is>
          <t>GOTLAND</t>
        </is>
      </c>
      <c r="G449" t="n">
        <v>5.4</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46171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46171</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46171</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46171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46171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11424-2026</t>
        </is>
      </c>
      <c r="B455" s="1" t="n">
        <v>46083.48068287037</v>
      </c>
      <c r="C455" s="1" t="n">
        <v>46171</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11414-2026</t>
        </is>
      </c>
      <c r="B456" s="1" t="n">
        <v>46083.46336805556</v>
      </c>
      <c r="C456" s="1" t="n">
        <v>46171</v>
      </c>
      <c r="D456" t="inlineStr">
        <is>
          <t>GOTLANDS LÄN</t>
        </is>
      </c>
      <c r="E456" t="inlineStr">
        <is>
          <t>GOTLAND</t>
        </is>
      </c>
      <c r="G456" t="n">
        <v>4.9</v>
      </c>
      <c r="H456" t="n">
        <v>0</v>
      </c>
      <c r="I456" t="n">
        <v>0</v>
      </c>
      <c r="J456" t="n">
        <v>0</v>
      </c>
      <c r="K456" t="n">
        <v>0</v>
      </c>
      <c r="L456" t="n">
        <v>0</v>
      </c>
      <c r="M456" t="n">
        <v>0</v>
      </c>
      <c r="N456" t="n">
        <v>0</v>
      </c>
      <c r="O456" t="n">
        <v>0</v>
      </c>
      <c r="P456" t="n">
        <v>0</v>
      </c>
      <c r="Q456" t="n">
        <v>0</v>
      </c>
      <c r="R456" s="2" t="inlineStr"/>
    </row>
    <row r="457" ht="15" customHeight="1">
      <c r="A457" t="inlineStr">
        <is>
          <t>A 54584-2025</t>
        </is>
      </c>
      <c r="B457" s="1" t="n">
        <v>45965.71788194445</v>
      </c>
      <c r="C457" s="1" t="n">
        <v>46171</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46171</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47762-2023</t>
        </is>
      </c>
      <c r="B459" s="1" t="n">
        <v>45203.86256944444</v>
      </c>
      <c r="C459" s="1" t="n">
        <v>46171</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46171</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46171</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28480-2023</t>
        </is>
      </c>
      <c r="B462" s="1" t="n">
        <v>45103</v>
      </c>
      <c r="C462" s="1" t="n">
        <v>46171</v>
      </c>
      <c r="D462" t="inlineStr">
        <is>
          <t>GOTLANDS LÄN</t>
        </is>
      </c>
      <c r="E462" t="inlineStr">
        <is>
          <t>GOTLAND</t>
        </is>
      </c>
      <c r="G462" t="n">
        <v>5.7</v>
      </c>
      <c r="H462" t="n">
        <v>0</v>
      </c>
      <c r="I462" t="n">
        <v>0</v>
      </c>
      <c r="J462" t="n">
        <v>0</v>
      </c>
      <c r="K462" t="n">
        <v>0</v>
      </c>
      <c r="L462" t="n">
        <v>0</v>
      </c>
      <c r="M462" t="n">
        <v>0</v>
      </c>
      <c r="N462" t="n">
        <v>0</v>
      </c>
      <c r="O462" t="n">
        <v>0</v>
      </c>
      <c r="P462" t="n">
        <v>0</v>
      </c>
      <c r="Q462" t="n">
        <v>0</v>
      </c>
      <c r="R462" s="2" t="inlineStr"/>
    </row>
    <row r="463" ht="15" customHeight="1">
      <c r="A463" t="inlineStr">
        <is>
          <t>A 28485-2023</t>
        </is>
      </c>
      <c r="B463" s="1" t="n">
        <v>45103.43731481482</v>
      </c>
      <c r="C463" s="1" t="n">
        <v>46171</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46171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44949-2023</t>
        </is>
      </c>
      <c r="B465" s="1" t="n">
        <v>45190.69520833333</v>
      </c>
      <c r="C465" s="1" t="n">
        <v>46171</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37222-2021</t>
        </is>
      </c>
      <c r="B466" s="1" t="n">
        <v>44396</v>
      </c>
      <c r="C466" s="1" t="n">
        <v>46171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3964-2024</t>
        </is>
      </c>
      <c r="B467" s="1" t="n">
        <v>45322</v>
      </c>
      <c r="C467" s="1" t="n">
        <v>46171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45084-2024</t>
        </is>
      </c>
      <c r="B468" s="1" t="n">
        <v>45575</v>
      </c>
      <c r="C468" s="1" t="n">
        <v>46171</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11982-2026</t>
        </is>
      </c>
      <c r="B469" s="1" t="n">
        <v>46085.6434375</v>
      </c>
      <c r="C469" s="1" t="n">
        <v>46171</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5217-2023</t>
        </is>
      </c>
      <c r="B470" s="1" t="n">
        <v>44959.39582175926</v>
      </c>
      <c r="C470" s="1" t="n">
        <v>46171</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1677-2023</t>
        </is>
      </c>
      <c r="B471" s="1" t="n">
        <v>44938</v>
      </c>
      <c r="C471" s="1" t="n">
        <v>46171</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45244-2024</t>
        </is>
      </c>
      <c r="B472" s="1" t="n">
        <v>45576</v>
      </c>
      <c r="C472" s="1" t="n">
        <v>46171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8260-2023</t>
        </is>
      </c>
      <c r="B473" s="1" t="n">
        <v>44974.61608796296</v>
      </c>
      <c r="C473" s="1" t="n">
        <v>46171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64969-2023</t>
        </is>
      </c>
      <c r="B474" s="1" t="n">
        <v>45284.54009259259</v>
      </c>
      <c r="C474" s="1" t="n">
        <v>46171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48843-2024</t>
        </is>
      </c>
      <c r="B475" s="1" t="n">
        <v>45593</v>
      </c>
      <c r="C475" s="1" t="n">
        <v>46171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17541-2024</t>
        </is>
      </c>
      <c r="B476" s="1" t="n">
        <v>45415</v>
      </c>
      <c r="C476" s="1" t="n">
        <v>46171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2241-2025</t>
        </is>
      </c>
      <c r="B477" s="1" t="n">
        <v>45673.48710648148</v>
      </c>
      <c r="C477" s="1" t="n">
        <v>46171</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15434-2024</t>
        </is>
      </c>
      <c r="B478" s="1" t="n">
        <v>45401.38836805556</v>
      </c>
      <c r="C478" s="1" t="n">
        <v>46171</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5943-2024</t>
        </is>
      </c>
      <c r="B479" s="1" t="n">
        <v>45336</v>
      </c>
      <c r="C479" s="1" t="n">
        <v>46171</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54073-2022</t>
        </is>
      </c>
      <c r="B480" s="1" t="n">
        <v>44881.50380787037</v>
      </c>
      <c r="C480" s="1" t="n">
        <v>46171</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16361-2024</t>
        </is>
      </c>
      <c r="B481" s="1" t="n">
        <v>45407</v>
      </c>
      <c r="C481" s="1" t="n">
        <v>46171</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41038-2023</t>
        </is>
      </c>
      <c r="B482" s="1" t="n">
        <v>45173.60959490741</v>
      </c>
      <c r="C482" s="1" t="n">
        <v>46171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14427-2024</t>
        </is>
      </c>
      <c r="B483" s="1" t="n">
        <v>45394</v>
      </c>
      <c r="C483" s="1" t="n">
        <v>46171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31802-2024</t>
        </is>
      </c>
      <c r="B484" s="1" t="n">
        <v>45509</v>
      </c>
      <c r="C484" s="1" t="n">
        <v>46171</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12135-2026</t>
        </is>
      </c>
      <c r="B485" s="1" t="n">
        <v>46086</v>
      </c>
      <c r="C485" s="1" t="n">
        <v>46171</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46171</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19322-2026</t>
        </is>
      </c>
      <c r="B487" s="1" t="n">
        <v>46129</v>
      </c>
      <c r="C487" s="1" t="n">
        <v>46171</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44609.44362268518</v>
      </c>
      <c r="C488" s="1" t="n">
        <v>46171</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12846-2025</t>
        </is>
      </c>
      <c r="B489" s="1" t="n">
        <v>45733.65049768519</v>
      </c>
      <c r="C489" s="1" t="n">
        <v>46171</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46949-2024</t>
        </is>
      </c>
      <c r="B490" s="1" t="n">
        <v>45585</v>
      </c>
      <c r="C490" s="1" t="n">
        <v>46171</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44624.57945601852</v>
      </c>
      <c r="C491" s="1" t="n">
        <v>46171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11634-2024</t>
        </is>
      </c>
      <c r="B492" s="1" t="n">
        <v>45373</v>
      </c>
      <c r="C492" s="1" t="n">
        <v>46171</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1351-2025</t>
        </is>
      </c>
      <c r="B493" s="1" t="n">
        <v>45667.62246527777</v>
      </c>
      <c r="C493" s="1" t="n">
        <v>46171</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46171</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49874-2024</t>
        </is>
      </c>
      <c r="B495" s="1" t="n">
        <v>45597.49274305555</v>
      </c>
      <c r="C495" s="1" t="n">
        <v>46171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46171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46171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46171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46171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46171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61897-2024</t>
        </is>
      </c>
      <c r="B501" s="1" t="n">
        <v>45652.75685185185</v>
      </c>
      <c r="C501" s="1" t="n">
        <v>46171</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62754-2025</t>
        </is>
      </c>
      <c r="B502" s="1" t="n">
        <v>46008</v>
      </c>
      <c r="C502" s="1" t="n">
        <v>46171</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49962-2023</t>
        </is>
      </c>
      <c r="B503" s="1" t="n">
        <v>45215.38775462963</v>
      </c>
      <c r="C503" s="1" t="n">
        <v>46171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44698.49854166667</v>
      </c>
      <c r="C504" s="1" t="n">
        <v>46171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46171</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12032-2025</t>
        </is>
      </c>
      <c r="B506" s="1" t="n">
        <v>45728.64472222222</v>
      </c>
      <c r="C506" s="1" t="n">
        <v>46171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38787-2023</t>
        </is>
      </c>
      <c r="B507" s="1" t="n">
        <v>45163</v>
      </c>
      <c r="C507" s="1" t="n">
        <v>46171</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46171</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17532-2024</t>
        </is>
      </c>
      <c r="B509" s="1" t="n">
        <v>45415</v>
      </c>
      <c r="C509" s="1" t="n">
        <v>46171</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46171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46171</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13486-2026</t>
        </is>
      </c>
      <c r="B512" s="1" t="n">
        <v>46094</v>
      </c>
      <c r="C512" s="1" t="n">
        <v>46171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62751-2025</t>
        </is>
      </c>
      <c r="B513" s="1" t="n">
        <v>46008</v>
      </c>
      <c r="C513" s="1" t="n">
        <v>46171</v>
      </c>
      <c r="D513" t="inlineStr">
        <is>
          <t>GOTLANDS LÄN</t>
        </is>
      </c>
      <c r="E513" t="inlineStr">
        <is>
          <t>GOTLAND</t>
        </is>
      </c>
      <c r="F513" t="inlineStr">
        <is>
          <t>Övriga Aktiebolag</t>
        </is>
      </c>
      <c r="G513" t="n">
        <v>7.8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45772.65802083333</v>
      </c>
      <c r="C514" s="1" t="n">
        <v>46171</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883-2025</t>
        </is>
      </c>
      <c r="B515" s="1" t="n">
        <v>45665</v>
      </c>
      <c r="C515" s="1" t="n">
        <v>46171</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1066-2024</t>
        </is>
      </c>
      <c r="B516" s="1" t="n">
        <v>45302.285</v>
      </c>
      <c r="C516" s="1" t="n">
        <v>46171</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17144-2025</t>
        </is>
      </c>
      <c r="B517" s="1" t="n">
        <v>45755.9499537037</v>
      </c>
      <c r="C517" s="1" t="n">
        <v>46171</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46171</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46171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581-2023</t>
        </is>
      </c>
      <c r="B520" s="1" t="n">
        <v>44930</v>
      </c>
      <c r="C520" s="1" t="n">
        <v>46171</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61386-2023</t>
        </is>
      </c>
      <c r="B521" s="1" t="n">
        <v>45264</v>
      </c>
      <c r="C521" s="1" t="n">
        <v>46171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873-2024</t>
        </is>
      </c>
      <c r="B522" s="1" t="n">
        <v>45301</v>
      </c>
      <c r="C522" s="1" t="n">
        <v>46171</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49411-2023</t>
        </is>
      </c>
      <c r="B523" s="1" t="n">
        <v>45205</v>
      </c>
      <c r="C523" s="1" t="n">
        <v>46171</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46171</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46171</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14797-2024</t>
        </is>
      </c>
      <c r="B526" s="1" t="n">
        <v>45397.87030092593</v>
      </c>
      <c r="C526" s="1" t="n">
        <v>46171</v>
      </c>
      <c r="D526" t="inlineStr">
        <is>
          <t>GOTLANDS LÄN</t>
        </is>
      </c>
      <c r="E526" t="inlineStr">
        <is>
          <t>GOTLAND</t>
        </is>
      </c>
      <c r="G526" t="n">
        <v>8.1</v>
      </c>
      <c r="H526" t="n">
        <v>0</v>
      </c>
      <c r="I526" t="n">
        <v>0</v>
      </c>
      <c r="J526" t="n">
        <v>0</v>
      </c>
      <c r="K526" t="n">
        <v>0</v>
      </c>
      <c r="L526" t="n">
        <v>0</v>
      </c>
      <c r="M526" t="n">
        <v>0</v>
      </c>
      <c r="N526" t="n">
        <v>0</v>
      </c>
      <c r="O526" t="n">
        <v>0</v>
      </c>
      <c r="P526" t="n">
        <v>0</v>
      </c>
      <c r="Q526" t="n">
        <v>0</v>
      </c>
      <c r="R526" s="2" t="inlineStr"/>
    </row>
    <row r="527" ht="15" customHeight="1">
      <c r="A527" t="inlineStr">
        <is>
          <t>A 999-2024</t>
        </is>
      </c>
      <c r="B527" s="1" t="n">
        <v>45301</v>
      </c>
      <c r="C527" s="1" t="n">
        <v>46171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61596-2023</t>
        </is>
      </c>
      <c r="B528" s="1" t="n">
        <v>45265</v>
      </c>
      <c r="C528" s="1" t="n">
        <v>46171</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14638-2025</t>
        </is>
      </c>
      <c r="B529" s="1" t="n">
        <v>45742</v>
      </c>
      <c r="C529" s="1" t="n">
        <v>46171</v>
      </c>
      <c r="D529" t="inlineStr">
        <is>
          <t>GOTLANDS LÄN</t>
        </is>
      </c>
      <c r="E529" t="inlineStr">
        <is>
          <t>GOTLAND</t>
        </is>
      </c>
      <c r="G529" t="n">
        <v>13.4</v>
      </c>
      <c r="H529" t="n">
        <v>0</v>
      </c>
      <c r="I529" t="n">
        <v>0</v>
      </c>
      <c r="J529" t="n">
        <v>0</v>
      </c>
      <c r="K529" t="n">
        <v>0</v>
      </c>
      <c r="L529" t="n">
        <v>0</v>
      </c>
      <c r="M529" t="n">
        <v>0</v>
      </c>
      <c r="N529" t="n">
        <v>0</v>
      </c>
      <c r="O529" t="n">
        <v>0</v>
      </c>
      <c r="P529" t="n">
        <v>0</v>
      </c>
      <c r="Q529" t="n">
        <v>0</v>
      </c>
      <c r="R529" s="2" t="inlineStr"/>
    </row>
    <row r="530" ht="15" customHeight="1">
      <c r="A530" t="inlineStr">
        <is>
          <t>A 60675-2021</t>
        </is>
      </c>
      <c r="B530" s="1" t="n">
        <v>44496.64855324074</v>
      </c>
      <c r="C530" s="1" t="n">
        <v>46171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37728-2024</t>
        </is>
      </c>
      <c r="B531" s="1" t="n">
        <v>45541</v>
      </c>
      <c r="C531" s="1" t="n">
        <v>46171</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14840-2026</t>
        </is>
      </c>
      <c r="B532" s="1" t="n">
        <v>46104.39498842593</v>
      </c>
      <c r="C532" s="1" t="n">
        <v>46171</v>
      </c>
      <c r="D532" t="inlineStr">
        <is>
          <t>GOTLANDS LÄN</t>
        </is>
      </c>
      <c r="E532" t="inlineStr">
        <is>
          <t>GOTLAND</t>
        </is>
      </c>
      <c r="G532" t="n">
        <v>2.5</v>
      </c>
      <c r="H532" t="n">
        <v>0</v>
      </c>
      <c r="I532" t="n">
        <v>0</v>
      </c>
      <c r="J532" t="n">
        <v>0</v>
      </c>
      <c r="K532" t="n">
        <v>0</v>
      </c>
      <c r="L532" t="n">
        <v>0</v>
      </c>
      <c r="M532" t="n">
        <v>0</v>
      </c>
      <c r="N532" t="n">
        <v>0</v>
      </c>
      <c r="O532" t="n">
        <v>0</v>
      </c>
      <c r="P532" t="n">
        <v>0</v>
      </c>
      <c r="Q532" t="n">
        <v>0</v>
      </c>
      <c r="R532" s="2" t="inlineStr"/>
    </row>
    <row r="533" ht="15" customHeight="1">
      <c r="A533" t="inlineStr">
        <is>
          <t>A 22287-2022</t>
        </is>
      </c>
      <c r="B533" s="1" t="n">
        <v>44712</v>
      </c>
      <c r="C533" s="1" t="n">
        <v>46171</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46171</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46171</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13910-2025</t>
        </is>
      </c>
      <c r="B536" s="1" t="n">
        <v>45737</v>
      </c>
      <c r="C536" s="1" t="n">
        <v>46171</v>
      </c>
      <c r="D536" t="inlineStr">
        <is>
          <t>GOTLANDS LÄN</t>
        </is>
      </c>
      <c r="E536" t="inlineStr">
        <is>
          <t>GOTLAND</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17780-2022</t>
        </is>
      </c>
      <c r="B537" s="1" t="n">
        <v>44682.82622685185</v>
      </c>
      <c r="C537" s="1" t="n">
        <v>46171</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59986-2022</t>
        </is>
      </c>
      <c r="B538" s="1" t="n">
        <v>44909</v>
      </c>
      <c r="C538" s="1" t="n">
        <v>46171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21396-2026</t>
        </is>
      </c>
      <c r="B539" s="1" t="n">
        <v>46148.30710648148</v>
      </c>
      <c r="C539" s="1" t="n">
        <v>46171</v>
      </c>
      <c r="D539" t="inlineStr">
        <is>
          <t>GOTLANDS LÄN</t>
        </is>
      </c>
      <c r="E539" t="inlineStr">
        <is>
          <t>GOTLAND</t>
        </is>
      </c>
      <c r="G539" t="n">
        <v>6.1</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46171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46171</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46171</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4662-2026</t>
        </is>
      </c>
      <c r="B543" s="1" t="n">
        <v>46048.40949074074</v>
      </c>
      <c r="C543" s="1" t="n">
        <v>46171</v>
      </c>
      <c r="D543" t="inlineStr">
        <is>
          <t>GOTLANDS LÄN</t>
        </is>
      </c>
      <c r="E543" t="inlineStr">
        <is>
          <t>GOTLAND</t>
        </is>
      </c>
      <c r="G543" t="n">
        <v>7.6</v>
      </c>
      <c r="H543" t="n">
        <v>0</v>
      </c>
      <c r="I543" t="n">
        <v>0</v>
      </c>
      <c r="J543" t="n">
        <v>0</v>
      </c>
      <c r="K543" t="n">
        <v>0</v>
      </c>
      <c r="L543" t="n">
        <v>0</v>
      </c>
      <c r="M543" t="n">
        <v>0</v>
      </c>
      <c r="N543" t="n">
        <v>0</v>
      </c>
      <c r="O543" t="n">
        <v>0</v>
      </c>
      <c r="P543" t="n">
        <v>0</v>
      </c>
      <c r="Q543" t="n">
        <v>0</v>
      </c>
      <c r="R543" s="2" t="inlineStr"/>
    </row>
    <row r="544" ht="15" customHeight="1">
      <c r="A544" t="inlineStr">
        <is>
          <t>A 64555-2023</t>
        </is>
      </c>
      <c r="B544" s="1" t="n">
        <v>45281</v>
      </c>
      <c r="C544" s="1" t="n">
        <v>46171</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64831-2023</t>
        </is>
      </c>
      <c r="B545" s="1" t="n">
        <v>45282.44924768519</v>
      </c>
      <c r="C545" s="1" t="n">
        <v>46171</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4639-2026</t>
        </is>
      </c>
      <c r="B546" s="1" t="n">
        <v>46048.39880787037</v>
      </c>
      <c r="C546" s="1" t="n">
        <v>46171</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999-2023</t>
        </is>
      </c>
      <c r="B547" s="1" t="n">
        <v>44935</v>
      </c>
      <c r="C547" s="1" t="n">
        <v>46171</v>
      </c>
      <c r="D547" t="inlineStr">
        <is>
          <t>GOTLANDS LÄN</t>
        </is>
      </c>
      <c r="E547" t="inlineStr">
        <is>
          <t>GOTLAND</t>
        </is>
      </c>
      <c r="G547" t="n">
        <v>4.7</v>
      </c>
      <c r="H547" t="n">
        <v>0</v>
      </c>
      <c r="I547" t="n">
        <v>0</v>
      </c>
      <c r="J547" t="n">
        <v>0</v>
      </c>
      <c r="K547" t="n">
        <v>0</v>
      </c>
      <c r="L547" t="n">
        <v>0</v>
      </c>
      <c r="M547" t="n">
        <v>0</v>
      </c>
      <c r="N547" t="n">
        <v>0</v>
      </c>
      <c r="O547" t="n">
        <v>0</v>
      </c>
      <c r="P547" t="n">
        <v>0</v>
      </c>
      <c r="Q547" t="n">
        <v>0</v>
      </c>
      <c r="R547" s="2" t="inlineStr"/>
    </row>
    <row r="548" ht="15" customHeight="1">
      <c r="A548" t="inlineStr">
        <is>
          <t>A 27602-2023</t>
        </is>
      </c>
      <c r="B548" s="1" t="n">
        <v>45097</v>
      </c>
      <c r="C548" s="1" t="n">
        <v>46171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4377-2023</t>
        </is>
      </c>
      <c r="B549" s="1" t="n">
        <v>44955.5502662037</v>
      </c>
      <c r="C549" s="1" t="n">
        <v>46171</v>
      </c>
      <c r="D549" t="inlineStr">
        <is>
          <t>GOTLANDS LÄN</t>
        </is>
      </c>
      <c r="E549" t="inlineStr">
        <is>
          <t>GOTLAND</t>
        </is>
      </c>
      <c r="F549" t="inlineStr">
        <is>
          <t>Kyrkan</t>
        </is>
      </c>
      <c r="G549" t="n">
        <v>0.6</v>
      </c>
      <c r="H549" t="n">
        <v>0</v>
      </c>
      <c r="I549" t="n">
        <v>0</v>
      </c>
      <c r="J549" t="n">
        <v>0</v>
      </c>
      <c r="K549" t="n">
        <v>0</v>
      </c>
      <c r="L549" t="n">
        <v>0</v>
      </c>
      <c r="M549" t="n">
        <v>0</v>
      </c>
      <c r="N549" t="n">
        <v>0</v>
      </c>
      <c r="O549" t="n">
        <v>0</v>
      </c>
      <c r="P549" t="n">
        <v>0</v>
      </c>
      <c r="Q549" t="n">
        <v>0</v>
      </c>
      <c r="R549" s="2" t="inlineStr"/>
    </row>
    <row r="550" ht="15" customHeight="1">
      <c r="A550" t="inlineStr">
        <is>
          <t>A 4387-2023</t>
        </is>
      </c>
      <c r="B550" s="1" t="n">
        <v>44955.73359953704</v>
      </c>
      <c r="C550" s="1" t="n">
        <v>46171</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39479-2022</t>
        </is>
      </c>
      <c r="B551" s="1" t="n">
        <v>44818</v>
      </c>
      <c r="C551" s="1" t="n">
        <v>46171</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46171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46171</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811-2023</t>
        </is>
      </c>
      <c r="B554" s="1" t="n">
        <v>44931</v>
      </c>
      <c r="C554" s="1" t="n">
        <v>46171</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46389-2021</t>
        </is>
      </c>
      <c r="B555" s="1" t="n">
        <v>44443</v>
      </c>
      <c r="C555" s="1" t="n">
        <v>46171</v>
      </c>
      <c r="D555" t="inlineStr">
        <is>
          <t>GOTLANDS LÄN</t>
        </is>
      </c>
      <c r="E555" t="inlineStr">
        <is>
          <t>GOTLAND</t>
        </is>
      </c>
      <c r="F555" t="inlineStr">
        <is>
          <t>Kyrkan</t>
        </is>
      </c>
      <c r="G555" t="n">
        <v>2.1</v>
      </c>
      <c r="H555" t="n">
        <v>0</v>
      </c>
      <c r="I555" t="n">
        <v>0</v>
      </c>
      <c r="J555" t="n">
        <v>0</v>
      </c>
      <c r="K555" t="n">
        <v>0</v>
      </c>
      <c r="L555" t="n">
        <v>0</v>
      </c>
      <c r="M555" t="n">
        <v>0</v>
      </c>
      <c r="N555" t="n">
        <v>0</v>
      </c>
      <c r="O555" t="n">
        <v>0</v>
      </c>
      <c r="P555" t="n">
        <v>0</v>
      </c>
      <c r="Q555" t="n">
        <v>0</v>
      </c>
      <c r="R555" s="2" t="inlineStr"/>
    </row>
    <row r="556" ht="15" customHeight="1">
      <c r="A556" t="inlineStr">
        <is>
          <t>A 26810-2021</t>
        </is>
      </c>
      <c r="B556" s="1" t="n">
        <v>44349.55087962963</v>
      </c>
      <c r="C556" s="1" t="n">
        <v>46171</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5923-2023</t>
        </is>
      </c>
      <c r="B557" s="1" t="n">
        <v>44963.69503472222</v>
      </c>
      <c r="C557" s="1" t="n">
        <v>46171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22351-2026</t>
        </is>
      </c>
      <c r="B558" s="1" t="n">
        <v>46154.58350694444</v>
      </c>
      <c r="C558" s="1" t="n">
        <v>46171</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33853-2024</t>
        </is>
      </c>
      <c r="B559" s="1" t="n">
        <v>45520.64298611111</v>
      </c>
      <c r="C559" s="1" t="n">
        <v>46171</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22275-2026</t>
        </is>
      </c>
      <c r="B560" s="1" t="n">
        <v>46154.41924768518</v>
      </c>
      <c r="C560" s="1" t="n">
        <v>46171</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18918-2025</t>
        </is>
      </c>
      <c r="B561" s="1" t="n">
        <v>45764</v>
      </c>
      <c r="C561" s="1" t="n">
        <v>46171</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22348-2026</t>
        </is>
      </c>
      <c r="B562" s="1" t="n">
        <v>46154.58071759259</v>
      </c>
      <c r="C562" s="1" t="n">
        <v>46171</v>
      </c>
      <c r="D562" t="inlineStr">
        <is>
          <t>GOTLANDS LÄN</t>
        </is>
      </c>
      <c r="E562" t="inlineStr">
        <is>
          <t>GOTLAND</t>
        </is>
      </c>
      <c r="G562" t="n">
        <v>3.3</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46171</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16993-2026</t>
        </is>
      </c>
      <c r="B564" s="1" t="n">
        <v>46114.41918981481</v>
      </c>
      <c r="C564" s="1" t="n">
        <v>46171</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17000-2026</t>
        </is>
      </c>
      <c r="B565" s="1" t="n">
        <v>46114.42690972222</v>
      </c>
      <c r="C565" s="1" t="n">
        <v>46171</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46171</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46171</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46171</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46171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46171</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46171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46171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46171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46171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46171</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22887-2026</t>
        </is>
      </c>
      <c r="B576" s="1" t="n">
        <v>46160.47591435185</v>
      </c>
      <c r="C576" s="1" t="n">
        <v>46171</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44929.87122685185</v>
      </c>
      <c r="C577" s="1" t="n">
        <v>46171</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44944.54896990741</v>
      </c>
      <c r="C578" s="1" t="n">
        <v>46171</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4421-2024</t>
        </is>
      </c>
      <c r="B579" s="1" t="n">
        <v>45327.45173611111</v>
      </c>
      <c r="C579" s="1" t="n">
        <v>46171</v>
      </c>
      <c r="D579" t="inlineStr">
        <is>
          <t>GOTLANDS LÄN</t>
        </is>
      </c>
      <c r="E579" t="inlineStr">
        <is>
          <t>GOTLAND</t>
        </is>
      </c>
      <c r="G579" t="n">
        <v>5.1</v>
      </c>
      <c r="H579" t="n">
        <v>0</v>
      </c>
      <c r="I579" t="n">
        <v>0</v>
      </c>
      <c r="J579" t="n">
        <v>0</v>
      </c>
      <c r="K579" t="n">
        <v>0</v>
      </c>
      <c r="L579" t="n">
        <v>0</v>
      </c>
      <c r="M579" t="n">
        <v>0</v>
      </c>
      <c r="N579" t="n">
        <v>0</v>
      </c>
      <c r="O579" t="n">
        <v>0</v>
      </c>
      <c r="P579" t="n">
        <v>0</v>
      </c>
      <c r="Q579" t="n">
        <v>0</v>
      </c>
      <c r="R579" s="2" t="inlineStr"/>
    </row>
    <row r="580" ht="15" customHeight="1">
      <c r="A580" t="inlineStr">
        <is>
          <t>A 51782-2023</t>
        </is>
      </c>
      <c r="B580" s="1" t="n">
        <v>45222.80952546297</v>
      </c>
      <c r="C580" s="1" t="n">
        <v>46171</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54268-2022</t>
        </is>
      </c>
      <c r="B581" s="1" t="n">
        <v>44882</v>
      </c>
      <c r="C581" s="1" t="n">
        <v>46171</v>
      </c>
      <c r="D581" t="inlineStr">
        <is>
          <t>GOTLANDS LÄN</t>
        </is>
      </c>
      <c r="E581" t="inlineStr">
        <is>
          <t>GOTLAND</t>
        </is>
      </c>
      <c r="G581" t="n">
        <v>2.7</v>
      </c>
      <c r="H581" t="n">
        <v>0</v>
      </c>
      <c r="I581" t="n">
        <v>0</v>
      </c>
      <c r="J581" t="n">
        <v>0</v>
      </c>
      <c r="K581" t="n">
        <v>0</v>
      </c>
      <c r="L581" t="n">
        <v>0</v>
      </c>
      <c r="M581" t="n">
        <v>0</v>
      </c>
      <c r="N581" t="n">
        <v>0</v>
      </c>
      <c r="O581" t="n">
        <v>0</v>
      </c>
      <c r="P581" t="n">
        <v>0</v>
      </c>
      <c r="Q581" t="n">
        <v>0</v>
      </c>
      <c r="R581" s="2" t="inlineStr"/>
    </row>
    <row r="582" ht="15" customHeight="1">
      <c r="A582" t="inlineStr">
        <is>
          <t>A 57534-2022</t>
        </is>
      </c>
      <c r="B582" s="1" t="n">
        <v>44896</v>
      </c>
      <c r="C582" s="1" t="n">
        <v>46171</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23103-2026</t>
        </is>
      </c>
      <c r="B583" s="1" t="n">
        <v>46161.57108796296</v>
      </c>
      <c r="C583" s="1" t="n">
        <v>46171</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5863-2026</t>
        </is>
      </c>
      <c r="B584" s="1" t="n">
        <v>46052</v>
      </c>
      <c r="C584" s="1" t="n">
        <v>46171</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63152-2025</t>
        </is>
      </c>
      <c r="B585" s="1" t="n">
        <v>46010</v>
      </c>
      <c r="C585" s="1" t="n">
        <v>46171</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25866-2022</t>
        </is>
      </c>
      <c r="B586" s="1" t="n">
        <v>44733</v>
      </c>
      <c r="C586" s="1" t="n">
        <v>46171</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43229-2023</t>
        </is>
      </c>
      <c r="B587" s="1" t="n">
        <v>45183.46704861111</v>
      </c>
      <c r="C587" s="1" t="n">
        <v>46171</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1175-2025</t>
        </is>
      </c>
      <c r="B588" s="1" t="n">
        <v>45667.34449074074</v>
      </c>
      <c r="C588" s="1" t="n">
        <v>46171</v>
      </c>
      <c r="D588" t="inlineStr">
        <is>
          <t>GOTLANDS LÄN</t>
        </is>
      </c>
      <c r="E588" t="inlineStr">
        <is>
          <t>GOTLAND</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27095-2022</t>
        </is>
      </c>
      <c r="B589" s="1" t="n">
        <v>44741</v>
      </c>
      <c r="C589" s="1" t="n">
        <v>46171</v>
      </c>
      <c r="D589" t="inlineStr">
        <is>
          <t>GOTLANDS LÄN</t>
        </is>
      </c>
      <c r="E589" t="inlineStr">
        <is>
          <t>GOTLAND</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22899-2023</t>
        </is>
      </c>
      <c r="B590" s="1" t="n">
        <v>45072</v>
      </c>
      <c r="C590" s="1" t="n">
        <v>46171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46171</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34407-2023</t>
        </is>
      </c>
      <c r="B592" s="1" t="n">
        <v>45132</v>
      </c>
      <c r="C592" s="1" t="n">
        <v>46171</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11013-2024</t>
        </is>
      </c>
      <c r="B593" s="1" t="n">
        <v>45370</v>
      </c>
      <c r="C593" s="1" t="n">
        <v>46171</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27694-2024</t>
        </is>
      </c>
      <c r="B594" s="1" t="n">
        <v>45475</v>
      </c>
      <c r="C594" s="1" t="n">
        <v>46171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23504-2026</t>
        </is>
      </c>
      <c r="B595" s="1" t="n">
        <v>46163.45875</v>
      </c>
      <c r="C595" s="1" t="n">
        <v>46171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46171</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13037-2025</t>
        </is>
      </c>
      <c r="B597" s="1" t="n">
        <v>45734</v>
      </c>
      <c r="C597" s="1" t="n">
        <v>46171</v>
      </c>
      <c r="D597" t="inlineStr">
        <is>
          <t>GOTLANDS LÄN</t>
        </is>
      </c>
      <c r="E597" t="inlineStr">
        <is>
          <t>GOTLAND</t>
        </is>
      </c>
      <c r="G597" t="n">
        <v>9.5</v>
      </c>
      <c r="H597" t="n">
        <v>0</v>
      </c>
      <c r="I597" t="n">
        <v>0</v>
      </c>
      <c r="J597" t="n">
        <v>0</v>
      </c>
      <c r="K597" t="n">
        <v>0</v>
      </c>
      <c r="L597" t="n">
        <v>0</v>
      </c>
      <c r="M597" t="n">
        <v>0</v>
      </c>
      <c r="N597" t="n">
        <v>0</v>
      </c>
      <c r="O597" t="n">
        <v>0</v>
      </c>
      <c r="P597" t="n">
        <v>0</v>
      </c>
      <c r="Q597" t="n">
        <v>0</v>
      </c>
      <c r="R597" s="2" t="inlineStr"/>
    </row>
    <row r="598" ht="15" customHeight="1">
      <c r="A598" t="inlineStr">
        <is>
          <t>A 458-2023</t>
        </is>
      </c>
      <c r="B598" s="1" t="n">
        <v>44929</v>
      </c>
      <c r="C598" s="1" t="n">
        <v>46171</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44228-2022</t>
        </is>
      </c>
      <c r="B599" s="1" t="n">
        <v>44839.51599537037</v>
      </c>
      <c r="C599" s="1" t="n">
        <v>46171</v>
      </c>
      <c r="D599" t="inlineStr">
        <is>
          <t>GOTLANDS LÄN</t>
        </is>
      </c>
      <c r="E599" t="inlineStr">
        <is>
          <t>GOTLAND</t>
        </is>
      </c>
      <c r="G599" t="n">
        <v>2.1</v>
      </c>
      <c r="H599" t="n">
        <v>0</v>
      </c>
      <c r="I599" t="n">
        <v>0</v>
      </c>
      <c r="J599" t="n">
        <v>0</v>
      </c>
      <c r="K599" t="n">
        <v>0</v>
      </c>
      <c r="L599" t="n">
        <v>0</v>
      </c>
      <c r="M599" t="n">
        <v>0</v>
      </c>
      <c r="N599" t="n">
        <v>0</v>
      </c>
      <c r="O599" t="n">
        <v>0</v>
      </c>
      <c r="P599" t="n">
        <v>0</v>
      </c>
      <c r="Q599" t="n">
        <v>0</v>
      </c>
      <c r="R599" s="2" t="inlineStr"/>
    </row>
    <row r="600" ht="15" customHeight="1">
      <c r="A600" t="inlineStr">
        <is>
          <t>A 58132-2023</t>
        </is>
      </c>
      <c r="B600" s="1" t="n">
        <v>45250</v>
      </c>
      <c r="C600" s="1" t="n">
        <v>46171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49884-2023</t>
        </is>
      </c>
      <c r="B601" s="1" t="n">
        <v>45213</v>
      </c>
      <c r="C601" s="1" t="n">
        <v>46171</v>
      </c>
      <c r="D601" t="inlineStr">
        <is>
          <t>GOTLANDS LÄN</t>
        </is>
      </c>
      <c r="E601" t="inlineStr">
        <is>
          <t>GOTLAND</t>
        </is>
      </c>
      <c r="G601" t="n">
        <v>8.9</v>
      </c>
      <c r="H601" t="n">
        <v>0</v>
      </c>
      <c r="I601" t="n">
        <v>0</v>
      </c>
      <c r="J601" t="n">
        <v>0</v>
      </c>
      <c r="K601" t="n">
        <v>0</v>
      </c>
      <c r="L601" t="n">
        <v>0</v>
      </c>
      <c r="M601" t="n">
        <v>0</v>
      </c>
      <c r="N601" t="n">
        <v>0</v>
      </c>
      <c r="O601" t="n">
        <v>0</v>
      </c>
      <c r="P601" t="n">
        <v>0</v>
      </c>
      <c r="Q601" t="n">
        <v>0</v>
      </c>
      <c r="R601" s="2" t="inlineStr"/>
    </row>
    <row r="602" ht="15" customHeight="1">
      <c r="A602" t="inlineStr">
        <is>
          <t>A 876-2024</t>
        </is>
      </c>
      <c r="B602" s="1" t="n">
        <v>45301</v>
      </c>
      <c r="C602" s="1" t="n">
        <v>46171</v>
      </c>
      <c r="D602" t="inlineStr">
        <is>
          <t>GOTLANDS LÄN</t>
        </is>
      </c>
      <c r="E602" t="inlineStr">
        <is>
          <t>GOTLAND</t>
        </is>
      </c>
      <c r="G602" t="n">
        <v>5.3</v>
      </c>
      <c r="H602" t="n">
        <v>0</v>
      </c>
      <c r="I602" t="n">
        <v>0</v>
      </c>
      <c r="J602" t="n">
        <v>0</v>
      </c>
      <c r="K602" t="n">
        <v>0</v>
      </c>
      <c r="L602" t="n">
        <v>0</v>
      </c>
      <c r="M602" t="n">
        <v>0</v>
      </c>
      <c r="N602" t="n">
        <v>0</v>
      </c>
      <c r="O602" t="n">
        <v>0</v>
      </c>
      <c r="P602" t="n">
        <v>0</v>
      </c>
      <c r="Q602" t="n">
        <v>0</v>
      </c>
      <c r="R602" s="2" t="inlineStr"/>
    </row>
    <row r="603" ht="15" customHeight="1">
      <c r="A603" t="inlineStr">
        <is>
          <t>A 62674-2025</t>
        </is>
      </c>
      <c r="B603" s="1" t="n">
        <v>46008</v>
      </c>
      <c r="C603" s="1" t="n">
        <v>46171</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17935-2026</t>
        </is>
      </c>
      <c r="B604" s="1" t="n">
        <v>46122</v>
      </c>
      <c r="C604" s="1" t="n">
        <v>46171</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17943-2026</t>
        </is>
      </c>
      <c r="B605" s="1" t="n">
        <v>46122</v>
      </c>
      <c r="C605" s="1" t="n">
        <v>46171</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46171</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46171</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46171</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46171</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46171</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46171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46171</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18804-2026</t>
        </is>
      </c>
      <c r="B613" s="1" t="n">
        <v>46128.62366898148</v>
      </c>
      <c r="C613" s="1" t="n">
        <v>46171</v>
      </c>
      <c r="D613" t="inlineStr">
        <is>
          <t>GOTLANDS LÄN</t>
        </is>
      </c>
      <c r="E613" t="inlineStr">
        <is>
          <t>GOTLAND</t>
        </is>
      </c>
      <c r="F613" t="inlineStr">
        <is>
          <t>Kyrkan</t>
        </is>
      </c>
      <c r="G613" t="n">
        <v>2.6</v>
      </c>
      <c r="H613" t="n">
        <v>0</v>
      </c>
      <c r="I613" t="n">
        <v>0</v>
      </c>
      <c r="J613" t="n">
        <v>0</v>
      </c>
      <c r="K613" t="n">
        <v>0</v>
      </c>
      <c r="L613" t="n">
        <v>0</v>
      </c>
      <c r="M613" t="n">
        <v>0</v>
      </c>
      <c r="N613" t="n">
        <v>0</v>
      </c>
      <c r="O613" t="n">
        <v>0</v>
      </c>
      <c r="P613" t="n">
        <v>0</v>
      </c>
      <c r="Q613" t="n">
        <v>0</v>
      </c>
      <c r="R613" s="2" t="inlineStr"/>
    </row>
    <row r="614" ht="15" customHeight="1">
      <c r="A614" t="inlineStr">
        <is>
          <t>A 12209-2024</t>
        </is>
      </c>
      <c r="B614" s="1" t="n">
        <v>45378</v>
      </c>
      <c r="C614" s="1" t="n">
        <v>46171</v>
      </c>
      <c r="D614" t="inlineStr">
        <is>
          <t>GOTLANDS LÄN</t>
        </is>
      </c>
      <c r="E614" t="inlineStr">
        <is>
          <t>GOTLAND</t>
        </is>
      </c>
      <c r="G614" t="n">
        <v>5.3</v>
      </c>
      <c r="H614" t="n">
        <v>0</v>
      </c>
      <c r="I614" t="n">
        <v>0</v>
      </c>
      <c r="J614" t="n">
        <v>0</v>
      </c>
      <c r="K614" t="n">
        <v>0</v>
      </c>
      <c r="L614" t="n">
        <v>0</v>
      </c>
      <c r="M614" t="n">
        <v>0</v>
      </c>
      <c r="N614" t="n">
        <v>0</v>
      </c>
      <c r="O614" t="n">
        <v>0</v>
      </c>
      <c r="P614" t="n">
        <v>0</v>
      </c>
      <c r="Q614" t="n">
        <v>0</v>
      </c>
      <c r="R614" s="2" t="inlineStr"/>
    </row>
    <row r="615" ht="15" customHeight="1">
      <c r="A615" t="inlineStr">
        <is>
          <t>A 12210-2024</t>
        </is>
      </c>
      <c r="B615" s="1" t="n">
        <v>45378</v>
      </c>
      <c r="C615" s="1" t="n">
        <v>46171</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1364-2025</t>
        </is>
      </c>
      <c r="B616" s="1" t="n">
        <v>45667.63929398148</v>
      </c>
      <c r="C616" s="1" t="n">
        <v>46171</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62836-2025</t>
        </is>
      </c>
      <c r="B617" s="1" t="n">
        <v>46008</v>
      </c>
      <c r="C617" s="1" t="n">
        <v>46171</v>
      </c>
      <c r="D617" t="inlineStr">
        <is>
          <t>GOTLANDS LÄN</t>
        </is>
      </c>
      <c r="E617" t="inlineStr">
        <is>
          <t>GOTLAND</t>
        </is>
      </c>
      <c r="G617" t="n">
        <v>6.5</v>
      </c>
      <c r="H617" t="n">
        <v>0</v>
      </c>
      <c r="I617" t="n">
        <v>0</v>
      </c>
      <c r="J617" t="n">
        <v>0</v>
      </c>
      <c r="K617" t="n">
        <v>0</v>
      </c>
      <c r="L617" t="n">
        <v>0</v>
      </c>
      <c r="M617" t="n">
        <v>0</v>
      </c>
      <c r="N617" t="n">
        <v>0</v>
      </c>
      <c r="O617" t="n">
        <v>0</v>
      </c>
      <c r="P617" t="n">
        <v>0</v>
      </c>
      <c r="Q617" t="n">
        <v>0</v>
      </c>
      <c r="R617" s="2" t="inlineStr"/>
    </row>
    <row r="618" ht="15" customHeight="1">
      <c r="A618" t="inlineStr">
        <is>
          <t>A 7625-2026</t>
        </is>
      </c>
      <c r="B618" s="1" t="n">
        <v>46062.35135416667</v>
      </c>
      <c r="C618" s="1" t="n">
        <v>46171</v>
      </c>
      <c r="D618" t="inlineStr">
        <is>
          <t>GOTLANDS LÄN</t>
        </is>
      </c>
      <c r="E618" t="inlineStr">
        <is>
          <t>GOTLAND</t>
        </is>
      </c>
      <c r="G618" t="n">
        <v>2.1</v>
      </c>
      <c r="H618" t="n">
        <v>0</v>
      </c>
      <c r="I618" t="n">
        <v>0</v>
      </c>
      <c r="J618" t="n">
        <v>0</v>
      </c>
      <c r="K618" t="n">
        <v>0</v>
      </c>
      <c r="L618" t="n">
        <v>0</v>
      </c>
      <c r="M618" t="n">
        <v>0</v>
      </c>
      <c r="N618" t="n">
        <v>0</v>
      </c>
      <c r="O618" t="n">
        <v>0</v>
      </c>
      <c r="P618" t="n">
        <v>0</v>
      </c>
      <c r="Q618" t="n">
        <v>0</v>
      </c>
      <c r="R618" s="2" t="inlineStr"/>
    </row>
    <row r="619" ht="15" customHeight="1">
      <c r="A619" t="inlineStr">
        <is>
          <t>A 15042-2025</t>
        </is>
      </c>
      <c r="B619" s="1" t="n">
        <v>45743</v>
      </c>
      <c r="C619" s="1" t="n">
        <v>46171</v>
      </c>
      <c r="D619" t="inlineStr">
        <is>
          <t>GOTLANDS LÄN</t>
        </is>
      </c>
      <c r="E619" t="inlineStr">
        <is>
          <t>GOTLAND</t>
        </is>
      </c>
      <c r="G619" t="n">
        <v>8.5</v>
      </c>
      <c r="H619" t="n">
        <v>0</v>
      </c>
      <c r="I619" t="n">
        <v>0</v>
      </c>
      <c r="J619" t="n">
        <v>0</v>
      </c>
      <c r="K619" t="n">
        <v>0</v>
      </c>
      <c r="L619" t="n">
        <v>0</v>
      </c>
      <c r="M619" t="n">
        <v>0</v>
      </c>
      <c r="N619" t="n">
        <v>0</v>
      </c>
      <c r="O619" t="n">
        <v>0</v>
      </c>
      <c r="P619" t="n">
        <v>0</v>
      </c>
      <c r="Q619" t="n">
        <v>0</v>
      </c>
      <c r="R619" s="2" t="inlineStr"/>
    </row>
    <row r="620" ht="15" customHeight="1">
      <c r="A620" t="inlineStr">
        <is>
          <t>A 24448-2026</t>
        </is>
      </c>
      <c r="B620" s="1" t="n">
        <v>46170.35354166666</v>
      </c>
      <c r="C620" s="1" t="n">
        <v>46171</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46171</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46171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46171</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46171</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46171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46171</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46171</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46171</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46171</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46171</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46171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46171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46171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46171</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46171</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46171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46171</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46171</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46171</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46171</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46171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46171</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46171</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46171</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2026-05-29T10:49:58Z</dcterms:created>
  <dcterms:modified xmlns:dcterms="http://purl.org/dc/terms/" xmlns:xsi="http://www.w3.org/2001/XMLSchema-instance" xsi:type="dcterms:W3CDTF">2026-05-29T10:49:59Z</dcterms:modified>
</cp:coreProperties>
</file>