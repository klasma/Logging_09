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46122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46122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46122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46122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46122</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46122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46122</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46122</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46122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46122</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46122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46122</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46122</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46122</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46122</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46122</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46122</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46122</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46122</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46122</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6153-2024</t>
        </is>
      </c>
      <c r="B22" s="1" t="n">
        <v>45337</v>
      </c>
      <c r="C22" s="1" t="n">
        <v>46122</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24575-2025</t>
        </is>
      </c>
      <c r="B23" s="1" t="n">
        <v>45798</v>
      </c>
      <c r="C23" s="1" t="n">
        <v>46122</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34100-2024</t>
        </is>
      </c>
      <c r="B24" s="1" t="n">
        <v>45523</v>
      </c>
      <c r="C24" s="1" t="n">
        <v>46122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Vanliga ängsnycklar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46122</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Fläcknycklar
Vanliga ängsnycklar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15629-2024</t>
        </is>
      </c>
      <c r="B26" s="1" t="n">
        <v>45402.78372685185</v>
      </c>
      <c r="C26" s="1" t="n">
        <v>46122</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61697-2023</t>
        </is>
      </c>
      <c r="B27" s="1" t="n">
        <v>45265</v>
      </c>
      <c r="C27" s="1" t="n">
        <v>46122</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17762-2024</t>
        </is>
      </c>
      <c r="B28" s="1" t="n">
        <v>45418</v>
      </c>
      <c r="C28" s="1" t="n">
        <v>46122</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62132-2023</t>
        </is>
      </c>
      <c r="B29" s="1" t="n">
        <v>45267</v>
      </c>
      <c r="C29" s="1" t="n">
        <v>46122</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2222-2024</t>
        </is>
      </c>
      <c r="B30" s="1" t="n">
        <v>45309</v>
      </c>
      <c r="C30" s="1" t="n">
        <v>46122</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46122</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46122</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44204-2022</t>
        </is>
      </c>
      <c r="B33" s="1" t="n">
        <v>44839</v>
      </c>
      <c r="C33" s="1" t="n">
        <v>46122</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46122</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46122</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46122</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61664-2023</t>
        </is>
      </c>
      <c r="B37" s="1" t="n">
        <v>45265</v>
      </c>
      <c r="C37" s="1" t="n">
        <v>46122</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46122</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63872-2021</t>
        </is>
      </c>
      <c r="B39" s="1" t="n">
        <v>44509</v>
      </c>
      <c r="C39" s="1" t="n">
        <v>46122</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46122</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37037-2021</t>
        </is>
      </c>
      <c r="B41" s="1" t="n">
        <v>44393.84688657407</v>
      </c>
      <c r="C41" s="1" t="n">
        <v>46122</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46122</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46122</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46122</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46122</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22404-2024</t>
        </is>
      </c>
      <c r="B46" s="1" t="n">
        <v>45446</v>
      </c>
      <c r="C46" s="1" t="n">
        <v>46122</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14354-2024</t>
        </is>
      </c>
      <c r="B47" s="1" t="n">
        <v>45393</v>
      </c>
      <c r="C47" s="1" t="n">
        <v>46122</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46122</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46122</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45248-2024</t>
        </is>
      </c>
      <c r="B50" s="1" t="n">
        <v>45576</v>
      </c>
      <c r="C50" s="1" t="n">
        <v>46122</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27280-2023</t>
        </is>
      </c>
      <c r="B51" s="1" t="n">
        <v>45096</v>
      </c>
      <c r="C51" s="1" t="n">
        <v>46122</v>
      </c>
      <c r="D51" t="inlineStr">
        <is>
          <t>GOTLANDS LÄN</t>
        </is>
      </c>
      <c r="E51" t="inlineStr">
        <is>
          <t>GOTLAND</t>
        </is>
      </c>
      <c r="G51" t="n">
        <v>2.7</v>
      </c>
      <c r="H51" t="n">
        <v>10</v>
      </c>
      <c r="I51" t="n">
        <v>2</v>
      </c>
      <c r="J51" t="n">
        <v>3</v>
      </c>
      <c r="K51" t="n">
        <v>1</v>
      </c>
      <c r="L51" t="n">
        <v>0</v>
      </c>
      <c r="M51" t="n">
        <v>0</v>
      </c>
      <c r="N51" t="n">
        <v>0</v>
      </c>
      <c r="O51" t="n">
        <v>4</v>
      </c>
      <c r="P51" t="n">
        <v>1</v>
      </c>
      <c r="Q51" t="n">
        <v>10</v>
      </c>
      <c r="R51" s="2" t="inlineStr">
        <is>
          <t>Stare
Björktrast
Mindre hackspett
Spillkråka
Skogsknipprot
Tvåblad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584-2023</t>
        </is>
      </c>
      <c r="B52" s="1" t="n">
        <v>44930</v>
      </c>
      <c r="C52" s="1" t="n">
        <v>46122</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46122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46122</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46122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46122</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46122</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2649-2023</t>
        </is>
      </c>
      <c r="B58" s="1" t="n">
        <v>44943</v>
      </c>
      <c r="C58" s="1" t="n">
        <v>46122</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46122</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46122</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46122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46122</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4984-2025</t>
        </is>
      </c>
      <c r="B63" s="1" t="n">
        <v>45691.29891203704</v>
      </c>
      <c r="C63" s="1" t="n">
        <v>46122</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46122</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46122</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34142-2024</t>
        </is>
      </c>
      <c r="B66" s="1" t="n">
        <v>45524.36521990741</v>
      </c>
      <c r="C66" s="1" t="n">
        <v>46122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46122</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46122</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46122</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57773-2025</t>
        </is>
      </c>
      <c r="B70" s="1" t="n">
        <v>45981.56349537037</v>
      </c>
      <c r="C70" s="1" t="n">
        <v>46122</v>
      </c>
      <c r="D70" t="inlineStr">
        <is>
          <t>GOTLANDS LÄN</t>
        </is>
      </c>
      <c r="E70" t="inlineStr">
        <is>
          <t>GOTLAND</t>
        </is>
      </c>
      <c r="G70" t="n">
        <v>4.4</v>
      </c>
      <c r="H70" t="n">
        <v>0</v>
      </c>
      <c r="I70" t="n">
        <v>4</v>
      </c>
      <c r="J70" t="n">
        <v>0</v>
      </c>
      <c r="K70" t="n">
        <v>2</v>
      </c>
      <c r="L70" t="n">
        <v>0</v>
      </c>
      <c r="M70" t="n">
        <v>0</v>
      </c>
      <c r="N70" t="n">
        <v>0</v>
      </c>
      <c r="O70" t="n">
        <v>2</v>
      </c>
      <c r="P70" t="n">
        <v>2</v>
      </c>
      <c r="Q70" t="n">
        <v>6</v>
      </c>
      <c r="R70" s="2" t="inlineStr">
        <is>
          <t>Duvspindling
Mörkfjällig olivspindling
Besk kastanjemusseron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446-2023</t>
        </is>
      </c>
      <c r="B71" s="1" t="n">
        <v>44929</v>
      </c>
      <c r="C71" s="1" t="n">
        <v>46122</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46122</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54527-2023</t>
        </is>
      </c>
      <c r="B73" s="1" t="n">
        <v>45233</v>
      </c>
      <c r="C73" s="1" t="n">
        <v>46122</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16823-2024</t>
        </is>
      </c>
      <c r="B74" s="1" t="n">
        <v>45411</v>
      </c>
      <c r="C74" s="1" t="n">
        <v>46122</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54527-2023</t>
        </is>
      </c>
      <c r="B75" s="1" t="n">
        <v>45233</v>
      </c>
      <c r="C75" s="1" t="n">
        <v>46122</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7038-2023</t>
        </is>
      </c>
      <c r="B76" s="1" t="n">
        <v>44968</v>
      </c>
      <c r="C76" s="1" t="n">
        <v>46122</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46122</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46122</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46122</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52245-2025</t>
        </is>
      </c>
      <c r="B80" s="1" t="n">
        <v>45953.47115740741</v>
      </c>
      <c r="C80" s="1" t="n">
        <v>46122</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6839-2026</t>
        </is>
      </c>
      <c r="B81" s="1" t="n">
        <v>46057.41193287037</v>
      </c>
      <c r="C81" s="1" t="n">
        <v>46122</v>
      </c>
      <c r="D81" t="inlineStr">
        <is>
          <t>GOTLANDS LÄN</t>
        </is>
      </c>
      <c r="E81" t="inlineStr">
        <is>
          <t>GOTLAND</t>
        </is>
      </c>
      <c r="G81" t="n">
        <v>4.9</v>
      </c>
      <c r="H81" t="n">
        <v>0</v>
      </c>
      <c r="I81" t="n">
        <v>1</v>
      </c>
      <c r="J81" t="n">
        <v>2</v>
      </c>
      <c r="K81" t="n">
        <v>2</v>
      </c>
      <c r="L81" t="n">
        <v>0</v>
      </c>
      <c r="M81" t="n">
        <v>0</v>
      </c>
      <c r="N81" t="n">
        <v>0</v>
      </c>
      <c r="O81" t="n">
        <v>4</v>
      </c>
      <c r="P81" t="n">
        <v>2</v>
      </c>
      <c r="Q81" t="n">
        <v>5</v>
      </c>
      <c r="R81" s="2" t="inlineStr">
        <is>
          <t>Mörk kraterlav
Skogskorn
Ekvaxskivling
Mjölmusseron
Besk kastanjemusseron</t>
        </is>
      </c>
      <c r="S81">
        <f>HYPERLINK("https://klasma.github.io/Logging_0980/artfynd/A 6839-2026 artfynd.xlsx", "A 6839-2026")</f>
        <v/>
      </c>
      <c r="T81">
        <f>HYPERLINK("https://klasma.github.io/Logging_0980/kartor/A 6839-2026 karta.png", "A 6839-2026")</f>
        <v/>
      </c>
      <c r="V81">
        <f>HYPERLINK("https://klasma.github.io/Logging_0980/klagomål/A 6839-2026 FSC-klagomål.docx", "A 6839-2026")</f>
        <v/>
      </c>
      <c r="W81">
        <f>HYPERLINK("https://klasma.github.io/Logging_0980/klagomålsmail/A 6839-2026 FSC-klagomål mail.docx", "A 6839-2026")</f>
        <v/>
      </c>
      <c r="X81">
        <f>HYPERLINK("https://klasma.github.io/Logging_0980/tillsyn/A 6839-2026 tillsynsbegäran.docx", "A 6839-2026")</f>
        <v/>
      </c>
      <c r="Y81">
        <f>HYPERLINK("https://klasma.github.io/Logging_0980/tillsynsmail/A 6839-2026 tillsynsbegäran mail.docx", "A 6839-2026")</f>
        <v/>
      </c>
    </row>
    <row r="82" ht="15" customHeight="1">
      <c r="A82" t="inlineStr">
        <is>
          <t>A 16375-2025</t>
        </is>
      </c>
      <c r="B82" s="1" t="n">
        <v>45751.41064814815</v>
      </c>
      <c r="C82" s="1" t="n">
        <v>46122</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10274-2026</t>
        </is>
      </c>
      <c r="B83" s="1" t="n">
        <v>46076.58261574074</v>
      </c>
      <c r="C83" s="1" t="n">
        <v>46122</v>
      </c>
      <c r="D83" t="inlineStr">
        <is>
          <t>GOTLANDS LÄN</t>
        </is>
      </c>
      <c r="E83" t="inlineStr">
        <is>
          <t>GOTLAND</t>
        </is>
      </c>
      <c r="G83" t="n">
        <v>9.800000000000001</v>
      </c>
      <c r="H83" t="n">
        <v>2</v>
      </c>
      <c r="I83" t="n">
        <v>2</v>
      </c>
      <c r="J83" t="n">
        <v>1</v>
      </c>
      <c r="K83" t="n">
        <v>1</v>
      </c>
      <c r="L83" t="n">
        <v>0</v>
      </c>
      <c r="M83" t="n">
        <v>0</v>
      </c>
      <c r="N83" t="n">
        <v>0</v>
      </c>
      <c r="O83" t="n">
        <v>2</v>
      </c>
      <c r="P83" t="n">
        <v>1</v>
      </c>
      <c r="Q83" t="n">
        <v>5</v>
      </c>
      <c r="R83" s="2" t="inlineStr">
        <is>
          <t>Gråfingerört
Spillkråka
Axag
Grönpyrola
Alvarstånds</t>
        </is>
      </c>
      <c r="S83">
        <f>HYPERLINK("https://klasma.github.io/Logging_0980/artfynd/A 10274-2026 artfynd.xlsx", "A 10274-2026")</f>
        <v/>
      </c>
      <c r="T83">
        <f>HYPERLINK("https://klasma.github.io/Logging_0980/kartor/A 10274-2026 karta.png", "A 10274-2026")</f>
        <v/>
      </c>
      <c r="V83">
        <f>HYPERLINK("https://klasma.github.io/Logging_0980/klagomål/A 10274-2026 FSC-klagomål.docx", "A 10274-2026")</f>
        <v/>
      </c>
      <c r="W83">
        <f>HYPERLINK("https://klasma.github.io/Logging_0980/klagomålsmail/A 10274-2026 FSC-klagomål mail.docx", "A 10274-2026")</f>
        <v/>
      </c>
      <c r="X83">
        <f>HYPERLINK("https://klasma.github.io/Logging_0980/tillsyn/A 10274-2026 tillsynsbegäran.docx", "A 10274-2026")</f>
        <v/>
      </c>
      <c r="Y83">
        <f>HYPERLINK("https://klasma.github.io/Logging_0980/tillsynsmail/A 10274-2026 tillsynsbegäran mail.docx", "A 10274-2026")</f>
        <v/>
      </c>
      <c r="Z83">
        <f>HYPERLINK("https://klasma.github.io/Logging_0980/fåglar/A 10274-2026 prioriterade fågelarter.docx", "A 10274-2026")</f>
        <v/>
      </c>
    </row>
    <row r="84" ht="15" customHeight="1">
      <c r="A84" t="inlineStr">
        <is>
          <t>A 39425-2023</t>
        </is>
      </c>
      <c r="B84" s="1" t="n">
        <v>45166</v>
      </c>
      <c r="C84" s="1" t="n">
        <v>46122</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35293-2025</t>
        </is>
      </c>
      <c r="B85" s="1" t="n">
        <v>45854.39438657407</v>
      </c>
      <c r="C85" s="1" t="n">
        <v>46122</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2213-2023</t>
        </is>
      </c>
      <c r="B86" s="1" t="n">
        <v>44942</v>
      </c>
      <c r="C86" s="1" t="n">
        <v>46122</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46122</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46122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46122</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6159-2023</t>
        </is>
      </c>
      <c r="B90" s="1" t="n">
        <v>44964</v>
      </c>
      <c r="C90" s="1" t="n">
        <v>46122</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54523-2023</t>
        </is>
      </c>
      <c r="B91" s="1" t="n">
        <v>45233</v>
      </c>
      <c r="C91" s="1" t="n">
        <v>46122</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40099-2025</t>
        </is>
      </c>
      <c r="B92" s="1" t="n">
        <v>45894.48462962963</v>
      </c>
      <c r="C92" s="1" t="n">
        <v>46122</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43197-2023</t>
        </is>
      </c>
      <c r="B93" s="1" t="n">
        <v>45183</v>
      </c>
      <c r="C93" s="1" t="n">
        <v>46122</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46122</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57463-2025</t>
        </is>
      </c>
      <c r="B95" s="1" t="n">
        <v>45980.54174768519</v>
      </c>
      <c r="C95" s="1" t="n">
        <v>46122</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52250-2025</t>
        </is>
      </c>
      <c r="B96" s="1" t="n">
        <v>45953.48998842593</v>
      </c>
      <c r="C96" s="1" t="n">
        <v>46122</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13203-2026</t>
        </is>
      </c>
      <c r="B97" s="1" t="n">
        <v>46093</v>
      </c>
      <c r="C97" s="1" t="n">
        <v>46122</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6836-2026</t>
        </is>
      </c>
      <c r="B98" s="1" t="n">
        <v>46057.40902777778</v>
      </c>
      <c r="C98" s="1" t="n">
        <v>46122</v>
      </c>
      <c r="D98" t="inlineStr">
        <is>
          <t>GOTLANDS LÄN</t>
        </is>
      </c>
      <c r="E98" t="inlineStr">
        <is>
          <t>GOTLAND</t>
        </is>
      </c>
      <c r="G98" t="n">
        <v>3.8</v>
      </c>
      <c r="H98" t="n">
        <v>1</v>
      </c>
      <c r="I98" t="n">
        <v>3</v>
      </c>
      <c r="J98" t="n">
        <v>0</v>
      </c>
      <c r="K98" t="n">
        <v>1</v>
      </c>
      <c r="L98" t="n">
        <v>0</v>
      </c>
      <c r="M98" t="n">
        <v>0</v>
      </c>
      <c r="N98" t="n">
        <v>0</v>
      </c>
      <c r="O98" t="n">
        <v>1</v>
      </c>
      <c r="P98" t="n">
        <v>1</v>
      </c>
      <c r="Q98" t="n">
        <v>4</v>
      </c>
      <c r="R98" s="2" t="inlineStr">
        <is>
          <t>Knärot
Fransig jordstjärna
Rödgul trumpetsvamp
Svavelriska</t>
        </is>
      </c>
      <c r="S98">
        <f>HYPERLINK("https://klasma.github.io/Logging_0980/artfynd/A 6836-2026 artfynd.xlsx", "A 6836-2026")</f>
        <v/>
      </c>
      <c r="T98">
        <f>HYPERLINK("https://klasma.github.io/Logging_0980/kartor/A 6836-2026 karta.png", "A 6836-2026")</f>
        <v/>
      </c>
      <c r="U98">
        <f>HYPERLINK("https://klasma.github.io/Logging_0980/knärot/A 6836-2026 karta knärot.png", "A 6836-2026")</f>
        <v/>
      </c>
      <c r="V98">
        <f>HYPERLINK("https://klasma.github.io/Logging_0980/klagomål/A 6836-2026 FSC-klagomål.docx", "A 6836-2026")</f>
        <v/>
      </c>
      <c r="W98">
        <f>HYPERLINK("https://klasma.github.io/Logging_0980/klagomålsmail/A 6836-2026 FSC-klagomål mail.docx", "A 6836-2026")</f>
        <v/>
      </c>
      <c r="X98">
        <f>HYPERLINK("https://klasma.github.io/Logging_0980/tillsyn/A 6836-2026 tillsynsbegäran.docx", "A 6836-2026")</f>
        <v/>
      </c>
      <c r="Y98">
        <f>HYPERLINK("https://klasma.github.io/Logging_0980/tillsynsmail/A 6836-2026 tillsynsbegäran mail.docx", "A 6836-2026")</f>
        <v/>
      </c>
    </row>
    <row r="99" ht="15" customHeight="1">
      <c r="A99" t="inlineStr">
        <is>
          <t>A 44933-2022</t>
        </is>
      </c>
      <c r="B99" s="1" t="n">
        <v>44841</v>
      </c>
      <c r="C99" s="1" t="n">
        <v>46122</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20833-2024</t>
        </is>
      </c>
      <c r="B100" s="1" t="n">
        <v>45439</v>
      </c>
      <c r="C100" s="1" t="n">
        <v>46122</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2485-2025</t>
        </is>
      </c>
      <c r="B101" s="1" t="n">
        <v>45673</v>
      </c>
      <c r="C101" s="1" t="n">
        <v>46122</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46122</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46122</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46122</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46122</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46122</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46122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46122</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1520-2026</t>
        </is>
      </c>
      <c r="B109" s="1" t="n">
        <v>46034.35891203704</v>
      </c>
      <c r="C109" s="1" t="n">
        <v>46122</v>
      </c>
      <c r="D109" t="inlineStr">
        <is>
          <t>GOTLANDS LÄN</t>
        </is>
      </c>
      <c r="E109" t="inlineStr">
        <is>
          <t>GOTLAND</t>
        </is>
      </c>
      <c r="G109" t="n">
        <v>7.4</v>
      </c>
      <c r="H109" t="n">
        <v>0</v>
      </c>
      <c r="I109" t="n">
        <v>1</v>
      </c>
      <c r="J109" t="n">
        <v>0</v>
      </c>
      <c r="K109" t="n">
        <v>2</v>
      </c>
      <c r="L109" t="n">
        <v>0</v>
      </c>
      <c r="M109" t="n">
        <v>0</v>
      </c>
      <c r="N109" t="n">
        <v>0</v>
      </c>
      <c r="O109" t="n">
        <v>2</v>
      </c>
      <c r="P109" t="n">
        <v>2</v>
      </c>
      <c r="Q109" t="n">
        <v>3</v>
      </c>
      <c r="R109" s="2" t="inlineStr">
        <is>
          <t>Granrotspindling
Gulsträngad fagerspindling
Brandmusseron</t>
        </is>
      </c>
      <c r="S109">
        <f>HYPERLINK("https://klasma.github.io/Logging_0980/artfynd/A 1520-2026 artfynd.xlsx", "A 1520-2026")</f>
        <v/>
      </c>
      <c r="T109">
        <f>HYPERLINK("https://klasma.github.io/Logging_0980/kartor/A 1520-2026 karta.png", "A 1520-2026")</f>
        <v/>
      </c>
      <c r="V109">
        <f>HYPERLINK("https://klasma.github.io/Logging_0980/klagomål/A 1520-2026 FSC-klagomål.docx", "A 1520-2026")</f>
        <v/>
      </c>
      <c r="W109">
        <f>HYPERLINK("https://klasma.github.io/Logging_0980/klagomålsmail/A 1520-2026 FSC-klagomål mail.docx", "A 1520-2026")</f>
        <v/>
      </c>
      <c r="X109">
        <f>HYPERLINK("https://klasma.github.io/Logging_0980/tillsyn/A 1520-2026 tillsynsbegäran.docx", "A 1520-2026")</f>
        <v/>
      </c>
      <c r="Y109">
        <f>HYPERLINK("https://klasma.github.io/Logging_0980/tillsynsmail/A 1520-2026 tillsynsbegäran mail.docx", "A 1520-2026")</f>
        <v/>
      </c>
    </row>
    <row r="110" ht="15" customHeight="1">
      <c r="A110" t="inlineStr">
        <is>
          <t>A 55334-2024</t>
        </is>
      </c>
      <c r="B110" s="1" t="n">
        <v>45621</v>
      </c>
      <c r="C110" s="1" t="n">
        <v>46122</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49709-2025</t>
        </is>
      </c>
      <c r="B111" s="1" t="n">
        <v>45939.68228009259</v>
      </c>
      <c r="C111" s="1" t="n">
        <v>46122</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43013-2022</t>
        </is>
      </c>
      <c r="B112" s="1" t="n">
        <v>44833</v>
      </c>
      <c r="C112" s="1" t="n">
        <v>46122</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46122</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46122</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30490-2025</t>
        </is>
      </c>
      <c r="B115" s="1" t="n">
        <v>45830</v>
      </c>
      <c r="C115" s="1" t="n">
        <v>46122</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17982-2023</t>
        </is>
      </c>
      <c r="B116" s="1" t="n">
        <v>45040</v>
      </c>
      <c r="C116" s="1" t="n">
        <v>46122</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46122</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46122</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20831-2024</t>
        </is>
      </c>
      <c r="B119" s="1" t="n">
        <v>45439</v>
      </c>
      <c r="C119" s="1" t="n">
        <v>46122</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12315-2024</t>
        </is>
      </c>
      <c r="B120" s="1" t="n">
        <v>45378.6434837963</v>
      </c>
      <c r="C120" s="1" t="n">
        <v>46122</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46122</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46122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46122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46122</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46122</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26077-2024</t>
        </is>
      </c>
      <c r="B126" s="1" t="n">
        <v>45467</v>
      </c>
      <c r="C126" s="1" t="n">
        <v>46122</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20429-2025</t>
        </is>
      </c>
      <c r="B127" s="1" t="n">
        <v>45775.47728009259</v>
      </c>
      <c r="C127" s="1" t="n">
        <v>46122</v>
      </c>
      <c r="D127" t="inlineStr">
        <is>
          <t>GOTLANDS LÄN</t>
        </is>
      </c>
      <c r="E127" t="inlineStr">
        <is>
          <t>GOTLAND</t>
        </is>
      </c>
      <c r="G127" t="n">
        <v>1.4</v>
      </c>
      <c r="H127" t="n">
        <v>2</v>
      </c>
      <c r="I127" t="n">
        <v>0</v>
      </c>
      <c r="J127" t="n">
        <v>0</v>
      </c>
      <c r="K127" t="n">
        <v>0</v>
      </c>
      <c r="L127" t="n">
        <v>0</v>
      </c>
      <c r="M127" t="n">
        <v>0</v>
      </c>
      <c r="N127" t="n">
        <v>0</v>
      </c>
      <c r="O127" t="n">
        <v>0</v>
      </c>
      <c r="P127" t="n">
        <v>0</v>
      </c>
      <c r="Q127" t="n">
        <v>2</v>
      </c>
      <c r="R127" s="2" t="inlineStr">
        <is>
          <t>Lopplummer (aggregat)
Äkta lopplummer</t>
        </is>
      </c>
      <c r="S127">
        <f>HYPERLINK("https://klasma.github.io/Logging_0980/artfynd/A 20429-2025 artfynd.xlsx", "A 20429-2025")</f>
        <v/>
      </c>
      <c r="T127">
        <f>HYPERLINK("https://klasma.github.io/Logging_0980/kartor/A 20429-2025 karta.png", "A 20429-2025")</f>
        <v/>
      </c>
      <c r="V127">
        <f>HYPERLINK("https://klasma.github.io/Logging_0980/klagomål/A 20429-2025 FSC-klagomål.docx", "A 20429-2025")</f>
        <v/>
      </c>
      <c r="W127">
        <f>HYPERLINK("https://klasma.github.io/Logging_0980/klagomålsmail/A 20429-2025 FSC-klagomål mail.docx", "A 20429-2025")</f>
        <v/>
      </c>
      <c r="X127">
        <f>HYPERLINK("https://klasma.github.io/Logging_0980/tillsyn/A 20429-2025 tillsynsbegäran.docx", "A 20429-2025")</f>
        <v/>
      </c>
      <c r="Y127">
        <f>HYPERLINK("https://klasma.github.io/Logging_0980/tillsynsmail/A 20429-2025 tillsynsbegäran mail.docx", "A 20429-2025")</f>
        <v/>
      </c>
    </row>
    <row r="128" ht="15" customHeight="1">
      <c r="A128" t="inlineStr">
        <is>
          <t>A 62760-2025</t>
        </is>
      </c>
      <c r="B128" s="1" t="n">
        <v>46008</v>
      </c>
      <c r="C128" s="1" t="n">
        <v>46122</v>
      </c>
      <c r="D128" t="inlineStr">
        <is>
          <t>GOTLANDS LÄN</t>
        </is>
      </c>
      <c r="E128" t="inlineStr">
        <is>
          <t>GOTLAND</t>
        </is>
      </c>
      <c r="F128" t="inlineStr">
        <is>
          <t>Övriga Aktiebolag</t>
        </is>
      </c>
      <c r="G128" t="n">
        <v>4.6</v>
      </c>
      <c r="H128" t="n">
        <v>1</v>
      </c>
      <c r="I128" t="n">
        <v>2</v>
      </c>
      <c r="J128" t="n">
        <v>0</v>
      </c>
      <c r="K128" t="n">
        <v>0</v>
      </c>
      <c r="L128" t="n">
        <v>0</v>
      </c>
      <c r="M128" t="n">
        <v>0</v>
      </c>
      <c r="N128" t="n">
        <v>0</v>
      </c>
      <c r="O128" t="n">
        <v>0</v>
      </c>
      <c r="P128" t="n">
        <v>0</v>
      </c>
      <c r="Q128" t="n">
        <v>2</v>
      </c>
      <c r="R128" s="2" t="inlineStr">
        <is>
          <t>Nästrot
Vårärt</t>
        </is>
      </c>
      <c r="S128">
        <f>HYPERLINK("https://klasma.github.io/Logging_0980/artfynd/A 62760-2025 artfynd.xlsx", "A 62760-2025")</f>
        <v/>
      </c>
      <c r="T128">
        <f>HYPERLINK("https://klasma.github.io/Logging_0980/kartor/A 62760-2025 karta.png", "A 62760-2025")</f>
        <v/>
      </c>
      <c r="V128">
        <f>HYPERLINK("https://klasma.github.io/Logging_0980/klagomål/A 62760-2025 FSC-klagomål.docx", "A 62760-2025")</f>
        <v/>
      </c>
      <c r="W128">
        <f>HYPERLINK("https://klasma.github.io/Logging_0980/klagomålsmail/A 62760-2025 FSC-klagomål mail.docx", "A 62760-2025")</f>
        <v/>
      </c>
      <c r="X128">
        <f>HYPERLINK("https://klasma.github.io/Logging_0980/tillsyn/A 62760-2025 tillsynsbegäran.docx", "A 62760-2025")</f>
        <v/>
      </c>
      <c r="Y128">
        <f>HYPERLINK("https://klasma.github.io/Logging_0980/tillsynsmail/A 62760-2025 tillsynsbegäran mail.docx", "A 62760-2025")</f>
        <v/>
      </c>
    </row>
    <row r="129" ht="15" customHeight="1">
      <c r="A129" t="inlineStr">
        <is>
          <t>A 63162-2025</t>
        </is>
      </c>
      <c r="B129" s="1" t="n">
        <v>46010.37629629629</v>
      </c>
      <c r="C129" s="1" t="n">
        <v>46122</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16997-2026</t>
        </is>
      </c>
      <c r="B130" s="1" t="n">
        <v>46114.42539351852</v>
      </c>
      <c r="C130" s="1" t="n">
        <v>46122</v>
      </c>
      <c r="D130" t="inlineStr">
        <is>
          <t>GOTLANDS LÄN</t>
        </is>
      </c>
      <c r="E130" t="inlineStr">
        <is>
          <t>GOTLAND</t>
        </is>
      </c>
      <c r="G130" t="n">
        <v>0.7</v>
      </c>
      <c r="H130" t="n">
        <v>0</v>
      </c>
      <c r="I130" t="n">
        <v>1</v>
      </c>
      <c r="J130" t="n">
        <v>0</v>
      </c>
      <c r="K130" t="n">
        <v>0</v>
      </c>
      <c r="L130" t="n">
        <v>1</v>
      </c>
      <c r="M130" t="n">
        <v>0</v>
      </c>
      <c r="N130" t="n">
        <v>0</v>
      </c>
      <c r="O130" t="n">
        <v>1</v>
      </c>
      <c r="P130" t="n">
        <v>1</v>
      </c>
      <c r="Q130" t="n">
        <v>2</v>
      </c>
      <c r="R130" s="2" t="inlineStr">
        <is>
          <t>Ask
Hasselticka</t>
        </is>
      </c>
      <c r="S130">
        <f>HYPERLINK("https://klasma.github.io/Logging_0980/artfynd/A 16997-2026 artfynd.xlsx", "A 16997-2026")</f>
        <v/>
      </c>
      <c r="T130">
        <f>HYPERLINK("https://klasma.github.io/Logging_0980/kartor/A 16997-2026 karta.png", "A 16997-2026")</f>
        <v/>
      </c>
      <c r="V130">
        <f>HYPERLINK("https://klasma.github.io/Logging_0980/klagomål/A 16997-2026 FSC-klagomål.docx", "A 16997-2026")</f>
        <v/>
      </c>
      <c r="W130">
        <f>HYPERLINK("https://klasma.github.io/Logging_0980/klagomålsmail/A 16997-2026 FSC-klagomål mail.docx", "A 16997-2026")</f>
        <v/>
      </c>
      <c r="X130">
        <f>HYPERLINK("https://klasma.github.io/Logging_0980/tillsyn/A 16997-2026 tillsynsbegäran.docx", "A 16997-2026")</f>
        <v/>
      </c>
      <c r="Y130">
        <f>HYPERLINK("https://klasma.github.io/Logging_0980/tillsynsmail/A 16997-2026 tillsynsbegäran mail.docx", "A 16997-2026")</f>
        <v/>
      </c>
    </row>
    <row r="131" ht="15" customHeight="1">
      <c r="A131" t="inlineStr">
        <is>
          <t>A 20838-2024</t>
        </is>
      </c>
      <c r="B131" s="1" t="n">
        <v>45439</v>
      </c>
      <c r="C131" s="1" t="n">
        <v>46122</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54357-2024</t>
        </is>
      </c>
      <c r="B132" s="1" t="n">
        <v>45617.40662037037</v>
      </c>
      <c r="C132" s="1" t="n">
        <v>46122</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46122</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46122</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46122</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46122</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46122</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46122</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46122</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46122</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46122</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46122</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17723-2021</t>
        </is>
      </c>
      <c r="B143" s="1" t="n">
        <v>44300</v>
      </c>
      <c r="C143" s="1" t="n">
        <v>46122</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10440-2024</t>
        </is>
      </c>
      <c r="B144" s="1" t="n">
        <v>45366.32818287037</v>
      </c>
      <c r="C144" s="1" t="n">
        <v>46122</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44304-2021</t>
        </is>
      </c>
      <c r="B145" s="1" t="n">
        <v>44434</v>
      </c>
      <c r="C145" s="1" t="n">
        <v>46122</v>
      </c>
      <c r="D145" t="inlineStr">
        <is>
          <t>GOTLANDS LÄN</t>
        </is>
      </c>
      <c r="E145" t="inlineStr">
        <is>
          <t>GOTLAND</t>
        </is>
      </c>
      <c r="G145" t="n">
        <v>5.8</v>
      </c>
      <c r="H145" t="n">
        <v>0</v>
      </c>
      <c r="I145" t="n">
        <v>0</v>
      </c>
      <c r="J145" t="n">
        <v>1</v>
      </c>
      <c r="K145" t="n">
        <v>0</v>
      </c>
      <c r="L145" t="n">
        <v>0</v>
      </c>
      <c r="M145" t="n">
        <v>0</v>
      </c>
      <c r="N145" t="n">
        <v>0</v>
      </c>
      <c r="O145" t="n">
        <v>1</v>
      </c>
      <c r="P145" t="n">
        <v>0</v>
      </c>
      <c r="Q145" t="n">
        <v>1</v>
      </c>
      <c r="R145" s="2" t="inlineStr">
        <is>
          <t>Svinrot</t>
        </is>
      </c>
      <c r="S145">
        <f>HYPERLINK("https://klasma.github.io/Logging_0980/artfynd/A 44304-2021 artfynd.xlsx", "A 44304-2021")</f>
        <v/>
      </c>
      <c r="T145">
        <f>HYPERLINK("https://klasma.github.io/Logging_0980/kartor/A 44304-2021 karta.png", "A 44304-2021")</f>
        <v/>
      </c>
      <c r="V145">
        <f>HYPERLINK("https://klasma.github.io/Logging_0980/klagomål/A 44304-2021 FSC-klagomål.docx", "A 44304-2021")</f>
        <v/>
      </c>
      <c r="W145">
        <f>HYPERLINK("https://klasma.github.io/Logging_0980/klagomålsmail/A 44304-2021 FSC-klagomål mail.docx", "A 44304-2021")</f>
        <v/>
      </c>
      <c r="X145">
        <f>HYPERLINK("https://klasma.github.io/Logging_0980/tillsyn/A 44304-2021 tillsynsbegäran.docx", "A 44304-2021")</f>
        <v/>
      </c>
      <c r="Y145">
        <f>HYPERLINK("https://klasma.github.io/Logging_0980/tillsynsmail/A 44304-2021 tillsynsbegäran mail.docx", "A 44304-2021")</f>
        <v/>
      </c>
    </row>
    <row r="146" ht="15" customHeight="1">
      <c r="A146" t="inlineStr">
        <is>
          <t>A 39812-2025</t>
        </is>
      </c>
      <c r="B146" s="1" t="n">
        <v>45891</v>
      </c>
      <c r="C146" s="1" t="n">
        <v>46122</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25977-2024</t>
        </is>
      </c>
      <c r="B147" s="1" t="n">
        <v>45467.69356481481</v>
      </c>
      <c r="C147" s="1" t="n">
        <v>46122</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65927-2021</t>
        </is>
      </c>
      <c r="B148" s="1" t="n">
        <v>44516</v>
      </c>
      <c r="C148" s="1" t="n">
        <v>46122</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35467-2021</t>
        </is>
      </c>
      <c r="B149" s="1" t="n">
        <v>44385</v>
      </c>
      <c r="C149" s="1" t="n">
        <v>46122</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46122</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61796-2022</t>
        </is>
      </c>
      <c r="B151" s="1" t="n">
        <v>44917</v>
      </c>
      <c r="C151" s="1" t="n">
        <v>46122</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11708-2026</t>
        </is>
      </c>
      <c r="B152" s="1" t="n">
        <v>46084</v>
      </c>
      <c r="C152" s="1" t="n">
        <v>46122</v>
      </c>
      <c r="D152" t="inlineStr">
        <is>
          <t>GOTLANDS LÄN</t>
        </is>
      </c>
      <c r="E152" t="inlineStr">
        <is>
          <t>GOTLAND</t>
        </is>
      </c>
      <c r="G152" t="n">
        <v>8.4</v>
      </c>
      <c r="H152" t="n">
        <v>1</v>
      </c>
      <c r="I152" t="n">
        <v>0</v>
      </c>
      <c r="J152" t="n">
        <v>1</v>
      </c>
      <c r="K152" t="n">
        <v>0</v>
      </c>
      <c r="L152" t="n">
        <v>0</v>
      </c>
      <c r="M152" t="n">
        <v>0</v>
      </c>
      <c r="N152" t="n">
        <v>0</v>
      </c>
      <c r="O152" t="n">
        <v>1</v>
      </c>
      <c r="P152" t="n">
        <v>0</v>
      </c>
      <c r="Q152" t="n">
        <v>1</v>
      </c>
      <c r="R152" s="2" t="inlineStr">
        <is>
          <t>Bredarun</t>
        </is>
      </c>
      <c r="S152">
        <f>HYPERLINK("https://klasma.github.io/Logging_0980/artfynd/A 11708-2026 artfynd.xlsx", "A 11708-2026")</f>
        <v/>
      </c>
      <c r="T152">
        <f>HYPERLINK("https://klasma.github.io/Logging_0980/kartor/A 11708-2026 karta.png", "A 11708-2026")</f>
        <v/>
      </c>
      <c r="V152">
        <f>HYPERLINK("https://klasma.github.io/Logging_0980/klagomål/A 11708-2026 FSC-klagomål.docx", "A 11708-2026")</f>
        <v/>
      </c>
      <c r="W152">
        <f>HYPERLINK("https://klasma.github.io/Logging_0980/klagomålsmail/A 11708-2026 FSC-klagomål mail.docx", "A 11708-2026")</f>
        <v/>
      </c>
      <c r="X152">
        <f>HYPERLINK("https://klasma.github.io/Logging_0980/tillsyn/A 11708-2026 tillsynsbegäran.docx", "A 11708-2026")</f>
        <v/>
      </c>
      <c r="Y152">
        <f>HYPERLINK("https://klasma.github.io/Logging_0980/tillsynsmail/A 11708-2026 tillsynsbegäran mail.docx", "A 11708-2026")</f>
        <v/>
      </c>
    </row>
    <row r="153" ht="15" customHeight="1">
      <c r="A153" t="inlineStr">
        <is>
          <t>A 15637-2024</t>
        </is>
      </c>
      <c r="B153" s="1" t="n">
        <v>45403.6684837963</v>
      </c>
      <c r="C153" s="1" t="n">
        <v>46122</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49726-2025</t>
        </is>
      </c>
      <c r="B154" s="1" t="n">
        <v>45939.84466435185</v>
      </c>
      <c r="C154" s="1" t="n">
        <v>46122</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13482-2026</t>
        </is>
      </c>
      <c r="B155" s="1" t="n">
        <v>46094</v>
      </c>
      <c r="C155" s="1" t="n">
        <v>46122</v>
      </c>
      <c r="D155" t="inlineStr">
        <is>
          <t>GOTLANDS LÄN</t>
        </is>
      </c>
      <c r="E155" t="inlineStr">
        <is>
          <t>GOTLAND</t>
        </is>
      </c>
      <c r="G155" t="n">
        <v>1.7</v>
      </c>
      <c r="H155" t="n">
        <v>1</v>
      </c>
      <c r="I155" t="n">
        <v>0</v>
      </c>
      <c r="J155" t="n">
        <v>1</v>
      </c>
      <c r="K155" t="n">
        <v>0</v>
      </c>
      <c r="L155" t="n">
        <v>0</v>
      </c>
      <c r="M155" t="n">
        <v>0</v>
      </c>
      <c r="N155" t="n">
        <v>0</v>
      </c>
      <c r="O155" t="n">
        <v>1</v>
      </c>
      <c r="P155" t="n">
        <v>0</v>
      </c>
      <c r="Q155" t="n">
        <v>1</v>
      </c>
      <c r="R155" s="2" t="inlineStr">
        <is>
          <t>Spillkråka</t>
        </is>
      </c>
      <c r="S155">
        <f>HYPERLINK("https://klasma.github.io/Logging_0980/artfynd/A 13482-2026 artfynd.xlsx", "A 13482-2026")</f>
        <v/>
      </c>
      <c r="T155">
        <f>HYPERLINK("https://klasma.github.io/Logging_0980/kartor/A 13482-2026 karta.png", "A 13482-2026")</f>
        <v/>
      </c>
      <c r="V155">
        <f>HYPERLINK("https://klasma.github.io/Logging_0980/klagomål/A 13482-2026 FSC-klagomål.docx", "A 13482-2026")</f>
        <v/>
      </c>
      <c r="W155">
        <f>HYPERLINK("https://klasma.github.io/Logging_0980/klagomålsmail/A 13482-2026 FSC-klagomål mail.docx", "A 13482-2026")</f>
        <v/>
      </c>
      <c r="X155">
        <f>HYPERLINK("https://klasma.github.io/Logging_0980/tillsyn/A 13482-2026 tillsynsbegäran.docx", "A 13482-2026")</f>
        <v/>
      </c>
      <c r="Y155">
        <f>HYPERLINK("https://klasma.github.io/Logging_0980/tillsynsmail/A 13482-2026 tillsynsbegäran mail.docx", "A 13482-2026")</f>
        <v/>
      </c>
      <c r="Z155">
        <f>HYPERLINK("https://klasma.github.io/Logging_0980/fåglar/A 13482-2026 prioriterade fågelarter.docx", "A 13482-2026")</f>
        <v/>
      </c>
    </row>
    <row r="156" ht="15" customHeight="1">
      <c r="A156" t="inlineStr">
        <is>
          <t>A 2476-2025</t>
        </is>
      </c>
      <c r="B156" s="1" t="n">
        <v>45673</v>
      </c>
      <c r="C156" s="1" t="n">
        <v>46122</v>
      </c>
      <c r="D156" t="inlineStr">
        <is>
          <t>GOTLANDS LÄN</t>
        </is>
      </c>
      <c r="E156" t="inlineStr">
        <is>
          <t>GOTLAND</t>
        </is>
      </c>
      <c r="G156" t="n">
        <v>3.1</v>
      </c>
      <c r="H156" t="n">
        <v>0</v>
      </c>
      <c r="I156" t="n">
        <v>1</v>
      </c>
      <c r="J156" t="n">
        <v>0</v>
      </c>
      <c r="K156" t="n">
        <v>0</v>
      </c>
      <c r="L156" t="n">
        <v>0</v>
      </c>
      <c r="M156" t="n">
        <v>0</v>
      </c>
      <c r="N156" t="n">
        <v>0</v>
      </c>
      <c r="O156" t="n">
        <v>0</v>
      </c>
      <c r="P156" t="n">
        <v>0</v>
      </c>
      <c r="Q156" t="n">
        <v>1</v>
      </c>
      <c r="R156" s="2" t="inlineStr">
        <is>
          <t>Kryddspindling</t>
        </is>
      </c>
      <c r="S156">
        <f>HYPERLINK("https://klasma.github.io/Logging_0980/artfynd/A 2476-2025 artfynd.xlsx", "A 2476-2025")</f>
        <v/>
      </c>
      <c r="T156">
        <f>HYPERLINK("https://klasma.github.io/Logging_0980/kartor/A 2476-2025 karta.png", "A 2476-2025")</f>
        <v/>
      </c>
      <c r="V156">
        <f>HYPERLINK("https://klasma.github.io/Logging_0980/klagomål/A 2476-2025 FSC-klagomål.docx", "A 2476-2025")</f>
        <v/>
      </c>
      <c r="W156">
        <f>HYPERLINK("https://klasma.github.io/Logging_0980/klagomålsmail/A 2476-2025 FSC-klagomål mail.docx", "A 2476-2025")</f>
        <v/>
      </c>
      <c r="X156">
        <f>HYPERLINK("https://klasma.github.io/Logging_0980/tillsyn/A 2476-2025 tillsynsbegäran.docx", "A 2476-2025")</f>
        <v/>
      </c>
      <c r="Y156">
        <f>HYPERLINK("https://klasma.github.io/Logging_0980/tillsynsmail/A 2476-2025 tillsynsbegäran mail.docx", "A 2476-2025")</f>
        <v/>
      </c>
    </row>
    <row r="157" ht="15" customHeight="1">
      <c r="A157" t="inlineStr">
        <is>
          <t>A 10995-2023</t>
        </is>
      </c>
      <c r="B157" s="1" t="n">
        <v>44986</v>
      </c>
      <c r="C157" s="1" t="n">
        <v>46122</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62552-2022</t>
        </is>
      </c>
      <c r="B158" s="1" t="n">
        <v>44924</v>
      </c>
      <c r="C158" s="1" t="n">
        <v>46122</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46122</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46122</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63149-2025</t>
        </is>
      </c>
      <c r="B161" s="1" t="n">
        <v>46010</v>
      </c>
      <c r="C161" s="1" t="n">
        <v>46122</v>
      </c>
      <c r="D161" t="inlineStr">
        <is>
          <t>GOTLANDS LÄN</t>
        </is>
      </c>
      <c r="E161" t="inlineStr">
        <is>
          <t>GOTLAND</t>
        </is>
      </c>
      <c r="G161" t="n">
        <v>4.3</v>
      </c>
      <c r="H161" t="n">
        <v>0</v>
      </c>
      <c r="I161" t="n">
        <v>1</v>
      </c>
      <c r="J161" t="n">
        <v>0</v>
      </c>
      <c r="K161" t="n">
        <v>0</v>
      </c>
      <c r="L161" t="n">
        <v>0</v>
      </c>
      <c r="M161" t="n">
        <v>0</v>
      </c>
      <c r="N161" t="n">
        <v>0</v>
      </c>
      <c r="O161" t="n">
        <v>0</v>
      </c>
      <c r="P161" t="n">
        <v>0</v>
      </c>
      <c r="Q161" t="n">
        <v>1</v>
      </c>
      <c r="R161" s="2" t="inlineStr">
        <is>
          <t>Anisspindling</t>
        </is>
      </c>
      <c r="S161">
        <f>HYPERLINK("https://klasma.github.io/Logging_0980/artfynd/A 63149-2025 artfynd.xlsx", "A 63149-2025")</f>
        <v/>
      </c>
      <c r="T161">
        <f>HYPERLINK("https://klasma.github.io/Logging_0980/kartor/A 63149-2025 karta.png", "A 63149-2025")</f>
        <v/>
      </c>
      <c r="V161">
        <f>HYPERLINK("https://klasma.github.io/Logging_0980/klagomål/A 63149-2025 FSC-klagomål.docx", "A 63149-2025")</f>
        <v/>
      </c>
      <c r="W161">
        <f>HYPERLINK("https://klasma.github.io/Logging_0980/klagomålsmail/A 63149-2025 FSC-klagomål mail.docx", "A 63149-2025")</f>
        <v/>
      </c>
      <c r="X161">
        <f>HYPERLINK("https://klasma.github.io/Logging_0980/tillsyn/A 63149-2025 tillsynsbegäran.docx", "A 63149-2025")</f>
        <v/>
      </c>
      <c r="Y161">
        <f>HYPERLINK("https://klasma.github.io/Logging_0980/tillsynsmail/A 63149-2025 tillsynsbegäran mail.docx", "A 63149-2025")</f>
        <v/>
      </c>
    </row>
    <row r="162" ht="15" customHeight="1">
      <c r="A162" t="inlineStr">
        <is>
          <t>A 10013-2026</t>
        </is>
      </c>
      <c r="B162" s="1" t="n">
        <v>46073</v>
      </c>
      <c r="C162" s="1" t="n">
        <v>46122</v>
      </c>
      <c r="D162" t="inlineStr">
        <is>
          <t>GOTLANDS LÄN</t>
        </is>
      </c>
      <c r="E162" t="inlineStr">
        <is>
          <t>GOTLAND</t>
        </is>
      </c>
      <c r="G162" t="n">
        <v>10.5</v>
      </c>
      <c r="H162" t="n">
        <v>0</v>
      </c>
      <c r="I162" t="n">
        <v>0</v>
      </c>
      <c r="J162" t="n">
        <v>0</v>
      </c>
      <c r="K162" t="n">
        <v>1</v>
      </c>
      <c r="L162" t="n">
        <v>0</v>
      </c>
      <c r="M162" t="n">
        <v>0</v>
      </c>
      <c r="N162" t="n">
        <v>0</v>
      </c>
      <c r="O162" t="n">
        <v>1</v>
      </c>
      <c r="P162" t="n">
        <v>1</v>
      </c>
      <c r="Q162" t="n">
        <v>1</v>
      </c>
      <c r="R162" s="2" t="inlineStr">
        <is>
          <t>Skogskorn</t>
        </is>
      </c>
      <c r="S162">
        <f>HYPERLINK("https://klasma.github.io/Logging_0980/artfynd/A 10013-2026 artfynd.xlsx", "A 10013-2026")</f>
        <v/>
      </c>
      <c r="T162">
        <f>HYPERLINK("https://klasma.github.io/Logging_0980/kartor/A 10013-2026 karta.png", "A 10013-2026")</f>
        <v/>
      </c>
      <c r="V162">
        <f>HYPERLINK("https://klasma.github.io/Logging_0980/klagomål/A 10013-2026 FSC-klagomål.docx", "A 10013-2026")</f>
        <v/>
      </c>
      <c r="W162">
        <f>HYPERLINK("https://klasma.github.io/Logging_0980/klagomålsmail/A 10013-2026 FSC-klagomål mail.docx", "A 10013-2026")</f>
        <v/>
      </c>
      <c r="X162">
        <f>HYPERLINK("https://klasma.github.io/Logging_0980/tillsyn/A 10013-2026 tillsynsbegäran.docx", "A 10013-2026")</f>
        <v/>
      </c>
      <c r="Y162">
        <f>HYPERLINK("https://klasma.github.io/Logging_0980/tillsynsmail/A 10013-2026 tillsynsbegäran mail.docx", "A 10013-2026")</f>
        <v/>
      </c>
    </row>
    <row r="163" ht="15" customHeight="1">
      <c r="A163" t="inlineStr">
        <is>
          <t>A 26461-2025</t>
        </is>
      </c>
      <c r="B163" s="1" t="n">
        <v>45807.43337962963</v>
      </c>
      <c r="C163" s="1" t="n">
        <v>46122</v>
      </c>
      <c r="D163" t="inlineStr">
        <is>
          <t>GOTLANDS LÄN</t>
        </is>
      </c>
      <c r="E163" t="inlineStr">
        <is>
          <t>GOTLAND</t>
        </is>
      </c>
      <c r="G163" t="n">
        <v>4.1</v>
      </c>
      <c r="H163" t="n">
        <v>0</v>
      </c>
      <c r="I163" t="n">
        <v>0</v>
      </c>
      <c r="J163" t="n">
        <v>0</v>
      </c>
      <c r="K163" t="n">
        <v>1</v>
      </c>
      <c r="L163" t="n">
        <v>0</v>
      </c>
      <c r="M163" t="n">
        <v>0</v>
      </c>
      <c r="N163" t="n">
        <v>0</v>
      </c>
      <c r="O163" t="n">
        <v>1</v>
      </c>
      <c r="P163" t="n">
        <v>1</v>
      </c>
      <c r="Q163" t="n">
        <v>1</v>
      </c>
      <c r="R163" s="2" t="inlineStr">
        <is>
          <t>Gotlandsmåra</t>
        </is>
      </c>
      <c r="S163">
        <f>HYPERLINK("https://klasma.github.io/Logging_0980/artfynd/A 26461-2025 artfynd.xlsx", "A 26461-2025")</f>
        <v/>
      </c>
      <c r="T163">
        <f>HYPERLINK("https://klasma.github.io/Logging_0980/kartor/A 26461-2025 karta.png", "A 26461-2025")</f>
        <v/>
      </c>
      <c r="V163">
        <f>HYPERLINK("https://klasma.github.io/Logging_0980/klagomål/A 26461-2025 FSC-klagomål.docx", "A 26461-2025")</f>
        <v/>
      </c>
      <c r="W163">
        <f>HYPERLINK("https://klasma.github.io/Logging_0980/klagomålsmail/A 26461-2025 FSC-klagomål mail.docx", "A 26461-2025")</f>
        <v/>
      </c>
      <c r="X163">
        <f>HYPERLINK("https://klasma.github.io/Logging_0980/tillsyn/A 26461-2025 tillsynsbegäran.docx", "A 26461-2025")</f>
        <v/>
      </c>
      <c r="Y163">
        <f>HYPERLINK("https://klasma.github.io/Logging_0980/tillsynsmail/A 26461-2025 tillsynsbegäran mail.docx", "A 26461-2025")</f>
        <v/>
      </c>
    </row>
    <row r="164" ht="15" customHeight="1">
      <c r="A164" t="inlineStr">
        <is>
          <t>A 447-2023</t>
        </is>
      </c>
      <c r="B164" s="1" t="n">
        <v>44929</v>
      </c>
      <c r="C164" s="1" t="n">
        <v>46122</v>
      </c>
      <c r="D164" t="inlineStr">
        <is>
          <t>GOTLANDS LÄN</t>
        </is>
      </c>
      <c r="E164" t="inlineStr">
        <is>
          <t>GOTLAND</t>
        </is>
      </c>
      <c r="G164" t="n">
        <v>5.1</v>
      </c>
      <c r="H164" t="n">
        <v>0</v>
      </c>
      <c r="I164" t="n">
        <v>0</v>
      </c>
      <c r="J164" t="n">
        <v>1</v>
      </c>
      <c r="K164" t="n">
        <v>0</v>
      </c>
      <c r="L164" t="n">
        <v>0</v>
      </c>
      <c r="M164" t="n">
        <v>0</v>
      </c>
      <c r="N164" t="n">
        <v>0</v>
      </c>
      <c r="O164" t="n">
        <v>1</v>
      </c>
      <c r="P164" t="n">
        <v>0</v>
      </c>
      <c r="Q164" t="n">
        <v>1</v>
      </c>
      <c r="R164" s="2" t="inlineStr">
        <is>
          <t>Äggspindling</t>
        </is>
      </c>
      <c r="S164">
        <f>HYPERLINK("https://klasma.github.io/Logging_0980/artfynd/A 447-2023 artfynd.xlsx", "A 447-2023")</f>
        <v/>
      </c>
      <c r="T164">
        <f>HYPERLINK("https://klasma.github.io/Logging_0980/kartor/A 447-2023 karta.png", "A 447-2023")</f>
        <v/>
      </c>
      <c r="V164">
        <f>HYPERLINK("https://klasma.github.io/Logging_0980/klagomål/A 447-2023 FSC-klagomål.docx", "A 447-2023")</f>
        <v/>
      </c>
      <c r="W164">
        <f>HYPERLINK("https://klasma.github.io/Logging_0980/klagomålsmail/A 447-2023 FSC-klagomål mail.docx", "A 447-2023")</f>
        <v/>
      </c>
      <c r="X164">
        <f>HYPERLINK("https://klasma.github.io/Logging_0980/tillsyn/A 447-2023 tillsynsbegäran.docx", "A 447-2023")</f>
        <v/>
      </c>
      <c r="Y164">
        <f>HYPERLINK("https://klasma.github.io/Logging_0980/tillsynsmail/A 447-2023 tillsynsbegäran mail.docx", "A 447-2023")</f>
        <v/>
      </c>
    </row>
    <row r="165" ht="15" customHeight="1">
      <c r="A165" t="inlineStr">
        <is>
          <t>A 947-2023</t>
        </is>
      </c>
      <c r="B165" s="1" t="n">
        <v>44934</v>
      </c>
      <c r="C165" s="1" t="n">
        <v>46122</v>
      </c>
      <c r="D165" t="inlineStr">
        <is>
          <t>GOTLANDS LÄN</t>
        </is>
      </c>
      <c r="E165" t="inlineStr">
        <is>
          <t>GOTLAND</t>
        </is>
      </c>
      <c r="G165" t="n">
        <v>0.7</v>
      </c>
      <c r="H165" t="n">
        <v>1</v>
      </c>
      <c r="I165" t="n">
        <v>0</v>
      </c>
      <c r="J165" t="n">
        <v>0</v>
      </c>
      <c r="K165" t="n">
        <v>1</v>
      </c>
      <c r="L165" t="n">
        <v>0</v>
      </c>
      <c r="M165" t="n">
        <v>0</v>
      </c>
      <c r="N165" t="n">
        <v>0</v>
      </c>
      <c r="O165" t="n">
        <v>1</v>
      </c>
      <c r="P165" t="n">
        <v>1</v>
      </c>
      <c r="Q165" t="n">
        <v>1</v>
      </c>
      <c r="R165" s="2" t="inlineStr">
        <is>
          <t>Garderönn</t>
        </is>
      </c>
      <c r="S165">
        <f>HYPERLINK("https://klasma.github.io/Logging_0980/artfynd/A 947-2023 artfynd.xlsx", "A 947-2023")</f>
        <v/>
      </c>
      <c r="T165">
        <f>HYPERLINK("https://klasma.github.io/Logging_0980/kartor/A 947-2023 karta.png", "A 947-2023")</f>
        <v/>
      </c>
      <c r="V165">
        <f>HYPERLINK("https://klasma.github.io/Logging_0980/klagomål/A 947-2023 FSC-klagomål.docx", "A 947-2023")</f>
        <v/>
      </c>
      <c r="W165">
        <f>HYPERLINK("https://klasma.github.io/Logging_0980/klagomålsmail/A 947-2023 FSC-klagomål mail.docx", "A 947-2023")</f>
        <v/>
      </c>
      <c r="X165">
        <f>HYPERLINK("https://klasma.github.io/Logging_0980/tillsyn/A 947-2023 tillsynsbegäran.docx", "A 947-2023")</f>
        <v/>
      </c>
      <c r="Y165">
        <f>HYPERLINK("https://klasma.github.io/Logging_0980/tillsynsmail/A 947-2023 tillsynsbegäran mail.docx", "A 947-2023")</f>
        <v/>
      </c>
    </row>
    <row r="166" ht="15" customHeight="1">
      <c r="A166" t="inlineStr">
        <is>
          <t>A 49304-2024</t>
        </is>
      </c>
      <c r="B166" s="1" t="n">
        <v>45595.54996527778</v>
      </c>
      <c r="C166" s="1" t="n">
        <v>46122</v>
      </c>
      <c r="D166" t="inlineStr">
        <is>
          <t>GOTLANDS LÄN</t>
        </is>
      </c>
      <c r="E166" t="inlineStr">
        <is>
          <t>GOTLAND</t>
        </is>
      </c>
      <c r="G166" t="n">
        <v>10.8</v>
      </c>
      <c r="H166" t="n">
        <v>0</v>
      </c>
      <c r="I166" t="n">
        <v>0</v>
      </c>
      <c r="J166" t="n">
        <v>1</v>
      </c>
      <c r="K166" t="n">
        <v>0</v>
      </c>
      <c r="L166" t="n">
        <v>0</v>
      </c>
      <c r="M166" t="n">
        <v>0</v>
      </c>
      <c r="N166" t="n">
        <v>0</v>
      </c>
      <c r="O166" t="n">
        <v>1</v>
      </c>
      <c r="P166" t="n">
        <v>0</v>
      </c>
      <c r="Q166" t="n">
        <v>1</v>
      </c>
      <c r="R166" s="2" t="inlineStr">
        <is>
          <t>Åkerranunkel</t>
        </is>
      </c>
      <c r="S166">
        <f>HYPERLINK("https://klasma.github.io/Logging_0980/artfynd/A 49304-2024 artfynd.xlsx", "A 49304-2024")</f>
        <v/>
      </c>
      <c r="T166">
        <f>HYPERLINK("https://klasma.github.io/Logging_0980/kartor/A 49304-2024 karta.png", "A 49304-2024")</f>
        <v/>
      </c>
      <c r="V166">
        <f>HYPERLINK("https://klasma.github.io/Logging_0980/klagomål/A 49304-2024 FSC-klagomål.docx", "A 49304-2024")</f>
        <v/>
      </c>
      <c r="W166">
        <f>HYPERLINK("https://klasma.github.io/Logging_0980/klagomålsmail/A 49304-2024 FSC-klagomål mail.docx", "A 49304-2024")</f>
        <v/>
      </c>
      <c r="X166">
        <f>HYPERLINK("https://klasma.github.io/Logging_0980/tillsyn/A 49304-2024 tillsynsbegäran.docx", "A 49304-2024")</f>
        <v/>
      </c>
      <c r="Y166">
        <f>HYPERLINK("https://klasma.github.io/Logging_0980/tillsynsmail/A 49304-2024 tillsynsbegäran mail.docx", "A 49304-2024")</f>
        <v/>
      </c>
    </row>
    <row r="167" ht="15" customHeight="1">
      <c r="A167" t="inlineStr">
        <is>
          <t>A 63576-2021</t>
        </is>
      </c>
      <c r="B167" s="1" t="n">
        <v>44508</v>
      </c>
      <c r="C167" s="1" t="n">
        <v>46122</v>
      </c>
      <c r="D167" t="inlineStr">
        <is>
          <t>GOTLANDS LÄN</t>
        </is>
      </c>
      <c r="E167" t="inlineStr">
        <is>
          <t>GOTLAND</t>
        </is>
      </c>
      <c r="F167" t="inlineStr">
        <is>
          <t>Kyrkan</t>
        </is>
      </c>
      <c r="G167" t="n">
        <v>4.1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63576-2021 artfynd.xlsx", "A 63576-2021")</f>
        <v/>
      </c>
      <c r="T167">
        <f>HYPERLINK("https://klasma.github.io/Logging_0980/kartor/A 63576-2021 karta.png", "A 63576-2021")</f>
        <v/>
      </c>
      <c r="V167">
        <f>HYPERLINK("https://klasma.github.io/Logging_0980/klagomål/A 63576-2021 FSC-klagomål.docx", "A 63576-2021")</f>
        <v/>
      </c>
      <c r="W167">
        <f>HYPERLINK("https://klasma.github.io/Logging_0980/klagomålsmail/A 63576-2021 FSC-klagomål mail.docx", "A 63576-2021")</f>
        <v/>
      </c>
      <c r="X167">
        <f>HYPERLINK("https://klasma.github.io/Logging_0980/tillsyn/A 63576-2021 tillsynsbegäran.docx", "A 63576-2021")</f>
        <v/>
      </c>
      <c r="Y167">
        <f>HYPERLINK("https://klasma.github.io/Logging_0980/tillsynsmail/A 63576-2021 tillsynsbegäran mail.docx", "A 63576-2021")</f>
        <v/>
      </c>
    </row>
    <row r="168" ht="15" customHeight="1">
      <c r="A168" t="inlineStr">
        <is>
          <t>A 64700-2021</t>
        </is>
      </c>
      <c r="B168" s="1" t="n">
        <v>44511</v>
      </c>
      <c r="C168" s="1" t="n">
        <v>46122</v>
      </c>
      <c r="D168" t="inlineStr">
        <is>
          <t>GOTLANDS LÄN</t>
        </is>
      </c>
      <c r="E168" t="inlineStr">
        <is>
          <t>GOTLAND</t>
        </is>
      </c>
      <c r="F168" t="inlineStr">
        <is>
          <t>Naturvårdsverket</t>
        </is>
      </c>
      <c r="G168" t="n">
        <v>2.4</v>
      </c>
      <c r="H168" t="n">
        <v>1</v>
      </c>
      <c r="I168" t="n">
        <v>0</v>
      </c>
      <c r="J168" t="n">
        <v>0</v>
      </c>
      <c r="K168" t="n">
        <v>1</v>
      </c>
      <c r="L168" t="n">
        <v>0</v>
      </c>
      <c r="M168" t="n">
        <v>0</v>
      </c>
      <c r="N168" t="n">
        <v>0</v>
      </c>
      <c r="O168" t="n">
        <v>1</v>
      </c>
      <c r="P168" t="n">
        <v>1</v>
      </c>
      <c r="Q168" t="n">
        <v>1</v>
      </c>
      <c r="R168" s="2" t="inlineStr">
        <is>
          <t>Kalkdån</t>
        </is>
      </c>
      <c r="S168">
        <f>HYPERLINK("https://klasma.github.io/Logging_0980/artfynd/A 64700-2021 artfynd.xlsx", "A 64700-2021")</f>
        <v/>
      </c>
      <c r="T168">
        <f>HYPERLINK("https://klasma.github.io/Logging_0980/kartor/A 64700-2021 karta.png", "A 64700-2021")</f>
        <v/>
      </c>
      <c r="V168">
        <f>HYPERLINK("https://klasma.github.io/Logging_0980/klagomål/A 64700-2021 FSC-klagomål.docx", "A 64700-2021")</f>
        <v/>
      </c>
      <c r="W168">
        <f>HYPERLINK("https://klasma.github.io/Logging_0980/klagomålsmail/A 64700-2021 FSC-klagomål mail.docx", "A 64700-2021")</f>
        <v/>
      </c>
      <c r="X168">
        <f>HYPERLINK("https://klasma.github.io/Logging_0980/tillsyn/A 64700-2021 tillsynsbegäran.docx", "A 64700-2021")</f>
        <v/>
      </c>
      <c r="Y168">
        <f>HYPERLINK("https://klasma.github.io/Logging_0980/tillsynsmail/A 64700-2021 tillsynsbegäran mail.docx", "A 64700-2021")</f>
        <v/>
      </c>
    </row>
    <row r="169" ht="15" customHeight="1">
      <c r="A169" t="inlineStr">
        <is>
          <t>A 27589-2023</t>
        </is>
      </c>
      <c r="B169" s="1" t="n">
        <v>45097</v>
      </c>
      <c r="C169" s="1" t="n">
        <v>46122</v>
      </c>
      <c r="D169" t="inlineStr">
        <is>
          <t>GOTLANDS LÄN</t>
        </is>
      </c>
      <c r="E169" t="inlineStr">
        <is>
          <t>GOTLAND</t>
        </is>
      </c>
      <c r="G169" t="n">
        <v>5.4</v>
      </c>
      <c r="H169" t="n">
        <v>0</v>
      </c>
      <c r="I169" t="n">
        <v>0</v>
      </c>
      <c r="J169" t="n">
        <v>0</v>
      </c>
      <c r="K169" t="n">
        <v>0</v>
      </c>
      <c r="L169" t="n">
        <v>0</v>
      </c>
      <c r="M169" t="n">
        <v>1</v>
      </c>
      <c r="N169" t="n">
        <v>0</v>
      </c>
      <c r="O169" t="n">
        <v>1</v>
      </c>
      <c r="P169" t="n">
        <v>1</v>
      </c>
      <c r="Q169" t="n">
        <v>1</v>
      </c>
      <c r="R169" s="2" t="inlineStr">
        <is>
          <t>Skogsalm</t>
        </is>
      </c>
      <c r="S169">
        <f>HYPERLINK("https://klasma.github.io/Logging_0980/artfynd/A 27589-2023 artfynd.xlsx", "A 27589-2023")</f>
        <v/>
      </c>
      <c r="T169">
        <f>HYPERLINK("https://klasma.github.io/Logging_0980/kartor/A 27589-2023 karta.png", "A 27589-2023")</f>
        <v/>
      </c>
      <c r="V169">
        <f>HYPERLINK("https://klasma.github.io/Logging_0980/klagomål/A 27589-2023 FSC-klagomål.docx", "A 27589-2023")</f>
        <v/>
      </c>
      <c r="W169">
        <f>HYPERLINK("https://klasma.github.io/Logging_0980/klagomålsmail/A 27589-2023 FSC-klagomål mail.docx", "A 27589-2023")</f>
        <v/>
      </c>
      <c r="X169">
        <f>HYPERLINK("https://klasma.github.io/Logging_0980/tillsyn/A 27589-2023 tillsynsbegäran.docx", "A 27589-2023")</f>
        <v/>
      </c>
      <c r="Y169">
        <f>HYPERLINK("https://klasma.github.io/Logging_0980/tillsynsmail/A 27589-2023 tillsynsbegäran mail.docx", "A 27589-2023")</f>
        <v/>
      </c>
    </row>
    <row r="170" ht="15" customHeight="1">
      <c r="A170" t="inlineStr">
        <is>
          <t>A 1477-2024</t>
        </is>
      </c>
      <c r="B170" s="1" t="n">
        <v>45305.37987268518</v>
      </c>
      <c r="C170" s="1" t="n">
        <v>46122</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35574-2024</t>
        </is>
      </c>
      <c r="B171" s="1" t="n">
        <v>45531</v>
      </c>
      <c r="C171" s="1" t="n">
        <v>46122</v>
      </c>
      <c r="D171" t="inlineStr">
        <is>
          <t>GOTLANDS LÄN</t>
        </is>
      </c>
      <c r="E171" t="inlineStr">
        <is>
          <t>GOTLAND</t>
        </is>
      </c>
      <c r="G171" t="n">
        <v>5.7</v>
      </c>
      <c r="H171" t="n">
        <v>0</v>
      </c>
      <c r="I171" t="n">
        <v>1</v>
      </c>
      <c r="J171" t="n">
        <v>0</v>
      </c>
      <c r="K171" t="n">
        <v>0</v>
      </c>
      <c r="L171" t="n">
        <v>0</v>
      </c>
      <c r="M171" t="n">
        <v>0</v>
      </c>
      <c r="N171" t="n">
        <v>0</v>
      </c>
      <c r="O171" t="n">
        <v>0</v>
      </c>
      <c r="P171" t="n">
        <v>0</v>
      </c>
      <c r="Q171" t="n">
        <v>1</v>
      </c>
      <c r="R171" s="2" t="inlineStr">
        <is>
          <t>Murgröna</t>
        </is>
      </c>
      <c r="S171">
        <f>HYPERLINK("https://klasma.github.io/Logging_0980/artfynd/A 35574-2024 artfynd.xlsx", "A 35574-2024")</f>
        <v/>
      </c>
      <c r="T171">
        <f>HYPERLINK("https://klasma.github.io/Logging_0980/kartor/A 35574-2024 karta.png", "A 35574-2024")</f>
        <v/>
      </c>
      <c r="V171">
        <f>HYPERLINK("https://klasma.github.io/Logging_0980/klagomål/A 35574-2024 FSC-klagomål.docx", "A 35574-2024")</f>
        <v/>
      </c>
      <c r="W171">
        <f>HYPERLINK("https://klasma.github.io/Logging_0980/klagomålsmail/A 35574-2024 FSC-klagomål mail.docx", "A 35574-2024")</f>
        <v/>
      </c>
      <c r="X171">
        <f>HYPERLINK("https://klasma.github.io/Logging_0980/tillsyn/A 35574-2024 tillsynsbegäran.docx", "A 35574-2024")</f>
        <v/>
      </c>
      <c r="Y171">
        <f>HYPERLINK("https://klasma.github.io/Logging_0980/tillsynsmail/A 35574-2024 tillsynsbegäran mail.docx", "A 35574-2024")</f>
        <v/>
      </c>
    </row>
    <row r="172" ht="15" customHeight="1">
      <c r="A172" t="inlineStr">
        <is>
          <t>A 7637-2025</t>
        </is>
      </c>
      <c r="B172" s="1" t="n">
        <v>45705.77181712963</v>
      </c>
      <c r="C172" s="1" t="n">
        <v>46122</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34141-2024</t>
        </is>
      </c>
      <c r="B173" s="1" t="n">
        <v>45524.36229166666</v>
      </c>
      <c r="C173" s="1" t="n">
        <v>46122</v>
      </c>
      <c r="D173" t="inlineStr">
        <is>
          <t>GOTLANDS LÄN</t>
        </is>
      </c>
      <c r="E173" t="inlineStr">
        <is>
          <t>GOTLAND</t>
        </is>
      </c>
      <c r="G173" t="n">
        <v>0.9</v>
      </c>
      <c r="H173" t="n">
        <v>0</v>
      </c>
      <c r="I173" t="n">
        <v>1</v>
      </c>
      <c r="J173" t="n">
        <v>0</v>
      </c>
      <c r="K173" t="n">
        <v>0</v>
      </c>
      <c r="L173" t="n">
        <v>0</v>
      </c>
      <c r="M173" t="n">
        <v>0</v>
      </c>
      <c r="N173" t="n">
        <v>0</v>
      </c>
      <c r="O173" t="n">
        <v>0</v>
      </c>
      <c r="P173" t="n">
        <v>0</v>
      </c>
      <c r="Q173" t="n">
        <v>1</v>
      </c>
      <c r="R173" s="2" t="inlineStr">
        <is>
          <t>Strävlosta</t>
        </is>
      </c>
      <c r="S173">
        <f>HYPERLINK("https://klasma.github.io/Logging_0980/artfynd/A 34141-2024 artfynd.xlsx", "A 34141-2024")</f>
        <v/>
      </c>
      <c r="T173">
        <f>HYPERLINK("https://klasma.github.io/Logging_0980/kartor/A 34141-2024 karta.png", "A 34141-2024")</f>
        <v/>
      </c>
      <c r="V173">
        <f>HYPERLINK("https://klasma.github.io/Logging_0980/klagomål/A 34141-2024 FSC-klagomål.docx", "A 34141-2024")</f>
        <v/>
      </c>
      <c r="W173">
        <f>HYPERLINK("https://klasma.github.io/Logging_0980/klagomålsmail/A 34141-2024 FSC-klagomål mail.docx", "A 34141-2024")</f>
        <v/>
      </c>
      <c r="X173">
        <f>HYPERLINK("https://klasma.github.io/Logging_0980/tillsyn/A 34141-2024 tillsynsbegäran.docx", "A 34141-2024")</f>
        <v/>
      </c>
      <c r="Y173">
        <f>HYPERLINK("https://klasma.github.io/Logging_0980/tillsynsmail/A 34141-2024 tillsynsbegäran mail.docx", "A 34141-2024")</f>
        <v/>
      </c>
    </row>
    <row r="174" ht="15" customHeight="1">
      <c r="A174" t="inlineStr">
        <is>
          <t>A 9862-2024</t>
        </is>
      </c>
      <c r="B174" s="1" t="n">
        <v>45363</v>
      </c>
      <c r="C174" s="1" t="n">
        <v>46122</v>
      </c>
      <c r="D174" t="inlineStr">
        <is>
          <t>GOTLANDS LÄN</t>
        </is>
      </c>
      <c r="E174" t="inlineStr">
        <is>
          <t>GOTLAND</t>
        </is>
      </c>
      <c r="G174" t="n">
        <v>3.5</v>
      </c>
      <c r="H174" t="n">
        <v>1</v>
      </c>
      <c r="I174" t="n">
        <v>0</v>
      </c>
      <c r="J174" t="n">
        <v>0</v>
      </c>
      <c r="K174" t="n">
        <v>0</v>
      </c>
      <c r="L174" t="n">
        <v>0</v>
      </c>
      <c r="M174" t="n">
        <v>0</v>
      </c>
      <c r="N174" t="n">
        <v>0</v>
      </c>
      <c r="O174" t="n">
        <v>0</v>
      </c>
      <c r="P174" t="n">
        <v>0</v>
      </c>
      <c r="Q174" t="n">
        <v>1</v>
      </c>
      <c r="R174" s="2" t="inlineStr">
        <is>
          <t>Nattviol</t>
        </is>
      </c>
      <c r="S174">
        <f>HYPERLINK("https://klasma.github.io/Logging_0980/artfynd/A 9862-2024 artfynd.xlsx", "A 9862-2024")</f>
        <v/>
      </c>
      <c r="T174">
        <f>HYPERLINK("https://klasma.github.io/Logging_0980/kartor/A 9862-2024 karta.png", "A 9862-2024")</f>
        <v/>
      </c>
      <c r="V174">
        <f>HYPERLINK("https://klasma.github.io/Logging_0980/klagomål/A 9862-2024 FSC-klagomål.docx", "A 9862-2024")</f>
        <v/>
      </c>
      <c r="W174">
        <f>HYPERLINK("https://klasma.github.io/Logging_0980/klagomålsmail/A 9862-2024 FSC-klagomål mail.docx", "A 9862-2024")</f>
        <v/>
      </c>
      <c r="X174">
        <f>HYPERLINK("https://klasma.github.io/Logging_0980/tillsyn/A 9862-2024 tillsynsbegäran.docx", "A 9862-2024")</f>
        <v/>
      </c>
      <c r="Y174">
        <f>HYPERLINK("https://klasma.github.io/Logging_0980/tillsynsmail/A 9862-2024 tillsynsbegäran mail.docx", "A 9862-2024")</f>
        <v/>
      </c>
    </row>
    <row r="175" ht="15" customHeight="1">
      <c r="A175" t="inlineStr">
        <is>
          <t>A 6303-2024</t>
        </is>
      </c>
      <c r="B175" s="1" t="n">
        <v>45338.35376157407</v>
      </c>
      <c r="C175" s="1" t="n">
        <v>46122</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12924-2025</t>
        </is>
      </c>
      <c r="B176" s="1" t="n">
        <v>45734</v>
      </c>
      <c r="C176" s="1" t="n">
        <v>46122</v>
      </c>
      <c r="D176" t="inlineStr">
        <is>
          <t>GOTLANDS LÄN</t>
        </is>
      </c>
      <c r="E176" t="inlineStr">
        <is>
          <t>GOTLAND</t>
        </is>
      </c>
      <c r="G176" t="n">
        <v>11.7</v>
      </c>
      <c r="H176" t="n">
        <v>0</v>
      </c>
      <c r="I176" t="n">
        <v>0</v>
      </c>
      <c r="J176" t="n">
        <v>0</v>
      </c>
      <c r="K176" t="n">
        <v>1</v>
      </c>
      <c r="L176" t="n">
        <v>0</v>
      </c>
      <c r="M176" t="n">
        <v>0</v>
      </c>
      <c r="N176" t="n">
        <v>0</v>
      </c>
      <c r="O176" t="n">
        <v>1</v>
      </c>
      <c r="P176" t="n">
        <v>1</v>
      </c>
      <c r="Q176" t="n">
        <v>1</v>
      </c>
      <c r="R176" s="2" t="inlineStr">
        <is>
          <t>Gotlandsmåra</t>
        </is>
      </c>
      <c r="S176">
        <f>HYPERLINK("https://klasma.github.io/Logging_0980/artfynd/A 12924-2025 artfynd.xlsx", "A 12924-2025")</f>
        <v/>
      </c>
      <c r="T176">
        <f>HYPERLINK("https://klasma.github.io/Logging_0980/kartor/A 12924-2025 karta.png", "A 12924-2025")</f>
        <v/>
      </c>
      <c r="V176">
        <f>HYPERLINK("https://klasma.github.io/Logging_0980/klagomål/A 12924-2025 FSC-klagomål.docx", "A 12924-2025")</f>
        <v/>
      </c>
      <c r="W176">
        <f>HYPERLINK("https://klasma.github.io/Logging_0980/klagomålsmail/A 12924-2025 FSC-klagomål mail.docx", "A 12924-2025")</f>
        <v/>
      </c>
      <c r="X176">
        <f>HYPERLINK("https://klasma.github.io/Logging_0980/tillsyn/A 12924-2025 tillsynsbegäran.docx", "A 12924-2025")</f>
        <v/>
      </c>
      <c r="Y176">
        <f>HYPERLINK("https://klasma.github.io/Logging_0980/tillsynsmail/A 12924-2025 tillsynsbegäran mail.docx", "A 12924-2025")</f>
        <v/>
      </c>
    </row>
    <row r="177" ht="15" customHeight="1">
      <c r="A177" t="inlineStr">
        <is>
          <t>A 34809-2024</t>
        </is>
      </c>
      <c r="B177" s="1" t="n">
        <v>45526</v>
      </c>
      <c r="C177" s="1" t="n">
        <v>46122</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46122</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22782-2023</t>
        </is>
      </c>
      <c r="B179" s="1" t="n">
        <v>45072</v>
      </c>
      <c r="C179" s="1" t="n">
        <v>46122</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46122</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46122</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46122</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46122</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46122</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46122</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46122</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19901-2021</t>
        </is>
      </c>
      <c r="B187" s="1" t="n">
        <v>44312</v>
      </c>
      <c r="C187" s="1" t="n">
        <v>46122</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46122</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46122</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46122</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46122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46122</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46122</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46122</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46122</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46122</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46122</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46122</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46122</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46122</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46122</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46122</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46122</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46122</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46122</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46122</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46122</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46122</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46122</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46122</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46122</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46122</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46122</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46122</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71010-2021</t>
        </is>
      </c>
      <c r="B215" s="1" t="n">
        <v>44538.63775462963</v>
      </c>
      <c r="C215" s="1" t="n">
        <v>46122</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22495-2022</t>
        </is>
      </c>
      <c r="B216" s="1" t="n">
        <v>44713.6452199074</v>
      </c>
      <c r="C216" s="1" t="n">
        <v>46122</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44942-2022</t>
        </is>
      </c>
      <c r="B217" s="1" t="n">
        <v>44841</v>
      </c>
      <c r="C217" s="1" t="n">
        <v>46122</v>
      </c>
      <c r="D217" t="inlineStr">
        <is>
          <t>GOTLANDS LÄN</t>
        </is>
      </c>
      <c r="E217" t="inlineStr">
        <is>
          <t>GOTLAND</t>
        </is>
      </c>
      <c r="G217" t="n">
        <v>2</v>
      </c>
      <c r="H217" t="n">
        <v>0</v>
      </c>
      <c r="I217" t="n">
        <v>0</v>
      </c>
      <c r="J217" t="n">
        <v>0</v>
      </c>
      <c r="K217" t="n">
        <v>0</v>
      </c>
      <c r="L217" t="n">
        <v>0</v>
      </c>
      <c r="M217" t="n">
        <v>0</v>
      </c>
      <c r="N217" t="n">
        <v>0</v>
      </c>
      <c r="O217" t="n">
        <v>0</v>
      </c>
      <c r="P217" t="n">
        <v>0</v>
      </c>
      <c r="Q217" t="n">
        <v>0</v>
      </c>
      <c r="R217" s="2" t="inlineStr"/>
    </row>
    <row r="218" ht="15" customHeight="1">
      <c r="A218" t="inlineStr">
        <is>
          <t>A 53225-2022</t>
        </is>
      </c>
      <c r="B218" s="1" t="n">
        <v>44876</v>
      </c>
      <c r="C218" s="1" t="n">
        <v>46122</v>
      </c>
      <c r="D218" t="inlineStr">
        <is>
          <t>GOTLANDS LÄN</t>
        </is>
      </c>
      <c r="E218" t="inlineStr">
        <is>
          <t>GOTLAND</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46122</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46122</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46122</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46122</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46122</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46122</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46122</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46122</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57219-2021</t>
        </is>
      </c>
      <c r="B227" s="1" t="n">
        <v>44483</v>
      </c>
      <c r="C227" s="1" t="n">
        <v>46122</v>
      </c>
      <c r="D227" t="inlineStr">
        <is>
          <t>GOTLANDS LÄN</t>
        </is>
      </c>
      <c r="E227" t="inlineStr">
        <is>
          <t>GOTLAND</t>
        </is>
      </c>
      <c r="F227" t="inlineStr">
        <is>
          <t>Kyrkan</t>
        </is>
      </c>
      <c r="G227" t="n">
        <v>4</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46122</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30282-2022</t>
        </is>
      </c>
      <c r="B229" s="1" t="n">
        <v>44760</v>
      </c>
      <c r="C229" s="1" t="n">
        <v>46122</v>
      </c>
      <c r="D229" t="inlineStr">
        <is>
          <t>GOTLANDS LÄN</t>
        </is>
      </c>
      <c r="E229" t="inlineStr">
        <is>
          <t>GOTLAND</t>
        </is>
      </c>
      <c r="G229" t="n">
        <v>2.6</v>
      </c>
      <c r="H229" t="n">
        <v>0</v>
      </c>
      <c r="I229" t="n">
        <v>0</v>
      </c>
      <c r="J229" t="n">
        <v>0</v>
      </c>
      <c r="K229" t="n">
        <v>0</v>
      </c>
      <c r="L229" t="n">
        <v>0</v>
      </c>
      <c r="M229" t="n">
        <v>0</v>
      </c>
      <c r="N229" t="n">
        <v>0</v>
      </c>
      <c r="O229" t="n">
        <v>0</v>
      </c>
      <c r="P229" t="n">
        <v>0</v>
      </c>
      <c r="Q229" t="n">
        <v>0</v>
      </c>
      <c r="R229" s="2" t="inlineStr"/>
    </row>
    <row r="230" ht="15" customHeight="1">
      <c r="A230" t="inlineStr">
        <is>
          <t>A 4868-2024</t>
        </is>
      </c>
      <c r="B230" s="1" t="n">
        <v>45329</v>
      </c>
      <c r="C230" s="1" t="n">
        <v>46122</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5751-2024</t>
        </is>
      </c>
      <c r="B231" s="1" t="n">
        <v>45335.32702546296</v>
      </c>
      <c r="C231" s="1" t="n">
        <v>46122</v>
      </c>
      <c r="D231" t="inlineStr">
        <is>
          <t>GOTLANDS LÄN</t>
        </is>
      </c>
      <c r="E231" t="inlineStr">
        <is>
          <t>GOTLAND</t>
        </is>
      </c>
      <c r="G231" t="n">
        <v>4.2</v>
      </c>
      <c r="H231" t="n">
        <v>0</v>
      </c>
      <c r="I231" t="n">
        <v>0</v>
      </c>
      <c r="J231" t="n">
        <v>0</v>
      </c>
      <c r="K231" t="n">
        <v>0</v>
      </c>
      <c r="L231" t="n">
        <v>0</v>
      </c>
      <c r="M231" t="n">
        <v>0</v>
      </c>
      <c r="N231" t="n">
        <v>0</v>
      </c>
      <c r="O231" t="n">
        <v>0</v>
      </c>
      <c r="P231" t="n">
        <v>0</v>
      </c>
      <c r="Q231" t="n">
        <v>0</v>
      </c>
      <c r="R231" s="2" t="inlineStr"/>
    </row>
    <row r="232" ht="15" customHeight="1">
      <c r="A232" t="inlineStr">
        <is>
          <t>A 32330-2024</t>
        </is>
      </c>
      <c r="B232" s="1" t="n">
        <v>45512</v>
      </c>
      <c r="C232" s="1" t="n">
        <v>46122</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9613-2025</t>
        </is>
      </c>
      <c r="B233" s="1" t="n">
        <v>45715</v>
      </c>
      <c r="C233" s="1" t="n">
        <v>46122</v>
      </c>
      <c r="D233" t="inlineStr">
        <is>
          <t>GOTLANDS LÄN</t>
        </is>
      </c>
      <c r="E233" t="inlineStr">
        <is>
          <t>GOTLAND</t>
        </is>
      </c>
      <c r="G233" t="n">
        <v>3.5</v>
      </c>
      <c r="H233" t="n">
        <v>0</v>
      </c>
      <c r="I233" t="n">
        <v>0</v>
      </c>
      <c r="J233" t="n">
        <v>0</v>
      </c>
      <c r="K233" t="n">
        <v>0</v>
      </c>
      <c r="L233" t="n">
        <v>0</v>
      </c>
      <c r="M233" t="n">
        <v>0</v>
      </c>
      <c r="N233" t="n">
        <v>0</v>
      </c>
      <c r="O233" t="n">
        <v>0</v>
      </c>
      <c r="P233" t="n">
        <v>0</v>
      </c>
      <c r="Q233" t="n">
        <v>0</v>
      </c>
      <c r="R233" s="2" t="inlineStr"/>
    </row>
    <row r="234" ht="15" customHeight="1">
      <c r="A234" t="inlineStr">
        <is>
          <t>A 15595-2024</t>
        </is>
      </c>
      <c r="B234" s="1" t="n">
        <v>45401.81480324074</v>
      </c>
      <c r="C234" s="1" t="n">
        <v>46122</v>
      </c>
      <c r="D234" t="inlineStr">
        <is>
          <t>GOTLANDS LÄN</t>
        </is>
      </c>
      <c r="E234" t="inlineStr">
        <is>
          <t>GOTLAND</t>
        </is>
      </c>
      <c r="G234" t="n">
        <v>6.4</v>
      </c>
      <c r="H234" t="n">
        <v>0</v>
      </c>
      <c r="I234" t="n">
        <v>0</v>
      </c>
      <c r="J234" t="n">
        <v>0</v>
      </c>
      <c r="K234" t="n">
        <v>0</v>
      </c>
      <c r="L234" t="n">
        <v>0</v>
      </c>
      <c r="M234" t="n">
        <v>0</v>
      </c>
      <c r="N234" t="n">
        <v>0</v>
      </c>
      <c r="O234" t="n">
        <v>0</v>
      </c>
      <c r="P234" t="n">
        <v>0</v>
      </c>
      <c r="Q234" t="n">
        <v>0</v>
      </c>
      <c r="R234" s="2" t="inlineStr"/>
    </row>
    <row r="235" ht="15" customHeight="1">
      <c r="A235" t="inlineStr">
        <is>
          <t>A 24966-2023</t>
        </is>
      </c>
      <c r="B235" s="1" t="n">
        <v>45085</v>
      </c>
      <c r="C235" s="1" t="n">
        <v>46122</v>
      </c>
      <c r="D235" t="inlineStr">
        <is>
          <t>GOTLANDS LÄN</t>
        </is>
      </c>
      <c r="E235" t="inlineStr">
        <is>
          <t>GOTLAND</t>
        </is>
      </c>
      <c r="G235" t="n">
        <v>7</v>
      </c>
      <c r="H235" t="n">
        <v>0</v>
      </c>
      <c r="I235" t="n">
        <v>0</v>
      </c>
      <c r="J235" t="n">
        <v>0</v>
      </c>
      <c r="K235" t="n">
        <v>0</v>
      </c>
      <c r="L235" t="n">
        <v>0</v>
      </c>
      <c r="M235" t="n">
        <v>0</v>
      </c>
      <c r="N235" t="n">
        <v>0</v>
      </c>
      <c r="O235" t="n">
        <v>0</v>
      </c>
      <c r="P235" t="n">
        <v>0</v>
      </c>
      <c r="Q235" t="n">
        <v>0</v>
      </c>
      <c r="R235" s="2" t="inlineStr"/>
    </row>
    <row r="236" ht="15" customHeight="1">
      <c r="A236" t="inlineStr">
        <is>
          <t>A 46189-2022</t>
        </is>
      </c>
      <c r="B236" s="1" t="n">
        <v>44847</v>
      </c>
      <c r="C236" s="1" t="n">
        <v>46122</v>
      </c>
      <c r="D236" t="inlineStr">
        <is>
          <t>GOTLANDS LÄN</t>
        </is>
      </c>
      <c r="E236" t="inlineStr">
        <is>
          <t>GOTLAND</t>
        </is>
      </c>
      <c r="G236" t="n">
        <v>0.4</v>
      </c>
      <c r="H236" t="n">
        <v>0</v>
      </c>
      <c r="I236" t="n">
        <v>0</v>
      </c>
      <c r="J236" t="n">
        <v>0</v>
      </c>
      <c r="K236" t="n">
        <v>0</v>
      </c>
      <c r="L236" t="n">
        <v>0</v>
      </c>
      <c r="M236" t="n">
        <v>0</v>
      </c>
      <c r="N236" t="n">
        <v>0</v>
      </c>
      <c r="O236" t="n">
        <v>0</v>
      </c>
      <c r="P236" t="n">
        <v>0</v>
      </c>
      <c r="Q236" t="n">
        <v>0</v>
      </c>
      <c r="R236" s="2" t="inlineStr"/>
    </row>
    <row r="237" ht="15" customHeight="1">
      <c r="A237" t="inlineStr">
        <is>
          <t>A 22031-2024</t>
        </is>
      </c>
      <c r="B237" s="1" t="n">
        <v>45443.60075231481</v>
      </c>
      <c r="C237" s="1" t="n">
        <v>46122</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49314-2024</t>
        </is>
      </c>
      <c r="B238" s="1" t="n">
        <v>45595.55893518519</v>
      </c>
      <c r="C238" s="1" t="n">
        <v>46122</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56688-2025</t>
        </is>
      </c>
      <c r="B239" s="1" t="n">
        <v>45975.84331018518</v>
      </c>
      <c r="C239" s="1" t="n">
        <v>46122</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46122</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20356-2022</t>
        </is>
      </c>
      <c r="B241" s="1" t="n">
        <v>44699</v>
      </c>
      <c r="C241" s="1" t="n">
        <v>46122</v>
      </c>
      <c r="D241" t="inlineStr">
        <is>
          <t>GOTLANDS LÄN</t>
        </is>
      </c>
      <c r="E241" t="inlineStr">
        <is>
          <t>GOTLAND</t>
        </is>
      </c>
      <c r="F241" t="inlineStr">
        <is>
          <t>Övriga Aktiebolag</t>
        </is>
      </c>
      <c r="G241" t="n">
        <v>4.4</v>
      </c>
      <c r="H241" t="n">
        <v>0</v>
      </c>
      <c r="I241" t="n">
        <v>0</v>
      </c>
      <c r="J241" t="n">
        <v>0</v>
      </c>
      <c r="K241" t="n">
        <v>0</v>
      </c>
      <c r="L241" t="n">
        <v>0</v>
      </c>
      <c r="M241" t="n">
        <v>0</v>
      </c>
      <c r="N241" t="n">
        <v>0</v>
      </c>
      <c r="O241" t="n">
        <v>0</v>
      </c>
      <c r="P241" t="n">
        <v>0</v>
      </c>
      <c r="Q241" t="n">
        <v>0</v>
      </c>
      <c r="R241" s="2" t="inlineStr"/>
    </row>
    <row r="242" ht="15" customHeight="1">
      <c r="A242" t="inlineStr">
        <is>
          <t>A 48503-2023</t>
        </is>
      </c>
      <c r="B242" s="1" t="n">
        <v>45207</v>
      </c>
      <c r="C242" s="1" t="n">
        <v>46122</v>
      </c>
      <c r="D242" t="inlineStr">
        <is>
          <t>GOTLANDS LÄN</t>
        </is>
      </c>
      <c r="E242" t="inlineStr">
        <is>
          <t>GOTLAND</t>
        </is>
      </c>
      <c r="G242" t="n">
        <v>1.6</v>
      </c>
      <c r="H242" t="n">
        <v>0</v>
      </c>
      <c r="I242" t="n">
        <v>0</v>
      </c>
      <c r="J242" t="n">
        <v>0</v>
      </c>
      <c r="K242" t="n">
        <v>0</v>
      </c>
      <c r="L242" t="n">
        <v>0</v>
      </c>
      <c r="M242" t="n">
        <v>0</v>
      </c>
      <c r="N242" t="n">
        <v>0</v>
      </c>
      <c r="O242" t="n">
        <v>0</v>
      </c>
      <c r="P242" t="n">
        <v>0</v>
      </c>
      <c r="Q242" t="n">
        <v>0</v>
      </c>
      <c r="R242" s="2" t="inlineStr"/>
    </row>
    <row r="243" ht="15" customHeight="1">
      <c r="A243" t="inlineStr">
        <is>
          <t>A 65901-2021</t>
        </is>
      </c>
      <c r="B243" s="1" t="n">
        <v>44516</v>
      </c>
      <c r="C243" s="1" t="n">
        <v>46122</v>
      </c>
      <c r="D243" t="inlineStr">
        <is>
          <t>GOTLANDS LÄN</t>
        </is>
      </c>
      <c r="E243" t="inlineStr">
        <is>
          <t>GOTLAND</t>
        </is>
      </c>
      <c r="G243" t="n">
        <v>4.9</v>
      </c>
      <c r="H243" t="n">
        <v>0</v>
      </c>
      <c r="I243" t="n">
        <v>0</v>
      </c>
      <c r="J243" t="n">
        <v>0</v>
      </c>
      <c r="K243" t="n">
        <v>0</v>
      </c>
      <c r="L243" t="n">
        <v>0</v>
      </c>
      <c r="M243" t="n">
        <v>0</v>
      </c>
      <c r="N243" t="n">
        <v>0</v>
      </c>
      <c r="O243" t="n">
        <v>0</v>
      </c>
      <c r="P243" t="n">
        <v>0</v>
      </c>
      <c r="Q243" t="n">
        <v>0</v>
      </c>
      <c r="R243" s="2" t="inlineStr"/>
    </row>
    <row r="244" ht="15" customHeight="1">
      <c r="A244" t="inlineStr">
        <is>
          <t>A 57356-2023</t>
        </is>
      </c>
      <c r="B244" s="1" t="n">
        <v>45240</v>
      </c>
      <c r="C244" s="1" t="n">
        <v>46122</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10656-2024</t>
        </is>
      </c>
      <c r="B245" s="1" t="n">
        <v>45368</v>
      </c>
      <c r="C245" s="1" t="n">
        <v>46122</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44649-2021</t>
        </is>
      </c>
      <c r="B246" s="1" t="n">
        <v>44437</v>
      </c>
      <c r="C246" s="1" t="n">
        <v>46122</v>
      </c>
      <c r="D246" t="inlineStr">
        <is>
          <t>GOTLANDS LÄN</t>
        </is>
      </c>
      <c r="E246" t="inlineStr">
        <is>
          <t>GOTLAND</t>
        </is>
      </c>
      <c r="G246" t="n">
        <v>8.1</v>
      </c>
      <c r="H246" t="n">
        <v>0</v>
      </c>
      <c r="I246" t="n">
        <v>0</v>
      </c>
      <c r="J246" t="n">
        <v>0</v>
      </c>
      <c r="K246" t="n">
        <v>0</v>
      </c>
      <c r="L246" t="n">
        <v>0</v>
      </c>
      <c r="M246" t="n">
        <v>0</v>
      </c>
      <c r="N246" t="n">
        <v>0</v>
      </c>
      <c r="O246" t="n">
        <v>0</v>
      </c>
      <c r="P246" t="n">
        <v>0</v>
      </c>
      <c r="Q246" t="n">
        <v>0</v>
      </c>
      <c r="R246" s="2" t="inlineStr"/>
    </row>
    <row r="247" ht="15" customHeight="1">
      <c r="A247" t="inlineStr">
        <is>
          <t>A 9947-2024</t>
        </is>
      </c>
      <c r="B247" s="1" t="n">
        <v>45363</v>
      </c>
      <c r="C247" s="1" t="n">
        <v>46122</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28506-2023</t>
        </is>
      </c>
      <c r="B248" s="1" t="n">
        <v>45103</v>
      </c>
      <c r="C248" s="1" t="n">
        <v>46122</v>
      </c>
      <c r="D248" t="inlineStr">
        <is>
          <t>GOTLANDS LÄN</t>
        </is>
      </c>
      <c r="E248" t="inlineStr">
        <is>
          <t>GOTLAND</t>
        </is>
      </c>
      <c r="G248" t="n">
        <v>3.2</v>
      </c>
      <c r="H248" t="n">
        <v>0</v>
      </c>
      <c r="I248" t="n">
        <v>0</v>
      </c>
      <c r="J248" t="n">
        <v>0</v>
      </c>
      <c r="K248" t="n">
        <v>0</v>
      </c>
      <c r="L248" t="n">
        <v>0</v>
      </c>
      <c r="M248" t="n">
        <v>0</v>
      </c>
      <c r="N248" t="n">
        <v>0</v>
      </c>
      <c r="O248" t="n">
        <v>0</v>
      </c>
      <c r="P248" t="n">
        <v>0</v>
      </c>
      <c r="Q248" t="n">
        <v>0</v>
      </c>
      <c r="R248" s="2" t="inlineStr"/>
    </row>
    <row r="249" ht="15" customHeight="1">
      <c r="A249" t="inlineStr">
        <is>
          <t>A 59197-2025</t>
        </is>
      </c>
      <c r="B249" s="1" t="n">
        <v>45988.59846064815</v>
      </c>
      <c r="C249" s="1" t="n">
        <v>46122</v>
      </c>
      <c r="D249" t="inlineStr">
        <is>
          <t>GOTLANDS LÄN</t>
        </is>
      </c>
      <c r="E249" t="inlineStr">
        <is>
          <t>GOTLAND</t>
        </is>
      </c>
      <c r="G249" t="n">
        <v>2.3</v>
      </c>
      <c r="H249" t="n">
        <v>0</v>
      </c>
      <c r="I249" t="n">
        <v>0</v>
      </c>
      <c r="J249" t="n">
        <v>0</v>
      </c>
      <c r="K249" t="n">
        <v>0</v>
      </c>
      <c r="L249" t="n">
        <v>0</v>
      </c>
      <c r="M249" t="n">
        <v>0</v>
      </c>
      <c r="N249" t="n">
        <v>0</v>
      </c>
      <c r="O249" t="n">
        <v>0</v>
      </c>
      <c r="P249" t="n">
        <v>0</v>
      </c>
      <c r="Q249" t="n">
        <v>0</v>
      </c>
      <c r="R249" s="2" t="inlineStr"/>
    </row>
    <row r="250" ht="15" customHeight="1">
      <c r="A250" t="inlineStr">
        <is>
          <t>A 21420-2024</t>
        </is>
      </c>
      <c r="B250" s="1" t="n">
        <v>45441.38293981482</v>
      </c>
      <c r="C250" s="1" t="n">
        <v>46122</v>
      </c>
      <c r="D250" t="inlineStr">
        <is>
          <t>GOTLANDS LÄN</t>
        </is>
      </c>
      <c r="E250" t="inlineStr">
        <is>
          <t>GOTLAND</t>
        </is>
      </c>
      <c r="G250" t="n">
        <v>4.1</v>
      </c>
      <c r="H250" t="n">
        <v>0</v>
      </c>
      <c r="I250" t="n">
        <v>0</v>
      </c>
      <c r="J250" t="n">
        <v>0</v>
      </c>
      <c r="K250" t="n">
        <v>0</v>
      </c>
      <c r="L250" t="n">
        <v>0</v>
      </c>
      <c r="M250" t="n">
        <v>0</v>
      </c>
      <c r="N250" t="n">
        <v>0</v>
      </c>
      <c r="O250" t="n">
        <v>0</v>
      </c>
      <c r="P250" t="n">
        <v>0</v>
      </c>
      <c r="Q250" t="n">
        <v>0</v>
      </c>
      <c r="R250" s="2" t="inlineStr"/>
    </row>
    <row r="251" ht="15" customHeight="1">
      <c r="A251" t="inlineStr">
        <is>
          <t>A 17682-2024</t>
        </is>
      </c>
      <c r="B251" s="1" t="n">
        <v>45418.42966435185</v>
      </c>
      <c r="C251" s="1" t="n">
        <v>46122</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57522-2022</t>
        </is>
      </c>
      <c r="B252" s="1" t="n">
        <v>44896</v>
      </c>
      <c r="C252" s="1" t="n">
        <v>46122</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18993-2025</t>
        </is>
      </c>
      <c r="B253" s="1" t="n">
        <v>45764</v>
      </c>
      <c r="C253" s="1" t="n">
        <v>46122</v>
      </c>
      <c r="D253" t="inlineStr">
        <is>
          <t>GOTLANDS LÄN</t>
        </is>
      </c>
      <c r="E253" t="inlineStr">
        <is>
          <t>GOTLAND</t>
        </is>
      </c>
      <c r="G253" t="n">
        <v>3</v>
      </c>
      <c r="H253" t="n">
        <v>0</v>
      </c>
      <c r="I253" t="n">
        <v>0</v>
      </c>
      <c r="J253" t="n">
        <v>0</v>
      </c>
      <c r="K253" t="n">
        <v>0</v>
      </c>
      <c r="L253" t="n">
        <v>0</v>
      </c>
      <c r="M253" t="n">
        <v>0</v>
      </c>
      <c r="N253" t="n">
        <v>0</v>
      </c>
      <c r="O253" t="n">
        <v>0</v>
      </c>
      <c r="P253" t="n">
        <v>0</v>
      </c>
      <c r="Q253" t="n">
        <v>0</v>
      </c>
      <c r="R253" s="2" t="inlineStr"/>
    </row>
    <row r="254" ht="15" customHeight="1">
      <c r="A254" t="inlineStr">
        <is>
          <t>A 23188-2025</t>
        </is>
      </c>
      <c r="B254" s="1" t="n">
        <v>45791</v>
      </c>
      <c r="C254" s="1" t="n">
        <v>46122</v>
      </c>
      <c r="D254" t="inlineStr">
        <is>
          <t>GOTLANDS LÄN</t>
        </is>
      </c>
      <c r="E254" t="inlineStr">
        <is>
          <t>GOTLAND</t>
        </is>
      </c>
      <c r="G254" t="n">
        <v>6.2</v>
      </c>
      <c r="H254" t="n">
        <v>0</v>
      </c>
      <c r="I254" t="n">
        <v>0</v>
      </c>
      <c r="J254" t="n">
        <v>0</v>
      </c>
      <c r="K254" t="n">
        <v>0</v>
      </c>
      <c r="L254" t="n">
        <v>0</v>
      </c>
      <c r="M254" t="n">
        <v>0</v>
      </c>
      <c r="N254" t="n">
        <v>0</v>
      </c>
      <c r="O254" t="n">
        <v>0</v>
      </c>
      <c r="P254" t="n">
        <v>0</v>
      </c>
      <c r="Q254" t="n">
        <v>0</v>
      </c>
      <c r="R254" s="2" t="inlineStr"/>
    </row>
    <row r="255" ht="15" customHeight="1">
      <c r="A255" t="inlineStr">
        <is>
          <t>A 27593-2023</t>
        </is>
      </c>
      <c r="B255" s="1" t="n">
        <v>45097</v>
      </c>
      <c r="C255" s="1" t="n">
        <v>46122</v>
      </c>
      <c r="D255" t="inlineStr">
        <is>
          <t>GOTLANDS LÄN</t>
        </is>
      </c>
      <c r="E255" t="inlineStr">
        <is>
          <t>GOTLAND</t>
        </is>
      </c>
      <c r="G255" t="n">
        <v>3.1</v>
      </c>
      <c r="H255" t="n">
        <v>0</v>
      </c>
      <c r="I255" t="n">
        <v>0</v>
      </c>
      <c r="J255" t="n">
        <v>0</v>
      </c>
      <c r="K255" t="n">
        <v>0</v>
      </c>
      <c r="L255" t="n">
        <v>0</v>
      </c>
      <c r="M255" t="n">
        <v>0</v>
      </c>
      <c r="N255" t="n">
        <v>0</v>
      </c>
      <c r="O255" t="n">
        <v>0</v>
      </c>
      <c r="P255" t="n">
        <v>0</v>
      </c>
      <c r="Q255" t="n">
        <v>0</v>
      </c>
      <c r="R255" s="2" t="inlineStr"/>
    </row>
    <row r="256" ht="15" customHeight="1">
      <c r="A256" t="inlineStr">
        <is>
          <t>A 36319-2025</t>
        </is>
      </c>
      <c r="B256" s="1" t="n">
        <v>45868</v>
      </c>
      <c r="C256" s="1" t="n">
        <v>46122</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30135-2025</t>
        </is>
      </c>
      <c r="B257" s="1" t="n">
        <v>45826</v>
      </c>
      <c r="C257" s="1" t="n">
        <v>46122</v>
      </c>
      <c r="D257" t="inlineStr">
        <is>
          <t>GOTLANDS LÄN</t>
        </is>
      </c>
      <c r="E257" t="inlineStr">
        <is>
          <t>GOTLAND</t>
        </is>
      </c>
      <c r="G257" t="n">
        <v>2.7</v>
      </c>
      <c r="H257" t="n">
        <v>0</v>
      </c>
      <c r="I257" t="n">
        <v>0</v>
      </c>
      <c r="J257" t="n">
        <v>0</v>
      </c>
      <c r="K257" t="n">
        <v>0</v>
      </c>
      <c r="L257" t="n">
        <v>0</v>
      </c>
      <c r="M257" t="n">
        <v>0</v>
      </c>
      <c r="N257" t="n">
        <v>0</v>
      </c>
      <c r="O257" t="n">
        <v>0</v>
      </c>
      <c r="P257" t="n">
        <v>0</v>
      </c>
      <c r="Q257" t="n">
        <v>0</v>
      </c>
      <c r="R257" s="2" t="inlineStr"/>
    </row>
    <row r="258" ht="15" customHeight="1">
      <c r="A258" t="inlineStr">
        <is>
          <t>A 12599-2025</t>
        </is>
      </c>
      <c r="B258" s="1" t="n">
        <v>45733.29546296296</v>
      </c>
      <c r="C258" s="1" t="n">
        <v>46122</v>
      </c>
      <c r="D258" t="inlineStr">
        <is>
          <t>GOTLANDS LÄN</t>
        </is>
      </c>
      <c r="E258" t="inlineStr">
        <is>
          <t>GOTLAND</t>
        </is>
      </c>
      <c r="G258" t="n">
        <v>4.7</v>
      </c>
      <c r="H258" t="n">
        <v>0</v>
      </c>
      <c r="I258" t="n">
        <v>0</v>
      </c>
      <c r="J258" t="n">
        <v>0</v>
      </c>
      <c r="K258" t="n">
        <v>0</v>
      </c>
      <c r="L258" t="n">
        <v>0</v>
      </c>
      <c r="M258" t="n">
        <v>0</v>
      </c>
      <c r="N258" t="n">
        <v>0</v>
      </c>
      <c r="O258" t="n">
        <v>0</v>
      </c>
      <c r="P258" t="n">
        <v>0</v>
      </c>
      <c r="Q258" t="n">
        <v>0</v>
      </c>
      <c r="R258" s="2" t="inlineStr"/>
    </row>
    <row r="259" ht="15" customHeight="1">
      <c r="A259" t="inlineStr">
        <is>
          <t>A 35141-2025</t>
        </is>
      </c>
      <c r="B259" s="1" t="n">
        <v>45852.65206018519</v>
      </c>
      <c r="C259" s="1" t="n">
        <v>46122</v>
      </c>
      <c r="D259" t="inlineStr">
        <is>
          <t>GOTLANDS LÄN</t>
        </is>
      </c>
      <c r="E259" t="inlineStr">
        <is>
          <t>GOTLAND</t>
        </is>
      </c>
      <c r="G259" t="n">
        <v>1</v>
      </c>
      <c r="H259" t="n">
        <v>0</v>
      </c>
      <c r="I259" t="n">
        <v>0</v>
      </c>
      <c r="J259" t="n">
        <v>0</v>
      </c>
      <c r="K259" t="n">
        <v>0</v>
      </c>
      <c r="L259" t="n">
        <v>0</v>
      </c>
      <c r="M259" t="n">
        <v>0</v>
      </c>
      <c r="N259" t="n">
        <v>0</v>
      </c>
      <c r="O259" t="n">
        <v>0</v>
      </c>
      <c r="P259" t="n">
        <v>0</v>
      </c>
      <c r="Q259" t="n">
        <v>0</v>
      </c>
      <c r="R259" s="2" t="inlineStr"/>
    </row>
    <row r="260" ht="15" customHeight="1">
      <c r="A260" t="inlineStr">
        <is>
          <t>A 35142-2025</t>
        </is>
      </c>
      <c r="B260" s="1" t="n">
        <v>45852.65532407408</v>
      </c>
      <c r="C260" s="1" t="n">
        <v>46122</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63516-2023</t>
        </is>
      </c>
      <c r="B261" s="1" t="n">
        <v>45274</v>
      </c>
      <c r="C261" s="1" t="n">
        <v>46122</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23473-2025</t>
        </is>
      </c>
      <c r="B262" s="1" t="n">
        <v>45792</v>
      </c>
      <c r="C262" s="1" t="n">
        <v>46122</v>
      </c>
      <c r="D262" t="inlineStr">
        <is>
          <t>GOTLANDS LÄN</t>
        </is>
      </c>
      <c r="E262" t="inlineStr">
        <is>
          <t>GOTLAND</t>
        </is>
      </c>
      <c r="G262" t="n">
        <v>3.6</v>
      </c>
      <c r="H262" t="n">
        <v>0</v>
      </c>
      <c r="I262" t="n">
        <v>0</v>
      </c>
      <c r="J262" t="n">
        <v>0</v>
      </c>
      <c r="K262" t="n">
        <v>0</v>
      </c>
      <c r="L262" t="n">
        <v>0</v>
      </c>
      <c r="M262" t="n">
        <v>0</v>
      </c>
      <c r="N262" t="n">
        <v>0</v>
      </c>
      <c r="O262" t="n">
        <v>0</v>
      </c>
      <c r="P262" t="n">
        <v>0</v>
      </c>
      <c r="Q262" t="n">
        <v>0</v>
      </c>
      <c r="R262" s="2" t="inlineStr"/>
    </row>
    <row r="263" ht="15" customHeight="1">
      <c r="A263" t="inlineStr">
        <is>
          <t>A 39819-2025</t>
        </is>
      </c>
      <c r="B263" s="1" t="n">
        <v>45891.53418981482</v>
      </c>
      <c r="C263" s="1" t="n">
        <v>46122</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24001-2021</t>
        </is>
      </c>
      <c r="B264" s="1" t="n">
        <v>44335</v>
      </c>
      <c r="C264" s="1" t="n">
        <v>46122</v>
      </c>
      <c r="D264" t="inlineStr">
        <is>
          <t>GOTLANDS LÄN</t>
        </is>
      </c>
      <c r="E264" t="inlineStr">
        <is>
          <t>GOTLAND</t>
        </is>
      </c>
      <c r="G264" t="n">
        <v>3.4</v>
      </c>
      <c r="H264" t="n">
        <v>0</v>
      </c>
      <c r="I264" t="n">
        <v>0</v>
      </c>
      <c r="J264" t="n">
        <v>0</v>
      </c>
      <c r="K264" t="n">
        <v>0</v>
      </c>
      <c r="L264" t="n">
        <v>0</v>
      </c>
      <c r="M264" t="n">
        <v>0</v>
      </c>
      <c r="N264" t="n">
        <v>0</v>
      </c>
      <c r="O264" t="n">
        <v>0</v>
      </c>
      <c r="P264" t="n">
        <v>0</v>
      </c>
      <c r="Q264" t="n">
        <v>0</v>
      </c>
      <c r="R264" s="2" t="inlineStr"/>
    </row>
    <row r="265" ht="15" customHeight="1">
      <c r="A265" t="inlineStr">
        <is>
          <t>A 39814-2025</t>
        </is>
      </c>
      <c r="B265" s="1" t="n">
        <v>45891.52694444444</v>
      </c>
      <c r="C265" s="1" t="n">
        <v>46122</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39849-2025</t>
        </is>
      </c>
      <c r="B266" s="1" t="n">
        <v>45891.58502314815</v>
      </c>
      <c r="C266" s="1" t="n">
        <v>46122</v>
      </c>
      <c r="D266" t="inlineStr">
        <is>
          <t>GOTLANDS LÄN</t>
        </is>
      </c>
      <c r="E266" t="inlineStr">
        <is>
          <t>GOTLAND</t>
        </is>
      </c>
      <c r="G266" t="n">
        <v>6.1</v>
      </c>
      <c r="H266" t="n">
        <v>0</v>
      </c>
      <c r="I266" t="n">
        <v>0</v>
      </c>
      <c r="J266" t="n">
        <v>0</v>
      </c>
      <c r="K266" t="n">
        <v>0</v>
      </c>
      <c r="L266" t="n">
        <v>0</v>
      </c>
      <c r="M266" t="n">
        <v>0</v>
      </c>
      <c r="N266" t="n">
        <v>0</v>
      </c>
      <c r="O266" t="n">
        <v>0</v>
      </c>
      <c r="P266" t="n">
        <v>0</v>
      </c>
      <c r="Q266" t="n">
        <v>0</v>
      </c>
      <c r="R266" s="2" t="inlineStr"/>
    </row>
    <row r="267" ht="15" customHeight="1">
      <c r="A267" t="inlineStr">
        <is>
          <t>A 39752-2025</t>
        </is>
      </c>
      <c r="B267" s="1" t="n">
        <v>45891</v>
      </c>
      <c r="C267" s="1" t="n">
        <v>46122</v>
      </c>
      <c r="D267" t="inlineStr">
        <is>
          <t>GOTLANDS LÄN</t>
        </is>
      </c>
      <c r="E267" t="inlineStr">
        <is>
          <t>GOTLAND</t>
        </is>
      </c>
      <c r="G267" t="n">
        <v>5.3</v>
      </c>
      <c r="H267" t="n">
        <v>0</v>
      </c>
      <c r="I267" t="n">
        <v>0</v>
      </c>
      <c r="J267" t="n">
        <v>0</v>
      </c>
      <c r="K267" t="n">
        <v>0</v>
      </c>
      <c r="L267" t="n">
        <v>0</v>
      </c>
      <c r="M267" t="n">
        <v>0</v>
      </c>
      <c r="N267" t="n">
        <v>0</v>
      </c>
      <c r="O267" t="n">
        <v>0</v>
      </c>
      <c r="P267" t="n">
        <v>0</v>
      </c>
      <c r="Q267" t="n">
        <v>0</v>
      </c>
      <c r="R267" s="2" t="inlineStr"/>
    </row>
    <row r="268" ht="15" customHeight="1">
      <c r="A268" t="inlineStr">
        <is>
          <t>A 39816-2025</t>
        </is>
      </c>
      <c r="B268" s="1" t="n">
        <v>45891</v>
      </c>
      <c r="C268" s="1" t="n">
        <v>46122</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40103-2025</t>
        </is>
      </c>
      <c r="B269" s="1" t="n">
        <v>45894.4880324074</v>
      </c>
      <c r="C269" s="1" t="n">
        <v>46122</v>
      </c>
      <c r="D269" t="inlineStr">
        <is>
          <t>GOTLANDS LÄN</t>
        </is>
      </c>
      <c r="E269" t="inlineStr">
        <is>
          <t>GOTLAND</t>
        </is>
      </c>
      <c r="G269" t="n">
        <v>0.9</v>
      </c>
      <c r="H269" t="n">
        <v>0</v>
      </c>
      <c r="I269" t="n">
        <v>0</v>
      </c>
      <c r="J269" t="n">
        <v>0</v>
      </c>
      <c r="K269" t="n">
        <v>0</v>
      </c>
      <c r="L269" t="n">
        <v>0</v>
      </c>
      <c r="M269" t="n">
        <v>0</v>
      </c>
      <c r="N269" t="n">
        <v>0</v>
      </c>
      <c r="O269" t="n">
        <v>0</v>
      </c>
      <c r="P269" t="n">
        <v>0</v>
      </c>
      <c r="Q269" t="n">
        <v>0</v>
      </c>
      <c r="R269" s="2" t="inlineStr"/>
    </row>
    <row r="270" ht="15" customHeight="1">
      <c r="A270" t="inlineStr">
        <is>
          <t>A 40373-2025</t>
        </is>
      </c>
      <c r="B270" s="1" t="n">
        <v>45895.51821759259</v>
      </c>
      <c r="C270" s="1" t="n">
        <v>46122</v>
      </c>
      <c r="D270" t="inlineStr">
        <is>
          <t>GOTLANDS LÄN</t>
        </is>
      </c>
      <c r="E270" t="inlineStr">
        <is>
          <t>GOTLAND</t>
        </is>
      </c>
      <c r="G270" t="n">
        <v>0.6</v>
      </c>
      <c r="H270" t="n">
        <v>0</v>
      </c>
      <c r="I270" t="n">
        <v>0</v>
      </c>
      <c r="J270" t="n">
        <v>0</v>
      </c>
      <c r="K270" t="n">
        <v>0</v>
      </c>
      <c r="L270" t="n">
        <v>0</v>
      </c>
      <c r="M270" t="n">
        <v>0</v>
      </c>
      <c r="N270" t="n">
        <v>0</v>
      </c>
      <c r="O270" t="n">
        <v>0</v>
      </c>
      <c r="P270" t="n">
        <v>0</v>
      </c>
      <c r="Q270" t="n">
        <v>0</v>
      </c>
      <c r="R270" s="2" t="inlineStr"/>
    </row>
    <row r="271" ht="15" customHeight="1">
      <c r="A271" t="inlineStr">
        <is>
          <t>A 30365-2024</t>
        </is>
      </c>
      <c r="B271" s="1" t="n">
        <v>45491.3716087963</v>
      </c>
      <c r="C271" s="1" t="n">
        <v>46122</v>
      </c>
      <c r="D271" t="inlineStr">
        <is>
          <t>GOTLANDS LÄN</t>
        </is>
      </c>
      <c r="E271" t="inlineStr">
        <is>
          <t>GOTLAND</t>
        </is>
      </c>
      <c r="G271" t="n">
        <v>0.5</v>
      </c>
      <c r="H271" t="n">
        <v>0</v>
      </c>
      <c r="I271" t="n">
        <v>0</v>
      </c>
      <c r="J271" t="n">
        <v>0</v>
      </c>
      <c r="K271" t="n">
        <v>0</v>
      </c>
      <c r="L271" t="n">
        <v>0</v>
      </c>
      <c r="M271" t="n">
        <v>0</v>
      </c>
      <c r="N271" t="n">
        <v>0</v>
      </c>
      <c r="O271" t="n">
        <v>0</v>
      </c>
      <c r="P271" t="n">
        <v>0</v>
      </c>
      <c r="Q271" t="n">
        <v>0</v>
      </c>
      <c r="R271" s="2" t="inlineStr"/>
    </row>
    <row r="272" ht="15" customHeight="1">
      <c r="A272" t="inlineStr">
        <is>
          <t>A 40499-2025</t>
        </is>
      </c>
      <c r="B272" s="1" t="n">
        <v>45896.32517361111</v>
      </c>
      <c r="C272" s="1" t="n">
        <v>46122</v>
      </c>
      <c r="D272" t="inlineStr">
        <is>
          <t>GOTLANDS LÄN</t>
        </is>
      </c>
      <c r="E272" t="inlineStr">
        <is>
          <t>GOTLAND</t>
        </is>
      </c>
      <c r="G272" t="n">
        <v>2.6</v>
      </c>
      <c r="H272" t="n">
        <v>0</v>
      </c>
      <c r="I272" t="n">
        <v>0</v>
      </c>
      <c r="J272" t="n">
        <v>0</v>
      </c>
      <c r="K272" t="n">
        <v>0</v>
      </c>
      <c r="L272" t="n">
        <v>0</v>
      </c>
      <c r="M272" t="n">
        <v>0</v>
      </c>
      <c r="N272" t="n">
        <v>0</v>
      </c>
      <c r="O272" t="n">
        <v>0</v>
      </c>
      <c r="P272" t="n">
        <v>0</v>
      </c>
      <c r="Q272" t="n">
        <v>0</v>
      </c>
      <c r="R272" s="2" t="inlineStr"/>
    </row>
    <row r="273" ht="15" customHeight="1">
      <c r="A273" t="inlineStr">
        <is>
          <t>A 40372-2025</t>
        </is>
      </c>
      <c r="B273" s="1" t="n">
        <v>45895.5162037037</v>
      </c>
      <c r="C273" s="1" t="n">
        <v>46122</v>
      </c>
      <c r="D273" t="inlineStr">
        <is>
          <t>GOTLANDS LÄN</t>
        </is>
      </c>
      <c r="E273" t="inlineStr">
        <is>
          <t>GOTLAND</t>
        </is>
      </c>
      <c r="G273" t="n">
        <v>3.3</v>
      </c>
      <c r="H273" t="n">
        <v>0</v>
      </c>
      <c r="I273" t="n">
        <v>0</v>
      </c>
      <c r="J273" t="n">
        <v>0</v>
      </c>
      <c r="K273" t="n">
        <v>0</v>
      </c>
      <c r="L273" t="n">
        <v>0</v>
      </c>
      <c r="M273" t="n">
        <v>0</v>
      </c>
      <c r="N273" t="n">
        <v>0</v>
      </c>
      <c r="O273" t="n">
        <v>0</v>
      </c>
      <c r="P273" t="n">
        <v>0</v>
      </c>
      <c r="Q273" t="n">
        <v>0</v>
      </c>
      <c r="R273" s="2" t="inlineStr"/>
    </row>
    <row r="274" ht="15" customHeight="1">
      <c r="A274" t="inlineStr">
        <is>
          <t>A 1681-2023</t>
        </is>
      </c>
      <c r="B274" s="1" t="n">
        <v>44938.39715277778</v>
      </c>
      <c r="C274" s="1" t="n">
        <v>46122</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39278-2025</t>
        </is>
      </c>
      <c r="B275" s="1" t="n">
        <v>45889</v>
      </c>
      <c r="C275" s="1" t="n">
        <v>46122</v>
      </c>
      <c r="D275" t="inlineStr">
        <is>
          <t>GOTLANDS LÄN</t>
        </is>
      </c>
      <c r="E275" t="inlineStr">
        <is>
          <t>GOTLAND</t>
        </is>
      </c>
      <c r="G275" t="n">
        <v>3.7</v>
      </c>
      <c r="H275" t="n">
        <v>0</v>
      </c>
      <c r="I275" t="n">
        <v>0</v>
      </c>
      <c r="J275" t="n">
        <v>0</v>
      </c>
      <c r="K275" t="n">
        <v>0</v>
      </c>
      <c r="L275" t="n">
        <v>0</v>
      </c>
      <c r="M275" t="n">
        <v>0</v>
      </c>
      <c r="N275" t="n">
        <v>0</v>
      </c>
      <c r="O275" t="n">
        <v>0</v>
      </c>
      <c r="P275" t="n">
        <v>0</v>
      </c>
      <c r="Q275" t="n">
        <v>0</v>
      </c>
      <c r="R275" s="2" t="inlineStr"/>
    </row>
    <row r="276" ht="15" customHeight="1">
      <c r="A276" t="inlineStr">
        <is>
          <t>A 62066-2025</t>
        </is>
      </c>
      <c r="B276" s="1" t="n">
        <v>46006.34738425926</v>
      </c>
      <c r="C276" s="1" t="n">
        <v>46122</v>
      </c>
      <c r="D276" t="inlineStr">
        <is>
          <t>GOTLANDS LÄN</t>
        </is>
      </c>
      <c r="E276" t="inlineStr">
        <is>
          <t>GOTLAND</t>
        </is>
      </c>
      <c r="G276" t="n">
        <v>1.7</v>
      </c>
      <c r="H276" t="n">
        <v>0</v>
      </c>
      <c r="I276" t="n">
        <v>0</v>
      </c>
      <c r="J276" t="n">
        <v>0</v>
      </c>
      <c r="K276" t="n">
        <v>0</v>
      </c>
      <c r="L276" t="n">
        <v>0</v>
      </c>
      <c r="M276" t="n">
        <v>0</v>
      </c>
      <c r="N276" t="n">
        <v>0</v>
      </c>
      <c r="O276" t="n">
        <v>0</v>
      </c>
      <c r="P276" t="n">
        <v>0</v>
      </c>
      <c r="Q276" t="n">
        <v>0</v>
      </c>
      <c r="R276" s="2" t="inlineStr"/>
    </row>
    <row r="277" ht="15" customHeight="1">
      <c r="A277" t="inlineStr">
        <is>
          <t>A 62103-2025</t>
        </is>
      </c>
      <c r="B277" s="1" t="n">
        <v>46006</v>
      </c>
      <c r="C277" s="1" t="n">
        <v>46122</v>
      </c>
      <c r="D277" t="inlineStr">
        <is>
          <t>GOTLANDS LÄN</t>
        </is>
      </c>
      <c r="E277" t="inlineStr">
        <is>
          <t>GOTLAND</t>
        </is>
      </c>
      <c r="F277" t="inlineStr">
        <is>
          <t>Övriga Aktiebolag</t>
        </is>
      </c>
      <c r="G277" t="n">
        <v>1.7</v>
      </c>
      <c r="H277" t="n">
        <v>0</v>
      </c>
      <c r="I277" t="n">
        <v>0</v>
      </c>
      <c r="J277" t="n">
        <v>0</v>
      </c>
      <c r="K277" t="n">
        <v>0</v>
      </c>
      <c r="L277" t="n">
        <v>0</v>
      </c>
      <c r="M277" t="n">
        <v>0</v>
      </c>
      <c r="N277" t="n">
        <v>0</v>
      </c>
      <c r="O277" t="n">
        <v>0</v>
      </c>
      <c r="P277" t="n">
        <v>0</v>
      </c>
      <c r="Q277" t="n">
        <v>0</v>
      </c>
      <c r="R277" s="2" t="inlineStr"/>
    </row>
    <row r="278" ht="15" customHeight="1">
      <c r="A278" t="inlineStr">
        <is>
          <t>A 6099-2024</t>
        </is>
      </c>
      <c r="B278" s="1" t="n">
        <v>45337</v>
      </c>
      <c r="C278" s="1" t="n">
        <v>46122</v>
      </c>
      <c r="D278" t="inlineStr">
        <is>
          <t>GOTLANDS LÄN</t>
        </is>
      </c>
      <c r="E278" t="inlineStr">
        <is>
          <t>GOTLAND</t>
        </is>
      </c>
      <c r="G278" t="n">
        <v>12.6</v>
      </c>
      <c r="H278" t="n">
        <v>0</v>
      </c>
      <c r="I278" t="n">
        <v>0</v>
      </c>
      <c r="J278" t="n">
        <v>0</v>
      </c>
      <c r="K278" t="n">
        <v>0</v>
      </c>
      <c r="L278" t="n">
        <v>0</v>
      </c>
      <c r="M278" t="n">
        <v>0</v>
      </c>
      <c r="N278" t="n">
        <v>0</v>
      </c>
      <c r="O278" t="n">
        <v>0</v>
      </c>
      <c r="P278" t="n">
        <v>0</v>
      </c>
      <c r="Q278" t="n">
        <v>0</v>
      </c>
      <c r="R278" s="2" t="inlineStr"/>
    </row>
    <row r="279" ht="15" customHeight="1">
      <c r="A279" t="inlineStr">
        <is>
          <t>A 1273-2023</t>
        </is>
      </c>
      <c r="B279" s="1" t="n">
        <v>44936</v>
      </c>
      <c r="C279" s="1" t="n">
        <v>46122</v>
      </c>
      <c r="D279" t="inlineStr">
        <is>
          <t>GOTLANDS LÄN</t>
        </is>
      </c>
      <c r="E279" t="inlineStr">
        <is>
          <t>GOTLAND</t>
        </is>
      </c>
      <c r="G279" t="n">
        <v>4.5</v>
      </c>
      <c r="H279" t="n">
        <v>0</v>
      </c>
      <c r="I279" t="n">
        <v>0</v>
      </c>
      <c r="J279" t="n">
        <v>0</v>
      </c>
      <c r="K279" t="n">
        <v>0</v>
      </c>
      <c r="L279" t="n">
        <v>0</v>
      </c>
      <c r="M279" t="n">
        <v>0</v>
      </c>
      <c r="N279" t="n">
        <v>0</v>
      </c>
      <c r="O279" t="n">
        <v>0</v>
      </c>
      <c r="P279" t="n">
        <v>0</v>
      </c>
      <c r="Q279" t="n">
        <v>0</v>
      </c>
      <c r="R279" s="2" t="inlineStr"/>
    </row>
    <row r="280" ht="15" customHeight="1">
      <c r="A280" t="inlineStr">
        <is>
          <t>A 41435-2025</t>
        </is>
      </c>
      <c r="B280" s="1" t="n">
        <v>45901.39974537037</v>
      </c>
      <c r="C280" s="1" t="n">
        <v>46122</v>
      </c>
      <c r="D280" t="inlineStr">
        <is>
          <t>GOTLANDS LÄN</t>
        </is>
      </c>
      <c r="E280" t="inlineStr">
        <is>
          <t>GOTLAND</t>
        </is>
      </c>
      <c r="G280" t="n">
        <v>4.9</v>
      </c>
      <c r="H280" t="n">
        <v>0</v>
      </c>
      <c r="I280" t="n">
        <v>0</v>
      </c>
      <c r="J280" t="n">
        <v>0</v>
      </c>
      <c r="K280" t="n">
        <v>0</v>
      </c>
      <c r="L280" t="n">
        <v>0</v>
      </c>
      <c r="M280" t="n">
        <v>0</v>
      </c>
      <c r="N280" t="n">
        <v>0</v>
      </c>
      <c r="O280" t="n">
        <v>0</v>
      </c>
      <c r="P280" t="n">
        <v>0</v>
      </c>
      <c r="Q280" t="n">
        <v>0</v>
      </c>
      <c r="R280" s="2" t="inlineStr"/>
    </row>
    <row r="281" ht="15" customHeight="1">
      <c r="A281" t="inlineStr">
        <is>
          <t>A 58780-2024</t>
        </is>
      </c>
      <c r="B281" s="1" t="n">
        <v>45635.84113425926</v>
      </c>
      <c r="C281" s="1" t="n">
        <v>46122</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45692-2023</t>
        </is>
      </c>
      <c r="B282" s="1" t="n">
        <v>45195</v>
      </c>
      <c r="C282" s="1" t="n">
        <v>46122</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41551-2025</t>
        </is>
      </c>
      <c r="B283" s="1" t="n">
        <v>45901.58854166666</v>
      </c>
      <c r="C283" s="1" t="n">
        <v>46122</v>
      </c>
      <c r="D283" t="inlineStr">
        <is>
          <t>GOTLANDS LÄN</t>
        </is>
      </c>
      <c r="E283" t="inlineStr">
        <is>
          <t>GOTLAND</t>
        </is>
      </c>
      <c r="G283" t="n">
        <v>5.6</v>
      </c>
      <c r="H283" t="n">
        <v>0</v>
      </c>
      <c r="I283" t="n">
        <v>0</v>
      </c>
      <c r="J283" t="n">
        <v>0</v>
      </c>
      <c r="K283" t="n">
        <v>0</v>
      </c>
      <c r="L283" t="n">
        <v>0</v>
      </c>
      <c r="M283" t="n">
        <v>0</v>
      </c>
      <c r="N283" t="n">
        <v>0</v>
      </c>
      <c r="O283" t="n">
        <v>0</v>
      </c>
      <c r="P283" t="n">
        <v>0</v>
      </c>
      <c r="Q283" t="n">
        <v>0</v>
      </c>
      <c r="R283" s="2" t="inlineStr"/>
    </row>
    <row r="284" ht="15" customHeight="1">
      <c r="A284" t="inlineStr">
        <is>
          <t>A 33876-2024</t>
        </is>
      </c>
      <c r="B284" s="1" t="n">
        <v>45521.87988425926</v>
      </c>
      <c r="C284" s="1" t="n">
        <v>46122</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63002-2025</t>
        </is>
      </c>
      <c r="B285" s="1" t="n">
        <v>46009.56564814815</v>
      </c>
      <c r="C285" s="1" t="n">
        <v>46122</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54584-2025</t>
        </is>
      </c>
      <c r="B286" s="1" t="n">
        <v>45965.71788194445</v>
      </c>
      <c r="C286" s="1" t="n">
        <v>46122</v>
      </c>
      <c r="D286" t="inlineStr">
        <is>
          <t>GOTLANDS LÄN</t>
        </is>
      </c>
      <c r="E286" t="inlineStr">
        <is>
          <t>GOTLAND</t>
        </is>
      </c>
      <c r="G286" t="n">
        <v>3.5</v>
      </c>
      <c r="H286" t="n">
        <v>0</v>
      </c>
      <c r="I286" t="n">
        <v>0</v>
      </c>
      <c r="J286" t="n">
        <v>0</v>
      </c>
      <c r="K286" t="n">
        <v>0</v>
      </c>
      <c r="L286" t="n">
        <v>0</v>
      </c>
      <c r="M286" t="n">
        <v>0</v>
      </c>
      <c r="N286" t="n">
        <v>0</v>
      </c>
      <c r="O286" t="n">
        <v>0</v>
      </c>
      <c r="P286" t="n">
        <v>0</v>
      </c>
      <c r="Q286" t="n">
        <v>0</v>
      </c>
      <c r="R286" s="2" t="inlineStr"/>
    </row>
    <row r="287" ht="15" customHeight="1">
      <c r="A287" t="inlineStr">
        <is>
          <t>A 28285-2024</t>
        </is>
      </c>
      <c r="B287" s="1" t="n">
        <v>45477</v>
      </c>
      <c r="C287" s="1" t="n">
        <v>46122</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61100-2022</t>
        </is>
      </c>
      <c r="B288" s="1" t="n">
        <v>44915</v>
      </c>
      <c r="C288" s="1" t="n">
        <v>46122</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61682-2024</t>
        </is>
      </c>
      <c r="B289" s="1" t="n">
        <v>45647.48824074074</v>
      </c>
      <c r="C289" s="1" t="n">
        <v>46122</v>
      </c>
      <c r="D289" t="inlineStr">
        <is>
          <t>GOTLANDS LÄN</t>
        </is>
      </c>
      <c r="E289" t="inlineStr">
        <is>
          <t>GOTLAND</t>
        </is>
      </c>
      <c r="G289" t="n">
        <v>1.9</v>
      </c>
      <c r="H289" t="n">
        <v>0</v>
      </c>
      <c r="I289" t="n">
        <v>0</v>
      </c>
      <c r="J289" t="n">
        <v>0</v>
      </c>
      <c r="K289" t="n">
        <v>0</v>
      </c>
      <c r="L289" t="n">
        <v>0</v>
      </c>
      <c r="M289" t="n">
        <v>0</v>
      </c>
      <c r="N289" t="n">
        <v>0</v>
      </c>
      <c r="O289" t="n">
        <v>0</v>
      </c>
      <c r="P289" t="n">
        <v>0</v>
      </c>
      <c r="Q289" t="n">
        <v>0</v>
      </c>
      <c r="R289" s="2" t="inlineStr"/>
    </row>
    <row r="290" ht="15" customHeight="1">
      <c r="A290" t="inlineStr">
        <is>
          <t>A 23856-2025</t>
        </is>
      </c>
      <c r="B290" s="1" t="n">
        <v>45793</v>
      </c>
      <c r="C290" s="1" t="n">
        <v>46122</v>
      </c>
      <c r="D290" t="inlineStr">
        <is>
          <t>GOTLANDS LÄN</t>
        </is>
      </c>
      <c r="E290" t="inlineStr">
        <is>
          <t>GOTLAND</t>
        </is>
      </c>
      <c r="G290" t="n">
        <v>4.4</v>
      </c>
      <c r="H290" t="n">
        <v>0</v>
      </c>
      <c r="I290" t="n">
        <v>0</v>
      </c>
      <c r="J290" t="n">
        <v>0</v>
      </c>
      <c r="K290" t="n">
        <v>0</v>
      </c>
      <c r="L290" t="n">
        <v>0</v>
      </c>
      <c r="M290" t="n">
        <v>0</v>
      </c>
      <c r="N290" t="n">
        <v>0</v>
      </c>
      <c r="O290" t="n">
        <v>0</v>
      </c>
      <c r="P290" t="n">
        <v>0</v>
      </c>
      <c r="Q290" t="n">
        <v>0</v>
      </c>
      <c r="R290" s="2" t="inlineStr"/>
    </row>
    <row r="291" ht="15" customHeight="1">
      <c r="A291" t="inlineStr">
        <is>
          <t>A 38649-2025</t>
        </is>
      </c>
      <c r="B291" s="1" t="n">
        <v>45884</v>
      </c>
      <c r="C291" s="1" t="n">
        <v>46122</v>
      </c>
      <c r="D291" t="inlineStr">
        <is>
          <t>GOTLANDS LÄN</t>
        </is>
      </c>
      <c r="E291" t="inlineStr">
        <is>
          <t>GOTLAND</t>
        </is>
      </c>
      <c r="G291" t="n">
        <v>1.5</v>
      </c>
      <c r="H291" t="n">
        <v>0</v>
      </c>
      <c r="I291" t="n">
        <v>0</v>
      </c>
      <c r="J291" t="n">
        <v>0</v>
      </c>
      <c r="K291" t="n">
        <v>0</v>
      </c>
      <c r="L291" t="n">
        <v>0</v>
      </c>
      <c r="M291" t="n">
        <v>0</v>
      </c>
      <c r="N291" t="n">
        <v>0</v>
      </c>
      <c r="O291" t="n">
        <v>0</v>
      </c>
      <c r="P291" t="n">
        <v>0</v>
      </c>
      <c r="Q291" t="n">
        <v>0</v>
      </c>
      <c r="R291" s="2" t="inlineStr"/>
    </row>
    <row r="292" ht="15" customHeight="1">
      <c r="A292" t="inlineStr">
        <is>
          <t>A 61078-2025</t>
        </is>
      </c>
      <c r="B292" s="1" t="n">
        <v>46000</v>
      </c>
      <c r="C292" s="1" t="n">
        <v>46122</v>
      </c>
      <c r="D292" t="inlineStr">
        <is>
          <t>GOTLANDS LÄN</t>
        </is>
      </c>
      <c r="E292" t="inlineStr">
        <is>
          <t>GOTLAND</t>
        </is>
      </c>
      <c r="G292" t="n">
        <v>0.7</v>
      </c>
      <c r="H292" t="n">
        <v>0</v>
      </c>
      <c r="I292" t="n">
        <v>0</v>
      </c>
      <c r="J292" t="n">
        <v>0</v>
      </c>
      <c r="K292" t="n">
        <v>0</v>
      </c>
      <c r="L292" t="n">
        <v>0</v>
      </c>
      <c r="M292" t="n">
        <v>0</v>
      </c>
      <c r="N292" t="n">
        <v>0</v>
      </c>
      <c r="O292" t="n">
        <v>0</v>
      </c>
      <c r="P292" t="n">
        <v>0</v>
      </c>
      <c r="Q292" t="n">
        <v>0</v>
      </c>
      <c r="R292" s="2" t="inlineStr"/>
    </row>
    <row r="293" ht="15" customHeight="1">
      <c r="A293" t="inlineStr">
        <is>
          <t>A 42608-2025</t>
        </is>
      </c>
      <c r="B293" s="1" t="n">
        <v>45905</v>
      </c>
      <c r="C293" s="1" t="n">
        <v>46122</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36-2026</t>
        </is>
      </c>
      <c r="B294" s="1" t="n">
        <v>46024.38886574074</v>
      </c>
      <c r="C294" s="1" t="n">
        <v>46122</v>
      </c>
      <c r="D294" t="inlineStr">
        <is>
          <t>GOTLANDS LÄN</t>
        </is>
      </c>
      <c r="E294" t="inlineStr">
        <is>
          <t>GOTLAND</t>
        </is>
      </c>
      <c r="G294" t="n">
        <v>1</v>
      </c>
      <c r="H294" t="n">
        <v>0</v>
      </c>
      <c r="I294" t="n">
        <v>0</v>
      </c>
      <c r="J294" t="n">
        <v>0</v>
      </c>
      <c r="K294" t="n">
        <v>0</v>
      </c>
      <c r="L294" t="n">
        <v>0</v>
      </c>
      <c r="M294" t="n">
        <v>0</v>
      </c>
      <c r="N294" t="n">
        <v>0</v>
      </c>
      <c r="O294" t="n">
        <v>0</v>
      </c>
      <c r="P294" t="n">
        <v>0</v>
      </c>
      <c r="Q294" t="n">
        <v>0</v>
      </c>
      <c r="R294" s="2" t="inlineStr"/>
    </row>
    <row r="295" ht="15" customHeight="1">
      <c r="A295" t="inlineStr">
        <is>
          <t>A 16373-2025</t>
        </is>
      </c>
      <c r="B295" s="1" t="n">
        <v>45751</v>
      </c>
      <c r="C295" s="1" t="n">
        <v>46122</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62674-2025</t>
        </is>
      </c>
      <c r="B296" s="1" t="n">
        <v>46008</v>
      </c>
      <c r="C296" s="1" t="n">
        <v>46122</v>
      </c>
      <c r="D296" t="inlineStr">
        <is>
          <t>GOTLANDS LÄN</t>
        </is>
      </c>
      <c r="E296" t="inlineStr">
        <is>
          <t>GOTLAND</t>
        </is>
      </c>
      <c r="G296" t="n">
        <v>5</v>
      </c>
      <c r="H296" t="n">
        <v>0</v>
      </c>
      <c r="I296" t="n">
        <v>0</v>
      </c>
      <c r="J296" t="n">
        <v>0</v>
      </c>
      <c r="K296" t="n">
        <v>0</v>
      </c>
      <c r="L296" t="n">
        <v>0</v>
      </c>
      <c r="M296" t="n">
        <v>0</v>
      </c>
      <c r="N296" t="n">
        <v>0</v>
      </c>
      <c r="O296" t="n">
        <v>0</v>
      </c>
      <c r="P296" t="n">
        <v>0</v>
      </c>
      <c r="Q296" t="n">
        <v>0</v>
      </c>
      <c r="R296" s="2" t="inlineStr"/>
    </row>
    <row r="297" ht="15" customHeight="1">
      <c r="A297" t="inlineStr">
        <is>
          <t>A 58388-2022</t>
        </is>
      </c>
      <c r="B297" s="1" t="n">
        <v>44894</v>
      </c>
      <c r="C297" s="1" t="n">
        <v>46122</v>
      </c>
      <c r="D297" t="inlineStr">
        <is>
          <t>GOTLANDS LÄN</t>
        </is>
      </c>
      <c r="E297" t="inlineStr">
        <is>
          <t>GOTLAND</t>
        </is>
      </c>
      <c r="F297" t="inlineStr">
        <is>
          <t>Övriga statliga verk och myndigheter</t>
        </is>
      </c>
      <c r="G297" t="n">
        <v>3.1</v>
      </c>
      <c r="H297" t="n">
        <v>0</v>
      </c>
      <c r="I297" t="n">
        <v>0</v>
      </c>
      <c r="J297" t="n">
        <v>0</v>
      </c>
      <c r="K297" t="n">
        <v>0</v>
      </c>
      <c r="L297" t="n">
        <v>0</v>
      </c>
      <c r="M297" t="n">
        <v>0</v>
      </c>
      <c r="N297" t="n">
        <v>0</v>
      </c>
      <c r="O297" t="n">
        <v>0</v>
      </c>
      <c r="P297" t="n">
        <v>0</v>
      </c>
      <c r="Q297" t="n">
        <v>0</v>
      </c>
      <c r="R297" s="2" t="inlineStr"/>
    </row>
    <row r="298" ht="15" customHeight="1">
      <c r="A298" t="inlineStr">
        <is>
          <t>A 15073-2025</t>
        </is>
      </c>
      <c r="B298" s="1" t="n">
        <v>45743</v>
      </c>
      <c r="C298" s="1" t="n">
        <v>46122</v>
      </c>
      <c r="D298" t="inlineStr">
        <is>
          <t>GOTLANDS LÄN</t>
        </is>
      </c>
      <c r="E298" t="inlineStr">
        <is>
          <t>GOTLAND</t>
        </is>
      </c>
      <c r="G298" t="n">
        <v>12.1</v>
      </c>
      <c r="H298" t="n">
        <v>0</v>
      </c>
      <c r="I298" t="n">
        <v>0</v>
      </c>
      <c r="J298" t="n">
        <v>0</v>
      </c>
      <c r="K298" t="n">
        <v>0</v>
      </c>
      <c r="L298" t="n">
        <v>0</v>
      </c>
      <c r="M298" t="n">
        <v>0</v>
      </c>
      <c r="N298" t="n">
        <v>0</v>
      </c>
      <c r="O298" t="n">
        <v>0</v>
      </c>
      <c r="P298" t="n">
        <v>0</v>
      </c>
      <c r="Q298" t="n">
        <v>0</v>
      </c>
      <c r="R298" s="2" t="inlineStr"/>
    </row>
    <row r="299" ht="15" customHeight="1">
      <c r="A299" t="inlineStr">
        <is>
          <t>A 21792-2024</t>
        </is>
      </c>
      <c r="B299" s="1" t="n">
        <v>45442.64326388889</v>
      </c>
      <c r="C299" s="1" t="n">
        <v>46122</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10158-2025</t>
        </is>
      </c>
      <c r="B300" s="1" t="n">
        <v>45719</v>
      </c>
      <c r="C300" s="1" t="n">
        <v>46122</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43911-2025</t>
        </is>
      </c>
      <c r="B301" s="1" t="n">
        <v>45914.3881712963</v>
      </c>
      <c r="C301" s="1" t="n">
        <v>46122</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44410-2025</t>
        </is>
      </c>
      <c r="B302" s="1" t="n">
        <v>45916.53699074074</v>
      </c>
      <c r="C302" s="1" t="n">
        <v>46122</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43951-2025</t>
        </is>
      </c>
      <c r="B303" s="1" t="n">
        <v>45915.38119212963</v>
      </c>
      <c r="C303" s="1" t="n">
        <v>46122</v>
      </c>
      <c r="D303" t="inlineStr">
        <is>
          <t>GOTLANDS LÄN</t>
        </is>
      </c>
      <c r="E303" t="inlineStr">
        <is>
          <t>GOTLAND</t>
        </is>
      </c>
      <c r="G303" t="n">
        <v>4.4</v>
      </c>
      <c r="H303" t="n">
        <v>0</v>
      </c>
      <c r="I303" t="n">
        <v>0</v>
      </c>
      <c r="J303" t="n">
        <v>0</v>
      </c>
      <c r="K303" t="n">
        <v>0</v>
      </c>
      <c r="L303" t="n">
        <v>0</v>
      </c>
      <c r="M303" t="n">
        <v>0</v>
      </c>
      <c r="N303" t="n">
        <v>0</v>
      </c>
      <c r="O303" t="n">
        <v>0</v>
      </c>
      <c r="P303" t="n">
        <v>0</v>
      </c>
      <c r="Q303" t="n">
        <v>0</v>
      </c>
      <c r="R303" s="2" t="inlineStr"/>
    </row>
    <row r="304" ht="15" customHeight="1">
      <c r="A304" t="inlineStr">
        <is>
          <t>A 44405-2025</t>
        </is>
      </c>
      <c r="B304" s="1" t="n">
        <v>45916.52405092592</v>
      </c>
      <c r="C304" s="1" t="n">
        <v>46122</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17688-2024</t>
        </is>
      </c>
      <c r="B305" s="1" t="n">
        <v>45418.43575231481</v>
      </c>
      <c r="C305" s="1" t="n">
        <v>46122</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1355-2026</t>
        </is>
      </c>
      <c r="B306" s="1" t="n">
        <v>46031.59909722222</v>
      </c>
      <c r="C306" s="1" t="n">
        <v>46122</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7837-2024</t>
        </is>
      </c>
      <c r="B307" s="1" t="n">
        <v>45349.83787037037</v>
      </c>
      <c r="C307" s="1" t="n">
        <v>46122</v>
      </c>
      <c r="D307" t="inlineStr">
        <is>
          <t>GOTLANDS LÄN</t>
        </is>
      </c>
      <c r="E307" t="inlineStr">
        <is>
          <t>GOTLAND</t>
        </is>
      </c>
      <c r="G307" t="n">
        <v>5</v>
      </c>
      <c r="H307" t="n">
        <v>0</v>
      </c>
      <c r="I307" t="n">
        <v>0</v>
      </c>
      <c r="J307" t="n">
        <v>0</v>
      </c>
      <c r="K307" t="n">
        <v>0</v>
      </c>
      <c r="L307" t="n">
        <v>0</v>
      </c>
      <c r="M307" t="n">
        <v>0</v>
      </c>
      <c r="N307" t="n">
        <v>0</v>
      </c>
      <c r="O307" t="n">
        <v>0</v>
      </c>
      <c r="P307" t="n">
        <v>0</v>
      </c>
      <c r="Q307" t="n">
        <v>0</v>
      </c>
      <c r="R307" s="2" t="inlineStr"/>
    </row>
    <row r="308" ht="15" customHeight="1">
      <c r="A308" t="inlineStr">
        <is>
          <t>A 1898-2026</t>
        </is>
      </c>
      <c r="B308" s="1" t="n">
        <v>46035.52024305556</v>
      </c>
      <c r="C308" s="1" t="n">
        <v>46122</v>
      </c>
      <c r="D308" t="inlineStr">
        <is>
          <t>GOTLANDS LÄN</t>
        </is>
      </c>
      <c r="E308" t="inlineStr">
        <is>
          <t>GOTLAND</t>
        </is>
      </c>
      <c r="G308" t="n">
        <v>3.7</v>
      </c>
      <c r="H308" t="n">
        <v>0</v>
      </c>
      <c r="I308" t="n">
        <v>0</v>
      </c>
      <c r="J308" t="n">
        <v>0</v>
      </c>
      <c r="K308" t="n">
        <v>0</v>
      </c>
      <c r="L308" t="n">
        <v>0</v>
      </c>
      <c r="M308" t="n">
        <v>0</v>
      </c>
      <c r="N308" t="n">
        <v>0</v>
      </c>
      <c r="O308" t="n">
        <v>0</v>
      </c>
      <c r="P308" t="n">
        <v>0</v>
      </c>
      <c r="Q308" t="n">
        <v>0</v>
      </c>
      <c r="R308" s="2" t="inlineStr"/>
    </row>
    <row r="309" ht="15" customHeight="1">
      <c r="A309" t="inlineStr">
        <is>
          <t>A 4568-2025</t>
        </is>
      </c>
      <c r="B309" s="1" t="n">
        <v>45687</v>
      </c>
      <c r="C309" s="1" t="n">
        <v>46122</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2415-2026</t>
        </is>
      </c>
      <c r="B310" s="1" t="n">
        <v>46036.76203703704</v>
      </c>
      <c r="C310" s="1" t="n">
        <v>46122</v>
      </c>
      <c r="D310" t="inlineStr">
        <is>
          <t>GOTLANDS LÄN</t>
        </is>
      </c>
      <c r="E310" t="inlineStr">
        <is>
          <t>GOTLAND</t>
        </is>
      </c>
      <c r="G310" t="n">
        <v>6.9</v>
      </c>
      <c r="H310" t="n">
        <v>0</v>
      </c>
      <c r="I310" t="n">
        <v>0</v>
      </c>
      <c r="J310" t="n">
        <v>0</v>
      </c>
      <c r="K310" t="n">
        <v>0</v>
      </c>
      <c r="L310" t="n">
        <v>0</v>
      </c>
      <c r="M310" t="n">
        <v>0</v>
      </c>
      <c r="N310" t="n">
        <v>0</v>
      </c>
      <c r="O310" t="n">
        <v>0</v>
      </c>
      <c r="P310" t="n">
        <v>0</v>
      </c>
      <c r="Q310" t="n">
        <v>0</v>
      </c>
      <c r="R310" s="2" t="inlineStr"/>
    </row>
    <row r="311" ht="15" customHeight="1">
      <c r="A311" t="inlineStr">
        <is>
          <t>A 35512-2023</t>
        </is>
      </c>
      <c r="B311" s="1" t="n">
        <v>45147.25623842593</v>
      </c>
      <c r="C311" s="1" t="n">
        <v>46122</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5905-2024</t>
        </is>
      </c>
      <c r="B312" s="1" t="n">
        <v>45335.88993055555</v>
      </c>
      <c r="C312" s="1" t="n">
        <v>46122</v>
      </c>
      <c r="D312" t="inlineStr">
        <is>
          <t>GOTLANDS LÄN</t>
        </is>
      </c>
      <c r="E312" t="inlineStr">
        <is>
          <t>GOTLAND</t>
        </is>
      </c>
      <c r="G312" t="n">
        <v>3</v>
      </c>
      <c r="H312" t="n">
        <v>0</v>
      </c>
      <c r="I312" t="n">
        <v>0</v>
      </c>
      <c r="J312" t="n">
        <v>0</v>
      </c>
      <c r="K312" t="n">
        <v>0</v>
      </c>
      <c r="L312" t="n">
        <v>0</v>
      </c>
      <c r="M312" t="n">
        <v>0</v>
      </c>
      <c r="N312" t="n">
        <v>0</v>
      </c>
      <c r="O312" t="n">
        <v>0</v>
      </c>
      <c r="P312" t="n">
        <v>0</v>
      </c>
      <c r="Q312" t="n">
        <v>0</v>
      </c>
      <c r="R312" s="2" t="inlineStr"/>
    </row>
    <row r="313" ht="15" customHeight="1">
      <c r="A313" t="inlineStr">
        <is>
          <t>A 6749-2025</t>
        </is>
      </c>
      <c r="B313" s="1" t="n">
        <v>45700</v>
      </c>
      <c r="C313" s="1" t="n">
        <v>46122</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11414-2026</t>
        </is>
      </c>
      <c r="B314" s="1" t="n">
        <v>46083.46336805556</v>
      </c>
      <c r="C314" s="1" t="n">
        <v>46122</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1291-2023</t>
        </is>
      </c>
      <c r="B315" s="1" t="n">
        <v>44936.47561342592</v>
      </c>
      <c r="C315" s="1" t="n">
        <v>46122</v>
      </c>
      <c r="D315" t="inlineStr">
        <is>
          <t>GOTLANDS LÄN</t>
        </is>
      </c>
      <c r="E315" t="inlineStr">
        <is>
          <t>GOTLAND</t>
        </is>
      </c>
      <c r="G315" t="n">
        <v>7.4</v>
      </c>
      <c r="H315" t="n">
        <v>0</v>
      </c>
      <c r="I315" t="n">
        <v>0</v>
      </c>
      <c r="J315" t="n">
        <v>0</v>
      </c>
      <c r="K315" t="n">
        <v>0</v>
      </c>
      <c r="L315" t="n">
        <v>0</v>
      </c>
      <c r="M315" t="n">
        <v>0</v>
      </c>
      <c r="N315" t="n">
        <v>0</v>
      </c>
      <c r="O315" t="n">
        <v>0</v>
      </c>
      <c r="P315" t="n">
        <v>0</v>
      </c>
      <c r="Q315" t="n">
        <v>0</v>
      </c>
      <c r="R315" s="2" t="inlineStr"/>
    </row>
    <row r="316" ht="15" customHeight="1">
      <c r="A316" t="inlineStr">
        <is>
          <t>A 11424-2026</t>
        </is>
      </c>
      <c r="B316" s="1" t="n">
        <v>46083.48068287037</v>
      </c>
      <c r="C316" s="1" t="n">
        <v>46122</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57652-2023</t>
        </is>
      </c>
      <c r="B317" s="1" t="n">
        <v>45246</v>
      </c>
      <c r="C317" s="1" t="n">
        <v>46122</v>
      </c>
      <c r="D317" t="inlineStr">
        <is>
          <t>GOTLANDS LÄN</t>
        </is>
      </c>
      <c r="E317" t="inlineStr">
        <is>
          <t>GOTLAND</t>
        </is>
      </c>
      <c r="G317" t="n">
        <v>7.2</v>
      </c>
      <c r="H317" t="n">
        <v>0</v>
      </c>
      <c r="I317" t="n">
        <v>0</v>
      </c>
      <c r="J317" t="n">
        <v>0</v>
      </c>
      <c r="K317" t="n">
        <v>0</v>
      </c>
      <c r="L317" t="n">
        <v>0</v>
      </c>
      <c r="M317" t="n">
        <v>0</v>
      </c>
      <c r="N317" t="n">
        <v>0</v>
      </c>
      <c r="O317" t="n">
        <v>0</v>
      </c>
      <c r="P317" t="n">
        <v>0</v>
      </c>
      <c r="Q317" t="n">
        <v>0</v>
      </c>
      <c r="R317" s="2" t="inlineStr"/>
    </row>
    <row r="318" ht="15" customHeight="1">
      <c r="A318" t="inlineStr">
        <is>
          <t>A 26391-2025</t>
        </is>
      </c>
      <c r="B318" s="1" t="n">
        <v>45806</v>
      </c>
      <c r="C318" s="1" t="n">
        <v>46122</v>
      </c>
      <c r="D318" t="inlineStr">
        <is>
          <t>GOTLANDS LÄN</t>
        </is>
      </c>
      <c r="E318" t="inlineStr">
        <is>
          <t>GOTLAND</t>
        </is>
      </c>
      <c r="G318" t="n">
        <v>2</v>
      </c>
      <c r="H318" t="n">
        <v>0</v>
      </c>
      <c r="I318" t="n">
        <v>0</v>
      </c>
      <c r="J318" t="n">
        <v>0</v>
      </c>
      <c r="K318" t="n">
        <v>0</v>
      </c>
      <c r="L318" t="n">
        <v>0</v>
      </c>
      <c r="M318" t="n">
        <v>0</v>
      </c>
      <c r="N318" t="n">
        <v>0</v>
      </c>
      <c r="O318" t="n">
        <v>0</v>
      </c>
      <c r="P318" t="n">
        <v>0</v>
      </c>
      <c r="Q318" t="n">
        <v>0</v>
      </c>
      <c r="R318" s="2" t="inlineStr"/>
    </row>
    <row r="319" ht="15" customHeight="1">
      <c r="A319" t="inlineStr">
        <is>
          <t>A 3253-2026</t>
        </is>
      </c>
      <c r="B319" s="1" t="n">
        <v>46041.58902777778</v>
      </c>
      <c r="C319" s="1" t="n">
        <v>46122</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49315-2024</t>
        </is>
      </c>
      <c r="B320" s="1" t="n">
        <v>45595</v>
      </c>
      <c r="C320" s="1" t="n">
        <v>46122</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45106-2024</t>
        </is>
      </c>
      <c r="B321" s="1" t="n">
        <v>45575</v>
      </c>
      <c r="C321" s="1" t="n">
        <v>46122</v>
      </c>
      <c r="D321" t="inlineStr">
        <is>
          <t>GOTLANDS LÄN</t>
        </is>
      </c>
      <c r="E321" t="inlineStr">
        <is>
          <t>GOTLAND</t>
        </is>
      </c>
      <c r="G321" t="n">
        <v>10</v>
      </c>
      <c r="H321" t="n">
        <v>0</v>
      </c>
      <c r="I321" t="n">
        <v>0</v>
      </c>
      <c r="J321" t="n">
        <v>0</v>
      </c>
      <c r="K321" t="n">
        <v>0</v>
      </c>
      <c r="L321" t="n">
        <v>0</v>
      </c>
      <c r="M321" t="n">
        <v>0</v>
      </c>
      <c r="N321" t="n">
        <v>0</v>
      </c>
      <c r="O321" t="n">
        <v>0</v>
      </c>
      <c r="P321" t="n">
        <v>0</v>
      </c>
      <c r="Q321" t="n">
        <v>0</v>
      </c>
      <c r="R321" s="2" t="inlineStr"/>
    </row>
    <row r="322" ht="15" customHeight="1">
      <c r="A322" t="inlineStr">
        <is>
          <t>A 45112-2024</t>
        </is>
      </c>
      <c r="B322" s="1" t="n">
        <v>45575</v>
      </c>
      <c r="C322" s="1" t="n">
        <v>46122</v>
      </c>
      <c r="D322" t="inlineStr">
        <is>
          <t>GOTLANDS LÄN</t>
        </is>
      </c>
      <c r="E322" t="inlineStr">
        <is>
          <t>GOTLAND</t>
        </is>
      </c>
      <c r="G322" t="n">
        <v>5.1</v>
      </c>
      <c r="H322" t="n">
        <v>0</v>
      </c>
      <c r="I322" t="n">
        <v>0</v>
      </c>
      <c r="J322" t="n">
        <v>0</v>
      </c>
      <c r="K322" t="n">
        <v>0</v>
      </c>
      <c r="L322" t="n">
        <v>0</v>
      </c>
      <c r="M322" t="n">
        <v>0</v>
      </c>
      <c r="N322" t="n">
        <v>0</v>
      </c>
      <c r="O322" t="n">
        <v>0</v>
      </c>
      <c r="P322" t="n">
        <v>0</v>
      </c>
      <c r="Q322" t="n">
        <v>0</v>
      </c>
      <c r="R322" s="2" t="inlineStr"/>
    </row>
    <row r="323" ht="15" customHeight="1">
      <c r="A323" t="inlineStr">
        <is>
          <t>A 46836-2025</t>
        </is>
      </c>
      <c r="B323" s="1" t="n">
        <v>45928.31511574074</v>
      </c>
      <c r="C323" s="1" t="n">
        <v>46122</v>
      </c>
      <c r="D323" t="inlineStr">
        <is>
          <t>GOTLANDS LÄN</t>
        </is>
      </c>
      <c r="E323" t="inlineStr">
        <is>
          <t>GOTLAND</t>
        </is>
      </c>
      <c r="G323" t="n">
        <v>2.8</v>
      </c>
      <c r="H323" t="n">
        <v>0</v>
      </c>
      <c r="I323" t="n">
        <v>0</v>
      </c>
      <c r="J323" t="n">
        <v>0</v>
      </c>
      <c r="K323" t="n">
        <v>0</v>
      </c>
      <c r="L323" t="n">
        <v>0</v>
      </c>
      <c r="M323" t="n">
        <v>0</v>
      </c>
      <c r="N323" t="n">
        <v>0</v>
      </c>
      <c r="O323" t="n">
        <v>0</v>
      </c>
      <c r="P323" t="n">
        <v>0</v>
      </c>
      <c r="Q323" t="n">
        <v>0</v>
      </c>
      <c r="R323" s="2" t="inlineStr"/>
    </row>
    <row r="324" ht="15" customHeight="1">
      <c r="A324" t="inlineStr">
        <is>
          <t>A 2676-2023</t>
        </is>
      </c>
      <c r="B324" s="1" t="n">
        <v>44944</v>
      </c>
      <c r="C324" s="1" t="n">
        <v>46122</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11982-2026</t>
        </is>
      </c>
      <c r="B325" s="1" t="n">
        <v>46085.6434375</v>
      </c>
      <c r="C325" s="1" t="n">
        <v>46122</v>
      </c>
      <c r="D325" t="inlineStr">
        <is>
          <t>GOTLANDS LÄN</t>
        </is>
      </c>
      <c r="E325" t="inlineStr">
        <is>
          <t>GOTLAND</t>
        </is>
      </c>
      <c r="G325" t="n">
        <v>2.2</v>
      </c>
      <c r="H325" t="n">
        <v>0</v>
      </c>
      <c r="I325" t="n">
        <v>0</v>
      </c>
      <c r="J325" t="n">
        <v>0</v>
      </c>
      <c r="K325" t="n">
        <v>0</v>
      </c>
      <c r="L325" t="n">
        <v>0</v>
      </c>
      <c r="M325" t="n">
        <v>0</v>
      </c>
      <c r="N325" t="n">
        <v>0</v>
      </c>
      <c r="O325" t="n">
        <v>0</v>
      </c>
      <c r="P325" t="n">
        <v>0</v>
      </c>
      <c r="Q325" t="n">
        <v>0</v>
      </c>
      <c r="R325" s="2" t="inlineStr"/>
    </row>
    <row r="326" ht="15" customHeight="1">
      <c r="A326" t="inlineStr">
        <is>
          <t>A 3150-2025</t>
        </is>
      </c>
      <c r="B326" s="1" t="n">
        <v>45679.28974537037</v>
      </c>
      <c r="C326" s="1" t="n">
        <v>46122</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23698-2025</t>
        </is>
      </c>
      <c r="B327" s="1" t="n">
        <v>45793</v>
      </c>
      <c r="C327" s="1" t="n">
        <v>46122</v>
      </c>
      <c r="D327" t="inlineStr">
        <is>
          <t>GOTLANDS LÄN</t>
        </is>
      </c>
      <c r="E327" t="inlineStr">
        <is>
          <t>GOTLAND</t>
        </is>
      </c>
      <c r="G327" t="n">
        <v>0.8</v>
      </c>
      <c r="H327" t="n">
        <v>0</v>
      </c>
      <c r="I327" t="n">
        <v>0</v>
      </c>
      <c r="J327" t="n">
        <v>0</v>
      </c>
      <c r="K327" t="n">
        <v>0</v>
      </c>
      <c r="L327" t="n">
        <v>0</v>
      </c>
      <c r="M327" t="n">
        <v>0</v>
      </c>
      <c r="N327" t="n">
        <v>0</v>
      </c>
      <c r="O327" t="n">
        <v>0</v>
      </c>
      <c r="P327" t="n">
        <v>0</v>
      </c>
      <c r="Q327" t="n">
        <v>0</v>
      </c>
      <c r="R327" s="2" t="inlineStr"/>
    </row>
    <row r="328" ht="15" customHeight="1">
      <c r="A328" t="inlineStr">
        <is>
          <t>A 8484-2025</t>
        </is>
      </c>
      <c r="B328" s="1" t="n">
        <v>45709</v>
      </c>
      <c r="C328" s="1" t="n">
        <v>46122</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7635-2025</t>
        </is>
      </c>
      <c r="B329" s="1" t="n">
        <v>45705</v>
      </c>
      <c r="C329" s="1" t="n">
        <v>46122</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7636-2025</t>
        </is>
      </c>
      <c r="B330" s="1" t="n">
        <v>45705.7687962963</v>
      </c>
      <c r="C330" s="1" t="n">
        <v>46122</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7639-2025</t>
        </is>
      </c>
      <c r="B331" s="1" t="n">
        <v>45705.77465277778</v>
      </c>
      <c r="C331" s="1" t="n">
        <v>46122</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12135-2026</t>
        </is>
      </c>
      <c r="B332" s="1" t="n">
        <v>46086</v>
      </c>
      <c r="C332" s="1" t="n">
        <v>46122</v>
      </c>
      <c r="D332" t="inlineStr">
        <is>
          <t>GOTLANDS LÄN</t>
        </is>
      </c>
      <c r="E332" t="inlineStr">
        <is>
          <t>GOTLAND</t>
        </is>
      </c>
      <c r="G332" t="n">
        <v>3</v>
      </c>
      <c r="H332" t="n">
        <v>0</v>
      </c>
      <c r="I332" t="n">
        <v>0</v>
      </c>
      <c r="J332" t="n">
        <v>0</v>
      </c>
      <c r="K332" t="n">
        <v>0</v>
      </c>
      <c r="L332" t="n">
        <v>0</v>
      </c>
      <c r="M332" t="n">
        <v>0</v>
      </c>
      <c r="N332" t="n">
        <v>0</v>
      </c>
      <c r="O332" t="n">
        <v>0</v>
      </c>
      <c r="P332" t="n">
        <v>0</v>
      </c>
      <c r="Q332" t="n">
        <v>0</v>
      </c>
      <c r="R332" s="2" t="inlineStr"/>
    </row>
    <row r="333" ht="15" customHeight="1">
      <c r="A333" t="inlineStr">
        <is>
          <t>A 4646-2026</t>
        </is>
      </c>
      <c r="B333" s="1" t="n">
        <v>46048.40357638889</v>
      </c>
      <c r="C333" s="1" t="n">
        <v>46122</v>
      </c>
      <c r="D333" t="inlineStr">
        <is>
          <t>GOTLANDS LÄN</t>
        </is>
      </c>
      <c r="E333" t="inlineStr">
        <is>
          <t>GOTLAND</t>
        </is>
      </c>
      <c r="G333" t="n">
        <v>2.7</v>
      </c>
      <c r="H333" t="n">
        <v>0</v>
      </c>
      <c r="I333" t="n">
        <v>0</v>
      </c>
      <c r="J333" t="n">
        <v>0</v>
      </c>
      <c r="K333" t="n">
        <v>0</v>
      </c>
      <c r="L333" t="n">
        <v>0</v>
      </c>
      <c r="M333" t="n">
        <v>0</v>
      </c>
      <c r="N333" t="n">
        <v>0</v>
      </c>
      <c r="O333" t="n">
        <v>0</v>
      </c>
      <c r="P333" t="n">
        <v>0</v>
      </c>
      <c r="Q333" t="n">
        <v>0</v>
      </c>
      <c r="R333" s="2" t="inlineStr"/>
    </row>
    <row r="334" ht="15" customHeight="1">
      <c r="A334" t="inlineStr">
        <is>
          <t>A 20356-2022</t>
        </is>
      </c>
      <c r="B334" s="1" t="n">
        <v>44699</v>
      </c>
      <c r="C334" s="1" t="n">
        <v>46122</v>
      </c>
      <c r="D334" t="inlineStr">
        <is>
          <t>GOTLANDS LÄN</t>
        </is>
      </c>
      <c r="E334" t="inlineStr">
        <is>
          <t>GOTLAND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46122</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4662-2026</t>
        </is>
      </c>
      <c r="B336" s="1" t="n">
        <v>46048.40949074074</v>
      </c>
      <c r="C336" s="1" t="n">
        <v>46122</v>
      </c>
      <c r="D336" t="inlineStr">
        <is>
          <t>GOTLANDS LÄN</t>
        </is>
      </c>
      <c r="E336" t="inlineStr">
        <is>
          <t>GOTLAND</t>
        </is>
      </c>
      <c r="G336" t="n">
        <v>7.6</v>
      </c>
      <c r="H336" t="n">
        <v>0</v>
      </c>
      <c r="I336" t="n">
        <v>0</v>
      </c>
      <c r="J336" t="n">
        <v>0</v>
      </c>
      <c r="K336" t="n">
        <v>0</v>
      </c>
      <c r="L336" t="n">
        <v>0</v>
      </c>
      <c r="M336" t="n">
        <v>0</v>
      </c>
      <c r="N336" t="n">
        <v>0</v>
      </c>
      <c r="O336" t="n">
        <v>0</v>
      </c>
      <c r="P336" t="n">
        <v>0</v>
      </c>
      <c r="Q336" t="n">
        <v>0</v>
      </c>
      <c r="R336" s="2" t="inlineStr"/>
    </row>
    <row r="337" ht="15" customHeight="1">
      <c r="A337" t="inlineStr">
        <is>
          <t>A 47637-2025</t>
        </is>
      </c>
      <c r="B337" s="1" t="n">
        <v>45931.49753472222</v>
      </c>
      <c r="C337" s="1" t="n">
        <v>46122</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14141-2024</t>
        </is>
      </c>
      <c r="B338" s="1" t="n">
        <v>45392.85193287037</v>
      </c>
      <c r="C338" s="1" t="n">
        <v>46122</v>
      </c>
      <c r="D338" t="inlineStr">
        <is>
          <t>GOTLANDS LÄN</t>
        </is>
      </c>
      <c r="E338" t="inlineStr">
        <is>
          <t>GOTLAND</t>
        </is>
      </c>
      <c r="G338" t="n">
        <v>5.3</v>
      </c>
      <c r="H338" t="n">
        <v>0</v>
      </c>
      <c r="I338" t="n">
        <v>0</v>
      </c>
      <c r="J338" t="n">
        <v>0</v>
      </c>
      <c r="K338" t="n">
        <v>0</v>
      </c>
      <c r="L338" t="n">
        <v>0</v>
      </c>
      <c r="M338" t="n">
        <v>0</v>
      </c>
      <c r="N338" t="n">
        <v>0</v>
      </c>
      <c r="O338" t="n">
        <v>0</v>
      </c>
      <c r="P338" t="n">
        <v>0</v>
      </c>
      <c r="Q338" t="n">
        <v>0</v>
      </c>
      <c r="R338" s="2" t="inlineStr"/>
    </row>
    <row r="339" ht="15" customHeight="1">
      <c r="A339" t="inlineStr">
        <is>
          <t>A 4639-2026</t>
        </is>
      </c>
      <c r="B339" s="1" t="n">
        <v>46048.39880787037</v>
      </c>
      <c r="C339" s="1" t="n">
        <v>46122</v>
      </c>
      <c r="D339" t="inlineStr">
        <is>
          <t>GOTLANDS LÄN</t>
        </is>
      </c>
      <c r="E339" t="inlineStr">
        <is>
          <t>GOTLAND</t>
        </is>
      </c>
      <c r="G339" t="n">
        <v>0.8</v>
      </c>
      <c r="H339" t="n">
        <v>0</v>
      </c>
      <c r="I339" t="n">
        <v>0</v>
      </c>
      <c r="J339" t="n">
        <v>0</v>
      </c>
      <c r="K339" t="n">
        <v>0</v>
      </c>
      <c r="L339" t="n">
        <v>0</v>
      </c>
      <c r="M339" t="n">
        <v>0</v>
      </c>
      <c r="N339" t="n">
        <v>0</v>
      </c>
      <c r="O339" t="n">
        <v>0</v>
      </c>
      <c r="P339" t="n">
        <v>0</v>
      </c>
      <c r="Q339" t="n">
        <v>0</v>
      </c>
      <c r="R339" s="2" t="inlineStr"/>
    </row>
    <row r="340" ht="15" customHeight="1">
      <c r="A340" t="inlineStr">
        <is>
          <t>A 1839-2026</t>
        </is>
      </c>
      <c r="B340" s="1" t="n">
        <v>46035.3942824074</v>
      </c>
      <c r="C340" s="1" t="n">
        <v>46122</v>
      </c>
      <c r="D340" t="inlineStr">
        <is>
          <t>GOTLANDS LÄN</t>
        </is>
      </c>
      <c r="E340" t="inlineStr">
        <is>
          <t>GOTLAND</t>
        </is>
      </c>
      <c r="G340" t="n">
        <v>3.5</v>
      </c>
      <c r="H340" t="n">
        <v>0</v>
      </c>
      <c r="I340" t="n">
        <v>0</v>
      </c>
      <c r="J340" t="n">
        <v>0</v>
      </c>
      <c r="K340" t="n">
        <v>0</v>
      </c>
      <c r="L340" t="n">
        <v>0</v>
      </c>
      <c r="M340" t="n">
        <v>0</v>
      </c>
      <c r="N340" t="n">
        <v>0</v>
      </c>
      <c r="O340" t="n">
        <v>0</v>
      </c>
      <c r="P340" t="n">
        <v>0</v>
      </c>
      <c r="Q340" t="n">
        <v>0</v>
      </c>
      <c r="R340" s="2" t="inlineStr"/>
    </row>
    <row r="341" ht="15" customHeight="1">
      <c r="A341" t="inlineStr">
        <is>
          <t>A 29809-2022</t>
        </is>
      </c>
      <c r="B341" s="1" t="n">
        <v>44755.8713425926</v>
      </c>
      <c r="C341" s="1" t="n">
        <v>46122</v>
      </c>
      <c r="D341" t="inlineStr">
        <is>
          <t>GOTLANDS LÄN</t>
        </is>
      </c>
      <c r="E341" t="inlineStr">
        <is>
          <t>GOTLAND</t>
        </is>
      </c>
      <c r="G341" t="n">
        <v>11.5</v>
      </c>
      <c r="H341" t="n">
        <v>0</v>
      </c>
      <c r="I341" t="n">
        <v>0</v>
      </c>
      <c r="J341" t="n">
        <v>0</v>
      </c>
      <c r="K341" t="n">
        <v>0</v>
      </c>
      <c r="L341" t="n">
        <v>0</v>
      </c>
      <c r="M341" t="n">
        <v>0</v>
      </c>
      <c r="N341" t="n">
        <v>0</v>
      </c>
      <c r="O341" t="n">
        <v>0</v>
      </c>
      <c r="P341" t="n">
        <v>0</v>
      </c>
      <c r="Q341" t="n">
        <v>0</v>
      </c>
      <c r="R341" s="2" t="inlineStr"/>
    </row>
    <row r="342" ht="15" customHeight="1">
      <c r="A342" t="inlineStr">
        <is>
          <t>A 4634-2026</t>
        </is>
      </c>
      <c r="B342" s="1" t="n">
        <v>46048.39304398148</v>
      </c>
      <c r="C342" s="1" t="n">
        <v>46122</v>
      </c>
      <c r="D342" t="inlineStr">
        <is>
          <t>GOTLANDS LÄN</t>
        </is>
      </c>
      <c r="E342" t="inlineStr">
        <is>
          <t>GOTLAND</t>
        </is>
      </c>
      <c r="G342" t="n">
        <v>7.8</v>
      </c>
      <c r="H342" t="n">
        <v>0</v>
      </c>
      <c r="I342" t="n">
        <v>0</v>
      </c>
      <c r="J342" t="n">
        <v>0</v>
      </c>
      <c r="K342" t="n">
        <v>0</v>
      </c>
      <c r="L342" t="n">
        <v>0</v>
      </c>
      <c r="M342" t="n">
        <v>0</v>
      </c>
      <c r="N342" t="n">
        <v>0</v>
      </c>
      <c r="O342" t="n">
        <v>0</v>
      </c>
      <c r="P342" t="n">
        <v>0</v>
      </c>
      <c r="Q342" t="n">
        <v>0</v>
      </c>
      <c r="R342" s="2" t="inlineStr"/>
    </row>
    <row r="343" ht="15" customHeight="1">
      <c r="A343" t="inlineStr">
        <is>
          <t>A 4670-2026</t>
        </is>
      </c>
      <c r="B343" s="1" t="n">
        <v>46048.41733796296</v>
      </c>
      <c r="C343" s="1" t="n">
        <v>46122</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32378-2025</t>
        </is>
      </c>
      <c r="B344" s="1" t="n">
        <v>45837</v>
      </c>
      <c r="C344" s="1" t="n">
        <v>46122</v>
      </c>
      <c r="D344" t="inlineStr">
        <is>
          <t>GOTLANDS LÄN</t>
        </is>
      </c>
      <c r="E344" t="inlineStr">
        <is>
          <t>GOTLAND</t>
        </is>
      </c>
      <c r="G344" t="n">
        <v>4.1</v>
      </c>
      <c r="H344" t="n">
        <v>0</v>
      </c>
      <c r="I344" t="n">
        <v>0</v>
      </c>
      <c r="J344" t="n">
        <v>0</v>
      </c>
      <c r="K344" t="n">
        <v>0</v>
      </c>
      <c r="L344" t="n">
        <v>0</v>
      </c>
      <c r="M344" t="n">
        <v>0</v>
      </c>
      <c r="N344" t="n">
        <v>0</v>
      </c>
      <c r="O344" t="n">
        <v>0</v>
      </c>
      <c r="P344" t="n">
        <v>0</v>
      </c>
      <c r="Q344" t="n">
        <v>0</v>
      </c>
      <c r="R344" s="2" t="inlineStr"/>
    </row>
    <row r="345" ht="15" customHeight="1">
      <c r="A345" t="inlineStr">
        <is>
          <t>A 57685-2022</t>
        </is>
      </c>
      <c r="B345" s="1" t="n">
        <v>44897.4777662037</v>
      </c>
      <c r="C345" s="1" t="n">
        <v>46122</v>
      </c>
      <c r="D345" t="inlineStr">
        <is>
          <t>GOTLANDS LÄN</t>
        </is>
      </c>
      <c r="E345" t="inlineStr">
        <is>
          <t>GOTLAND</t>
        </is>
      </c>
      <c r="G345" t="n">
        <v>3.7</v>
      </c>
      <c r="H345" t="n">
        <v>0</v>
      </c>
      <c r="I345" t="n">
        <v>0</v>
      </c>
      <c r="J345" t="n">
        <v>0</v>
      </c>
      <c r="K345" t="n">
        <v>0</v>
      </c>
      <c r="L345" t="n">
        <v>0</v>
      </c>
      <c r="M345" t="n">
        <v>0</v>
      </c>
      <c r="N345" t="n">
        <v>0</v>
      </c>
      <c r="O345" t="n">
        <v>0</v>
      </c>
      <c r="P345" t="n">
        <v>0</v>
      </c>
      <c r="Q345" t="n">
        <v>0</v>
      </c>
      <c r="R345" s="2" t="inlineStr"/>
    </row>
    <row r="346" ht="15" customHeight="1">
      <c r="A346" t="inlineStr">
        <is>
          <t>A 35550-2025</t>
        </is>
      </c>
      <c r="B346" s="1" t="n">
        <v>45856.49324074074</v>
      </c>
      <c r="C346" s="1" t="n">
        <v>46122</v>
      </c>
      <c r="D346" t="inlineStr">
        <is>
          <t>GOTLANDS LÄN</t>
        </is>
      </c>
      <c r="E346" t="inlineStr">
        <is>
          <t>GOTLAND</t>
        </is>
      </c>
      <c r="G346" t="n">
        <v>3.2</v>
      </c>
      <c r="H346" t="n">
        <v>0</v>
      </c>
      <c r="I346" t="n">
        <v>0</v>
      </c>
      <c r="J346" t="n">
        <v>0</v>
      </c>
      <c r="K346" t="n">
        <v>0</v>
      </c>
      <c r="L346" t="n">
        <v>0</v>
      </c>
      <c r="M346" t="n">
        <v>0</v>
      </c>
      <c r="N346" t="n">
        <v>0</v>
      </c>
      <c r="O346" t="n">
        <v>0</v>
      </c>
      <c r="P346" t="n">
        <v>0</v>
      </c>
      <c r="Q346" t="n">
        <v>0</v>
      </c>
      <c r="R346" s="2" t="inlineStr"/>
    </row>
    <row r="347" ht="15" customHeight="1">
      <c r="A347" t="inlineStr">
        <is>
          <t>A 30815-2023</t>
        </is>
      </c>
      <c r="B347" s="1" t="n">
        <v>45112</v>
      </c>
      <c r="C347" s="1" t="n">
        <v>46122</v>
      </c>
      <c r="D347" t="inlineStr">
        <is>
          <t>GOTLANDS LÄN</t>
        </is>
      </c>
      <c r="E347" t="inlineStr">
        <is>
          <t>GOTLAND</t>
        </is>
      </c>
      <c r="G347" t="n">
        <v>6</v>
      </c>
      <c r="H347" t="n">
        <v>0</v>
      </c>
      <c r="I347" t="n">
        <v>0</v>
      </c>
      <c r="J347" t="n">
        <v>0</v>
      </c>
      <c r="K347" t="n">
        <v>0</v>
      </c>
      <c r="L347" t="n">
        <v>0</v>
      </c>
      <c r="M347" t="n">
        <v>0</v>
      </c>
      <c r="N347" t="n">
        <v>0</v>
      </c>
      <c r="O347" t="n">
        <v>0</v>
      </c>
      <c r="P347" t="n">
        <v>0</v>
      </c>
      <c r="Q347" t="n">
        <v>0</v>
      </c>
      <c r="R347" s="2" t="inlineStr"/>
    </row>
    <row r="348" ht="15" customHeight="1">
      <c r="A348" t="inlineStr">
        <is>
          <t>A 47578-2025</t>
        </is>
      </c>
      <c r="B348" s="1" t="n">
        <v>45931</v>
      </c>
      <c r="C348" s="1" t="n">
        <v>46122</v>
      </c>
      <c r="D348" t="inlineStr">
        <is>
          <t>GOTLANDS LÄN</t>
        </is>
      </c>
      <c r="E348" t="inlineStr">
        <is>
          <t>GOTLAND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7034-2023</t>
        </is>
      </c>
      <c r="B349" s="1" t="n">
        <v>44968.32108796296</v>
      </c>
      <c r="C349" s="1" t="n">
        <v>46122</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7042-2023</t>
        </is>
      </c>
      <c r="B350" s="1" t="n">
        <v>44968</v>
      </c>
      <c r="C350" s="1" t="n">
        <v>46122</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23516-2023</t>
        </is>
      </c>
      <c r="B351" s="1" t="n">
        <v>45076.93391203704</v>
      </c>
      <c r="C351" s="1" t="n">
        <v>46122</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64660-2023</t>
        </is>
      </c>
      <c r="B352" s="1" t="n">
        <v>45281.60122685185</v>
      </c>
      <c r="C352" s="1" t="n">
        <v>46122</v>
      </c>
      <c r="D352" t="inlineStr">
        <is>
          <t>GOTLANDS LÄN</t>
        </is>
      </c>
      <c r="E352" t="inlineStr">
        <is>
          <t>GOTLAND</t>
        </is>
      </c>
      <c r="G352" t="n">
        <v>6.3</v>
      </c>
      <c r="H352" t="n">
        <v>0</v>
      </c>
      <c r="I352" t="n">
        <v>0</v>
      </c>
      <c r="J352" t="n">
        <v>0</v>
      </c>
      <c r="K352" t="n">
        <v>0</v>
      </c>
      <c r="L352" t="n">
        <v>0</v>
      </c>
      <c r="M352" t="n">
        <v>0</v>
      </c>
      <c r="N352" t="n">
        <v>0</v>
      </c>
      <c r="O352" t="n">
        <v>0</v>
      </c>
      <c r="P352" t="n">
        <v>0</v>
      </c>
      <c r="Q352" t="n">
        <v>0</v>
      </c>
      <c r="R352" s="2" t="inlineStr"/>
    </row>
    <row r="353" ht="15" customHeight="1">
      <c r="A353" t="inlineStr">
        <is>
          <t>A 49724-2025</t>
        </is>
      </c>
      <c r="B353" s="1" t="n">
        <v>45939.83730324074</v>
      </c>
      <c r="C353" s="1" t="n">
        <v>46122</v>
      </c>
      <c r="D353" t="inlineStr">
        <is>
          <t>GOTLANDS LÄN</t>
        </is>
      </c>
      <c r="E353" t="inlineStr">
        <is>
          <t>GOTLAND</t>
        </is>
      </c>
      <c r="F353" t="inlineStr">
        <is>
          <t>Kyrkan</t>
        </is>
      </c>
      <c r="G353" t="n">
        <v>3.1</v>
      </c>
      <c r="H353" t="n">
        <v>0</v>
      </c>
      <c r="I353" t="n">
        <v>0</v>
      </c>
      <c r="J353" t="n">
        <v>0</v>
      </c>
      <c r="K353" t="n">
        <v>0</v>
      </c>
      <c r="L353" t="n">
        <v>0</v>
      </c>
      <c r="M353" t="n">
        <v>0</v>
      </c>
      <c r="N353" t="n">
        <v>0</v>
      </c>
      <c r="O353" t="n">
        <v>0</v>
      </c>
      <c r="P353" t="n">
        <v>0</v>
      </c>
      <c r="Q353" t="n">
        <v>0</v>
      </c>
      <c r="R353" s="2" t="inlineStr"/>
    </row>
    <row r="354" ht="15" customHeight="1">
      <c r="A354" t="inlineStr">
        <is>
          <t>A 49730-2025</t>
        </is>
      </c>
      <c r="B354" s="1" t="n">
        <v>45939.87613425926</v>
      </c>
      <c r="C354" s="1" t="n">
        <v>46122</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63763-2023</t>
        </is>
      </c>
      <c r="B355" s="1" t="n">
        <v>45278.33944444444</v>
      </c>
      <c r="C355" s="1" t="n">
        <v>46122</v>
      </c>
      <c r="D355" t="inlineStr">
        <is>
          <t>GOTLANDS LÄN</t>
        </is>
      </c>
      <c r="E355" t="inlineStr">
        <is>
          <t>GOTLAND</t>
        </is>
      </c>
      <c r="G355" t="n">
        <v>0.5</v>
      </c>
      <c r="H355" t="n">
        <v>0</v>
      </c>
      <c r="I355" t="n">
        <v>0</v>
      </c>
      <c r="J355" t="n">
        <v>0</v>
      </c>
      <c r="K355" t="n">
        <v>0</v>
      </c>
      <c r="L355" t="n">
        <v>0</v>
      </c>
      <c r="M355" t="n">
        <v>0</v>
      </c>
      <c r="N355" t="n">
        <v>0</v>
      </c>
      <c r="O355" t="n">
        <v>0</v>
      </c>
      <c r="P355" t="n">
        <v>0</v>
      </c>
      <c r="Q355" t="n">
        <v>0</v>
      </c>
      <c r="R355" s="2" t="inlineStr"/>
    </row>
    <row r="356" ht="15" customHeight="1">
      <c r="A356" t="inlineStr">
        <is>
          <t>A 49690-2025</t>
        </is>
      </c>
      <c r="B356" s="1" t="n">
        <v>45939.66730324074</v>
      </c>
      <c r="C356" s="1" t="n">
        <v>46122</v>
      </c>
      <c r="D356" t="inlineStr">
        <is>
          <t>GOTLANDS LÄN</t>
        </is>
      </c>
      <c r="E356" t="inlineStr">
        <is>
          <t>GOTLAND</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33011-2025</t>
        </is>
      </c>
      <c r="B357" s="1" t="n">
        <v>45840</v>
      </c>
      <c r="C357" s="1" t="n">
        <v>46122</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1854-2026</t>
        </is>
      </c>
      <c r="B358" s="1" t="n">
        <v>46035.4171875</v>
      </c>
      <c r="C358" s="1" t="n">
        <v>46122</v>
      </c>
      <c r="D358" t="inlineStr">
        <is>
          <t>GOTLANDS LÄN</t>
        </is>
      </c>
      <c r="E358" t="inlineStr">
        <is>
          <t>GOTLAND</t>
        </is>
      </c>
      <c r="G358" t="n">
        <v>3</v>
      </c>
      <c r="H358" t="n">
        <v>0</v>
      </c>
      <c r="I358" t="n">
        <v>0</v>
      </c>
      <c r="J358" t="n">
        <v>0</v>
      </c>
      <c r="K358" t="n">
        <v>0</v>
      </c>
      <c r="L358" t="n">
        <v>0</v>
      </c>
      <c r="M358" t="n">
        <v>0</v>
      </c>
      <c r="N358" t="n">
        <v>0</v>
      </c>
      <c r="O358" t="n">
        <v>0</v>
      </c>
      <c r="P358" t="n">
        <v>0</v>
      </c>
      <c r="Q358" t="n">
        <v>0</v>
      </c>
      <c r="R358" s="2" t="inlineStr"/>
    </row>
    <row r="359" ht="15" customHeight="1">
      <c r="A359" t="inlineStr">
        <is>
          <t>A 50421-2025</t>
        </is>
      </c>
      <c r="B359" s="1" t="n">
        <v>45944.66049768519</v>
      </c>
      <c r="C359" s="1" t="n">
        <v>46122</v>
      </c>
      <c r="D359" t="inlineStr">
        <is>
          <t>GOTLANDS LÄN</t>
        </is>
      </c>
      <c r="E359" t="inlineStr">
        <is>
          <t>GOTLAND</t>
        </is>
      </c>
      <c r="G359" t="n">
        <v>3.9</v>
      </c>
      <c r="H359" t="n">
        <v>0</v>
      </c>
      <c r="I359" t="n">
        <v>0</v>
      </c>
      <c r="J359" t="n">
        <v>0</v>
      </c>
      <c r="K359" t="n">
        <v>0</v>
      </c>
      <c r="L359" t="n">
        <v>0</v>
      </c>
      <c r="M359" t="n">
        <v>0</v>
      </c>
      <c r="N359" t="n">
        <v>0</v>
      </c>
      <c r="O359" t="n">
        <v>0</v>
      </c>
      <c r="P359" t="n">
        <v>0</v>
      </c>
      <c r="Q359" t="n">
        <v>0</v>
      </c>
      <c r="R359" s="2" t="inlineStr"/>
    </row>
    <row r="360" ht="15" customHeight="1">
      <c r="A360" t="inlineStr">
        <is>
          <t>A 63229-2021</t>
        </is>
      </c>
      <c r="B360" s="1" t="n">
        <v>44508.34518518519</v>
      </c>
      <c r="C360" s="1" t="n">
        <v>46122</v>
      </c>
      <c r="D360" t="inlineStr">
        <is>
          <t>GOTLANDS LÄN</t>
        </is>
      </c>
      <c r="E360" t="inlineStr">
        <is>
          <t>GOTLAND</t>
        </is>
      </c>
      <c r="F360" t="inlineStr">
        <is>
          <t>Kyrkan</t>
        </is>
      </c>
      <c r="G360" t="n">
        <v>3.8</v>
      </c>
      <c r="H360" t="n">
        <v>0</v>
      </c>
      <c r="I360" t="n">
        <v>0</v>
      </c>
      <c r="J360" t="n">
        <v>0</v>
      </c>
      <c r="K360" t="n">
        <v>0</v>
      </c>
      <c r="L360" t="n">
        <v>0</v>
      </c>
      <c r="M360" t="n">
        <v>0</v>
      </c>
      <c r="N360" t="n">
        <v>0</v>
      </c>
      <c r="O360" t="n">
        <v>0</v>
      </c>
      <c r="P360" t="n">
        <v>0</v>
      </c>
      <c r="Q360" t="n">
        <v>0</v>
      </c>
      <c r="R360" s="2" t="inlineStr"/>
    </row>
    <row r="361" ht="15" customHeight="1">
      <c r="A361" t="inlineStr">
        <is>
          <t>A 46375-2024</t>
        </is>
      </c>
      <c r="B361" s="1" t="n">
        <v>45582</v>
      </c>
      <c r="C361" s="1" t="n">
        <v>46122</v>
      </c>
      <c r="D361" t="inlineStr">
        <is>
          <t>GOTLANDS LÄN</t>
        </is>
      </c>
      <c r="E361" t="inlineStr">
        <is>
          <t>GOTLAND</t>
        </is>
      </c>
      <c r="G361" t="n">
        <v>3</v>
      </c>
      <c r="H361" t="n">
        <v>0</v>
      </c>
      <c r="I361" t="n">
        <v>0</v>
      </c>
      <c r="J361" t="n">
        <v>0</v>
      </c>
      <c r="K361" t="n">
        <v>0</v>
      </c>
      <c r="L361" t="n">
        <v>0</v>
      </c>
      <c r="M361" t="n">
        <v>0</v>
      </c>
      <c r="N361" t="n">
        <v>0</v>
      </c>
      <c r="O361" t="n">
        <v>0</v>
      </c>
      <c r="P361" t="n">
        <v>0</v>
      </c>
      <c r="Q361" t="n">
        <v>0</v>
      </c>
      <c r="R361" s="2" t="inlineStr"/>
    </row>
    <row r="362" ht="15" customHeight="1">
      <c r="A362" t="inlineStr">
        <is>
          <t>A 50431-2025</t>
        </is>
      </c>
      <c r="B362" s="1" t="n">
        <v>45944.68453703704</v>
      </c>
      <c r="C362" s="1" t="n">
        <v>46122</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13486-2026</t>
        </is>
      </c>
      <c r="B363" s="1" t="n">
        <v>46094</v>
      </c>
      <c r="C363" s="1" t="n">
        <v>46122</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50928-2025</t>
        </is>
      </c>
      <c r="B364" s="1" t="n">
        <v>45946.67896990741</v>
      </c>
      <c r="C364" s="1" t="n">
        <v>46122</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3067-2026</t>
        </is>
      </c>
      <c r="B365" s="1" t="n">
        <v>46040.59025462963</v>
      </c>
      <c r="C365" s="1" t="n">
        <v>46122</v>
      </c>
      <c r="D365" t="inlineStr">
        <is>
          <t>GOTLANDS LÄN</t>
        </is>
      </c>
      <c r="E365" t="inlineStr">
        <is>
          <t>GOTLAND</t>
        </is>
      </c>
      <c r="G365" t="n">
        <v>7.8</v>
      </c>
      <c r="H365" t="n">
        <v>0</v>
      </c>
      <c r="I365" t="n">
        <v>0</v>
      </c>
      <c r="J365" t="n">
        <v>0</v>
      </c>
      <c r="K365" t="n">
        <v>0</v>
      </c>
      <c r="L365" t="n">
        <v>0</v>
      </c>
      <c r="M365" t="n">
        <v>0</v>
      </c>
      <c r="N365" t="n">
        <v>0</v>
      </c>
      <c r="O365" t="n">
        <v>0</v>
      </c>
      <c r="P365" t="n">
        <v>0</v>
      </c>
      <c r="Q365" t="n">
        <v>0</v>
      </c>
      <c r="R365" s="2" t="inlineStr"/>
    </row>
    <row r="366" ht="15" customHeight="1">
      <c r="A366" t="inlineStr">
        <is>
          <t>A 6218-2026</t>
        </is>
      </c>
      <c r="B366" s="1" t="n">
        <v>46055.42859953704</v>
      </c>
      <c r="C366" s="1" t="n">
        <v>46122</v>
      </c>
      <c r="D366" t="inlineStr">
        <is>
          <t>GOTLANDS LÄN</t>
        </is>
      </c>
      <c r="E366" t="inlineStr">
        <is>
          <t>GOTLAND</t>
        </is>
      </c>
      <c r="G366" t="n">
        <v>4.3</v>
      </c>
      <c r="H366" t="n">
        <v>0</v>
      </c>
      <c r="I366" t="n">
        <v>0</v>
      </c>
      <c r="J366" t="n">
        <v>0</v>
      </c>
      <c r="K366" t="n">
        <v>0</v>
      </c>
      <c r="L366" t="n">
        <v>0</v>
      </c>
      <c r="M366" t="n">
        <v>0</v>
      </c>
      <c r="N366" t="n">
        <v>0</v>
      </c>
      <c r="O366" t="n">
        <v>0</v>
      </c>
      <c r="P366" t="n">
        <v>0</v>
      </c>
      <c r="Q366" t="n">
        <v>0</v>
      </c>
      <c r="R366" s="2" t="inlineStr"/>
    </row>
    <row r="367" ht="15" customHeight="1">
      <c r="A367" t="inlineStr">
        <is>
          <t>A 1734-2025</t>
        </is>
      </c>
      <c r="B367" s="1" t="n">
        <v>45671.3840625</v>
      </c>
      <c r="C367" s="1" t="n">
        <v>46122</v>
      </c>
      <c r="D367" t="inlineStr">
        <is>
          <t>GOTLANDS LÄN</t>
        </is>
      </c>
      <c r="E367" t="inlineStr">
        <is>
          <t>GOTLAND</t>
        </is>
      </c>
      <c r="G367" t="n">
        <v>1.9</v>
      </c>
      <c r="H367" t="n">
        <v>0</v>
      </c>
      <c r="I367" t="n">
        <v>0</v>
      </c>
      <c r="J367" t="n">
        <v>0</v>
      </c>
      <c r="K367" t="n">
        <v>0</v>
      </c>
      <c r="L367" t="n">
        <v>0</v>
      </c>
      <c r="M367" t="n">
        <v>0</v>
      </c>
      <c r="N367" t="n">
        <v>0</v>
      </c>
      <c r="O367" t="n">
        <v>0</v>
      </c>
      <c r="P367" t="n">
        <v>0</v>
      </c>
      <c r="Q367" t="n">
        <v>0</v>
      </c>
      <c r="R367" s="2" t="inlineStr"/>
    </row>
    <row r="368" ht="15" customHeight="1">
      <c r="A368" t="inlineStr">
        <is>
          <t>A 20993-2023</t>
        </is>
      </c>
      <c r="B368" s="1" t="n">
        <v>45056</v>
      </c>
      <c r="C368" s="1" t="n">
        <v>46122</v>
      </c>
      <c r="D368" t="inlineStr">
        <is>
          <t>GOTLANDS LÄN</t>
        </is>
      </c>
      <c r="E368" t="inlineStr">
        <is>
          <t>GOTLAND</t>
        </is>
      </c>
      <c r="G368" t="n">
        <v>7.1</v>
      </c>
      <c r="H368" t="n">
        <v>0</v>
      </c>
      <c r="I368" t="n">
        <v>0</v>
      </c>
      <c r="J368" t="n">
        <v>0</v>
      </c>
      <c r="K368" t="n">
        <v>0</v>
      </c>
      <c r="L368" t="n">
        <v>0</v>
      </c>
      <c r="M368" t="n">
        <v>0</v>
      </c>
      <c r="N368" t="n">
        <v>0</v>
      </c>
      <c r="O368" t="n">
        <v>0</v>
      </c>
      <c r="P368" t="n">
        <v>0</v>
      </c>
      <c r="Q368" t="n">
        <v>0</v>
      </c>
      <c r="R368" s="2" t="inlineStr"/>
    </row>
    <row r="369" ht="15" customHeight="1">
      <c r="A369" t="inlineStr">
        <is>
          <t>A 6207-2026</t>
        </is>
      </c>
      <c r="B369" s="1" t="n">
        <v>46055.42083333333</v>
      </c>
      <c r="C369" s="1" t="n">
        <v>46122</v>
      </c>
      <c r="D369" t="inlineStr">
        <is>
          <t>GOTLANDS LÄN</t>
        </is>
      </c>
      <c r="E369" t="inlineStr">
        <is>
          <t>GOTLAND</t>
        </is>
      </c>
      <c r="G369" t="n">
        <v>7.6</v>
      </c>
      <c r="H369" t="n">
        <v>0</v>
      </c>
      <c r="I369" t="n">
        <v>0</v>
      </c>
      <c r="J369" t="n">
        <v>0</v>
      </c>
      <c r="K369" t="n">
        <v>0</v>
      </c>
      <c r="L369" t="n">
        <v>0</v>
      </c>
      <c r="M369" t="n">
        <v>0</v>
      </c>
      <c r="N369" t="n">
        <v>0</v>
      </c>
      <c r="O369" t="n">
        <v>0</v>
      </c>
      <c r="P369" t="n">
        <v>0</v>
      </c>
      <c r="Q369" t="n">
        <v>0</v>
      </c>
      <c r="R369" s="2" t="inlineStr"/>
    </row>
    <row r="370" ht="15" customHeight="1">
      <c r="A370" t="inlineStr">
        <is>
          <t>A 51262-2025</t>
        </is>
      </c>
      <c r="B370" s="1" t="n">
        <v>45949.49872685185</v>
      </c>
      <c r="C370" s="1" t="n">
        <v>46122</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6959-2026</t>
        </is>
      </c>
      <c r="B371" s="1" t="n">
        <v>46057.580625</v>
      </c>
      <c r="C371" s="1" t="n">
        <v>46122</v>
      </c>
      <c r="D371" t="inlineStr">
        <is>
          <t>GOTLANDS LÄN</t>
        </is>
      </c>
      <c r="E371" t="inlineStr">
        <is>
          <t>GOTLAND</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12596-2023</t>
        </is>
      </c>
      <c r="B372" s="1" t="n">
        <v>45000.43310185185</v>
      </c>
      <c r="C372" s="1" t="n">
        <v>46122</v>
      </c>
      <c r="D372" t="inlineStr">
        <is>
          <t>GOTLANDS LÄN</t>
        </is>
      </c>
      <c r="E372" t="inlineStr">
        <is>
          <t>GOTLAND</t>
        </is>
      </c>
      <c r="G372" t="n">
        <v>4.1</v>
      </c>
      <c r="H372" t="n">
        <v>0</v>
      </c>
      <c r="I372" t="n">
        <v>0</v>
      </c>
      <c r="J372" t="n">
        <v>0</v>
      </c>
      <c r="K372" t="n">
        <v>0</v>
      </c>
      <c r="L372" t="n">
        <v>0</v>
      </c>
      <c r="M372" t="n">
        <v>0</v>
      </c>
      <c r="N372" t="n">
        <v>0</v>
      </c>
      <c r="O372" t="n">
        <v>0</v>
      </c>
      <c r="P372" t="n">
        <v>0</v>
      </c>
      <c r="Q372" t="n">
        <v>0</v>
      </c>
      <c r="R372" s="2" t="inlineStr"/>
    </row>
    <row r="373" ht="15" customHeight="1">
      <c r="A373" t="inlineStr">
        <is>
          <t>A 2125-2025</t>
        </is>
      </c>
      <c r="B373" s="1" t="n">
        <v>45672.64940972222</v>
      </c>
      <c r="C373" s="1" t="n">
        <v>46122</v>
      </c>
      <c r="D373" t="inlineStr">
        <is>
          <t>GOTLANDS LÄN</t>
        </is>
      </c>
      <c r="E373" t="inlineStr">
        <is>
          <t>GOTLAND</t>
        </is>
      </c>
      <c r="G373" t="n">
        <v>2.3</v>
      </c>
      <c r="H373" t="n">
        <v>0</v>
      </c>
      <c r="I373" t="n">
        <v>0</v>
      </c>
      <c r="J373" t="n">
        <v>0</v>
      </c>
      <c r="K373" t="n">
        <v>0</v>
      </c>
      <c r="L373" t="n">
        <v>0</v>
      </c>
      <c r="M373" t="n">
        <v>0</v>
      </c>
      <c r="N373" t="n">
        <v>0</v>
      </c>
      <c r="O373" t="n">
        <v>0</v>
      </c>
      <c r="P373" t="n">
        <v>0</v>
      </c>
      <c r="Q373" t="n">
        <v>0</v>
      </c>
      <c r="R373" s="2" t="inlineStr"/>
    </row>
    <row r="374" ht="15" customHeight="1">
      <c r="A374" t="inlineStr">
        <is>
          <t>A 12155-2023</t>
        </is>
      </c>
      <c r="B374" s="1" t="n">
        <v>44998.49106481481</v>
      </c>
      <c r="C374" s="1" t="n">
        <v>46122</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457-2023</t>
        </is>
      </c>
      <c r="B375" s="1" t="n">
        <v>44929.87238425926</v>
      </c>
      <c r="C375" s="1" t="n">
        <v>46122</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459-2023</t>
        </is>
      </c>
      <c r="B376" s="1" t="n">
        <v>44929.87423611111</v>
      </c>
      <c r="C376" s="1" t="n">
        <v>46122</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38234-2023</t>
        </is>
      </c>
      <c r="B377" s="1" t="n">
        <v>45161.56663194444</v>
      </c>
      <c r="C377" s="1" t="n">
        <v>46122</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52249-2025</t>
        </is>
      </c>
      <c r="B378" s="1" t="n">
        <v>45953.48637731482</v>
      </c>
      <c r="C378" s="1" t="n">
        <v>46122</v>
      </c>
      <c r="D378" t="inlineStr">
        <is>
          <t>GOTLANDS LÄN</t>
        </is>
      </c>
      <c r="E378" t="inlineStr">
        <is>
          <t>GOTLAND</t>
        </is>
      </c>
      <c r="F378" t="inlineStr">
        <is>
          <t>Övriga Aktiebolag</t>
        </is>
      </c>
      <c r="G378" t="n">
        <v>1</v>
      </c>
      <c r="H378" t="n">
        <v>0</v>
      </c>
      <c r="I378" t="n">
        <v>0</v>
      </c>
      <c r="J378" t="n">
        <v>0</v>
      </c>
      <c r="K378" t="n">
        <v>0</v>
      </c>
      <c r="L378" t="n">
        <v>0</v>
      </c>
      <c r="M378" t="n">
        <v>0</v>
      </c>
      <c r="N378" t="n">
        <v>0</v>
      </c>
      <c r="O378" t="n">
        <v>0</v>
      </c>
      <c r="P378" t="n">
        <v>0</v>
      </c>
      <c r="Q378" t="n">
        <v>0</v>
      </c>
      <c r="R378" s="2" t="inlineStr"/>
    </row>
    <row r="379" ht="15" customHeight="1">
      <c r="A379" t="inlineStr">
        <is>
          <t>A 50744-2024</t>
        </is>
      </c>
      <c r="B379" s="1" t="n">
        <v>45602.4187037037</v>
      </c>
      <c r="C379" s="1" t="n">
        <v>46122</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53934-2024</t>
        </is>
      </c>
      <c r="B380" s="1" t="n">
        <v>45615</v>
      </c>
      <c r="C380" s="1" t="n">
        <v>46122</v>
      </c>
      <c r="D380" t="inlineStr">
        <is>
          <t>GOTLANDS LÄN</t>
        </is>
      </c>
      <c r="E380" t="inlineStr">
        <is>
          <t>GOTLAND</t>
        </is>
      </c>
      <c r="G380" t="n">
        <v>5</v>
      </c>
      <c r="H380" t="n">
        <v>0</v>
      </c>
      <c r="I380" t="n">
        <v>0</v>
      </c>
      <c r="J380" t="n">
        <v>0</v>
      </c>
      <c r="K380" t="n">
        <v>0</v>
      </c>
      <c r="L380" t="n">
        <v>0</v>
      </c>
      <c r="M380" t="n">
        <v>0</v>
      </c>
      <c r="N380" t="n">
        <v>0</v>
      </c>
      <c r="O380" t="n">
        <v>0</v>
      </c>
      <c r="P380" t="n">
        <v>0</v>
      </c>
      <c r="Q380" t="n">
        <v>0</v>
      </c>
      <c r="R380" s="2" t="inlineStr"/>
    </row>
    <row r="381" ht="15" customHeight="1">
      <c r="A381" t="inlineStr">
        <is>
          <t>A 6960-2026</t>
        </is>
      </c>
      <c r="B381" s="1" t="n">
        <v>46057.58105324074</v>
      </c>
      <c r="C381" s="1" t="n">
        <v>46122</v>
      </c>
      <c r="D381" t="inlineStr">
        <is>
          <t>GOTLANDS LÄN</t>
        </is>
      </c>
      <c r="E381" t="inlineStr">
        <is>
          <t>GOTLAND</t>
        </is>
      </c>
      <c r="F381" t="inlineStr">
        <is>
          <t>Kyrkan</t>
        </is>
      </c>
      <c r="G381" t="n">
        <v>2.4</v>
      </c>
      <c r="H381" t="n">
        <v>0</v>
      </c>
      <c r="I381" t="n">
        <v>0</v>
      </c>
      <c r="J381" t="n">
        <v>0</v>
      </c>
      <c r="K381" t="n">
        <v>0</v>
      </c>
      <c r="L381" t="n">
        <v>0</v>
      </c>
      <c r="M381" t="n">
        <v>0</v>
      </c>
      <c r="N381" t="n">
        <v>0</v>
      </c>
      <c r="O381" t="n">
        <v>0</v>
      </c>
      <c r="P381" t="n">
        <v>0</v>
      </c>
      <c r="Q381" t="n">
        <v>0</v>
      </c>
      <c r="R381" s="2" t="inlineStr"/>
    </row>
    <row r="382" ht="15" customHeight="1">
      <c r="A382" t="inlineStr">
        <is>
          <t>A 5462-2025</t>
        </is>
      </c>
      <c r="B382" s="1" t="n">
        <v>45693.29331018519</v>
      </c>
      <c r="C382" s="1" t="n">
        <v>46122</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14840-2026</t>
        </is>
      </c>
      <c r="B383" s="1" t="n">
        <v>46104.39498842593</v>
      </c>
      <c r="C383" s="1" t="n">
        <v>46122</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7625-2026</t>
        </is>
      </c>
      <c r="B384" s="1" t="n">
        <v>46062.35135416667</v>
      </c>
      <c r="C384" s="1" t="n">
        <v>46122</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7627-2026</t>
        </is>
      </c>
      <c r="B385" s="1" t="n">
        <v>46062.35465277778</v>
      </c>
      <c r="C385" s="1" t="n">
        <v>46122</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1446-2025</t>
        </is>
      </c>
      <c r="B386" s="1" t="n">
        <v>45669.86035879629</v>
      </c>
      <c r="C386" s="1" t="n">
        <v>46122</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62836-2025</t>
        </is>
      </c>
      <c r="B387" s="1" t="n">
        <v>46008</v>
      </c>
      <c r="C387" s="1" t="n">
        <v>46122</v>
      </c>
      <c r="D387" t="inlineStr">
        <is>
          <t>GOTLANDS LÄN</t>
        </is>
      </c>
      <c r="E387" t="inlineStr">
        <is>
          <t>GOTLAND</t>
        </is>
      </c>
      <c r="G387" t="n">
        <v>6.5</v>
      </c>
      <c r="H387" t="n">
        <v>0</v>
      </c>
      <c r="I387" t="n">
        <v>0</v>
      </c>
      <c r="J387" t="n">
        <v>0</v>
      </c>
      <c r="K387" t="n">
        <v>0</v>
      </c>
      <c r="L387" t="n">
        <v>0</v>
      </c>
      <c r="M387" t="n">
        <v>0</v>
      </c>
      <c r="N387" t="n">
        <v>0</v>
      </c>
      <c r="O387" t="n">
        <v>0</v>
      </c>
      <c r="P387" t="n">
        <v>0</v>
      </c>
      <c r="Q387" t="n">
        <v>0</v>
      </c>
      <c r="R387" s="2" t="inlineStr"/>
    </row>
    <row r="388" ht="15" customHeight="1">
      <c r="A388" t="inlineStr">
        <is>
          <t>A 63105-2025</t>
        </is>
      </c>
      <c r="B388" s="1" t="n">
        <v>46009</v>
      </c>
      <c r="C388" s="1" t="n">
        <v>46122</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52637-2025</t>
        </is>
      </c>
      <c r="B389" s="1" t="n">
        <v>45954.75099537037</v>
      </c>
      <c r="C389" s="1" t="n">
        <v>46122</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31264-2021</t>
        </is>
      </c>
      <c r="B390" s="1" t="n">
        <v>44368</v>
      </c>
      <c r="C390" s="1" t="n">
        <v>46122</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43901-2023</t>
        </is>
      </c>
      <c r="B391" s="1" t="n">
        <v>45187</v>
      </c>
      <c r="C391" s="1" t="n">
        <v>46122</v>
      </c>
      <c r="D391" t="inlineStr">
        <is>
          <t>GOTLANDS LÄN</t>
        </is>
      </c>
      <c r="E391" t="inlineStr">
        <is>
          <t>GOTLAND</t>
        </is>
      </c>
      <c r="G391" t="n">
        <v>5.4</v>
      </c>
      <c r="H391" t="n">
        <v>0</v>
      </c>
      <c r="I391" t="n">
        <v>0</v>
      </c>
      <c r="J391" t="n">
        <v>0</v>
      </c>
      <c r="K391" t="n">
        <v>0</v>
      </c>
      <c r="L391" t="n">
        <v>0</v>
      </c>
      <c r="M391" t="n">
        <v>0</v>
      </c>
      <c r="N391" t="n">
        <v>0</v>
      </c>
      <c r="O391" t="n">
        <v>0</v>
      </c>
      <c r="P391" t="n">
        <v>0</v>
      </c>
      <c r="Q391" t="n">
        <v>0</v>
      </c>
      <c r="R391" s="2" t="inlineStr"/>
    </row>
    <row r="392" ht="15" customHeight="1">
      <c r="A392" t="inlineStr">
        <is>
          <t>A 10746-2025</t>
        </is>
      </c>
      <c r="B392" s="1" t="n">
        <v>45722.42766203704</v>
      </c>
      <c r="C392" s="1" t="n">
        <v>46122</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5863-2026</t>
        </is>
      </c>
      <c r="B393" s="1" t="n">
        <v>46052.36697916667</v>
      </c>
      <c r="C393" s="1" t="n">
        <v>46122</v>
      </c>
      <c r="D393" t="inlineStr">
        <is>
          <t>GOTLANDS LÄN</t>
        </is>
      </c>
      <c r="E393" t="inlineStr">
        <is>
          <t>GOTLAND</t>
        </is>
      </c>
      <c r="G393" t="n">
        <v>1.8</v>
      </c>
      <c r="H393" t="n">
        <v>0</v>
      </c>
      <c r="I393" t="n">
        <v>0</v>
      </c>
      <c r="J393" t="n">
        <v>0</v>
      </c>
      <c r="K393" t="n">
        <v>0</v>
      </c>
      <c r="L393" t="n">
        <v>0</v>
      </c>
      <c r="M393" t="n">
        <v>0</v>
      </c>
      <c r="N393" t="n">
        <v>0</v>
      </c>
      <c r="O393" t="n">
        <v>0</v>
      </c>
      <c r="P393" t="n">
        <v>0</v>
      </c>
      <c r="Q393" t="n">
        <v>0</v>
      </c>
      <c r="R393" s="2" t="inlineStr"/>
    </row>
    <row r="394" ht="15" customHeight="1">
      <c r="A394" t="inlineStr">
        <is>
          <t>A 16501-2023</t>
        </is>
      </c>
      <c r="B394" s="1" t="n">
        <v>45029</v>
      </c>
      <c r="C394" s="1" t="n">
        <v>46122</v>
      </c>
      <c r="D394" t="inlineStr">
        <is>
          <t>GOTLANDS LÄN</t>
        </is>
      </c>
      <c r="E394" t="inlineStr">
        <is>
          <t>GOTLAND</t>
        </is>
      </c>
      <c r="G394" t="n">
        <v>3.1</v>
      </c>
      <c r="H394" t="n">
        <v>0</v>
      </c>
      <c r="I394" t="n">
        <v>0</v>
      </c>
      <c r="J394" t="n">
        <v>0</v>
      </c>
      <c r="K394" t="n">
        <v>0</v>
      </c>
      <c r="L394" t="n">
        <v>0</v>
      </c>
      <c r="M394" t="n">
        <v>0</v>
      </c>
      <c r="N394" t="n">
        <v>0</v>
      </c>
      <c r="O394" t="n">
        <v>0</v>
      </c>
      <c r="P394" t="n">
        <v>0</v>
      </c>
      <c r="Q394" t="n">
        <v>0</v>
      </c>
      <c r="R394" s="2" t="inlineStr"/>
    </row>
    <row r="395" ht="15" customHeight="1">
      <c r="A395" t="inlineStr">
        <is>
          <t>A 53569-2025</t>
        </is>
      </c>
      <c r="B395" s="1" t="n">
        <v>45960.41155092593</v>
      </c>
      <c r="C395" s="1" t="n">
        <v>46122</v>
      </c>
      <c r="D395" t="inlineStr">
        <is>
          <t>GOTLANDS LÄN</t>
        </is>
      </c>
      <c r="E395" t="inlineStr">
        <is>
          <t>GOTLAND</t>
        </is>
      </c>
      <c r="F395" t="inlineStr">
        <is>
          <t>Övriga Aktiebolag</t>
        </is>
      </c>
      <c r="G395" t="n">
        <v>11.3</v>
      </c>
      <c r="H395" t="n">
        <v>0</v>
      </c>
      <c r="I395" t="n">
        <v>0</v>
      </c>
      <c r="J395" t="n">
        <v>0</v>
      </c>
      <c r="K395" t="n">
        <v>0</v>
      </c>
      <c r="L395" t="n">
        <v>0</v>
      </c>
      <c r="M395" t="n">
        <v>0</v>
      </c>
      <c r="N395" t="n">
        <v>0</v>
      </c>
      <c r="O395" t="n">
        <v>0</v>
      </c>
      <c r="P395" t="n">
        <v>0</v>
      </c>
      <c r="Q395" t="n">
        <v>0</v>
      </c>
      <c r="R395" s="2" t="inlineStr"/>
    </row>
    <row r="396" ht="15" customHeight="1">
      <c r="A396" t="inlineStr">
        <is>
          <t>A 2135-2026</t>
        </is>
      </c>
      <c r="B396" s="1" t="n">
        <v>46036</v>
      </c>
      <c r="C396" s="1" t="n">
        <v>46122</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53577-2025</t>
        </is>
      </c>
      <c r="B397" s="1" t="n">
        <v>45960.42224537037</v>
      </c>
      <c r="C397" s="1" t="n">
        <v>46122</v>
      </c>
      <c r="D397" t="inlineStr">
        <is>
          <t>GOTLANDS LÄN</t>
        </is>
      </c>
      <c r="E397" t="inlineStr">
        <is>
          <t>GOTLAND</t>
        </is>
      </c>
      <c r="F397" t="inlineStr">
        <is>
          <t>Övriga Aktiebolag</t>
        </is>
      </c>
      <c r="G397" t="n">
        <v>3.3</v>
      </c>
      <c r="H397" t="n">
        <v>0</v>
      </c>
      <c r="I397" t="n">
        <v>0</v>
      </c>
      <c r="J397" t="n">
        <v>0</v>
      </c>
      <c r="K397" t="n">
        <v>0</v>
      </c>
      <c r="L397" t="n">
        <v>0</v>
      </c>
      <c r="M397" t="n">
        <v>0</v>
      </c>
      <c r="N397" t="n">
        <v>0</v>
      </c>
      <c r="O397" t="n">
        <v>0</v>
      </c>
      <c r="P397" t="n">
        <v>0</v>
      </c>
      <c r="Q397" t="n">
        <v>0</v>
      </c>
      <c r="R397" s="2" t="inlineStr"/>
    </row>
    <row r="398" ht="15" customHeight="1">
      <c r="A398" t="inlineStr">
        <is>
          <t>A 27930-2021</t>
        </is>
      </c>
      <c r="B398" s="1" t="n">
        <v>44354</v>
      </c>
      <c r="C398" s="1" t="n">
        <v>46122</v>
      </c>
      <c r="D398" t="inlineStr">
        <is>
          <t>GOTLANDS LÄN</t>
        </is>
      </c>
      <c r="E398" t="inlineStr">
        <is>
          <t>GOTLAND</t>
        </is>
      </c>
      <c r="G398" t="n">
        <v>2.5</v>
      </c>
      <c r="H398" t="n">
        <v>0</v>
      </c>
      <c r="I398" t="n">
        <v>0</v>
      </c>
      <c r="J398" t="n">
        <v>0</v>
      </c>
      <c r="K398" t="n">
        <v>0</v>
      </c>
      <c r="L398" t="n">
        <v>0</v>
      </c>
      <c r="M398" t="n">
        <v>0</v>
      </c>
      <c r="N398" t="n">
        <v>0</v>
      </c>
      <c r="O398" t="n">
        <v>0</v>
      </c>
      <c r="P398" t="n">
        <v>0</v>
      </c>
      <c r="Q398" t="n">
        <v>0</v>
      </c>
      <c r="R398" s="2" t="inlineStr"/>
    </row>
    <row r="399" ht="15" customHeight="1">
      <c r="A399" t="inlineStr">
        <is>
          <t>A 2134-2026</t>
        </is>
      </c>
      <c r="B399" s="1" t="n">
        <v>46036</v>
      </c>
      <c r="C399" s="1" t="n">
        <v>46122</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61962-2024</t>
        </is>
      </c>
      <c r="B400" s="1" t="n">
        <v>45653.54340277778</v>
      </c>
      <c r="C400" s="1" t="n">
        <v>46122</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10492-2023</t>
        </is>
      </c>
      <c r="B401" s="1" t="n">
        <v>44987</v>
      </c>
      <c r="C401" s="1" t="n">
        <v>46122</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5909-2025</t>
        </is>
      </c>
      <c r="B402" s="1" t="n">
        <v>45695.40634259259</v>
      </c>
      <c r="C402" s="1" t="n">
        <v>46122</v>
      </c>
      <c r="D402" t="inlineStr">
        <is>
          <t>GOTLANDS LÄN</t>
        </is>
      </c>
      <c r="E402" t="inlineStr">
        <is>
          <t>GOTLAND</t>
        </is>
      </c>
      <c r="G402" t="n">
        <v>2.9</v>
      </c>
      <c r="H402" t="n">
        <v>0</v>
      </c>
      <c r="I402" t="n">
        <v>0</v>
      </c>
      <c r="J402" t="n">
        <v>0</v>
      </c>
      <c r="K402" t="n">
        <v>0</v>
      </c>
      <c r="L402" t="n">
        <v>0</v>
      </c>
      <c r="M402" t="n">
        <v>0</v>
      </c>
      <c r="N402" t="n">
        <v>0</v>
      </c>
      <c r="O402" t="n">
        <v>0</v>
      </c>
      <c r="P402" t="n">
        <v>0</v>
      </c>
      <c r="Q402" t="n">
        <v>0</v>
      </c>
      <c r="R402" s="2" t="inlineStr"/>
    </row>
    <row r="403" ht="15" customHeight="1">
      <c r="A403" t="inlineStr">
        <is>
          <t>A 10653-2023</t>
        </is>
      </c>
      <c r="B403" s="1" t="n">
        <v>44988.48859953704</v>
      </c>
      <c r="C403" s="1" t="n">
        <v>46122</v>
      </c>
      <c r="D403" t="inlineStr">
        <is>
          <t>GOTLANDS LÄN</t>
        </is>
      </c>
      <c r="E403" t="inlineStr">
        <is>
          <t>GOTLAND</t>
        </is>
      </c>
      <c r="F403" t="inlineStr">
        <is>
          <t>Kyrkan</t>
        </is>
      </c>
      <c r="G403" t="n">
        <v>3</v>
      </c>
      <c r="H403" t="n">
        <v>0</v>
      </c>
      <c r="I403" t="n">
        <v>0</v>
      </c>
      <c r="J403" t="n">
        <v>0</v>
      </c>
      <c r="K403" t="n">
        <v>0</v>
      </c>
      <c r="L403" t="n">
        <v>0</v>
      </c>
      <c r="M403" t="n">
        <v>0</v>
      </c>
      <c r="N403" t="n">
        <v>0</v>
      </c>
      <c r="O403" t="n">
        <v>0</v>
      </c>
      <c r="P403" t="n">
        <v>0</v>
      </c>
      <c r="Q403" t="n">
        <v>0</v>
      </c>
      <c r="R403" s="2" t="inlineStr"/>
    </row>
    <row r="404" ht="15" customHeight="1">
      <c r="A404" t="inlineStr">
        <is>
          <t>A 4990-2025</t>
        </is>
      </c>
      <c r="B404" s="1" t="n">
        <v>45691</v>
      </c>
      <c r="C404" s="1" t="n">
        <v>46122</v>
      </c>
      <c r="D404" t="inlineStr">
        <is>
          <t>GOTLANDS LÄN</t>
        </is>
      </c>
      <c r="E404" t="inlineStr">
        <is>
          <t>GOTLAND</t>
        </is>
      </c>
      <c r="G404" t="n">
        <v>7.7</v>
      </c>
      <c r="H404" t="n">
        <v>0</v>
      </c>
      <c r="I404" t="n">
        <v>0</v>
      </c>
      <c r="J404" t="n">
        <v>0</v>
      </c>
      <c r="K404" t="n">
        <v>0</v>
      </c>
      <c r="L404" t="n">
        <v>0</v>
      </c>
      <c r="M404" t="n">
        <v>0</v>
      </c>
      <c r="N404" t="n">
        <v>0</v>
      </c>
      <c r="O404" t="n">
        <v>0</v>
      </c>
      <c r="P404" t="n">
        <v>0</v>
      </c>
      <c r="Q404" t="n">
        <v>0</v>
      </c>
      <c r="R404" s="2" t="inlineStr"/>
    </row>
    <row r="405" ht="15" customHeight="1">
      <c r="A405" t="inlineStr">
        <is>
          <t>A 25796-2025</t>
        </is>
      </c>
      <c r="B405" s="1" t="n">
        <v>45804.39543981481</v>
      </c>
      <c r="C405" s="1" t="n">
        <v>46122</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63000-2025</t>
        </is>
      </c>
      <c r="B406" s="1" t="n">
        <v>46009</v>
      </c>
      <c r="C406" s="1" t="n">
        <v>46122</v>
      </c>
      <c r="D406" t="inlineStr">
        <is>
          <t>GOTLANDS LÄN</t>
        </is>
      </c>
      <c r="E406" t="inlineStr">
        <is>
          <t>GOTLAND</t>
        </is>
      </c>
      <c r="F406" t="inlineStr">
        <is>
          <t>Övriga Aktiebolag</t>
        </is>
      </c>
      <c r="G406" t="n">
        <v>1.7</v>
      </c>
      <c r="H406" t="n">
        <v>0</v>
      </c>
      <c r="I406" t="n">
        <v>0</v>
      </c>
      <c r="J406" t="n">
        <v>0</v>
      </c>
      <c r="K406" t="n">
        <v>0</v>
      </c>
      <c r="L406" t="n">
        <v>0</v>
      </c>
      <c r="M406" t="n">
        <v>0</v>
      </c>
      <c r="N406" t="n">
        <v>0</v>
      </c>
      <c r="O406" t="n">
        <v>0</v>
      </c>
      <c r="P406" t="n">
        <v>0</v>
      </c>
      <c r="Q406" t="n">
        <v>0</v>
      </c>
      <c r="R406" s="2" t="inlineStr"/>
    </row>
    <row r="407" ht="15" customHeight="1">
      <c r="A407" t="inlineStr">
        <is>
          <t>A 43081-2022</t>
        </is>
      </c>
      <c r="B407" s="1" t="n">
        <v>44833</v>
      </c>
      <c r="C407" s="1" t="n">
        <v>46122</v>
      </c>
      <c r="D407" t="inlineStr">
        <is>
          <t>GOTLANDS LÄN</t>
        </is>
      </c>
      <c r="E407" t="inlineStr">
        <is>
          <t>GOTLAND</t>
        </is>
      </c>
      <c r="G407" t="n">
        <v>6.8</v>
      </c>
      <c r="H407" t="n">
        <v>0</v>
      </c>
      <c r="I407" t="n">
        <v>0</v>
      </c>
      <c r="J407" t="n">
        <v>0</v>
      </c>
      <c r="K407" t="n">
        <v>0</v>
      </c>
      <c r="L407" t="n">
        <v>0</v>
      </c>
      <c r="M407" t="n">
        <v>0</v>
      </c>
      <c r="N407" t="n">
        <v>0</v>
      </c>
      <c r="O407" t="n">
        <v>0</v>
      </c>
      <c r="P407" t="n">
        <v>0</v>
      </c>
      <c r="Q407" t="n">
        <v>0</v>
      </c>
      <c r="R407" s="2" t="inlineStr"/>
    </row>
    <row r="408" ht="15" customHeight="1">
      <c r="A408" t="inlineStr">
        <is>
          <t>A 32958-2021</t>
        </is>
      </c>
      <c r="B408" s="1" t="n">
        <v>44376</v>
      </c>
      <c r="C408" s="1" t="n">
        <v>46122</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5884-2025</t>
        </is>
      </c>
      <c r="B409" s="1" t="n">
        <v>45695.37482638889</v>
      </c>
      <c r="C409" s="1" t="n">
        <v>46122</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5897-2025</t>
        </is>
      </c>
      <c r="B410" s="1" t="n">
        <v>45695.39273148148</v>
      </c>
      <c r="C410" s="1" t="n">
        <v>46122</v>
      </c>
      <c r="D410" t="inlineStr">
        <is>
          <t>GOTLANDS LÄN</t>
        </is>
      </c>
      <c r="E410" t="inlineStr">
        <is>
          <t>GOTLAND</t>
        </is>
      </c>
      <c r="G410" t="n">
        <v>3.7</v>
      </c>
      <c r="H410" t="n">
        <v>0</v>
      </c>
      <c r="I410" t="n">
        <v>0</v>
      </c>
      <c r="J410" t="n">
        <v>0</v>
      </c>
      <c r="K410" t="n">
        <v>0</v>
      </c>
      <c r="L410" t="n">
        <v>0</v>
      </c>
      <c r="M410" t="n">
        <v>0</v>
      </c>
      <c r="N410" t="n">
        <v>0</v>
      </c>
      <c r="O410" t="n">
        <v>0</v>
      </c>
      <c r="P410" t="n">
        <v>0</v>
      </c>
      <c r="Q410" t="n">
        <v>0</v>
      </c>
      <c r="R410" s="2" t="inlineStr"/>
    </row>
    <row r="411" ht="15" customHeight="1">
      <c r="A411" t="inlineStr">
        <is>
          <t>A 53561-2025</t>
        </is>
      </c>
      <c r="B411" s="1" t="n">
        <v>45960.4059375</v>
      </c>
      <c r="C411" s="1" t="n">
        <v>46122</v>
      </c>
      <c r="D411" t="inlineStr">
        <is>
          <t>GOTLANDS LÄN</t>
        </is>
      </c>
      <c r="E411" t="inlineStr">
        <is>
          <t>GOTLAND</t>
        </is>
      </c>
      <c r="F411" t="inlineStr">
        <is>
          <t>Övriga Aktiebolag</t>
        </is>
      </c>
      <c r="G411" t="n">
        <v>2.4</v>
      </c>
      <c r="H411" t="n">
        <v>0</v>
      </c>
      <c r="I411" t="n">
        <v>0</v>
      </c>
      <c r="J411" t="n">
        <v>0</v>
      </c>
      <c r="K411" t="n">
        <v>0</v>
      </c>
      <c r="L411" t="n">
        <v>0</v>
      </c>
      <c r="M411" t="n">
        <v>0</v>
      </c>
      <c r="N411" t="n">
        <v>0</v>
      </c>
      <c r="O411" t="n">
        <v>0</v>
      </c>
      <c r="P411" t="n">
        <v>0</v>
      </c>
      <c r="Q411" t="n">
        <v>0</v>
      </c>
      <c r="R411" s="2" t="inlineStr"/>
    </row>
    <row r="412" ht="15" customHeight="1">
      <c r="A412" t="inlineStr">
        <is>
          <t>A 49693-2023</t>
        </is>
      </c>
      <c r="B412" s="1" t="n">
        <v>45212.38138888889</v>
      </c>
      <c r="C412" s="1" t="n">
        <v>46122</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49697-2023</t>
        </is>
      </c>
      <c r="B413" s="1" t="n">
        <v>45212.38909722222</v>
      </c>
      <c r="C413" s="1" t="n">
        <v>46122</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62751-2025</t>
        </is>
      </c>
      <c r="B414" s="1" t="n">
        <v>46008</v>
      </c>
      <c r="C414" s="1" t="n">
        <v>46122</v>
      </c>
      <c r="D414" t="inlineStr">
        <is>
          <t>GOTLANDS LÄN</t>
        </is>
      </c>
      <c r="E414" t="inlineStr">
        <is>
          <t>GOTLAND</t>
        </is>
      </c>
      <c r="F414" t="inlineStr">
        <is>
          <t>Övriga Aktiebolag</t>
        </is>
      </c>
      <c r="G414" t="n">
        <v>7.8</v>
      </c>
      <c r="H414" t="n">
        <v>0</v>
      </c>
      <c r="I414" t="n">
        <v>0</v>
      </c>
      <c r="J414" t="n">
        <v>0</v>
      </c>
      <c r="K414" t="n">
        <v>0</v>
      </c>
      <c r="L414" t="n">
        <v>0</v>
      </c>
      <c r="M414" t="n">
        <v>0</v>
      </c>
      <c r="N414" t="n">
        <v>0</v>
      </c>
      <c r="O414" t="n">
        <v>0</v>
      </c>
      <c r="P414" t="n">
        <v>0</v>
      </c>
      <c r="Q414" t="n">
        <v>0</v>
      </c>
      <c r="R414" s="2" t="inlineStr"/>
    </row>
    <row r="415" ht="15" customHeight="1">
      <c r="A415" t="inlineStr">
        <is>
          <t>A 17901-2023</t>
        </is>
      </c>
      <c r="B415" s="1" t="n">
        <v>45039</v>
      </c>
      <c r="C415" s="1" t="n">
        <v>46122</v>
      </c>
      <c r="D415" t="inlineStr">
        <is>
          <t>GOTLANDS LÄN</t>
        </is>
      </c>
      <c r="E415" t="inlineStr">
        <is>
          <t>GOTLAND</t>
        </is>
      </c>
      <c r="F415" t="inlineStr">
        <is>
          <t>Kyrkan</t>
        </is>
      </c>
      <c r="G415" t="n">
        <v>0.6</v>
      </c>
      <c r="H415" t="n">
        <v>0</v>
      </c>
      <c r="I415" t="n">
        <v>0</v>
      </c>
      <c r="J415" t="n">
        <v>0</v>
      </c>
      <c r="K415" t="n">
        <v>0</v>
      </c>
      <c r="L415" t="n">
        <v>0</v>
      </c>
      <c r="M415" t="n">
        <v>0</v>
      </c>
      <c r="N415" t="n">
        <v>0</v>
      </c>
      <c r="O415" t="n">
        <v>0</v>
      </c>
      <c r="P415" t="n">
        <v>0</v>
      </c>
      <c r="Q415" t="n">
        <v>0</v>
      </c>
      <c r="R415" s="2" t="inlineStr"/>
    </row>
    <row r="416" ht="15" customHeight="1">
      <c r="A416" t="inlineStr">
        <is>
          <t>A 62754-2025</t>
        </is>
      </c>
      <c r="B416" s="1" t="n">
        <v>46008</v>
      </c>
      <c r="C416" s="1" t="n">
        <v>46122</v>
      </c>
      <c r="D416" t="inlineStr">
        <is>
          <t>GOTLANDS LÄN</t>
        </is>
      </c>
      <c r="E416" t="inlineStr">
        <is>
          <t>GOTLAND</t>
        </is>
      </c>
      <c r="F416" t="inlineStr">
        <is>
          <t>Övriga Aktiebolag</t>
        </is>
      </c>
      <c r="G416" t="n">
        <v>2.9</v>
      </c>
      <c r="H416" t="n">
        <v>0</v>
      </c>
      <c r="I416" t="n">
        <v>0</v>
      </c>
      <c r="J416" t="n">
        <v>0</v>
      </c>
      <c r="K416" t="n">
        <v>0</v>
      </c>
      <c r="L416" t="n">
        <v>0</v>
      </c>
      <c r="M416" t="n">
        <v>0</v>
      </c>
      <c r="N416" t="n">
        <v>0</v>
      </c>
      <c r="O416" t="n">
        <v>0</v>
      </c>
      <c r="P416" t="n">
        <v>0</v>
      </c>
      <c r="Q416" t="n">
        <v>0</v>
      </c>
      <c r="R416" s="2" t="inlineStr"/>
    </row>
    <row r="417" ht="15" customHeight="1">
      <c r="A417" t="inlineStr">
        <is>
          <t>A 53587-2025</t>
        </is>
      </c>
      <c r="B417" s="1" t="n">
        <v>45960.43681712963</v>
      </c>
      <c r="C417" s="1" t="n">
        <v>46122</v>
      </c>
      <c r="D417" t="inlineStr">
        <is>
          <t>GOTLANDS LÄN</t>
        </is>
      </c>
      <c r="E417" t="inlineStr">
        <is>
          <t>GOTLAND</t>
        </is>
      </c>
      <c r="F417" t="inlineStr">
        <is>
          <t>Övriga Aktiebolag</t>
        </is>
      </c>
      <c r="G417" t="n">
        <v>1.7</v>
      </c>
      <c r="H417" t="n">
        <v>0</v>
      </c>
      <c r="I417" t="n">
        <v>0</v>
      </c>
      <c r="J417" t="n">
        <v>0</v>
      </c>
      <c r="K417" t="n">
        <v>0</v>
      </c>
      <c r="L417" t="n">
        <v>0</v>
      </c>
      <c r="M417" t="n">
        <v>0</v>
      </c>
      <c r="N417" t="n">
        <v>0</v>
      </c>
      <c r="O417" t="n">
        <v>0</v>
      </c>
      <c r="P417" t="n">
        <v>0</v>
      </c>
      <c r="Q417" t="n">
        <v>0</v>
      </c>
      <c r="R417" s="2" t="inlineStr"/>
    </row>
    <row r="418" ht="15" customHeight="1">
      <c r="A418" t="inlineStr">
        <is>
          <t>A 56799-2025</t>
        </is>
      </c>
      <c r="B418" s="1" t="n">
        <v>45978.43392361111</v>
      </c>
      <c r="C418" s="1" t="n">
        <v>46122</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52892-2021</t>
        </is>
      </c>
      <c r="B419" s="1" t="n">
        <v>44467.49048611111</v>
      </c>
      <c r="C419" s="1" t="n">
        <v>46122</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9504-2026</t>
        </is>
      </c>
      <c r="B420" s="1" t="n">
        <v>46071.57730324074</v>
      </c>
      <c r="C420" s="1" t="n">
        <v>46122</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9518-2026</t>
        </is>
      </c>
      <c r="B421" s="1" t="n">
        <v>46071.59653935185</v>
      </c>
      <c r="C421" s="1" t="n">
        <v>46122</v>
      </c>
      <c r="D421" t="inlineStr">
        <is>
          <t>GOTLANDS LÄN</t>
        </is>
      </c>
      <c r="E421" t="inlineStr">
        <is>
          <t>GOTLAND</t>
        </is>
      </c>
      <c r="G421" t="n">
        <v>6.2</v>
      </c>
      <c r="H421" t="n">
        <v>0</v>
      </c>
      <c r="I421" t="n">
        <v>0</v>
      </c>
      <c r="J421" t="n">
        <v>0</v>
      </c>
      <c r="K421" t="n">
        <v>0</v>
      </c>
      <c r="L421" t="n">
        <v>0</v>
      </c>
      <c r="M421" t="n">
        <v>0</v>
      </c>
      <c r="N421" t="n">
        <v>0</v>
      </c>
      <c r="O421" t="n">
        <v>0</v>
      </c>
      <c r="P421" t="n">
        <v>0</v>
      </c>
      <c r="Q421" t="n">
        <v>0</v>
      </c>
      <c r="R421" s="2" t="inlineStr"/>
    </row>
    <row r="422" ht="15" customHeight="1">
      <c r="A422" t="inlineStr">
        <is>
          <t>A 9519-2026</t>
        </is>
      </c>
      <c r="B422" s="1" t="n">
        <v>46071.59820601852</v>
      </c>
      <c r="C422" s="1" t="n">
        <v>46122</v>
      </c>
      <c r="D422" t="inlineStr">
        <is>
          <t>GOTLANDS LÄN</t>
        </is>
      </c>
      <c r="E422" t="inlineStr">
        <is>
          <t>GOTLAND</t>
        </is>
      </c>
      <c r="G422" t="n">
        <v>4</v>
      </c>
      <c r="H422" t="n">
        <v>0</v>
      </c>
      <c r="I422" t="n">
        <v>0</v>
      </c>
      <c r="J422" t="n">
        <v>0</v>
      </c>
      <c r="K422" t="n">
        <v>0</v>
      </c>
      <c r="L422" t="n">
        <v>0</v>
      </c>
      <c r="M422" t="n">
        <v>0</v>
      </c>
      <c r="N422" t="n">
        <v>0</v>
      </c>
      <c r="O422" t="n">
        <v>0</v>
      </c>
      <c r="P422" t="n">
        <v>0</v>
      </c>
      <c r="Q422" t="n">
        <v>0</v>
      </c>
      <c r="R422" s="2" t="inlineStr"/>
    </row>
    <row r="423" ht="15" customHeight="1">
      <c r="A423" t="inlineStr">
        <is>
          <t>A 9540-2026</t>
        </is>
      </c>
      <c r="B423" s="1" t="n">
        <v>46071.61961805556</v>
      </c>
      <c r="C423" s="1" t="n">
        <v>46122</v>
      </c>
      <c r="D423" t="inlineStr">
        <is>
          <t>GOTLANDS LÄN</t>
        </is>
      </c>
      <c r="E423" t="inlineStr">
        <is>
          <t>GOTLAND</t>
        </is>
      </c>
      <c r="G423" t="n">
        <v>2.8</v>
      </c>
      <c r="H423" t="n">
        <v>0</v>
      </c>
      <c r="I423" t="n">
        <v>0</v>
      </c>
      <c r="J423" t="n">
        <v>0</v>
      </c>
      <c r="K423" t="n">
        <v>0</v>
      </c>
      <c r="L423" t="n">
        <v>0</v>
      </c>
      <c r="M423" t="n">
        <v>0</v>
      </c>
      <c r="N423" t="n">
        <v>0</v>
      </c>
      <c r="O423" t="n">
        <v>0</v>
      </c>
      <c r="P423" t="n">
        <v>0</v>
      </c>
      <c r="Q423" t="n">
        <v>0</v>
      </c>
      <c r="R423" s="2" t="inlineStr"/>
    </row>
    <row r="424" ht="15" customHeight="1">
      <c r="A424" t="inlineStr">
        <is>
          <t>A 9521-2026</t>
        </is>
      </c>
      <c r="B424" s="1" t="n">
        <v>46071.59969907408</v>
      </c>
      <c r="C424" s="1" t="n">
        <v>46122</v>
      </c>
      <c r="D424" t="inlineStr">
        <is>
          <t>GOTLANDS LÄN</t>
        </is>
      </c>
      <c r="E424" t="inlineStr">
        <is>
          <t>GOTLAND</t>
        </is>
      </c>
      <c r="G424" t="n">
        <v>3.9</v>
      </c>
      <c r="H424" t="n">
        <v>0</v>
      </c>
      <c r="I424" t="n">
        <v>0</v>
      </c>
      <c r="J424" t="n">
        <v>0</v>
      </c>
      <c r="K424" t="n">
        <v>0</v>
      </c>
      <c r="L424" t="n">
        <v>0</v>
      </c>
      <c r="M424" t="n">
        <v>0</v>
      </c>
      <c r="N424" t="n">
        <v>0</v>
      </c>
      <c r="O424" t="n">
        <v>0</v>
      </c>
      <c r="P424" t="n">
        <v>0</v>
      </c>
      <c r="Q424" t="n">
        <v>0</v>
      </c>
      <c r="R424" s="2" t="inlineStr"/>
    </row>
    <row r="425" ht="15" customHeight="1">
      <c r="A425" t="inlineStr">
        <is>
          <t>A 9524-2026</t>
        </is>
      </c>
      <c r="B425" s="1" t="n">
        <v>46071.60108796296</v>
      </c>
      <c r="C425" s="1" t="n">
        <v>46122</v>
      </c>
      <c r="D425" t="inlineStr">
        <is>
          <t>GOTLANDS LÄN</t>
        </is>
      </c>
      <c r="E425" t="inlineStr">
        <is>
          <t>GOTLAND</t>
        </is>
      </c>
      <c r="G425" t="n">
        <v>2.5</v>
      </c>
      <c r="H425" t="n">
        <v>0</v>
      </c>
      <c r="I425" t="n">
        <v>0</v>
      </c>
      <c r="J425" t="n">
        <v>0</v>
      </c>
      <c r="K425" t="n">
        <v>0</v>
      </c>
      <c r="L425" t="n">
        <v>0</v>
      </c>
      <c r="M425" t="n">
        <v>0</v>
      </c>
      <c r="N425" t="n">
        <v>0</v>
      </c>
      <c r="O425" t="n">
        <v>0</v>
      </c>
      <c r="P425" t="n">
        <v>0</v>
      </c>
      <c r="Q425" t="n">
        <v>0</v>
      </c>
      <c r="R425" s="2" t="inlineStr"/>
    </row>
    <row r="426" ht="15" customHeight="1">
      <c r="A426" t="inlineStr">
        <is>
          <t>A 9543-2026</t>
        </is>
      </c>
      <c r="B426" s="1" t="n">
        <v>46071.62486111111</v>
      </c>
      <c r="C426" s="1" t="n">
        <v>46122</v>
      </c>
      <c r="D426" t="inlineStr">
        <is>
          <t>GOTLANDS LÄN</t>
        </is>
      </c>
      <c r="E426" t="inlineStr">
        <is>
          <t>GOTLAND</t>
        </is>
      </c>
      <c r="G426" t="n">
        <v>2.6</v>
      </c>
      <c r="H426" t="n">
        <v>0</v>
      </c>
      <c r="I426" t="n">
        <v>0</v>
      </c>
      <c r="J426" t="n">
        <v>0</v>
      </c>
      <c r="K426" t="n">
        <v>0</v>
      </c>
      <c r="L426" t="n">
        <v>0</v>
      </c>
      <c r="M426" t="n">
        <v>0</v>
      </c>
      <c r="N426" t="n">
        <v>0</v>
      </c>
      <c r="O426" t="n">
        <v>0</v>
      </c>
      <c r="P426" t="n">
        <v>0</v>
      </c>
      <c r="Q426" t="n">
        <v>0</v>
      </c>
      <c r="R426" s="2" t="inlineStr"/>
    </row>
    <row r="427" ht="15" customHeight="1">
      <c r="A427" t="inlineStr">
        <is>
          <t>A 46396-2023</t>
        </is>
      </c>
      <c r="B427" s="1" t="n">
        <v>45197</v>
      </c>
      <c r="C427" s="1" t="n">
        <v>46122</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16993-2026</t>
        </is>
      </c>
      <c r="B428" s="1" t="n">
        <v>46114.41918981481</v>
      </c>
      <c r="C428" s="1" t="n">
        <v>46122</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17000-2026</t>
        </is>
      </c>
      <c r="B429" s="1" t="n">
        <v>46114.42690972222</v>
      </c>
      <c r="C429" s="1" t="n">
        <v>46122</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17724-2024</t>
        </is>
      </c>
      <c r="B430" s="1" t="n">
        <v>45418.55096064815</v>
      </c>
      <c r="C430" s="1" t="n">
        <v>46122</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34312-2024</t>
        </is>
      </c>
      <c r="B431" s="1" t="n">
        <v>45524.69703703704</v>
      </c>
      <c r="C431" s="1" t="n">
        <v>46122</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63152-2025</t>
        </is>
      </c>
      <c r="B432" s="1" t="n">
        <v>46010</v>
      </c>
      <c r="C432" s="1" t="n">
        <v>46122</v>
      </c>
      <c r="D432" t="inlineStr">
        <is>
          <t>GOTLANDS LÄN</t>
        </is>
      </c>
      <c r="E432" t="inlineStr">
        <is>
          <t>GOTLAND</t>
        </is>
      </c>
      <c r="G432" t="n">
        <v>1.5</v>
      </c>
      <c r="H432" t="n">
        <v>0</v>
      </c>
      <c r="I432" t="n">
        <v>0</v>
      </c>
      <c r="J432" t="n">
        <v>0</v>
      </c>
      <c r="K432" t="n">
        <v>0</v>
      </c>
      <c r="L432" t="n">
        <v>0</v>
      </c>
      <c r="M432" t="n">
        <v>0</v>
      </c>
      <c r="N432" t="n">
        <v>0</v>
      </c>
      <c r="O432" t="n">
        <v>0</v>
      </c>
      <c r="P432" t="n">
        <v>0</v>
      </c>
      <c r="Q432" t="n">
        <v>0</v>
      </c>
      <c r="R432" s="2" t="inlineStr"/>
    </row>
    <row r="433" ht="15" customHeight="1">
      <c r="A433" t="inlineStr">
        <is>
          <t>A 26457-2025</t>
        </is>
      </c>
      <c r="B433" s="1" t="n">
        <v>45807.42773148148</v>
      </c>
      <c r="C433" s="1" t="n">
        <v>46122</v>
      </c>
      <c r="D433" t="inlineStr">
        <is>
          <t>GOTLANDS LÄN</t>
        </is>
      </c>
      <c r="E433" t="inlineStr">
        <is>
          <t>GOTLAND</t>
        </is>
      </c>
      <c r="G433" t="n">
        <v>5.7</v>
      </c>
      <c r="H433" t="n">
        <v>0</v>
      </c>
      <c r="I433" t="n">
        <v>0</v>
      </c>
      <c r="J433" t="n">
        <v>0</v>
      </c>
      <c r="K433" t="n">
        <v>0</v>
      </c>
      <c r="L433" t="n">
        <v>0</v>
      </c>
      <c r="M433" t="n">
        <v>0</v>
      </c>
      <c r="N433" t="n">
        <v>0</v>
      </c>
      <c r="O433" t="n">
        <v>0</v>
      </c>
      <c r="P433" t="n">
        <v>0</v>
      </c>
      <c r="Q433" t="n">
        <v>0</v>
      </c>
      <c r="R433" s="2" t="inlineStr"/>
    </row>
    <row r="434" ht="15" customHeight="1">
      <c r="A434" t="inlineStr">
        <is>
          <t>A 26467-2025</t>
        </is>
      </c>
      <c r="B434" s="1" t="n">
        <v>45807.44640046296</v>
      </c>
      <c r="C434" s="1" t="n">
        <v>46122</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10486-2026</t>
        </is>
      </c>
      <c r="B435" s="1" t="n">
        <v>46077.51425925926</v>
      </c>
      <c r="C435" s="1" t="n">
        <v>46122</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26465-2025</t>
        </is>
      </c>
      <c r="B436" s="1" t="n">
        <v>45807.44377314814</v>
      </c>
      <c r="C436" s="1" t="n">
        <v>46122</v>
      </c>
      <c r="D436" t="inlineStr">
        <is>
          <t>GOTLANDS LÄN</t>
        </is>
      </c>
      <c r="E436" t="inlineStr">
        <is>
          <t>GOTLAND</t>
        </is>
      </c>
      <c r="G436" t="n">
        <v>4.5</v>
      </c>
      <c r="H436" t="n">
        <v>0</v>
      </c>
      <c r="I436" t="n">
        <v>0</v>
      </c>
      <c r="J436" t="n">
        <v>0</v>
      </c>
      <c r="K436" t="n">
        <v>0</v>
      </c>
      <c r="L436" t="n">
        <v>0</v>
      </c>
      <c r="M436" t="n">
        <v>0</v>
      </c>
      <c r="N436" t="n">
        <v>0</v>
      </c>
      <c r="O436" t="n">
        <v>0</v>
      </c>
      <c r="P436" t="n">
        <v>0</v>
      </c>
      <c r="Q436" t="n">
        <v>0</v>
      </c>
      <c r="R436" s="2" t="inlineStr"/>
    </row>
    <row r="437" ht="15" customHeight="1">
      <c r="A437" t="inlineStr">
        <is>
          <t>A 9901-2026</t>
        </is>
      </c>
      <c r="B437" s="1" t="n">
        <v>46073.40391203704</v>
      </c>
      <c r="C437" s="1" t="n">
        <v>46122</v>
      </c>
      <c r="D437" t="inlineStr">
        <is>
          <t>GOTLANDS LÄN</t>
        </is>
      </c>
      <c r="E437" t="inlineStr">
        <is>
          <t>GOTLAND</t>
        </is>
      </c>
      <c r="F437" t="inlineStr">
        <is>
          <t>Kyrkan</t>
        </is>
      </c>
      <c r="G437" t="n">
        <v>0.9</v>
      </c>
      <c r="H437" t="n">
        <v>0</v>
      </c>
      <c r="I437" t="n">
        <v>0</v>
      </c>
      <c r="J437" t="n">
        <v>0</v>
      </c>
      <c r="K437" t="n">
        <v>0</v>
      </c>
      <c r="L437" t="n">
        <v>0</v>
      </c>
      <c r="M437" t="n">
        <v>0</v>
      </c>
      <c r="N437" t="n">
        <v>0</v>
      </c>
      <c r="O437" t="n">
        <v>0</v>
      </c>
      <c r="P437" t="n">
        <v>0</v>
      </c>
      <c r="Q437" t="n">
        <v>0</v>
      </c>
      <c r="R437" s="2" t="inlineStr"/>
    </row>
    <row r="438" ht="15" customHeight="1">
      <c r="A438" t="inlineStr">
        <is>
          <t>A 17328-2026</t>
        </is>
      </c>
      <c r="B438" s="1" t="n">
        <v>46119.61216435185</v>
      </c>
      <c r="C438" s="1" t="n">
        <v>46122</v>
      </c>
      <c r="D438" t="inlineStr">
        <is>
          <t>GOTLANDS LÄN</t>
        </is>
      </c>
      <c r="E438" t="inlineStr">
        <is>
          <t>GOTLAND</t>
        </is>
      </c>
      <c r="F438" t="inlineStr">
        <is>
          <t>Kyrkan</t>
        </is>
      </c>
      <c r="G438" t="n">
        <v>4</v>
      </c>
      <c r="H438" t="n">
        <v>0</v>
      </c>
      <c r="I438" t="n">
        <v>0</v>
      </c>
      <c r="J438" t="n">
        <v>0</v>
      </c>
      <c r="K438" t="n">
        <v>0</v>
      </c>
      <c r="L438" t="n">
        <v>0</v>
      </c>
      <c r="M438" t="n">
        <v>0</v>
      </c>
      <c r="N438" t="n">
        <v>0</v>
      </c>
      <c r="O438" t="n">
        <v>0</v>
      </c>
      <c r="P438" t="n">
        <v>0</v>
      </c>
      <c r="Q438" t="n">
        <v>0</v>
      </c>
      <c r="R438" s="2" t="inlineStr"/>
    </row>
    <row r="439" ht="15" customHeight="1">
      <c r="A439" t="inlineStr">
        <is>
          <t>A 10284-2026</t>
        </is>
      </c>
      <c r="B439" s="1" t="n">
        <v>46076</v>
      </c>
      <c r="C439" s="1" t="n">
        <v>46122</v>
      </c>
      <c r="D439" t="inlineStr">
        <is>
          <t>GOTLANDS LÄN</t>
        </is>
      </c>
      <c r="E439" t="inlineStr">
        <is>
          <t>GOTLAND</t>
        </is>
      </c>
      <c r="G439" t="n">
        <v>5.2</v>
      </c>
      <c r="H439" t="n">
        <v>0</v>
      </c>
      <c r="I439" t="n">
        <v>0</v>
      </c>
      <c r="J439" t="n">
        <v>0</v>
      </c>
      <c r="K439" t="n">
        <v>0</v>
      </c>
      <c r="L439" t="n">
        <v>0</v>
      </c>
      <c r="M439" t="n">
        <v>0</v>
      </c>
      <c r="N439" t="n">
        <v>0</v>
      </c>
      <c r="O439" t="n">
        <v>0</v>
      </c>
      <c r="P439" t="n">
        <v>0</v>
      </c>
      <c r="Q439" t="n">
        <v>0</v>
      </c>
      <c r="R439" s="2" t="inlineStr"/>
    </row>
    <row r="440" ht="15" customHeight="1">
      <c r="A440" t="inlineStr">
        <is>
          <t>A 26660-2025</t>
        </is>
      </c>
      <c r="B440" s="1" t="n">
        <v>45810.39737268518</v>
      </c>
      <c r="C440" s="1" t="n">
        <v>46122</v>
      </c>
      <c r="D440" t="inlineStr">
        <is>
          <t>GOTLANDS LÄN</t>
        </is>
      </c>
      <c r="E440" t="inlineStr">
        <is>
          <t>GOTLAND</t>
        </is>
      </c>
      <c r="G440" t="n">
        <v>1.8</v>
      </c>
      <c r="H440" t="n">
        <v>0</v>
      </c>
      <c r="I440" t="n">
        <v>0</v>
      </c>
      <c r="J440" t="n">
        <v>0</v>
      </c>
      <c r="K440" t="n">
        <v>0</v>
      </c>
      <c r="L440" t="n">
        <v>0</v>
      </c>
      <c r="M440" t="n">
        <v>0</v>
      </c>
      <c r="N440" t="n">
        <v>0</v>
      </c>
      <c r="O440" t="n">
        <v>0</v>
      </c>
      <c r="P440" t="n">
        <v>0</v>
      </c>
      <c r="Q440" t="n">
        <v>0</v>
      </c>
      <c r="R440" s="2" t="inlineStr"/>
    </row>
    <row r="441" ht="15" customHeight="1">
      <c r="A441" t="inlineStr">
        <is>
          <t>A 69112-2021</t>
        </is>
      </c>
      <c r="B441" s="1" t="n">
        <v>44530</v>
      </c>
      <c r="C441" s="1" t="n">
        <v>46122</v>
      </c>
      <c r="D441" t="inlineStr">
        <is>
          <t>GOTLANDS LÄN</t>
        </is>
      </c>
      <c r="E441" t="inlineStr">
        <is>
          <t>GOTLAND</t>
        </is>
      </c>
      <c r="G441" t="n">
        <v>4.2</v>
      </c>
      <c r="H441" t="n">
        <v>0</v>
      </c>
      <c r="I441" t="n">
        <v>0</v>
      </c>
      <c r="J441" t="n">
        <v>0</v>
      </c>
      <c r="K441" t="n">
        <v>0</v>
      </c>
      <c r="L441" t="n">
        <v>0</v>
      </c>
      <c r="M441" t="n">
        <v>0</v>
      </c>
      <c r="N441" t="n">
        <v>0</v>
      </c>
      <c r="O441" t="n">
        <v>0</v>
      </c>
      <c r="P441" t="n">
        <v>0</v>
      </c>
      <c r="Q441" t="n">
        <v>0</v>
      </c>
      <c r="R441" s="2" t="inlineStr"/>
    </row>
    <row r="442" ht="15" customHeight="1">
      <c r="A442" t="inlineStr">
        <is>
          <t>A 60384-2025</t>
        </is>
      </c>
      <c r="B442" s="1" t="n">
        <v>45995</v>
      </c>
      <c r="C442" s="1" t="n">
        <v>46122</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7638-2025</t>
        </is>
      </c>
      <c r="B443" s="1" t="n">
        <v>45705.77306712963</v>
      </c>
      <c r="C443" s="1" t="n">
        <v>46122</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50482-2024</t>
        </is>
      </c>
      <c r="B444" s="1" t="n">
        <v>45601.48114583334</v>
      </c>
      <c r="C444" s="1" t="n">
        <v>46122</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1394-2023</t>
        </is>
      </c>
      <c r="B445" s="1" t="n">
        <v>44936.72997685185</v>
      </c>
      <c r="C445" s="1" t="n">
        <v>46122</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58230-2024</t>
        </is>
      </c>
      <c r="B446" s="1" t="n">
        <v>45632.51625</v>
      </c>
      <c r="C446" s="1" t="n">
        <v>46122</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1462-2025</t>
        </is>
      </c>
      <c r="B447" s="1" t="n">
        <v>45670.36319444444</v>
      </c>
      <c r="C447" s="1" t="n">
        <v>46122</v>
      </c>
      <c r="D447" t="inlineStr">
        <is>
          <t>GOTLANDS LÄN</t>
        </is>
      </c>
      <c r="E447" t="inlineStr">
        <is>
          <t>GOTLAND</t>
        </is>
      </c>
      <c r="G447" t="n">
        <v>2.8</v>
      </c>
      <c r="H447" t="n">
        <v>0</v>
      </c>
      <c r="I447" t="n">
        <v>0</v>
      </c>
      <c r="J447" t="n">
        <v>0</v>
      </c>
      <c r="K447" t="n">
        <v>0</v>
      </c>
      <c r="L447" t="n">
        <v>0</v>
      </c>
      <c r="M447" t="n">
        <v>0</v>
      </c>
      <c r="N447" t="n">
        <v>0</v>
      </c>
      <c r="O447" t="n">
        <v>0</v>
      </c>
      <c r="P447" t="n">
        <v>0</v>
      </c>
      <c r="Q447" t="n">
        <v>0</v>
      </c>
      <c r="R447" s="2" t="inlineStr"/>
    </row>
    <row r="448" ht="15" customHeight="1">
      <c r="A448" t="inlineStr">
        <is>
          <t>A 25129-2023</t>
        </is>
      </c>
      <c r="B448" s="1" t="n">
        <v>45086.44261574074</v>
      </c>
      <c r="C448" s="1" t="n">
        <v>46122</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24192-2023</t>
        </is>
      </c>
      <c r="B449" s="1" t="n">
        <v>45079</v>
      </c>
      <c r="C449" s="1" t="n">
        <v>46122</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27371-2025</t>
        </is>
      </c>
      <c r="B450" s="1" t="n">
        <v>45812</v>
      </c>
      <c r="C450" s="1" t="n">
        <v>46122</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27355-2025</t>
        </is>
      </c>
      <c r="B451" s="1" t="n">
        <v>45812</v>
      </c>
      <c r="C451" s="1" t="n">
        <v>46122</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6739-2025</t>
        </is>
      </c>
      <c r="B452" s="1" t="n">
        <v>45700</v>
      </c>
      <c r="C452" s="1" t="n">
        <v>46122</v>
      </c>
      <c r="D452" t="inlineStr">
        <is>
          <t>GOTLANDS LÄN</t>
        </is>
      </c>
      <c r="E452" t="inlineStr">
        <is>
          <t>GOTLAND</t>
        </is>
      </c>
      <c r="G452" t="n">
        <v>4.5</v>
      </c>
      <c r="H452" t="n">
        <v>0</v>
      </c>
      <c r="I452" t="n">
        <v>0</v>
      </c>
      <c r="J452" t="n">
        <v>0</v>
      </c>
      <c r="K452" t="n">
        <v>0</v>
      </c>
      <c r="L452" t="n">
        <v>0</v>
      </c>
      <c r="M452" t="n">
        <v>0</v>
      </c>
      <c r="N452" t="n">
        <v>0</v>
      </c>
      <c r="O452" t="n">
        <v>0</v>
      </c>
      <c r="P452" t="n">
        <v>0</v>
      </c>
      <c r="Q452" t="n">
        <v>0</v>
      </c>
      <c r="R452" s="2" t="inlineStr"/>
    </row>
    <row r="453" ht="15" customHeight="1">
      <c r="A453" t="inlineStr">
        <is>
          <t>A 7850-2025</t>
        </is>
      </c>
      <c r="B453" s="1" t="n">
        <v>45706</v>
      </c>
      <c r="C453" s="1" t="n">
        <v>46122</v>
      </c>
      <c r="D453" t="inlineStr">
        <is>
          <t>GOTLANDS LÄN</t>
        </is>
      </c>
      <c r="E453" t="inlineStr">
        <is>
          <t>GOTLAND</t>
        </is>
      </c>
      <c r="G453" t="n">
        <v>0.5</v>
      </c>
      <c r="H453" t="n">
        <v>0</v>
      </c>
      <c r="I453" t="n">
        <v>0</v>
      </c>
      <c r="J453" t="n">
        <v>0</v>
      </c>
      <c r="K453" t="n">
        <v>0</v>
      </c>
      <c r="L453" t="n">
        <v>0</v>
      </c>
      <c r="M453" t="n">
        <v>0</v>
      </c>
      <c r="N453" t="n">
        <v>0</v>
      </c>
      <c r="O453" t="n">
        <v>0</v>
      </c>
      <c r="P453" t="n">
        <v>0</v>
      </c>
      <c r="Q453" t="n">
        <v>0</v>
      </c>
      <c r="R453" s="2" t="inlineStr"/>
    </row>
    <row r="454" ht="15" customHeight="1">
      <c r="A454" t="inlineStr">
        <is>
          <t>A 5386-2023</t>
        </is>
      </c>
      <c r="B454" s="1" t="n">
        <v>44959</v>
      </c>
      <c r="C454" s="1" t="n">
        <v>46122</v>
      </c>
      <c r="D454" t="inlineStr">
        <is>
          <t>GOTLANDS LÄN</t>
        </is>
      </c>
      <c r="E454" t="inlineStr">
        <is>
          <t>GOTLAND</t>
        </is>
      </c>
      <c r="G454" t="n">
        <v>5.4</v>
      </c>
      <c r="H454" t="n">
        <v>0</v>
      </c>
      <c r="I454" t="n">
        <v>0</v>
      </c>
      <c r="J454" t="n">
        <v>0</v>
      </c>
      <c r="K454" t="n">
        <v>0</v>
      </c>
      <c r="L454" t="n">
        <v>0</v>
      </c>
      <c r="M454" t="n">
        <v>0</v>
      </c>
      <c r="N454" t="n">
        <v>0</v>
      </c>
      <c r="O454" t="n">
        <v>0</v>
      </c>
      <c r="P454" t="n">
        <v>0</v>
      </c>
      <c r="Q454" t="n">
        <v>0</v>
      </c>
      <c r="R454" s="2" t="inlineStr"/>
    </row>
    <row r="455" ht="15" customHeight="1">
      <c r="A455" t="inlineStr">
        <is>
          <t>A 7026-2023</t>
        </is>
      </c>
      <c r="B455" s="1" t="n">
        <v>44968.30340277778</v>
      </c>
      <c r="C455" s="1" t="n">
        <v>46122</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20855-2023</t>
        </is>
      </c>
      <c r="B456" s="1" t="n">
        <v>45058.82172453704</v>
      </c>
      <c r="C456" s="1" t="n">
        <v>46122</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8444-2025</t>
        </is>
      </c>
      <c r="B457" s="1" t="n">
        <v>45709</v>
      </c>
      <c r="C457" s="1" t="n">
        <v>46122</v>
      </c>
      <c r="D457" t="inlineStr">
        <is>
          <t>GOTLANDS LÄN</t>
        </is>
      </c>
      <c r="E457" t="inlineStr">
        <is>
          <t>GOTLAND</t>
        </is>
      </c>
      <c r="G457" t="n">
        <v>5.2</v>
      </c>
      <c r="H457" t="n">
        <v>0</v>
      </c>
      <c r="I457" t="n">
        <v>0</v>
      </c>
      <c r="J457" t="n">
        <v>0</v>
      </c>
      <c r="K457" t="n">
        <v>0</v>
      </c>
      <c r="L457" t="n">
        <v>0</v>
      </c>
      <c r="M457" t="n">
        <v>0</v>
      </c>
      <c r="N457" t="n">
        <v>0</v>
      </c>
      <c r="O457" t="n">
        <v>0</v>
      </c>
      <c r="P457" t="n">
        <v>0</v>
      </c>
      <c r="Q457" t="n">
        <v>0</v>
      </c>
      <c r="R457" s="2" t="inlineStr"/>
    </row>
    <row r="458" ht="15" customHeight="1">
      <c r="A458" t="inlineStr">
        <is>
          <t>A 1000-2024</t>
        </is>
      </c>
      <c r="B458" s="1" t="n">
        <v>45301.63371527778</v>
      </c>
      <c r="C458" s="1" t="n">
        <v>46122</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1010-2024</t>
        </is>
      </c>
      <c r="B459" s="1" t="n">
        <v>45301</v>
      </c>
      <c r="C459" s="1" t="n">
        <v>46122</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47762-2023</t>
        </is>
      </c>
      <c r="B460" s="1" t="n">
        <v>45203.86256944444</v>
      </c>
      <c r="C460" s="1" t="n">
        <v>46122</v>
      </c>
      <c r="D460" t="inlineStr">
        <is>
          <t>GOTLANDS LÄN</t>
        </is>
      </c>
      <c r="E460" t="inlineStr">
        <is>
          <t>GOTLAND</t>
        </is>
      </c>
      <c r="G460" t="n">
        <v>1.3</v>
      </c>
      <c r="H460" t="n">
        <v>0</v>
      </c>
      <c r="I460" t="n">
        <v>0</v>
      </c>
      <c r="J460" t="n">
        <v>0</v>
      </c>
      <c r="K460" t="n">
        <v>0</v>
      </c>
      <c r="L460" t="n">
        <v>0</v>
      </c>
      <c r="M460" t="n">
        <v>0</v>
      </c>
      <c r="N460" t="n">
        <v>0</v>
      </c>
      <c r="O460" t="n">
        <v>0</v>
      </c>
      <c r="P460" t="n">
        <v>0</v>
      </c>
      <c r="Q460" t="n">
        <v>0</v>
      </c>
      <c r="R460" s="2" t="inlineStr"/>
    </row>
    <row r="461" ht="15" customHeight="1">
      <c r="A461" t="inlineStr">
        <is>
          <t>A 19905-2025</t>
        </is>
      </c>
      <c r="B461" s="1" t="n">
        <v>45771</v>
      </c>
      <c r="C461" s="1" t="n">
        <v>46122</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46545-2024</t>
        </is>
      </c>
      <c r="B462" s="1" t="n">
        <v>45582.65831018519</v>
      </c>
      <c r="C462" s="1" t="n">
        <v>46122</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29196-2025</t>
        </is>
      </c>
      <c r="B463" s="1" t="n">
        <v>45822</v>
      </c>
      <c r="C463" s="1" t="n">
        <v>46122</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60086-2022</t>
        </is>
      </c>
      <c r="B464" s="1" t="n">
        <v>44909</v>
      </c>
      <c r="C464" s="1" t="n">
        <v>46122</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28480-2023</t>
        </is>
      </c>
      <c r="B465" s="1" t="n">
        <v>45103</v>
      </c>
      <c r="C465" s="1" t="n">
        <v>46122</v>
      </c>
      <c r="D465" t="inlineStr">
        <is>
          <t>GOTLANDS LÄN</t>
        </is>
      </c>
      <c r="E465" t="inlineStr">
        <is>
          <t>GOTLAND</t>
        </is>
      </c>
      <c r="G465" t="n">
        <v>5.7</v>
      </c>
      <c r="H465" t="n">
        <v>0</v>
      </c>
      <c r="I465" t="n">
        <v>0</v>
      </c>
      <c r="J465" t="n">
        <v>0</v>
      </c>
      <c r="K465" t="n">
        <v>0</v>
      </c>
      <c r="L465" t="n">
        <v>0</v>
      </c>
      <c r="M465" t="n">
        <v>0</v>
      </c>
      <c r="N465" t="n">
        <v>0</v>
      </c>
      <c r="O465" t="n">
        <v>0</v>
      </c>
      <c r="P465" t="n">
        <v>0</v>
      </c>
      <c r="Q465" t="n">
        <v>0</v>
      </c>
      <c r="R465" s="2" t="inlineStr"/>
    </row>
    <row r="466" ht="15" customHeight="1">
      <c r="A466" t="inlineStr">
        <is>
          <t>A 28485-2023</t>
        </is>
      </c>
      <c r="B466" s="1" t="n">
        <v>45103.43731481482</v>
      </c>
      <c r="C466" s="1" t="n">
        <v>46122</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29207-2025</t>
        </is>
      </c>
      <c r="B467" s="1" t="n">
        <v>45823</v>
      </c>
      <c r="C467" s="1" t="n">
        <v>46122</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62915-2021</t>
        </is>
      </c>
      <c r="B468" s="1" t="n">
        <v>44504</v>
      </c>
      <c r="C468" s="1" t="n">
        <v>46122</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44949-2023</t>
        </is>
      </c>
      <c r="B469" s="1" t="n">
        <v>45190.69520833333</v>
      </c>
      <c r="C469" s="1" t="n">
        <v>46122</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37222-2021</t>
        </is>
      </c>
      <c r="B470" s="1" t="n">
        <v>44396</v>
      </c>
      <c r="C470" s="1" t="n">
        <v>46122</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30061-2025</t>
        </is>
      </c>
      <c r="B471" s="1" t="n">
        <v>45826.61488425926</v>
      </c>
      <c r="C471" s="1" t="n">
        <v>46122</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58160-2024</t>
        </is>
      </c>
      <c r="B472" s="1" t="n">
        <v>45632.44927083333</v>
      </c>
      <c r="C472" s="1" t="n">
        <v>46122</v>
      </c>
      <c r="D472" t="inlineStr">
        <is>
          <t>GOTLANDS LÄN</t>
        </is>
      </c>
      <c r="E472" t="inlineStr">
        <is>
          <t>GOTLAND</t>
        </is>
      </c>
      <c r="G472" t="n">
        <v>5.6</v>
      </c>
      <c r="H472" t="n">
        <v>0</v>
      </c>
      <c r="I472" t="n">
        <v>0</v>
      </c>
      <c r="J472" t="n">
        <v>0</v>
      </c>
      <c r="K472" t="n">
        <v>0</v>
      </c>
      <c r="L472" t="n">
        <v>0</v>
      </c>
      <c r="M472" t="n">
        <v>0</v>
      </c>
      <c r="N472" t="n">
        <v>0</v>
      </c>
      <c r="O472" t="n">
        <v>0</v>
      </c>
      <c r="P472" t="n">
        <v>0</v>
      </c>
      <c r="Q472" t="n">
        <v>0</v>
      </c>
      <c r="R472" s="2" t="inlineStr"/>
    </row>
    <row r="473" ht="15" customHeight="1">
      <c r="A473" t="inlineStr">
        <is>
          <t>A 3964-2024</t>
        </is>
      </c>
      <c r="B473" s="1" t="n">
        <v>45322</v>
      </c>
      <c r="C473" s="1" t="n">
        <v>46122</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45084-2024</t>
        </is>
      </c>
      <c r="B474" s="1" t="n">
        <v>45575</v>
      </c>
      <c r="C474" s="1" t="n">
        <v>46122</v>
      </c>
      <c r="D474" t="inlineStr">
        <is>
          <t>GOTLANDS LÄN</t>
        </is>
      </c>
      <c r="E474" t="inlineStr">
        <is>
          <t>GOTLAND</t>
        </is>
      </c>
      <c r="G474" t="n">
        <v>6.8</v>
      </c>
      <c r="H474" t="n">
        <v>0</v>
      </c>
      <c r="I474" t="n">
        <v>0</v>
      </c>
      <c r="J474" t="n">
        <v>0</v>
      </c>
      <c r="K474" t="n">
        <v>0</v>
      </c>
      <c r="L474" t="n">
        <v>0</v>
      </c>
      <c r="M474" t="n">
        <v>0</v>
      </c>
      <c r="N474" t="n">
        <v>0</v>
      </c>
      <c r="O474" t="n">
        <v>0</v>
      </c>
      <c r="P474" t="n">
        <v>0</v>
      </c>
      <c r="Q474" t="n">
        <v>0</v>
      </c>
      <c r="R474" s="2" t="inlineStr"/>
    </row>
    <row r="475" ht="15" customHeight="1">
      <c r="A475" t="inlineStr">
        <is>
          <t>A 5217-2023</t>
        </is>
      </c>
      <c r="B475" s="1" t="n">
        <v>44959.39582175926</v>
      </c>
      <c r="C475" s="1" t="n">
        <v>46122</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1677-2023</t>
        </is>
      </c>
      <c r="B476" s="1" t="n">
        <v>44938</v>
      </c>
      <c r="C476" s="1" t="n">
        <v>46122</v>
      </c>
      <c r="D476" t="inlineStr">
        <is>
          <t>GOTLANDS LÄN</t>
        </is>
      </c>
      <c r="E476" t="inlineStr">
        <is>
          <t>GOTLAND</t>
        </is>
      </c>
      <c r="G476" t="n">
        <v>1.6</v>
      </c>
      <c r="H476" t="n">
        <v>0</v>
      </c>
      <c r="I476" t="n">
        <v>0</v>
      </c>
      <c r="J476" t="n">
        <v>0</v>
      </c>
      <c r="K476" t="n">
        <v>0</v>
      </c>
      <c r="L476" t="n">
        <v>0</v>
      </c>
      <c r="M476" t="n">
        <v>0</v>
      </c>
      <c r="N476" t="n">
        <v>0</v>
      </c>
      <c r="O476" t="n">
        <v>0</v>
      </c>
      <c r="P476" t="n">
        <v>0</v>
      </c>
      <c r="Q476" t="n">
        <v>0</v>
      </c>
      <c r="R476" s="2" t="inlineStr"/>
    </row>
    <row r="477" ht="15" customHeight="1">
      <c r="A477" t="inlineStr">
        <is>
          <t>A 32379-2025</t>
        </is>
      </c>
      <c r="B477" s="1" t="n">
        <v>45837</v>
      </c>
      <c r="C477" s="1" t="n">
        <v>46122</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45244-2024</t>
        </is>
      </c>
      <c r="B478" s="1" t="n">
        <v>45576</v>
      </c>
      <c r="C478" s="1" t="n">
        <v>46122</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32467-2025</t>
        </is>
      </c>
      <c r="B479" s="1" t="n">
        <v>45838.42111111111</v>
      </c>
      <c r="C479" s="1" t="n">
        <v>46122</v>
      </c>
      <c r="D479" t="inlineStr">
        <is>
          <t>GOTLANDS LÄN</t>
        </is>
      </c>
      <c r="E479" t="inlineStr">
        <is>
          <t>GOTLAND</t>
        </is>
      </c>
      <c r="G479" t="n">
        <v>4.3</v>
      </c>
      <c r="H479" t="n">
        <v>0</v>
      </c>
      <c r="I479" t="n">
        <v>0</v>
      </c>
      <c r="J479" t="n">
        <v>0</v>
      </c>
      <c r="K479" t="n">
        <v>0</v>
      </c>
      <c r="L479" t="n">
        <v>0</v>
      </c>
      <c r="M479" t="n">
        <v>0</v>
      </c>
      <c r="N479" t="n">
        <v>0</v>
      </c>
      <c r="O479" t="n">
        <v>0</v>
      </c>
      <c r="P479" t="n">
        <v>0</v>
      </c>
      <c r="Q479" t="n">
        <v>0</v>
      </c>
      <c r="R479" s="2" t="inlineStr"/>
    </row>
    <row r="480" ht="15" customHeight="1">
      <c r="A480" t="inlineStr">
        <is>
          <t>A 16109-2025</t>
        </is>
      </c>
      <c r="B480" s="1" t="n">
        <v>45750</v>
      </c>
      <c r="C480" s="1" t="n">
        <v>46122</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8260-2023</t>
        </is>
      </c>
      <c r="B481" s="1" t="n">
        <v>44974.61608796296</v>
      </c>
      <c r="C481" s="1" t="n">
        <v>46122</v>
      </c>
      <c r="D481" t="inlineStr">
        <is>
          <t>GOTLANDS LÄN</t>
        </is>
      </c>
      <c r="E481" t="inlineStr">
        <is>
          <t>GOTLAND</t>
        </is>
      </c>
      <c r="G481" t="n">
        <v>2.9</v>
      </c>
      <c r="H481" t="n">
        <v>0</v>
      </c>
      <c r="I481" t="n">
        <v>0</v>
      </c>
      <c r="J481" t="n">
        <v>0</v>
      </c>
      <c r="K481" t="n">
        <v>0</v>
      </c>
      <c r="L481" t="n">
        <v>0</v>
      </c>
      <c r="M481" t="n">
        <v>0</v>
      </c>
      <c r="N481" t="n">
        <v>0</v>
      </c>
      <c r="O481" t="n">
        <v>0</v>
      </c>
      <c r="P481" t="n">
        <v>0</v>
      </c>
      <c r="Q481" t="n">
        <v>0</v>
      </c>
      <c r="R481" s="2" t="inlineStr"/>
    </row>
    <row r="482" ht="15" customHeight="1">
      <c r="A482" t="inlineStr">
        <is>
          <t>A 64969-2023</t>
        </is>
      </c>
      <c r="B482" s="1" t="n">
        <v>45284.54009259259</v>
      </c>
      <c r="C482" s="1" t="n">
        <v>46122</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48843-2024</t>
        </is>
      </c>
      <c r="B483" s="1" t="n">
        <v>45593</v>
      </c>
      <c r="C483" s="1" t="n">
        <v>46122</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17541-2024</t>
        </is>
      </c>
      <c r="B484" s="1" t="n">
        <v>45415</v>
      </c>
      <c r="C484" s="1" t="n">
        <v>46122</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33007-2025</t>
        </is>
      </c>
      <c r="B485" s="1" t="n">
        <v>45840</v>
      </c>
      <c r="C485" s="1" t="n">
        <v>46122</v>
      </c>
      <c r="D485" t="inlineStr">
        <is>
          <t>GOTLANDS LÄN</t>
        </is>
      </c>
      <c r="E485" t="inlineStr">
        <is>
          <t>GOTLAND</t>
        </is>
      </c>
      <c r="G485" t="n">
        <v>4.9</v>
      </c>
      <c r="H485" t="n">
        <v>0</v>
      </c>
      <c r="I485" t="n">
        <v>0</v>
      </c>
      <c r="J485" t="n">
        <v>0</v>
      </c>
      <c r="K485" t="n">
        <v>0</v>
      </c>
      <c r="L485" t="n">
        <v>0</v>
      </c>
      <c r="M485" t="n">
        <v>0</v>
      </c>
      <c r="N485" t="n">
        <v>0</v>
      </c>
      <c r="O485" t="n">
        <v>0</v>
      </c>
      <c r="P485" t="n">
        <v>0</v>
      </c>
      <c r="Q485" t="n">
        <v>0</v>
      </c>
      <c r="R485" s="2" t="inlineStr"/>
    </row>
    <row r="486" ht="15" customHeight="1">
      <c r="A486" t="inlineStr">
        <is>
          <t>A 2241-2025</t>
        </is>
      </c>
      <c r="B486" s="1" t="n">
        <v>45673.48710648148</v>
      </c>
      <c r="C486" s="1" t="n">
        <v>46122</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15434-2024</t>
        </is>
      </c>
      <c r="B487" s="1" t="n">
        <v>45401.38836805556</v>
      </c>
      <c r="C487" s="1" t="n">
        <v>46122</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5943-2024</t>
        </is>
      </c>
      <c r="B488" s="1" t="n">
        <v>45336</v>
      </c>
      <c r="C488" s="1" t="n">
        <v>46122</v>
      </c>
      <c r="D488" t="inlineStr">
        <is>
          <t>GOTLANDS LÄN</t>
        </is>
      </c>
      <c r="E488" t="inlineStr">
        <is>
          <t>GOTLAND</t>
        </is>
      </c>
      <c r="G488" t="n">
        <v>4.3</v>
      </c>
      <c r="H488" t="n">
        <v>0</v>
      </c>
      <c r="I488" t="n">
        <v>0</v>
      </c>
      <c r="J488" t="n">
        <v>0</v>
      </c>
      <c r="K488" t="n">
        <v>0</v>
      </c>
      <c r="L488" t="n">
        <v>0</v>
      </c>
      <c r="M488" t="n">
        <v>0</v>
      </c>
      <c r="N488" t="n">
        <v>0</v>
      </c>
      <c r="O488" t="n">
        <v>0</v>
      </c>
      <c r="P488" t="n">
        <v>0</v>
      </c>
      <c r="Q488" t="n">
        <v>0</v>
      </c>
      <c r="R488" s="2" t="inlineStr"/>
    </row>
    <row r="489" ht="15" customHeight="1">
      <c r="A489" t="inlineStr">
        <is>
          <t>A 54073-2022</t>
        </is>
      </c>
      <c r="B489" s="1" t="n">
        <v>44881.50380787037</v>
      </c>
      <c r="C489" s="1" t="n">
        <v>46122</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16361-2024</t>
        </is>
      </c>
      <c r="B490" s="1" t="n">
        <v>45407</v>
      </c>
      <c r="C490" s="1" t="n">
        <v>46122</v>
      </c>
      <c r="D490" t="inlineStr">
        <is>
          <t>GOTLANDS LÄN</t>
        </is>
      </c>
      <c r="E490" t="inlineStr">
        <is>
          <t>GOTLAND</t>
        </is>
      </c>
      <c r="G490" t="n">
        <v>6</v>
      </c>
      <c r="H490" t="n">
        <v>0</v>
      </c>
      <c r="I490" t="n">
        <v>0</v>
      </c>
      <c r="J490" t="n">
        <v>0</v>
      </c>
      <c r="K490" t="n">
        <v>0</v>
      </c>
      <c r="L490" t="n">
        <v>0</v>
      </c>
      <c r="M490" t="n">
        <v>0</v>
      </c>
      <c r="N490" t="n">
        <v>0</v>
      </c>
      <c r="O490" t="n">
        <v>0</v>
      </c>
      <c r="P490" t="n">
        <v>0</v>
      </c>
      <c r="Q490" t="n">
        <v>0</v>
      </c>
      <c r="R490" s="2" t="inlineStr"/>
    </row>
    <row r="491" ht="15" customHeight="1">
      <c r="A491" t="inlineStr">
        <is>
          <t>A 41038-2023</t>
        </is>
      </c>
      <c r="B491" s="1" t="n">
        <v>45173.60959490741</v>
      </c>
      <c r="C491" s="1" t="n">
        <v>46122</v>
      </c>
      <c r="D491" t="inlineStr">
        <is>
          <t>GOTLANDS LÄN</t>
        </is>
      </c>
      <c r="E491" t="inlineStr">
        <is>
          <t>GOTLAND</t>
        </is>
      </c>
      <c r="G491" t="n">
        <v>2.7</v>
      </c>
      <c r="H491" t="n">
        <v>0</v>
      </c>
      <c r="I491" t="n">
        <v>0</v>
      </c>
      <c r="J491" t="n">
        <v>0</v>
      </c>
      <c r="K491" t="n">
        <v>0</v>
      </c>
      <c r="L491" t="n">
        <v>0</v>
      </c>
      <c r="M491" t="n">
        <v>0</v>
      </c>
      <c r="N491" t="n">
        <v>0</v>
      </c>
      <c r="O491" t="n">
        <v>0</v>
      </c>
      <c r="P491" t="n">
        <v>0</v>
      </c>
      <c r="Q491" t="n">
        <v>0</v>
      </c>
      <c r="R491" s="2" t="inlineStr"/>
    </row>
    <row r="492" ht="15" customHeight="1">
      <c r="A492" t="inlineStr">
        <is>
          <t>A 15413-2025</t>
        </is>
      </c>
      <c r="B492" s="1" t="n">
        <v>45747.451875</v>
      </c>
      <c r="C492" s="1" t="n">
        <v>46122</v>
      </c>
      <c r="D492" t="inlineStr">
        <is>
          <t>GOTLANDS LÄN</t>
        </is>
      </c>
      <c r="E492" t="inlineStr">
        <is>
          <t>GOTLAND</t>
        </is>
      </c>
      <c r="G492" t="n">
        <v>0.6</v>
      </c>
      <c r="H492" t="n">
        <v>0</v>
      </c>
      <c r="I492" t="n">
        <v>0</v>
      </c>
      <c r="J492" t="n">
        <v>0</v>
      </c>
      <c r="K492" t="n">
        <v>0</v>
      </c>
      <c r="L492" t="n">
        <v>0</v>
      </c>
      <c r="M492" t="n">
        <v>0</v>
      </c>
      <c r="N492" t="n">
        <v>0</v>
      </c>
      <c r="O492" t="n">
        <v>0</v>
      </c>
      <c r="P492" t="n">
        <v>0</v>
      </c>
      <c r="Q492" t="n">
        <v>0</v>
      </c>
      <c r="R492" s="2" t="inlineStr"/>
    </row>
    <row r="493" ht="15" customHeight="1">
      <c r="A493" t="inlineStr">
        <is>
          <t>A 35123-2025</t>
        </is>
      </c>
      <c r="B493" s="1" t="n">
        <v>45852.614375</v>
      </c>
      <c r="C493" s="1" t="n">
        <v>46122</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35096-2025</t>
        </is>
      </c>
      <c r="B494" s="1" t="n">
        <v>45852.54356481481</v>
      </c>
      <c r="C494" s="1" t="n">
        <v>46122</v>
      </c>
      <c r="D494" t="inlineStr">
        <is>
          <t>GOTLANDS LÄN</t>
        </is>
      </c>
      <c r="E494" t="inlineStr">
        <is>
          <t>GOTLAND</t>
        </is>
      </c>
      <c r="F494" t="inlineStr">
        <is>
          <t>Kyrkan</t>
        </is>
      </c>
      <c r="G494" t="n">
        <v>1</v>
      </c>
      <c r="H494" t="n">
        <v>0</v>
      </c>
      <c r="I494" t="n">
        <v>0</v>
      </c>
      <c r="J494" t="n">
        <v>0</v>
      </c>
      <c r="K494" t="n">
        <v>0</v>
      </c>
      <c r="L494" t="n">
        <v>0</v>
      </c>
      <c r="M494" t="n">
        <v>0</v>
      </c>
      <c r="N494" t="n">
        <v>0</v>
      </c>
      <c r="O494" t="n">
        <v>0</v>
      </c>
      <c r="P494" t="n">
        <v>0</v>
      </c>
      <c r="Q494" t="n">
        <v>0</v>
      </c>
      <c r="R494" s="2" t="inlineStr"/>
    </row>
    <row r="495" ht="15" customHeight="1">
      <c r="A495" t="inlineStr">
        <is>
          <t>A 14427-2024</t>
        </is>
      </c>
      <c r="B495" s="1" t="n">
        <v>45394</v>
      </c>
      <c r="C495" s="1" t="n">
        <v>46122</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30104-2025</t>
        </is>
      </c>
      <c r="B496" s="1" t="n">
        <v>45826.68806712963</v>
      </c>
      <c r="C496" s="1" t="n">
        <v>46122</v>
      </c>
      <c r="D496" t="inlineStr">
        <is>
          <t>GOTLANDS LÄN</t>
        </is>
      </c>
      <c r="E496" t="inlineStr">
        <is>
          <t>GOTLAND</t>
        </is>
      </c>
      <c r="G496" t="n">
        <v>15.4</v>
      </c>
      <c r="H496" t="n">
        <v>0</v>
      </c>
      <c r="I496" t="n">
        <v>0</v>
      </c>
      <c r="J496" t="n">
        <v>0</v>
      </c>
      <c r="K496" t="n">
        <v>0</v>
      </c>
      <c r="L496" t="n">
        <v>0</v>
      </c>
      <c r="M496" t="n">
        <v>0</v>
      </c>
      <c r="N496" t="n">
        <v>0</v>
      </c>
      <c r="O496" t="n">
        <v>0</v>
      </c>
      <c r="P496" t="n">
        <v>0</v>
      </c>
      <c r="Q496" t="n">
        <v>0</v>
      </c>
      <c r="R496" s="2" t="inlineStr"/>
    </row>
    <row r="497" ht="15" customHeight="1">
      <c r="A497" t="inlineStr">
        <is>
          <t>A 35290-2025</t>
        </is>
      </c>
      <c r="B497" s="1" t="n">
        <v>45854.38502314815</v>
      </c>
      <c r="C497" s="1" t="n">
        <v>46122</v>
      </c>
      <c r="D497" t="inlineStr">
        <is>
          <t>GOTLANDS LÄN</t>
        </is>
      </c>
      <c r="E497" t="inlineStr">
        <is>
          <t>GOTLAND</t>
        </is>
      </c>
      <c r="G497" t="n">
        <v>5.4</v>
      </c>
      <c r="H497" t="n">
        <v>0</v>
      </c>
      <c r="I497" t="n">
        <v>0</v>
      </c>
      <c r="J497" t="n">
        <v>0</v>
      </c>
      <c r="K497" t="n">
        <v>0</v>
      </c>
      <c r="L497" t="n">
        <v>0</v>
      </c>
      <c r="M497" t="n">
        <v>0</v>
      </c>
      <c r="N497" t="n">
        <v>0</v>
      </c>
      <c r="O497" t="n">
        <v>0</v>
      </c>
      <c r="P497" t="n">
        <v>0</v>
      </c>
      <c r="Q497" t="n">
        <v>0</v>
      </c>
      <c r="R497" s="2" t="inlineStr"/>
    </row>
    <row r="498" ht="15" customHeight="1">
      <c r="A498" t="inlineStr">
        <is>
          <t>A 32669-2024</t>
        </is>
      </c>
      <c r="B498" s="1" t="n">
        <v>45514</v>
      </c>
      <c r="C498" s="1" t="n">
        <v>46122</v>
      </c>
      <c r="D498" t="inlineStr">
        <is>
          <t>GOTLANDS LÄN</t>
        </is>
      </c>
      <c r="E498" t="inlineStr">
        <is>
          <t>GOTLAND</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31802-2024</t>
        </is>
      </c>
      <c r="B499" s="1" t="n">
        <v>45509</v>
      </c>
      <c r="C499" s="1" t="n">
        <v>46122</v>
      </c>
      <c r="D499" t="inlineStr">
        <is>
          <t>GOTLANDS LÄN</t>
        </is>
      </c>
      <c r="E499" t="inlineStr">
        <is>
          <t>GOTLAND</t>
        </is>
      </c>
      <c r="G499" t="n">
        <v>2.8</v>
      </c>
      <c r="H499" t="n">
        <v>0</v>
      </c>
      <c r="I499" t="n">
        <v>0</v>
      </c>
      <c r="J499" t="n">
        <v>0</v>
      </c>
      <c r="K499" t="n">
        <v>0</v>
      </c>
      <c r="L499" t="n">
        <v>0</v>
      </c>
      <c r="M499" t="n">
        <v>0</v>
      </c>
      <c r="N499" t="n">
        <v>0</v>
      </c>
      <c r="O499" t="n">
        <v>0</v>
      </c>
      <c r="P499" t="n">
        <v>0</v>
      </c>
      <c r="Q499" t="n">
        <v>0</v>
      </c>
      <c r="R499" s="2" t="inlineStr"/>
    </row>
    <row r="500" ht="15" customHeight="1">
      <c r="A500" t="inlineStr">
        <is>
          <t>A 35537-2025</t>
        </is>
      </c>
      <c r="B500" s="1" t="n">
        <v>45856</v>
      </c>
      <c r="C500" s="1" t="n">
        <v>46122</v>
      </c>
      <c r="D500" t="inlineStr">
        <is>
          <t>GOTLANDS LÄN</t>
        </is>
      </c>
      <c r="E500" t="inlineStr">
        <is>
          <t>GOTLAND</t>
        </is>
      </c>
      <c r="G500" t="n">
        <v>16.8</v>
      </c>
      <c r="H500" t="n">
        <v>0</v>
      </c>
      <c r="I500" t="n">
        <v>0</v>
      </c>
      <c r="J500" t="n">
        <v>0</v>
      </c>
      <c r="K500" t="n">
        <v>0</v>
      </c>
      <c r="L500" t="n">
        <v>0</v>
      </c>
      <c r="M500" t="n">
        <v>0</v>
      </c>
      <c r="N500" t="n">
        <v>0</v>
      </c>
      <c r="O500" t="n">
        <v>0</v>
      </c>
      <c r="P500" t="n">
        <v>0</v>
      </c>
      <c r="Q500" t="n">
        <v>0</v>
      </c>
      <c r="R500" s="2" t="inlineStr"/>
    </row>
    <row r="501" ht="15" customHeight="1">
      <c r="A501" t="inlineStr">
        <is>
          <t>A 8036-2022</t>
        </is>
      </c>
      <c r="B501" s="1" t="n">
        <v>44609.44362268518</v>
      </c>
      <c r="C501" s="1" t="n">
        <v>46122</v>
      </c>
      <c r="D501" t="inlineStr">
        <is>
          <t>GOTLANDS LÄN</t>
        </is>
      </c>
      <c r="E501" t="inlineStr">
        <is>
          <t>GOTLAND</t>
        </is>
      </c>
      <c r="G501" t="n">
        <v>6.1</v>
      </c>
      <c r="H501" t="n">
        <v>0</v>
      </c>
      <c r="I501" t="n">
        <v>0</v>
      </c>
      <c r="J501" t="n">
        <v>0</v>
      </c>
      <c r="K501" t="n">
        <v>0</v>
      </c>
      <c r="L501" t="n">
        <v>0</v>
      </c>
      <c r="M501" t="n">
        <v>0</v>
      </c>
      <c r="N501" t="n">
        <v>0</v>
      </c>
      <c r="O501" t="n">
        <v>0</v>
      </c>
      <c r="P501" t="n">
        <v>0</v>
      </c>
      <c r="Q501" t="n">
        <v>0</v>
      </c>
      <c r="R501" s="2" t="inlineStr"/>
    </row>
    <row r="502" ht="15" customHeight="1">
      <c r="A502" t="inlineStr">
        <is>
          <t>A 12846-2025</t>
        </is>
      </c>
      <c r="B502" s="1" t="n">
        <v>45733.65049768519</v>
      </c>
      <c r="C502" s="1" t="n">
        <v>46122</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15216-2025</t>
        </is>
      </c>
      <c r="B503" s="1" t="n">
        <v>45744</v>
      </c>
      <c r="C503" s="1" t="n">
        <v>46122</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43790-2024</t>
        </is>
      </c>
      <c r="B504" s="1" t="n">
        <v>45571</v>
      </c>
      <c r="C504" s="1" t="n">
        <v>46122</v>
      </c>
      <c r="D504" t="inlineStr">
        <is>
          <t>GOTLANDS LÄN</t>
        </is>
      </c>
      <c r="E504" t="inlineStr">
        <is>
          <t>GOTLAND</t>
        </is>
      </c>
      <c r="G504" t="n">
        <v>3.5</v>
      </c>
      <c r="H504" t="n">
        <v>0</v>
      </c>
      <c r="I504" t="n">
        <v>0</v>
      </c>
      <c r="J504" t="n">
        <v>0</v>
      </c>
      <c r="K504" t="n">
        <v>0</v>
      </c>
      <c r="L504" t="n">
        <v>0</v>
      </c>
      <c r="M504" t="n">
        <v>0</v>
      </c>
      <c r="N504" t="n">
        <v>0</v>
      </c>
      <c r="O504" t="n">
        <v>0</v>
      </c>
      <c r="P504" t="n">
        <v>0</v>
      </c>
      <c r="Q504" t="n">
        <v>0</v>
      </c>
      <c r="R504" s="2" t="inlineStr"/>
    </row>
    <row r="505" ht="15" customHeight="1">
      <c r="A505" t="inlineStr">
        <is>
          <t>A 15001-2025</t>
        </is>
      </c>
      <c r="B505" s="1" t="n">
        <v>45743</v>
      </c>
      <c r="C505" s="1" t="n">
        <v>46122</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46949-2024</t>
        </is>
      </c>
      <c r="B506" s="1" t="n">
        <v>45585</v>
      </c>
      <c r="C506" s="1" t="n">
        <v>46122</v>
      </c>
      <c r="D506" t="inlineStr">
        <is>
          <t>GOTLANDS LÄN</t>
        </is>
      </c>
      <c r="E506" t="inlineStr">
        <is>
          <t>GOTLAND</t>
        </is>
      </c>
      <c r="G506" t="n">
        <v>0.6</v>
      </c>
      <c r="H506" t="n">
        <v>0</v>
      </c>
      <c r="I506" t="n">
        <v>0</v>
      </c>
      <c r="J506" t="n">
        <v>0</v>
      </c>
      <c r="K506" t="n">
        <v>0</v>
      </c>
      <c r="L506" t="n">
        <v>0</v>
      </c>
      <c r="M506" t="n">
        <v>0</v>
      </c>
      <c r="N506" t="n">
        <v>0</v>
      </c>
      <c r="O506" t="n">
        <v>0</v>
      </c>
      <c r="P506" t="n">
        <v>0</v>
      </c>
      <c r="Q506" t="n">
        <v>0</v>
      </c>
      <c r="R506" s="2" t="inlineStr"/>
    </row>
    <row r="507" ht="15" customHeight="1">
      <c r="A507" t="inlineStr">
        <is>
          <t>A 30488-2025</t>
        </is>
      </c>
      <c r="B507" s="1" t="n">
        <v>45830</v>
      </c>
      <c r="C507" s="1" t="n">
        <v>46122</v>
      </c>
      <c r="D507" t="inlineStr">
        <is>
          <t>GOTLANDS LÄN</t>
        </is>
      </c>
      <c r="E507" t="inlineStr">
        <is>
          <t>GOTLAND</t>
        </is>
      </c>
      <c r="F507" t="inlineStr">
        <is>
          <t>Kyrkan</t>
        </is>
      </c>
      <c r="G507" t="n">
        <v>3.9</v>
      </c>
      <c r="H507" t="n">
        <v>0</v>
      </c>
      <c r="I507" t="n">
        <v>0</v>
      </c>
      <c r="J507" t="n">
        <v>0</v>
      </c>
      <c r="K507" t="n">
        <v>0</v>
      </c>
      <c r="L507" t="n">
        <v>0</v>
      </c>
      <c r="M507" t="n">
        <v>0</v>
      </c>
      <c r="N507" t="n">
        <v>0</v>
      </c>
      <c r="O507" t="n">
        <v>0</v>
      </c>
      <c r="P507" t="n">
        <v>0</v>
      </c>
      <c r="Q507" t="n">
        <v>0</v>
      </c>
      <c r="R507" s="2" t="inlineStr"/>
    </row>
    <row r="508" ht="15" customHeight="1">
      <c r="A508" t="inlineStr">
        <is>
          <t>A 17847-2025</t>
        </is>
      </c>
      <c r="B508" s="1" t="n">
        <v>45758</v>
      </c>
      <c r="C508" s="1" t="n">
        <v>46122</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18742-2025</t>
        </is>
      </c>
      <c r="B509" s="1" t="n">
        <v>45763</v>
      </c>
      <c r="C509" s="1" t="n">
        <v>46122</v>
      </c>
      <c r="D509" t="inlineStr">
        <is>
          <t>GOTLANDS LÄN</t>
        </is>
      </c>
      <c r="E509" t="inlineStr">
        <is>
          <t>GOTLAND</t>
        </is>
      </c>
      <c r="G509" t="n">
        <v>3.4</v>
      </c>
      <c r="H509" t="n">
        <v>0</v>
      </c>
      <c r="I509" t="n">
        <v>0</v>
      </c>
      <c r="J509" t="n">
        <v>0</v>
      </c>
      <c r="K509" t="n">
        <v>0</v>
      </c>
      <c r="L509" t="n">
        <v>0</v>
      </c>
      <c r="M509" t="n">
        <v>0</v>
      </c>
      <c r="N509" t="n">
        <v>0</v>
      </c>
      <c r="O509" t="n">
        <v>0</v>
      </c>
      <c r="P509" t="n">
        <v>0</v>
      </c>
      <c r="Q509" t="n">
        <v>0</v>
      </c>
      <c r="R509" s="2" t="inlineStr"/>
    </row>
    <row r="510" ht="15" customHeight="1">
      <c r="A510" t="inlineStr">
        <is>
          <t>A 10650-2022</t>
        </is>
      </c>
      <c r="B510" s="1" t="n">
        <v>44624.57945601852</v>
      </c>
      <c r="C510" s="1" t="n">
        <v>46122</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35129-2025</t>
        </is>
      </c>
      <c r="B511" s="1" t="n">
        <v>45852.63224537037</v>
      </c>
      <c r="C511" s="1" t="n">
        <v>46122</v>
      </c>
      <c r="D511" t="inlineStr">
        <is>
          <t>GOTLANDS LÄN</t>
        </is>
      </c>
      <c r="E511" t="inlineStr">
        <is>
          <t>GOTLAND</t>
        </is>
      </c>
      <c r="G511" t="n">
        <v>3.2</v>
      </c>
      <c r="H511" t="n">
        <v>0</v>
      </c>
      <c r="I511" t="n">
        <v>0</v>
      </c>
      <c r="J511" t="n">
        <v>0</v>
      </c>
      <c r="K511" t="n">
        <v>0</v>
      </c>
      <c r="L511" t="n">
        <v>0</v>
      </c>
      <c r="M511" t="n">
        <v>0</v>
      </c>
      <c r="N511" t="n">
        <v>0</v>
      </c>
      <c r="O511" t="n">
        <v>0</v>
      </c>
      <c r="P511" t="n">
        <v>0</v>
      </c>
      <c r="Q511" t="n">
        <v>0</v>
      </c>
      <c r="R511" s="2" t="inlineStr"/>
    </row>
    <row r="512" ht="15" customHeight="1">
      <c r="A512" t="inlineStr">
        <is>
          <t>A 11634-2024</t>
        </is>
      </c>
      <c r="B512" s="1" t="n">
        <v>45373</v>
      </c>
      <c r="C512" s="1" t="n">
        <v>46122</v>
      </c>
      <c r="D512" t="inlineStr">
        <is>
          <t>GOTLANDS LÄN</t>
        </is>
      </c>
      <c r="E512" t="inlineStr">
        <is>
          <t>GOTLAND</t>
        </is>
      </c>
      <c r="G512" t="n">
        <v>3</v>
      </c>
      <c r="H512" t="n">
        <v>0</v>
      </c>
      <c r="I512" t="n">
        <v>0</v>
      </c>
      <c r="J512" t="n">
        <v>0</v>
      </c>
      <c r="K512" t="n">
        <v>0</v>
      </c>
      <c r="L512" t="n">
        <v>0</v>
      </c>
      <c r="M512" t="n">
        <v>0</v>
      </c>
      <c r="N512" t="n">
        <v>0</v>
      </c>
      <c r="O512" t="n">
        <v>0</v>
      </c>
      <c r="P512" t="n">
        <v>0</v>
      </c>
      <c r="Q512" t="n">
        <v>0</v>
      </c>
      <c r="R512" s="2" t="inlineStr"/>
    </row>
    <row r="513" ht="15" customHeight="1">
      <c r="A513" t="inlineStr">
        <is>
          <t>A 1351-2025</t>
        </is>
      </c>
      <c r="B513" s="1" t="n">
        <v>45667.62246527777</v>
      </c>
      <c r="C513" s="1" t="n">
        <v>46122</v>
      </c>
      <c r="D513" t="inlineStr">
        <is>
          <t>GOTLANDS LÄN</t>
        </is>
      </c>
      <c r="E513" t="inlineStr">
        <is>
          <t>GOTLAND</t>
        </is>
      </c>
      <c r="G513" t="n">
        <v>1.3</v>
      </c>
      <c r="H513" t="n">
        <v>0</v>
      </c>
      <c r="I513" t="n">
        <v>0</v>
      </c>
      <c r="J513" t="n">
        <v>0</v>
      </c>
      <c r="K513" t="n">
        <v>0</v>
      </c>
      <c r="L513" t="n">
        <v>0</v>
      </c>
      <c r="M513" t="n">
        <v>0</v>
      </c>
      <c r="N513" t="n">
        <v>0</v>
      </c>
      <c r="O513" t="n">
        <v>0</v>
      </c>
      <c r="P513" t="n">
        <v>0</v>
      </c>
      <c r="Q513" t="n">
        <v>0</v>
      </c>
      <c r="R513" s="2" t="inlineStr"/>
    </row>
    <row r="514" ht="15" customHeight="1">
      <c r="A514" t="inlineStr">
        <is>
          <t>A 39496-2022</t>
        </is>
      </c>
      <c r="B514" s="1" t="n">
        <v>44818</v>
      </c>
      <c r="C514" s="1" t="n">
        <v>46122</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49874-2024</t>
        </is>
      </c>
      <c r="B515" s="1" t="n">
        <v>45597.49274305555</v>
      </c>
      <c r="C515" s="1" t="n">
        <v>46122</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42201-2023</t>
        </is>
      </c>
      <c r="B516" s="1" t="n">
        <v>45179</v>
      </c>
      <c r="C516" s="1" t="n">
        <v>46122</v>
      </c>
      <c r="D516" t="inlineStr">
        <is>
          <t>GOTLANDS LÄN</t>
        </is>
      </c>
      <c r="E516" t="inlineStr">
        <is>
          <t>GOTLAND</t>
        </is>
      </c>
      <c r="G516" t="n">
        <v>11.9</v>
      </c>
      <c r="H516" t="n">
        <v>0</v>
      </c>
      <c r="I516" t="n">
        <v>0</v>
      </c>
      <c r="J516" t="n">
        <v>0</v>
      </c>
      <c r="K516" t="n">
        <v>0</v>
      </c>
      <c r="L516" t="n">
        <v>0</v>
      </c>
      <c r="M516" t="n">
        <v>0</v>
      </c>
      <c r="N516" t="n">
        <v>0</v>
      </c>
      <c r="O516" t="n">
        <v>0</v>
      </c>
      <c r="P516" t="n">
        <v>0</v>
      </c>
      <c r="Q516" t="n">
        <v>0</v>
      </c>
      <c r="R516" s="2" t="inlineStr"/>
    </row>
    <row r="517" ht="15" customHeight="1">
      <c r="A517" t="inlineStr">
        <is>
          <t>A 46400-2023</t>
        </is>
      </c>
      <c r="B517" s="1" t="n">
        <v>45197.49290509259</v>
      </c>
      <c r="C517" s="1" t="n">
        <v>46122</v>
      </c>
      <c r="D517" t="inlineStr">
        <is>
          <t>GOTLANDS LÄN</t>
        </is>
      </c>
      <c r="E517" t="inlineStr">
        <is>
          <t>GOTLAND</t>
        </is>
      </c>
      <c r="G517" t="n">
        <v>0.8</v>
      </c>
      <c r="H517" t="n">
        <v>0</v>
      </c>
      <c r="I517" t="n">
        <v>0</v>
      </c>
      <c r="J517" t="n">
        <v>0</v>
      </c>
      <c r="K517" t="n">
        <v>0</v>
      </c>
      <c r="L517" t="n">
        <v>0</v>
      </c>
      <c r="M517" t="n">
        <v>0</v>
      </c>
      <c r="N517" t="n">
        <v>0</v>
      </c>
      <c r="O517" t="n">
        <v>0</v>
      </c>
      <c r="P517" t="n">
        <v>0</v>
      </c>
      <c r="Q517" t="n">
        <v>0</v>
      </c>
      <c r="R517" s="2" t="inlineStr"/>
    </row>
    <row r="518" ht="15" customHeight="1">
      <c r="A518" t="inlineStr">
        <is>
          <t>A 9875-2025</t>
        </is>
      </c>
      <c r="B518" s="1" t="n">
        <v>45716</v>
      </c>
      <c r="C518" s="1" t="n">
        <v>46122</v>
      </c>
      <c r="D518" t="inlineStr">
        <is>
          <t>GOTLANDS LÄN</t>
        </is>
      </c>
      <c r="E518" t="inlineStr">
        <is>
          <t>GOTLAND</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21164-2024</t>
        </is>
      </c>
      <c r="B519" s="1" t="n">
        <v>45440</v>
      </c>
      <c r="C519" s="1" t="n">
        <v>46122</v>
      </c>
      <c r="D519" t="inlineStr">
        <is>
          <t>GOTLANDS LÄN</t>
        </is>
      </c>
      <c r="E519" t="inlineStr">
        <is>
          <t>GOTLAND</t>
        </is>
      </c>
      <c r="G519" t="n">
        <v>6.3</v>
      </c>
      <c r="H519" t="n">
        <v>0</v>
      </c>
      <c r="I519" t="n">
        <v>0</v>
      </c>
      <c r="J519" t="n">
        <v>0</v>
      </c>
      <c r="K519" t="n">
        <v>0</v>
      </c>
      <c r="L519" t="n">
        <v>0</v>
      </c>
      <c r="M519" t="n">
        <v>0</v>
      </c>
      <c r="N519" t="n">
        <v>0</v>
      </c>
      <c r="O519" t="n">
        <v>0</v>
      </c>
      <c r="P519" t="n">
        <v>0</v>
      </c>
      <c r="Q519" t="n">
        <v>0</v>
      </c>
      <c r="R519" s="2" t="inlineStr"/>
    </row>
    <row r="520" ht="15" customHeight="1">
      <c r="A520" t="inlineStr">
        <is>
          <t>A 6108-2025</t>
        </is>
      </c>
      <c r="B520" s="1" t="n">
        <v>45698.29880787037</v>
      </c>
      <c r="C520" s="1" t="n">
        <v>46122</v>
      </c>
      <c r="D520" t="inlineStr">
        <is>
          <t>GOTLANDS LÄN</t>
        </is>
      </c>
      <c r="E520" t="inlineStr">
        <is>
          <t>GOTLAND</t>
        </is>
      </c>
      <c r="G520" t="n">
        <v>2.8</v>
      </c>
      <c r="H520" t="n">
        <v>0</v>
      </c>
      <c r="I520" t="n">
        <v>0</v>
      </c>
      <c r="J520" t="n">
        <v>0</v>
      </c>
      <c r="K520" t="n">
        <v>0</v>
      </c>
      <c r="L520" t="n">
        <v>0</v>
      </c>
      <c r="M520" t="n">
        <v>0</v>
      </c>
      <c r="N520" t="n">
        <v>0</v>
      </c>
      <c r="O520" t="n">
        <v>0</v>
      </c>
      <c r="P520" t="n">
        <v>0</v>
      </c>
      <c r="Q520" t="n">
        <v>0</v>
      </c>
      <c r="R520" s="2" t="inlineStr"/>
    </row>
    <row r="521" ht="15" customHeight="1">
      <c r="A521" t="inlineStr">
        <is>
          <t>A 21142-2025</t>
        </is>
      </c>
      <c r="B521" s="1" t="n">
        <v>45779</v>
      </c>
      <c r="C521" s="1" t="n">
        <v>46122</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8045-2022</t>
        </is>
      </c>
      <c r="B522" s="1" t="n">
        <v>44609</v>
      </c>
      <c r="C522" s="1" t="n">
        <v>46122</v>
      </c>
      <c r="D522" t="inlineStr">
        <is>
          <t>GOTLANDS LÄN</t>
        </is>
      </c>
      <c r="E522" t="inlineStr">
        <is>
          <t>GOTLAND</t>
        </is>
      </c>
      <c r="G522" t="n">
        <v>7</v>
      </c>
      <c r="H522" t="n">
        <v>0</v>
      </c>
      <c r="I522" t="n">
        <v>0</v>
      </c>
      <c r="J522" t="n">
        <v>0</v>
      </c>
      <c r="K522" t="n">
        <v>0</v>
      </c>
      <c r="L522" t="n">
        <v>0</v>
      </c>
      <c r="M522" t="n">
        <v>0</v>
      </c>
      <c r="N522" t="n">
        <v>0</v>
      </c>
      <c r="O522" t="n">
        <v>0</v>
      </c>
      <c r="P522" t="n">
        <v>0</v>
      </c>
      <c r="Q522" t="n">
        <v>0</v>
      </c>
      <c r="R522" s="2" t="inlineStr"/>
    </row>
    <row r="523" ht="15" customHeight="1">
      <c r="A523" t="inlineStr">
        <is>
          <t>A 17343-2025</t>
        </is>
      </c>
      <c r="B523" s="1" t="n">
        <v>45756.6687037037</v>
      </c>
      <c r="C523" s="1" t="n">
        <v>46122</v>
      </c>
      <c r="D523" t="inlineStr">
        <is>
          <t>GOTLANDS LÄN</t>
        </is>
      </c>
      <c r="E523" t="inlineStr">
        <is>
          <t>GOTLAND</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22897-2023</t>
        </is>
      </c>
      <c r="B524" s="1" t="n">
        <v>45072.55239583334</v>
      </c>
      <c r="C524" s="1" t="n">
        <v>46122</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18938-2025</t>
        </is>
      </c>
      <c r="B525" s="1" t="n">
        <v>45764.49172453704</v>
      </c>
      <c r="C525" s="1" t="n">
        <v>46122</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30489-2025</t>
        </is>
      </c>
      <c r="B526" s="1" t="n">
        <v>45830</v>
      </c>
      <c r="C526" s="1" t="n">
        <v>46122</v>
      </c>
      <c r="D526" t="inlineStr">
        <is>
          <t>GOTLANDS LÄN</t>
        </is>
      </c>
      <c r="E526" t="inlineStr">
        <is>
          <t>GOTLAND</t>
        </is>
      </c>
      <c r="G526" t="n">
        <v>4.6</v>
      </c>
      <c r="H526" t="n">
        <v>0</v>
      </c>
      <c r="I526" t="n">
        <v>0</v>
      </c>
      <c r="J526" t="n">
        <v>0</v>
      </c>
      <c r="K526" t="n">
        <v>0</v>
      </c>
      <c r="L526" t="n">
        <v>0</v>
      </c>
      <c r="M526" t="n">
        <v>0</v>
      </c>
      <c r="N526" t="n">
        <v>0</v>
      </c>
      <c r="O526" t="n">
        <v>0</v>
      </c>
      <c r="P526" t="n">
        <v>0</v>
      </c>
      <c r="Q526" t="n">
        <v>0</v>
      </c>
      <c r="R526" s="2" t="inlineStr"/>
    </row>
    <row r="527" ht="15" customHeight="1">
      <c r="A527" t="inlineStr">
        <is>
          <t>A 61897-2024</t>
        </is>
      </c>
      <c r="B527" s="1" t="n">
        <v>45652.75685185185</v>
      </c>
      <c r="C527" s="1" t="n">
        <v>46122</v>
      </c>
      <c r="D527" t="inlineStr">
        <is>
          <t>GOTLANDS LÄN</t>
        </is>
      </c>
      <c r="E527" t="inlineStr">
        <is>
          <t>GOTLAND</t>
        </is>
      </c>
      <c r="G527" t="n">
        <v>6.4</v>
      </c>
      <c r="H527" t="n">
        <v>0</v>
      </c>
      <c r="I527" t="n">
        <v>0</v>
      </c>
      <c r="J527" t="n">
        <v>0</v>
      </c>
      <c r="K527" t="n">
        <v>0</v>
      </c>
      <c r="L527" t="n">
        <v>0</v>
      </c>
      <c r="M527" t="n">
        <v>0</v>
      </c>
      <c r="N527" t="n">
        <v>0</v>
      </c>
      <c r="O527" t="n">
        <v>0</v>
      </c>
      <c r="P527" t="n">
        <v>0</v>
      </c>
      <c r="Q527" t="n">
        <v>0</v>
      </c>
      <c r="R527" s="2" t="inlineStr"/>
    </row>
    <row r="528" ht="15" customHeight="1">
      <c r="A528" t="inlineStr">
        <is>
          <t>A 20307-2025</t>
        </is>
      </c>
      <c r="B528" s="1" t="n">
        <v>45774.95546296296</v>
      </c>
      <c r="C528" s="1" t="n">
        <v>46122</v>
      </c>
      <c r="D528" t="inlineStr">
        <is>
          <t>GOTLANDS LÄN</t>
        </is>
      </c>
      <c r="E528" t="inlineStr">
        <is>
          <t>GOTLAND</t>
        </is>
      </c>
      <c r="G528" t="n">
        <v>6.8</v>
      </c>
      <c r="H528" t="n">
        <v>0</v>
      </c>
      <c r="I528" t="n">
        <v>0</v>
      </c>
      <c r="J528" t="n">
        <v>0</v>
      </c>
      <c r="K528" t="n">
        <v>0</v>
      </c>
      <c r="L528" t="n">
        <v>0</v>
      </c>
      <c r="M528" t="n">
        <v>0</v>
      </c>
      <c r="N528" t="n">
        <v>0</v>
      </c>
      <c r="O528" t="n">
        <v>0</v>
      </c>
      <c r="P528" t="n">
        <v>0</v>
      </c>
      <c r="Q528" t="n">
        <v>0</v>
      </c>
      <c r="R528" s="2" t="inlineStr"/>
    </row>
    <row r="529" ht="15" customHeight="1">
      <c r="A529" t="inlineStr">
        <is>
          <t>A 49962-2023</t>
        </is>
      </c>
      <c r="B529" s="1" t="n">
        <v>45215.38775462963</v>
      </c>
      <c r="C529" s="1" t="n">
        <v>46122</v>
      </c>
      <c r="D529" t="inlineStr">
        <is>
          <t>GOTLANDS LÄN</t>
        </is>
      </c>
      <c r="E529" t="inlineStr">
        <is>
          <t>GOTLAND</t>
        </is>
      </c>
      <c r="G529" t="n">
        <v>1.4</v>
      </c>
      <c r="H529" t="n">
        <v>0</v>
      </c>
      <c r="I529" t="n">
        <v>0</v>
      </c>
      <c r="J529" t="n">
        <v>0</v>
      </c>
      <c r="K529" t="n">
        <v>0</v>
      </c>
      <c r="L529" t="n">
        <v>0</v>
      </c>
      <c r="M529" t="n">
        <v>0</v>
      </c>
      <c r="N529" t="n">
        <v>0</v>
      </c>
      <c r="O529" t="n">
        <v>0</v>
      </c>
      <c r="P529" t="n">
        <v>0</v>
      </c>
      <c r="Q529" t="n">
        <v>0</v>
      </c>
      <c r="R529" s="2" t="inlineStr"/>
    </row>
    <row r="530" ht="15" customHeight="1">
      <c r="A530" t="inlineStr">
        <is>
          <t>A 20165-2022</t>
        </is>
      </c>
      <c r="B530" s="1" t="n">
        <v>44698.49854166667</v>
      </c>
      <c r="C530" s="1" t="n">
        <v>46122</v>
      </c>
      <c r="D530" t="inlineStr">
        <is>
          <t>GOTLANDS LÄN</t>
        </is>
      </c>
      <c r="E530" t="inlineStr">
        <is>
          <t>GOTLAND</t>
        </is>
      </c>
      <c r="G530" t="n">
        <v>4.1</v>
      </c>
      <c r="H530" t="n">
        <v>0</v>
      </c>
      <c r="I530" t="n">
        <v>0</v>
      </c>
      <c r="J530" t="n">
        <v>0</v>
      </c>
      <c r="K530" t="n">
        <v>0</v>
      </c>
      <c r="L530" t="n">
        <v>0</v>
      </c>
      <c r="M530" t="n">
        <v>0</v>
      </c>
      <c r="N530" t="n">
        <v>0</v>
      </c>
      <c r="O530" t="n">
        <v>0</v>
      </c>
      <c r="P530" t="n">
        <v>0</v>
      </c>
      <c r="Q530" t="n">
        <v>0</v>
      </c>
      <c r="R530" s="2" t="inlineStr"/>
    </row>
    <row r="531" ht="15" customHeight="1">
      <c r="A531" t="inlineStr">
        <is>
          <t>A 40294-2022</t>
        </is>
      </c>
      <c r="B531" s="1" t="n">
        <v>44821</v>
      </c>
      <c r="C531" s="1" t="n">
        <v>46122</v>
      </c>
      <c r="D531" t="inlineStr">
        <is>
          <t>GOTLANDS LÄN</t>
        </is>
      </c>
      <c r="E531" t="inlineStr">
        <is>
          <t>GOTLAND</t>
        </is>
      </c>
      <c r="G531" t="n">
        <v>1.6</v>
      </c>
      <c r="H531" t="n">
        <v>0</v>
      </c>
      <c r="I531" t="n">
        <v>0</v>
      </c>
      <c r="J531" t="n">
        <v>0</v>
      </c>
      <c r="K531" t="n">
        <v>0</v>
      </c>
      <c r="L531" t="n">
        <v>0</v>
      </c>
      <c r="M531" t="n">
        <v>0</v>
      </c>
      <c r="N531" t="n">
        <v>0</v>
      </c>
      <c r="O531" t="n">
        <v>0</v>
      </c>
      <c r="P531" t="n">
        <v>0</v>
      </c>
      <c r="Q531" t="n">
        <v>0</v>
      </c>
      <c r="R531" s="2" t="inlineStr"/>
    </row>
    <row r="532" ht="15" customHeight="1">
      <c r="A532" t="inlineStr">
        <is>
          <t>A 12032-2025</t>
        </is>
      </c>
      <c r="B532" s="1" t="n">
        <v>45728.64472222222</v>
      </c>
      <c r="C532" s="1" t="n">
        <v>46122</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38787-2023</t>
        </is>
      </c>
      <c r="B533" s="1" t="n">
        <v>45163</v>
      </c>
      <c r="C533" s="1" t="n">
        <v>46122</v>
      </c>
      <c r="D533" t="inlineStr">
        <is>
          <t>GOTLANDS LÄN</t>
        </is>
      </c>
      <c r="E533" t="inlineStr">
        <is>
          <t>GOTLAND</t>
        </is>
      </c>
      <c r="G533" t="n">
        <v>0.4</v>
      </c>
      <c r="H533" t="n">
        <v>0</v>
      </c>
      <c r="I533" t="n">
        <v>0</v>
      </c>
      <c r="J533" t="n">
        <v>0</v>
      </c>
      <c r="K533" t="n">
        <v>0</v>
      </c>
      <c r="L533" t="n">
        <v>0</v>
      </c>
      <c r="M533" t="n">
        <v>0</v>
      </c>
      <c r="N533" t="n">
        <v>0</v>
      </c>
      <c r="O533" t="n">
        <v>0</v>
      </c>
      <c r="P533" t="n">
        <v>0</v>
      </c>
      <c r="Q533" t="n">
        <v>0</v>
      </c>
      <c r="R533" s="2" t="inlineStr"/>
    </row>
    <row r="534" ht="15" customHeight="1">
      <c r="A534" t="inlineStr">
        <is>
          <t>A 43231-2023</t>
        </is>
      </c>
      <c r="B534" s="1" t="n">
        <v>45183.47025462963</v>
      </c>
      <c r="C534" s="1" t="n">
        <v>46122</v>
      </c>
      <c r="D534" t="inlineStr">
        <is>
          <t>GOTLANDS LÄN</t>
        </is>
      </c>
      <c r="E534" t="inlineStr">
        <is>
          <t>GOTLAND</t>
        </is>
      </c>
      <c r="G534" t="n">
        <v>3.6</v>
      </c>
      <c r="H534" t="n">
        <v>0</v>
      </c>
      <c r="I534" t="n">
        <v>0</v>
      </c>
      <c r="J534" t="n">
        <v>0</v>
      </c>
      <c r="K534" t="n">
        <v>0</v>
      </c>
      <c r="L534" t="n">
        <v>0</v>
      </c>
      <c r="M534" t="n">
        <v>0</v>
      </c>
      <c r="N534" t="n">
        <v>0</v>
      </c>
      <c r="O534" t="n">
        <v>0</v>
      </c>
      <c r="P534" t="n">
        <v>0</v>
      </c>
      <c r="Q534" t="n">
        <v>0</v>
      </c>
      <c r="R534" s="2" t="inlineStr"/>
    </row>
    <row r="535" ht="15" customHeight="1">
      <c r="A535" t="inlineStr">
        <is>
          <t>A 17532-2024</t>
        </is>
      </c>
      <c r="B535" s="1" t="n">
        <v>45415</v>
      </c>
      <c r="C535" s="1" t="n">
        <v>46122</v>
      </c>
      <c r="D535" t="inlineStr">
        <is>
          <t>GOTLANDS LÄN</t>
        </is>
      </c>
      <c r="E535" t="inlineStr">
        <is>
          <t>GOTLAND</t>
        </is>
      </c>
      <c r="G535" t="n">
        <v>4.3</v>
      </c>
      <c r="H535" t="n">
        <v>0</v>
      </c>
      <c r="I535" t="n">
        <v>0</v>
      </c>
      <c r="J535" t="n">
        <v>0</v>
      </c>
      <c r="K535" t="n">
        <v>0</v>
      </c>
      <c r="L535" t="n">
        <v>0</v>
      </c>
      <c r="M535" t="n">
        <v>0</v>
      </c>
      <c r="N535" t="n">
        <v>0</v>
      </c>
      <c r="O535" t="n">
        <v>0</v>
      </c>
      <c r="P535" t="n">
        <v>0</v>
      </c>
      <c r="Q535" t="n">
        <v>0</v>
      </c>
      <c r="R535" s="2" t="inlineStr"/>
    </row>
    <row r="536" ht="15" customHeight="1">
      <c r="A536" t="inlineStr">
        <is>
          <t>A 3935-2025</t>
        </is>
      </c>
      <c r="B536" s="1" t="n">
        <v>45684.46070601852</v>
      </c>
      <c r="C536" s="1" t="n">
        <v>46122</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20225-2025</t>
        </is>
      </c>
      <c r="B537" s="1" t="n">
        <v>45772.65802083333</v>
      </c>
      <c r="C537" s="1" t="n">
        <v>46122</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883-2025</t>
        </is>
      </c>
      <c r="B538" s="1" t="n">
        <v>45665</v>
      </c>
      <c r="C538" s="1" t="n">
        <v>46122</v>
      </c>
      <c r="D538" t="inlineStr">
        <is>
          <t>GOTLANDS LÄN</t>
        </is>
      </c>
      <c r="E538" t="inlineStr">
        <is>
          <t>GOTLAND</t>
        </is>
      </c>
      <c r="G538" t="n">
        <v>1.3</v>
      </c>
      <c r="H538" t="n">
        <v>0</v>
      </c>
      <c r="I538" t="n">
        <v>0</v>
      </c>
      <c r="J538" t="n">
        <v>0</v>
      </c>
      <c r="K538" t="n">
        <v>0</v>
      </c>
      <c r="L538" t="n">
        <v>0</v>
      </c>
      <c r="M538" t="n">
        <v>0</v>
      </c>
      <c r="N538" t="n">
        <v>0</v>
      </c>
      <c r="O538" t="n">
        <v>0</v>
      </c>
      <c r="P538" t="n">
        <v>0</v>
      </c>
      <c r="Q538" t="n">
        <v>0</v>
      </c>
      <c r="R538" s="2" t="inlineStr"/>
    </row>
    <row r="539" ht="15" customHeight="1">
      <c r="A539" t="inlineStr">
        <is>
          <t>A 1066-2024</t>
        </is>
      </c>
      <c r="B539" s="1" t="n">
        <v>45302.285</v>
      </c>
      <c r="C539" s="1" t="n">
        <v>46122</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17144-2025</t>
        </is>
      </c>
      <c r="B540" s="1" t="n">
        <v>45755.9499537037</v>
      </c>
      <c r="C540" s="1" t="n">
        <v>46122</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56009-2024</t>
        </is>
      </c>
      <c r="B541" s="1" t="n">
        <v>45623.80864583333</v>
      </c>
      <c r="C541" s="1" t="n">
        <v>46122</v>
      </c>
      <c r="D541" t="inlineStr">
        <is>
          <t>GOTLANDS LÄN</t>
        </is>
      </c>
      <c r="E541" t="inlineStr">
        <is>
          <t>GOTLAND</t>
        </is>
      </c>
      <c r="G541" t="n">
        <v>2.8</v>
      </c>
      <c r="H541" t="n">
        <v>0</v>
      </c>
      <c r="I541" t="n">
        <v>0</v>
      </c>
      <c r="J541" t="n">
        <v>0</v>
      </c>
      <c r="K541" t="n">
        <v>0</v>
      </c>
      <c r="L541" t="n">
        <v>0</v>
      </c>
      <c r="M541" t="n">
        <v>0</v>
      </c>
      <c r="N541" t="n">
        <v>0</v>
      </c>
      <c r="O541" t="n">
        <v>0</v>
      </c>
      <c r="P541" t="n">
        <v>0</v>
      </c>
      <c r="Q541" t="n">
        <v>0</v>
      </c>
      <c r="R541" s="2" t="inlineStr"/>
    </row>
    <row r="542" ht="15" customHeight="1">
      <c r="A542" t="inlineStr">
        <is>
          <t>A 42338-2023</t>
        </is>
      </c>
      <c r="B542" s="1" t="n">
        <v>45180</v>
      </c>
      <c r="C542" s="1" t="n">
        <v>46122</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581-2023</t>
        </is>
      </c>
      <c r="B543" s="1" t="n">
        <v>44930</v>
      </c>
      <c r="C543" s="1" t="n">
        <v>46122</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61386-2023</t>
        </is>
      </c>
      <c r="B544" s="1" t="n">
        <v>45264</v>
      </c>
      <c r="C544" s="1" t="n">
        <v>46122</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873-2024</t>
        </is>
      </c>
      <c r="B545" s="1" t="n">
        <v>45301</v>
      </c>
      <c r="C545" s="1" t="n">
        <v>46122</v>
      </c>
      <c r="D545" t="inlineStr">
        <is>
          <t>GOTLANDS LÄN</t>
        </is>
      </c>
      <c r="E545" t="inlineStr">
        <is>
          <t>GOTLAND</t>
        </is>
      </c>
      <c r="G545" t="n">
        <v>2.7</v>
      </c>
      <c r="H545" t="n">
        <v>0</v>
      </c>
      <c r="I545" t="n">
        <v>0</v>
      </c>
      <c r="J545" t="n">
        <v>0</v>
      </c>
      <c r="K545" t="n">
        <v>0</v>
      </c>
      <c r="L545" t="n">
        <v>0</v>
      </c>
      <c r="M545" t="n">
        <v>0</v>
      </c>
      <c r="N545" t="n">
        <v>0</v>
      </c>
      <c r="O545" t="n">
        <v>0</v>
      </c>
      <c r="P545" t="n">
        <v>0</v>
      </c>
      <c r="Q545" t="n">
        <v>0</v>
      </c>
      <c r="R545" s="2" t="inlineStr"/>
    </row>
    <row r="546" ht="15" customHeight="1">
      <c r="A546" t="inlineStr">
        <is>
          <t>A 49411-2023</t>
        </is>
      </c>
      <c r="B546" s="1" t="n">
        <v>45205</v>
      </c>
      <c r="C546" s="1" t="n">
        <v>46122</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22275-2023</t>
        </is>
      </c>
      <c r="B547" s="1" t="n">
        <v>45070.39875</v>
      </c>
      <c r="C547" s="1" t="n">
        <v>46122</v>
      </c>
      <c r="D547" t="inlineStr">
        <is>
          <t>GOTLANDS LÄN</t>
        </is>
      </c>
      <c r="E547" t="inlineStr">
        <is>
          <t>GOTLAND</t>
        </is>
      </c>
      <c r="G547" t="n">
        <v>7.2</v>
      </c>
      <c r="H547" t="n">
        <v>0</v>
      </c>
      <c r="I547" t="n">
        <v>0</v>
      </c>
      <c r="J547" t="n">
        <v>0</v>
      </c>
      <c r="K547" t="n">
        <v>0</v>
      </c>
      <c r="L547" t="n">
        <v>0</v>
      </c>
      <c r="M547" t="n">
        <v>0</v>
      </c>
      <c r="N547" t="n">
        <v>0</v>
      </c>
      <c r="O547" t="n">
        <v>0</v>
      </c>
      <c r="P547" t="n">
        <v>0</v>
      </c>
      <c r="Q547" t="n">
        <v>0</v>
      </c>
      <c r="R547" s="2" t="inlineStr"/>
    </row>
    <row r="548" ht="15" customHeight="1">
      <c r="A548" t="inlineStr">
        <is>
          <t>A 12322-2025</t>
        </is>
      </c>
      <c r="B548" s="1" t="n">
        <v>45730</v>
      </c>
      <c r="C548" s="1" t="n">
        <v>46122</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14797-2024</t>
        </is>
      </c>
      <c r="B549" s="1" t="n">
        <v>45397.87030092593</v>
      </c>
      <c r="C549" s="1" t="n">
        <v>46122</v>
      </c>
      <c r="D549" t="inlineStr">
        <is>
          <t>GOTLANDS LÄN</t>
        </is>
      </c>
      <c r="E549" t="inlineStr">
        <is>
          <t>GOTLAND</t>
        </is>
      </c>
      <c r="G549" t="n">
        <v>8.1</v>
      </c>
      <c r="H549" t="n">
        <v>0</v>
      </c>
      <c r="I549" t="n">
        <v>0</v>
      </c>
      <c r="J549" t="n">
        <v>0</v>
      </c>
      <c r="K549" t="n">
        <v>0</v>
      </c>
      <c r="L549" t="n">
        <v>0</v>
      </c>
      <c r="M549" t="n">
        <v>0</v>
      </c>
      <c r="N549" t="n">
        <v>0</v>
      </c>
      <c r="O549" t="n">
        <v>0</v>
      </c>
      <c r="P549" t="n">
        <v>0</v>
      </c>
      <c r="Q549" t="n">
        <v>0</v>
      </c>
      <c r="R549" s="2" t="inlineStr"/>
    </row>
    <row r="550" ht="15" customHeight="1">
      <c r="A550" t="inlineStr">
        <is>
          <t>A 999-2024</t>
        </is>
      </c>
      <c r="B550" s="1" t="n">
        <v>45301</v>
      </c>
      <c r="C550" s="1" t="n">
        <v>46122</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61596-2023</t>
        </is>
      </c>
      <c r="B551" s="1" t="n">
        <v>45265</v>
      </c>
      <c r="C551" s="1" t="n">
        <v>46122</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14638-2025</t>
        </is>
      </c>
      <c r="B552" s="1" t="n">
        <v>45742</v>
      </c>
      <c r="C552" s="1" t="n">
        <v>46122</v>
      </c>
      <c r="D552" t="inlineStr">
        <is>
          <t>GOTLANDS LÄN</t>
        </is>
      </c>
      <c r="E552" t="inlineStr">
        <is>
          <t>GOTLAND</t>
        </is>
      </c>
      <c r="G552" t="n">
        <v>13.4</v>
      </c>
      <c r="H552" t="n">
        <v>0</v>
      </c>
      <c r="I552" t="n">
        <v>0</v>
      </c>
      <c r="J552" t="n">
        <v>0</v>
      </c>
      <c r="K552" t="n">
        <v>0</v>
      </c>
      <c r="L552" t="n">
        <v>0</v>
      </c>
      <c r="M552" t="n">
        <v>0</v>
      </c>
      <c r="N552" t="n">
        <v>0</v>
      </c>
      <c r="O552" t="n">
        <v>0</v>
      </c>
      <c r="P552" t="n">
        <v>0</v>
      </c>
      <c r="Q552" t="n">
        <v>0</v>
      </c>
      <c r="R552" s="2" t="inlineStr"/>
    </row>
    <row r="553" ht="15" customHeight="1">
      <c r="A553" t="inlineStr">
        <is>
          <t>A 60675-2021</t>
        </is>
      </c>
      <c r="B553" s="1" t="n">
        <v>44496.64855324074</v>
      </c>
      <c r="C553" s="1" t="n">
        <v>46122</v>
      </c>
      <c r="D553" t="inlineStr">
        <is>
          <t>GOTLANDS LÄN</t>
        </is>
      </c>
      <c r="E553" t="inlineStr">
        <is>
          <t>GOTLAND</t>
        </is>
      </c>
      <c r="G553" t="n">
        <v>4.6</v>
      </c>
      <c r="H553" t="n">
        <v>0</v>
      </c>
      <c r="I553" t="n">
        <v>0</v>
      </c>
      <c r="J553" t="n">
        <v>0</v>
      </c>
      <c r="K553" t="n">
        <v>0</v>
      </c>
      <c r="L553" t="n">
        <v>0</v>
      </c>
      <c r="M553" t="n">
        <v>0</v>
      </c>
      <c r="N553" t="n">
        <v>0</v>
      </c>
      <c r="O553" t="n">
        <v>0</v>
      </c>
      <c r="P553" t="n">
        <v>0</v>
      </c>
      <c r="Q553" t="n">
        <v>0</v>
      </c>
      <c r="R553" s="2" t="inlineStr"/>
    </row>
    <row r="554" ht="15" customHeight="1">
      <c r="A554" t="inlineStr">
        <is>
          <t>A 37728-2024</t>
        </is>
      </c>
      <c r="B554" s="1" t="n">
        <v>45541</v>
      </c>
      <c r="C554" s="1" t="n">
        <v>46122</v>
      </c>
      <c r="D554" t="inlineStr">
        <is>
          <t>GOTLANDS LÄN</t>
        </is>
      </c>
      <c r="E554" t="inlineStr">
        <is>
          <t>GOTLAND</t>
        </is>
      </c>
      <c r="G554" t="n">
        <v>0.4</v>
      </c>
      <c r="H554" t="n">
        <v>0</v>
      </c>
      <c r="I554" t="n">
        <v>0</v>
      </c>
      <c r="J554" t="n">
        <v>0</v>
      </c>
      <c r="K554" t="n">
        <v>0</v>
      </c>
      <c r="L554" t="n">
        <v>0</v>
      </c>
      <c r="M554" t="n">
        <v>0</v>
      </c>
      <c r="N554" t="n">
        <v>0</v>
      </c>
      <c r="O554" t="n">
        <v>0</v>
      </c>
      <c r="P554" t="n">
        <v>0</v>
      </c>
      <c r="Q554" t="n">
        <v>0</v>
      </c>
      <c r="R554" s="2" t="inlineStr"/>
    </row>
    <row r="555" ht="15" customHeight="1">
      <c r="A555" t="inlineStr">
        <is>
          <t>A 22287-2022</t>
        </is>
      </c>
      <c r="B555" s="1" t="n">
        <v>44712</v>
      </c>
      <c r="C555" s="1" t="n">
        <v>46122</v>
      </c>
      <c r="D555" t="inlineStr">
        <is>
          <t>GOTLANDS LÄN</t>
        </is>
      </c>
      <c r="E555" t="inlineStr">
        <is>
          <t>GOTLAND</t>
        </is>
      </c>
      <c r="G555" t="n">
        <v>6.1</v>
      </c>
      <c r="H555" t="n">
        <v>0</v>
      </c>
      <c r="I555" t="n">
        <v>0</v>
      </c>
      <c r="J555" t="n">
        <v>0</v>
      </c>
      <c r="K555" t="n">
        <v>0</v>
      </c>
      <c r="L555" t="n">
        <v>0</v>
      </c>
      <c r="M555" t="n">
        <v>0</v>
      </c>
      <c r="N555" t="n">
        <v>0</v>
      </c>
      <c r="O555" t="n">
        <v>0</v>
      </c>
      <c r="P555" t="n">
        <v>0</v>
      </c>
      <c r="Q555" t="n">
        <v>0</v>
      </c>
      <c r="R555" s="2" t="inlineStr"/>
    </row>
    <row r="556" ht="15" customHeight="1">
      <c r="A556" t="inlineStr">
        <is>
          <t>A 54074-2022</t>
        </is>
      </c>
      <c r="B556" s="1" t="n">
        <v>44881</v>
      </c>
      <c r="C556" s="1" t="n">
        <v>46122</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65249-2023</t>
        </is>
      </c>
      <c r="B557" s="1" t="n">
        <v>45290</v>
      </c>
      <c r="C557" s="1" t="n">
        <v>46122</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13910-2025</t>
        </is>
      </c>
      <c r="B558" s="1" t="n">
        <v>45737</v>
      </c>
      <c r="C558" s="1" t="n">
        <v>46122</v>
      </c>
      <c r="D558" t="inlineStr">
        <is>
          <t>GOTLANDS LÄN</t>
        </is>
      </c>
      <c r="E558" t="inlineStr">
        <is>
          <t>GOTLAND</t>
        </is>
      </c>
      <c r="F558" t="inlineStr">
        <is>
          <t>Kommuner</t>
        </is>
      </c>
      <c r="G558" t="n">
        <v>3.2</v>
      </c>
      <c r="H558" t="n">
        <v>0</v>
      </c>
      <c r="I558" t="n">
        <v>0</v>
      </c>
      <c r="J558" t="n">
        <v>0</v>
      </c>
      <c r="K558" t="n">
        <v>0</v>
      </c>
      <c r="L558" t="n">
        <v>0</v>
      </c>
      <c r="M558" t="n">
        <v>0</v>
      </c>
      <c r="N558" t="n">
        <v>0</v>
      </c>
      <c r="O558" t="n">
        <v>0</v>
      </c>
      <c r="P558" t="n">
        <v>0</v>
      </c>
      <c r="Q558" t="n">
        <v>0</v>
      </c>
      <c r="R558" s="2" t="inlineStr"/>
    </row>
    <row r="559" ht="15" customHeight="1">
      <c r="A559" t="inlineStr">
        <is>
          <t>A 17780-2022</t>
        </is>
      </c>
      <c r="B559" s="1" t="n">
        <v>44682.82622685185</v>
      </c>
      <c r="C559" s="1" t="n">
        <v>46122</v>
      </c>
      <c r="D559" t="inlineStr">
        <is>
          <t>GOTLANDS LÄN</t>
        </is>
      </c>
      <c r="E559" t="inlineStr">
        <is>
          <t>GOTLAND</t>
        </is>
      </c>
      <c r="G559" t="n">
        <v>2.2</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46122</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11874-2024</t>
        </is>
      </c>
      <c r="B561" s="1" t="n">
        <v>45376.46956018519</v>
      </c>
      <c r="C561" s="1" t="n">
        <v>46122</v>
      </c>
      <c r="D561" t="inlineStr">
        <is>
          <t>GOTLANDS LÄN</t>
        </is>
      </c>
      <c r="E561" t="inlineStr">
        <is>
          <t>GOTLAND</t>
        </is>
      </c>
      <c r="G561" t="n">
        <v>0.8</v>
      </c>
      <c r="H561" t="n">
        <v>0</v>
      </c>
      <c r="I561" t="n">
        <v>0</v>
      </c>
      <c r="J561" t="n">
        <v>0</v>
      </c>
      <c r="K561" t="n">
        <v>0</v>
      </c>
      <c r="L561" t="n">
        <v>0</v>
      </c>
      <c r="M561" t="n">
        <v>0</v>
      </c>
      <c r="N561" t="n">
        <v>0</v>
      </c>
      <c r="O561" t="n">
        <v>0</v>
      </c>
      <c r="P561" t="n">
        <v>0</v>
      </c>
      <c r="Q561" t="n">
        <v>0</v>
      </c>
      <c r="R561" s="2" t="inlineStr"/>
    </row>
    <row r="562" ht="15" customHeight="1">
      <c r="A562" t="inlineStr">
        <is>
          <t>A 42041-2024</t>
        </is>
      </c>
      <c r="B562" s="1" t="n">
        <v>45561</v>
      </c>
      <c r="C562" s="1" t="n">
        <v>46122</v>
      </c>
      <c r="D562" t="inlineStr">
        <is>
          <t>GOTLANDS LÄN</t>
        </is>
      </c>
      <c r="E562" t="inlineStr">
        <is>
          <t>GOTLAND</t>
        </is>
      </c>
      <c r="G562" t="n">
        <v>3.2</v>
      </c>
      <c r="H562" t="n">
        <v>0</v>
      </c>
      <c r="I562" t="n">
        <v>0</v>
      </c>
      <c r="J562" t="n">
        <v>0</v>
      </c>
      <c r="K562" t="n">
        <v>0</v>
      </c>
      <c r="L562" t="n">
        <v>0</v>
      </c>
      <c r="M562" t="n">
        <v>0</v>
      </c>
      <c r="N562" t="n">
        <v>0</v>
      </c>
      <c r="O562" t="n">
        <v>0</v>
      </c>
      <c r="P562" t="n">
        <v>0</v>
      </c>
      <c r="Q562" t="n">
        <v>0</v>
      </c>
      <c r="R562" s="2" t="inlineStr"/>
    </row>
    <row r="563" ht="15" customHeight="1">
      <c r="A563" t="inlineStr">
        <is>
          <t>A 61694-2023</t>
        </is>
      </c>
      <c r="B563" s="1" t="n">
        <v>45264</v>
      </c>
      <c r="C563" s="1" t="n">
        <v>46122</v>
      </c>
      <c r="D563" t="inlineStr">
        <is>
          <t>GOTLANDS LÄN</t>
        </is>
      </c>
      <c r="E563" t="inlineStr">
        <is>
          <t>GOTLAND</t>
        </is>
      </c>
      <c r="G563" t="n">
        <v>4.6</v>
      </c>
      <c r="H563" t="n">
        <v>0</v>
      </c>
      <c r="I563" t="n">
        <v>0</v>
      </c>
      <c r="J563" t="n">
        <v>0</v>
      </c>
      <c r="K563" t="n">
        <v>0</v>
      </c>
      <c r="L563" t="n">
        <v>0</v>
      </c>
      <c r="M563" t="n">
        <v>0</v>
      </c>
      <c r="N563" t="n">
        <v>0</v>
      </c>
      <c r="O563" t="n">
        <v>0</v>
      </c>
      <c r="P563" t="n">
        <v>0</v>
      </c>
      <c r="Q563" t="n">
        <v>0</v>
      </c>
      <c r="R563" s="2" t="inlineStr"/>
    </row>
    <row r="564" ht="15" customHeight="1">
      <c r="A564" t="inlineStr">
        <is>
          <t>A 64555-2023</t>
        </is>
      </c>
      <c r="B564" s="1" t="n">
        <v>45281</v>
      </c>
      <c r="C564" s="1" t="n">
        <v>46122</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64831-2023</t>
        </is>
      </c>
      <c r="B565" s="1" t="n">
        <v>45282.44924768519</v>
      </c>
      <c r="C565" s="1" t="n">
        <v>46122</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999-2023</t>
        </is>
      </c>
      <c r="B566" s="1" t="n">
        <v>44935</v>
      </c>
      <c r="C566" s="1" t="n">
        <v>46122</v>
      </c>
      <c r="D566" t="inlineStr">
        <is>
          <t>GOTLANDS LÄN</t>
        </is>
      </c>
      <c r="E566" t="inlineStr">
        <is>
          <t>GOTLAND</t>
        </is>
      </c>
      <c r="G566" t="n">
        <v>4.7</v>
      </c>
      <c r="H566" t="n">
        <v>0</v>
      </c>
      <c r="I566" t="n">
        <v>0</v>
      </c>
      <c r="J566" t="n">
        <v>0</v>
      </c>
      <c r="K566" t="n">
        <v>0</v>
      </c>
      <c r="L566" t="n">
        <v>0</v>
      </c>
      <c r="M566" t="n">
        <v>0</v>
      </c>
      <c r="N566" t="n">
        <v>0</v>
      </c>
      <c r="O566" t="n">
        <v>0</v>
      </c>
      <c r="P566" t="n">
        <v>0</v>
      </c>
      <c r="Q566" t="n">
        <v>0</v>
      </c>
      <c r="R566" s="2" t="inlineStr"/>
    </row>
    <row r="567" ht="15" customHeight="1">
      <c r="A567" t="inlineStr">
        <is>
          <t>A 27602-2023</t>
        </is>
      </c>
      <c r="B567" s="1" t="n">
        <v>45097</v>
      </c>
      <c r="C567" s="1" t="n">
        <v>46122</v>
      </c>
      <c r="D567" t="inlineStr">
        <is>
          <t>GOTLANDS LÄN</t>
        </is>
      </c>
      <c r="E567" t="inlineStr">
        <is>
          <t>GOTLAND</t>
        </is>
      </c>
      <c r="G567" t="n">
        <v>2.7</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44955.5502662037</v>
      </c>
      <c r="C568" s="1" t="n">
        <v>46122</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44955.73359953704</v>
      </c>
      <c r="C569" s="1" t="n">
        <v>46122</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39479-2022</t>
        </is>
      </c>
      <c r="B570" s="1" t="n">
        <v>44818</v>
      </c>
      <c r="C570" s="1" t="n">
        <v>46122</v>
      </c>
      <c r="D570" t="inlineStr">
        <is>
          <t>GOTLANDS LÄN</t>
        </is>
      </c>
      <c r="E570" t="inlineStr">
        <is>
          <t>GOTLAND</t>
        </is>
      </c>
      <c r="G570" t="n">
        <v>1.1</v>
      </c>
      <c r="H570" t="n">
        <v>0</v>
      </c>
      <c r="I570" t="n">
        <v>0</v>
      </c>
      <c r="J570" t="n">
        <v>0</v>
      </c>
      <c r="K570" t="n">
        <v>0</v>
      </c>
      <c r="L570" t="n">
        <v>0</v>
      </c>
      <c r="M570" t="n">
        <v>0</v>
      </c>
      <c r="N570" t="n">
        <v>0</v>
      </c>
      <c r="O570" t="n">
        <v>0</v>
      </c>
      <c r="P570" t="n">
        <v>0</v>
      </c>
      <c r="Q570" t="n">
        <v>0</v>
      </c>
      <c r="R570" s="2" t="inlineStr"/>
    </row>
    <row r="571" ht="15" customHeight="1">
      <c r="A571" t="inlineStr">
        <is>
          <t>A 51963-2024</t>
        </is>
      </c>
      <c r="B571" s="1" t="n">
        <v>45607.64833333333</v>
      </c>
      <c r="C571" s="1" t="n">
        <v>46122</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811-2023</t>
        </is>
      </c>
      <c r="B572" s="1" t="n">
        <v>44931</v>
      </c>
      <c r="C572" s="1" t="n">
        <v>46122</v>
      </c>
      <c r="D572" t="inlineStr">
        <is>
          <t>GOTLANDS LÄN</t>
        </is>
      </c>
      <c r="E572" t="inlineStr">
        <is>
          <t>GOTLAND</t>
        </is>
      </c>
      <c r="G572" t="n">
        <v>0.6</v>
      </c>
      <c r="H572" t="n">
        <v>0</v>
      </c>
      <c r="I572" t="n">
        <v>0</v>
      </c>
      <c r="J572" t="n">
        <v>0</v>
      </c>
      <c r="K572" t="n">
        <v>0</v>
      </c>
      <c r="L572" t="n">
        <v>0</v>
      </c>
      <c r="M572" t="n">
        <v>0</v>
      </c>
      <c r="N572" t="n">
        <v>0</v>
      </c>
      <c r="O572" t="n">
        <v>0</v>
      </c>
      <c r="P572" t="n">
        <v>0</v>
      </c>
      <c r="Q572" t="n">
        <v>0</v>
      </c>
      <c r="R572" s="2" t="inlineStr"/>
    </row>
    <row r="573" ht="15" customHeight="1">
      <c r="A573" t="inlineStr">
        <is>
          <t>A 46389-2021</t>
        </is>
      </c>
      <c r="B573" s="1" t="n">
        <v>44443</v>
      </c>
      <c r="C573" s="1" t="n">
        <v>46122</v>
      </c>
      <c r="D573" t="inlineStr">
        <is>
          <t>GOTLANDS LÄN</t>
        </is>
      </c>
      <c r="E573" t="inlineStr">
        <is>
          <t>GOTLAND</t>
        </is>
      </c>
      <c r="F573" t="inlineStr">
        <is>
          <t>Kyrkan</t>
        </is>
      </c>
      <c r="G573" t="n">
        <v>2.1</v>
      </c>
      <c r="H573" t="n">
        <v>0</v>
      </c>
      <c r="I573" t="n">
        <v>0</v>
      </c>
      <c r="J573" t="n">
        <v>0</v>
      </c>
      <c r="K573" t="n">
        <v>0</v>
      </c>
      <c r="L573" t="n">
        <v>0</v>
      </c>
      <c r="M573" t="n">
        <v>0</v>
      </c>
      <c r="N573" t="n">
        <v>0</v>
      </c>
      <c r="O573" t="n">
        <v>0</v>
      </c>
      <c r="P573" t="n">
        <v>0</v>
      </c>
      <c r="Q573" t="n">
        <v>0</v>
      </c>
      <c r="R573" s="2" t="inlineStr"/>
    </row>
    <row r="574" ht="15" customHeight="1">
      <c r="A574" t="inlineStr">
        <is>
          <t>A 26810-2021</t>
        </is>
      </c>
      <c r="B574" s="1" t="n">
        <v>44349.55087962963</v>
      </c>
      <c r="C574" s="1" t="n">
        <v>46122</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5923-2023</t>
        </is>
      </c>
      <c r="B575" s="1" t="n">
        <v>44963.69503472222</v>
      </c>
      <c r="C575" s="1" t="n">
        <v>46122</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33853-2024</t>
        </is>
      </c>
      <c r="B576" s="1" t="n">
        <v>45520.64298611111</v>
      </c>
      <c r="C576" s="1" t="n">
        <v>46122</v>
      </c>
      <c r="D576" t="inlineStr">
        <is>
          <t>GOTLANDS LÄN</t>
        </is>
      </c>
      <c r="E576" t="inlineStr">
        <is>
          <t>GOTLAND</t>
        </is>
      </c>
      <c r="G576" t="n">
        <v>3.9</v>
      </c>
      <c r="H576" t="n">
        <v>0</v>
      </c>
      <c r="I576" t="n">
        <v>0</v>
      </c>
      <c r="J576" t="n">
        <v>0</v>
      </c>
      <c r="K576" t="n">
        <v>0</v>
      </c>
      <c r="L576" t="n">
        <v>0</v>
      </c>
      <c r="M576" t="n">
        <v>0</v>
      </c>
      <c r="N576" t="n">
        <v>0</v>
      </c>
      <c r="O576" t="n">
        <v>0</v>
      </c>
      <c r="P576" t="n">
        <v>0</v>
      </c>
      <c r="Q576" t="n">
        <v>0</v>
      </c>
      <c r="R576" s="2" t="inlineStr"/>
    </row>
    <row r="577" ht="15" customHeight="1">
      <c r="A577" t="inlineStr">
        <is>
          <t>A 18918-2025</t>
        </is>
      </c>
      <c r="B577" s="1" t="n">
        <v>45764</v>
      </c>
      <c r="C577" s="1" t="n">
        <v>46122</v>
      </c>
      <c r="D577" t="inlineStr">
        <is>
          <t>GOTLANDS LÄN</t>
        </is>
      </c>
      <c r="E577" t="inlineStr">
        <is>
          <t>GOTLAND</t>
        </is>
      </c>
      <c r="G577" t="n">
        <v>1.7</v>
      </c>
      <c r="H577" t="n">
        <v>0</v>
      </c>
      <c r="I577" t="n">
        <v>0</v>
      </c>
      <c r="J577" t="n">
        <v>0</v>
      </c>
      <c r="K577" t="n">
        <v>0</v>
      </c>
      <c r="L577" t="n">
        <v>0</v>
      </c>
      <c r="M577" t="n">
        <v>0</v>
      </c>
      <c r="N577" t="n">
        <v>0</v>
      </c>
      <c r="O577" t="n">
        <v>0</v>
      </c>
      <c r="P577" t="n">
        <v>0</v>
      </c>
      <c r="Q577" t="n">
        <v>0</v>
      </c>
      <c r="R577" s="2" t="inlineStr"/>
    </row>
    <row r="578" ht="15" customHeight="1">
      <c r="A578" t="inlineStr">
        <is>
          <t>A 2674-2023</t>
        </is>
      </c>
      <c r="B578" s="1" t="n">
        <v>44944</v>
      </c>
      <c r="C578" s="1" t="n">
        <v>46122</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10655-2023</t>
        </is>
      </c>
      <c r="B579" s="1" t="n">
        <v>44988.49543981482</v>
      </c>
      <c r="C579" s="1" t="n">
        <v>46122</v>
      </c>
      <c r="D579" t="inlineStr">
        <is>
          <t>GOTLANDS LÄN</t>
        </is>
      </c>
      <c r="E579" t="inlineStr">
        <is>
          <t>GOTLAND</t>
        </is>
      </c>
      <c r="F579" t="inlineStr">
        <is>
          <t>Kyrkan</t>
        </is>
      </c>
      <c r="G579" t="n">
        <v>2</v>
      </c>
      <c r="H579" t="n">
        <v>0</v>
      </c>
      <c r="I579" t="n">
        <v>0</v>
      </c>
      <c r="J579" t="n">
        <v>0</v>
      </c>
      <c r="K579" t="n">
        <v>0</v>
      </c>
      <c r="L579" t="n">
        <v>0</v>
      </c>
      <c r="M579" t="n">
        <v>0</v>
      </c>
      <c r="N579" t="n">
        <v>0</v>
      </c>
      <c r="O579" t="n">
        <v>0</v>
      </c>
      <c r="P579" t="n">
        <v>0</v>
      </c>
      <c r="Q579" t="n">
        <v>0</v>
      </c>
      <c r="R579" s="2" t="inlineStr"/>
    </row>
    <row r="580" ht="15" customHeight="1">
      <c r="A580" t="inlineStr">
        <is>
          <t>A 2719-2023</t>
        </is>
      </c>
      <c r="B580" s="1" t="n">
        <v>44944.55361111111</v>
      </c>
      <c r="C580" s="1" t="n">
        <v>46122</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26891-2024</t>
        </is>
      </c>
      <c r="B581" s="1" t="n">
        <v>45470.65540509259</v>
      </c>
      <c r="C581" s="1" t="n">
        <v>46122</v>
      </c>
      <c r="D581" t="inlineStr">
        <is>
          <t>GOTLANDS LÄN</t>
        </is>
      </c>
      <c r="E581" t="inlineStr">
        <is>
          <t>GOTLAND</t>
        </is>
      </c>
      <c r="G581" t="n">
        <v>0.8</v>
      </c>
      <c r="H581" t="n">
        <v>0</v>
      </c>
      <c r="I581" t="n">
        <v>0</v>
      </c>
      <c r="J581" t="n">
        <v>0</v>
      </c>
      <c r="K581" t="n">
        <v>0</v>
      </c>
      <c r="L581" t="n">
        <v>0</v>
      </c>
      <c r="M581" t="n">
        <v>0</v>
      </c>
      <c r="N581" t="n">
        <v>0</v>
      </c>
      <c r="O581" t="n">
        <v>0</v>
      </c>
      <c r="P581" t="n">
        <v>0</v>
      </c>
      <c r="Q581" t="n">
        <v>0</v>
      </c>
      <c r="R581" s="2" t="inlineStr"/>
    </row>
    <row r="582" ht="15" customHeight="1">
      <c r="A582" t="inlineStr">
        <is>
          <t>A 42007-2023</t>
        </is>
      </c>
      <c r="B582" s="1" t="n">
        <v>45177</v>
      </c>
      <c r="C582" s="1" t="n">
        <v>46122</v>
      </c>
      <c r="D582" t="inlineStr">
        <is>
          <t>GOTLANDS LÄN</t>
        </is>
      </c>
      <c r="E582" t="inlineStr">
        <is>
          <t>GOTLAND</t>
        </is>
      </c>
      <c r="G582" t="n">
        <v>0.8</v>
      </c>
      <c r="H582" t="n">
        <v>0</v>
      </c>
      <c r="I582" t="n">
        <v>0</v>
      </c>
      <c r="J582" t="n">
        <v>0</v>
      </c>
      <c r="K582" t="n">
        <v>0</v>
      </c>
      <c r="L582" t="n">
        <v>0</v>
      </c>
      <c r="M582" t="n">
        <v>0</v>
      </c>
      <c r="N582" t="n">
        <v>0</v>
      </c>
      <c r="O582" t="n">
        <v>0</v>
      </c>
      <c r="P582" t="n">
        <v>0</v>
      </c>
      <c r="Q582" t="n">
        <v>0</v>
      </c>
      <c r="R582" s="2" t="inlineStr"/>
    </row>
    <row r="583" ht="15" customHeight="1">
      <c r="A583" t="inlineStr">
        <is>
          <t>A 9887-2025</t>
        </is>
      </c>
      <c r="B583" s="1" t="n">
        <v>45716</v>
      </c>
      <c r="C583" s="1" t="n">
        <v>46122</v>
      </c>
      <c r="D583" t="inlineStr">
        <is>
          <t>GOTLANDS LÄN</t>
        </is>
      </c>
      <c r="E583" t="inlineStr">
        <is>
          <t>GOTLAND</t>
        </is>
      </c>
      <c r="G583" t="n">
        <v>7.5</v>
      </c>
      <c r="H583" t="n">
        <v>0</v>
      </c>
      <c r="I583" t="n">
        <v>0</v>
      </c>
      <c r="J583" t="n">
        <v>0</v>
      </c>
      <c r="K583" t="n">
        <v>0</v>
      </c>
      <c r="L583" t="n">
        <v>0</v>
      </c>
      <c r="M583" t="n">
        <v>0</v>
      </c>
      <c r="N583" t="n">
        <v>0</v>
      </c>
      <c r="O583" t="n">
        <v>0</v>
      </c>
      <c r="P583" t="n">
        <v>0</v>
      </c>
      <c r="Q583" t="n">
        <v>0</v>
      </c>
      <c r="R583" s="2" t="inlineStr"/>
    </row>
    <row r="584" ht="15" customHeight="1">
      <c r="A584" t="inlineStr">
        <is>
          <t>A 38165-2023</t>
        </is>
      </c>
      <c r="B584" s="1" t="n">
        <v>45161</v>
      </c>
      <c r="C584" s="1" t="n">
        <v>46122</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27596-2023</t>
        </is>
      </c>
      <c r="B585" s="1" t="n">
        <v>45097</v>
      </c>
      <c r="C585" s="1" t="n">
        <v>46122</v>
      </c>
      <c r="D585" t="inlineStr">
        <is>
          <t>GOTLANDS LÄN</t>
        </is>
      </c>
      <c r="E585" t="inlineStr">
        <is>
          <t>GOTLAND</t>
        </is>
      </c>
      <c r="G585" t="n">
        <v>3.6</v>
      </c>
      <c r="H585" t="n">
        <v>0</v>
      </c>
      <c r="I585" t="n">
        <v>0</v>
      </c>
      <c r="J585" t="n">
        <v>0</v>
      </c>
      <c r="K585" t="n">
        <v>0</v>
      </c>
      <c r="L585" t="n">
        <v>0</v>
      </c>
      <c r="M585" t="n">
        <v>0</v>
      </c>
      <c r="N585" t="n">
        <v>0</v>
      </c>
      <c r="O585" t="n">
        <v>0</v>
      </c>
      <c r="P585" t="n">
        <v>0</v>
      </c>
      <c r="Q585" t="n">
        <v>0</v>
      </c>
      <c r="R585" s="2" t="inlineStr"/>
    </row>
    <row r="586" ht="15" customHeight="1">
      <c r="A586" t="inlineStr">
        <is>
          <t>A 24825-2024</t>
        </is>
      </c>
      <c r="B586" s="1" t="n">
        <v>45461</v>
      </c>
      <c r="C586" s="1" t="n">
        <v>46122</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6696-2023</t>
        </is>
      </c>
      <c r="B587" s="1" t="n">
        <v>44966.66425925926</v>
      </c>
      <c r="C587" s="1" t="n">
        <v>46122</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21247-2022</t>
        </is>
      </c>
      <c r="B588" s="1" t="n">
        <v>44705.38832175926</v>
      </c>
      <c r="C588" s="1" t="n">
        <v>46122</v>
      </c>
      <c r="D588" t="inlineStr">
        <is>
          <t>GOTLANDS LÄN</t>
        </is>
      </c>
      <c r="E588" t="inlineStr">
        <is>
          <t>GOTLAND</t>
        </is>
      </c>
      <c r="G588" t="n">
        <v>16.2</v>
      </c>
      <c r="H588" t="n">
        <v>0</v>
      </c>
      <c r="I588" t="n">
        <v>0</v>
      </c>
      <c r="J588" t="n">
        <v>0</v>
      </c>
      <c r="K588" t="n">
        <v>0</v>
      </c>
      <c r="L588" t="n">
        <v>0</v>
      </c>
      <c r="M588" t="n">
        <v>0</v>
      </c>
      <c r="N588" t="n">
        <v>0</v>
      </c>
      <c r="O588" t="n">
        <v>0</v>
      </c>
      <c r="P588" t="n">
        <v>0</v>
      </c>
      <c r="Q588" t="n">
        <v>0</v>
      </c>
      <c r="R588" s="2" t="inlineStr"/>
    </row>
    <row r="589" ht="15" customHeight="1">
      <c r="A589" t="inlineStr">
        <is>
          <t>A 456-2023</t>
        </is>
      </c>
      <c r="B589" s="1" t="n">
        <v>44929.87122685185</v>
      </c>
      <c r="C589" s="1" t="n">
        <v>46122</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2714-2023</t>
        </is>
      </c>
      <c r="B590" s="1" t="n">
        <v>44944.54896990741</v>
      </c>
      <c r="C590" s="1" t="n">
        <v>46122</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4421-2024</t>
        </is>
      </c>
      <c r="B591" s="1" t="n">
        <v>45327.45173611111</v>
      </c>
      <c r="C591" s="1" t="n">
        <v>46122</v>
      </c>
      <c r="D591" t="inlineStr">
        <is>
          <t>GOTLANDS LÄN</t>
        </is>
      </c>
      <c r="E591" t="inlineStr">
        <is>
          <t>GOTLAND</t>
        </is>
      </c>
      <c r="G591" t="n">
        <v>5.1</v>
      </c>
      <c r="H591" t="n">
        <v>0</v>
      </c>
      <c r="I591" t="n">
        <v>0</v>
      </c>
      <c r="J591" t="n">
        <v>0</v>
      </c>
      <c r="K591" t="n">
        <v>0</v>
      </c>
      <c r="L591" t="n">
        <v>0</v>
      </c>
      <c r="M591" t="n">
        <v>0</v>
      </c>
      <c r="N591" t="n">
        <v>0</v>
      </c>
      <c r="O591" t="n">
        <v>0</v>
      </c>
      <c r="P591" t="n">
        <v>0</v>
      </c>
      <c r="Q591" t="n">
        <v>0</v>
      </c>
      <c r="R591" s="2" t="inlineStr"/>
    </row>
    <row r="592" ht="15" customHeight="1">
      <c r="A592" t="inlineStr">
        <is>
          <t>A 51782-2023</t>
        </is>
      </c>
      <c r="B592" s="1" t="n">
        <v>45222.80952546297</v>
      </c>
      <c r="C592" s="1" t="n">
        <v>46122</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54268-2022</t>
        </is>
      </c>
      <c r="B593" s="1" t="n">
        <v>44882</v>
      </c>
      <c r="C593" s="1" t="n">
        <v>46122</v>
      </c>
      <c r="D593" t="inlineStr">
        <is>
          <t>GOTLANDS LÄN</t>
        </is>
      </c>
      <c r="E593" t="inlineStr">
        <is>
          <t>GOTLAND</t>
        </is>
      </c>
      <c r="G593" t="n">
        <v>2.7</v>
      </c>
      <c r="H593" t="n">
        <v>0</v>
      </c>
      <c r="I593" t="n">
        <v>0</v>
      </c>
      <c r="J593" t="n">
        <v>0</v>
      </c>
      <c r="K593" t="n">
        <v>0</v>
      </c>
      <c r="L593" t="n">
        <v>0</v>
      </c>
      <c r="M593" t="n">
        <v>0</v>
      </c>
      <c r="N593" t="n">
        <v>0</v>
      </c>
      <c r="O593" t="n">
        <v>0</v>
      </c>
      <c r="P593" t="n">
        <v>0</v>
      </c>
      <c r="Q593" t="n">
        <v>0</v>
      </c>
      <c r="R593" s="2" t="inlineStr"/>
    </row>
    <row r="594" ht="15" customHeight="1">
      <c r="A594" t="inlineStr">
        <is>
          <t>A 57534-2022</t>
        </is>
      </c>
      <c r="B594" s="1" t="n">
        <v>44896</v>
      </c>
      <c r="C594" s="1" t="n">
        <v>46122</v>
      </c>
      <c r="D594" t="inlineStr">
        <is>
          <t>GOTLANDS LÄN</t>
        </is>
      </c>
      <c r="E594" t="inlineStr">
        <is>
          <t>GOTLAND</t>
        </is>
      </c>
      <c r="G594" t="n">
        <v>0.6</v>
      </c>
      <c r="H594" t="n">
        <v>0</v>
      </c>
      <c r="I594" t="n">
        <v>0</v>
      </c>
      <c r="J594" t="n">
        <v>0</v>
      </c>
      <c r="K594" t="n">
        <v>0</v>
      </c>
      <c r="L594" t="n">
        <v>0</v>
      </c>
      <c r="M594" t="n">
        <v>0</v>
      </c>
      <c r="N594" t="n">
        <v>0</v>
      </c>
      <c r="O594" t="n">
        <v>0</v>
      </c>
      <c r="P594" t="n">
        <v>0</v>
      </c>
      <c r="Q594" t="n">
        <v>0</v>
      </c>
      <c r="R594" s="2" t="inlineStr"/>
    </row>
    <row r="595" ht="15" customHeight="1">
      <c r="A595" t="inlineStr">
        <is>
          <t>A 25866-2022</t>
        </is>
      </c>
      <c r="B595" s="1" t="n">
        <v>44733</v>
      </c>
      <c r="C595" s="1" t="n">
        <v>46122</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43229-2023</t>
        </is>
      </c>
      <c r="B596" s="1" t="n">
        <v>45183.46704861111</v>
      </c>
      <c r="C596" s="1" t="n">
        <v>46122</v>
      </c>
      <c r="D596" t="inlineStr">
        <is>
          <t>GOTLANDS LÄN</t>
        </is>
      </c>
      <c r="E596" t="inlineStr">
        <is>
          <t>GOTLAND</t>
        </is>
      </c>
      <c r="G596" t="n">
        <v>7.1</v>
      </c>
      <c r="H596" t="n">
        <v>0</v>
      </c>
      <c r="I596" t="n">
        <v>0</v>
      </c>
      <c r="J596" t="n">
        <v>0</v>
      </c>
      <c r="K596" t="n">
        <v>0</v>
      </c>
      <c r="L596" t="n">
        <v>0</v>
      </c>
      <c r="M596" t="n">
        <v>0</v>
      </c>
      <c r="N596" t="n">
        <v>0</v>
      </c>
      <c r="O596" t="n">
        <v>0</v>
      </c>
      <c r="P596" t="n">
        <v>0</v>
      </c>
      <c r="Q596" t="n">
        <v>0</v>
      </c>
      <c r="R596" s="2" t="inlineStr"/>
    </row>
    <row r="597" ht="15" customHeight="1">
      <c r="A597" t="inlineStr">
        <is>
          <t>A 1175-2025</t>
        </is>
      </c>
      <c r="B597" s="1" t="n">
        <v>45667.34449074074</v>
      </c>
      <c r="C597" s="1" t="n">
        <v>46122</v>
      </c>
      <c r="D597" t="inlineStr">
        <is>
          <t>GOTLANDS LÄN</t>
        </is>
      </c>
      <c r="E597" t="inlineStr">
        <is>
          <t>GOTLAND</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27095-2022</t>
        </is>
      </c>
      <c r="B598" s="1" t="n">
        <v>44741</v>
      </c>
      <c r="C598" s="1" t="n">
        <v>46122</v>
      </c>
      <c r="D598" t="inlineStr">
        <is>
          <t>GOTLANDS LÄN</t>
        </is>
      </c>
      <c r="E598" t="inlineStr">
        <is>
          <t>GOTLAND</t>
        </is>
      </c>
      <c r="F598" t="inlineStr">
        <is>
          <t>Övriga Aktiebolag</t>
        </is>
      </c>
      <c r="G598" t="n">
        <v>2.9</v>
      </c>
      <c r="H598" t="n">
        <v>0</v>
      </c>
      <c r="I598" t="n">
        <v>0</v>
      </c>
      <c r="J598" t="n">
        <v>0</v>
      </c>
      <c r="K598" t="n">
        <v>0</v>
      </c>
      <c r="L598" t="n">
        <v>0</v>
      </c>
      <c r="M598" t="n">
        <v>0</v>
      </c>
      <c r="N598" t="n">
        <v>0</v>
      </c>
      <c r="O598" t="n">
        <v>0</v>
      </c>
      <c r="P598" t="n">
        <v>0</v>
      </c>
      <c r="Q598" t="n">
        <v>0</v>
      </c>
      <c r="R598" s="2" t="inlineStr"/>
    </row>
    <row r="599" ht="15" customHeight="1">
      <c r="A599" t="inlineStr">
        <is>
          <t>A 22899-2023</t>
        </is>
      </c>
      <c r="B599" s="1" t="n">
        <v>45072</v>
      </c>
      <c r="C599" s="1" t="n">
        <v>46122</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23978-2023</t>
        </is>
      </c>
      <c r="B600" s="1" t="n">
        <v>45078</v>
      </c>
      <c r="C600" s="1" t="n">
        <v>46122</v>
      </c>
      <c r="D600" t="inlineStr">
        <is>
          <t>GOTLANDS LÄN</t>
        </is>
      </c>
      <c r="E600" t="inlineStr">
        <is>
          <t>GOTLAND</t>
        </is>
      </c>
      <c r="F600" t="inlineStr">
        <is>
          <t>Naturvårdsverket</t>
        </is>
      </c>
      <c r="G600" t="n">
        <v>1.7</v>
      </c>
      <c r="H600" t="n">
        <v>0</v>
      </c>
      <c r="I600" t="n">
        <v>0</v>
      </c>
      <c r="J600" t="n">
        <v>0</v>
      </c>
      <c r="K600" t="n">
        <v>0</v>
      </c>
      <c r="L600" t="n">
        <v>0</v>
      </c>
      <c r="M600" t="n">
        <v>0</v>
      </c>
      <c r="N600" t="n">
        <v>0</v>
      </c>
      <c r="O600" t="n">
        <v>0</v>
      </c>
      <c r="P600" t="n">
        <v>0</v>
      </c>
      <c r="Q600" t="n">
        <v>0</v>
      </c>
      <c r="R600" s="2" t="inlineStr"/>
    </row>
    <row r="601" ht="15" customHeight="1">
      <c r="A601" t="inlineStr">
        <is>
          <t>A 34407-2023</t>
        </is>
      </c>
      <c r="B601" s="1" t="n">
        <v>45132</v>
      </c>
      <c r="C601" s="1" t="n">
        <v>46122</v>
      </c>
      <c r="D601" t="inlineStr">
        <is>
          <t>GOTLANDS LÄN</t>
        </is>
      </c>
      <c r="E601" t="inlineStr">
        <is>
          <t>GOTLAND</t>
        </is>
      </c>
      <c r="G601" t="n">
        <v>4.4</v>
      </c>
      <c r="H601" t="n">
        <v>0</v>
      </c>
      <c r="I601" t="n">
        <v>0</v>
      </c>
      <c r="J601" t="n">
        <v>0</v>
      </c>
      <c r="K601" t="n">
        <v>0</v>
      </c>
      <c r="L601" t="n">
        <v>0</v>
      </c>
      <c r="M601" t="n">
        <v>0</v>
      </c>
      <c r="N601" t="n">
        <v>0</v>
      </c>
      <c r="O601" t="n">
        <v>0</v>
      </c>
      <c r="P601" t="n">
        <v>0</v>
      </c>
      <c r="Q601" t="n">
        <v>0</v>
      </c>
      <c r="R601" s="2" t="inlineStr"/>
    </row>
    <row r="602" ht="15" customHeight="1">
      <c r="A602" t="inlineStr">
        <is>
          <t>A 11013-2024</t>
        </is>
      </c>
      <c r="B602" s="1" t="n">
        <v>45370</v>
      </c>
      <c r="C602" s="1" t="n">
        <v>46122</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27694-2024</t>
        </is>
      </c>
      <c r="B603" s="1" t="n">
        <v>45475</v>
      </c>
      <c r="C603" s="1" t="n">
        <v>46122</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15083-2025</t>
        </is>
      </c>
      <c r="B604" s="1" t="n">
        <v>45743</v>
      </c>
      <c r="C604" s="1" t="n">
        <v>46122</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row r="605" ht="15" customHeight="1">
      <c r="A605" t="inlineStr">
        <is>
          <t>A 13037-2025</t>
        </is>
      </c>
      <c r="B605" s="1" t="n">
        <v>45734</v>
      </c>
      <c r="C605" s="1" t="n">
        <v>46122</v>
      </c>
      <c r="D605" t="inlineStr">
        <is>
          <t>GOTLANDS LÄN</t>
        </is>
      </c>
      <c r="E605" t="inlineStr">
        <is>
          <t>GOTLAND</t>
        </is>
      </c>
      <c r="G605" t="n">
        <v>9.5</v>
      </c>
      <c r="H605" t="n">
        <v>0</v>
      </c>
      <c r="I605" t="n">
        <v>0</v>
      </c>
      <c r="J605" t="n">
        <v>0</v>
      </c>
      <c r="K605" t="n">
        <v>0</v>
      </c>
      <c r="L605" t="n">
        <v>0</v>
      </c>
      <c r="M605" t="n">
        <v>0</v>
      </c>
      <c r="N605" t="n">
        <v>0</v>
      </c>
      <c r="O605" t="n">
        <v>0</v>
      </c>
      <c r="P605" t="n">
        <v>0</v>
      </c>
      <c r="Q605" t="n">
        <v>0</v>
      </c>
      <c r="R605" s="2" t="inlineStr"/>
    </row>
    <row r="606" ht="15" customHeight="1">
      <c r="A606" t="inlineStr">
        <is>
          <t>A 458-2023</t>
        </is>
      </c>
      <c r="B606" s="1" t="n">
        <v>44929</v>
      </c>
      <c r="C606" s="1" t="n">
        <v>46122</v>
      </c>
      <c r="D606" t="inlineStr">
        <is>
          <t>GOTLANDS LÄN</t>
        </is>
      </c>
      <c r="E606" t="inlineStr">
        <is>
          <t>GOTLAND</t>
        </is>
      </c>
      <c r="G606" t="n">
        <v>3.6</v>
      </c>
      <c r="H606" t="n">
        <v>0</v>
      </c>
      <c r="I606" t="n">
        <v>0</v>
      </c>
      <c r="J606" t="n">
        <v>0</v>
      </c>
      <c r="K606" t="n">
        <v>0</v>
      </c>
      <c r="L606" t="n">
        <v>0</v>
      </c>
      <c r="M606" t="n">
        <v>0</v>
      </c>
      <c r="N606" t="n">
        <v>0</v>
      </c>
      <c r="O606" t="n">
        <v>0</v>
      </c>
      <c r="P606" t="n">
        <v>0</v>
      </c>
      <c r="Q606" t="n">
        <v>0</v>
      </c>
      <c r="R606" s="2" t="inlineStr"/>
    </row>
    <row r="607" ht="15" customHeight="1">
      <c r="A607" t="inlineStr">
        <is>
          <t>A 44228-2022</t>
        </is>
      </c>
      <c r="B607" s="1" t="n">
        <v>44839.51599537037</v>
      </c>
      <c r="C607" s="1" t="n">
        <v>46122</v>
      </c>
      <c r="D607" t="inlineStr">
        <is>
          <t>GOTLANDS LÄN</t>
        </is>
      </c>
      <c r="E607" t="inlineStr">
        <is>
          <t>GOTLAND</t>
        </is>
      </c>
      <c r="G607" t="n">
        <v>2.1</v>
      </c>
      <c r="H607" t="n">
        <v>0</v>
      </c>
      <c r="I607" t="n">
        <v>0</v>
      </c>
      <c r="J607" t="n">
        <v>0</v>
      </c>
      <c r="K607" t="n">
        <v>0</v>
      </c>
      <c r="L607" t="n">
        <v>0</v>
      </c>
      <c r="M607" t="n">
        <v>0</v>
      </c>
      <c r="N607" t="n">
        <v>0</v>
      </c>
      <c r="O607" t="n">
        <v>0</v>
      </c>
      <c r="P607" t="n">
        <v>0</v>
      </c>
      <c r="Q607" t="n">
        <v>0</v>
      </c>
      <c r="R607" s="2" t="inlineStr"/>
    </row>
    <row r="608" ht="15" customHeight="1">
      <c r="A608" t="inlineStr">
        <is>
          <t>A 58132-2023</t>
        </is>
      </c>
      <c r="B608" s="1" t="n">
        <v>45250</v>
      </c>
      <c r="C608" s="1" t="n">
        <v>46122</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49884-2023</t>
        </is>
      </c>
      <c r="B609" s="1" t="n">
        <v>45213</v>
      </c>
      <c r="C609" s="1" t="n">
        <v>46122</v>
      </c>
      <c r="D609" t="inlineStr">
        <is>
          <t>GOTLANDS LÄN</t>
        </is>
      </c>
      <c r="E609" t="inlineStr">
        <is>
          <t>GOTLAND</t>
        </is>
      </c>
      <c r="G609" t="n">
        <v>8.9</v>
      </c>
      <c r="H609" t="n">
        <v>0</v>
      </c>
      <c r="I609" t="n">
        <v>0</v>
      </c>
      <c r="J609" t="n">
        <v>0</v>
      </c>
      <c r="K609" t="n">
        <v>0</v>
      </c>
      <c r="L609" t="n">
        <v>0</v>
      </c>
      <c r="M609" t="n">
        <v>0</v>
      </c>
      <c r="N609" t="n">
        <v>0</v>
      </c>
      <c r="O609" t="n">
        <v>0</v>
      </c>
      <c r="P609" t="n">
        <v>0</v>
      </c>
      <c r="Q609" t="n">
        <v>0</v>
      </c>
      <c r="R609" s="2" t="inlineStr"/>
    </row>
    <row r="610" ht="15" customHeight="1">
      <c r="A610" t="inlineStr">
        <is>
          <t>A 876-2024</t>
        </is>
      </c>
      <c r="B610" s="1" t="n">
        <v>45301</v>
      </c>
      <c r="C610" s="1" t="n">
        <v>46122</v>
      </c>
      <c r="D610" t="inlineStr">
        <is>
          <t>GOTLANDS LÄN</t>
        </is>
      </c>
      <c r="E610" t="inlineStr">
        <is>
          <t>GOTLAND</t>
        </is>
      </c>
      <c r="G610" t="n">
        <v>5.3</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46122</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28425-2023</t>
        </is>
      </c>
      <c r="B612" s="1" t="n">
        <v>45102</v>
      </c>
      <c r="C612" s="1" t="n">
        <v>46122</v>
      </c>
      <c r="D612" t="inlineStr">
        <is>
          <t>GOTLANDS LÄN</t>
        </is>
      </c>
      <c r="E612" t="inlineStr">
        <is>
          <t>GOTLAND</t>
        </is>
      </c>
      <c r="G612" t="n">
        <v>0.5</v>
      </c>
      <c r="H612" t="n">
        <v>0</v>
      </c>
      <c r="I612" t="n">
        <v>0</v>
      </c>
      <c r="J612" t="n">
        <v>0</v>
      </c>
      <c r="K612" t="n">
        <v>0</v>
      </c>
      <c r="L612" t="n">
        <v>0</v>
      </c>
      <c r="M612" t="n">
        <v>0</v>
      </c>
      <c r="N612" t="n">
        <v>0</v>
      </c>
      <c r="O612" t="n">
        <v>0</v>
      </c>
      <c r="P612" t="n">
        <v>0</v>
      </c>
      <c r="Q612" t="n">
        <v>0</v>
      </c>
      <c r="R612" s="2" t="inlineStr"/>
    </row>
    <row r="613" ht="15" customHeight="1">
      <c r="A613" t="inlineStr">
        <is>
          <t>A 58476-2022</t>
        </is>
      </c>
      <c r="B613" s="1" t="n">
        <v>44902</v>
      </c>
      <c r="C613" s="1" t="n">
        <v>46122</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43200-2023</t>
        </is>
      </c>
      <c r="B614" s="1" t="n">
        <v>45183</v>
      </c>
      <c r="C614" s="1" t="n">
        <v>46122</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43223-2023</t>
        </is>
      </c>
      <c r="B615" s="1" t="n">
        <v>45183.45642361111</v>
      </c>
      <c r="C615" s="1" t="n">
        <v>46122</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12327-2025</t>
        </is>
      </c>
      <c r="B616" s="1" t="n">
        <v>45730</v>
      </c>
      <c r="C616" s="1" t="n">
        <v>46122</v>
      </c>
      <c r="D616" t="inlineStr">
        <is>
          <t>GOTLANDS LÄN</t>
        </is>
      </c>
      <c r="E616" t="inlineStr">
        <is>
          <t>GOTLAND</t>
        </is>
      </c>
      <c r="G616" t="n">
        <v>1.8</v>
      </c>
      <c r="H616" t="n">
        <v>0</v>
      </c>
      <c r="I616" t="n">
        <v>0</v>
      </c>
      <c r="J616" t="n">
        <v>0</v>
      </c>
      <c r="K616" t="n">
        <v>0</v>
      </c>
      <c r="L616" t="n">
        <v>0</v>
      </c>
      <c r="M616" t="n">
        <v>0</v>
      </c>
      <c r="N616" t="n">
        <v>0</v>
      </c>
      <c r="O616" t="n">
        <v>0</v>
      </c>
      <c r="P616" t="n">
        <v>0</v>
      </c>
      <c r="Q616" t="n">
        <v>0</v>
      </c>
      <c r="R616" s="2" t="inlineStr"/>
    </row>
    <row r="617" ht="15" customHeight="1">
      <c r="A617" t="inlineStr">
        <is>
          <t>A 3431-2025</t>
        </is>
      </c>
      <c r="B617" s="1" t="n">
        <v>45680.42935185185</v>
      </c>
      <c r="C617" s="1" t="n">
        <v>46122</v>
      </c>
      <c r="D617" t="inlineStr">
        <is>
          <t>GOTLANDS LÄN</t>
        </is>
      </c>
      <c r="E617" t="inlineStr">
        <is>
          <t>GOTLAND</t>
        </is>
      </c>
      <c r="G617" t="n">
        <v>4.8</v>
      </c>
      <c r="H617" t="n">
        <v>0</v>
      </c>
      <c r="I617" t="n">
        <v>0</v>
      </c>
      <c r="J617" t="n">
        <v>0</v>
      </c>
      <c r="K617" t="n">
        <v>0</v>
      </c>
      <c r="L617" t="n">
        <v>0</v>
      </c>
      <c r="M617" t="n">
        <v>0</v>
      </c>
      <c r="N617" t="n">
        <v>0</v>
      </c>
      <c r="O617" t="n">
        <v>0</v>
      </c>
      <c r="P617" t="n">
        <v>0</v>
      </c>
      <c r="Q617" t="n">
        <v>0</v>
      </c>
      <c r="R617" s="2" t="inlineStr"/>
    </row>
    <row r="618" ht="15" customHeight="1">
      <c r="A618" t="inlineStr">
        <is>
          <t>A 12209-2024</t>
        </is>
      </c>
      <c r="B618" s="1" t="n">
        <v>45378</v>
      </c>
      <c r="C618" s="1" t="n">
        <v>46122</v>
      </c>
      <c r="D618" t="inlineStr">
        <is>
          <t>GOTLANDS LÄN</t>
        </is>
      </c>
      <c r="E618" t="inlineStr">
        <is>
          <t>GOTLAND</t>
        </is>
      </c>
      <c r="G618" t="n">
        <v>5.3</v>
      </c>
      <c r="H618" t="n">
        <v>0</v>
      </c>
      <c r="I618" t="n">
        <v>0</v>
      </c>
      <c r="J618" t="n">
        <v>0</v>
      </c>
      <c r="K618" t="n">
        <v>0</v>
      </c>
      <c r="L618" t="n">
        <v>0</v>
      </c>
      <c r="M618" t="n">
        <v>0</v>
      </c>
      <c r="N618" t="n">
        <v>0</v>
      </c>
      <c r="O618" t="n">
        <v>0</v>
      </c>
      <c r="P618" t="n">
        <v>0</v>
      </c>
      <c r="Q618" t="n">
        <v>0</v>
      </c>
      <c r="R618" s="2" t="inlineStr"/>
    </row>
    <row r="619" ht="15" customHeight="1">
      <c r="A619" t="inlineStr">
        <is>
          <t>A 12210-2024</t>
        </is>
      </c>
      <c r="B619" s="1" t="n">
        <v>45378</v>
      </c>
      <c r="C619" s="1" t="n">
        <v>46122</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1364-2025</t>
        </is>
      </c>
      <c r="B620" s="1" t="n">
        <v>45667.63929398148</v>
      </c>
      <c r="C620" s="1" t="n">
        <v>46122</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15042-2025</t>
        </is>
      </c>
      <c r="B621" s="1" t="n">
        <v>45743</v>
      </c>
      <c r="C621" s="1" t="n">
        <v>46122</v>
      </c>
      <c r="D621" t="inlineStr">
        <is>
          <t>GOTLANDS LÄN</t>
        </is>
      </c>
      <c r="E621" t="inlineStr">
        <is>
          <t>GOTLAND</t>
        </is>
      </c>
      <c r="G621" t="n">
        <v>8.5</v>
      </c>
      <c r="H621" t="n">
        <v>0</v>
      </c>
      <c r="I621" t="n">
        <v>0</v>
      </c>
      <c r="J621" t="n">
        <v>0</v>
      </c>
      <c r="K621" t="n">
        <v>0</v>
      </c>
      <c r="L621" t="n">
        <v>0</v>
      </c>
      <c r="M621" t="n">
        <v>0</v>
      </c>
      <c r="N621" t="n">
        <v>0</v>
      </c>
      <c r="O621" t="n">
        <v>0</v>
      </c>
      <c r="P621" t="n">
        <v>0</v>
      </c>
      <c r="Q621" t="n">
        <v>0</v>
      </c>
      <c r="R621" s="2" t="inlineStr"/>
    </row>
    <row r="622" ht="15" customHeight="1">
      <c r="A622" t="inlineStr">
        <is>
          <t>A 2180-2025</t>
        </is>
      </c>
      <c r="B622" s="1" t="n">
        <v>45673</v>
      </c>
      <c r="C622" s="1" t="n">
        <v>46122</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15436-2025</t>
        </is>
      </c>
      <c r="B623" s="1" t="n">
        <v>45747.47462962963</v>
      </c>
      <c r="C623" s="1" t="n">
        <v>46122</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49257-2024</t>
        </is>
      </c>
      <c r="B624" s="1" t="n">
        <v>45595.47627314815</v>
      </c>
      <c r="C624" s="1" t="n">
        <v>46122</v>
      </c>
      <c r="D624" t="inlineStr">
        <is>
          <t>GOTLANDS LÄN</t>
        </is>
      </c>
      <c r="E624" t="inlineStr">
        <is>
          <t>GOTLAND</t>
        </is>
      </c>
      <c r="G624" t="n">
        <v>6.3</v>
      </c>
      <c r="H624" t="n">
        <v>0</v>
      </c>
      <c r="I624" t="n">
        <v>0</v>
      </c>
      <c r="J624" t="n">
        <v>0</v>
      </c>
      <c r="K624" t="n">
        <v>0</v>
      </c>
      <c r="L624" t="n">
        <v>0</v>
      </c>
      <c r="M624" t="n">
        <v>0</v>
      </c>
      <c r="N624" t="n">
        <v>0</v>
      </c>
      <c r="O624" t="n">
        <v>0</v>
      </c>
      <c r="P624" t="n">
        <v>0</v>
      </c>
      <c r="Q624" t="n">
        <v>0</v>
      </c>
      <c r="R624" s="2" t="inlineStr"/>
    </row>
    <row r="625" ht="15" customHeight="1">
      <c r="A625" t="inlineStr">
        <is>
          <t>A 37202-2024</t>
        </is>
      </c>
      <c r="B625" s="1" t="n">
        <v>45539.67310185185</v>
      </c>
      <c r="C625" s="1" t="n">
        <v>46122</v>
      </c>
      <c r="D625" t="inlineStr">
        <is>
          <t>GOTLANDS LÄN</t>
        </is>
      </c>
      <c r="E625" t="inlineStr">
        <is>
          <t>GOTLAND</t>
        </is>
      </c>
      <c r="G625" t="n">
        <v>0.3</v>
      </c>
      <c r="H625" t="n">
        <v>0</v>
      </c>
      <c r="I625" t="n">
        <v>0</v>
      </c>
      <c r="J625" t="n">
        <v>0</v>
      </c>
      <c r="K625" t="n">
        <v>0</v>
      </c>
      <c r="L625" t="n">
        <v>0</v>
      </c>
      <c r="M625" t="n">
        <v>0</v>
      </c>
      <c r="N625" t="n">
        <v>0</v>
      </c>
      <c r="O625" t="n">
        <v>0</v>
      </c>
      <c r="P625" t="n">
        <v>0</v>
      </c>
      <c r="Q625" t="n">
        <v>0</v>
      </c>
      <c r="R625" s="2" t="inlineStr"/>
    </row>
    <row r="626" ht="15" customHeight="1">
      <c r="A626" t="inlineStr">
        <is>
          <t>A 56115-2023</t>
        </is>
      </c>
      <c r="B626" s="1" t="n">
        <v>45236</v>
      </c>
      <c r="C626" s="1" t="n">
        <v>46122</v>
      </c>
      <c r="D626" t="inlineStr">
        <is>
          <t>GOTLANDS LÄN</t>
        </is>
      </c>
      <c r="E626" t="inlineStr">
        <is>
          <t>GOTLAND</t>
        </is>
      </c>
      <c r="G626" t="n">
        <v>2</v>
      </c>
      <c r="H626" t="n">
        <v>0</v>
      </c>
      <c r="I626" t="n">
        <v>0</v>
      </c>
      <c r="J626" t="n">
        <v>0</v>
      </c>
      <c r="K626" t="n">
        <v>0</v>
      </c>
      <c r="L626" t="n">
        <v>0</v>
      </c>
      <c r="M626" t="n">
        <v>0</v>
      </c>
      <c r="N626" t="n">
        <v>0</v>
      </c>
      <c r="O626" t="n">
        <v>0</v>
      </c>
      <c r="P626" t="n">
        <v>0</v>
      </c>
      <c r="Q626" t="n">
        <v>0</v>
      </c>
      <c r="R626" s="2" t="inlineStr"/>
    </row>
    <row r="627" ht="15" customHeight="1">
      <c r="A627" t="inlineStr">
        <is>
          <t>A 2774-2024</t>
        </is>
      </c>
      <c r="B627" s="1" t="n">
        <v>45314.62375</v>
      </c>
      <c r="C627" s="1" t="n">
        <v>46122</v>
      </c>
      <c r="D627" t="inlineStr">
        <is>
          <t>GOTLANDS LÄN</t>
        </is>
      </c>
      <c r="E627" t="inlineStr">
        <is>
          <t>GOTLAND</t>
        </is>
      </c>
      <c r="G627" t="n">
        <v>1</v>
      </c>
      <c r="H627" t="n">
        <v>0</v>
      </c>
      <c r="I627" t="n">
        <v>0</v>
      </c>
      <c r="J627" t="n">
        <v>0</v>
      </c>
      <c r="K627" t="n">
        <v>0</v>
      </c>
      <c r="L627" t="n">
        <v>0</v>
      </c>
      <c r="M627" t="n">
        <v>0</v>
      </c>
      <c r="N627" t="n">
        <v>0</v>
      </c>
      <c r="O627" t="n">
        <v>0</v>
      </c>
      <c r="P627" t="n">
        <v>0</v>
      </c>
      <c r="Q627" t="n">
        <v>0</v>
      </c>
      <c r="R627" s="2" t="inlineStr"/>
    </row>
    <row r="628" ht="15" customHeight="1">
      <c r="A628" t="inlineStr">
        <is>
          <t>A 60709-2023</t>
        </is>
      </c>
      <c r="B628" s="1" t="n">
        <v>45260</v>
      </c>
      <c r="C628" s="1" t="n">
        <v>46122</v>
      </c>
      <c r="D628" t="inlineStr">
        <is>
          <t>GOTLANDS LÄN</t>
        </is>
      </c>
      <c r="E628" t="inlineStr">
        <is>
          <t>GOTLAND</t>
        </is>
      </c>
      <c r="G628" t="n">
        <v>1.7</v>
      </c>
      <c r="H628" t="n">
        <v>0</v>
      </c>
      <c r="I628" t="n">
        <v>0</v>
      </c>
      <c r="J628" t="n">
        <v>0</v>
      </c>
      <c r="K628" t="n">
        <v>0</v>
      </c>
      <c r="L628" t="n">
        <v>0</v>
      </c>
      <c r="M628" t="n">
        <v>0</v>
      </c>
      <c r="N628" t="n">
        <v>0</v>
      </c>
      <c r="O628" t="n">
        <v>0</v>
      </c>
      <c r="P628" t="n">
        <v>0</v>
      </c>
      <c r="Q628" t="n">
        <v>0</v>
      </c>
      <c r="R628" s="2" t="inlineStr"/>
    </row>
    <row r="629" ht="15" customHeight="1">
      <c r="A629" t="inlineStr">
        <is>
          <t>A 64208-2021</t>
        </is>
      </c>
      <c r="B629" s="1" t="n">
        <v>44510</v>
      </c>
      <c r="C629" s="1" t="n">
        <v>46122</v>
      </c>
      <c r="D629" t="inlineStr">
        <is>
          <t>GOTLANDS LÄN</t>
        </is>
      </c>
      <c r="E629" t="inlineStr">
        <is>
          <t>GOTLAND</t>
        </is>
      </c>
      <c r="G629" t="n">
        <v>4.7</v>
      </c>
      <c r="H629" t="n">
        <v>0</v>
      </c>
      <c r="I629" t="n">
        <v>0</v>
      </c>
      <c r="J629" t="n">
        <v>0</v>
      </c>
      <c r="K629" t="n">
        <v>0</v>
      </c>
      <c r="L629" t="n">
        <v>0</v>
      </c>
      <c r="M629" t="n">
        <v>0</v>
      </c>
      <c r="N629" t="n">
        <v>0</v>
      </c>
      <c r="O629" t="n">
        <v>0</v>
      </c>
      <c r="P629" t="n">
        <v>0</v>
      </c>
      <c r="Q629" t="n">
        <v>0</v>
      </c>
      <c r="R629" s="2" t="inlineStr"/>
    </row>
    <row r="630" ht="15" customHeight="1">
      <c r="A630" t="inlineStr">
        <is>
          <t>A 39764-2022</t>
        </is>
      </c>
      <c r="B630" s="1" t="n">
        <v>44819</v>
      </c>
      <c r="C630" s="1" t="n">
        <v>46122</v>
      </c>
      <c r="D630" t="inlineStr">
        <is>
          <t>GOTLANDS LÄN</t>
        </is>
      </c>
      <c r="E630" t="inlineStr">
        <is>
          <t>GOTLAND</t>
        </is>
      </c>
      <c r="F630" t="inlineStr">
        <is>
          <t>Kyrkan</t>
        </is>
      </c>
      <c r="G630" t="n">
        <v>3.7</v>
      </c>
      <c r="H630" t="n">
        <v>0</v>
      </c>
      <c r="I630" t="n">
        <v>0</v>
      </c>
      <c r="J630" t="n">
        <v>0</v>
      </c>
      <c r="K630" t="n">
        <v>0</v>
      </c>
      <c r="L630" t="n">
        <v>0</v>
      </c>
      <c r="M630" t="n">
        <v>0</v>
      </c>
      <c r="N630" t="n">
        <v>0</v>
      </c>
      <c r="O630" t="n">
        <v>0</v>
      </c>
      <c r="P630" t="n">
        <v>0</v>
      </c>
      <c r="Q630" t="n">
        <v>0</v>
      </c>
      <c r="R630" s="2" t="inlineStr"/>
    </row>
    <row r="631" ht="15" customHeight="1">
      <c r="A631" t="inlineStr">
        <is>
          <t>A 58211-2024</t>
        </is>
      </c>
      <c r="B631" s="1" t="n">
        <v>45632.49292824074</v>
      </c>
      <c r="C631" s="1" t="n">
        <v>46122</v>
      </c>
      <c r="D631" t="inlineStr">
        <is>
          <t>GOTLANDS LÄN</t>
        </is>
      </c>
      <c r="E631" t="inlineStr">
        <is>
          <t>GOTLAND</t>
        </is>
      </c>
      <c r="G631" t="n">
        <v>5.4</v>
      </c>
      <c r="H631" t="n">
        <v>0</v>
      </c>
      <c r="I631" t="n">
        <v>0</v>
      </c>
      <c r="J631" t="n">
        <v>0</v>
      </c>
      <c r="K631" t="n">
        <v>0</v>
      </c>
      <c r="L631" t="n">
        <v>0</v>
      </c>
      <c r="M631" t="n">
        <v>0</v>
      </c>
      <c r="N631" t="n">
        <v>0</v>
      </c>
      <c r="O631" t="n">
        <v>0</v>
      </c>
      <c r="P631" t="n">
        <v>0</v>
      </c>
      <c r="Q631" t="n">
        <v>0</v>
      </c>
      <c r="R631" s="2" t="inlineStr"/>
    </row>
    <row r="632" ht="15" customHeight="1">
      <c r="A632" t="inlineStr">
        <is>
          <t>A 30956-2024</t>
        </is>
      </c>
      <c r="B632" s="1" t="n">
        <v>45499.42527777778</v>
      </c>
      <c r="C632" s="1" t="n">
        <v>46122</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30892-2024</t>
        </is>
      </c>
      <c r="B633" s="1" t="n">
        <v>45491</v>
      </c>
      <c r="C633" s="1" t="n">
        <v>46122</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14635-2023</t>
        </is>
      </c>
      <c r="B634" s="1" t="n">
        <v>45013.69365740741</v>
      </c>
      <c r="C634" s="1" t="n">
        <v>46122</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59469-2024</t>
        </is>
      </c>
      <c r="B635" s="1" t="n">
        <v>45638</v>
      </c>
      <c r="C635" s="1" t="n">
        <v>46122</v>
      </c>
      <c r="D635" t="inlineStr">
        <is>
          <t>GOTLANDS LÄN</t>
        </is>
      </c>
      <c r="E635" t="inlineStr">
        <is>
          <t>GOTLAND</t>
        </is>
      </c>
      <c r="G635" t="n">
        <v>0.4</v>
      </c>
      <c r="H635" t="n">
        <v>0</v>
      </c>
      <c r="I635" t="n">
        <v>0</v>
      </c>
      <c r="J635" t="n">
        <v>0</v>
      </c>
      <c r="K635" t="n">
        <v>0</v>
      </c>
      <c r="L635" t="n">
        <v>0</v>
      </c>
      <c r="M635" t="n">
        <v>0</v>
      </c>
      <c r="N635" t="n">
        <v>0</v>
      </c>
      <c r="O635" t="n">
        <v>0</v>
      </c>
      <c r="P635" t="n">
        <v>0</v>
      </c>
      <c r="Q635" t="n">
        <v>0</v>
      </c>
      <c r="R635" s="2" t="inlineStr"/>
    </row>
    <row r="636" ht="15" customHeight="1">
      <c r="A636" t="inlineStr">
        <is>
          <t>A 7858-2025</t>
        </is>
      </c>
      <c r="B636" s="1" t="n">
        <v>45706.68633101852</v>
      </c>
      <c r="C636" s="1" t="n">
        <v>46122</v>
      </c>
      <c r="D636" t="inlineStr">
        <is>
          <t>GOTLANDS LÄN</t>
        </is>
      </c>
      <c r="E636" t="inlineStr">
        <is>
          <t>GOTLAND</t>
        </is>
      </c>
      <c r="G636" t="n">
        <v>3</v>
      </c>
      <c r="H636" t="n">
        <v>0</v>
      </c>
      <c r="I636" t="n">
        <v>0</v>
      </c>
      <c r="J636" t="n">
        <v>0</v>
      </c>
      <c r="K636" t="n">
        <v>0</v>
      </c>
      <c r="L636" t="n">
        <v>0</v>
      </c>
      <c r="M636" t="n">
        <v>0</v>
      </c>
      <c r="N636" t="n">
        <v>0</v>
      </c>
      <c r="O636" t="n">
        <v>0</v>
      </c>
      <c r="P636" t="n">
        <v>0</v>
      </c>
      <c r="Q636" t="n">
        <v>0</v>
      </c>
      <c r="R636" s="2" t="inlineStr"/>
    </row>
    <row r="637" ht="15" customHeight="1">
      <c r="A637" t="inlineStr">
        <is>
          <t>A 53935-2024</t>
        </is>
      </c>
      <c r="B637" s="1" t="n">
        <v>45615</v>
      </c>
      <c r="C637" s="1" t="n">
        <v>46122</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18223-2025</t>
        </is>
      </c>
      <c r="B638" s="1" t="n">
        <v>45761</v>
      </c>
      <c r="C638" s="1" t="n">
        <v>46122</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4420-2025</t>
        </is>
      </c>
      <c r="B639" s="1" t="n">
        <v>45686.47157407407</v>
      </c>
      <c r="C639" s="1" t="n">
        <v>46122</v>
      </c>
      <c r="D639" t="inlineStr">
        <is>
          <t>GOTLANDS LÄN</t>
        </is>
      </c>
      <c r="E639" t="inlineStr">
        <is>
          <t>GOTLAND</t>
        </is>
      </c>
      <c r="G639" t="n">
        <v>1.6</v>
      </c>
      <c r="H639" t="n">
        <v>0</v>
      </c>
      <c r="I639" t="n">
        <v>0</v>
      </c>
      <c r="J639" t="n">
        <v>0</v>
      </c>
      <c r="K639" t="n">
        <v>0</v>
      </c>
      <c r="L639" t="n">
        <v>0</v>
      </c>
      <c r="M639" t="n">
        <v>0</v>
      </c>
      <c r="N639" t="n">
        <v>0</v>
      </c>
      <c r="O639" t="n">
        <v>0</v>
      </c>
      <c r="P639" t="n">
        <v>0</v>
      </c>
      <c r="Q639" t="n">
        <v>0</v>
      </c>
      <c r="R639" s="2" t="inlineStr"/>
    </row>
    <row r="640" ht="15" customHeight="1">
      <c r="A640" t="inlineStr">
        <is>
          <t>A 5891-2025</t>
        </is>
      </c>
      <c r="B640" s="1" t="n">
        <v>45695.38327546296</v>
      </c>
      <c r="C640" s="1" t="n">
        <v>46122</v>
      </c>
      <c r="D640" t="inlineStr">
        <is>
          <t>GOTLANDS LÄN</t>
        </is>
      </c>
      <c r="E640" t="inlineStr">
        <is>
          <t>GOTLAND</t>
        </is>
      </c>
      <c r="G640" t="n">
        <v>0.8</v>
      </c>
      <c r="H640" t="n">
        <v>0</v>
      </c>
      <c r="I640" t="n">
        <v>0</v>
      </c>
      <c r="J640" t="n">
        <v>0</v>
      </c>
      <c r="K640" t="n">
        <v>0</v>
      </c>
      <c r="L640" t="n">
        <v>0</v>
      </c>
      <c r="M640" t="n">
        <v>0</v>
      </c>
      <c r="N640" t="n">
        <v>0</v>
      </c>
      <c r="O640" t="n">
        <v>0</v>
      </c>
      <c r="P640" t="n">
        <v>0</v>
      </c>
      <c r="Q640" t="n">
        <v>0</v>
      </c>
      <c r="R640" s="2" t="inlineStr"/>
    </row>
    <row r="641" ht="15" customHeight="1">
      <c r="A641" t="inlineStr">
        <is>
          <t>A 7835-2024</t>
        </is>
      </c>
      <c r="B641" s="1" t="n">
        <v>45349.83138888889</v>
      </c>
      <c r="C641" s="1" t="n">
        <v>46122</v>
      </c>
      <c r="D641" t="inlineStr">
        <is>
          <t>GOTLANDS LÄN</t>
        </is>
      </c>
      <c r="E641" t="inlineStr">
        <is>
          <t>GOTLAND</t>
        </is>
      </c>
      <c r="G641" t="n">
        <v>3.8</v>
      </c>
      <c r="H641" t="n">
        <v>0</v>
      </c>
      <c r="I641" t="n">
        <v>0</v>
      </c>
      <c r="J641" t="n">
        <v>0</v>
      </c>
      <c r="K641" t="n">
        <v>0</v>
      </c>
      <c r="L641" t="n">
        <v>0</v>
      </c>
      <c r="M641" t="n">
        <v>0</v>
      </c>
      <c r="N641" t="n">
        <v>0</v>
      </c>
      <c r="O641" t="n">
        <v>0</v>
      </c>
      <c r="P641" t="n">
        <v>0</v>
      </c>
      <c r="Q641" t="n">
        <v>0</v>
      </c>
      <c r="R641" s="2" t="inlineStr"/>
    </row>
    <row r="642" ht="15" customHeight="1">
      <c r="A642" t="inlineStr">
        <is>
          <t>A 20794-2025</t>
        </is>
      </c>
      <c r="B642" s="1" t="n">
        <v>45776</v>
      </c>
      <c r="C642" s="1" t="n">
        <v>46122</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20805-2025</t>
        </is>
      </c>
      <c r="B643" s="1" t="n">
        <v>45776</v>
      </c>
      <c r="C643" s="1" t="n">
        <v>46122</v>
      </c>
      <c r="D643" t="inlineStr">
        <is>
          <t>GOTLANDS LÄN</t>
        </is>
      </c>
      <c r="E643" t="inlineStr">
        <is>
          <t>GOTLAND</t>
        </is>
      </c>
      <c r="G643" t="n">
        <v>3.1</v>
      </c>
      <c r="H643" t="n">
        <v>0</v>
      </c>
      <c r="I643" t="n">
        <v>0</v>
      </c>
      <c r="J643" t="n">
        <v>0</v>
      </c>
      <c r="K643" t="n">
        <v>0</v>
      </c>
      <c r="L643" t="n">
        <v>0</v>
      </c>
      <c r="M643" t="n">
        <v>0</v>
      </c>
      <c r="N643" t="n">
        <v>0</v>
      </c>
      <c r="O643" t="n">
        <v>0</v>
      </c>
      <c r="P643" t="n">
        <v>0</v>
      </c>
      <c r="Q643" t="n">
        <v>0</v>
      </c>
      <c r="R643" s="2" t="inlineStr"/>
    </row>
    <row r="644" ht="15" customHeight="1">
      <c r="A644" t="inlineStr">
        <is>
          <t>A 21389-2025</t>
        </is>
      </c>
      <c r="B644" s="1" t="n">
        <v>45782</v>
      </c>
      <c r="C644" s="1" t="n">
        <v>46122</v>
      </c>
      <c r="D644" t="inlineStr">
        <is>
          <t>GOTLANDS LÄN</t>
        </is>
      </c>
      <c r="E644" t="inlineStr">
        <is>
          <t>GOTLAND</t>
        </is>
      </c>
      <c r="G644" t="n">
        <v>4.1</v>
      </c>
      <c r="H644" t="n">
        <v>0</v>
      </c>
      <c r="I644" t="n">
        <v>0</v>
      </c>
      <c r="J644" t="n">
        <v>0</v>
      </c>
      <c r="K644" t="n">
        <v>0</v>
      </c>
      <c r="L644" t="n">
        <v>0</v>
      </c>
      <c r="M644" t="n">
        <v>0</v>
      </c>
      <c r="N644" t="n">
        <v>0</v>
      </c>
      <c r="O644" t="n">
        <v>0</v>
      </c>
      <c r="P644" t="n">
        <v>0</v>
      </c>
      <c r="Q644" t="n">
        <v>0</v>
      </c>
      <c r="R644" s="2" t="inlineStr"/>
    </row>
    <row r="645">
      <c r="A645" t="inlineStr">
        <is>
          <t>A 21651-2025</t>
        </is>
      </c>
      <c r="B645" s="1" t="n">
        <v>45783</v>
      </c>
      <c r="C645" s="1" t="n">
        <v>46122</v>
      </c>
      <c r="D645" t="inlineStr">
        <is>
          <t>GOTLANDS LÄN</t>
        </is>
      </c>
      <c r="E645" t="inlineStr">
        <is>
          <t>GOTLAND</t>
        </is>
      </c>
      <c r="G645" t="n">
        <v>4.2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2026-04-10T10:53:11Z</dcterms:created>
  <dcterms:modified xmlns:dcterms="http://purl.org/dc/terms/" xmlns:xsi="http://www.w3.org/2001/XMLSchema-instance" xsi:type="dcterms:W3CDTF">2026-04-10T10:53:12Z</dcterms:modified>
</cp:coreProperties>
</file>