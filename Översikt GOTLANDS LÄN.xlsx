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45918</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45918</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45918</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45918</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45918</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45918</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45918</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45918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15629-2024</t>
        </is>
      </c>
      <c r="B19" s="1" t="n">
        <v>45402.78372685185</v>
      </c>
      <c r="C19" s="1" t="n">
        <v>45918</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62132-2023</t>
        </is>
      </c>
      <c r="B20" s="1" t="n">
        <v>45267</v>
      </c>
      <c r="C20" s="1" t="n">
        <v>45918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6913-2025</t>
        </is>
      </c>
      <c r="B21" s="1" t="n">
        <v>45701.43809027778</v>
      </c>
      <c r="C21" s="1" t="n">
        <v>45918</v>
      </c>
      <c r="D21" t="inlineStr">
        <is>
          <t>GOTLANDS LÄN</t>
        </is>
      </c>
      <c r="E21" t="inlineStr">
        <is>
          <t>GOTLAND</t>
        </is>
      </c>
      <c r="G21" t="n">
        <v>7.2</v>
      </c>
      <c r="H21" t="n">
        <v>7</v>
      </c>
      <c r="I21" t="n">
        <v>5</v>
      </c>
      <c r="J21" t="n">
        <v>7</v>
      </c>
      <c r="K21" t="n">
        <v>0</v>
      </c>
      <c r="L21" t="n">
        <v>1</v>
      </c>
      <c r="M21" t="n">
        <v>0</v>
      </c>
      <c r="N21" t="n">
        <v>0</v>
      </c>
      <c r="O21" t="n">
        <v>8</v>
      </c>
      <c r="P21" t="n">
        <v>1</v>
      </c>
      <c r="Q21" t="n">
        <v>15</v>
      </c>
      <c r="R21" s="2" t="inlineStr">
        <is>
          <t>Ask
Grönsångare
Jordtistel
Loppstarr
Majviva
Spillkråka
Svinrot
Ängsstarr
Grönpyrola
Nästrot
Skogsknipprot
Sårläka
Tvåblad
Dactylorhiza incarnata subsp. incarnata
Fläcknycklar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25779-2022</t>
        </is>
      </c>
      <c r="B22" s="1" t="n">
        <v>44733</v>
      </c>
      <c r="C22" s="1" t="n">
        <v>45918</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2222-2024</t>
        </is>
      </c>
      <c r="B23" s="1" t="n">
        <v>45309</v>
      </c>
      <c r="C23" s="1" t="n">
        <v>45918</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24309-2025</t>
        </is>
      </c>
      <c r="B24" s="1" t="n">
        <v>45797</v>
      </c>
      <c r="C24" s="1" t="n">
        <v>45918</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33728-2025</t>
        </is>
      </c>
      <c r="B25" s="1" t="n">
        <v>45842.29344907407</v>
      </c>
      <c r="C25" s="1" t="n">
        <v>45918</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35141-2022</t>
        </is>
      </c>
      <c r="B26" s="1" t="n">
        <v>44797.53318287037</v>
      </c>
      <c r="C26" s="1" t="n">
        <v>45918</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45918</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2804-2023</t>
        </is>
      </c>
      <c r="B29" s="1" t="n">
        <v>44944</v>
      </c>
      <c r="C29" s="1" t="n">
        <v>45918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445-2023</t>
        </is>
      </c>
      <c r="B30" s="1" t="n">
        <v>44929</v>
      </c>
      <c r="C30" s="1" t="n">
        <v>45918</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45918</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45918</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11176-2024</t>
        </is>
      </c>
      <c r="B36" s="1" t="n">
        <v>45371</v>
      </c>
      <c r="C36" s="1" t="n">
        <v>45918</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45918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45918</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45918</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45918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17766-2024</t>
        </is>
      </c>
      <c r="B41" s="1" t="n">
        <v>45418</v>
      </c>
      <c r="C41" s="1" t="n">
        <v>45918</v>
      </c>
      <c r="D41" t="inlineStr">
        <is>
          <t>GOTLANDS LÄN</t>
        </is>
      </c>
      <c r="E41" t="inlineStr">
        <is>
          <t>GOTLAND</t>
        </is>
      </c>
      <c r="G41" t="n">
        <v>1.3</v>
      </c>
      <c r="H41" t="n">
        <v>2</v>
      </c>
      <c r="I41" t="n">
        <v>3</v>
      </c>
      <c r="J41" t="n">
        <v>4</v>
      </c>
      <c r="K41" t="n">
        <v>1</v>
      </c>
      <c r="L41" t="n">
        <v>2</v>
      </c>
      <c r="M41" t="n">
        <v>0</v>
      </c>
      <c r="N41" t="n">
        <v>0</v>
      </c>
      <c r="O41" t="n">
        <v>7</v>
      </c>
      <c r="P41" t="n">
        <v>3</v>
      </c>
      <c r="Q41" t="n">
        <v>10</v>
      </c>
      <c r="R41" s="2" t="inlineStr">
        <is>
          <t>Naveljordstjärna
Svartnande fingersvamp
Gulsträngad fagerspindling
Bredbrämad bastardsvärmare
Fyrflikig jordstjärna
Svartfläckig blåvinge
Timjansnyltrot
Besk kastanjemusseron
Kragjordstjärna
Rödgul trumpetsvamp</t>
        </is>
      </c>
      <c r="S41">
        <f>HYPERLINK("https://klasma.github.io/Logging_0980/artfynd/A 17766-2024 artfynd.xlsx", "A 17766-2024")</f>
        <v/>
      </c>
      <c r="T41">
        <f>HYPERLINK("https://klasma.github.io/Logging_0980/kartor/A 17766-2024 karta.png", "A 17766-2024")</f>
        <v/>
      </c>
      <c r="V41">
        <f>HYPERLINK("https://klasma.github.io/Logging_0980/klagomål/A 17766-2024 FSC-klagomål.docx", "A 17766-2024")</f>
        <v/>
      </c>
      <c r="W41">
        <f>HYPERLINK("https://klasma.github.io/Logging_0980/klagomålsmail/A 17766-2024 FSC-klagomål mail.docx", "A 17766-2024")</f>
        <v/>
      </c>
      <c r="X41">
        <f>HYPERLINK("https://klasma.github.io/Logging_0980/tillsyn/A 17766-2024 tillsynsbegäran.docx", "A 17766-2024")</f>
        <v/>
      </c>
      <c r="Y41">
        <f>HYPERLINK("https://klasma.github.io/Logging_0980/tillsynsmail/A 17766-2024 tillsynsbegäran mail.docx", "A 17766-2024")</f>
        <v/>
      </c>
    </row>
    <row r="42" ht="15" customHeight="1">
      <c r="A42" t="inlineStr">
        <is>
          <t>A 22404-2024</t>
        </is>
      </c>
      <c r="B42" s="1" t="n">
        <v>45446</v>
      </c>
      <c r="C42" s="1" t="n">
        <v>45918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45918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33153-2024</t>
        </is>
      </c>
      <c r="B44" s="1" t="n">
        <v>45518</v>
      </c>
      <c r="C44" s="1" t="n">
        <v>45918</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14354-2024</t>
        </is>
      </c>
      <c r="B45" s="1" t="n">
        <v>45393</v>
      </c>
      <c r="C45" s="1" t="n">
        <v>45918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45918</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45918</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45918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45918</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45918</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45918</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45918</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4984-2025</t>
        </is>
      </c>
      <c r="B54" s="1" t="n">
        <v>45691.29891203704</v>
      </c>
      <c r="C54" s="1" t="n">
        <v>45918</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27280-2023</t>
        </is>
      </c>
      <c r="B55" s="1" t="n">
        <v>45096</v>
      </c>
      <c r="C55" s="1" t="n">
        <v>45918</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10419-2025</t>
        </is>
      </c>
      <c r="B56" s="1" t="n">
        <v>45720</v>
      </c>
      <c r="C56" s="1" t="n">
        <v>45918</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18541-2024</t>
        </is>
      </c>
      <c r="B57" s="1" t="n">
        <v>45425</v>
      </c>
      <c r="C57" s="1" t="n">
        <v>45918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2085-2023</t>
        </is>
      </c>
      <c r="B58" s="1" t="n">
        <v>44939</v>
      </c>
      <c r="C58" s="1" t="n">
        <v>45918</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25205-2021</t>
        </is>
      </c>
      <c r="B59" s="1" t="n">
        <v>44342</v>
      </c>
      <c r="C59" s="1" t="n">
        <v>45918</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54527-2023</t>
        </is>
      </c>
      <c r="B60" s="1" t="n">
        <v>45233</v>
      </c>
      <c r="C60" s="1" t="n">
        <v>45918</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45918</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45918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45918</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45918</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45918</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45918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45918</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32326-2024</t>
        </is>
      </c>
      <c r="B69" s="1" t="n">
        <v>45512</v>
      </c>
      <c r="C69" s="1" t="n">
        <v>45918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42936-2024</t>
        </is>
      </c>
      <c r="B70" s="1" t="n">
        <v>45567</v>
      </c>
      <c r="C70" s="1" t="n">
        <v>45918</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16375-2025</t>
        </is>
      </c>
      <c r="B71" s="1" t="n">
        <v>45751.41064814815</v>
      </c>
      <c r="C71" s="1" t="n">
        <v>45918</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54055-2022</t>
        </is>
      </c>
      <c r="B72" s="1" t="n">
        <v>44881</v>
      </c>
      <c r="C72" s="1" t="n">
        <v>45918</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35293-2025</t>
        </is>
      </c>
      <c r="B73" s="1" t="n">
        <v>45854.39438657407</v>
      </c>
      <c r="C73" s="1" t="n">
        <v>45918</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45918</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45918</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44933-2022</t>
        </is>
      </c>
      <c r="B76" s="1" t="n">
        <v>44841</v>
      </c>
      <c r="C76" s="1" t="n">
        <v>45918</v>
      </c>
      <c r="D76" t="inlineStr">
        <is>
          <t>GOTLANDS LÄN</t>
        </is>
      </c>
      <c r="E76" t="inlineStr">
        <is>
          <t>GOTLAND</t>
        </is>
      </c>
      <c r="G76" t="n">
        <v>4.5</v>
      </c>
      <c r="H76" t="n">
        <v>1</v>
      </c>
      <c r="I76" t="n">
        <v>2</v>
      </c>
      <c r="J76" t="n">
        <v>2</v>
      </c>
      <c r="K76" t="n">
        <v>0</v>
      </c>
      <c r="L76" t="n">
        <v>0</v>
      </c>
      <c r="M76" t="n">
        <v>0</v>
      </c>
      <c r="N76" t="n">
        <v>0</v>
      </c>
      <c r="O76" t="n">
        <v>2</v>
      </c>
      <c r="P76" t="n">
        <v>0</v>
      </c>
      <c r="Q76" t="n">
        <v>4</v>
      </c>
      <c r="R76" s="2" t="inlineStr">
        <is>
          <t>Ekvaxskivling
Odörspindling
Skarp dropptaggsvamp
Skogsknipprot</t>
        </is>
      </c>
      <c r="S76">
        <f>HYPERLINK("https://klasma.github.io/Logging_0980/artfynd/A 44933-2022 artfynd.xlsx", "A 44933-2022")</f>
        <v/>
      </c>
      <c r="T76">
        <f>HYPERLINK("https://klasma.github.io/Logging_0980/kartor/A 44933-2022 karta.png", "A 44933-2022")</f>
        <v/>
      </c>
      <c r="V76">
        <f>HYPERLINK("https://klasma.github.io/Logging_0980/klagomål/A 44933-2022 FSC-klagomål.docx", "A 44933-2022")</f>
        <v/>
      </c>
      <c r="W76">
        <f>HYPERLINK("https://klasma.github.io/Logging_0980/klagomålsmail/A 44933-2022 FSC-klagomål mail.docx", "A 44933-2022")</f>
        <v/>
      </c>
      <c r="X76">
        <f>HYPERLINK("https://klasma.github.io/Logging_0980/tillsyn/A 44933-2022 tillsynsbegäran.docx", "A 44933-2022")</f>
        <v/>
      </c>
      <c r="Y76">
        <f>HYPERLINK("https://klasma.github.io/Logging_0980/tillsynsmail/A 44933-2022 tillsynsbegäran mail.docx", "A 44933-2022")</f>
        <v/>
      </c>
    </row>
    <row r="77" ht="15" customHeight="1">
      <c r="A77" t="inlineStr">
        <is>
          <t>A 186-2023</t>
        </is>
      </c>
      <c r="B77" s="1" t="n">
        <v>44928</v>
      </c>
      <c r="C77" s="1" t="n">
        <v>45918</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45918</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64378-2020</t>
        </is>
      </c>
      <c r="B79" s="1" t="n">
        <v>44168</v>
      </c>
      <c r="C79" s="1" t="n">
        <v>45918</v>
      </c>
      <c r="D79" t="inlineStr">
        <is>
          <t>GOTLANDS LÄN</t>
        </is>
      </c>
      <c r="E79" t="inlineStr">
        <is>
          <t>GOTLAND</t>
        </is>
      </c>
      <c r="G79" t="n">
        <v>2.1</v>
      </c>
      <c r="H79" t="n">
        <v>0</v>
      </c>
      <c r="I79" t="n">
        <v>1</v>
      </c>
      <c r="J79" t="n">
        <v>0</v>
      </c>
      <c r="K79" t="n">
        <v>2</v>
      </c>
      <c r="L79" t="n">
        <v>1</v>
      </c>
      <c r="M79" t="n">
        <v>0</v>
      </c>
      <c r="N79" t="n">
        <v>0</v>
      </c>
      <c r="O79" t="n">
        <v>3</v>
      </c>
      <c r="P79" t="n">
        <v>3</v>
      </c>
      <c r="Q79" t="n">
        <v>4</v>
      </c>
      <c r="R79" s="2" t="inlineStr">
        <is>
          <t>Sienamusseron
Bitter taggsvamp
Duvspindling
Fjällig taggsvamp s.str.</t>
        </is>
      </c>
      <c r="S79">
        <f>HYPERLINK("https://klasma.github.io/Logging_0980/artfynd/A 64378-2020 artfynd.xlsx", "A 64378-2020")</f>
        <v/>
      </c>
      <c r="T79">
        <f>HYPERLINK("https://klasma.github.io/Logging_0980/kartor/A 64378-2020 karta.png", "A 64378-2020")</f>
        <v/>
      </c>
      <c r="V79">
        <f>HYPERLINK("https://klasma.github.io/Logging_0980/klagomål/A 64378-2020 FSC-klagomål.docx", "A 64378-2020")</f>
        <v/>
      </c>
      <c r="W79">
        <f>HYPERLINK("https://klasma.github.io/Logging_0980/klagomålsmail/A 64378-2020 FSC-klagomål mail.docx", "A 64378-2020")</f>
        <v/>
      </c>
      <c r="X79">
        <f>HYPERLINK("https://klasma.github.io/Logging_0980/tillsyn/A 64378-2020 tillsynsbegäran.docx", "A 64378-2020")</f>
        <v/>
      </c>
      <c r="Y79">
        <f>HYPERLINK("https://klasma.github.io/Logging_0980/tillsynsmail/A 64378-2020 tillsynsbegäran mail.docx", "A 64378-2020")</f>
        <v/>
      </c>
    </row>
    <row r="80" ht="15" customHeight="1">
      <c r="A80" t="inlineStr">
        <is>
          <t>A 54523-2023</t>
        </is>
      </c>
      <c r="B80" s="1" t="n">
        <v>45233</v>
      </c>
      <c r="C80" s="1" t="n">
        <v>45918</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45918</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45918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45918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8265-2023</t>
        </is>
      </c>
      <c r="B84" s="1" t="n">
        <v>44974</v>
      </c>
      <c r="C84" s="1" t="n">
        <v>45918</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5904-2024</t>
        </is>
      </c>
      <c r="B85" s="1" t="n">
        <v>45335</v>
      </c>
      <c r="C85" s="1" t="n">
        <v>45918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40099-2025</t>
        </is>
      </c>
      <c r="B86" s="1" t="n">
        <v>45894.48462962963</v>
      </c>
      <c r="C86" s="1" t="n">
        <v>45918</v>
      </c>
      <c r="D86" t="inlineStr">
        <is>
          <t>GOTLANDS LÄN</t>
        </is>
      </c>
      <c r="E86" t="inlineStr">
        <is>
          <t>GOTLAND</t>
        </is>
      </c>
      <c r="G86" t="n">
        <v>6.5</v>
      </c>
      <c r="H86" t="n">
        <v>0</v>
      </c>
      <c r="I86" t="n">
        <v>3</v>
      </c>
      <c r="J86" t="n">
        <v>0</v>
      </c>
      <c r="K86" t="n">
        <v>1</v>
      </c>
      <c r="L86" t="n">
        <v>0</v>
      </c>
      <c r="M86" t="n">
        <v>0</v>
      </c>
      <c r="N86" t="n">
        <v>0</v>
      </c>
      <c r="O86" t="n">
        <v>1</v>
      </c>
      <c r="P86" t="n">
        <v>1</v>
      </c>
      <c r="Q86" t="n">
        <v>4</v>
      </c>
      <c r="R86" s="2" t="inlineStr">
        <is>
          <t>Mörkfjällig olivspindling
Fjällig taggsvamp s.str.
Olivspindling
Svavelriska</t>
        </is>
      </c>
      <c r="S86">
        <f>HYPERLINK("https://klasma.github.io/Logging_0980/artfynd/A 40099-2025 artfynd.xlsx", "A 40099-2025")</f>
        <v/>
      </c>
      <c r="T86">
        <f>HYPERLINK("https://klasma.github.io/Logging_0980/kartor/A 40099-2025 karta.png", "A 40099-2025")</f>
        <v/>
      </c>
      <c r="V86">
        <f>HYPERLINK("https://klasma.github.io/Logging_0980/klagomål/A 40099-2025 FSC-klagomål.docx", "A 40099-2025")</f>
        <v/>
      </c>
      <c r="W86">
        <f>HYPERLINK("https://klasma.github.io/Logging_0980/klagomålsmail/A 40099-2025 FSC-klagomål mail.docx", "A 40099-2025")</f>
        <v/>
      </c>
      <c r="X86">
        <f>HYPERLINK("https://klasma.github.io/Logging_0980/tillsyn/A 40099-2025 tillsynsbegäran.docx", "A 40099-2025")</f>
        <v/>
      </c>
      <c r="Y86">
        <f>HYPERLINK("https://klasma.github.io/Logging_0980/tillsynsmail/A 40099-2025 tillsynsbegäran mail.docx", "A 40099-2025")</f>
        <v/>
      </c>
    </row>
    <row r="87" ht="15" customHeight="1">
      <c r="A87" t="inlineStr">
        <is>
          <t>A 20833-2024</t>
        </is>
      </c>
      <c r="B87" s="1" t="n">
        <v>45439</v>
      </c>
      <c r="C87" s="1" t="n">
        <v>45918</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55029-2020</t>
        </is>
      </c>
      <c r="B88" s="1" t="n">
        <v>44130</v>
      </c>
      <c r="C88" s="1" t="n">
        <v>45918</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45918</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45918</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45918</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45918</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45918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2332-2021</t>
        </is>
      </c>
      <c r="B94" s="1" t="n">
        <v>44214</v>
      </c>
      <c r="C94" s="1" t="n">
        <v>45918</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45918</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45918</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45918</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45918</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45918</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53552-2021</t>
        </is>
      </c>
      <c r="B100" s="1" t="n">
        <v>44468</v>
      </c>
      <c r="C100" s="1" t="n">
        <v>45918</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45918</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30490-2025</t>
        </is>
      </c>
      <c r="B102" s="1" t="n">
        <v>45830</v>
      </c>
      <c r="C102" s="1" t="n">
        <v>45918</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17975-2024</t>
        </is>
      </c>
      <c r="B103" s="1" t="n">
        <v>45419.85546296297</v>
      </c>
      <c r="C103" s="1" t="n">
        <v>45918</v>
      </c>
      <c r="D103" t="inlineStr">
        <is>
          <t>GOTLANDS LÄN</t>
        </is>
      </c>
      <c r="E103" t="inlineStr">
        <is>
          <t>GOTLAND</t>
        </is>
      </c>
      <c r="G103" t="n">
        <v>7.9</v>
      </c>
      <c r="H103" t="n">
        <v>0</v>
      </c>
      <c r="I103" t="n">
        <v>1</v>
      </c>
      <c r="J103" t="n">
        <v>1</v>
      </c>
      <c r="K103" t="n">
        <v>0</v>
      </c>
      <c r="L103" t="n">
        <v>1</v>
      </c>
      <c r="M103" t="n">
        <v>0</v>
      </c>
      <c r="N103" t="n">
        <v>0</v>
      </c>
      <c r="O103" t="n">
        <v>2</v>
      </c>
      <c r="P103" t="n">
        <v>1</v>
      </c>
      <c r="Q103" t="n">
        <v>3</v>
      </c>
      <c r="R103" s="2" t="inlineStr">
        <is>
          <t>Ask
Skugglosta
Strävlosta</t>
        </is>
      </c>
      <c r="S103">
        <f>HYPERLINK("https://klasma.github.io/Logging_0980/artfynd/A 17975-2024 artfynd.xlsx", "A 17975-2024")</f>
        <v/>
      </c>
      <c r="T103">
        <f>HYPERLINK("https://klasma.github.io/Logging_0980/kartor/A 17975-2024 karta.png", "A 17975-2024")</f>
        <v/>
      </c>
      <c r="V103">
        <f>HYPERLINK("https://klasma.github.io/Logging_0980/klagomål/A 17975-2024 FSC-klagomål.docx", "A 17975-2024")</f>
        <v/>
      </c>
      <c r="W103">
        <f>HYPERLINK("https://klasma.github.io/Logging_0980/klagomålsmail/A 17975-2024 FSC-klagomål mail.docx", "A 17975-2024")</f>
        <v/>
      </c>
      <c r="X103">
        <f>HYPERLINK("https://klasma.github.io/Logging_0980/tillsyn/A 17975-2024 tillsynsbegäran.docx", "A 17975-2024")</f>
        <v/>
      </c>
      <c r="Y103">
        <f>HYPERLINK("https://klasma.github.io/Logging_0980/tillsynsmail/A 17975-2024 tillsynsbegäran mail.docx", "A 17975-2024")</f>
        <v/>
      </c>
    </row>
    <row r="104" ht="15" customHeight="1">
      <c r="A104" t="inlineStr">
        <is>
          <t>A 62326-2020</t>
        </is>
      </c>
      <c r="B104" s="1" t="n">
        <v>44160</v>
      </c>
      <c r="C104" s="1" t="n">
        <v>45918</v>
      </c>
      <c r="D104" t="inlineStr">
        <is>
          <t>GOTLANDS LÄN</t>
        </is>
      </c>
      <c r="E104" t="inlineStr">
        <is>
          <t>GOTLAND</t>
        </is>
      </c>
      <c r="G104" t="n">
        <v>7.4</v>
      </c>
      <c r="H104" t="n">
        <v>1</v>
      </c>
      <c r="I104" t="n">
        <v>3</v>
      </c>
      <c r="J104" t="n">
        <v>0</v>
      </c>
      <c r="K104" t="n">
        <v>0</v>
      </c>
      <c r="L104" t="n">
        <v>0</v>
      </c>
      <c r="M104" t="n">
        <v>0</v>
      </c>
      <c r="N104" t="n">
        <v>0</v>
      </c>
      <c r="O104" t="n">
        <v>0</v>
      </c>
      <c r="P104" t="n">
        <v>0</v>
      </c>
      <c r="Q104" t="n">
        <v>3</v>
      </c>
      <c r="R104" s="2" t="inlineStr">
        <is>
          <t>Anisspindling
Blåmossa
Skogsknipprot</t>
        </is>
      </c>
      <c r="S104">
        <f>HYPERLINK("https://klasma.github.io/Logging_0980/artfynd/A 62326-2020 artfynd.xlsx", "A 62326-2020")</f>
        <v/>
      </c>
      <c r="T104">
        <f>HYPERLINK("https://klasma.github.io/Logging_0980/kartor/A 62326-2020 karta.png", "A 62326-2020")</f>
        <v/>
      </c>
      <c r="V104">
        <f>HYPERLINK("https://klasma.github.io/Logging_0980/klagomål/A 62326-2020 FSC-klagomål.docx", "A 62326-2020")</f>
        <v/>
      </c>
      <c r="W104">
        <f>HYPERLINK("https://klasma.github.io/Logging_0980/klagomålsmail/A 62326-2020 FSC-klagomål mail.docx", "A 62326-2020")</f>
        <v/>
      </c>
      <c r="X104">
        <f>HYPERLINK("https://klasma.github.io/Logging_0980/tillsyn/A 62326-2020 tillsynsbegäran.docx", "A 62326-2020")</f>
        <v/>
      </c>
      <c r="Y104">
        <f>HYPERLINK("https://klasma.github.io/Logging_0980/tillsynsmail/A 62326-2020 tillsynsbegäran mail.docx", "A 62326-2020")</f>
        <v/>
      </c>
    </row>
    <row r="105" ht="15" customHeight="1">
      <c r="A105" t="inlineStr">
        <is>
          <t>A 20831-2024</t>
        </is>
      </c>
      <c r="B105" s="1" t="n">
        <v>45439</v>
      </c>
      <c r="C105" s="1" t="n">
        <v>45918</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29870-2021</t>
        </is>
      </c>
      <c r="B106" s="1" t="n">
        <v>44362</v>
      </c>
      <c r="C106" s="1" t="n">
        <v>45918</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45918</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45918</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45918</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60665-2021</t>
        </is>
      </c>
      <c r="B110" s="1" t="n">
        <v>44496</v>
      </c>
      <c r="C110" s="1" t="n">
        <v>45918</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9930-2021</t>
        </is>
      </c>
      <c r="B111" s="1" t="n">
        <v>44252</v>
      </c>
      <c r="C111" s="1" t="n">
        <v>45918</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55649-2024</t>
        </is>
      </c>
      <c r="B112" s="1" t="n">
        <v>45622.63053240741</v>
      </c>
      <c r="C112" s="1" t="n">
        <v>45918</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20218-2022</t>
        </is>
      </c>
      <c r="B113" s="1" t="n">
        <v>44698</v>
      </c>
      <c r="C113" s="1" t="n">
        <v>45918</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45918</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45918</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58701-2020</t>
        </is>
      </c>
      <c r="B116" s="1" t="n">
        <v>44146</v>
      </c>
      <c r="C116" s="1" t="n">
        <v>45918</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45918</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21879-2025</t>
        </is>
      </c>
      <c r="B119" s="1" t="n">
        <v>45784.40533564815</v>
      </c>
      <c r="C119" s="1" t="n">
        <v>45918</v>
      </c>
      <c r="D119" t="inlineStr">
        <is>
          <t>GOTLANDS LÄN</t>
        </is>
      </c>
      <c r="E119" t="inlineStr">
        <is>
          <t>GOTLAND</t>
        </is>
      </c>
      <c r="G119" t="n">
        <v>11.1</v>
      </c>
      <c r="H119" t="n">
        <v>0</v>
      </c>
      <c r="I119" t="n">
        <v>1</v>
      </c>
      <c r="J119" t="n">
        <v>0</v>
      </c>
      <c r="K119" t="n">
        <v>0</v>
      </c>
      <c r="L119" t="n">
        <v>1</v>
      </c>
      <c r="M119" t="n">
        <v>0</v>
      </c>
      <c r="N119" t="n">
        <v>0</v>
      </c>
      <c r="O119" t="n">
        <v>1</v>
      </c>
      <c r="P119" t="n">
        <v>1</v>
      </c>
      <c r="Q119" t="n">
        <v>2</v>
      </c>
      <c r="R119" s="2" t="inlineStr">
        <is>
          <t>Ask
Murgröna</t>
        </is>
      </c>
      <c r="S119">
        <f>HYPERLINK("https://klasma.github.io/Logging_0980/artfynd/A 21879-2025 artfynd.xlsx", "A 21879-2025")</f>
        <v/>
      </c>
      <c r="T119">
        <f>HYPERLINK("https://klasma.github.io/Logging_0980/kartor/A 21879-2025 karta.png", "A 21879-2025")</f>
        <v/>
      </c>
      <c r="V119">
        <f>HYPERLINK("https://klasma.github.io/Logging_0980/klagomål/A 21879-2025 FSC-klagomål.docx", "A 21879-2025")</f>
        <v/>
      </c>
      <c r="W119">
        <f>HYPERLINK("https://klasma.github.io/Logging_0980/klagomålsmail/A 21879-2025 FSC-klagomål mail.docx", "A 21879-2025")</f>
        <v/>
      </c>
      <c r="X119">
        <f>HYPERLINK("https://klasma.github.io/Logging_0980/tillsyn/A 21879-2025 tillsynsbegäran.docx", "A 21879-2025")</f>
        <v/>
      </c>
      <c r="Y119">
        <f>HYPERLINK("https://klasma.github.io/Logging_0980/tillsynsmail/A 21879-2025 tillsynsbegäran mail.docx", "A 21879-2025")</f>
        <v/>
      </c>
    </row>
    <row r="120" ht="15" customHeight="1">
      <c r="A120" t="inlineStr">
        <is>
          <t>A 64263-2020</t>
        </is>
      </c>
      <c r="B120" s="1" t="n">
        <v>44168</v>
      </c>
      <c r="C120" s="1" t="n">
        <v>45918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45918</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54357-2024</t>
        </is>
      </c>
      <c r="B122" s="1" t="n">
        <v>45617.40662037037</v>
      </c>
      <c r="C122" s="1" t="n">
        <v>45918</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43219-2023</t>
        </is>
      </c>
      <c r="B123" s="1" t="n">
        <v>45183</v>
      </c>
      <c r="C123" s="1" t="n">
        <v>45918</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28276-2024</t>
        </is>
      </c>
      <c r="B124" s="1" t="n">
        <v>45477</v>
      </c>
      <c r="C124" s="1" t="n">
        <v>45918</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45918</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41238-2025</t>
        </is>
      </c>
      <c r="B126" s="1" t="n">
        <v>45898</v>
      </c>
      <c r="C126" s="1" t="n">
        <v>45918</v>
      </c>
      <c r="D126" t="inlineStr">
        <is>
          <t>GOTLANDS LÄN</t>
        </is>
      </c>
      <c r="E126" t="inlineStr">
        <is>
          <t>GOTLAND</t>
        </is>
      </c>
      <c r="G126" t="n">
        <v>7.1</v>
      </c>
      <c r="H126" t="n">
        <v>1</v>
      </c>
      <c r="I126" t="n">
        <v>2</v>
      </c>
      <c r="J126" t="n">
        <v>0</v>
      </c>
      <c r="K126" t="n">
        <v>0</v>
      </c>
      <c r="L126" t="n">
        <v>0</v>
      </c>
      <c r="M126" t="n">
        <v>0</v>
      </c>
      <c r="N126" t="n">
        <v>0</v>
      </c>
      <c r="O126" t="n">
        <v>0</v>
      </c>
      <c r="P126" t="n">
        <v>0</v>
      </c>
      <c r="Q126" t="n">
        <v>2</v>
      </c>
      <c r="R126" s="2" t="inlineStr">
        <is>
          <t>Granbarkgnagare
Skogsknipprot</t>
        </is>
      </c>
      <c r="S126">
        <f>HYPERLINK("https://klasma.github.io/Logging_0980/artfynd/A 41238-2025 artfynd.xlsx", "A 41238-2025")</f>
        <v/>
      </c>
      <c r="T126">
        <f>HYPERLINK("https://klasma.github.io/Logging_0980/kartor/A 41238-2025 karta.png", "A 41238-2025")</f>
        <v/>
      </c>
      <c r="V126">
        <f>HYPERLINK("https://klasma.github.io/Logging_0980/klagomål/A 41238-2025 FSC-klagomål.docx", "A 41238-2025")</f>
        <v/>
      </c>
      <c r="W126">
        <f>HYPERLINK("https://klasma.github.io/Logging_0980/klagomålsmail/A 41238-2025 FSC-klagomål mail.docx", "A 41238-2025")</f>
        <v/>
      </c>
      <c r="X126">
        <f>HYPERLINK("https://klasma.github.io/Logging_0980/tillsyn/A 41238-2025 tillsynsbegäran.docx", "A 41238-2025")</f>
        <v/>
      </c>
      <c r="Y126">
        <f>HYPERLINK("https://klasma.github.io/Logging_0980/tillsynsmail/A 41238-2025 tillsynsbegäran mail.docx", "A 41238-2025")</f>
        <v/>
      </c>
    </row>
    <row r="127" ht="15" customHeight="1">
      <c r="A127" t="inlineStr">
        <is>
          <t>A 24-2021</t>
        </is>
      </c>
      <c r="B127" s="1" t="n">
        <v>44197</v>
      </c>
      <c r="C127" s="1" t="n">
        <v>45918</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45918</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45918</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45918</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24245-2022</t>
        </is>
      </c>
      <c r="B131" s="1" t="n">
        <v>44725</v>
      </c>
      <c r="C131" s="1" t="n">
        <v>45918</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45918</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45918</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49304-2024</t>
        </is>
      </c>
      <c r="B134" s="1" t="n">
        <v>45595.54996527778</v>
      </c>
      <c r="C134" s="1" t="n">
        <v>45918</v>
      </c>
      <c r="D134" t="inlineStr">
        <is>
          <t>GOTLANDS LÄN</t>
        </is>
      </c>
      <c r="E134" t="inlineStr">
        <is>
          <t>GOTLAND</t>
        </is>
      </c>
      <c r="G134" t="n">
        <v>10.8</v>
      </c>
      <c r="H134" t="n">
        <v>0</v>
      </c>
      <c r="I134" t="n">
        <v>0</v>
      </c>
      <c r="J134" t="n">
        <v>1</v>
      </c>
      <c r="K134" t="n">
        <v>0</v>
      </c>
      <c r="L134" t="n">
        <v>0</v>
      </c>
      <c r="M134" t="n">
        <v>0</v>
      </c>
      <c r="N134" t="n">
        <v>0</v>
      </c>
      <c r="O134" t="n">
        <v>1</v>
      </c>
      <c r="P134" t="n">
        <v>0</v>
      </c>
      <c r="Q134" t="n">
        <v>1</v>
      </c>
      <c r="R134" s="2" t="inlineStr">
        <is>
          <t>Åkerranunkel</t>
        </is>
      </c>
      <c r="S134">
        <f>HYPERLINK("https://klasma.github.io/Logging_0980/artfynd/A 49304-2024 artfynd.xlsx", "A 49304-2024")</f>
        <v/>
      </c>
      <c r="T134">
        <f>HYPERLINK("https://klasma.github.io/Logging_0980/kartor/A 49304-2024 karta.png", "A 49304-2024")</f>
        <v/>
      </c>
      <c r="V134">
        <f>HYPERLINK("https://klasma.github.io/Logging_0980/klagomål/A 49304-2024 FSC-klagomål.docx", "A 49304-2024")</f>
        <v/>
      </c>
      <c r="W134">
        <f>HYPERLINK("https://klasma.github.io/Logging_0980/klagomålsmail/A 49304-2024 FSC-klagomål mail.docx", "A 49304-2024")</f>
        <v/>
      </c>
      <c r="X134">
        <f>HYPERLINK("https://klasma.github.io/Logging_0980/tillsyn/A 49304-2024 tillsynsbegäran.docx", "A 49304-2024")</f>
        <v/>
      </c>
      <c r="Y134">
        <f>HYPERLINK("https://klasma.github.io/Logging_0980/tillsynsmail/A 49304-2024 tillsynsbegäran mail.docx", "A 49304-2024")</f>
        <v/>
      </c>
    </row>
    <row r="135" ht="15" customHeight="1">
      <c r="A135" t="inlineStr">
        <is>
          <t>A 44308-2021</t>
        </is>
      </c>
      <c r="B135" s="1" t="n">
        <v>44434</v>
      </c>
      <c r="C135" s="1" t="n">
        <v>45918</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22782-2023</t>
        </is>
      </c>
      <c r="B136" s="1" t="n">
        <v>45072</v>
      </c>
      <c r="C136" s="1" t="n">
        <v>45918</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12924-2025</t>
        </is>
      </c>
      <c r="B137" s="1" t="n">
        <v>45734</v>
      </c>
      <c r="C137" s="1" t="n">
        <v>45918</v>
      </c>
      <c r="D137" t="inlineStr">
        <is>
          <t>GOTLANDS LÄN</t>
        </is>
      </c>
      <c r="E137" t="inlineStr">
        <is>
          <t>GOTLAND</t>
        </is>
      </c>
      <c r="G137" t="n">
        <v>11.7</v>
      </c>
      <c r="H137" t="n">
        <v>0</v>
      </c>
      <c r="I137" t="n">
        <v>0</v>
      </c>
      <c r="J137" t="n">
        <v>0</v>
      </c>
      <c r="K137" t="n">
        <v>1</v>
      </c>
      <c r="L137" t="n">
        <v>0</v>
      </c>
      <c r="M137" t="n">
        <v>0</v>
      </c>
      <c r="N137" t="n">
        <v>0</v>
      </c>
      <c r="O137" t="n">
        <v>1</v>
      </c>
      <c r="P137" t="n">
        <v>1</v>
      </c>
      <c r="Q137" t="n">
        <v>1</v>
      </c>
      <c r="R137" s="2" t="inlineStr">
        <is>
          <t>Gotlandsmåra</t>
        </is>
      </c>
      <c r="S137">
        <f>HYPERLINK("https://klasma.github.io/Logging_0980/artfynd/A 12924-2025 artfynd.xlsx", "A 12924-2025")</f>
        <v/>
      </c>
      <c r="T137">
        <f>HYPERLINK("https://klasma.github.io/Logging_0980/kartor/A 12924-2025 karta.png", "A 12924-2025")</f>
        <v/>
      </c>
      <c r="V137">
        <f>HYPERLINK("https://klasma.github.io/Logging_0980/klagomål/A 12924-2025 FSC-klagomål.docx", "A 12924-2025")</f>
        <v/>
      </c>
      <c r="W137">
        <f>HYPERLINK("https://klasma.github.io/Logging_0980/klagomålsmail/A 12924-2025 FSC-klagomål mail.docx", "A 12924-2025")</f>
        <v/>
      </c>
      <c r="X137">
        <f>HYPERLINK("https://klasma.github.io/Logging_0980/tillsyn/A 12924-2025 tillsynsbegäran.docx", "A 12924-2025")</f>
        <v/>
      </c>
      <c r="Y137">
        <f>HYPERLINK("https://klasma.github.io/Logging_0980/tillsynsmail/A 12924-2025 tillsynsbegäran mail.docx", "A 12924-2025")</f>
        <v/>
      </c>
    </row>
    <row r="138" ht="15" customHeight="1">
      <c r="A138" t="inlineStr">
        <is>
          <t>A 20429-2025</t>
        </is>
      </c>
      <c r="B138" s="1" t="n">
        <v>45775.47728009259</v>
      </c>
      <c r="C138" s="1" t="n">
        <v>45918</v>
      </c>
      <c r="D138" t="inlineStr">
        <is>
          <t>GOTLANDS LÄN</t>
        </is>
      </c>
      <c r="E138" t="inlineStr">
        <is>
          <t>GOTLAND</t>
        </is>
      </c>
      <c r="G138" t="n">
        <v>1.4</v>
      </c>
      <c r="H138" t="n">
        <v>1</v>
      </c>
      <c r="I138" t="n">
        <v>0</v>
      </c>
      <c r="J138" t="n">
        <v>0</v>
      </c>
      <c r="K138" t="n">
        <v>0</v>
      </c>
      <c r="L138" t="n">
        <v>0</v>
      </c>
      <c r="M138" t="n">
        <v>0</v>
      </c>
      <c r="N138" t="n">
        <v>0</v>
      </c>
      <c r="O138" t="n">
        <v>0</v>
      </c>
      <c r="P138" t="n">
        <v>0</v>
      </c>
      <c r="Q138" t="n">
        <v>1</v>
      </c>
      <c r="R138" s="2" t="inlineStr">
        <is>
          <t>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44088-2022</t>
        </is>
      </c>
      <c r="B139" s="1" t="n">
        <v>44839</v>
      </c>
      <c r="C139" s="1" t="n">
        <v>45918</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46527-2023</t>
        </is>
      </c>
      <c r="B140" s="1" t="n">
        <v>45197</v>
      </c>
      <c r="C140" s="1" t="n">
        <v>45918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17723-2021</t>
        </is>
      </c>
      <c r="B141" s="1" t="n">
        <v>44300</v>
      </c>
      <c r="C141" s="1" t="n">
        <v>45918</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8725-2025</t>
        </is>
      </c>
      <c r="B142" s="1" t="n">
        <v>45712</v>
      </c>
      <c r="C142" s="1" t="n">
        <v>45918</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10995-2023</t>
        </is>
      </c>
      <c r="B143" s="1" t="n">
        <v>44986</v>
      </c>
      <c r="C143" s="1" t="n">
        <v>45918</v>
      </c>
      <c r="D143" t="inlineStr">
        <is>
          <t>GOTLANDS LÄN</t>
        </is>
      </c>
      <c r="E143" t="inlineStr">
        <is>
          <t>GOTLAND</t>
        </is>
      </c>
      <c r="G143" t="n">
        <v>2.8</v>
      </c>
      <c r="H143" t="n">
        <v>0</v>
      </c>
      <c r="I143" t="n">
        <v>0</v>
      </c>
      <c r="J143" t="n">
        <v>0</v>
      </c>
      <c r="K143" t="n">
        <v>1</v>
      </c>
      <c r="L143" t="n">
        <v>0</v>
      </c>
      <c r="M143" t="n">
        <v>0</v>
      </c>
      <c r="N143" t="n">
        <v>0</v>
      </c>
      <c r="O143" t="n">
        <v>1</v>
      </c>
      <c r="P143" t="n">
        <v>1</v>
      </c>
      <c r="Q143" t="n">
        <v>1</v>
      </c>
      <c r="R143" s="2" t="inlineStr">
        <is>
          <t>Violettfläckig spindling</t>
        </is>
      </c>
      <c r="S143">
        <f>HYPERLINK("https://klasma.github.io/Logging_0980/artfynd/A 10995-2023 artfynd.xlsx", "A 10995-2023")</f>
        <v/>
      </c>
      <c r="T143">
        <f>HYPERLINK("https://klasma.github.io/Logging_0980/kartor/A 10995-2023 karta.png", "A 10995-2023")</f>
        <v/>
      </c>
      <c r="V143">
        <f>HYPERLINK("https://klasma.github.io/Logging_0980/klagomål/A 10995-2023 FSC-klagomål.docx", "A 10995-2023")</f>
        <v/>
      </c>
      <c r="W143">
        <f>HYPERLINK("https://klasma.github.io/Logging_0980/klagomålsmail/A 10995-2023 FSC-klagomål mail.docx", "A 10995-2023")</f>
        <v/>
      </c>
      <c r="X143">
        <f>HYPERLINK("https://klasma.github.io/Logging_0980/tillsyn/A 10995-2023 tillsynsbegäran.docx", "A 10995-2023")</f>
        <v/>
      </c>
      <c r="Y143">
        <f>HYPERLINK("https://klasma.github.io/Logging_0980/tillsynsmail/A 10995-2023 tillsynsbegäran mail.docx", "A 10995-2023")</f>
        <v/>
      </c>
    </row>
    <row r="144" ht="15" customHeight="1">
      <c r="A144" t="inlineStr">
        <is>
          <t>A 63576-2021</t>
        </is>
      </c>
      <c r="B144" s="1" t="n">
        <v>44508</v>
      </c>
      <c r="C144" s="1" t="n">
        <v>45918</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6303-2024</t>
        </is>
      </c>
      <c r="B145" s="1" t="n">
        <v>45338.35376157407</v>
      </c>
      <c r="C145" s="1" t="n">
        <v>45918</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45918</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21466-2025</t>
        </is>
      </c>
      <c r="B147" s="1" t="n">
        <v>45782</v>
      </c>
      <c r="C147" s="1" t="n">
        <v>45918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27168-2022</t>
        </is>
      </c>
      <c r="B148" s="1" t="n">
        <v>44741</v>
      </c>
      <c r="C148" s="1" t="n">
        <v>45918</v>
      </c>
      <c r="D148" t="inlineStr">
        <is>
          <t>GOTLANDS LÄN</t>
        </is>
      </c>
      <c r="E148" t="inlineStr">
        <is>
          <t>GOTLAND</t>
        </is>
      </c>
      <c r="G148" t="n">
        <v>2.2</v>
      </c>
      <c r="H148" t="n">
        <v>1</v>
      </c>
      <c r="I148" t="n">
        <v>1</v>
      </c>
      <c r="J148" t="n">
        <v>0</v>
      </c>
      <c r="K148" t="n">
        <v>0</v>
      </c>
      <c r="L148" t="n">
        <v>0</v>
      </c>
      <c r="M148" t="n">
        <v>0</v>
      </c>
      <c r="N148" t="n">
        <v>0</v>
      </c>
      <c r="O148" t="n">
        <v>0</v>
      </c>
      <c r="P148" t="n">
        <v>0</v>
      </c>
      <c r="Q148" t="n">
        <v>1</v>
      </c>
      <c r="R148" s="2" t="inlineStr">
        <is>
          <t>Purpurknipprot</t>
        </is>
      </c>
      <c r="S148">
        <f>HYPERLINK("https://klasma.github.io/Logging_0980/artfynd/A 27168-2022 artfynd.xlsx", "A 27168-2022")</f>
        <v/>
      </c>
      <c r="T148">
        <f>HYPERLINK("https://klasma.github.io/Logging_0980/kartor/A 27168-2022 karta.png", "A 27168-2022")</f>
        <v/>
      </c>
      <c r="V148">
        <f>HYPERLINK("https://klasma.github.io/Logging_0980/klagomål/A 27168-2022 FSC-klagomål.docx", "A 27168-2022")</f>
        <v/>
      </c>
      <c r="W148">
        <f>HYPERLINK("https://klasma.github.io/Logging_0980/klagomålsmail/A 27168-2022 FSC-klagomål mail.docx", "A 27168-2022")</f>
        <v/>
      </c>
      <c r="X148">
        <f>HYPERLINK("https://klasma.github.io/Logging_0980/tillsyn/A 27168-2022 tillsynsbegäran.docx", "A 27168-2022")</f>
        <v/>
      </c>
      <c r="Y148">
        <f>HYPERLINK("https://klasma.github.io/Logging_0980/tillsynsmail/A 27168-2022 tillsynsbegäran mail.docx", "A 27168-2022")</f>
        <v/>
      </c>
    </row>
    <row r="149" ht="15" customHeight="1">
      <c r="A149" t="inlineStr">
        <is>
          <t>A 25977-2024</t>
        </is>
      </c>
      <c r="B149" s="1" t="n">
        <v>45467.69356481481</v>
      </c>
      <c r="C149" s="1" t="n">
        <v>45918</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45918</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10440-2024</t>
        </is>
      </c>
      <c r="B151" s="1" t="n">
        <v>45366.32818287037</v>
      </c>
      <c r="C151" s="1" t="n">
        <v>45918</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7637-2025</t>
        </is>
      </c>
      <c r="B152" s="1" t="n">
        <v>45705.77181712963</v>
      </c>
      <c r="C152" s="1" t="n">
        <v>45918</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65927-2021</t>
        </is>
      </c>
      <c r="B153" s="1" t="n">
        <v>44516</v>
      </c>
      <c r="C153" s="1" t="n">
        <v>45918</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45918</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26461-2025</t>
        </is>
      </c>
      <c r="B155" s="1" t="n">
        <v>45807.43337962963</v>
      </c>
      <c r="C155" s="1" t="n">
        <v>45918</v>
      </c>
      <c r="D155" t="inlineStr">
        <is>
          <t>GOTLANDS LÄN</t>
        </is>
      </c>
      <c r="E155" t="inlineStr">
        <is>
          <t>GOTLAND</t>
        </is>
      </c>
      <c r="G155" t="n">
        <v>4.1</v>
      </c>
      <c r="H155" t="n">
        <v>0</v>
      </c>
      <c r="I155" t="n">
        <v>0</v>
      </c>
      <c r="J155" t="n">
        <v>0</v>
      </c>
      <c r="K155" t="n">
        <v>1</v>
      </c>
      <c r="L155" t="n">
        <v>0</v>
      </c>
      <c r="M155" t="n">
        <v>0</v>
      </c>
      <c r="N155" t="n">
        <v>0</v>
      </c>
      <c r="O155" t="n">
        <v>1</v>
      </c>
      <c r="P155" t="n">
        <v>1</v>
      </c>
      <c r="Q155" t="n">
        <v>1</v>
      </c>
      <c r="R155" s="2" t="inlineStr">
        <is>
          <t>Gotlandsmåra</t>
        </is>
      </c>
      <c r="S155">
        <f>HYPERLINK("https://klasma.github.io/Logging_0980/artfynd/A 26461-2025 artfynd.xlsx", "A 26461-2025")</f>
        <v/>
      </c>
      <c r="T155">
        <f>HYPERLINK("https://klasma.github.io/Logging_0980/kartor/A 26461-2025 karta.png", "A 26461-2025")</f>
        <v/>
      </c>
      <c r="V155">
        <f>HYPERLINK("https://klasma.github.io/Logging_0980/klagomål/A 26461-2025 FSC-klagomål.docx", "A 26461-2025")</f>
        <v/>
      </c>
      <c r="W155">
        <f>HYPERLINK("https://klasma.github.io/Logging_0980/klagomålsmail/A 26461-2025 FSC-klagomål mail.docx", "A 26461-2025")</f>
        <v/>
      </c>
      <c r="X155">
        <f>HYPERLINK("https://klasma.github.io/Logging_0980/tillsyn/A 26461-2025 tillsynsbegäran.docx", "A 26461-2025")</f>
        <v/>
      </c>
      <c r="Y155">
        <f>HYPERLINK("https://klasma.github.io/Logging_0980/tillsynsmail/A 26461-2025 tillsynsbegäran mail.docx", "A 26461-2025")</f>
        <v/>
      </c>
    </row>
    <row r="156" ht="15" customHeight="1">
      <c r="A156" t="inlineStr">
        <is>
          <t>A 61796-2022</t>
        </is>
      </c>
      <c r="B156" s="1" t="n">
        <v>44917</v>
      </c>
      <c r="C156" s="1" t="n">
        <v>45918</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61561-2023</t>
        </is>
      </c>
      <c r="B157" s="1" t="n">
        <v>45265</v>
      </c>
      <c r="C157" s="1" t="n">
        <v>45918</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10218-2025</t>
        </is>
      </c>
      <c r="B158" s="1" t="n">
        <v>45720</v>
      </c>
      <c r="C158" s="1" t="n">
        <v>45918</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45918</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64700-2021</t>
        </is>
      </c>
      <c r="B160" s="1" t="n">
        <v>44511</v>
      </c>
      <c r="C160" s="1" t="n">
        <v>45918</v>
      </c>
      <c r="D160" t="inlineStr">
        <is>
          <t>GOTLANDS LÄN</t>
        </is>
      </c>
      <c r="E160" t="inlineStr">
        <is>
          <t>GOTLAND</t>
        </is>
      </c>
      <c r="F160" t="inlineStr">
        <is>
          <t>Naturvårdsverket</t>
        </is>
      </c>
      <c r="G160" t="n">
        <v>2.4</v>
      </c>
      <c r="H160" t="n">
        <v>1</v>
      </c>
      <c r="I160" t="n">
        <v>0</v>
      </c>
      <c r="J160" t="n">
        <v>0</v>
      </c>
      <c r="K160" t="n">
        <v>1</v>
      </c>
      <c r="L160" t="n">
        <v>0</v>
      </c>
      <c r="M160" t="n">
        <v>0</v>
      </c>
      <c r="N160" t="n">
        <v>0</v>
      </c>
      <c r="O160" t="n">
        <v>1</v>
      </c>
      <c r="P160" t="n">
        <v>1</v>
      </c>
      <c r="Q160" t="n">
        <v>1</v>
      </c>
      <c r="R160" s="2" t="inlineStr">
        <is>
          <t>Kalkdån</t>
        </is>
      </c>
      <c r="S160">
        <f>HYPERLINK("https://klasma.github.io/Logging_0980/artfynd/A 64700-2021 artfynd.xlsx", "A 64700-2021")</f>
        <v/>
      </c>
      <c r="T160">
        <f>HYPERLINK("https://klasma.github.io/Logging_0980/kartor/A 64700-2021 karta.png", "A 64700-2021")</f>
        <v/>
      </c>
      <c r="V160">
        <f>HYPERLINK("https://klasma.github.io/Logging_0980/klagomål/A 64700-2021 FSC-klagomål.docx", "A 64700-2021")</f>
        <v/>
      </c>
      <c r="W160">
        <f>HYPERLINK("https://klasma.github.io/Logging_0980/klagomålsmail/A 64700-2021 FSC-klagomål mail.docx", "A 64700-2021")</f>
        <v/>
      </c>
      <c r="X160">
        <f>HYPERLINK("https://klasma.github.io/Logging_0980/tillsyn/A 64700-2021 tillsynsbegäran.docx", "A 64700-2021")</f>
        <v/>
      </c>
      <c r="Y160">
        <f>HYPERLINK("https://klasma.github.io/Logging_0980/tillsynsmail/A 64700-2021 tillsynsbegäran mail.docx", "A 64700-2021")</f>
        <v/>
      </c>
    </row>
    <row r="161" ht="15" customHeight="1">
      <c r="A161" t="inlineStr">
        <is>
          <t>A 13627-2023</t>
        </is>
      </c>
      <c r="B161" s="1" t="n">
        <v>45006</v>
      </c>
      <c r="C161" s="1" t="n">
        <v>45918</v>
      </c>
      <c r="D161" t="inlineStr">
        <is>
          <t>GOTLANDS LÄN</t>
        </is>
      </c>
      <c r="E161" t="inlineStr">
        <is>
          <t>GOTLAND</t>
        </is>
      </c>
      <c r="G161" t="n">
        <v>10.7</v>
      </c>
      <c r="H161" t="n">
        <v>0</v>
      </c>
      <c r="I161" t="n">
        <v>0</v>
      </c>
      <c r="J161" t="n">
        <v>0</v>
      </c>
      <c r="K161" t="n">
        <v>1</v>
      </c>
      <c r="L161" t="n">
        <v>0</v>
      </c>
      <c r="M161" t="n">
        <v>0</v>
      </c>
      <c r="N161" t="n">
        <v>0</v>
      </c>
      <c r="O161" t="n">
        <v>1</v>
      </c>
      <c r="P161" t="n">
        <v>1</v>
      </c>
      <c r="Q161" t="n">
        <v>1</v>
      </c>
      <c r="R161" s="2" t="inlineStr">
        <is>
          <t>Sammetsbockrot</t>
        </is>
      </c>
      <c r="S161">
        <f>HYPERLINK("https://klasma.github.io/Logging_0980/artfynd/A 13627-2023 artfynd.xlsx", "A 13627-2023")</f>
        <v/>
      </c>
      <c r="T161">
        <f>HYPERLINK("https://klasma.github.io/Logging_0980/kartor/A 13627-2023 karta.png", "A 13627-2023")</f>
        <v/>
      </c>
      <c r="V161">
        <f>HYPERLINK("https://klasma.github.io/Logging_0980/klagomål/A 13627-2023 FSC-klagomål.docx", "A 13627-2023")</f>
        <v/>
      </c>
      <c r="W161">
        <f>HYPERLINK("https://klasma.github.io/Logging_0980/klagomålsmail/A 13627-2023 FSC-klagomål mail.docx", "A 13627-2023")</f>
        <v/>
      </c>
      <c r="X161">
        <f>HYPERLINK("https://klasma.github.io/Logging_0980/tillsyn/A 13627-2023 tillsynsbegäran.docx", "A 13627-2023")</f>
        <v/>
      </c>
      <c r="Y161">
        <f>HYPERLINK("https://klasma.github.io/Logging_0980/tillsynsmail/A 13627-2023 tillsynsbegäran mail.docx", "A 13627-2023")</f>
        <v/>
      </c>
    </row>
    <row r="162" ht="15" customHeight="1">
      <c r="A162" t="inlineStr">
        <is>
          <t>A 35574-2024</t>
        </is>
      </c>
      <c r="B162" s="1" t="n">
        <v>45531</v>
      </c>
      <c r="C162" s="1" t="n">
        <v>45918</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37591-2023</t>
        </is>
      </c>
      <c r="B163" s="1" t="n">
        <v>45159</v>
      </c>
      <c r="C163" s="1" t="n">
        <v>45918</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12324-2025</t>
        </is>
      </c>
      <c r="B164" s="1" t="n">
        <v>45730</v>
      </c>
      <c r="C164" s="1" t="n">
        <v>45918</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15637-2024</t>
        </is>
      </c>
      <c r="B165" s="1" t="n">
        <v>45403.6684837963</v>
      </c>
      <c r="C165" s="1" t="n">
        <v>45918</v>
      </c>
      <c r="D165" t="inlineStr">
        <is>
          <t>GOTLANDS LÄN</t>
        </is>
      </c>
      <c r="E165" t="inlineStr">
        <is>
          <t>GOTLAND</t>
        </is>
      </c>
      <c r="G165" t="n">
        <v>4.1</v>
      </c>
      <c r="H165" t="n">
        <v>1</v>
      </c>
      <c r="I165" t="n">
        <v>0</v>
      </c>
      <c r="J165" t="n">
        <v>0</v>
      </c>
      <c r="K165" t="n">
        <v>0</v>
      </c>
      <c r="L165" t="n">
        <v>0</v>
      </c>
      <c r="M165" t="n">
        <v>0</v>
      </c>
      <c r="N165" t="n">
        <v>0</v>
      </c>
      <c r="O165" t="n">
        <v>0</v>
      </c>
      <c r="P165" t="n">
        <v>0</v>
      </c>
      <c r="Q165" t="n">
        <v>1</v>
      </c>
      <c r="R165" s="2" t="inlineStr">
        <is>
          <t>Blåsippa</t>
        </is>
      </c>
      <c r="S165">
        <f>HYPERLINK("https://klasma.github.io/Logging_0980/artfynd/A 15637-2024 artfynd.xlsx", "A 15637-2024")</f>
        <v/>
      </c>
      <c r="T165">
        <f>HYPERLINK("https://klasma.github.io/Logging_0980/kartor/A 15637-2024 karta.png", "A 15637-2024")</f>
        <v/>
      </c>
      <c r="V165">
        <f>HYPERLINK("https://klasma.github.io/Logging_0980/klagomål/A 15637-2024 FSC-klagomål.docx", "A 15637-2024")</f>
        <v/>
      </c>
      <c r="W165">
        <f>HYPERLINK("https://klasma.github.io/Logging_0980/klagomålsmail/A 15637-2024 FSC-klagomål mail.docx", "A 15637-2024")</f>
        <v/>
      </c>
      <c r="X165">
        <f>HYPERLINK("https://klasma.github.io/Logging_0980/tillsyn/A 15637-2024 tillsynsbegäran.docx", "A 15637-2024")</f>
        <v/>
      </c>
      <c r="Y165">
        <f>HYPERLINK("https://klasma.github.io/Logging_0980/tillsynsmail/A 15637-2024 tillsynsbegäran mail.docx", "A 15637-2024")</f>
        <v/>
      </c>
    </row>
    <row r="166" ht="15" customHeight="1">
      <c r="A166" t="inlineStr">
        <is>
          <t>A 2476-2025</t>
        </is>
      </c>
      <c r="B166" s="1" t="n">
        <v>45673</v>
      </c>
      <c r="C166" s="1" t="n">
        <v>45918</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63299-2020</t>
        </is>
      </c>
      <c r="B167" s="1" t="n">
        <v>44165</v>
      </c>
      <c r="C167" s="1" t="n">
        <v>45918</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9862-2024</t>
        </is>
      </c>
      <c r="B168" s="1" t="n">
        <v>45363</v>
      </c>
      <c r="C168" s="1" t="n">
        <v>45918</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45918</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49847-2023</t>
        </is>
      </c>
      <c r="B170" s="1" t="n">
        <v>45212</v>
      </c>
      <c r="C170" s="1" t="n">
        <v>45918</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39812-2025</t>
        </is>
      </c>
      <c r="B171" s="1" t="n">
        <v>45891</v>
      </c>
      <c r="C171" s="1" t="n">
        <v>45918</v>
      </c>
      <c r="D171" t="inlineStr">
        <is>
          <t>GOTLANDS LÄN</t>
        </is>
      </c>
      <c r="E171" t="inlineStr">
        <is>
          <t>GOTLAND</t>
        </is>
      </c>
      <c r="G171" t="n">
        <v>6</v>
      </c>
      <c r="H171" t="n">
        <v>1</v>
      </c>
      <c r="I171" t="n">
        <v>0</v>
      </c>
      <c r="J171" t="n">
        <v>0</v>
      </c>
      <c r="K171" t="n">
        <v>0</v>
      </c>
      <c r="L171" t="n">
        <v>1</v>
      </c>
      <c r="M171" t="n">
        <v>0</v>
      </c>
      <c r="N171" t="n">
        <v>0</v>
      </c>
      <c r="O171" t="n">
        <v>1</v>
      </c>
      <c r="P171" t="n">
        <v>1</v>
      </c>
      <c r="Q171" t="n">
        <v>1</v>
      </c>
      <c r="R171" s="2" t="inlineStr">
        <is>
          <t>Nålkörvel</t>
        </is>
      </c>
      <c r="S171">
        <f>HYPERLINK("https://klasma.github.io/Logging_0980/artfynd/A 39812-2025 artfynd.xlsx", "A 39812-2025")</f>
        <v/>
      </c>
      <c r="T171">
        <f>HYPERLINK("https://klasma.github.io/Logging_0980/kartor/A 39812-2025 karta.png", "A 39812-2025")</f>
        <v/>
      </c>
      <c r="V171">
        <f>HYPERLINK("https://klasma.github.io/Logging_0980/klagomål/A 39812-2025 FSC-klagomål.docx", "A 39812-2025")</f>
        <v/>
      </c>
      <c r="W171">
        <f>HYPERLINK("https://klasma.github.io/Logging_0980/klagomålsmail/A 39812-2025 FSC-klagomål mail.docx", "A 39812-2025")</f>
        <v/>
      </c>
      <c r="X171">
        <f>HYPERLINK("https://klasma.github.io/Logging_0980/tillsyn/A 39812-2025 tillsynsbegäran.docx", "A 39812-2025")</f>
        <v/>
      </c>
      <c r="Y171">
        <f>HYPERLINK("https://klasma.github.io/Logging_0980/tillsynsmail/A 39812-2025 tillsynsbegäran mail.docx", "A 39812-2025")</f>
        <v/>
      </c>
    </row>
    <row r="172" ht="15" customHeight="1">
      <c r="A172" t="inlineStr">
        <is>
          <t>A 44619-2025</t>
        </is>
      </c>
      <c r="B172" s="1" t="n">
        <v>45917</v>
      </c>
      <c r="C172" s="1" t="n">
        <v>45918</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Ögonpyrola</t>
        </is>
      </c>
      <c r="S172">
        <f>HYPERLINK("https://klasma.github.io/Logging_0980/artfynd/A 44619-2025 artfynd.xlsx", "A 44619-2025")</f>
        <v/>
      </c>
      <c r="T172">
        <f>HYPERLINK("https://klasma.github.io/Logging_0980/kartor/A 44619-2025 karta.png", "A 44619-2025")</f>
        <v/>
      </c>
      <c r="V172">
        <f>HYPERLINK("https://klasma.github.io/Logging_0980/klagomål/A 44619-2025 FSC-klagomål.docx", "A 44619-2025")</f>
        <v/>
      </c>
      <c r="W172">
        <f>HYPERLINK("https://klasma.github.io/Logging_0980/klagomålsmail/A 44619-2025 FSC-klagomål mail.docx", "A 44619-2025")</f>
        <v/>
      </c>
      <c r="X172">
        <f>HYPERLINK("https://klasma.github.io/Logging_0980/tillsyn/A 44619-2025 tillsynsbegäran.docx", "A 44619-2025")</f>
        <v/>
      </c>
      <c r="Y172">
        <f>HYPERLINK("https://klasma.github.io/Logging_0980/tillsynsmail/A 44619-2025 tillsynsbegäran mail.docx", "A 44619-2025")</f>
        <v/>
      </c>
    </row>
    <row r="173" ht="15" customHeight="1">
      <c r="A173" t="inlineStr">
        <is>
          <t>A 19901-2021</t>
        </is>
      </c>
      <c r="B173" s="1" t="n">
        <v>44312</v>
      </c>
      <c r="C173" s="1" t="n">
        <v>45918</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45918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45918</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45918</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45918</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45918</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45918</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45918</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45918</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45918</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45918</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45918</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45918</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45918</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45918</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45918</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45918</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45918</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45918</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45918</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45918</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45918</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45918</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15127-2021</t>
        </is>
      </c>
      <c r="B198" s="1" t="n">
        <v>44283</v>
      </c>
      <c r="C198" s="1" t="n">
        <v>45918</v>
      </c>
      <c r="D198" t="inlineStr">
        <is>
          <t>GOTLANDS LÄN</t>
        </is>
      </c>
      <c r="E198" t="inlineStr">
        <is>
          <t>GOTLAND</t>
        </is>
      </c>
      <c r="G198" t="n">
        <v>0.4</v>
      </c>
      <c r="H198" t="n">
        <v>0</v>
      </c>
      <c r="I198" t="n">
        <v>0</v>
      </c>
      <c r="J198" t="n">
        <v>0</v>
      </c>
      <c r="K198" t="n">
        <v>0</v>
      </c>
      <c r="L198" t="n">
        <v>0</v>
      </c>
      <c r="M198" t="n">
        <v>0</v>
      </c>
      <c r="N198" t="n">
        <v>0</v>
      </c>
      <c r="O198" t="n">
        <v>0</v>
      </c>
      <c r="P198" t="n">
        <v>0</v>
      </c>
      <c r="Q198" t="n">
        <v>0</v>
      </c>
      <c r="R198" s="2" t="inlineStr"/>
    </row>
    <row r="199" ht="15" customHeight="1">
      <c r="A199" t="inlineStr">
        <is>
          <t>A 12318-2021</t>
        </is>
      </c>
      <c r="B199" s="1" t="n">
        <v>44266</v>
      </c>
      <c r="C199" s="1" t="n">
        <v>45918</v>
      </c>
      <c r="D199" t="inlineStr">
        <is>
          <t>GOTLANDS LÄN</t>
        </is>
      </c>
      <c r="E199" t="inlineStr">
        <is>
          <t>GOTLAND</t>
        </is>
      </c>
      <c r="G199" t="n">
        <v>1</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45918</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45918</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1229-2021</t>
        </is>
      </c>
      <c r="B205" s="1" t="n">
        <v>44208</v>
      </c>
      <c r="C205" s="1" t="n">
        <v>45918</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23910-2021</t>
        </is>
      </c>
      <c r="B206" s="1" t="n">
        <v>44335</v>
      </c>
      <c r="C206" s="1" t="n">
        <v>45918</v>
      </c>
      <c r="D206" t="inlineStr">
        <is>
          <t>GOTLANDS LÄN</t>
        </is>
      </c>
      <c r="E206" t="inlineStr">
        <is>
          <t>GOTLAND</t>
        </is>
      </c>
      <c r="G206" t="n">
        <v>1.5</v>
      </c>
      <c r="H206" t="n">
        <v>0</v>
      </c>
      <c r="I206" t="n">
        <v>0</v>
      </c>
      <c r="J206" t="n">
        <v>0</v>
      </c>
      <c r="K206" t="n">
        <v>0</v>
      </c>
      <c r="L206" t="n">
        <v>0</v>
      </c>
      <c r="M206" t="n">
        <v>0</v>
      </c>
      <c r="N206" t="n">
        <v>0</v>
      </c>
      <c r="O206" t="n">
        <v>0</v>
      </c>
      <c r="P206" t="n">
        <v>0</v>
      </c>
      <c r="Q206" t="n">
        <v>0</v>
      </c>
      <c r="R206" s="2" t="inlineStr"/>
    </row>
    <row r="207" ht="15" customHeight="1">
      <c r="A207" t="inlineStr">
        <is>
          <t>A 62120-2020</t>
        </is>
      </c>
      <c r="B207" s="1" t="n">
        <v>44158</v>
      </c>
      <c r="C207" s="1" t="n">
        <v>45918</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3271-2021</t>
        </is>
      </c>
      <c r="B208" s="1" t="n">
        <v>44217</v>
      </c>
      <c r="C208" s="1" t="n">
        <v>45918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45918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45918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17354-2022</t>
        </is>
      </c>
      <c r="B211" s="1" t="n">
        <v>44678</v>
      </c>
      <c r="C211" s="1" t="n">
        <v>45918</v>
      </c>
      <c r="D211" t="inlineStr">
        <is>
          <t>GOTLANDS LÄN</t>
        </is>
      </c>
      <c r="E211" t="inlineStr">
        <is>
          <t>GOTLAND</t>
        </is>
      </c>
      <c r="G211" t="n">
        <v>7.1</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45918</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45918</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45918</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45918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45918</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45918</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45918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45918</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45918</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45918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45918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45918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61596-2023</t>
        </is>
      </c>
      <c r="B224" s="1" t="n">
        <v>45265</v>
      </c>
      <c r="C224" s="1" t="n">
        <v>45918</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873-2024</t>
        </is>
      </c>
      <c r="B225" s="1" t="n">
        <v>45301</v>
      </c>
      <c r="C225" s="1" t="n">
        <v>45918</v>
      </c>
      <c r="D225" t="inlineStr">
        <is>
          <t>GOTLANDS LÄN</t>
        </is>
      </c>
      <c r="E225" t="inlineStr">
        <is>
          <t>GOTLAND</t>
        </is>
      </c>
      <c r="G225" t="n">
        <v>2.7</v>
      </c>
      <c r="H225" t="n">
        <v>0</v>
      </c>
      <c r="I225" t="n">
        <v>0</v>
      </c>
      <c r="J225" t="n">
        <v>0</v>
      </c>
      <c r="K225" t="n">
        <v>0</v>
      </c>
      <c r="L225" t="n">
        <v>0</v>
      </c>
      <c r="M225" t="n">
        <v>0</v>
      </c>
      <c r="N225" t="n">
        <v>0</v>
      </c>
      <c r="O225" t="n">
        <v>0</v>
      </c>
      <c r="P225" t="n">
        <v>0</v>
      </c>
      <c r="Q225" t="n">
        <v>0</v>
      </c>
      <c r="R225" s="2" t="inlineStr"/>
    </row>
    <row r="226" ht="15" customHeight="1">
      <c r="A226" t="inlineStr">
        <is>
          <t>A 44228-2022</t>
        </is>
      </c>
      <c r="B226" s="1" t="n">
        <v>44839.51599537037</v>
      </c>
      <c r="C226" s="1" t="n">
        <v>45918</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44647.78866898148</v>
      </c>
      <c r="C227" s="1" t="n">
        <v>45918</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44647.79513888889</v>
      </c>
      <c r="C228" s="1" t="n">
        <v>45918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45918</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22883-2024</t>
        </is>
      </c>
      <c r="B230" s="1" t="n">
        <v>45448.66368055555</v>
      </c>
      <c r="C230" s="1" t="n">
        <v>45918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6108-2025</t>
        </is>
      </c>
      <c r="B231" s="1" t="n">
        <v>45698.29880787037</v>
      </c>
      <c r="C231" s="1" t="n">
        <v>45918</v>
      </c>
      <c r="D231" t="inlineStr">
        <is>
          <t>GOTLANDS LÄN</t>
        </is>
      </c>
      <c r="E231" t="inlineStr">
        <is>
          <t>GOTLAND</t>
        </is>
      </c>
      <c r="G231" t="n">
        <v>2.8</v>
      </c>
      <c r="H231" t="n">
        <v>0</v>
      </c>
      <c r="I231" t="n">
        <v>0</v>
      </c>
      <c r="J231" t="n">
        <v>0</v>
      </c>
      <c r="K231" t="n">
        <v>0</v>
      </c>
      <c r="L231" t="n">
        <v>0</v>
      </c>
      <c r="M231" t="n">
        <v>0</v>
      </c>
      <c r="N231" t="n">
        <v>0</v>
      </c>
      <c r="O231" t="n">
        <v>0</v>
      </c>
      <c r="P231" t="n">
        <v>0</v>
      </c>
      <c r="Q231" t="n">
        <v>0</v>
      </c>
      <c r="R231" s="2" t="inlineStr"/>
    </row>
    <row r="232" ht="15" customHeight="1">
      <c r="A232" t="inlineStr">
        <is>
          <t>A 27593-2023</t>
        </is>
      </c>
      <c r="B232" s="1" t="n">
        <v>45097</v>
      </c>
      <c r="C232" s="1" t="n">
        <v>45918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25129-2023</t>
        </is>
      </c>
      <c r="B233" s="1" t="n">
        <v>45086.44261574074</v>
      </c>
      <c r="C233" s="1" t="n">
        <v>45918</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45918</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44204-2022</t>
        </is>
      </c>
      <c r="B235" s="1" t="n">
        <v>44839</v>
      </c>
      <c r="C235" s="1" t="n">
        <v>45918</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45918</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45918</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2035-2025</t>
        </is>
      </c>
      <c r="B238" s="1" t="n">
        <v>45672</v>
      </c>
      <c r="C238" s="1" t="n">
        <v>45918</v>
      </c>
      <c r="D238" t="inlineStr">
        <is>
          <t>GOTLANDS LÄN</t>
        </is>
      </c>
      <c r="E238" t="inlineStr">
        <is>
          <t>GOTLAND</t>
        </is>
      </c>
      <c r="G238" t="n">
        <v>7.5</v>
      </c>
      <c r="H238" t="n">
        <v>0</v>
      </c>
      <c r="I238" t="n">
        <v>0</v>
      </c>
      <c r="J238" t="n">
        <v>0</v>
      </c>
      <c r="K238" t="n">
        <v>0</v>
      </c>
      <c r="L238" t="n">
        <v>0</v>
      </c>
      <c r="M238" t="n">
        <v>0</v>
      </c>
      <c r="N238" t="n">
        <v>0</v>
      </c>
      <c r="O238" t="n">
        <v>0</v>
      </c>
      <c r="P238" t="n">
        <v>0</v>
      </c>
      <c r="Q238" t="n">
        <v>0</v>
      </c>
      <c r="R238" s="2" t="inlineStr"/>
    </row>
    <row r="239" ht="15" customHeight="1">
      <c r="A239" t="inlineStr">
        <is>
          <t>A 10652-2025</t>
        </is>
      </c>
      <c r="B239" s="1" t="n">
        <v>45721.68640046296</v>
      </c>
      <c r="C239" s="1" t="n">
        <v>45918</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10813-2025</t>
        </is>
      </c>
      <c r="B240" s="1" t="n">
        <v>45722.54163194444</v>
      </c>
      <c r="C240" s="1" t="n">
        <v>45918</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1066-2024</t>
        </is>
      </c>
      <c r="B241" s="1" t="n">
        <v>45302.285</v>
      </c>
      <c r="C241" s="1" t="n">
        <v>45918</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37202-2024</t>
        </is>
      </c>
      <c r="B242" s="1" t="n">
        <v>45539.67310185185</v>
      </c>
      <c r="C242" s="1" t="n">
        <v>45918</v>
      </c>
      <c r="D242" t="inlineStr">
        <is>
          <t>GOTLANDS LÄN</t>
        </is>
      </c>
      <c r="E242" t="inlineStr">
        <is>
          <t>GOTLAND</t>
        </is>
      </c>
      <c r="G242" t="n">
        <v>0.3</v>
      </c>
      <c r="H242" t="n">
        <v>0</v>
      </c>
      <c r="I242" t="n">
        <v>0</v>
      </c>
      <c r="J242" t="n">
        <v>0</v>
      </c>
      <c r="K242" t="n">
        <v>0</v>
      </c>
      <c r="L242" t="n">
        <v>0</v>
      </c>
      <c r="M242" t="n">
        <v>0</v>
      </c>
      <c r="N242" t="n">
        <v>0</v>
      </c>
      <c r="O242" t="n">
        <v>0</v>
      </c>
      <c r="P242" t="n">
        <v>0</v>
      </c>
      <c r="Q242" t="n">
        <v>0</v>
      </c>
      <c r="R242" s="2" t="inlineStr"/>
    </row>
    <row r="243" ht="15" customHeight="1">
      <c r="A243" t="inlineStr">
        <is>
          <t>A 53641-2020</t>
        </is>
      </c>
      <c r="B243" s="1" t="n">
        <v>44124</v>
      </c>
      <c r="C243" s="1" t="n">
        <v>45918</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45918</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56009-2024</t>
        </is>
      </c>
      <c r="B245" s="1" t="n">
        <v>45623.80864583333</v>
      </c>
      <c r="C245" s="1" t="n">
        <v>45918</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44881.50380787037</v>
      </c>
      <c r="C246" s="1" t="n">
        <v>45918</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456-2023</t>
        </is>
      </c>
      <c r="B247" s="1" t="n">
        <v>44929.87122685185</v>
      </c>
      <c r="C247" s="1" t="n">
        <v>45918</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30815-2023</t>
        </is>
      </c>
      <c r="B248" s="1" t="n">
        <v>45112</v>
      </c>
      <c r="C248" s="1" t="n">
        <v>45918</v>
      </c>
      <c r="D248" t="inlineStr">
        <is>
          <t>GOTLANDS LÄN</t>
        </is>
      </c>
      <c r="E248" t="inlineStr">
        <is>
          <t>GOTLAND</t>
        </is>
      </c>
      <c r="G248" t="n">
        <v>6</v>
      </c>
      <c r="H248" t="n">
        <v>0</v>
      </c>
      <c r="I248" t="n">
        <v>0</v>
      </c>
      <c r="J248" t="n">
        <v>0</v>
      </c>
      <c r="K248" t="n">
        <v>0</v>
      </c>
      <c r="L248" t="n">
        <v>0</v>
      </c>
      <c r="M248" t="n">
        <v>0</v>
      </c>
      <c r="N248" t="n">
        <v>0</v>
      </c>
      <c r="O248" t="n">
        <v>0</v>
      </c>
      <c r="P248" t="n">
        <v>0</v>
      </c>
      <c r="Q248" t="n">
        <v>0</v>
      </c>
      <c r="R248" s="2" t="inlineStr"/>
    </row>
    <row r="249" ht="15" customHeight="1">
      <c r="A249" t="inlineStr">
        <is>
          <t>A 46400-2023</t>
        </is>
      </c>
      <c r="B249" s="1" t="n">
        <v>45197.49290509259</v>
      </c>
      <c r="C249" s="1" t="n">
        <v>45918</v>
      </c>
      <c r="D249" t="inlineStr">
        <is>
          <t>GOTLANDS LÄN</t>
        </is>
      </c>
      <c r="E249" t="inlineStr">
        <is>
          <t>GOTLAND</t>
        </is>
      </c>
      <c r="G249" t="n">
        <v>0.8</v>
      </c>
      <c r="H249" t="n">
        <v>0</v>
      </c>
      <c r="I249" t="n">
        <v>0</v>
      </c>
      <c r="J249" t="n">
        <v>0</v>
      </c>
      <c r="K249" t="n">
        <v>0</v>
      </c>
      <c r="L249" t="n">
        <v>0</v>
      </c>
      <c r="M249" t="n">
        <v>0</v>
      </c>
      <c r="N249" t="n">
        <v>0</v>
      </c>
      <c r="O249" t="n">
        <v>0</v>
      </c>
      <c r="P249" t="n">
        <v>0</v>
      </c>
      <c r="Q249" t="n">
        <v>0</v>
      </c>
      <c r="R249" s="2" t="inlineStr"/>
    </row>
    <row r="250" ht="15" customHeight="1">
      <c r="A250" t="inlineStr">
        <is>
          <t>A 10492-2023</t>
        </is>
      </c>
      <c r="B250" s="1" t="n">
        <v>44987</v>
      </c>
      <c r="C250" s="1" t="n">
        <v>45918</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3964-2024</t>
        </is>
      </c>
      <c r="B251" s="1" t="n">
        <v>45322</v>
      </c>
      <c r="C251" s="1" t="n">
        <v>45918</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45106-2024</t>
        </is>
      </c>
      <c r="B252" s="1" t="n">
        <v>45575</v>
      </c>
      <c r="C252" s="1" t="n">
        <v>45918</v>
      </c>
      <c r="D252" t="inlineStr">
        <is>
          <t>GOTLANDS LÄN</t>
        </is>
      </c>
      <c r="E252" t="inlineStr">
        <is>
          <t>GOTLAND</t>
        </is>
      </c>
      <c r="G252" t="n">
        <v>10</v>
      </c>
      <c r="H252" t="n">
        <v>0</v>
      </c>
      <c r="I252" t="n">
        <v>0</v>
      </c>
      <c r="J252" t="n">
        <v>0</v>
      </c>
      <c r="K252" t="n">
        <v>0</v>
      </c>
      <c r="L252" t="n">
        <v>0</v>
      </c>
      <c r="M252" t="n">
        <v>0</v>
      </c>
      <c r="N252" t="n">
        <v>0</v>
      </c>
      <c r="O252" t="n">
        <v>0</v>
      </c>
      <c r="P252" t="n">
        <v>0</v>
      </c>
      <c r="Q252" t="n">
        <v>0</v>
      </c>
      <c r="R252" s="2" t="inlineStr"/>
    </row>
    <row r="253" ht="15" customHeight="1">
      <c r="A253" t="inlineStr">
        <is>
          <t>A 45112-2024</t>
        </is>
      </c>
      <c r="B253" s="1" t="n">
        <v>45575</v>
      </c>
      <c r="C253" s="1" t="n">
        <v>45918</v>
      </c>
      <c r="D253" t="inlineStr">
        <is>
          <t>GOTLANDS LÄN</t>
        </is>
      </c>
      <c r="E253" t="inlineStr">
        <is>
          <t>GOTLAND</t>
        </is>
      </c>
      <c r="G253" t="n">
        <v>5.1</v>
      </c>
      <c r="H253" t="n">
        <v>0</v>
      </c>
      <c r="I253" t="n">
        <v>0</v>
      </c>
      <c r="J253" t="n">
        <v>0</v>
      </c>
      <c r="K253" t="n">
        <v>0</v>
      </c>
      <c r="L253" t="n">
        <v>0</v>
      </c>
      <c r="M253" t="n">
        <v>0</v>
      </c>
      <c r="N253" t="n">
        <v>0</v>
      </c>
      <c r="O253" t="n">
        <v>0</v>
      </c>
      <c r="P253" t="n">
        <v>0</v>
      </c>
      <c r="Q253" t="n">
        <v>0</v>
      </c>
      <c r="R253" s="2" t="inlineStr"/>
    </row>
    <row r="254" ht="15" customHeight="1">
      <c r="A254" t="inlineStr">
        <is>
          <t>A 6153-2024</t>
        </is>
      </c>
      <c r="B254" s="1" t="n">
        <v>45337</v>
      </c>
      <c r="C254" s="1" t="n">
        <v>45918</v>
      </c>
      <c r="D254" t="inlineStr">
        <is>
          <t>GOTLANDS LÄN</t>
        </is>
      </c>
      <c r="E254" t="inlineStr">
        <is>
          <t>GOTLAND</t>
        </is>
      </c>
      <c r="G254" t="n">
        <v>14.2</v>
      </c>
      <c r="H254" t="n">
        <v>0</v>
      </c>
      <c r="I254" t="n">
        <v>0</v>
      </c>
      <c r="J254" t="n">
        <v>0</v>
      </c>
      <c r="K254" t="n">
        <v>0</v>
      </c>
      <c r="L254" t="n">
        <v>0</v>
      </c>
      <c r="M254" t="n">
        <v>0</v>
      </c>
      <c r="N254" t="n">
        <v>0</v>
      </c>
      <c r="O254" t="n">
        <v>0</v>
      </c>
      <c r="P254" t="n">
        <v>0</v>
      </c>
      <c r="Q254" t="n">
        <v>0</v>
      </c>
      <c r="R254" s="2" t="inlineStr"/>
    </row>
    <row r="255" ht="15" customHeight="1">
      <c r="A255" t="inlineStr">
        <is>
          <t>A 7026-2023</t>
        </is>
      </c>
      <c r="B255" s="1" t="n">
        <v>44968.30340277778</v>
      </c>
      <c r="C255" s="1" t="n">
        <v>45918</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52892-2021</t>
        </is>
      </c>
      <c r="B256" s="1" t="n">
        <v>44467.49048611111</v>
      </c>
      <c r="C256" s="1" t="n">
        <v>45918</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45918</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1351-2025</t>
        </is>
      </c>
      <c r="B258" s="1" t="n">
        <v>45667.62246527777</v>
      </c>
      <c r="C258" s="1" t="n">
        <v>45918</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16501-2023</t>
        </is>
      </c>
      <c r="B259" s="1" t="n">
        <v>45029</v>
      </c>
      <c r="C259" s="1" t="n">
        <v>45918</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49874-2024</t>
        </is>
      </c>
      <c r="B260" s="1" t="n">
        <v>45597.49274305555</v>
      </c>
      <c r="C260" s="1" t="n">
        <v>45918</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27095-2022</t>
        </is>
      </c>
      <c r="B261" s="1" t="n">
        <v>44741</v>
      </c>
      <c r="C261" s="1" t="n">
        <v>45918</v>
      </c>
      <c r="D261" t="inlineStr">
        <is>
          <t>GOTLANDS LÄN</t>
        </is>
      </c>
      <c r="E261" t="inlineStr">
        <is>
          <t>GOTLAND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458-2023</t>
        </is>
      </c>
      <c r="B262" s="1" t="n">
        <v>44929</v>
      </c>
      <c r="C262" s="1" t="n">
        <v>45918</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1291-2023</t>
        </is>
      </c>
      <c r="B263" s="1" t="n">
        <v>44936.47561342592</v>
      </c>
      <c r="C263" s="1" t="n">
        <v>45918</v>
      </c>
      <c r="D263" t="inlineStr">
        <is>
          <t>GOTLANDS LÄN</t>
        </is>
      </c>
      <c r="E263" t="inlineStr">
        <is>
          <t>GOTLAND</t>
        </is>
      </c>
      <c r="G263" t="n">
        <v>7.4</v>
      </c>
      <c r="H263" t="n">
        <v>0</v>
      </c>
      <c r="I263" t="n">
        <v>0</v>
      </c>
      <c r="J263" t="n">
        <v>0</v>
      </c>
      <c r="K263" t="n">
        <v>0</v>
      </c>
      <c r="L263" t="n">
        <v>0</v>
      </c>
      <c r="M263" t="n">
        <v>0</v>
      </c>
      <c r="N263" t="n">
        <v>0</v>
      </c>
      <c r="O263" t="n">
        <v>0</v>
      </c>
      <c r="P263" t="n">
        <v>0</v>
      </c>
      <c r="Q263" t="n">
        <v>0</v>
      </c>
      <c r="R263" s="2" t="inlineStr"/>
    </row>
    <row r="264" ht="15" customHeight="1">
      <c r="A264" t="inlineStr">
        <is>
          <t>A 58476-2022</t>
        </is>
      </c>
      <c r="B264" s="1" t="n">
        <v>44902</v>
      </c>
      <c r="C264" s="1" t="n">
        <v>45918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45918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12599-2025</t>
        </is>
      </c>
      <c r="B266" s="1" t="n">
        <v>45733.29546296296</v>
      </c>
      <c r="C266" s="1" t="n">
        <v>45918</v>
      </c>
      <c r="D266" t="inlineStr">
        <is>
          <t>GOTLANDS LÄN</t>
        </is>
      </c>
      <c r="E266" t="inlineStr">
        <is>
          <t>GOTLAND</t>
        </is>
      </c>
      <c r="G266" t="n">
        <v>4.7</v>
      </c>
      <c r="H266" t="n">
        <v>0</v>
      </c>
      <c r="I266" t="n">
        <v>0</v>
      </c>
      <c r="J266" t="n">
        <v>0</v>
      </c>
      <c r="K266" t="n">
        <v>0</v>
      </c>
      <c r="L266" t="n">
        <v>0</v>
      </c>
      <c r="M266" t="n">
        <v>0</v>
      </c>
      <c r="N266" t="n">
        <v>0</v>
      </c>
      <c r="O266" t="n">
        <v>0</v>
      </c>
      <c r="P266" t="n">
        <v>0</v>
      </c>
      <c r="Q266" t="n">
        <v>0</v>
      </c>
      <c r="R266" s="2" t="inlineStr"/>
    </row>
    <row r="267" ht="15" customHeight="1">
      <c r="A267" t="inlineStr">
        <is>
          <t>A 5891-2025</t>
        </is>
      </c>
      <c r="B267" s="1" t="n">
        <v>45695.38327546296</v>
      </c>
      <c r="C267" s="1" t="n">
        <v>45918</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63229-2021</t>
        </is>
      </c>
      <c r="B268" s="1" t="n">
        <v>44508.34518518519</v>
      </c>
      <c r="C268" s="1" t="n">
        <v>45918</v>
      </c>
      <c r="D268" t="inlineStr">
        <is>
          <t>GOTLANDS LÄN</t>
        </is>
      </c>
      <c r="E268" t="inlineStr">
        <is>
          <t>GOTLAND</t>
        </is>
      </c>
      <c r="F268" t="inlineStr">
        <is>
          <t>Kyrkan</t>
        </is>
      </c>
      <c r="G268" t="n">
        <v>3.8</v>
      </c>
      <c r="H268" t="n">
        <v>0</v>
      </c>
      <c r="I268" t="n">
        <v>0</v>
      </c>
      <c r="J268" t="n">
        <v>0</v>
      </c>
      <c r="K268" t="n">
        <v>0</v>
      </c>
      <c r="L268" t="n">
        <v>0</v>
      </c>
      <c r="M268" t="n">
        <v>0</v>
      </c>
      <c r="N268" t="n">
        <v>0</v>
      </c>
      <c r="O268" t="n">
        <v>0</v>
      </c>
      <c r="P268" t="n">
        <v>0</v>
      </c>
      <c r="Q268" t="n">
        <v>0</v>
      </c>
      <c r="R268" s="2" t="inlineStr"/>
    </row>
    <row r="269" ht="15" customHeight="1">
      <c r="A269" t="inlineStr">
        <is>
          <t>A 14804-2021</t>
        </is>
      </c>
      <c r="B269" s="1" t="n">
        <v>44280</v>
      </c>
      <c r="C269" s="1" t="n">
        <v>45918</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14427-2024</t>
        </is>
      </c>
      <c r="B270" s="1" t="n">
        <v>45394</v>
      </c>
      <c r="C270" s="1" t="n">
        <v>45918</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19002-2025</t>
        </is>
      </c>
      <c r="B271" s="1" t="n">
        <v>45764</v>
      </c>
      <c r="C271" s="1" t="n">
        <v>45918</v>
      </c>
      <c r="D271" t="inlineStr">
        <is>
          <t>GOTLANDS LÄN</t>
        </is>
      </c>
      <c r="E271" t="inlineStr">
        <is>
          <t>GOTLAND</t>
        </is>
      </c>
      <c r="G271" t="n">
        <v>2.1</v>
      </c>
      <c r="H271" t="n">
        <v>0</v>
      </c>
      <c r="I271" t="n">
        <v>0</v>
      </c>
      <c r="J271" t="n">
        <v>0</v>
      </c>
      <c r="K271" t="n">
        <v>0</v>
      </c>
      <c r="L271" t="n">
        <v>0</v>
      </c>
      <c r="M271" t="n">
        <v>0</v>
      </c>
      <c r="N271" t="n">
        <v>0</v>
      </c>
      <c r="O271" t="n">
        <v>0</v>
      </c>
      <c r="P271" t="n">
        <v>0</v>
      </c>
      <c r="Q271" t="n">
        <v>0</v>
      </c>
      <c r="R271" s="2" t="inlineStr"/>
    </row>
    <row r="272" ht="15" customHeight="1">
      <c r="A272" t="inlineStr">
        <is>
          <t>A 2719-2023</t>
        </is>
      </c>
      <c r="B272" s="1" t="n">
        <v>44944.55361111111</v>
      </c>
      <c r="C272" s="1" t="n">
        <v>45918</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17144-2025</t>
        </is>
      </c>
      <c r="B273" s="1" t="n">
        <v>45755.9499537037</v>
      </c>
      <c r="C273" s="1" t="n">
        <v>45918</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45918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45918</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9875-2025</t>
        </is>
      </c>
      <c r="B276" s="1" t="n">
        <v>45716</v>
      </c>
      <c r="C276" s="1" t="n">
        <v>45918</v>
      </c>
      <c r="D276" t="inlineStr">
        <is>
          <t>GOTLANDS LÄN</t>
        </is>
      </c>
      <c r="E276" t="inlineStr">
        <is>
          <t>GOTLAND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60675-2021</t>
        </is>
      </c>
      <c r="B277" s="1" t="n">
        <v>44496.64855324074</v>
      </c>
      <c r="C277" s="1" t="n">
        <v>45918</v>
      </c>
      <c r="D277" t="inlineStr">
        <is>
          <t>GOTLANDS LÄN</t>
        </is>
      </c>
      <c r="E277" t="inlineStr">
        <is>
          <t>GOTLAND</t>
        </is>
      </c>
      <c r="G277" t="n">
        <v>4.6</v>
      </c>
      <c r="H277" t="n">
        <v>0</v>
      </c>
      <c r="I277" t="n">
        <v>0</v>
      </c>
      <c r="J277" t="n">
        <v>0</v>
      </c>
      <c r="K277" t="n">
        <v>0</v>
      </c>
      <c r="L277" t="n">
        <v>0</v>
      </c>
      <c r="M277" t="n">
        <v>0</v>
      </c>
      <c r="N277" t="n">
        <v>0</v>
      </c>
      <c r="O277" t="n">
        <v>0</v>
      </c>
      <c r="P277" t="n">
        <v>0</v>
      </c>
      <c r="Q277" t="n">
        <v>0</v>
      </c>
      <c r="R277" s="2" t="inlineStr"/>
    </row>
    <row r="278" ht="15" customHeight="1">
      <c r="A278" t="inlineStr">
        <is>
          <t>A 29809-2022</t>
        </is>
      </c>
      <c r="B278" s="1" t="n">
        <v>44755.8713425926</v>
      </c>
      <c r="C278" s="1" t="n">
        <v>45918</v>
      </c>
      <c r="D278" t="inlineStr">
        <is>
          <t>GOTLANDS LÄN</t>
        </is>
      </c>
      <c r="E278" t="inlineStr">
        <is>
          <t>GOTLAND</t>
        </is>
      </c>
      <c r="G278" t="n">
        <v>11.5</v>
      </c>
      <c r="H278" t="n">
        <v>0</v>
      </c>
      <c r="I278" t="n">
        <v>0</v>
      </c>
      <c r="J278" t="n">
        <v>0</v>
      </c>
      <c r="K278" t="n">
        <v>0</v>
      </c>
      <c r="L278" t="n">
        <v>0</v>
      </c>
      <c r="M278" t="n">
        <v>0</v>
      </c>
      <c r="N278" t="n">
        <v>0</v>
      </c>
      <c r="O278" t="n">
        <v>0</v>
      </c>
      <c r="P278" t="n">
        <v>0</v>
      </c>
      <c r="Q278" t="n">
        <v>0</v>
      </c>
      <c r="R278" s="2" t="inlineStr"/>
    </row>
    <row r="279" ht="15" customHeight="1">
      <c r="A279" t="inlineStr">
        <is>
          <t>A 5217-2023</t>
        </is>
      </c>
      <c r="B279" s="1" t="n">
        <v>44959.39582175926</v>
      </c>
      <c r="C279" s="1" t="n">
        <v>45918</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45918</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45327.45173611111</v>
      </c>
      <c r="C281" s="1" t="n">
        <v>45918</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16361-2024</t>
        </is>
      </c>
      <c r="B282" s="1" t="n">
        <v>45407</v>
      </c>
      <c r="C282" s="1" t="n">
        <v>45918</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49257-2024</t>
        </is>
      </c>
      <c r="B283" s="1" t="n">
        <v>45595.47627314815</v>
      </c>
      <c r="C283" s="1" t="n">
        <v>45918</v>
      </c>
      <c r="D283" t="inlineStr">
        <is>
          <t>GOTLANDS LÄN</t>
        </is>
      </c>
      <c r="E283" t="inlineStr">
        <is>
          <t>GOTLAND</t>
        </is>
      </c>
      <c r="G283" t="n">
        <v>6.3</v>
      </c>
      <c r="H283" t="n">
        <v>0</v>
      </c>
      <c r="I283" t="n">
        <v>0</v>
      </c>
      <c r="J283" t="n">
        <v>0</v>
      </c>
      <c r="K283" t="n">
        <v>0</v>
      </c>
      <c r="L283" t="n">
        <v>0</v>
      </c>
      <c r="M283" t="n">
        <v>0</v>
      </c>
      <c r="N283" t="n">
        <v>0</v>
      </c>
      <c r="O283" t="n">
        <v>0</v>
      </c>
      <c r="P283" t="n">
        <v>0</v>
      </c>
      <c r="Q283" t="n">
        <v>0</v>
      </c>
      <c r="R283" s="2" t="inlineStr"/>
    </row>
    <row r="284" ht="15" customHeight="1">
      <c r="A284" t="inlineStr">
        <is>
          <t>A 49315-2024</t>
        </is>
      </c>
      <c r="B284" s="1" t="n">
        <v>45595</v>
      </c>
      <c r="C284" s="1" t="n">
        <v>45918</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44698.49854166667</v>
      </c>
      <c r="C285" s="1" t="n">
        <v>45918</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64380-2020</t>
        </is>
      </c>
      <c r="B286" s="1" t="n">
        <v>44168.60128472222</v>
      </c>
      <c r="C286" s="1" t="n">
        <v>45918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43081-2022</t>
        </is>
      </c>
      <c r="B287" s="1" t="n">
        <v>44833</v>
      </c>
      <c r="C287" s="1" t="n">
        <v>45918</v>
      </c>
      <c r="D287" t="inlineStr">
        <is>
          <t>GOTLANDS LÄN</t>
        </is>
      </c>
      <c r="E287" t="inlineStr">
        <is>
          <t>GOTLAND</t>
        </is>
      </c>
      <c r="G287" t="n">
        <v>6.8</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45918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1175-2025</t>
        </is>
      </c>
      <c r="B289" s="1" t="n">
        <v>45667.34449074074</v>
      </c>
      <c r="C289" s="1" t="n">
        <v>45918</v>
      </c>
      <c r="D289" t="inlineStr">
        <is>
          <t>GOTLANDS LÄN</t>
        </is>
      </c>
      <c r="E289" t="inlineStr">
        <is>
          <t>GOTLAND</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45521.87988425926</v>
      </c>
      <c r="C290" s="1" t="n">
        <v>45918</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2608-2021</t>
        </is>
      </c>
      <c r="B291" s="1" t="n">
        <v>44214</v>
      </c>
      <c r="C291" s="1" t="n">
        <v>45918</v>
      </c>
      <c r="D291" t="inlineStr">
        <is>
          <t>GOTLANDS LÄN</t>
        </is>
      </c>
      <c r="E291" t="inlineStr">
        <is>
          <t>GOTLAND</t>
        </is>
      </c>
      <c r="G291" t="n">
        <v>3.9</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45918</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61962-2024</t>
        </is>
      </c>
      <c r="B293" s="1" t="n">
        <v>45653.54340277778</v>
      </c>
      <c r="C293" s="1" t="n">
        <v>45918</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42201-2023</t>
        </is>
      </c>
      <c r="B294" s="1" t="n">
        <v>45179</v>
      </c>
      <c r="C294" s="1" t="n">
        <v>45918</v>
      </c>
      <c r="D294" t="inlineStr">
        <is>
          <t>GOTLANDS LÄN</t>
        </is>
      </c>
      <c r="E294" t="inlineStr">
        <is>
          <t>GOTLAND</t>
        </is>
      </c>
      <c r="G294" t="n">
        <v>11.9</v>
      </c>
      <c r="H294" t="n">
        <v>0</v>
      </c>
      <c r="I294" t="n">
        <v>0</v>
      </c>
      <c r="J294" t="n">
        <v>0</v>
      </c>
      <c r="K294" t="n">
        <v>0</v>
      </c>
      <c r="L294" t="n">
        <v>0</v>
      </c>
      <c r="M294" t="n">
        <v>0</v>
      </c>
      <c r="N294" t="n">
        <v>0</v>
      </c>
      <c r="O294" t="n">
        <v>0</v>
      </c>
      <c r="P294" t="n">
        <v>0</v>
      </c>
      <c r="Q294" t="n">
        <v>0</v>
      </c>
      <c r="R294" s="2" t="inlineStr"/>
    </row>
    <row r="295" ht="15" customHeight="1">
      <c r="A295" t="inlineStr">
        <is>
          <t>A 3150-2025</t>
        </is>
      </c>
      <c r="B295" s="1" t="n">
        <v>45679.28974537037</v>
      </c>
      <c r="C295" s="1" t="n">
        <v>45918</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27930-2021</t>
        </is>
      </c>
      <c r="B296" s="1" t="n">
        <v>44354</v>
      </c>
      <c r="C296" s="1" t="n">
        <v>45918</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59469-2024</t>
        </is>
      </c>
      <c r="B297" s="1" t="n">
        <v>45638</v>
      </c>
      <c r="C297" s="1" t="n">
        <v>45918</v>
      </c>
      <c r="D297" t="inlineStr">
        <is>
          <t>GOTLANDS LÄN</t>
        </is>
      </c>
      <c r="E297" t="inlineStr">
        <is>
          <t>GOTLAND</t>
        </is>
      </c>
      <c r="G297" t="n">
        <v>0.4</v>
      </c>
      <c r="H297" t="n">
        <v>0</v>
      </c>
      <c r="I297" t="n">
        <v>0</v>
      </c>
      <c r="J297" t="n">
        <v>0</v>
      </c>
      <c r="K297" t="n">
        <v>0</v>
      </c>
      <c r="L297" t="n">
        <v>0</v>
      </c>
      <c r="M297" t="n">
        <v>0</v>
      </c>
      <c r="N297" t="n">
        <v>0</v>
      </c>
      <c r="O297" t="n">
        <v>0</v>
      </c>
      <c r="P297" t="n">
        <v>0</v>
      </c>
      <c r="Q297" t="n">
        <v>0</v>
      </c>
      <c r="R297" s="2" t="inlineStr"/>
    </row>
    <row r="298" ht="15" customHeight="1">
      <c r="A298" t="inlineStr">
        <is>
          <t>A 56951-2021</t>
        </is>
      </c>
      <c r="B298" s="1" t="n">
        <v>44482.37388888889</v>
      </c>
      <c r="C298" s="1" t="n">
        <v>45918</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42041-2024</t>
        </is>
      </c>
      <c r="B299" s="1" t="n">
        <v>45561</v>
      </c>
      <c r="C299" s="1" t="n">
        <v>45918</v>
      </c>
      <c r="D299" t="inlineStr">
        <is>
          <t>GOTLANDS LÄN</t>
        </is>
      </c>
      <c r="E299" t="inlineStr">
        <is>
          <t>GOTLAND</t>
        </is>
      </c>
      <c r="G299" t="n">
        <v>3.2</v>
      </c>
      <c r="H299" t="n">
        <v>0</v>
      </c>
      <c r="I299" t="n">
        <v>0</v>
      </c>
      <c r="J299" t="n">
        <v>0</v>
      </c>
      <c r="K299" t="n">
        <v>0</v>
      </c>
      <c r="L299" t="n">
        <v>0</v>
      </c>
      <c r="M299" t="n">
        <v>0</v>
      </c>
      <c r="N299" t="n">
        <v>0</v>
      </c>
      <c r="O299" t="n">
        <v>0</v>
      </c>
      <c r="P299" t="n">
        <v>0</v>
      </c>
      <c r="Q299" t="n">
        <v>0</v>
      </c>
      <c r="R299" s="2" t="inlineStr"/>
    </row>
    <row r="300" ht="15" customHeight="1">
      <c r="A300" t="inlineStr">
        <is>
          <t>A 27596-2023</t>
        </is>
      </c>
      <c r="B300" s="1" t="n">
        <v>45097</v>
      </c>
      <c r="C300" s="1" t="n">
        <v>45918</v>
      </c>
      <c r="D300" t="inlineStr">
        <is>
          <t>GOTLANDS LÄN</t>
        </is>
      </c>
      <c r="E300" t="inlineStr">
        <is>
          <t>GOTLAND</t>
        </is>
      </c>
      <c r="G300" t="n">
        <v>3.6</v>
      </c>
      <c r="H300" t="n">
        <v>0</v>
      </c>
      <c r="I300" t="n">
        <v>0</v>
      </c>
      <c r="J300" t="n">
        <v>0</v>
      </c>
      <c r="K300" t="n">
        <v>0</v>
      </c>
      <c r="L300" t="n">
        <v>0</v>
      </c>
      <c r="M300" t="n">
        <v>0</v>
      </c>
      <c r="N300" t="n">
        <v>0</v>
      </c>
      <c r="O300" t="n">
        <v>0</v>
      </c>
      <c r="P300" t="n">
        <v>0</v>
      </c>
      <c r="Q300" t="n">
        <v>0</v>
      </c>
      <c r="R300" s="2" t="inlineStr"/>
    </row>
    <row r="301" ht="15" customHeight="1">
      <c r="A301" t="inlineStr">
        <is>
          <t>A 56115-2023</t>
        </is>
      </c>
      <c r="B301" s="1" t="n">
        <v>45236</v>
      </c>
      <c r="C301" s="1" t="n">
        <v>45918</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5751-2024</t>
        </is>
      </c>
      <c r="B302" s="1" t="n">
        <v>45335.32702546296</v>
      </c>
      <c r="C302" s="1" t="n">
        <v>45918</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64969-2023</t>
        </is>
      </c>
      <c r="B303" s="1" t="n">
        <v>45284.54009259259</v>
      </c>
      <c r="C303" s="1" t="n">
        <v>45918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44966.66425925926</v>
      </c>
      <c r="C304" s="1" t="n">
        <v>45918</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28480-2023</t>
        </is>
      </c>
      <c r="B305" s="1" t="n">
        <v>45103</v>
      </c>
      <c r="C305" s="1" t="n">
        <v>45918</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28485-2023</t>
        </is>
      </c>
      <c r="B306" s="1" t="n">
        <v>45103.43731481482</v>
      </c>
      <c r="C306" s="1" t="n">
        <v>45918</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4990-2025</t>
        </is>
      </c>
      <c r="B307" s="1" t="n">
        <v>45691</v>
      </c>
      <c r="C307" s="1" t="n">
        <v>45918</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33853-2024</t>
        </is>
      </c>
      <c r="B308" s="1" t="n">
        <v>45520.64298611111</v>
      </c>
      <c r="C308" s="1" t="n">
        <v>45918</v>
      </c>
      <c r="D308" t="inlineStr">
        <is>
          <t>GOTLANDS LÄN</t>
        </is>
      </c>
      <c r="E308" t="inlineStr">
        <is>
          <t>GOTLAND</t>
        </is>
      </c>
      <c r="G308" t="n">
        <v>3.9</v>
      </c>
      <c r="H308" t="n">
        <v>0</v>
      </c>
      <c r="I308" t="n">
        <v>0</v>
      </c>
      <c r="J308" t="n">
        <v>0</v>
      </c>
      <c r="K308" t="n">
        <v>0</v>
      </c>
      <c r="L308" t="n">
        <v>0</v>
      </c>
      <c r="M308" t="n">
        <v>0</v>
      </c>
      <c r="N308" t="n">
        <v>0</v>
      </c>
      <c r="O308" t="n">
        <v>0</v>
      </c>
      <c r="P308" t="n">
        <v>0</v>
      </c>
      <c r="Q308" t="n">
        <v>0</v>
      </c>
      <c r="R308" s="2" t="inlineStr"/>
    </row>
    <row r="309" ht="15" customHeight="1">
      <c r="A309" t="inlineStr">
        <is>
          <t>A 18223-2025</t>
        </is>
      </c>
      <c r="B309" s="1" t="n">
        <v>45761</v>
      </c>
      <c r="C309" s="1" t="n">
        <v>45918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38165-2023</t>
        </is>
      </c>
      <c r="B310" s="1" t="n">
        <v>45161</v>
      </c>
      <c r="C310" s="1" t="n">
        <v>45918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18993-2025</t>
        </is>
      </c>
      <c r="B311" s="1" t="n">
        <v>45764</v>
      </c>
      <c r="C311" s="1" t="n">
        <v>45918</v>
      </c>
      <c r="D311" t="inlineStr">
        <is>
          <t>GOTLANDS LÄN</t>
        </is>
      </c>
      <c r="E311" t="inlineStr">
        <is>
          <t>GOTLAND</t>
        </is>
      </c>
      <c r="G311" t="n">
        <v>3</v>
      </c>
      <c r="H311" t="n">
        <v>0</v>
      </c>
      <c r="I311" t="n">
        <v>0</v>
      </c>
      <c r="J311" t="n">
        <v>0</v>
      </c>
      <c r="K311" t="n">
        <v>0</v>
      </c>
      <c r="L311" t="n">
        <v>0</v>
      </c>
      <c r="M311" t="n">
        <v>0</v>
      </c>
      <c r="N311" t="n">
        <v>0</v>
      </c>
      <c r="O311" t="n">
        <v>0</v>
      </c>
      <c r="P311" t="n">
        <v>0</v>
      </c>
      <c r="Q311" t="n">
        <v>0</v>
      </c>
      <c r="R311" s="2" t="inlineStr"/>
    </row>
    <row r="312" ht="15" customHeight="1">
      <c r="A312" t="inlineStr">
        <is>
          <t>A 15436-2025</t>
        </is>
      </c>
      <c r="B312" s="1" t="n">
        <v>45747.47462962963</v>
      </c>
      <c r="C312" s="1" t="n">
        <v>45918</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46949-2024</t>
        </is>
      </c>
      <c r="B313" s="1" t="n">
        <v>45585</v>
      </c>
      <c r="C313" s="1" t="n">
        <v>45918</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21247-2022</t>
        </is>
      </c>
      <c r="B314" s="1" t="n">
        <v>44705.38832175926</v>
      </c>
      <c r="C314" s="1" t="n">
        <v>45918</v>
      </c>
      <c r="D314" t="inlineStr">
        <is>
          <t>GOTLANDS LÄN</t>
        </is>
      </c>
      <c r="E314" t="inlineStr">
        <is>
          <t>GOTLAND</t>
        </is>
      </c>
      <c r="G314" t="n">
        <v>16.2</v>
      </c>
      <c r="H314" t="n">
        <v>0</v>
      </c>
      <c r="I314" t="n">
        <v>0</v>
      </c>
      <c r="J314" t="n">
        <v>0</v>
      </c>
      <c r="K314" t="n">
        <v>0</v>
      </c>
      <c r="L314" t="n">
        <v>0</v>
      </c>
      <c r="M314" t="n">
        <v>0</v>
      </c>
      <c r="N314" t="n">
        <v>0</v>
      </c>
      <c r="O314" t="n">
        <v>0</v>
      </c>
      <c r="P314" t="n">
        <v>0</v>
      </c>
      <c r="Q314" t="n">
        <v>0</v>
      </c>
      <c r="R314" s="2" t="inlineStr"/>
    </row>
    <row r="315" ht="15" customHeight="1">
      <c r="A315" t="inlineStr">
        <is>
          <t>A 24001-2021</t>
        </is>
      </c>
      <c r="B315" s="1" t="n">
        <v>44335</v>
      </c>
      <c r="C315" s="1" t="n">
        <v>45918</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39479-2022</t>
        </is>
      </c>
      <c r="B316" s="1" t="n">
        <v>44818</v>
      </c>
      <c r="C316" s="1" t="n">
        <v>45918</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39496-2022</t>
        </is>
      </c>
      <c r="B317" s="1" t="n">
        <v>44818</v>
      </c>
      <c r="C317" s="1" t="n">
        <v>45918</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18914-2025</t>
        </is>
      </c>
      <c r="B318" s="1" t="n">
        <v>45764.46783564815</v>
      </c>
      <c r="C318" s="1" t="n">
        <v>45918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17780-2022</t>
        </is>
      </c>
      <c r="B319" s="1" t="n">
        <v>44682.82622685185</v>
      </c>
      <c r="C319" s="1" t="n">
        <v>45918</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63516-2023</t>
        </is>
      </c>
      <c r="B320" s="1" t="n">
        <v>45274</v>
      </c>
      <c r="C320" s="1" t="n">
        <v>45918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49693-2023</t>
        </is>
      </c>
      <c r="B321" s="1" t="n">
        <v>45212.38138888889</v>
      </c>
      <c r="C321" s="1" t="n">
        <v>45918</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49697-2023</t>
        </is>
      </c>
      <c r="B322" s="1" t="n">
        <v>45212.38909722222</v>
      </c>
      <c r="C322" s="1" t="n">
        <v>45918</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34312-2024</t>
        </is>
      </c>
      <c r="B323" s="1" t="n">
        <v>45524.69703703704</v>
      </c>
      <c r="C323" s="1" t="n">
        <v>45918</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53935-2024</t>
        </is>
      </c>
      <c r="B324" s="1" t="n">
        <v>45615</v>
      </c>
      <c r="C324" s="1" t="n">
        <v>45918</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18938-2025</t>
        </is>
      </c>
      <c r="B325" s="1" t="n">
        <v>45764.49172453704</v>
      </c>
      <c r="C325" s="1" t="n">
        <v>45918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45918</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69112-2021</t>
        </is>
      </c>
      <c r="B327" s="1" t="n">
        <v>44530</v>
      </c>
      <c r="C327" s="1" t="n">
        <v>45918</v>
      </c>
      <c r="D327" t="inlineStr">
        <is>
          <t>GOTLANDS LÄN</t>
        </is>
      </c>
      <c r="E327" t="inlineStr">
        <is>
          <t>GOTLAND</t>
        </is>
      </c>
      <c r="G327" t="n">
        <v>4.2</v>
      </c>
      <c r="H327" t="n">
        <v>0</v>
      </c>
      <c r="I327" t="n">
        <v>0</v>
      </c>
      <c r="J327" t="n">
        <v>0</v>
      </c>
      <c r="K327" t="n">
        <v>0</v>
      </c>
      <c r="L327" t="n">
        <v>0</v>
      </c>
      <c r="M327" t="n">
        <v>0</v>
      </c>
      <c r="N327" t="n">
        <v>0</v>
      </c>
      <c r="O327" t="n">
        <v>0</v>
      </c>
      <c r="P327" t="n">
        <v>0</v>
      </c>
      <c r="Q327" t="n">
        <v>0</v>
      </c>
      <c r="R327" s="2" t="inlineStr"/>
    </row>
    <row r="328" ht="15" customHeight="1">
      <c r="A328" t="inlineStr">
        <is>
          <t>A 46389-2021</t>
        </is>
      </c>
      <c r="B328" s="1" t="n">
        <v>44443</v>
      </c>
      <c r="C328" s="1" t="n">
        <v>45918</v>
      </c>
      <c r="D328" t="inlineStr">
        <is>
          <t>GOTLANDS LÄN</t>
        </is>
      </c>
      <c r="E328" t="inlineStr">
        <is>
          <t>GOTLAND</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45918</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23516-2023</t>
        </is>
      </c>
      <c r="B330" s="1" t="n">
        <v>45076.93391203704</v>
      </c>
      <c r="C330" s="1" t="n">
        <v>45918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43231-2023</t>
        </is>
      </c>
      <c r="B331" s="1" t="n">
        <v>45183.47025462963</v>
      </c>
      <c r="C331" s="1" t="n">
        <v>45918</v>
      </c>
      <c r="D331" t="inlineStr">
        <is>
          <t>GOTLANDS LÄN</t>
        </is>
      </c>
      <c r="E331" t="inlineStr">
        <is>
          <t>GOTLAND</t>
        </is>
      </c>
      <c r="G331" t="n">
        <v>3.6</v>
      </c>
      <c r="H331" t="n">
        <v>0</v>
      </c>
      <c r="I331" t="n">
        <v>0</v>
      </c>
      <c r="J331" t="n">
        <v>0</v>
      </c>
      <c r="K331" t="n">
        <v>0</v>
      </c>
      <c r="L331" t="n">
        <v>0</v>
      </c>
      <c r="M331" t="n">
        <v>0</v>
      </c>
      <c r="N331" t="n">
        <v>0</v>
      </c>
      <c r="O331" t="n">
        <v>0</v>
      </c>
      <c r="P331" t="n">
        <v>0</v>
      </c>
      <c r="Q331" t="n">
        <v>0</v>
      </c>
      <c r="R331" s="2" t="inlineStr"/>
    </row>
    <row r="332" ht="15" customHeight="1">
      <c r="A332" t="inlineStr">
        <is>
          <t>A 24825-2024</t>
        </is>
      </c>
      <c r="B332" s="1" t="n">
        <v>45461</v>
      </c>
      <c r="C332" s="1" t="n">
        <v>45918</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44949-2023</t>
        </is>
      </c>
      <c r="B333" s="1" t="n">
        <v>45190.69520833333</v>
      </c>
      <c r="C333" s="1" t="n">
        <v>45918</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58230-2024</t>
        </is>
      </c>
      <c r="B334" s="1" t="n">
        <v>45632.51625</v>
      </c>
      <c r="C334" s="1" t="n">
        <v>45918</v>
      </c>
      <c r="D334" t="inlineStr">
        <is>
          <t>GOTLANDS LÄN</t>
        </is>
      </c>
      <c r="E334" t="inlineStr">
        <is>
          <t>GOTLAND</t>
        </is>
      </c>
      <c r="G334" t="n">
        <v>7.3</v>
      </c>
      <c r="H334" t="n">
        <v>0</v>
      </c>
      <c r="I334" t="n">
        <v>0</v>
      </c>
      <c r="J334" t="n">
        <v>0</v>
      </c>
      <c r="K334" t="n">
        <v>0</v>
      </c>
      <c r="L334" t="n">
        <v>0</v>
      </c>
      <c r="M334" t="n">
        <v>0</v>
      </c>
      <c r="N334" t="n">
        <v>0</v>
      </c>
      <c r="O334" t="n">
        <v>0</v>
      </c>
      <c r="P334" t="n">
        <v>0</v>
      </c>
      <c r="Q334" t="n">
        <v>0</v>
      </c>
      <c r="R334" s="2" t="inlineStr"/>
    </row>
    <row r="335" ht="15" customHeight="1">
      <c r="A335" t="inlineStr">
        <is>
          <t>A 20307-2025</t>
        </is>
      </c>
      <c r="B335" s="1" t="n">
        <v>45774.95546296296</v>
      </c>
      <c r="C335" s="1" t="n">
        <v>45918</v>
      </c>
      <c r="D335" t="inlineStr">
        <is>
          <t>GOTLANDS LÄN</t>
        </is>
      </c>
      <c r="E335" t="inlineStr">
        <is>
          <t>GOTLAND</t>
        </is>
      </c>
      <c r="G335" t="n">
        <v>6.8</v>
      </c>
      <c r="H335" t="n">
        <v>0</v>
      </c>
      <c r="I335" t="n">
        <v>0</v>
      </c>
      <c r="J335" t="n">
        <v>0</v>
      </c>
      <c r="K335" t="n">
        <v>0</v>
      </c>
      <c r="L335" t="n">
        <v>0</v>
      </c>
      <c r="M335" t="n">
        <v>0</v>
      </c>
      <c r="N335" t="n">
        <v>0</v>
      </c>
      <c r="O335" t="n">
        <v>0</v>
      </c>
      <c r="P335" t="n">
        <v>0</v>
      </c>
      <c r="Q335" t="n">
        <v>0</v>
      </c>
      <c r="R335" s="2" t="inlineStr"/>
    </row>
    <row r="336" ht="15" customHeight="1">
      <c r="A336" t="inlineStr">
        <is>
          <t>A 64555-2023</t>
        </is>
      </c>
      <c r="B336" s="1" t="n">
        <v>45281</v>
      </c>
      <c r="C336" s="1" t="n">
        <v>45918</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457-2023</t>
        </is>
      </c>
      <c r="B337" s="1" t="n">
        <v>44929.87238425926</v>
      </c>
      <c r="C337" s="1" t="n">
        <v>45918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459-2023</t>
        </is>
      </c>
      <c r="B338" s="1" t="n">
        <v>44929.87423611111</v>
      </c>
      <c r="C338" s="1" t="n">
        <v>45918</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22031-2024</t>
        </is>
      </c>
      <c r="B339" s="1" t="n">
        <v>45443.60075231481</v>
      </c>
      <c r="C339" s="1" t="n">
        <v>45918</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17688-2024</t>
        </is>
      </c>
      <c r="B340" s="1" t="n">
        <v>45418.43575231481</v>
      </c>
      <c r="C340" s="1" t="n">
        <v>45918</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17682-2024</t>
        </is>
      </c>
      <c r="B341" s="1" t="n">
        <v>45418.42966435185</v>
      </c>
      <c r="C341" s="1" t="n">
        <v>45918</v>
      </c>
      <c r="D341" t="inlineStr">
        <is>
          <t>GOTLANDS LÄN</t>
        </is>
      </c>
      <c r="E341" t="inlineStr">
        <is>
          <t>GOTLAND</t>
        </is>
      </c>
      <c r="G341" t="n">
        <v>2.9</v>
      </c>
      <c r="H341" t="n">
        <v>0</v>
      </c>
      <c r="I341" t="n">
        <v>0</v>
      </c>
      <c r="J341" t="n">
        <v>0</v>
      </c>
      <c r="K341" t="n">
        <v>0</v>
      </c>
      <c r="L341" t="n">
        <v>0</v>
      </c>
      <c r="M341" t="n">
        <v>0</v>
      </c>
      <c r="N341" t="n">
        <v>0</v>
      </c>
      <c r="O341" t="n">
        <v>0</v>
      </c>
      <c r="P341" t="n">
        <v>0</v>
      </c>
      <c r="Q341" t="n">
        <v>0</v>
      </c>
      <c r="R341" s="2" t="inlineStr"/>
    </row>
    <row r="342" ht="15" customHeight="1">
      <c r="A342" t="inlineStr">
        <is>
          <t>A 61897-2024</t>
        </is>
      </c>
      <c r="B342" s="1" t="n">
        <v>45652.75685185185</v>
      </c>
      <c r="C342" s="1" t="n">
        <v>45918</v>
      </c>
      <c r="D342" t="inlineStr">
        <is>
          <t>GOTLANDS LÄN</t>
        </is>
      </c>
      <c r="E342" t="inlineStr">
        <is>
          <t>GOTLAND</t>
        </is>
      </c>
      <c r="G342" t="n">
        <v>6.4</v>
      </c>
      <c r="H342" t="n">
        <v>0</v>
      </c>
      <c r="I342" t="n">
        <v>0</v>
      </c>
      <c r="J342" t="n">
        <v>0</v>
      </c>
      <c r="K342" t="n">
        <v>0</v>
      </c>
      <c r="L342" t="n">
        <v>0</v>
      </c>
      <c r="M342" t="n">
        <v>0</v>
      </c>
      <c r="N342" t="n">
        <v>0</v>
      </c>
      <c r="O342" t="n">
        <v>0</v>
      </c>
      <c r="P342" t="n">
        <v>0</v>
      </c>
      <c r="Q342" t="n">
        <v>0</v>
      </c>
      <c r="R342" s="2" t="inlineStr"/>
    </row>
    <row r="343" ht="15" customHeight="1">
      <c r="A343" t="inlineStr">
        <is>
          <t>A 6796-2025</t>
        </is>
      </c>
      <c r="B343" s="1" t="n">
        <v>45700.66559027778</v>
      </c>
      <c r="C343" s="1" t="n">
        <v>45918</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12032-2025</t>
        </is>
      </c>
      <c r="B344" s="1" t="n">
        <v>45728.64472222222</v>
      </c>
      <c r="C344" s="1" t="n">
        <v>45918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876-2024</t>
        </is>
      </c>
      <c r="B345" s="1" t="n">
        <v>45301</v>
      </c>
      <c r="C345" s="1" t="n">
        <v>45918</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26891-2024</t>
        </is>
      </c>
      <c r="B346" s="1" t="n">
        <v>45470.65540509259</v>
      </c>
      <c r="C346" s="1" t="n">
        <v>45918</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15595-2024</t>
        </is>
      </c>
      <c r="B347" s="1" t="n">
        <v>45401.81480324074</v>
      </c>
      <c r="C347" s="1" t="n">
        <v>45918</v>
      </c>
      <c r="D347" t="inlineStr">
        <is>
          <t>GOTLANDS LÄN</t>
        </is>
      </c>
      <c r="E347" t="inlineStr">
        <is>
          <t>GOTLAND</t>
        </is>
      </c>
      <c r="G347" t="n">
        <v>6.4</v>
      </c>
      <c r="H347" t="n">
        <v>0</v>
      </c>
      <c r="I347" t="n">
        <v>0</v>
      </c>
      <c r="J347" t="n">
        <v>0</v>
      </c>
      <c r="K347" t="n">
        <v>0</v>
      </c>
      <c r="L347" t="n">
        <v>0</v>
      </c>
      <c r="M347" t="n">
        <v>0</v>
      </c>
      <c r="N347" t="n">
        <v>0</v>
      </c>
      <c r="O347" t="n">
        <v>0</v>
      </c>
      <c r="P347" t="n">
        <v>0</v>
      </c>
      <c r="Q347" t="n">
        <v>0</v>
      </c>
      <c r="R347" s="2" t="inlineStr"/>
    </row>
    <row r="348" ht="15" customHeight="1">
      <c r="A348" t="inlineStr">
        <is>
          <t>A 14536-2021</t>
        </is>
      </c>
      <c r="B348" s="1" t="n">
        <v>44279.66168981481</v>
      </c>
      <c r="C348" s="1" t="n">
        <v>45918</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45918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50482-2024</t>
        </is>
      </c>
      <c r="B350" s="1" t="n">
        <v>45601.48114583334</v>
      </c>
      <c r="C350" s="1" t="n">
        <v>45918</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27694-2024</t>
        </is>
      </c>
      <c r="B351" s="1" t="n">
        <v>45475</v>
      </c>
      <c r="C351" s="1" t="n">
        <v>45918</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5943-2024</t>
        </is>
      </c>
      <c r="B352" s="1" t="n">
        <v>45336</v>
      </c>
      <c r="C352" s="1" t="n">
        <v>45918</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45918</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38234-2023</t>
        </is>
      </c>
      <c r="B354" s="1" t="n">
        <v>45161.56663194444</v>
      </c>
      <c r="C354" s="1" t="n">
        <v>45918</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6099-2024</t>
        </is>
      </c>
      <c r="B355" s="1" t="n">
        <v>45337</v>
      </c>
      <c r="C355" s="1" t="n">
        <v>45918</v>
      </c>
      <c r="D355" t="inlineStr">
        <is>
          <t>GOTLANDS LÄN</t>
        </is>
      </c>
      <c r="E355" t="inlineStr">
        <is>
          <t>GOTLAND</t>
        </is>
      </c>
      <c r="G355" t="n">
        <v>12.6</v>
      </c>
      <c r="H355" t="n">
        <v>0</v>
      </c>
      <c r="I355" t="n">
        <v>0</v>
      </c>
      <c r="J355" t="n">
        <v>0</v>
      </c>
      <c r="K355" t="n">
        <v>0</v>
      </c>
      <c r="L355" t="n">
        <v>0</v>
      </c>
      <c r="M355" t="n">
        <v>0</v>
      </c>
      <c r="N355" t="n">
        <v>0</v>
      </c>
      <c r="O355" t="n">
        <v>0</v>
      </c>
      <c r="P355" t="n">
        <v>0</v>
      </c>
      <c r="Q355" t="n">
        <v>0</v>
      </c>
      <c r="R355" s="2" t="inlineStr"/>
    </row>
    <row r="356" ht="15" customHeight="1">
      <c r="A356" t="inlineStr">
        <is>
          <t>A 8260-2023</t>
        </is>
      </c>
      <c r="B356" s="1" t="n">
        <v>44974.61608796296</v>
      </c>
      <c r="C356" s="1" t="n">
        <v>45918</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1273-2023</t>
        </is>
      </c>
      <c r="B357" s="1" t="n">
        <v>44936</v>
      </c>
      <c r="C357" s="1" t="n">
        <v>45918</v>
      </c>
      <c r="D357" t="inlineStr">
        <is>
          <t>GOTLANDS LÄN</t>
        </is>
      </c>
      <c r="E357" t="inlineStr">
        <is>
          <t>GOTLAND</t>
        </is>
      </c>
      <c r="G357" t="n">
        <v>4.5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45918</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17541-2024</t>
        </is>
      </c>
      <c r="B359" s="1" t="n">
        <v>45415</v>
      </c>
      <c r="C359" s="1" t="n">
        <v>45918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883-2025</t>
        </is>
      </c>
      <c r="B360" s="1" t="n">
        <v>45665</v>
      </c>
      <c r="C360" s="1" t="n">
        <v>45918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13910-2025</t>
        </is>
      </c>
      <c r="B361" s="1" t="n">
        <v>45737</v>
      </c>
      <c r="C361" s="1" t="n">
        <v>45918</v>
      </c>
      <c r="D361" t="inlineStr">
        <is>
          <t>GOTLANDS LÄN</t>
        </is>
      </c>
      <c r="E361" t="inlineStr">
        <is>
          <t>GOTLAND</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22287-2022</t>
        </is>
      </c>
      <c r="B362" s="1" t="n">
        <v>44712</v>
      </c>
      <c r="C362" s="1" t="n">
        <v>45918</v>
      </c>
      <c r="D362" t="inlineStr">
        <is>
          <t>GOTLANDS LÄN</t>
        </is>
      </c>
      <c r="E362" t="inlineStr">
        <is>
          <t>GOTLAND</t>
        </is>
      </c>
      <c r="G362" t="n">
        <v>6.1</v>
      </c>
      <c r="H362" t="n">
        <v>0</v>
      </c>
      <c r="I362" t="n">
        <v>0</v>
      </c>
      <c r="J362" t="n">
        <v>0</v>
      </c>
      <c r="K362" t="n">
        <v>0</v>
      </c>
      <c r="L362" t="n">
        <v>0</v>
      </c>
      <c r="M362" t="n">
        <v>0</v>
      </c>
      <c r="N362" t="n">
        <v>0</v>
      </c>
      <c r="O362" t="n">
        <v>0</v>
      </c>
      <c r="P362" t="n">
        <v>0</v>
      </c>
      <c r="Q362" t="n">
        <v>0</v>
      </c>
      <c r="R362" s="2" t="inlineStr"/>
    </row>
    <row r="363" ht="15" customHeight="1">
      <c r="A363" t="inlineStr">
        <is>
          <t>A 17343-2025</t>
        </is>
      </c>
      <c r="B363" s="1" t="n">
        <v>45756.6687037037</v>
      </c>
      <c r="C363" s="1" t="n">
        <v>45918</v>
      </c>
      <c r="D363" t="inlineStr">
        <is>
          <t>GOTLANDS LÄN</t>
        </is>
      </c>
      <c r="E363" t="inlineStr">
        <is>
          <t>GOTLAND</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57534-2022</t>
        </is>
      </c>
      <c r="B364" s="1" t="n">
        <v>44896</v>
      </c>
      <c r="C364" s="1" t="n">
        <v>45918</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17724-2024</t>
        </is>
      </c>
      <c r="B365" s="1" t="n">
        <v>45418.55096064815</v>
      </c>
      <c r="C365" s="1" t="n">
        <v>45918</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20794-2025</t>
        </is>
      </c>
      <c r="B366" s="1" t="n">
        <v>45776</v>
      </c>
      <c r="C366" s="1" t="n">
        <v>45918</v>
      </c>
      <c r="D366" t="inlineStr">
        <is>
          <t>GOTLANDS LÄN</t>
        </is>
      </c>
      <c r="E366" t="inlineStr">
        <is>
          <t>GOTLAND</t>
        </is>
      </c>
      <c r="G366" t="n">
        <v>6</v>
      </c>
      <c r="H366" t="n">
        <v>0</v>
      </c>
      <c r="I366" t="n">
        <v>0</v>
      </c>
      <c r="J366" t="n">
        <v>0</v>
      </c>
      <c r="K366" t="n">
        <v>0</v>
      </c>
      <c r="L366" t="n">
        <v>0</v>
      </c>
      <c r="M366" t="n">
        <v>0</v>
      </c>
      <c r="N366" t="n">
        <v>0</v>
      </c>
      <c r="O366" t="n">
        <v>0</v>
      </c>
      <c r="P366" t="n">
        <v>0</v>
      </c>
      <c r="Q366" t="n">
        <v>0</v>
      </c>
      <c r="R366" s="2" t="inlineStr"/>
    </row>
    <row r="367" ht="15" customHeight="1">
      <c r="A367" t="inlineStr">
        <is>
          <t>A 23978-2023</t>
        </is>
      </c>
      <c r="B367" s="1" t="n">
        <v>45078</v>
      </c>
      <c r="C367" s="1" t="n">
        <v>45918</v>
      </c>
      <c r="D367" t="inlineStr">
        <is>
          <t>GOTLANDS LÄN</t>
        </is>
      </c>
      <c r="E367" t="inlineStr">
        <is>
          <t>GOTLAND</t>
        </is>
      </c>
      <c r="F367" t="inlineStr">
        <is>
          <t>Naturvårdsverket</t>
        </is>
      </c>
      <c r="G367" t="n">
        <v>1.7</v>
      </c>
      <c r="H367" t="n">
        <v>0</v>
      </c>
      <c r="I367" t="n">
        <v>0</v>
      </c>
      <c r="J367" t="n">
        <v>0</v>
      </c>
      <c r="K367" t="n">
        <v>0</v>
      </c>
      <c r="L367" t="n">
        <v>0</v>
      </c>
      <c r="M367" t="n">
        <v>0</v>
      </c>
      <c r="N367" t="n">
        <v>0</v>
      </c>
      <c r="O367" t="n">
        <v>0</v>
      </c>
      <c r="P367" t="n">
        <v>0</v>
      </c>
      <c r="Q367" t="n">
        <v>0</v>
      </c>
      <c r="R367" s="2" t="inlineStr"/>
    </row>
    <row r="368" ht="15" customHeight="1">
      <c r="A368" t="inlineStr">
        <is>
          <t>A 49884-2023</t>
        </is>
      </c>
      <c r="B368" s="1" t="n">
        <v>45213</v>
      </c>
      <c r="C368" s="1" t="n">
        <v>45918</v>
      </c>
      <c r="D368" t="inlineStr">
        <is>
          <t>GOTLANDS LÄN</t>
        </is>
      </c>
      <c r="E368" t="inlineStr">
        <is>
          <t>GOTLAND</t>
        </is>
      </c>
      <c r="G368" t="n">
        <v>8.9</v>
      </c>
      <c r="H368" t="n">
        <v>0</v>
      </c>
      <c r="I368" t="n">
        <v>0</v>
      </c>
      <c r="J368" t="n">
        <v>0</v>
      </c>
      <c r="K368" t="n">
        <v>0</v>
      </c>
      <c r="L368" t="n">
        <v>0</v>
      </c>
      <c r="M368" t="n">
        <v>0</v>
      </c>
      <c r="N368" t="n">
        <v>0</v>
      </c>
      <c r="O368" t="n">
        <v>0</v>
      </c>
      <c r="P368" t="n">
        <v>0</v>
      </c>
      <c r="Q368" t="n">
        <v>0</v>
      </c>
      <c r="R368" s="2" t="inlineStr"/>
    </row>
    <row r="369" ht="15" customHeight="1">
      <c r="A369" t="inlineStr">
        <is>
          <t>A 20805-2025</t>
        </is>
      </c>
      <c r="B369" s="1" t="n">
        <v>45776</v>
      </c>
      <c r="C369" s="1" t="n">
        <v>45918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45918</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12846-2025</t>
        </is>
      </c>
      <c r="B371" s="1" t="n">
        <v>45733.65049768519</v>
      </c>
      <c r="C371" s="1" t="n">
        <v>45918</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45918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43200-2023</t>
        </is>
      </c>
      <c r="B373" s="1" t="n">
        <v>45183</v>
      </c>
      <c r="C373" s="1" t="n">
        <v>45918</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64660-2023</t>
        </is>
      </c>
      <c r="B374" s="1" t="n">
        <v>45281.60122685185</v>
      </c>
      <c r="C374" s="1" t="n">
        <v>45918</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1477-2024</t>
        </is>
      </c>
      <c r="B375" s="1" t="n">
        <v>45305.37987268518</v>
      </c>
      <c r="C375" s="1" t="n">
        <v>45918</v>
      </c>
      <c r="D375" t="inlineStr">
        <is>
          <t>GOTLANDS LÄN</t>
        </is>
      </c>
      <c r="E375" t="inlineStr">
        <is>
          <t>GOTLAND</t>
        </is>
      </c>
      <c r="G375" t="n">
        <v>6.9</v>
      </c>
      <c r="H375" t="n">
        <v>0</v>
      </c>
      <c r="I375" t="n">
        <v>0</v>
      </c>
      <c r="J375" t="n">
        <v>0</v>
      </c>
      <c r="K375" t="n">
        <v>0</v>
      </c>
      <c r="L375" t="n">
        <v>0</v>
      </c>
      <c r="M375" t="n">
        <v>0</v>
      </c>
      <c r="N375" t="n">
        <v>0</v>
      </c>
      <c r="O375" t="n">
        <v>0</v>
      </c>
      <c r="P375" t="n">
        <v>0</v>
      </c>
      <c r="Q375" t="n">
        <v>0</v>
      </c>
      <c r="R375" s="2" t="inlineStr"/>
    </row>
    <row r="376" ht="15" customHeight="1">
      <c r="A376" t="inlineStr">
        <is>
          <t>A 3935-2025</t>
        </is>
      </c>
      <c r="B376" s="1" t="n">
        <v>45684.46070601852</v>
      </c>
      <c r="C376" s="1" t="n">
        <v>45918</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21651-2025</t>
        </is>
      </c>
      <c r="B377" s="1" t="n">
        <v>45783</v>
      </c>
      <c r="C377" s="1" t="n">
        <v>45918</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21792-2024</t>
        </is>
      </c>
      <c r="B378" s="1" t="n">
        <v>45442.64326388889</v>
      </c>
      <c r="C378" s="1" t="n">
        <v>45918</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20855-2023</t>
        </is>
      </c>
      <c r="B379" s="1" t="n">
        <v>45058.82172453704</v>
      </c>
      <c r="C379" s="1" t="n">
        <v>45918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48843-2024</t>
        </is>
      </c>
      <c r="B380" s="1" t="n">
        <v>45593</v>
      </c>
      <c r="C380" s="1" t="n">
        <v>45918</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10158-2025</t>
        </is>
      </c>
      <c r="B381" s="1" t="n">
        <v>45719</v>
      </c>
      <c r="C381" s="1" t="n">
        <v>45918</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60709-2023</t>
        </is>
      </c>
      <c r="B382" s="1" t="n">
        <v>45260</v>
      </c>
      <c r="C382" s="1" t="n">
        <v>45918</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45301.63371527778</v>
      </c>
      <c r="C383" s="1" t="n">
        <v>45918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1010-2024</t>
        </is>
      </c>
      <c r="B384" s="1" t="n">
        <v>45301</v>
      </c>
      <c r="C384" s="1" t="n">
        <v>45918</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45918</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10653-2023</t>
        </is>
      </c>
      <c r="B386" s="1" t="n">
        <v>44988.48859953704</v>
      </c>
      <c r="C386" s="1" t="n">
        <v>45918</v>
      </c>
      <c r="D386" t="inlineStr">
        <is>
          <t>GOTLANDS LÄN</t>
        </is>
      </c>
      <c r="E386" t="inlineStr">
        <is>
          <t>GOTLAND</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30956-2024</t>
        </is>
      </c>
      <c r="B387" s="1" t="n">
        <v>45499.42527777778</v>
      </c>
      <c r="C387" s="1" t="n">
        <v>45918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12596-2023</t>
        </is>
      </c>
      <c r="B388" s="1" t="n">
        <v>45000.43310185185</v>
      </c>
      <c r="C388" s="1" t="n">
        <v>45918</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45918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8045-2022</t>
        </is>
      </c>
      <c r="B390" s="1" t="n">
        <v>44609</v>
      </c>
      <c r="C390" s="1" t="n">
        <v>45918</v>
      </c>
      <c r="D390" t="inlineStr">
        <is>
          <t>GOTLANDS LÄN</t>
        </is>
      </c>
      <c r="E390" t="inlineStr">
        <is>
          <t>GOTLAND</t>
        </is>
      </c>
      <c r="G390" t="n">
        <v>7</v>
      </c>
      <c r="H390" t="n">
        <v>0</v>
      </c>
      <c r="I390" t="n">
        <v>0</v>
      </c>
      <c r="J390" t="n">
        <v>0</v>
      </c>
      <c r="K390" t="n">
        <v>0</v>
      </c>
      <c r="L390" t="n">
        <v>0</v>
      </c>
      <c r="M390" t="n">
        <v>0</v>
      </c>
      <c r="N390" t="n">
        <v>0</v>
      </c>
      <c r="O390" t="n">
        <v>0</v>
      </c>
      <c r="P390" t="n">
        <v>0</v>
      </c>
      <c r="Q390" t="n">
        <v>0</v>
      </c>
      <c r="R390" s="2" t="inlineStr"/>
    </row>
    <row r="391" ht="15" customHeight="1">
      <c r="A391" t="inlineStr">
        <is>
          <t>A 11874-2024</t>
        </is>
      </c>
      <c r="B391" s="1" t="n">
        <v>45376.46956018519</v>
      </c>
      <c r="C391" s="1" t="n">
        <v>45918</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21420-2024</t>
        </is>
      </c>
      <c r="B392" s="1" t="n">
        <v>45441.38293981482</v>
      </c>
      <c r="C392" s="1" t="n">
        <v>45918</v>
      </c>
      <c r="D392" t="inlineStr">
        <is>
          <t>GOTLANDS LÄN</t>
        </is>
      </c>
      <c r="E392" t="inlineStr">
        <is>
          <t>GOTLAND</t>
        </is>
      </c>
      <c r="G392" t="n">
        <v>4.1</v>
      </c>
      <c r="H392" t="n">
        <v>0</v>
      </c>
      <c r="I392" t="n">
        <v>0</v>
      </c>
      <c r="J392" t="n">
        <v>0</v>
      </c>
      <c r="K392" t="n">
        <v>0</v>
      </c>
      <c r="L392" t="n">
        <v>0</v>
      </c>
      <c r="M392" t="n">
        <v>0</v>
      </c>
      <c r="N392" t="n">
        <v>0</v>
      </c>
      <c r="O392" t="n">
        <v>0</v>
      </c>
      <c r="P392" t="n">
        <v>0</v>
      </c>
      <c r="Q392" t="n">
        <v>0</v>
      </c>
      <c r="R392" s="2" t="inlineStr"/>
    </row>
    <row r="393" ht="15" customHeight="1">
      <c r="A393" t="inlineStr">
        <is>
          <t>A 10656-2024</t>
        </is>
      </c>
      <c r="B393" s="1" t="n">
        <v>45368</v>
      </c>
      <c r="C393" s="1" t="n">
        <v>45918</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57356-2023</t>
        </is>
      </c>
      <c r="B394" s="1" t="n">
        <v>45240</v>
      </c>
      <c r="C394" s="1" t="n">
        <v>45918</v>
      </c>
      <c r="D394" t="inlineStr">
        <is>
          <t>GOTLANDS LÄN</t>
        </is>
      </c>
      <c r="E394" t="inlineStr">
        <is>
          <t>GOTLAND</t>
        </is>
      </c>
      <c r="G394" t="n">
        <v>6.4</v>
      </c>
      <c r="H394" t="n">
        <v>0</v>
      </c>
      <c r="I394" t="n">
        <v>0</v>
      </c>
      <c r="J394" t="n">
        <v>0</v>
      </c>
      <c r="K394" t="n">
        <v>0</v>
      </c>
      <c r="L394" t="n">
        <v>0</v>
      </c>
      <c r="M394" t="n">
        <v>0</v>
      </c>
      <c r="N394" t="n">
        <v>0</v>
      </c>
      <c r="O394" t="n">
        <v>0</v>
      </c>
      <c r="P394" t="n">
        <v>0</v>
      </c>
      <c r="Q394" t="n">
        <v>0</v>
      </c>
      <c r="R394" s="2" t="inlineStr"/>
    </row>
    <row r="395" ht="15" customHeight="1">
      <c r="A395" t="inlineStr">
        <is>
          <t>A 28506-2023</t>
        </is>
      </c>
      <c r="B395" s="1" t="n">
        <v>45103</v>
      </c>
      <c r="C395" s="1" t="n">
        <v>45918</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20225-2025</t>
        </is>
      </c>
      <c r="B396" s="1" t="n">
        <v>45772.65802083333</v>
      </c>
      <c r="C396" s="1" t="n">
        <v>45918</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23188-2025</t>
        </is>
      </c>
      <c r="B397" s="1" t="n">
        <v>45791</v>
      </c>
      <c r="C397" s="1" t="n">
        <v>45918</v>
      </c>
      <c r="D397" t="inlineStr">
        <is>
          <t>GOTLANDS LÄN</t>
        </is>
      </c>
      <c r="E397" t="inlineStr">
        <is>
          <t>GOTLAND</t>
        </is>
      </c>
      <c r="G397" t="n">
        <v>6.2</v>
      </c>
      <c r="H397" t="n">
        <v>0</v>
      </c>
      <c r="I397" t="n">
        <v>0</v>
      </c>
      <c r="J397" t="n">
        <v>0</v>
      </c>
      <c r="K397" t="n">
        <v>0</v>
      </c>
      <c r="L397" t="n">
        <v>0</v>
      </c>
      <c r="M397" t="n">
        <v>0</v>
      </c>
      <c r="N397" t="n">
        <v>0</v>
      </c>
      <c r="O397" t="n">
        <v>0</v>
      </c>
      <c r="P397" t="n">
        <v>0</v>
      </c>
      <c r="Q397" t="n">
        <v>0</v>
      </c>
      <c r="R397" s="2" t="inlineStr"/>
    </row>
    <row r="398" ht="15" customHeight="1">
      <c r="A398" t="inlineStr">
        <is>
          <t>A 999-2024</t>
        </is>
      </c>
      <c r="B398" s="1" t="n">
        <v>45301</v>
      </c>
      <c r="C398" s="1" t="n">
        <v>45918</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65901-2021</t>
        </is>
      </c>
      <c r="B399" s="1" t="n">
        <v>44516</v>
      </c>
      <c r="C399" s="1" t="n">
        <v>45918</v>
      </c>
      <c r="D399" t="inlineStr">
        <is>
          <t>GOTLANDS LÄN</t>
        </is>
      </c>
      <c r="E399" t="inlineStr">
        <is>
          <t>GOTLAND</t>
        </is>
      </c>
      <c r="G399" t="n">
        <v>4.9</v>
      </c>
      <c r="H399" t="n">
        <v>0</v>
      </c>
      <c r="I399" t="n">
        <v>0</v>
      </c>
      <c r="J399" t="n">
        <v>0</v>
      </c>
      <c r="K399" t="n">
        <v>0</v>
      </c>
      <c r="L399" t="n">
        <v>0</v>
      </c>
      <c r="M399" t="n">
        <v>0</v>
      </c>
      <c r="N399" t="n">
        <v>0</v>
      </c>
      <c r="O399" t="n">
        <v>0</v>
      </c>
      <c r="P399" t="n">
        <v>0</v>
      </c>
      <c r="Q399" t="n">
        <v>0</v>
      </c>
      <c r="R399" s="2" t="inlineStr"/>
    </row>
    <row r="400" ht="15" customHeight="1">
      <c r="A400" t="inlineStr">
        <is>
          <t>A 1677-2023</t>
        </is>
      </c>
      <c r="B400" s="1" t="n">
        <v>44938</v>
      </c>
      <c r="C400" s="1" t="n">
        <v>45918</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47762-2023</t>
        </is>
      </c>
      <c r="B401" s="1" t="n">
        <v>45203.86256944444</v>
      </c>
      <c r="C401" s="1" t="n">
        <v>45918</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64831-2023</t>
        </is>
      </c>
      <c r="B402" s="1" t="n">
        <v>45282.44924768519</v>
      </c>
      <c r="C402" s="1" t="n">
        <v>45918</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40294-2022</t>
        </is>
      </c>
      <c r="B403" s="1" t="n">
        <v>44821</v>
      </c>
      <c r="C403" s="1" t="n">
        <v>45918</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27602-2023</t>
        </is>
      </c>
      <c r="B404" s="1" t="n">
        <v>45097</v>
      </c>
      <c r="C404" s="1" t="n">
        <v>45918</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58780-2024</t>
        </is>
      </c>
      <c r="B405" s="1" t="n">
        <v>45635.84113425926</v>
      </c>
      <c r="C405" s="1" t="n">
        <v>45918</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12322-2025</t>
        </is>
      </c>
      <c r="B406" s="1" t="n">
        <v>45730</v>
      </c>
      <c r="C406" s="1" t="n">
        <v>45918</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8036-2022</t>
        </is>
      </c>
      <c r="B407" s="1" t="n">
        <v>44609.44362268518</v>
      </c>
      <c r="C407" s="1" t="n">
        <v>45918</v>
      </c>
      <c r="D407" t="inlineStr">
        <is>
          <t>GOTLANDS LÄN</t>
        </is>
      </c>
      <c r="E407" t="inlineStr">
        <is>
          <t>GOTLAND</t>
        </is>
      </c>
      <c r="G407" t="n">
        <v>6.1</v>
      </c>
      <c r="H407" t="n">
        <v>0</v>
      </c>
      <c r="I407" t="n">
        <v>0</v>
      </c>
      <c r="J407" t="n">
        <v>0</v>
      </c>
      <c r="K407" t="n">
        <v>0</v>
      </c>
      <c r="L407" t="n">
        <v>0</v>
      </c>
      <c r="M407" t="n">
        <v>0</v>
      </c>
      <c r="N407" t="n">
        <v>0</v>
      </c>
      <c r="O407" t="n">
        <v>0</v>
      </c>
      <c r="P407" t="n">
        <v>0</v>
      </c>
      <c r="Q407" t="n">
        <v>0</v>
      </c>
      <c r="R407" s="2" t="inlineStr"/>
    </row>
    <row r="408" ht="15" customHeight="1">
      <c r="A408" t="inlineStr">
        <is>
          <t>A 46375-2024</t>
        </is>
      </c>
      <c r="B408" s="1" t="n">
        <v>45582</v>
      </c>
      <c r="C408" s="1" t="n">
        <v>45918</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23856-2025</t>
        </is>
      </c>
      <c r="B409" s="1" t="n">
        <v>45793</v>
      </c>
      <c r="C409" s="1" t="n">
        <v>45918</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23473-2025</t>
        </is>
      </c>
      <c r="B410" s="1" t="n">
        <v>45792</v>
      </c>
      <c r="C410" s="1" t="n">
        <v>45918</v>
      </c>
      <c r="D410" t="inlineStr">
        <is>
          <t>GOTLANDS LÄN</t>
        </is>
      </c>
      <c r="E410" t="inlineStr">
        <is>
          <t>GOTLAND</t>
        </is>
      </c>
      <c r="G410" t="n">
        <v>3.6</v>
      </c>
      <c r="H410" t="n">
        <v>0</v>
      </c>
      <c r="I410" t="n">
        <v>0</v>
      </c>
      <c r="J410" t="n">
        <v>0</v>
      </c>
      <c r="K410" t="n">
        <v>0</v>
      </c>
      <c r="L410" t="n">
        <v>0</v>
      </c>
      <c r="M410" t="n">
        <v>0</v>
      </c>
      <c r="N410" t="n">
        <v>0</v>
      </c>
      <c r="O410" t="n">
        <v>0</v>
      </c>
      <c r="P410" t="n">
        <v>0</v>
      </c>
      <c r="Q410" t="n">
        <v>0</v>
      </c>
      <c r="R410" s="2" t="inlineStr"/>
    </row>
    <row r="411" ht="15" customHeight="1">
      <c r="A411" t="inlineStr">
        <is>
          <t>A 62915-2021</t>
        </is>
      </c>
      <c r="B411" s="1" t="n">
        <v>44504</v>
      </c>
      <c r="C411" s="1" t="n">
        <v>45918</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45918</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24192-2023</t>
        </is>
      </c>
      <c r="B413" s="1" t="n">
        <v>45079</v>
      </c>
      <c r="C413" s="1" t="n">
        <v>45918</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30282-2022</t>
        </is>
      </c>
      <c r="B414" s="1" t="n">
        <v>44760</v>
      </c>
      <c r="C414" s="1" t="n">
        <v>45918</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23698-2025</t>
        </is>
      </c>
      <c r="B415" s="1" t="n">
        <v>45793</v>
      </c>
      <c r="C415" s="1" t="n">
        <v>45918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23700-2025</t>
        </is>
      </c>
      <c r="B416" s="1" t="n">
        <v>45793</v>
      </c>
      <c r="C416" s="1" t="n">
        <v>45918</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15073-2025</t>
        </is>
      </c>
      <c r="B417" s="1" t="n">
        <v>45743</v>
      </c>
      <c r="C417" s="1" t="n">
        <v>45918</v>
      </c>
      <c r="D417" t="inlineStr">
        <is>
          <t>GOTLANDS LÄN</t>
        </is>
      </c>
      <c r="E417" t="inlineStr">
        <is>
          <t>GOTLAND</t>
        </is>
      </c>
      <c r="G417" t="n">
        <v>12.1</v>
      </c>
      <c r="H417" t="n">
        <v>0</v>
      </c>
      <c r="I417" t="n">
        <v>0</v>
      </c>
      <c r="J417" t="n">
        <v>0</v>
      </c>
      <c r="K417" t="n">
        <v>0</v>
      </c>
      <c r="L417" t="n">
        <v>0</v>
      </c>
      <c r="M417" t="n">
        <v>0</v>
      </c>
      <c r="N417" t="n">
        <v>0</v>
      </c>
      <c r="O417" t="n">
        <v>0</v>
      </c>
      <c r="P417" t="n">
        <v>0</v>
      </c>
      <c r="Q417" t="n">
        <v>0</v>
      </c>
      <c r="R417" s="2" t="inlineStr"/>
    </row>
    <row r="418" ht="15" customHeight="1">
      <c r="A418" t="inlineStr">
        <is>
          <t>A 15075-2025</t>
        </is>
      </c>
      <c r="B418" s="1" t="n">
        <v>45743</v>
      </c>
      <c r="C418" s="1" t="n">
        <v>45918</v>
      </c>
      <c r="D418" t="inlineStr">
        <is>
          <t>GOTLANDS LÄN</t>
        </is>
      </c>
      <c r="E418" t="inlineStr">
        <is>
          <t>GOTLAND</t>
        </is>
      </c>
      <c r="G418" t="n">
        <v>20.9</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45918</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7638-2025</t>
        </is>
      </c>
      <c r="B420" s="1" t="n">
        <v>45705.77306712963</v>
      </c>
      <c r="C420" s="1" t="n">
        <v>45918</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45918</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4377-2023</t>
        </is>
      </c>
      <c r="B422" s="1" t="n">
        <v>44955.5502662037</v>
      </c>
      <c r="C422" s="1" t="n">
        <v>45918</v>
      </c>
      <c r="D422" t="inlineStr">
        <is>
          <t>GOTLANDS LÄN</t>
        </is>
      </c>
      <c r="E422" t="inlineStr">
        <is>
          <t>GOTLAND</t>
        </is>
      </c>
      <c r="F422" t="inlineStr">
        <is>
          <t>Kyrkan</t>
        </is>
      </c>
      <c r="G422" t="n">
        <v>0.6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45918</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43901-2023</t>
        </is>
      </c>
      <c r="B424" s="1" t="n">
        <v>45187</v>
      </c>
      <c r="C424" s="1" t="n">
        <v>45918</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17532-2024</t>
        </is>
      </c>
      <c r="B425" s="1" t="n">
        <v>45415</v>
      </c>
      <c r="C425" s="1" t="n">
        <v>45918</v>
      </c>
      <c r="D425" t="inlineStr">
        <is>
          <t>GOTLANDS LÄN</t>
        </is>
      </c>
      <c r="E425" t="inlineStr">
        <is>
          <t>GOTLAND</t>
        </is>
      </c>
      <c r="G425" t="n">
        <v>4.3</v>
      </c>
      <c r="H425" t="n">
        <v>0</v>
      </c>
      <c r="I425" t="n">
        <v>0</v>
      </c>
      <c r="J425" t="n">
        <v>0</v>
      </c>
      <c r="K425" t="n">
        <v>0</v>
      </c>
      <c r="L425" t="n">
        <v>0</v>
      </c>
      <c r="M425" t="n">
        <v>0</v>
      </c>
      <c r="N425" t="n">
        <v>0</v>
      </c>
      <c r="O425" t="n">
        <v>0</v>
      </c>
      <c r="P425" t="n">
        <v>0</v>
      </c>
      <c r="Q425" t="n">
        <v>0</v>
      </c>
      <c r="R425" s="2" t="inlineStr"/>
    </row>
    <row r="426" ht="15" customHeight="1">
      <c r="A426" t="inlineStr">
        <is>
          <t>A 45692-2023</t>
        </is>
      </c>
      <c r="B426" s="1" t="n">
        <v>45195</v>
      </c>
      <c r="C426" s="1" t="n">
        <v>45918</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28425-2023</t>
        </is>
      </c>
      <c r="B427" s="1" t="n">
        <v>45102</v>
      </c>
      <c r="C427" s="1" t="n">
        <v>45918</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6749-2025</t>
        </is>
      </c>
      <c r="B428" s="1" t="n">
        <v>45700</v>
      </c>
      <c r="C428" s="1" t="n">
        <v>45918</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13037-2025</t>
        </is>
      </c>
      <c r="B429" s="1" t="n">
        <v>45734</v>
      </c>
      <c r="C429" s="1" t="n">
        <v>45918</v>
      </c>
      <c r="D429" t="inlineStr">
        <is>
          <t>GOTLANDS LÄN</t>
        </is>
      </c>
      <c r="E429" t="inlineStr">
        <is>
          <t>GOTLAND</t>
        </is>
      </c>
      <c r="G429" t="n">
        <v>9.5</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45918</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5462-2025</t>
        </is>
      </c>
      <c r="B431" s="1" t="n">
        <v>45693.29331018519</v>
      </c>
      <c r="C431" s="1" t="n">
        <v>45918</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25796-2025</t>
        </is>
      </c>
      <c r="B432" s="1" t="n">
        <v>45804.39543981481</v>
      </c>
      <c r="C432" s="1" t="n">
        <v>45918</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46396-2023</t>
        </is>
      </c>
      <c r="B433" s="1" t="n">
        <v>45197</v>
      </c>
      <c r="C433" s="1" t="n">
        <v>45918</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58388-2022</t>
        </is>
      </c>
      <c r="B434" s="1" t="n">
        <v>44894</v>
      </c>
      <c r="C434" s="1" t="n">
        <v>45918</v>
      </c>
      <c r="D434" t="inlineStr">
        <is>
          <t>GOTLANDS LÄN</t>
        </is>
      </c>
      <c r="E434" t="inlineStr">
        <is>
          <t>GOTLAND</t>
        </is>
      </c>
      <c r="F434" t="inlineStr">
        <is>
          <t>Övriga statliga verk och myndigheter</t>
        </is>
      </c>
      <c r="G434" t="n">
        <v>3.1</v>
      </c>
      <c r="H434" t="n">
        <v>0</v>
      </c>
      <c r="I434" t="n">
        <v>0</v>
      </c>
      <c r="J434" t="n">
        <v>0</v>
      </c>
      <c r="K434" t="n">
        <v>0</v>
      </c>
      <c r="L434" t="n">
        <v>0</v>
      </c>
      <c r="M434" t="n">
        <v>0</v>
      </c>
      <c r="N434" t="n">
        <v>0</v>
      </c>
      <c r="O434" t="n">
        <v>0</v>
      </c>
      <c r="P434" t="n">
        <v>0</v>
      </c>
      <c r="Q434" t="n">
        <v>0</v>
      </c>
      <c r="R434" s="2" t="inlineStr"/>
    </row>
    <row r="435" ht="15" customHeight="1">
      <c r="A435" t="inlineStr">
        <is>
          <t>A 26391-2025</t>
        </is>
      </c>
      <c r="B435" s="1" t="n">
        <v>45806</v>
      </c>
      <c r="C435" s="1" t="n">
        <v>45918</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26465-2025</t>
        </is>
      </c>
      <c r="B436" s="1" t="n">
        <v>45807.44377314814</v>
      </c>
      <c r="C436" s="1" t="n">
        <v>45918</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26457-2025</t>
        </is>
      </c>
      <c r="B437" s="1" t="n">
        <v>45807.42773148148</v>
      </c>
      <c r="C437" s="1" t="n">
        <v>45918</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26467-2025</t>
        </is>
      </c>
      <c r="B438" s="1" t="n">
        <v>45807.44640046296</v>
      </c>
      <c r="C438" s="1" t="n">
        <v>45918</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26660-2025</t>
        </is>
      </c>
      <c r="B439" s="1" t="n">
        <v>45810.39737268518</v>
      </c>
      <c r="C439" s="1" t="n">
        <v>45918</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10746-2025</t>
        </is>
      </c>
      <c r="B440" s="1" t="n">
        <v>45722.42766203704</v>
      </c>
      <c r="C440" s="1" t="n">
        <v>45918</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27355-2025</t>
        </is>
      </c>
      <c r="B441" s="1" t="n">
        <v>45812</v>
      </c>
      <c r="C441" s="1" t="n">
        <v>45918</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53934-2024</t>
        </is>
      </c>
      <c r="B442" s="1" t="n">
        <v>45615</v>
      </c>
      <c r="C442" s="1" t="n">
        <v>45918</v>
      </c>
      <c r="D442" t="inlineStr">
        <is>
          <t>GOTLANDS LÄN</t>
        </is>
      </c>
      <c r="E442" t="inlineStr">
        <is>
          <t>GOTLAND</t>
        </is>
      </c>
      <c r="G442" t="n">
        <v>5</v>
      </c>
      <c r="H442" t="n">
        <v>0</v>
      </c>
      <c r="I442" t="n">
        <v>0</v>
      </c>
      <c r="J442" t="n">
        <v>0</v>
      </c>
      <c r="K442" t="n">
        <v>0</v>
      </c>
      <c r="L442" t="n">
        <v>0</v>
      </c>
      <c r="M442" t="n">
        <v>0</v>
      </c>
      <c r="N442" t="n">
        <v>0</v>
      </c>
      <c r="O442" t="n">
        <v>0</v>
      </c>
      <c r="P442" t="n">
        <v>0</v>
      </c>
      <c r="Q442" t="n">
        <v>0</v>
      </c>
      <c r="R442" s="2" t="inlineStr"/>
    </row>
    <row r="443" ht="15" customHeight="1">
      <c r="A443" t="inlineStr">
        <is>
          <t>A 27348-2025</t>
        </is>
      </c>
      <c r="B443" s="1" t="n">
        <v>45812.62451388889</v>
      </c>
      <c r="C443" s="1" t="n">
        <v>45918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27371-2025</t>
        </is>
      </c>
      <c r="B444" s="1" t="n">
        <v>45812</v>
      </c>
      <c r="C444" s="1" t="n">
        <v>45918</v>
      </c>
      <c r="D444" t="inlineStr">
        <is>
          <t>GOTLANDS LÄN</t>
        </is>
      </c>
      <c r="E444" t="inlineStr">
        <is>
          <t>GOTLAND</t>
        </is>
      </c>
      <c r="G444" t="n">
        <v>8</v>
      </c>
      <c r="H444" t="n">
        <v>0</v>
      </c>
      <c r="I444" t="n">
        <v>0</v>
      </c>
      <c r="J444" t="n">
        <v>0</v>
      </c>
      <c r="K444" t="n">
        <v>0</v>
      </c>
      <c r="L444" t="n">
        <v>0</v>
      </c>
      <c r="M444" t="n">
        <v>0</v>
      </c>
      <c r="N444" t="n">
        <v>0</v>
      </c>
      <c r="O444" t="n">
        <v>0</v>
      </c>
      <c r="P444" t="n">
        <v>0</v>
      </c>
      <c r="Q444" t="n">
        <v>0</v>
      </c>
      <c r="R444" s="2" t="inlineStr"/>
    </row>
    <row r="445" ht="15" customHeight="1">
      <c r="A445" t="inlineStr">
        <is>
          <t>A 58132-2023</t>
        </is>
      </c>
      <c r="B445" s="1" t="n">
        <v>45250</v>
      </c>
      <c r="C445" s="1" t="n">
        <v>45918</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45918</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28285-2024</t>
        </is>
      </c>
      <c r="B447" s="1" t="n">
        <v>45477</v>
      </c>
      <c r="C447" s="1" t="n">
        <v>45918</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43229-2023</t>
        </is>
      </c>
      <c r="B448" s="1" t="n">
        <v>45183.46704861111</v>
      </c>
      <c r="C448" s="1" t="n">
        <v>45918</v>
      </c>
      <c r="D448" t="inlineStr">
        <is>
          <t>GOTLANDS LÄN</t>
        </is>
      </c>
      <c r="E448" t="inlineStr">
        <is>
          <t>GOTLAND</t>
        </is>
      </c>
      <c r="G448" t="n">
        <v>7.1</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45918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41038-2023</t>
        </is>
      </c>
      <c r="B450" s="1" t="n">
        <v>45173.60959490741</v>
      </c>
      <c r="C450" s="1" t="n">
        <v>45918</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45918</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6739-2025</t>
        </is>
      </c>
      <c r="B452" s="1" t="n">
        <v>45700</v>
      </c>
      <c r="C452" s="1" t="n">
        <v>45918</v>
      </c>
      <c r="D452" t="inlineStr">
        <is>
          <t>GOTLANDS LÄN</t>
        </is>
      </c>
      <c r="E452" t="inlineStr">
        <is>
          <t>GOTLAND</t>
        </is>
      </c>
      <c r="G452" t="n">
        <v>4.5</v>
      </c>
      <c r="H452" t="n">
        <v>0</v>
      </c>
      <c r="I452" t="n">
        <v>0</v>
      </c>
      <c r="J452" t="n">
        <v>0</v>
      </c>
      <c r="K452" t="n">
        <v>0</v>
      </c>
      <c r="L452" t="n">
        <v>0</v>
      </c>
      <c r="M452" t="n">
        <v>0</v>
      </c>
      <c r="N452" t="n">
        <v>0</v>
      </c>
      <c r="O452" t="n">
        <v>0</v>
      </c>
      <c r="P452" t="n">
        <v>0</v>
      </c>
      <c r="Q452" t="n">
        <v>0</v>
      </c>
      <c r="R452" s="2" t="inlineStr"/>
    </row>
    <row r="453" ht="15" customHeight="1">
      <c r="A453" t="inlineStr">
        <is>
          <t>A 1734-2025</t>
        </is>
      </c>
      <c r="B453" s="1" t="n">
        <v>45671.3840625</v>
      </c>
      <c r="C453" s="1" t="n">
        <v>45918</v>
      </c>
      <c r="D453" t="inlineStr">
        <is>
          <t>GOTLANDS LÄN</t>
        </is>
      </c>
      <c r="E453" t="inlineStr">
        <is>
          <t>GOTLAND</t>
        </is>
      </c>
      <c r="G453" t="n">
        <v>1.9</v>
      </c>
      <c r="H453" t="n">
        <v>0</v>
      </c>
      <c r="I453" t="n">
        <v>0</v>
      </c>
      <c r="J453" t="n">
        <v>0</v>
      </c>
      <c r="K453" t="n">
        <v>0</v>
      </c>
      <c r="L453" t="n">
        <v>0</v>
      </c>
      <c r="M453" t="n">
        <v>0</v>
      </c>
      <c r="N453" t="n">
        <v>0</v>
      </c>
      <c r="O453" t="n">
        <v>0</v>
      </c>
      <c r="P453" t="n">
        <v>0</v>
      </c>
      <c r="Q453" t="n">
        <v>0</v>
      </c>
      <c r="R453" s="2" t="inlineStr"/>
    </row>
    <row r="454" ht="15" customHeight="1">
      <c r="A454" t="inlineStr">
        <is>
          <t>A 1713-2025</t>
        </is>
      </c>
      <c r="B454" s="1" t="n">
        <v>45671.32342592593</v>
      </c>
      <c r="C454" s="1" t="n">
        <v>45918</v>
      </c>
      <c r="D454" t="inlineStr">
        <is>
          <t>GOTLANDS LÄN</t>
        </is>
      </c>
      <c r="E454" t="inlineStr">
        <is>
          <t>GOTLAND</t>
        </is>
      </c>
      <c r="G454" t="n">
        <v>10.1</v>
      </c>
      <c r="H454" t="n">
        <v>0</v>
      </c>
      <c r="I454" t="n">
        <v>0</v>
      </c>
      <c r="J454" t="n">
        <v>0</v>
      </c>
      <c r="K454" t="n">
        <v>0</v>
      </c>
      <c r="L454" t="n">
        <v>0</v>
      </c>
      <c r="M454" t="n">
        <v>0</v>
      </c>
      <c r="N454" t="n">
        <v>0</v>
      </c>
      <c r="O454" t="n">
        <v>0</v>
      </c>
      <c r="P454" t="n">
        <v>0</v>
      </c>
      <c r="Q454" t="n">
        <v>0</v>
      </c>
      <c r="R454" s="2" t="inlineStr"/>
    </row>
    <row r="455" ht="15" customHeight="1">
      <c r="A455" t="inlineStr">
        <is>
          <t>A 30365-2024</t>
        </is>
      </c>
      <c r="B455" s="1" t="n">
        <v>45491.3716087963</v>
      </c>
      <c r="C455" s="1" t="n">
        <v>45918</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2674-2023</t>
        </is>
      </c>
      <c r="B456" s="1" t="n">
        <v>44944</v>
      </c>
      <c r="C456" s="1" t="n">
        <v>45918</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14915-2025</t>
        </is>
      </c>
      <c r="B457" s="1" t="n">
        <v>45743.53121527778</v>
      </c>
      <c r="C457" s="1" t="n">
        <v>45918</v>
      </c>
      <c r="D457" t="inlineStr">
        <is>
          <t>GOTLANDS LÄN</t>
        </is>
      </c>
      <c r="E457" t="inlineStr">
        <is>
          <t>GOTLAND</t>
        </is>
      </c>
      <c r="G457" t="n">
        <v>5.9</v>
      </c>
      <c r="H457" t="n">
        <v>0</v>
      </c>
      <c r="I457" t="n">
        <v>0</v>
      </c>
      <c r="J457" t="n">
        <v>0</v>
      </c>
      <c r="K457" t="n">
        <v>0</v>
      </c>
      <c r="L457" t="n">
        <v>0</v>
      </c>
      <c r="M457" t="n">
        <v>0</v>
      </c>
      <c r="N457" t="n">
        <v>0</v>
      </c>
      <c r="O457" t="n">
        <v>0</v>
      </c>
      <c r="P457" t="n">
        <v>0</v>
      </c>
      <c r="Q457" t="n">
        <v>0</v>
      </c>
      <c r="R457" s="2" t="inlineStr"/>
    </row>
    <row r="458" ht="15" customHeight="1">
      <c r="A458" t="inlineStr">
        <is>
          <t>A 24966-2023</t>
        </is>
      </c>
      <c r="B458" s="1" t="n">
        <v>45085</v>
      </c>
      <c r="C458" s="1" t="n">
        <v>45918</v>
      </c>
      <c r="D458" t="inlineStr">
        <is>
          <t>GOTLANDS LÄN</t>
        </is>
      </c>
      <c r="E458" t="inlineStr">
        <is>
          <t>GOTLAND</t>
        </is>
      </c>
      <c r="G458" t="n">
        <v>7</v>
      </c>
      <c r="H458" t="n">
        <v>0</v>
      </c>
      <c r="I458" t="n">
        <v>0</v>
      </c>
      <c r="J458" t="n">
        <v>0</v>
      </c>
      <c r="K458" t="n">
        <v>0</v>
      </c>
      <c r="L458" t="n">
        <v>0</v>
      </c>
      <c r="M458" t="n">
        <v>0</v>
      </c>
      <c r="N458" t="n">
        <v>0</v>
      </c>
      <c r="O458" t="n">
        <v>0</v>
      </c>
      <c r="P458" t="n">
        <v>0</v>
      </c>
      <c r="Q458" t="n">
        <v>0</v>
      </c>
      <c r="R458" s="2" t="inlineStr"/>
    </row>
    <row r="459" ht="15" customHeight="1">
      <c r="A459" t="inlineStr">
        <is>
          <t>A 61100-2022</t>
        </is>
      </c>
      <c r="B459" s="1" t="n">
        <v>44915</v>
      </c>
      <c r="C459" s="1" t="n">
        <v>45918</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57652-2023</t>
        </is>
      </c>
      <c r="B460" s="1" t="n">
        <v>45246</v>
      </c>
      <c r="C460" s="1" t="n">
        <v>45918</v>
      </c>
      <c r="D460" t="inlineStr">
        <is>
          <t>GOTLANDS LÄN</t>
        </is>
      </c>
      <c r="E460" t="inlineStr">
        <is>
          <t>GOTLAND</t>
        </is>
      </c>
      <c r="G460" t="n">
        <v>7.2</v>
      </c>
      <c r="H460" t="n">
        <v>0</v>
      </c>
      <c r="I460" t="n">
        <v>0</v>
      </c>
      <c r="J460" t="n">
        <v>0</v>
      </c>
      <c r="K460" t="n">
        <v>0</v>
      </c>
      <c r="L460" t="n">
        <v>0</v>
      </c>
      <c r="M460" t="n">
        <v>0</v>
      </c>
      <c r="N460" t="n">
        <v>0</v>
      </c>
      <c r="O460" t="n">
        <v>0</v>
      </c>
      <c r="P460" t="n">
        <v>0</v>
      </c>
      <c r="Q460" t="n">
        <v>0</v>
      </c>
      <c r="R460" s="2" t="inlineStr"/>
    </row>
    <row r="461" ht="15" customHeight="1">
      <c r="A461" t="inlineStr">
        <is>
          <t>A 46189-2022</t>
        </is>
      </c>
      <c r="B461" s="1" t="n">
        <v>44847</v>
      </c>
      <c r="C461" s="1" t="n">
        <v>45918</v>
      </c>
      <c r="D461" t="inlineStr">
        <is>
          <t>GOTLANDS LÄN</t>
        </is>
      </c>
      <c r="E461" t="inlineStr">
        <is>
          <t>GOTLAND</t>
        </is>
      </c>
      <c r="G461" t="n">
        <v>0.4</v>
      </c>
      <c r="H461" t="n">
        <v>0</v>
      </c>
      <c r="I461" t="n">
        <v>0</v>
      </c>
      <c r="J461" t="n">
        <v>0</v>
      </c>
      <c r="K461" t="n">
        <v>0</v>
      </c>
      <c r="L461" t="n">
        <v>0</v>
      </c>
      <c r="M461" t="n">
        <v>0</v>
      </c>
      <c r="N461" t="n">
        <v>0</v>
      </c>
      <c r="O461" t="n">
        <v>0</v>
      </c>
      <c r="P461" t="n">
        <v>0</v>
      </c>
      <c r="Q461" t="n">
        <v>0</v>
      </c>
      <c r="R461" s="2" t="inlineStr"/>
    </row>
    <row r="462" ht="15" customHeight="1">
      <c r="A462" t="inlineStr">
        <is>
          <t>A 43785-2024</t>
        </is>
      </c>
      <c r="B462" s="1" t="n">
        <v>45570</v>
      </c>
      <c r="C462" s="1" t="n">
        <v>45918</v>
      </c>
      <c r="D462" t="inlineStr">
        <is>
          <t>GOTLANDS LÄN</t>
        </is>
      </c>
      <c r="E462" t="inlineStr">
        <is>
          <t>GOTLAND</t>
        </is>
      </c>
      <c r="G462" t="n">
        <v>12.6</v>
      </c>
      <c r="H462" t="n">
        <v>0</v>
      </c>
      <c r="I462" t="n">
        <v>0</v>
      </c>
      <c r="J462" t="n">
        <v>0</v>
      </c>
      <c r="K462" t="n">
        <v>0</v>
      </c>
      <c r="L462" t="n">
        <v>0</v>
      </c>
      <c r="M462" t="n">
        <v>0</v>
      </c>
      <c r="N462" t="n">
        <v>0</v>
      </c>
      <c r="O462" t="n">
        <v>0</v>
      </c>
      <c r="P462" t="n">
        <v>0</v>
      </c>
      <c r="Q462" t="n">
        <v>0</v>
      </c>
      <c r="R462" s="2" t="inlineStr"/>
    </row>
    <row r="463" ht="15" customHeight="1">
      <c r="A463" t="inlineStr">
        <is>
          <t>A 8444-2025</t>
        </is>
      </c>
      <c r="B463" s="1" t="n">
        <v>45709</v>
      </c>
      <c r="C463" s="1" t="n">
        <v>45918</v>
      </c>
      <c r="D463" t="inlineStr">
        <is>
          <t>GOTLANDS LÄN</t>
        </is>
      </c>
      <c r="E463" t="inlineStr">
        <is>
          <t>GOTLAND</t>
        </is>
      </c>
      <c r="G463" t="n">
        <v>5.2</v>
      </c>
      <c r="H463" t="n">
        <v>0</v>
      </c>
      <c r="I463" t="n">
        <v>0</v>
      </c>
      <c r="J463" t="n">
        <v>0</v>
      </c>
      <c r="K463" t="n">
        <v>0</v>
      </c>
      <c r="L463" t="n">
        <v>0</v>
      </c>
      <c r="M463" t="n">
        <v>0</v>
      </c>
      <c r="N463" t="n">
        <v>0</v>
      </c>
      <c r="O463" t="n">
        <v>0</v>
      </c>
      <c r="P463" t="n">
        <v>0</v>
      </c>
      <c r="Q463" t="n">
        <v>0</v>
      </c>
      <c r="R463" s="2" t="inlineStr"/>
    </row>
    <row r="464" ht="15" customHeight="1">
      <c r="A464" t="inlineStr">
        <is>
          <t>A 19905-2025</t>
        </is>
      </c>
      <c r="B464" s="1" t="n">
        <v>45771</v>
      </c>
      <c r="C464" s="1" t="n">
        <v>45918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57522-2022</t>
        </is>
      </c>
      <c r="B465" s="1" t="n">
        <v>44896</v>
      </c>
      <c r="C465" s="1" t="n">
        <v>45918</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14797-2024</t>
        </is>
      </c>
      <c r="B466" s="1" t="n">
        <v>45397.87030092593</v>
      </c>
      <c r="C466" s="1" t="n">
        <v>45918</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581-2023</t>
        </is>
      </c>
      <c r="B467" s="1" t="n">
        <v>44930</v>
      </c>
      <c r="C467" s="1" t="n">
        <v>45918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10655-2023</t>
        </is>
      </c>
      <c r="B468" s="1" t="n">
        <v>44988.49543981482</v>
      </c>
      <c r="C468" s="1" t="n">
        <v>45918</v>
      </c>
      <c r="D468" t="inlineStr">
        <is>
          <t>GOTLANDS LÄN</t>
        </is>
      </c>
      <c r="E468" t="inlineStr">
        <is>
          <t>GOTLAND</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7837-2024</t>
        </is>
      </c>
      <c r="B469" s="1" t="n">
        <v>45349.83787037037</v>
      </c>
      <c r="C469" s="1" t="n">
        <v>45918</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45918</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8484-2025</t>
        </is>
      </c>
      <c r="B471" s="1" t="n">
        <v>45709</v>
      </c>
      <c r="C471" s="1" t="n">
        <v>45918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45918</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29207-2025</t>
        </is>
      </c>
      <c r="B473" s="1" t="n">
        <v>45823</v>
      </c>
      <c r="C473" s="1" t="n">
        <v>45918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2676-2023</t>
        </is>
      </c>
      <c r="B474" s="1" t="n">
        <v>44944</v>
      </c>
      <c r="C474" s="1" t="n">
        <v>45918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4387-2023</t>
        </is>
      </c>
      <c r="B475" s="1" t="n">
        <v>44955.73359953704</v>
      </c>
      <c r="C475" s="1" t="n">
        <v>45918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29196-2025</t>
        </is>
      </c>
      <c r="B476" s="1" t="n">
        <v>45822</v>
      </c>
      <c r="C476" s="1" t="n">
        <v>45918</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49411-2023</t>
        </is>
      </c>
      <c r="B477" s="1" t="n">
        <v>45205</v>
      </c>
      <c r="C477" s="1" t="n">
        <v>45918</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37728-2024</t>
        </is>
      </c>
      <c r="B478" s="1" t="n">
        <v>45541</v>
      </c>
      <c r="C478" s="1" t="n">
        <v>45918</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45918</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16373-2025</t>
        </is>
      </c>
      <c r="B480" s="1" t="n">
        <v>45751</v>
      </c>
      <c r="C480" s="1" t="n">
        <v>45918</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30061-2025</t>
        </is>
      </c>
      <c r="B481" s="1" t="n">
        <v>45826.61488425926</v>
      </c>
      <c r="C481" s="1" t="n">
        <v>45918</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49962-2023</t>
        </is>
      </c>
      <c r="B482" s="1" t="n">
        <v>45215.38775462963</v>
      </c>
      <c r="C482" s="1" t="n">
        <v>45918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30157-2025</t>
        </is>
      </c>
      <c r="B483" s="1" t="n">
        <v>45826</v>
      </c>
      <c r="C483" s="1" t="n">
        <v>45918</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50744-2024</t>
        </is>
      </c>
      <c r="B484" s="1" t="n">
        <v>45602.4187037037</v>
      </c>
      <c r="C484" s="1" t="n">
        <v>45918</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22275-2023</t>
        </is>
      </c>
      <c r="B485" s="1" t="n">
        <v>45070.39875</v>
      </c>
      <c r="C485" s="1" t="n">
        <v>45918</v>
      </c>
      <c r="D485" t="inlineStr">
        <is>
          <t>GOTLANDS LÄN</t>
        </is>
      </c>
      <c r="E485" t="inlineStr">
        <is>
          <t>GOTLAND</t>
        </is>
      </c>
      <c r="G485" t="n">
        <v>7.2</v>
      </c>
      <c r="H485" t="n">
        <v>0</v>
      </c>
      <c r="I485" t="n">
        <v>0</v>
      </c>
      <c r="J485" t="n">
        <v>0</v>
      </c>
      <c r="K485" t="n">
        <v>0</v>
      </c>
      <c r="L485" t="n">
        <v>0</v>
      </c>
      <c r="M485" t="n">
        <v>0</v>
      </c>
      <c r="N485" t="n">
        <v>0</v>
      </c>
      <c r="O485" t="n">
        <v>0</v>
      </c>
      <c r="P485" t="n">
        <v>0</v>
      </c>
      <c r="Q485" t="n">
        <v>0</v>
      </c>
      <c r="R485" s="2" t="inlineStr"/>
    </row>
    <row r="486" ht="15" customHeight="1">
      <c r="A486" t="inlineStr">
        <is>
          <t>A 14635-2023</t>
        </is>
      </c>
      <c r="B486" s="1" t="n">
        <v>45013.69365740741</v>
      </c>
      <c r="C486" s="1" t="n">
        <v>45918</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45918</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63763-2023</t>
        </is>
      </c>
      <c r="B488" s="1" t="n">
        <v>45278.33944444444</v>
      </c>
      <c r="C488" s="1" t="n">
        <v>45918</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45244-2024</t>
        </is>
      </c>
      <c r="B489" s="1" t="n">
        <v>45576</v>
      </c>
      <c r="C489" s="1" t="n">
        <v>45918</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7635-2025</t>
        </is>
      </c>
      <c r="B490" s="1" t="n">
        <v>45705</v>
      </c>
      <c r="C490" s="1" t="n">
        <v>45918</v>
      </c>
      <c r="D490" t="inlineStr">
        <is>
          <t>GOTLANDS LÄN</t>
        </is>
      </c>
      <c r="E490" t="inlineStr">
        <is>
          <t>GOTLAND</t>
        </is>
      </c>
      <c r="G490" t="n">
        <v>0.9</v>
      </c>
      <c r="H490" t="n">
        <v>0</v>
      </c>
      <c r="I490" t="n">
        <v>0</v>
      </c>
      <c r="J490" t="n">
        <v>0</v>
      </c>
      <c r="K490" t="n">
        <v>0</v>
      </c>
      <c r="L490" t="n">
        <v>0</v>
      </c>
      <c r="M490" t="n">
        <v>0</v>
      </c>
      <c r="N490" t="n">
        <v>0</v>
      </c>
      <c r="O490" t="n">
        <v>0</v>
      </c>
      <c r="P490" t="n">
        <v>0</v>
      </c>
      <c r="Q490" t="n">
        <v>0</v>
      </c>
      <c r="R490" s="2" t="inlineStr"/>
    </row>
    <row r="491" ht="15" customHeight="1">
      <c r="A491" t="inlineStr">
        <is>
          <t>A 7636-2025</t>
        </is>
      </c>
      <c r="B491" s="1" t="n">
        <v>45705.7687962963</v>
      </c>
      <c r="C491" s="1" t="n">
        <v>45918</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7639-2025</t>
        </is>
      </c>
      <c r="B492" s="1" t="n">
        <v>45705.77465277778</v>
      </c>
      <c r="C492" s="1" t="n">
        <v>45918</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61682-2024</t>
        </is>
      </c>
      <c r="B493" s="1" t="n">
        <v>45647.48824074074</v>
      </c>
      <c r="C493" s="1" t="n">
        <v>45918</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15434-2024</t>
        </is>
      </c>
      <c r="B494" s="1" t="n">
        <v>45401.38836805556</v>
      </c>
      <c r="C494" s="1" t="n">
        <v>45918</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38787-2023</t>
        </is>
      </c>
      <c r="B495" s="1" t="n">
        <v>45163</v>
      </c>
      <c r="C495" s="1" t="n">
        <v>45918</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58160-2024</t>
        </is>
      </c>
      <c r="B496" s="1" t="n">
        <v>45632.44927083333</v>
      </c>
      <c r="C496" s="1" t="n">
        <v>45918</v>
      </c>
      <c r="D496" t="inlineStr">
        <is>
          <t>GOTLANDS LÄN</t>
        </is>
      </c>
      <c r="E496" t="inlineStr">
        <is>
          <t>GOTLAND</t>
        </is>
      </c>
      <c r="G496" t="n">
        <v>5.6</v>
      </c>
      <c r="H496" t="n">
        <v>0</v>
      </c>
      <c r="I496" t="n">
        <v>0</v>
      </c>
      <c r="J496" t="n">
        <v>0</v>
      </c>
      <c r="K496" t="n">
        <v>0</v>
      </c>
      <c r="L496" t="n">
        <v>0</v>
      </c>
      <c r="M496" t="n">
        <v>0</v>
      </c>
      <c r="N496" t="n">
        <v>0</v>
      </c>
      <c r="O496" t="n">
        <v>0</v>
      </c>
      <c r="P496" t="n">
        <v>0</v>
      </c>
      <c r="Q496" t="n">
        <v>0</v>
      </c>
      <c r="R496" s="2" t="inlineStr"/>
    </row>
    <row r="497" ht="15" customHeight="1">
      <c r="A497" t="inlineStr">
        <is>
          <t>A 7034-2023</t>
        </is>
      </c>
      <c r="B497" s="1" t="n">
        <v>44968.32108796296</v>
      </c>
      <c r="C497" s="1" t="n">
        <v>45918</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7042-2023</t>
        </is>
      </c>
      <c r="B498" s="1" t="n">
        <v>44968</v>
      </c>
      <c r="C498" s="1" t="n">
        <v>45918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45918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45918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2180-2025</t>
        </is>
      </c>
      <c r="B501" s="1" t="n">
        <v>45673</v>
      </c>
      <c r="C501" s="1" t="n">
        <v>45918</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34142-2024</t>
        </is>
      </c>
      <c r="B502" s="1" t="n">
        <v>45524.36521990741</v>
      </c>
      <c r="C502" s="1" t="n">
        <v>45918</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4568-2025</t>
        </is>
      </c>
      <c r="B503" s="1" t="n">
        <v>45687</v>
      </c>
      <c r="C503" s="1" t="n">
        <v>45918</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1681-2023</t>
        </is>
      </c>
      <c r="B504" s="1" t="n">
        <v>44938.39715277778</v>
      </c>
      <c r="C504" s="1" t="n">
        <v>45918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45918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45918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45918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45918</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45918</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30135-2025</t>
        </is>
      </c>
      <c r="B510" s="1" t="n">
        <v>45826</v>
      </c>
      <c r="C510" s="1" t="n">
        <v>45918</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45084-2024</t>
        </is>
      </c>
      <c r="B511" s="1" t="n">
        <v>45575</v>
      </c>
      <c r="C511" s="1" t="n">
        <v>45918</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64208-2021</t>
        </is>
      </c>
      <c r="B512" s="1" t="n">
        <v>44510</v>
      </c>
      <c r="C512" s="1" t="n">
        <v>45918</v>
      </c>
      <c r="D512" t="inlineStr">
        <is>
          <t>GOTLANDS LÄN</t>
        </is>
      </c>
      <c r="E512" t="inlineStr">
        <is>
          <t>GOTLAND</t>
        </is>
      </c>
      <c r="G512" t="n">
        <v>4.7</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45918</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54268-2022</t>
        </is>
      </c>
      <c r="B514" s="1" t="n">
        <v>44882</v>
      </c>
      <c r="C514" s="1" t="n">
        <v>45918</v>
      </c>
      <c r="D514" t="inlineStr">
        <is>
          <t>GOTLANDS LÄN</t>
        </is>
      </c>
      <c r="E514" t="inlineStr">
        <is>
          <t>GOTLAND</t>
        </is>
      </c>
      <c r="G514" t="n">
        <v>2.7</v>
      </c>
      <c r="H514" t="n">
        <v>0</v>
      </c>
      <c r="I514" t="n">
        <v>0</v>
      </c>
      <c r="J514" t="n">
        <v>0</v>
      </c>
      <c r="K514" t="n">
        <v>0</v>
      </c>
      <c r="L514" t="n">
        <v>0</v>
      </c>
      <c r="M514" t="n">
        <v>0</v>
      </c>
      <c r="N514" t="n">
        <v>0</v>
      </c>
      <c r="O514" t="n">
        <v>0</v>
      </c>
      <c r="P514" t="n">
        <v>0</v>
      </c>
      <c r="Q514" t="n">
        <v>0</v>
      </c>
      <c r="R514" s="2" t="inlineStr"/>
    </row>
    <row r="515" ht="15" customHeight="1">
      <c r="A515" t="inlineStr">
        <is>
          <t>A 4868-2024</t>
        </is>
      </c>
      <c r="B515" s="1" t="n">
        <v>45329</v>
      </c>
      <c r="C515" s="1" t="n">
        <v>45918</v>
      </c>
      <c r="D515" t="inlineStr">
        <is>
          <t>GOTLANDS LÄN</t>
        </is>
      </c>
      <c r="E515" t="inlineStr">
        <is>
          <t>GOTLAND</t>
        </is>
      </c>
      <c r="G515" t="n">
        <v>7.1</v>
      </c>
      <c r="H515" t="n">
        <v>0</v>
      </c>
      <c r="I515" t="n">
        <v>0</v>
      </c>
      <c r="J515" t="n">
        <v>0</v>
      </c>
      <c r="K515" t="n">
        <v>0</v>
      </c>
      <c r="L515" t="n">
        <v>0</v>
      </c>
      <c r="M515" t="n">
        <v>0</v>
      </c>
      <c r="N515" t="n">
        <v>0</v>
      </c>
      <c r="O515" t="n">
        <v>0</v>
      </c>
      <c r="P515" t="n">
        <v>0</v>
      </c>
      <c r="Q515" t="n">
        <v>0</v>
      </c>
      <c r="R515" s="2" t="inlineStr"/>
    </row>
    <row r="516" ht="15" customHeight="1">
      <c r="A516" t="inlineStr">
        <is>
          <t>A 9613-2025</t>
        </is>
      </c>
      <c r="B516" s="1" t="n">
        <v>45715</v>
      </c>
      <c r="C516" s="1" t="n">
        <v>45918</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1446-2025</t>
        </is>
      </c>
      <c r="B517" s="1" t="n">
        <v>45669.86035879629</v>
      </c>
      <c r="C517" s="1" t="n">
        <v>45918</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1462-2025</t>
        </is>
      </c>
      <c r="B518" s="1" t="n">
        <v>45670.36319444444</v>
      </c>
      <c r="C518" s="1" t="n">
        <v>45918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57685-2022</t>
        </is>
      </c>
      <c r="B519" s="1" t="n">
        <v>44897.4777662037</v>
      </c>
      <c r="C519" s="1" t="n">
        <v>45918</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16109-2025</t>
        </is>
      </c>
      <c r="B520" s="1" t="n">
        <v>45750</v>
      </c>
      <c r="C520" s="1" t="n">
        <v>45918</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811-2023</t>
        </is>
      </c>
      <c r="B521" s="1" t="n">
        <v>44931</v>
      </c>
      <c r="C521" s="1" t="n">
        <v>45918</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5386-2023</t>
        </is>
      </c>
      <c r="B522" s="1" t="n">
        <v>44959</v>
      </c>
      <c r="C522" s="1" t="n">
        <v>45918</v>
      </c>
      <c r="D522" t="inlineStr">
        <is>
          <t>GOTLANDS LÄN</t>
        </is>
      </c>
      <c r="E522" t="inlineStr">
        <is>
          <t>GOTLAND</t>
        </is>
      </c>
      <c r="G522" t="n">
        <v>5.4</v>
      </c>
      <c r="H522" t="n">
        <v>0</v>
      </c>
      <c r="I522" t="n">
        <v>0</v>
      </c>
      <c r="J522" t="n">
        <v>0</v>
      </c>
      <c r="K522" t="n">
        <v>0</v>
      </c>
      <c r="L522" t="n">
        <v>0</v>
      </c>
      <c r="M522" t="n">
        <v>0</v>
      </c>
      <c r="N522" t="n">
        <v>0</v>
      </c>
      <c r="O522" t="n">
        <v>0</v>
      </c>
      <c r="P522" t="n">
        <v>0</v>
      </c>
      <c r="Q522" t="n">
        <v>0</v>
      </c>
      <c r="R522" s="2" t="inlineStr"/>
    </row>
    <row r="523" ht="15" customHeight="1">
      <c r="A523" t="inlineStr">
        <is>
          <t>A 32467-2025</t>
        </is>
      </c>
      <c r="B523" s="1" t="n">
        <v>45838.42111111111</v>
      </c>
      <c r="C523" s="1" t="n">
        <v>45918</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45918</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45918</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32378-2025</t>
        </is>
      </c>
      <c r="B526" s="1" t="n">
        <v>45837</v>
      </c>
      <c r="C526" s="1" t="n">
        <v>45918</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45918</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32686-2025</t>
        </is>
      </c>
      <c r="B528" s="1" t="n">
        <v>45838</v>
      </c>
      <c r="C528" s="1" t="n">
        <v>45918</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45918</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45918</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11634-2024</t>
        </is>
      </c>
      <c r="B531" s="1" t="n">
        <v>45373</v>
      </c>
      <c r="C531" s="1" t="n">
        <v>45918</v>
      </c>
      <c r="D531" t="inlineStr">
        <is>
          <t>GOTLANDS LÄN</t>
        </is>
      </c>
      <c r="E531" t="inlineStr">
        <is>
          <t>GOTLAND</t>
        </is>
      </c>
      <c r="G531" t="n">
        <v>3</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45918</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5884-2025</t>
        </is>
      </c>
      <c r="B533" s="1" t="n">
        <v>45695.37482638889</v>
      </c>
      <c r="C533" s="1" t="n">
        <v>45918</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5897-2025</t>
        </is>
      </c>
      <c r="B534" s="1" t="n">
        <v>45695.39273148148</v>
      </c>
      <c r="C534" s="1" t="n">
        <v>45918</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5909-2025</t>
        </is>
      </c>
      <c r="B535" s="1" t="n">
        <v>45695.40634259259</v>
      </c>
      <c r="C535" s="1" t="n">
        <v>45918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32379-2025</t>
        </is>
      </c>
      <c r="B536" s="1" t="n">
        <v>45837</v>
      </c>
      <c r="C536" s="1" t="n">
        <v>45918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60086-2022</t>
        </is>
      </c>
      <c r="B537" s="1" t="n">
        <v>44909</v>
      </c>
      <c r="C537" s="1" t="n">
        <v>45918</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45918</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45918</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45918</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45918</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1364-2025</t>
        </is>
      </c>
      <c r="B542" s="1" t="n">
        <v>45667.63929398148</v>
      </c>
      <c r="C542" s="1" t="n">
        <v>45918</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2125-2025</t>
        </is>
      </c>
      <c r="B543" s="1" t="n">
        <v>45672.64940972222</v>
      </c>
      <c r="C543" s="1" t="n">
        <v>45918</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33078-2025</t>
        </is>
      </c>
      <c r="B544" s="1" t="n">
        <v>45840</v>
      </c>
      <c r="C544" s="1" t="n">
        <v>45918</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45918</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25866-2022</t>
        </is>
      </c>
      <c r="B546" s="1" t="n">
        <v>44733</v>
      </c>
      <c r="C546" s="1" t="n">
        <v>45918</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33007-2025</t>
        </is>
      </c>
      <c r="B547" s="1" t="n">
        <v>45840</v>
      </c>
      <c r="C547" s="1" t="n">
        <v>45918</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14141-2024</t>
        </is>
      </c>
      <c r="B548" s="1" t="n">
        <v>45392.85193287037</v>
      </c>
      <c r="C548" s="1" t="n">
        <v>45918</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45918</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12155-2023</t>
        </is>
      </c>
      <c r="B550" s="1" t="n">
        <v>44998.49106481481</v>
      </c>
      <c r="C550" s="1" t="n">
        <v>45918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45918</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9887-2025</t>
        </is>
      </c>
      <c r="B552" s="1" t="n">
        <v>45716</v>
      </c>
      <c r="C552" s="1" t="n">
        <v>45918</v>
      </c>
      <c r="D552" t="inlineStr">
        <is>
          <t>GOTLANDS LÄN</t>
        </is>
      </c>
      <c r="E552" t="inlineStr">
        <is>
          <t>GOTLAND</t>
        </is>
      </c>
      <c r="G552" t="n">
        <v>7.5</v>
      </c>
      <c r="H552" t="n">
        <v>0</v>
      </c>
      <c r="I552" t="n">
        <v>0</v>
      </c>
      <c r="J552" t="n">
        <v>0</v>
      </c>
      <c r="K552" t="n">
        <v>0</v>
      </c>
      <c r="L552" t="n">
        <v>0</v>
      </c>
      <c r="M552" t="n">
        <v>0</v>
      </c>
      <c r="N552" t="n">
        <v>0</v>
      </c>
      <c r="O552" t="n">
        <v>0</v>
      </c>
      <c r="P552" t="n">
        <v>0</v>
      </c>
      <c r="Q552" t="n">
        <v>0</v>
      </c>
      <c r="R552" s="2" t="inlineStr"/>
    </row>
    <row r="553" ht="15" customHeight="1">
      <c r="A553" t="inlineStr">
        <is>
          <t>A 12209-2024</t>
        </is>
      </c>
      <c r="B553" s="1" t="n">
        <v>45378</v>
      </c>
      <c r="C553" s="1" t="n">
        <v>45918</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12210-2024</t>
        </is>
      </c>
      <c r="B554" s="1" t="n">
        <v>45378</v>
      </c>
      <c r="C554" s="1" t="n">
        <v>45918</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9947-2024</t>
        </is>
      </c>
      <c r="B555" s="1" t="n">
        <v>45363</v>
      </c>
      <c r="C555" s="1" t="n">
        <v>45918</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42007-2023</t>
        </is>
      </c>
      <c r="B556" s="1" t="n">
        <v>45177</v>
      </c>
      <c r="C556" s="1" t="n">
        <v>45918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59986-2022</t>
        </is>
      </c>
      <c r="B557" s="1" t="n">
        <v>44909</v>
      </c>
      <c r="C557" s="1" t="n">
        <v>45918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2292-2021</t>
        </is>
      </c>
      <c r="B558" s="1" t="n">
        <v>44212</v>
      </c>
      <c r="C558" s="1" t="n">
        <v>45918</v>
      </c>
      <c r="D558" t="inlineStr">
        <is>
          <t>GOTLANDS LÄN</t>
        </is>
      </c>
      <c r="E558" t="inlineStr">
        <is>
          <t>GOTLAND</t>
        </is>
      </c>
      <c r="G558" t="n">
        <v>3</v>
      </c>
      <c r="H558" t="n">
        <v>0</v>
      </c>
      <c r="I558" t="n">
        <v>0</v>
      </c>
      <c r="J558" t="n">
        <v>0</v>
      </c>
      <c r="K558" t="n">
        <v>0</v>
      </c>
      <c r="L558" t="n">
        <v>0</v>
      </c>
      <c r="M558" t="n">
        <v>0</v>
      </c>
      <c r="N558" t="n">
        <v>0</v>
      </c>
      <c r="O558" t="n">
        <v>0</v>
      </c>
      <c r="P558" t="n">
        <v>0</v>
      </c>
      <c r="Q558" t="n">
        <v>0</v>
      </c>
      <c r="R558" s="2" t="inlineStr"/>
    </row>
    <row r="559" ht="15" customHeight="1">
      <c r="A559" t="inlineStr">
        <is>
          <t>A 38649-2025</t>
        </is>
      </c>
      <c r="B559" s="1" t="n">
        <v>45884</v>
      </c>
      <c r="C559" s="1" t="n">
        <v>45918</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31802-2024</t>
        </is>
      </c>
      <c r="B560" s="1" t="n">
        <v>45509</v>
      </c>
      <c r="C560" s="1" t="n">
        <v>45918</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20993-2023</t>
        </is>
      </c>
      <c r="B561" s="1" t="n">
        <v>45056</v>
      </c>
      <c r="C561" s="1" t="n">
        <v>45918</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15042-2025</t>
        </is>
      </c>
      <c r="B562" s="1" t="n">
        <v>45743</v>
      </c>
      <c r="C562" s="1" t="n">
        <v>45918</v>
      </c>
      <c r="D562" t="inlineStr">
        <is>
          <t>GOTLANDS LÄN</t>
        </is>
      </c>
      <c r="E562" t="inlineStr">
        <is>
          <t>GOTLAND</t>
        </is>
      </c>
      <c r="G562" t="n">
        <v>8.5</v>
      </c>
      <c r="H562" t="n">
        <v>0</v>
      </c>
      <c r="I562" t="n">
        <v>0</v>
      </c>
      <c r="J562" t="n">
        <v>0</v>
      </c>
      <c r="K562" t="n">
        <v>0</v>
      </c>
      <c r="L562" t="n">
        <v>0</v>
      </c>
      <c r="M562" t="n">
        <v>0</v>
      </c>
      <c r="N562" t="n">
        <v>0</v>
      </c>
      <c r="O562" t="n">
        <v>0</v>
      </c>
      <c r="P562" t="n">
        <v>0</v>
      </c>
      <c r="Q562" t="n">
        <v>0</v>
      </c>
      <c r="R562" s="2" t="inlineStr"/>
    </row>
    <row r="563" ht="15" customHeight="1">
      <c r="A563" t="inlineStr">
        <is>
          <t>A 44304-2021</t>
        </is>
      </c>
      <c r="B563" s="1" t="n">
        <v>44434</v>
      </c>
      <c r="C563" s="1" t="n">
        <v>45918</v>
      </c>
      <c r="D563" t="inlineStr">
        <is>
          <t>GOTLANDS LÄN</t>
        </is>
      </c>
      <c r="E563" t="inlineStr">
        <is>
          <t>GOTLAND</t>
        </is>
      </c>
      <c r="G563" t="n">
        <v>5.8</v>
      </c>
      <c r="H563" t="n">
        <v>0</v>
      </c>
      <c r="I563" t="n">
        <v>0</v>
      </c>
      <c r="J563" t="n">
        <v>0</v>
      </c>
      <c r="K563" t="n">
        <v>0</v>
      </c>
      <c r="L563" t="n">
        <v>0</v>
      </c>
      <c r="M563" t="n">
        <v>0</v>
      </c>
      <c r="N563" t="n">
        <v>0</v>
      </c>
      <c r="O563" t="n">
        <v>0</v>
      </c>
      <c r="P563" t="n">
        <v>0</v>
      </c>
      <c r="Q563" t="n">
        <v>0</v>
      </c>
      <c r="R563" s="2" t="inlineStr"/>
    </row>
    <row r="564" ht="15" customHeight="1">
      <c r="A564" t="inlineStr">
        <is>
          <t>A 15083-2025</t>
        </is>
      </c>
      <c r="B564" s="1" t="n">
        <v>45743</v>
      </c>
      <c r="C564" s="1" t="n">
        <v>45918</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39278-2025</t>
        </is>
      </c>
      <c r="B565" s="1" t="n">
        <v>45889</v>
      </c>
      <c r="C565" s="1" t="n">
        <v>45918</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12327-2025</t>
        </is>
      </c>
      <c r="B566" s="1" t="n">
        <v>45730</v>
      </c>
      <c r="C566" s="1" t="n">
        <v>45918</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4420-2025</t>
        </is>
      </c>
      <c r="B567" s="1" t="n">
        <v>45686.47157407407</v>
      </c>
      <c r="C567" s="1" t="n">
        <v>45918</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39814-2025</t>
        </is>
      </c>
      <c r="B568" s="1" t="n">
        <v>45891.52694444444</v>
      </c>
      <c r="C568" s="1" t="n">
        <v>45918</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39849-2025</t>
        </is>
      </c>
      <c r="B569" s="1" t="n">
        <v>45891.58502314815</v>
      </c>
      <c r="C569" s="1" t="n">
        <v>45918</v>
      </c>
      <c r="D569" t="inlineStr">
        <is>
          <t>GOTLANDS LÄN</t>
        </is>
      </c>
      <c r="E569" t="inlineStr">
        <is>
          <t>GOTLAND</t>
        </is>
      </c>
      <c r="G569" t="n">
        <v>6.1</v>
      </c>
      <c r="H569" t="n">
        <v>0</v>
      </c>
      <c r="I569" t="n">
        <v>0</v>
      </c>
      <c r="J569" t="n">
        <v>0</v>
      </c>
      <c r="K569" t="n">
        <v>0</v>
      </c>
      <c r="L569" t="n">
        <v>0</v>
      </c>
      <c r="M569" t="n">
        <v>0</v>
      </c>
      <c r="N569" t="n">
        <v>0</v>
      </c>
      <c r="O569" t="n">
        <v>0</v>
      </c>
      <c r="P569" t="n">
        <v>0</v>
      </c>
      <c r="Q569" t="n">
        <v>0</v>
      </c>
      <c r="R569" s="2" t="inlineStr"/>
    </row>
    <row r="570" ht="15" customHeight="1">
      <c r="A570" t="inlineStr">
        <is>
          <t>A 15413-2025</t>
        </is>
      </c>
      <c r="B570" s="1" t="n">
        <v>45747.451875</v>
      </c>
      <c r="C570" s="1" t="n">
        <v>45918</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39819-2025</t>
        </is>
      </c>
      <c r="B571" s="1" t="n">
        <v>45891.53418981482</v>
      </c>
      <c r="C571" s="1" t="n">
        <v>45918</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35096-2025</t>
        </is>
      </c>
      <c r="B572" s="1" t="n">
        <v>45852.54356481481</v>
      </c>
      <c r="C572" s="1" t="n">
        <v>45918</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39752-2025</t>
        </is>
      </c>
      <c r="B573" s="1" t="n">
        <v>45891</v>
      </c>
      <c r="C573" s="1" t="n">
        <v>45918</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35123-2025</t>
        </is>
      </c>
      <c r="B574" s="1" t="n">
        <v>45852.614375</v>
      </c>
      <c r="C574" s="1" t="n">
        <v>45918</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35142-2025</t>
        </is>
      </c>
      <c r="B575" s="1" t="n">
        <v>45852.65532407408</v>
      </c>
      <c r="C575" s="1" t="n">
        <v>45918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35141-2025</t>
        </is>
      </c>
      <c r="B576" s="1" t="n">
        <v>45852.65206018519</v>
      </c>
      <c r="C576" s="1" t="n">
        <v>45918</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40372-2025</t>
        </is>
      </c>
      <c r="B577" s="1" t="n">
        <v>45895.5162037037</v>
      </c>
      <c r="C577" s="1" t="n">
        <v>45918</v>
      </c>
      <c r="D577" t="inlineStr">
        <is>
          <t>GOTLANDS LÄN</t>
        </is>
      </c>
      <c r="E577" t="inlineStr">
        <is>
          <t>GOTLAND</t>
        </is>
      </c>
      <c r="G577" t="n">
        <v>3.3</v>
      </c>
      <c r="H577" t="n">
        <v>0</v>
      </c>
      <c r="I577" t="n">
        <v>0</v>
      </c>
      <c r="J577" t="n">
        <v>0</v>
      </c>
      <c r="K577" t="n">
        <v>0</v>
      </c>
      <c r="L577" t="n">
        <v>0</v>
      </c>
      <c r="M577" t="n">
        <v>0</v>
      </c>
      <c r="N577" t="n">
        <v>0</v>
      </c>
      <c r="O577" t="n">
        <v>0</v>
      </c>
      <c r="P577" t="n">
        <v>0</v>
      </c>
      <c r="Q577" t="n">
        <v>0</v>
      </c>
      <c r="R577" s="2" t="inlineStr"/>
    </row>
    <row r="578" ht="15" customHeight="1">
      <c r="A578" t="inlineStr">
        <is>
          <t>A 40373-2025</t>
        </is>
      </c>
      <c r="B578" s="1" t="n">
        <v>45895.51821759259</v>
      </c>
      <c r="C578" s="1" t="n">
        <v>45918</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40103-2025</t>
        </is>
      </c>
      <c r="B579" s="1" t="n">
        <v>45894.4880324074</v>
      </c>
      <c r="C579" s="1" t="n">
        <v>45918</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39816-2025</t>
        </is>
      </c>
      <c r="B580" s="1" t="n">
        <v>45891</v>
      </c>
      <c r="C580" s="1" t="n">
        <v>45918</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35290-2025</t>
        </is>
      </c>
      <c r="B581" s="1" t="n">
        <v>45854.38502314815</v>
      </c>
      <c r="C581" s="1" t="n">
        <v>45918</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45918</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40499-2025</t>
        </is>
      </c>
      <c r="B583" s="1" t="n">
        <v>45896.32517361111</v>
      </c>
      <c r="C583" s="1" t="n">
        <v>45918</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45918</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41551-2025</t>
        </is>
      </c>
      <c r="B585" s="1" t="n">
        <v>45901.58854166666</v>
      </c>
      <c r="C585" s="1" t="n">
        <v>45918</v>
      </c>
      <c r="D585" t="inlineStr">
        <is>
          <t>GOTLANDS LÄN</t>
        </is>
      </c>
      <c r="E585" t="inlineStr">
        <is>
          <t>GOTLAND</t>
        </is>
      </c>
      <c r="G585" t="n">
        <v>5.6</v>
      </c>
      <c r="H585" t="n">
        <v>0</v>
      </c>
      <c r="I585" t="n">
        <v>0</v>
      </c>
      <c r="J585" t="n">
        <v>0</v>
      </c>
      <c r="K585" t="n">
        <v>0</v>
      </c>
      <c r="L585" t="n">
        <v>0</v>
      </c>
      <c r="M585" t="n">
        <v>0</v>
      </c>
      <c r="N585" t="n">
        <v>0</v>
      </c>
      <c r="O585" t="n">
        <v>0</v>
      </c>
      <c r="P585" t="n">
        <v>0</v>
      </c>
      <c r="Q585" t="n">
        <v>0</v>
      </c>
      <c r="R585" s="2" t="inlineStr"/>
    </row>
    <row r="586" ht="15" customHeight="1">
      <c r="A586" t="inlineStr">
        <is>
          <t>A 35550-2025</t>
        </is>
      </c>
      <c r="B586" s="1" t="n">
        <v>45856.49324074074</v>
      </c>
      <c r="C586" s="1" t="n">
        <v>45918</v>
      </c>
      <c r="D586" t="inlineStr">
        <is>
          <t>GOTLANDS LÄN</t>
        </is>
      </c>
      <c r="E586" t="inlineStr">
        <is>
          <t>GOTLAND</t>
        </is>
      </c>
      <c r="G586" t="n">
        <v>3.2</v>
      </c>
      <c r="H586" t="n">
        <v>0</v>
      </c>
      <c r="I586" t="n">
        <v>0</v>
      </c>
      <c r="J586" t="n">
        <v>0</v>
      </c>
      <c r="K586" t="n">
        <v>0</v>
      </c>
      <c r="L586" t="n">
        <v>0</v>
      </c>
      <c r="M586" t="n">
        <v>0</v>
      </c>
      <c r="N586" t="n">
        <v>0</v>
      </c>
      <c r="O586" t="n">
        <v>0</v>
      </c>
      <c r="P586" t="n">
        <v>0</v>
      </c>
      <c r="Q586" t="n">
        <v>0</v>
      </c>
      <c r="R586" s="2" t="inlineStr"/>
    </row>
    <row r="587" ht="15" customHeight="1">
      <c r="A587" t="inlineStr">
        <is>
          <t>A 40235-2025</t>
        </is>
      </c>
      <c r="B587" s="1" t="n">
        <v>45894.74005787037</v>
      </c>
      <c r="C587" s="1" t="n">
        <v>45918</v>
      </c>
      <c r="D587" t="inlineStr">
        <is>
          <t>GOTLANDS LÄN</t>
        </is>
      </c>
      <c r="E587" t="inlineStr">
        <is>
          <t>GOTLAND</t>
        </is>
      </c>
      <c r="G587" t="n">
        <v>10.6</v>
      </c>
      <c r="H587" t="n">
        <v>0</v>
      </c>
      <c r="I587" t="n">
        <v>0</v>
      </c>
      <c r="J587" t="n">
        <v>0</v>
      </c>
      <c r="K587" t="n">
        <v>0</v>
      </c>
      <c r="L587" t="n">
        <v>0</v>
      </c>
      <c r="M587" t="n">
        <v>0</v>
      </c>
      <c r="N587" t="n">
        <v>0</v>
      </c>
      <c r="O587" t="n">
        <v>0</v>
      </c>
      <c r="P587" t="n">
        <v>0</v>
      </c>
      <c r="Q587" t="n">
        <v>0</v>
      </c>
      <c r="R587" s="2" t="inlineStr"/>
    </row>
    <row r="588" ht="15" customHeight="1">
      <c r="A588" t="inlineStr">
        <is>
          <t>A 35537-2025</t>
        </is>
      </c>
      <c r="B588" s="1" t="n">
        <v>45856</v>
      </c>
      <c r="C588" s="1" t="n">
        <v>45918</v>
      </c>
      <c r="D588" t="inlineStr">
        <is>
          <t>GOTLANDS LÄN</t>
        </is>
      </c>
      <c r="E588" t="inlineStr">
        <is>
          <t>GOTLAND</t>
        </is>
      </c>
      <c r="G588" t="n">
        <v>16.8</v>
      </c>
      <c r="H588" t="n">
        <v>0</v>
      </c>
      <c r="I588" t="n">
        <v>0</v>
      </c>
      <c r="J588" t="n">
        <v>0</v>
      </c>
      <c r="K588" t="n">
        <v>0</v>
      </c>
      <c r="L588" t="n">
        <v>0</v>
      </c>
      <c r="M588" t="n">
        <v>0</v>
      </c>
      <c r="N588" t="n">
        <v>0</v>
      </c>
      <c r="O588" t="n">
        <v>0</v>
      </c>
      <c r="P588" t="n">
        <v>0</v>
      </c>
      <c r="Q588" t="n">
        <v>0</v>
      </c>
      <c r="R588" s="2" t="inlineStr"/>
    </row>
    <row r="589" ht="15" customHeight="1">
      <c r="A589" t="inlineStr">
        <is>
          <t>A 41435-2025</t>
        </is>
      </c>
      <c r="B589" s="1" t="n">
        <v>45901.39974537037</v>
      </c>
      <c r="C589" s="1" t="n">
        <v>45918</v>
      </c>
      <c r="D589" t="inlineStr">
        <is>
          <t>GOTLANDS LÄN</t>
        </is>
      </c>
      <c r="E589" t="inlineStr">
        <is>
          <t>GOTLAND</t>
        </is>
      </c>
      <c r="G589" t="n">
        <v>4.9</v>
      </c>
      <c r="H589" t="n">
        <v>0</v>
      </c>
      <c r="I589" t="n">
        <v>0</v>
      </c>
      <c r="J589" t="n">
        <v>0</v>
      </c>
      <c r="K589" t="n">
        <v>0</v>
      </c>
      <c r="L589" t="n">
        <v>0</v>
      </c>
      <c r="M589" t="n">
        <v>0</v>
      </c>
      <c r="N589" t="n">
        <v>0</v>
      </c>
      <c r="O589" t="n">
        <v>0</v>
      </c>
      <c r="P589" t="n">
        <v>0</v>
      </c>
      <c r="Q589" t="n">
        <v>0</v>
      </c>
      <c r="R589" s="2" t="inlineStr"/>
    </row>
    <row r="590" ht="15" customHeight="1">
      <c r="A590" t="inlineStr">
        <is>
          <t>A 42608-2025</t>
        </is>
      </c>
      <c r="B590" s="1" t="n">
        <v>45905</v>
      </c>
      <c r="C590" s="1" t="n">
        <v>45918</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30488-2025</t>
        </is>
      </c>
      <c r="B591" s="1" t="n">
        <v>45830</v>
      </c>
      <c r="C591" s="1" t="n">
        <v>45918</v>
      </c>
      <c r="D591" t="inlineStr">
        <is>
          <t>GOTLANDS LÄN</t>
        </is>
      </c>
      <c r="E591" t="inlineStr">
        <is>
          <t>GOTLAND</t>
        </is>
      </c>
      <c r="F591" t="inlineStr">
        <is>
          <t>Kyrkan</t>
        </is>
      </c>
      <c r="G591" t="n">
        <v>3.9</v>
      </c>
      <c r="H591" t="n">
        <v>0</v>
      </c>
      <c r="I591" t="n">
        <v>0</v>
      </c>
      <c r="J591" t="n">
        <v>0</v>
      </c>
      <c r="K591" t="n">
        <v>0</v>
      </c>
      <c r="L591" t="n">
        <v>0</v>
      </c>
      <c r="M591" t="n">
        <v>0</v>
      </c>
      <c r="N591" t="n">
        <v>0</v>
      </c>
      <c r="O591" t="n">
        <v>0</v>
      </c>
      <c r="P591" t="n">
        <v>0</v>
      </c>
      <c r="Q591" t="n">
        <v>0</v>
      </c>
      <c r="R591" s="2" t="inlineStr"/>
    </row>
    <row r="592" ht="15" customHeight="1">
      <c r="A592" t="inlineStr">
        <is>
          <t>A 15216-2025</t>
        </is>
      </c>
      <c r="B592" s="1" t="n">
        <v>45744</v>
      </c>
      <c r="C592" s="1" t="n">
        <v>45918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15001-2025</t>
        </is>
      </c>
      <c r="B593" s="1" t="n">
        <v>45743</v>
      </c>
      <c r="C593" s="1" t="n">
        <v>45918</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43790-2024</t>
        </is>
      </c>
      <c r="B594" s="1" t="n">
        <v>45571</v>
      </c>
      <c r="C594" s="1" t="n">
        <v>45918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55334-2024</t>
        </is>
      </c>
      <c r="B595" s="1" t="n">
        <v>45621</v>
      </c>
      <c r="C595" s="1" t="n">
        <v>45918</v>
      </c>
      <c r="D595" t="inlineStr">
        <is>
          <t>GOTLANDS LÄN</t>
        </is>
      </c>
      <c r="E595" t="inlineStr">
        <is>
          <t>GOTLAND</t>
        </is>
      </c>
      <c r="G595" t="n">
        <v>21.7</v>
      </c>
      <c r="H595" t="n">
        <v>0</v>
      </c>
      <c r="I595" t="n">
        <v>0</v>
      </c>
      <c r="J595" t="n">
        <v>0</v>
      </c>
      <c r="K595" t="n">
        <v>0</v>
      </c>
      <c r="L595" t="n">
        <v>0</v>
      </c>
      <c r="M595" t="n">
        <v>0</v>
      </c>
      <c r="N595" t="n">
        <v>0</v>
      </c>
      <c r="O595" t="n">
        <v>0</v>
      </c>
      <c r="P595" t="n">
        <v>0</v>
      </c>
      <c r="Q595" t="n">
        <v>0</v>
      </c>
      <c r="R595" s="2" t="inlineStr"/>
    </row>
    <row r="596" ht="15" customHeight="1">
      <c r="A596" t="inlineStr">
        <is>
          <t>A 17847-2025</t>
        </is>
      </c>
      <c r="B596" s="1" t="n">
        <v>45758</v>
      </c>
      <c r="C596" s="1" t="n">
        <v>45918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36319-2025</t>
        </is>
      </c>
      <c r="B597" s="1" t="n">
        <v>45868</v>
      </c>
      <c r="C597" s="1" t="n">
        <v>45918</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42607-2025</t>
        </is>
      </c>
      <c r="B598" s="1" t="n">
        <v>45905</v>
      </c>
      <c r="C598" s="1" t="n">
        <v>45918</v>
      </c>
      <c r="D598" t="inlineStr">
        <is>
          <t>GOTLANDS LÄN</t>
        </is>
      </c>
      <c r="E598" t="inlineStr">
        <is>
          <t>GOTLAND</t>
        </is>
      </c>
      <c r="G598" t="n">
        <v>15.8</v>
      </c>
      <c r="H598" t="n">
        <v>0</v>
      </c>
      <c r="I598" t="n">
        <v>0</v>
      </c>
      <c r="J598" t="n">
        <v>0</v>
      </c>
      <c r="K598" t="n">
        <v>0</v>
      </c>
      <c r="L598" t="n">
        <v>0</v>
      </c>
      <c r="M598" t="n">
        <v>0</v>
      </c>
      <c r="N598" t="n">
        <v>0</v>
      </c>
      <c r="O598" t="n">
        <v>0</v>
      </c>
      <c r="P598" t="n">
        <v>0</v>
      </c>
      <c r="Q598" t="n">
        <v>0</v>
      </c>
      <c r="R598" s="2" t="inlineStr"/>
    </row>
    <row r="599" ht="15" customHeight="1">
      <c r="A599" t="inlineStr">
        <is>
          <t>A 18742-2025</t>
        </is>
      </c>
      <c r="B599" s="1" t="n">
        <v>45763</v>
      </c>
      <c r="C599" s="1" t="n">
        <v>45918</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45918</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43951-2025</t>
        </is>
      </c>
      <c r="B601" s="1" t="n">
        <v>45915.38119212963</v>
      </c>
      <c r="C601" s="1" t="n">
        <v>45918</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43911-2025</t>
        </is>
      </c>
      <c r="B602" s="1" t="n">
        <v>45914.3881712963</v>
      </c>
      <c r="C602" s="1" t="n">
        <v>45918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44405-2025</t>
        </is>
      </c>
      <c r="B603" s="1" t="n">
        <v>45916.52405092592</v>
      </c>
      <c r="C603" s="1" t="n">
        <v>45918</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c r="A604" t="inlineStr">
        <is>
          <t>A 44410-2025</t>
        </is>
      </c>
      <c r="B604" s="1" t="n">
        <v>45916.53699074074</v>
      </c>
      <c r="C604" s="1" t="n">
        <v>45918</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2025-09-18T08:59:27Z</dcterms:created>
  <dcterms:modified xmlns:dcterms="http://purl.org/dc/terms/" xmlns:xsi="http://www.w3.org/2001/XMLSchema-instance" xsi:type="dcterms:W3CDTF">2025-09-18T08:59:27Z</dcterms:modified>
</cp:coreProperties>
</file>