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45822</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45822</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45822</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45822</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45822</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58474-2022</t>
        </is>
      </c>
      <c r="B16" s="1" t="n">
        <v>44902</v>
      </c>
      <c r="C16" s="1" t="n">
        <v>45822</v>
      </c>
      <c r="D16" t="inlineStr">
        <is>
          <t>GOTLANDS LÄN</t>
        </is>
      </c>
      <c r="E16" t="inlineStr">
        <is>
          <t>GOTLAND</t>
        </is>
      </c>
      <c r="G16" t="n">
        <v>10.3</v>
      </c>
      <c r="H16" t="n">
        <v>1</v>
      </c>
      <c r="I16" t="n">
        <v>9</v>
      </c>
      <c r="J16" t="n">
        <v>2</v>
      </c>
      <c r="K16" t="n">
        <v>2</v>
      </c>
      <c r="L16" t="n">
        <v>1</v>
      </c>
      <c r="M16" t="n">
        <v>0</v>
      </c>
      <c r="N16" t="n">
        <v>0</v>
      </c>
      <c r="O16" t="n">
        <v>5</v>
      </c>
      <c r="P16" t="n">
        <v>3</v>
      </c>
      <c r="Q16" t="n">
        <v>15</v>
      </c>
      <c r="R16" s="2" t="inlineStr">
        <is>
          <t>Ädellav
Mörk kraterlav
Skogskorn
Flattoppad klubbsvamp
Odörspindling
Anisspindling
Diskvaxskivling
Havstulpanlav
Murgröna
Rikfruktig blemlav
Rödgul trumpetsvamp
Skuggsprötmossa
Svavelriska
Västlig hakmossa
Fläcknycklar</t>
        </is>
      </c>
      <c r="S16">
        <f>HYPERLINK("https://klasma.github.io/Logging_0980/artfynd/A 58474-2022 artfynd.xlsx", "A 58474-2022")</f>
        <v/>
      </c>
      <c r="T16">
        <f>HYPERLINK("https://klasma.github.io/Logging_0980/kartor/A 58474-2022 karta.png", "A 58474-2022")</f>
        <v/>
      </c>
      <c r="V16">
        <f>HYPERLINK("https://klasma.github.io/Logging_0980/klagomål/A 58474-2022 FSC-klagomål.docx", "A 58474-2022")</f>
        <v/>
      </c>
      <c r="W16">
        <f>HYPERLINK("https://klasma.github.io/Logging_0980/klagomålsmail/A 58474-2022 FSC-klagomål mail.docx", "A 58474-2022")</f>
        <v/>
      </c>
      <c r="X16">
        <f>HYPERLINK("https://klasma.github.io/Logging_0980/tillsyn/A 58474-2022 tillsynsbegäran.docx", "A 58474-2022")</f>
        <v/>
      </c>
      <c r="Y16">
        <f>HYPERLINK("https://klasma.github.io/Logging_0980/tillsynsmail/A 58474-2022 tillsynsbegäran mail.docx", "A 58474-2022")</f>
        <v/>
      </c>
    </row>
    <row r="17" ht="15" customHeight="1">
      <c r="A17" t="inlineStr">
        <is>
          <t>A 24202-2023</t>
        </is>
      </c>
      <c r="B17" s="1" t="n">
        <v>45079</v>
      </c>
      <c r="C17" s="1" t="n">
        <v>45822</v>
      </c>
      <c r="D17" t="inlineStr">
        <is>
          <t>GOTLANDS LÄN</t>
        </is>
      </c>
      <c r="E17" t="inlineStr">
        <is>
          <t>GOTLAND</t>
        </is>
      </c>
      <c r="G17" t="n">
        <v>2.5</v>
      </c>
      <c r="H17" t="n">
        <v>0</v>
      </c>
      <c r="I17" t="n">
        <v>10</v>
      </c>
      <c r="J17" t="n">
        <v>2</v>
      </c>
      <c r="K17" t="n">
        <v>3</v>
      </c>
      <c r="L17" t="n">
        <v>0</v>
      </c>
      <c r="M17" t="n">
        <v>0</v>
      </c>
      <c r="N17" t="n">
        <v>0</v>
      </c>
      <c r="O17" t="n">
        <v>5</v>
      </c>
      <c r="P17" t="n">
        <v>3</v>
      </c>
      <c r="Q17" t="n">
        <v>15</v>
      </c>
      <c r="R17"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7">
        <f>HYPERLINK("https://klasma.github.io/Logging_0980/artfynd/A 24202-2023 artfynd.xlsx", "A 24202-2023")</f>
        <v/>
      </c>
      <c r="T17">
        <f>HYPERLINK("https://klasma.github.io/Logging_0980/kartor/A 24202-2023 karta.png", "A 24202-2023")</f>
        <v/>
      </c>
      <c r="V17">
        <f>HYPERLINK("https://klasma.github.io/Logging_0980/klagomål/A 24202-2023 FSC-klagomål.docx", "A 24202-2023")</f>
        <v/>
      </c>
      <c r="W17">
        <f>HYPERLINK("https://klasma.github.io/Logging_0980/klagomålsmail/A 24202-2023 FSC-klagomål mail.docx", "A 24202-2023")</f>
        <v/>
      </c>
      <c r="X17">
        <f>HYPERLINK("https://klasma.github.io/Logging_0980/tillsyn/A 24202-2023 tillsynsbegäran.docx", "A 24202-2023")</f>
        <v/>
      </c>
      <c r="Y17">
        <f>HYPERLINK("https://klasma.github.io/Logging_0980/tillsynsmail/A 24202-2023 tillsynsbegäran mail.docx", "A 24202-2023")</f>
        <v/>
      </c>
    </row>
    <row r="18" ht="15" customHeight="1">
      <c r="A18" t="inlineStr">
        <is>
          <t>A 61697-2023</t>
        </is>
      </c>
      <c r="B18" s="1" t="n">
        <v>45265</v>
      </c>
      <c r="C18" s="1" t="n">
        <v>45822</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62132-2023</t>
        </is>
      </c>
      <c r="B19" s="1" t="n">
        <v>45267</v>
      </c>
      <c r="C19" s="1" t="n">
        <v>45822</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17762-2024</t>
        </is>
      </c>
      <c r="B20" s="1" t="n">
        <v>45418</v>
      </c>
      <c r="C20" s="1" t="n">
        <v>45822</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24575-2025</t>
        </is>
      </c>
      <c r="B21" s="1" t="n">
        <v>45798</v>
      </c>
      <c r="C21" s="1" t="n">
        <v>45822</v>
      </c>
      <c r="D21" t="inlineStr">
        <is>
          <t>GOTLANDS LÄN</t>
        </is>
      </c>
      <c r="E21" t="inlineStr">
        <is>
          <t>GOTLAND</t>
        </is>
      </c>
      <c r="G21" t="n">
        <v>6.7</v>
      </c>
      <c r="H21" t="n">
        <v>9</v>
      </c>
      <c r="I21" t="n">
        <v>6</v>
      </c>
      <c r="J21" t="n">
        <v>5</v>
      </c>
      <c r="K21" t="n">
        <v>1</v>
      </c>
      <c r="L21" t="n">
        <v>0</v>
      </c>
      <c r="M21" t="n">
        <v>0</v>
      </c>
      <c r="N21" t="n">
        <v>0</v>
      </c>
      <c r="O21" t="n">
        <v>6</v>
      </c>
      <c r="P21" t="n">
        <v>1</v>
      </c>
      <c r="Q21" t="n">
        <v>15</v>
      </c>
      <c r="R21" s="2" t="inlineStr">
        <is>
          <t>Knärot
Jordtistel
Reliktbock
Solvända
Spillkråka
Svinrot
Blåmossa
Nästrot
Skogsknipprot
Sårläka
Tvåblad
Vit skogslilja
Fläcknycklar
Nattviol
Sankt pers nycklar</t>
        </is>
      </c>
      <c r="S21">
        <f>HYPERLINK("https://klasma.github.io/Logging_090980/artfynd/A 24575-2025 artfynd.xlsx", "A 24575-2025")</f>
        <v/>
      </c>
      <c r="T21">
        <f>HYPERLINK("https://klasma.github.io/Logging_090980/kartor/A 24575-2025 karta.png", "A 24575-2025")</f>
        <v/>
      </c>
      <c r="U21">
        <f>HYPERLINK("https://klasma.github.io/Logging_090980/knärot/A 24575-2025 karta knärot.png", "A 24575-2025")</f>
        <v/>
      </c>
      <c r="V21">
        <f>HYPERLINK("https://klasma.github.io/Logging_090980/klagomål/A 24575-2025 FSC-klagomål.docx", "A 24575-2025")</f>
        <v/>
      </c>
      <c r="W21">
        <f>HYPERLINK("https://klasma.github.io/Logging_090980/klagomålsmail/A 24575-2025 FSC-klagomål mail.docx", "A 24575-2025")</f>
        <v/>
      </c>
      <c r="X21">
        <f>HYPERLINK("https://klasma.github.io/Logging_090980/tillsyn/A 24575-2025 tillsynsbegäran.docx", "A 24575-2025")</f>
        <v/>
      </c>
      <c r="Y21">
        <f>HYPERLINK("https://klasma.github.io/Logging_090980/tillsynsmail/A 24575-2025 tillsynsbegäran mail.docx", "A 24575-2025")</f>
        <v/>
      </c>
      <c r="Z21">
        <f>HYPERLINK("https://klasma.github.io/Logging_090980/fåglar/A 24575-2025 prioriterade fågelarter.docx", "A 24575-2025")</f>
        <v/>
      </c>
    </row>
    <row r="22" ht="15" customHeight="1">
      <c r="A22" t="inlineStr">
        <is>
          <t>A 455-2020</t>
        </is>
      </c>
      <c r="B22" s="1" t="n">
        <v>43837</v>
      </c>
      <c r="C22" s="1" t="n">
        <v>45822</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45822</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45822</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45822</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45822</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45822</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45822</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45822</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45822</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45822</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45822</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45822</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45822</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45822</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25252-2021</t>
        </is>
      </c>
      <c r="B37" s="1" t="n">
        <v>44342</v>
      </c>
      <c r="C37" s="1" t="n">
        <v>45822</v>
      </c>
      <c r="D37" t="inlineStr">
        <is>
          <t>GOTLANDS LÄN</t>
        </is>
      </c>
      <c r="E37" t="inlineStr">
        <is>
          <t>GOTLAND</t>
        </is>
      </c>
      <c r="G37" t="n">
        <v>4.3</v>
      </c>
      <c r="H37" t="n">
        <v>0</v>
      </c>
      <c r="I37" t="n">
        <v>2</v>
      </c>
      <c r="J37" t="n">
        <v>3</v>
      </c>
      <c r="K37" t="n">
        <v>5</v>
      </c>
      <c r="L37" t="n">
        <v>0</v>
      </c>
      <c r="M37" t="n">
        <v>0</v>
      </c>
      <c r="N37" t="n">
        <v>0</v>
      </c>
      <c r="O37" t="n">
        <v>9</v>
      </c>
      <c r="P37" t="n">
        <v>5</v>
      </c>
      <c r="Q37" t="n">
        <v>11</v>
      </c>
      <c r="R37" s="2" t="inlineStr">
        <is>
          <t>Granrotsspindling
Gulsträngad fagerspindling
Narrspindling
Svartgrön spindling
Vit taggsvamp
Flattoppad klubbsvamp
Odörspindling
Orange taggsvamp
Trollspindling
Blå slemspindling
Fransig jordstjärna</t>
        </is>
      </c>
      <c r="S37">
        <f>HYPERLINK("https://klasma.github.io/Logging_0980/artfynd/A 25252-2021 artfynd.xlsx", "A 25252-2021")</f>
        <v/>
      </c>
      <c r="T37">
        <f>HYPERLINK("https://klasma.github.io/Logging_0980/kartor/A 25252-2021 karta.png", "A 25252-2021")</f>
        <v/>
      </c>
      <c r="V37">
        <f>HYPERLINK("https://klasma.github.io/Logging_0980/klagomål/A 25252-2021 FSC-klagomål.docx", "A 25252-2021")</f>
        <v/>
      </c>
      <c r="W37">
        <f>HYPERLINK("https://klasma.github.io/Logging_0980/klagomålsmail/A 25252-2021 FSC-klagomål mail.docx", "A 25252-2021")</f>
        <v/>
      </c>
      <c r="X37">
        <f>HYPERLINK("https://klasma.github.io/Logging_0980/tillsyn/A 25252-2021 tillsynsbegäran.docx", "A 25252-2021")</f>
        <v/>
      </c>
      <c r="Y37">
        <f>HYPERLINK("https://klasma.github.io/Logging_0980/tillsynsmail/A 25252-2021 tillsynsbegäran mail.docx", "A 25252-2021")</f>
        <v/>
      </c>
    </row>
    <row r="38" ht="15" customHeight="1">
      <c r="A38" t="inlineStr">
        <is>
          <t>A 43201-2023</t>
        </is>
      </c>
      <c r="B38" s="1" t="n">
        <v>45183</v>
      </c>
      <c r="C38" s="1" t="n">
        <v>45822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54797-2023</t>
        </is>
      </c>
      <c r="B39" s="1" t="n">
        <v>45236</v>
      </c>
      <c r="C39" s="1" t="n">
        <v>45822</v>
      </c>
      <c r="D39" t="inlineStr">
        <is>
          <t>GOTLANDS LÄN</t>
        </is>
      </c>
      <c r="E39" t="inlineStr">
        <is>
          <t>GOTLAND</t>
        </is>
      </c>
      <c r="G39" t="n">
        <v>4.2</v>
      </c>
      <c r="H39" t="n">
        <v>1</v>
      </c>
      <c r="I39" t="n">
        <v>5</v>
      </c>
      <c r="J39" t="n">
        <v>3</v>
      </c>
      <c r="K39" t="n">
        <v>2</v>
      </c>
      <c r="L39" t="n">
        <v>0</v>
      </c>
      <c r="M39" t="n">
        <v>0</v>
      </c>
      <c r="N39" t="n">
        <v>0</v>
      </c>
      <c r="O39" t="n">
        <v>5</v>
      </c>
      <c r="P39" t="n">
        <v>2</v>
      </c>
      <c r="Q39" t="n">
        <v>11</v>
      </c>
      <c r="R39" s="2" t="inlineStr">
        <is>
          <t>Gulsträngad fagerspindling
Svartgrön spindling
Denisespindling
Odörspindling
Svinrot
Anisspindling
Blåmossa
Kattfotslav
Rödgul trumpetsvamp
Svavelriska
Sankt pers nycklar</t>
        </is>
      </c>
      <c r="S39">
        <f>HYPERLINK("https://klasma.github.io/Logging_0980/artfynd/A 54797-2023 artfynd.xlsx", "A 54797-2023")</f>
        <v/>
      </c>
      <c r="T39">
        <f>HYPERLINK("https://klasma.github.io/Logging_0980/kartor/A 54797-2023 karta.png", "A 54797-2023")</f>
        <v/>
      </c>
      <c r="V39">
        <f>HYPERLINK("https://klasma.github.io/Logging_0980/klagomål/A 54797-2023 FSC-klagomål.docx", "A 54797-2023")</f>
        <v/>
      </c>
      <c r="W39">
        <f>HYPERLINK("https://klasma.github.io/Logging_0980/klagomålsmail/A 54797-2023 FSC-klagomål mail.docx", "A 54797-2023")</f>
        <v/>
      </c>
      <c r="X39">
        <f>HYPERLINK("https://klasma.github.io/Logging_0980/tillsyn/A 54797-2023 tillsynsbegäran.docx", "A 54797-2023")</f>
        <v/>
      </c>
      <c r="Y39">
        <f>HYPERLINK("https://klasma.github.io/Logging_0980/tillsynsmail/A 54797-2023 tillsynsbegäran mail.docx", "A 54797-2023")</f>
        <v/>
      </c>
    </row>
    <row r="40" ht="15" customHeight="1">
      <c r="A40" t="inlineStr">
        <is>
          <t>A 3372-2024</t>
        </is>
      </c>
      <c r="B40" s="1" t="n">
        <v>45317</v>
      </c>
      <c r="C40" s="1" t="n">
        <v>45822</v>
      </c>
      <c r="D40" t="inlineStr">
        <is>
          <t>GOTLANDS LÄN</t>
        </is>
      </c>
      <c r="E40" t="inlineStr">
        <is>
          <t>GOTLAND</t>
        </is>
      </c>
      <c r="G40" t="n">
        <v>6</v>
      </c>
      <c r="H40" t="n">
        <v>1</v>
      </c>
      <c r="I40" t="n">
        <v>5</v>
      </c>
      <c r="J40" t="n">
        <v>2</v>
      </c>
      <c r="K40" t="n">
        <v>2</v>
      </c>
      <c r="L40" t="n">
        <v>1</v>
      </c>
      <c r="M40" t="n">
        <v>1</v>
      </c>
      <c r="N40" t="n">
        <v>0</v>
      </c>
      <c r="O40" t="n">
        <v>6</v>
      </c>
      <c r="P40" t="n">
        <v>4</v>
      </c>
      <c r="Q40" t="n">
        <v>11</v>
      </c>
      <c r="R40" s="2" t="inlineStr">
        <is>
          <t>Lundalm
Ädellav
Gul lammticka
Vit taggsvamp
Barrviolspindling
Odörspindling
Anisspindling
Brandticka
Fjällig taggsvamp s.str.
Nästrot
Svavelriska</t>
        </is>
      </c>
      <c r="S40">
        <f>HYPERLINK("https://klasma.github.io/Logging_0980/artfynd/A 3372-2024 artfynd.xlsx", "A 3372-2024")</f>
        <v/>
      </c>
      <c r="T40">
        <f>HYPERLINK("https://klasma.github.io/Logging_0980/kartor/A 3372-2024 karta.png", "A 3372-2024")</f>
        <v/>
      </c>
      <c r="V40">
        <f>HYPERLINK("https://klasma.github.io/Logging_0980/klagomål/A 3372-2024 FSC-klagomål.docx", "A 3372-2024")</f>
        <v/>
      </c>
      <c r="W40">
        <f>HYPERLINK("https://klasma.github.io/Logging_0980/klagomålsmail/A 3372-2024 FSC-klagomål mail.docx", "A 3372-2024")</f>
        <v/>
      </c>
      <c r="X40">
        <f>HYPERLINK("https://klasma.github.io/Logging_0980/tillsyn/A 3372-2024 tillsynsbegäran.docx", "A 3372-2024")</f>
        <v/>
      </c>
      <c r="Y40">
        <f>HYPERLINK("https://klasma.github.io/Logging_0980/tillsynsmail/A 3372-2024 tillsynsbegäran mail.docx", "A 3372-2024")</f>
        <v/>
      </c>
    </row>
    <row r="41" ht="15" customHeight="1">
      <c r="A41" t="inlineStr">
        <is>
          <t>A 5686-2024</t>
        </is>
      </c>
      <c r="B41" s="1" t="n">
        <v>45334</v>
      </c>
      <c r="C41" s="1" t="n">
        <v>45822</v>
      </c>
      <c r="D41" t="inlineStr">
        <is>
          <t>GOTLANDS LÄN</t>
        </is>
      </c>
      <c r="E41" t="inlineStr">
        <is>
          <t>GOTLAND</t>
        </is>
      </c>
      <c r="G41" t="n">
        <v>6</v>
      </c>
      <c r="H41" t="n">
        <v>9</v>
      </c>
      <c r="I41" t="n">
        <v>1</v>
      </c>
      <c r="J41" t="n">
        <v>3</v>
      </c>
      <c r="K41" t="n">
        <v>0</v>
      </c>
      <c r="L41" t="n">
        <v>0</v>
      </c>
      <c r="M41" t="n">
        <v>0</v>
      </c>
      <c r="N41" t="n">
        <v>0</v>
      </c>
      <c r="O41" t="n">
        <v>3</v>
      </c>
      <c r="P41" t="n">
        <v>0</v>
      </c>
      <c r="Q41" t="n">
        <v>11</v>
      </c>
      <c r="R41" s="2" t="inlineStr">
        <is>
          <t>Grönsångare
Majviva
Ängsstarr
Purpurknipprot
Halsbandsflugsnappare
Skogsduva
Brudsporre
Dactylorhiza incarnata subsp. incarnata
Fläcknycklar
Grönvit nattviol
Kärrknipprot</t>
        </is>
      </c>
      <c r="S41">
        <f>HYPERLINK("https://klasma.github.io/Logging_0980/artfynd/A 5686-2024 artfynd.xlsx", "A 5686-2024")</f>
        <v/>
      </c>
      <c r="T41">
        <f>HYPERLINK("https://klasma.github.io/Logging_0980/kartor/A 5686-2024 karta.png", "A 5686-2024")</f>
        <v/>
      </c>
      <c r="V41">
        <f>HYPERLINK("https://klasma.github.io/Logging_0980/klagomål/A 5686-2024 FSC-klagomål.docx", "A 5686-2024")</f>
        <v/>
      </c>
      <c r="W41">
        <f>HYPERLINK("https://klasma.github.io/Logging_0980/klagomålsmail/A 5686-2024 FSC-klagomål mail.docx", "A 5686-2024")</f>
        <v/>
      </c>
      <c r="X41">
        <f>HYPERLINK("https://klasma.github.io/Logging_0980/tillsyn/A 5686-2024 tillsynsbegäran.docx", "A 5686-2024")</f>
        <v/>
      </c>
      <c r="Y41">
        <f>HYPERLINK("https://klasma.github.io/Logging_0980/tillsynsmail/A 5686-2024 tillsynsbegäran mail.docx", "A 5686-2024")</f>
        <v/>
      </c>
      <c r="Z41">
        <f>HYPERLINK("https://klasma.github.io/Logging_0980/fåglar/A 5686-2024 prioriterade fågelarter.docx", "A 5686-2024")</f>
        <v/>
      </c>
    </row>
    <row r="42" ht="15" customHeight="1">
      <c r="A42" t="inlineStr">
        <is>
          <t>A 6052-2024</t>
        </is>
      </c>
      <c r="B42" s="1" t="n">
        <v>45336</v>
      </c>
      <c r="C42" s="1" t="n">
        <v>45822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45822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18957-2024</t>
        </is>
      </c>
      <c r="B44" s="1" t="n">
        <v>45427</v>
      </c>
      <c r="C44" s="1" t="n">
        <v>45822</v>
      </c>
      <c r="D44" t="inlineStr">
        <is>
          <t>GOTLANDS LÄN</t>
        </is>
      </c>
      <c r="E44" t="inlineStr">
        <is>
          <t>GOTLAND</t>
        </is>
      </c>
      <c r="G44" t="n">
        <v>7</v>
      </c>
      <c r="H44" t="n">
        <v>7</v>
      </c>
      <c r="I44" t="n">
        <v>2</v>
      </c>
      <c r="J44" t="n">
        <v>6</v>
      </c>
      <c r="K44" t="n">
        <v>0</v>
      </c>
      <c r="L44" t="n">
        <v>0</v>
      </c>
      <c r="M44" t="n">
        <v>0</v>
      </c>
      <c r="N44" t="n">
        <v>0</v>
      </c>
      <c r="O44" t="n">
        <v>6</v>
      </c>
      <c r="P44" t="n">
        <v>0</v>
      </c>
      <c r="Q44" t="n">
        <v>11</v>
      </c>
      <c r="R44" s="2" t="inlineStr">
        <is>
          <t>Dårgräsfjäril
Jordtistel
Sexfläckig bastardsvärmare
Solvända
Svartfläckig blåvinge
Svinrot
Skogsknipprot
Tvåblad
Nattviol
Blåsippa
Revlummer</t>
        </is>
      </c>
      <c r="S44">
        <f>HYPERLINK("https://klasma.github.io/Logging_0980/artfynd/A 18957-2024 artfynd.xlsx", "A 18957-2024")</f>
        <v/>
      </c>
      <c r="T44">
        <f>HYPERLINK("https://klasma.github.io/Logging_0980/kartor/A 18957-2024 karta.png", "A 18957-2024")</f>
        <v/>
      </c>
      <c r="V44">
        <f>HYPERLINK("https://klasma.github.io/Logging_0980/klagomål/A 18957-2024 FSC-klagomål.docx", "A 18957-2024")</f>
        <v/>
      </c>
      <c r="W44">
        <f>HYPERLINK("https://klasma.github.io/Logging_0980/klagomålsmail/A 18957-2024 FSC-klagomål mail.docx", "A 18957-2024")</f>
        <v/>
      </c>
      <c r="X44">
        <f>HYPERLINK("https://klasma.github.io/Logging_0980/tillsyn/A 18957-2024 tillsynsbegäran.docx", "A 18957-2024")</f>
        <v/>
      </c>
      <c r="Y44">
        <f>HYPERLINK("https://klasma.github.io/Logging_0980/tillsynsmail/A 18957-2024 tillsynsbegäran mail.docx", "A 18957-2024")</f>
        <v/>
      </c>
    </row>
    <row r="45" ht="15" customHeight="1">
      <c r="A45" t="inlineStr">
        <is>
          <t>A 15068-2025</t>
        </is>
      </c>
      <c r="B45" s="1" t="n">
        <v>45743</v>
      </c>
      <c r="C45" s="1" t="n">
        <v>45822</v>
      </c>
      <c r="D45" t="inlineStr">
        <is>
          <t>GOTLANDS LÄN</t>
        </is>
      </c>
      <c r="E45" t="inlineStr">
        <is>
          <t>GOTLAND</t>
        </is>
      </c>
      <c r="G45" t="n">
        <v>37.3</v>
      </c>
      <c r="H45" t="n">
        <v>5</v>
      </c>
      <c r="I45" t="n">
        <v>1</v>
      </c>
      <c r="J45" t="n">
        <v>3</v>
      </c>
      <c r="K45" t="n">
        <v>1</v>
      </c>
      <c r="L45" t="n">
        <v>0</v>
      </c>
      <c r="M45" t="n">
        <v>0</v>
      </c>
      <c r="N45" t="n">
        <v>0</v>
      </c>
      <c r="O45" t="n">
        <v>5</v>
      </c>
      <c r="P45" t="n">
        <v>1</v>
      </c>
      <c r="Q45" t="n">
        <v>11</v>
      </c>
      <c r="R45" s="2" t="inlineStr">
        <is>
          <t>Källnate
Majviva
Silversmygare
Ängsstarr
Blodkula
Axag
Brudsporre
Dactylorhiza incarnata subsp. incarnata
Dubbelnycklar
Kärrknipprot
Ängsnycklar</t>
        </is>
      </c>
      <c r="S45">
        <f>HYPERLINK("https://klasma.github.io/Logging_090980/artfynd/A 15068-2025 artfynd.xlsx", "A 15068-2025")</f>
        <v/>
      </c>
      <c r="T45">
        <f>HYPERLINK("https://klasma.github.io/Logging_090980/kartor/A 15068-2025 karta.png", "A 15068-2025")</f>
        <v/>
      </c>
      <c r="V45">
        <f>HYPERLINK("https://klasma.github.io/Logging_090980/klagomål/A 15068-2025 FSC-klagomål.docx", "A 15068-2025")</f>
        <v/>
      </c>
      <c r="W45">
        <f>HYPERLINK("https://klasma.github.io/Logging_090980/klagomålsmail/A 15068-2025 FSC-klagomål mail.docx", "A 15068-2025")</f>
        <v/>
      </c>
      <c r="X45">
        <f>HYPERLINK("https://klasma.github.io/Logging_090980/tillsyn/A 15068-2025 tillsynsbegäran.docx", "A 15068-2025")</f>
        <v/>
      </c>
      <c r="Y45">
        <f>HYPERLINK("https://klasma.github.io/Logging_090980/tillsynsmail/A 15068-2025 tillsynsbegäran mail.docx", "A 15068-2025")</f>
        <v/>
      </c>
    </row>
    <row r="46" ht="15" customHeight="1">
      <c r="A46" t="inlineStr">
        <is>
          <t>A 15850-2025</t>
        </is>
      </c>
      <c r="B46" s="1" t="n">
        <v>45749</v>
      </c>
      <c r="C46" s="1" t="n">
        <v>45822</v>
      </c>
      <c r="D46" t="inlineStr">
        <is>
          <t>GOTLANDS LÄN</t>
        </is>
      </c>
      <c r="E46" t="inlineStr">
        <is>
          <t>GOTLAND</t>
        </is>
      </c>
      <c r="G46" t="n">
        <v>5.1</v>
      </c>
      <c r="H46" t="n">
        <v>4</v>
      </c>
      <c r="I46" t="n">
        <v>3</v>
      </c>
      <c r="J46" t="n">
        <v>4</v>
      </c>
      <c r="K46" t="n">
        <v>2</v>
      </c>
      <c r="L46" t="n">
        <v>0</v>
      </c>
      <c r="M46" t="n">
        <v>0</v>
      </c>
      <c r="N46" t="n">
        <v>0</v>
      </c>
      <c r="O46" t="n">
        <v>7</v>
      </c>
      <c r="P46" t="n">
        <v>2</v>
      </c>
      <c r="Q46" t="n">
        <v>11</v>
      </c>
      <c r="R46" s="2" t="inlineStr">
        <is>
          <t>Gulsträngad fagerspindling
Tvillingspindling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64683-2023</t>
        </is>
      </c>
      <c r="B47" s="1" t="n">
        <v>45281</v>
      </c>
      <c r="C47" s="1" t="n">
        <v>45822</v>
      </c>
      <c r="D47" t="inlineStr">
        <is>
          <t>GOTLANDS LÄN</t>
        </is>
      </c>
      <c r="E47" t="inlineStr">
        <is>
          <t>GOTLAND</t>
        </is>
      </c>
      <c r="G47" t="n">
        <v>6.3</v>
      </c>
      <c r="H47" t="n">
        <v>0</v>
      </c>
      <c r="I47" t="n">
        <v>7</v>
      </c>
      <c r="J47" t="n">
        <v>1</v>
      </c>
      <c r="K47" t="n">
        <v>2</v>
      </c>
      <c r="L47" t="n">
        <v>0</v>
      </c>
      <c r="M47" t="n">
        <v>0</v>
      </c>
      <c r="N47" t="n">
        <v>0</v>
      </c>
      <c r="O47" t="n">
        <v>3</v>
      </c>
      <c r="P47" t="n">
        <v>2</v>
      </c>
      <c r="Q47" t="n">
        <v>10</v>
      </c>
      <c r="R47" s="2" t="inlineStr">
        <is>
          <t>Gulsträngad fagerspindling
Violettfläckig spindling
Odörspindling
Anisspindling
Blomkålssvamp
Blå slemspindling
Grönpyrola
Olivspindling
Rödgul trumpetsvamp
Rökmusseron</t>
        </is>
      </c>
      <c r="S47">
        <f>HYPERLINK("https://klasma.github.io/Logging_0980/artfynd/A 64683-2023 artfynd.xlsx", "A 64683-2023")</f>
        <v/>
      </c>
      <c r="T47">
        <f>HYPERLINK("https://klasma.github.io/Logging_0980/kartor/A 64683-2023 karta.png", "A 64683-2023")</f>
        <v/>
      </c>
      <c r="V47">
        <f>HYPERLINK("https://klasma.github.io/Logging_0980/klagomål/A 64683-2023 FSC-klagomål.docx", "A 64683-2023")</f>
        <v/>
      </c>
      <c r="W47">
        <f>HYPERLINK("https://klasma.github.io/Logging_0980/klagomålsmail/A 64683-2023 FSC-klagomål mail.docx", "A 64683-2023")</f>
        <v/>
      </c>
      <c r="X47">
        <f>HYPERLINK("https://klasma.github.io/Logging_0980/tillsyn/A 64683-2023 tillsynsbegäran.docx", "A 64683-2023")</f>
        <v/>
      </c>
      <c r="Y47">
        <f>HYPERLINK("https://klasma.github.io/Logging_0980/tillsynsmail/A 64683-2023 tillsynsbegäran mail.docx", "A 64683-2023")</f>
        <v/>
      </c>
    </row>
    <row r="48" ht="15" customHeight="1">
      <c r="A48" t="inlineStr">
        <is>
          <t>A 17739-2024</t>
        </is>
      </c>
      <c r="B48" s="1" t="n">
        <v>45418</v>
      </c>
      <c r="C48" s="1" t="n">
        <v>45822</v>
      </c>
      <c r="D48" t="inlineStr">
        <is>
          <t>GOTLANDS LÄN</t>
        </is>
      </c>
      <c r="E48" t="inlineStr">
        <is>
          <t>GOTLAND</t>
        </is>
      </c>
      <c r="G48" t="n">
        <v>14.3</v>
      </c>
      <c r="H48" t="n">
        <v>3</v>
      </c>
      <c r="I48" t="n">
        <v>2</v>
      </c>
      <c r="J48" t="n">
        <v>6</v>
      </c>
      <c r="K48" t="n">
        <v>1</v>
      </c>
      <c r="L48" t="n">
        <v>0</v>
      </c>
      <c r="M48" t="n">
        <v>0</v>
      </c>
      <c r="N48" t="n">
        <v>0</v>
      </c>
      <c r="O48" t="n">
        <v>7</v>
      </c>
      <c r="P48" t="n">
        <v>1</v>
      </c>
      <c r="Q48" t="n">
        <v>10</v>
      </c>
      <c r="R48" s="2" t="inlineStr">
        <is>
          <t>Ljungsnärja
Axveronika
Backtimjan
Flentimotej
Havsörn
Jordtistel
Solvända
Blåmossa
Tvåblad
Blåsippa</t>
        </is>
      </c>
      <c r="S48">
        <f>HYPERLINK("https://klasma.github.io/Logging_0980/artfynd/A 17739-2024 artfynd.xlsx", "A 17739-2024")</f>
        <v/>
      </c>
      <c r="T48">
        <f>HYPERLINK("https://klasma.github.io/Logging_0980/kartor/A 17739-2024 karta.png", "A 17739-2024")</f>
        <v/>
      </c>
      <c r="V48">
        <f>HYPERLINK("https://klasma.github.io/Logging_0980/klagomål/A 17739-2024 FSC-klagomål.docx", "A 17739-2024")</f>
        <v/>
      </c>
      <c r="W48">
        <f>HYPERLINK("https://klasma.github.io/Logging_0980/klagomålsmail/A 17739-2024 FSC-klagomål mail.docx", "A 17739-2024")</f>
        <v/>
      </c>
      <c r="X48">
        <f>HYPERLINK("https://klasma.github.io/Logging_0980/tillsyn/A 17739-2024 tillsynsbegäran.docx", "A 17739-2024")</f>
        <v/>
      </c>
      <c r="Y48">
        <f>HYPERLINK("https://klasma.github.io/Logging_0980/tillsynsmail/A 17739-2024 tillsynsbegäran mail.docx", "A 17739-2024")</f>
        <v/>
      </c>
      <c r="Z48">
        <f>HYPERLINK("https://klasma.github.io/Logging_0980/fåglar/A 17739-2024 prioriterade fågelarter.docx", "A 17739-2024")</f>
        <v/>
      </c>
    </row>
    <row r="49" ht="15" customHeight="1">
      <c r="A49" t="inlineStr">
        <is>
          <t>A 17766-2024</t>
        </is>
      </c>
      <c r="B49" s="1" t="n">
        <v>45418</v>
      </c>
      <c r="C49" s="1" t="n">
        <v>45822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45822</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45822</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49418-2024</t>
        </is>
      </c>
      <c r="B52" s="1" t="n">
        <v>45595</v>
      </c>
      <c r="C52" s="1" t="n">
        <v>45822</v>
      </c>
      <c r="D52" t="inlineStr">
        <is>
          <t>GOTLANDS LÄN</t>
        </is>
      </c>
      <c r="E52" t="inlineStr">
        <is>
          <t>GOTLAND</t>
        </is>
      </c>
      <c r="G52" t="n">
        <v>39.8</v>
      </c>
      <c r="H52" t="n">
        <v>6</v>
      </c>
      <c r="I52" t="n">
        <v>2</v>
      </c>
      <c r="J52" t="n">
        <v>3</v>
      </c>
      <c r="K52" t="n">
        <v>0</v>
      </c>
      <c r="L52" t="n">
        <v>1</v>
      </c>
      <c r="M52" t="n">
        <v>0</v>
      </c>
      <c r="N52" t="n">
        <v>0</v>
      </c>
      <c r="O52" t="n">
        <v>4</v>
      </c>
      <c r="P52" t="n">
        <v>1</v>
      </c>
      <c r="Q52" t="n">
        <v>10</v>
      </c>
      <c r="R52" s="2" t="inlineStr">
        <is>
          <t>Ängshök
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1719-2025</t>
        </is>
      </c>
      <c r="B53" s="1" t="n">
        <v>45671</v>
      </c>
      <c r="C53" s="1" t="n">
        <v>45822</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3475-2025</t>
        </is>
      </c>
      <c r="B54" s="1" t="n">
        <v>45680</v>
      </c>
      <c r="C54" s="1" t="n">
        <v>45822</v>
      </c>
      <c r="D54" t="inlineStr">
        <is>
          <t>GOTLANDS LÄN</t>
        </is>
      </c>
      <c r="E54" t="inlineStr">
        <is>
          <t>GOTLAND</t>
        </is>
      </c>
      <c r="G54" t="n">
        <v>4.6</v>
      </c>
      <c r="H54" t="n">
        <v>3</v>
      </c>
      <c r="I54" t="n">
        <v>3</v>
      </c>
      <c r="J54" t="n">
        <v>3</v>
      </c>
      <c r="K54" t="n">
        <v>2</v>
      </c>
      <c r="L54" t="n">
        <v>0</v>
      </c>
      <c r="M54" t="n">
        <v>0</v>
      </c>
      <c r="N54" t="n">
        <v>0</v>
      </c>
      <c r="O54" t="n">
        <v>6</v>
      </c>
      <c r="P54" t="n">
        <v>2</v>
      </c>
      <c r="Q54" t="n">
        <v>10</v>
      </c>
      <c r="R54" s="2" t="inlineStr">
        <is>
          <t>Gulsträngad fagerspindling
Tvillingspindling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8915-2023</t>
        </is>
      </c>
      <c r="B55" s="1" t="n">
        <v>44973</v>
      </c>
      <c r="C55" s="1" t="n">
        <v>45822</v>
      </c>
      <c r="D55" t="inlineStr">
        <is>
          <t>GOTLANDS LÄN</t>
        </is>
      </c>
      <c r="E55" t="inlineStr">
        <is>
          <t>GOTLAND</t>
        </is>
      </c>
      <c r="G55" t="n">
        <v>3.3</v>
      </c>
      <c r="H55" t="n">
        <v>0</v>
      </c>
      <c r="I55" t="n">
        <v>3</v>
      </c>
      <c r="J55" t="n">
        <v>3</v>
      </c>
      <c r="K55" t="n">
        <v>3</v>
      </c>
      <c r="L55" t="n">
        <v>0</v>
      </c>
      <c r="M55" t="n">
        <v>0</v>
      </c>
      <c r="N55" t="n">
        <v>0</v>
      </c>
      <c r="O55" t="n">
        <v>6</v>
      </c>
      <c r="P55" t="n">
        <v>3</v>
      </c>
      <c r="Q55" t="n">
        <v>9</v>
      </c>
      <c r="R55" s="2" t="inlineStr">
        <is>
          <t>Gul lammticka
Lammticka
Tvillingspindling
Mjölsvärting
Odörspindling
Svart taggsvamp
Blå slemspindling
Fransig jordstjärna
Skarp dropptaggsvamp</t>
        </is>
      </c>
      <c r="S55">
        <f>HYPERLINK("https://klasma.github.io/Logging_0980/artfynd/A 8915-2023 artfynd.xlsx", "A 8915-2023")</f>
        <v/>
      </c>
      <c r="T55">
        <f>HYPERLINK("https://klasma.github.io/Logging_0980/kartor/A 8915-2023 karta.png", "A 8915-2023")</f>
        <v/>
      </c>
      <c r="V55">
        <f>HYPERLINK("https://klasma.github.io/Logging_0980/klagomål/A 8915-2023 FSC-klagomål.docx", "A 8915-2023")</f>
        <v/>
      </c>
      <c r="W55">
        <f>HYPERLINK("https://klasma.github.io/Logging_0980/klagomålsmail/A 8915-2023 FSC-klagomål mail.docx", "A 8915-2023")</f>
        <v/>
      </c>
      <c r="X55">
        <f>HYPERLINK("https://klasma.github.io/Logging_0980/tillsyn/A 8915-2023 tillsynsbegäran.docx", "A 8915-2023")</f>
        <v/>
      </c>
      <c r="Y55">
        <f>HYPERLINK("https://klasma.github.io/Logging_0980/tillsynsmail/A 8915-2023 tillsynsbegäran mail.docx", "A 8915-2023")</f>
        <v/>
      </c>
    </row>
    <row r="56" ht="15" customHeight="1">
      <c r="A56" t="inlineStr">
        <is>
          <t>A 39376-2023</t>
        </is>
      </c>
      <c r="B56" s="1" t="n">
        <v>45166</v>
      </c>
      <c r="C56" s="1" t="n">
        <v>45822</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32876-2024</t>
        </is>
      </c>
      <c r="B57" s="1" t="n">
        <v>45516</v>
      </c>
      <c r="C57" s="1" t="n">
        <v>45822</v>
      </c>
      <c r="D57" t="inlineStr">
        <is>
          <t>GOTLANDS LÄN</t>
        </is>
      </c>
      <c r="E57" t="inlineStr">
        <is>
          <t>GOTLAND</t>
        </is>
      </c>
      <c r="G57" t="n">
        <v>1.8</v>
      </c>
      <c r="H57" t="n">
        <v>0</v>
      </c>
      <c r="I57" t="n">
        <v>4</v>
      </c>
      <c r="J57" t="n">
        <v>3</v>
      </c>
      <c r="K57" t="n">
        <v>2</v>
      </c>
      <c r="L57" t="n">
        <v>0</v>
      </c>
      <c r="M57" t="n">
        <v>0</v>
      </c>
      <c r="N57" t="n">
        <v>0</v>
      </c>
      <c r="O57" t="n">
        <v>5</v>
      </c>
      <c r="P57" t="n">
        <v>2</v>
      </c>
      <c r="Q57" t="n">
        <v>9</v>
      </c>
      <c r="R57" s="2" t="inlineStr">
        <is>
          <t>Gulsträngad fagerspindling
Svartgrön spindling
Denisespindling
Odörspindling
Svinrot
Anisspindling
Kattfotslav
Rödgul trumpetsvamp
Svavelriska</t>
        </is>
      </c>
      <c r="S57">
        <f>HYPERLINK("https://klasma.github.io/Logging_0980/artfynd/A 32876-2024 artfynd.xlsx", "A 32876-2024")</f>
        <v/>
      </c>
      <c r="T57">
        <f>HYPERLINK("https://klasma.github.io/Logging_0980/kartor/A 32876-2024 karta.png", "A 32876-2024")</f>
        <v/>
      </c>
      <c r="V57">
        <f>HYPERLINK("https://klasma.github.io/Logging_0980/klagomål/A 32876-2024 FSC-klagomål.docx", "A 32876-2024")</f>
        <v/>
      </c>
      <c r="W57">
        <f>HYPERLINK("https://klasma.github.io/Logging_0980/klagomålsmail/A 32876-2024 FSC-klagomål mail.docx", "A 32876-2024")</f>
        <v/>
      </c>
      <c r="X57">
        <f>HYPERLINK("https://klasma.github.io/Logging_0980/tillsyn/A 32876-2024 tillsynsbegäran.docx", "A 32876-2024")</f>
        <v/>
      </c>
      <c r="Y57">
        <f>HYPERLINK("https://klasma.github.io/Logging_0980/tillsynsmail/A 32876-2024 tillsynsbegäran mail.docx", "A 32876-2024")</f>
        <v/>
      </c>
    </row>
    <row r="58" ht="15" customHeight="1">
      <c r="A58" t="inlineStr">
        <is>
          <t>A 59132-2024</t>
        </is>
      </c>
      <c r="B58" s="1" t="n">
        <v>45637</v>
      </c>
      <c r="C58" s="1" t="n">
        <v>45822</v>
      </c>
      <c r="D58" t="inlineStr">
        <is>
          <t>GOTLANDS LÄN</t>
        </is>
      </c>
      <c r="E58" t="inlineStr">
        <is>
          <t>GOTLAND</t>
        </is>
      </c>
      <c r="G58" t="n">
        <v>3.5</v>
      </c>
      <c r="H58" t="n">
        <v>0</v>
      </c>
      <c r="I58" t="n">
        <v>1</v>
      </c>
      <c r="J58" t="n">
        <v>4</v>
      </c>
      <c r="K58" t="n">
        <v>3</v>
      </c>
      <c r="L58" t="n">
        <v>0</v>
      </c>
      <c r="M58" t="n">
        <v>0</v>
      </c>
      <c r="N58" t="n">
        <v>0</v>
      </c>
      <c r="O58" t="n">
        <v>8</v>
      </c>
      <c r="P58" t="n">
        <v>3</v>
      </c>
      <c r="Q58" t="n">
        <v>9</v>
      </c>
      <c r="R58" s="2" t="inlineStr">
        <is>
          <t>Almlav
Mörk kraterlav
Pälsticka
Korskovall
Slåtterfibbla
Solvända
Vippärt
Amphisphaeria umbrina
Underviol</t>
        </is>
      </c>
      <c r="S58">
        <f>HYPERLINK("https://klasma.github.io/Logging_0980/artfynd/A 59132-2024 artfynd.xlsx", "A 59132-2024")</f>
        <v/>
      </c>
      <c r="T58">
        <f>HYPERLINK("https://klasma.github.io/Logging_0980/kartor/A 59132-2024 karta.png", "A 59132-2024")</f>
        <v/>
      </c>
      <c r="V58">
        <f>HYPERLINK("https://klasma.github.io/Logging_0980/klagomål/A 59132-2024 FSC-klagomål.docx", "A 59132-2024")</f>
        <v/>
      </c>
      <c r="W58">
        <f>HYPERLINK("https://klasma.github.io/Logging_0980/klagomålsmail/A 59132-2024 FSC-klagomål mail.docx", "A 59132-2024")</f>
        <v/>
      </c>
      <c r="X58">
        <f>HYPERLINK("https://klasma.github.io/Logging_0980/tillsyn/A 59132-2024 tillsynsbegäran.docx", "A 59132-2024")</f>
        <v/>
      </c>
      <c r="Y58">
        <f>HYPERLINK("https://klasma.github.io/Logging_0980/tillsynsmail/A 59132-2024 tillsynsbegäran mail.docx", "A 59132-2024")</f>
        <v/>
      </c>
    </row>
    <row r="59" ht="15" customHeight="1">
      <c r="A59" t="inlineStr">
        <is>
          <t>A 32960-2019</t>
        </is>
      </c>
      <c r="B59" s="1" t="n">
        <v>43648</v>
      </c>
      <c r="C59" s="1" t="n">
        <v>45822</v>
      </c>
      <c r="D59" t="inlineStr">
        <is>
          <t>GOTLANDS LÄN</t>
        </is>
      </c>
      <c r="E59" t="inlineStr">
        <is>
          <t>GOTLAND</t>
        </is>
      </c>
      <c r="G59" t="n">
        <v>10.9</v>
      </c>
      <c r="H59" t="n">
        <v>6</v>
      </c>
      <c r="I59" t="n">
        <v>4</v>
      </c>
      <c r="J59" t="n">
        <v>2</v>
      </c>
      <c r="K59" t="n">
        <v>0</v>
      </c>
      <c r="L59" t="n">
        <v>0</v>
      </c>
      <c r="M59" t="n">
        <v>0</v>
      </c>
      <c r="N59" t="n">
        <v>0</v>
      </c>
      <c r="O59" t="n">
        <v>2</v>
      </c>
      <c r="P59" t="n">
        <v>0</v>
      </c>
      <c r="Q59" t="n">
        <v>8</v>
      </c>
      <c r="R59" s="2" t="inlineStr">
        <is>
          <t>Grönsångare
Ängsstarr
Kalktallört
Nästrot
Purpurknipprot
Vit skogslilja
Fläcknycklar
Nattviol</t>
        </is>
      </c>
      <c r="S59">
        <f>HYPERLINK("https://klasma.github.io/Logging_0980/artfynd/A 32960-2019 artfynd.xlsx", "A 32960-2019")</f>
        <v/>
      </c>
      <c r="T59">
        <f>HYPERLINK("https://klasma.github.io/Logging_0980/kartor/A 32960-2019 karta.png", "A 32960-2019")</f>
        <v/>
      </c>
      <c r="V59">
        <f>HYPERLINK("https://klasma.github.io/Logging_0980/klagomål/A 32960-2019 FSC-klagomål.docx", "A 32960-2019")</f>
        <v/>
      </c>
      <c r="W59">
        <f>HYPERLINK("https://klasma.github.io/Logging_0980/klagomålsmail/A 32960-2019 FSC-klagomål mail.docx", "A 32960-2019")</f>
        <v/>
      </c>
      <c r="X59">
        <f>HYPERLINK("https://klasma.github.io/Logging_0980/tillsyn/A 32960-2019 tillsynsbegäran.docx", "A 32960-2019")</f>
        <v/>
      </c>
      <c r="Y59">
        <f>HYPERLINK("https://klasma.github.io/Logging_0980/tillsynsmail/A 32960-2019 tillsynsbegäran mail.docx", "A 32960-2019")</f>
        <v/>
      </c>
      <c r="Z59">
        <f>HYPERLINK("https://klasma.github.io/Logging_0980/fåglar/A 32960-2019 prioriterade fågelarter.docx", "A 32960-2019")</f>
        <v/>
      </c>
    </row>
    <row r="60" ht="15" customHeight="1">
      <c r="A60" t="inlineStr">
        <is>
          <t>A 10699-2020</t>
        </is>
      </c>
      <c r="B60" s="1" t="n">
        <v>43888</v>
      </c>
      <c r="C60" s="1" t="n">
        <v>45822</v>
      </c>
      <c r="D60" t="inlineStr">
        <is>
          <t>GOTLANDS LÄN</t>
        </is>
      </c>
      <c r="E60" t="inlineStr">
        <is>
          <t>GOTLAND</t>
        </is>
      </c>
      <c r="F60" t="inlineStr">
        <is>
          <t>Övriga statliga verk och myndigheter</t>
        </is>
      </c>
      <c r="G60" t="n">
        <v>51.4</v>
      </c>
      <c r="H60" t="n">
        <v>6</v>
      </c>
      <c r="I60" t="n">
        <v>3</v>
      </c>
      <c r="J60" t="n">
        <v>3</v>
      </c>
      <c r="K60" t="n">
        <v>0</v>
      </c>
      <c r="L60" t="n">
        <v>0</v>
      </c>
      <c r="M60" t="n">
        <v>0</v>
      </c>
      <c r="N60" t="n">
        <v>0</v>
      </c>
      <c r="O60" t="n">
        <v>3</v>
      </c>
      <c r="P60" t="n">
        <v>0</v>
      </c>
      <c r="Q60" t="n">
        <v>8</v>
      </c>
      <c r="R60" s="2" t="inlineStr">
        <is>
          <t>Luktsporre
Röd skogslilja
Småtörel
Anisspindling
Nästrot
Purpurknipprot
Fläcknycklar
Kärrknipprot</t>
        </is>
      </c>
      <c r="S60">
        <f>HYPERLINK("https://klasma.github.io/Logging_0980/artfynd/A 10699-2020 artfynd.xlsx", "A 10699-2020")</f>
        <v/>
      </c>
      <c r="T60">
        <f>HYPERLINK("https://klasma.github.io/Logging_0980/kartor/A 10699-2020 karta.png", "A 10699-2020")</f>
        <v/>
      </c>
      <c r="V60">
        <f>HYPERLINK("https://klasma.github.io/Logging_0980/klagomål/A 10699-2020 FSC-klagomål.docx", "A 10699-2020")</f>
        <v/>
      </c>
      <c r="W60">
        <f>HYPERLINK("https://klasma.github.io/Logging_0980/klagomålsmail/A 10699-2020 FSC-klagomål mail.docx", "A 10699-2020")</f>
        <v/>
      </c>
      <c r="X60">
        <f>HYPERLINK("https://klasma.github.io/Logging_0980/tillsyn/A 10699-2020 tillsynsbegäran.docx", "A 10699-2020")</f>
        <v/>
      </c>
      <c r="Y60">
        <f>HYPERLINK("https://klasma.github.io/Logging_0980/tillsynsmail/A 10699-2020 tillsynsbegäran mail.docx", "A 10699-2020")</f>
        <v/>
      </c>
    </row>
    <row r="61" ht="15" customHeight="1">
      <c r="A61" t="inlineStr">
        <is>
          <t>A 13990-2020</t>
        </is>
      </c>
      <c r="B61" s="1" t="n">
        <v>43906</v>
      </c>
      <c r="C61" s="1" t="n">
        <v>45822</v>
      </c>
      <c r="D61" t="inlineStr">
        <is>
          <t>GOTLANDS LÄN</t>
        </is>
      </c>
      <c r="E61" t="inlineStr">
        <is>
          <t>GOTLAND</t>
        </is>
      </c>
      <c r="F61" t="inlineStr">
        <is>
          <t>Övriga Aktiebolag</t>
        </is>
      </c>
      <c r="G61" t="n">
        <v>2.3</v>
      </c>
      <c r="H61" t="n">
        <v>2</v>
      </c>
      <c r="I61" t="n">
        <v>3</v>
      </c>
      <c r="J61" t="n">
        <v>1</v>
      </c>
      <c r="K61" t="n">
        <v>1</v>
      </c>
      <c r="L61" t="n">
        <v>2</v>
      </c>
      <c r="M61" t="n">
        <v>0</v>
      </c>
      <c r="N61" t="n">
        <v>0</v>
      </c>
      <c r="O61" t="n">
        <v>4</v>
      </c>
      <c r="P61" t="n">
        <v>3</v>
      </c>
      <c r="Q61" t="n">
        <v>8</v>
      </c>
      <c r="R61" s="2" t="inlineStr">
        <is>
          <t>Norsk belonia
Ädellav
Gulbrunt nejlikfly
Lordithon pulchellus
Dorcatoma dresdensis
Nästrot
Rikfruktig blemlav
Halsbandsflugsnappare</t>
        </is>
      </c>
      <c r="S61">
        <f>HYPERLINK("https://klasma.github.io/Logging_0980/artfynd/A 13990-2020 artfynd.xlsx", "A 13990-2020")</f>
        <v/>
      </c>
      <c r="T61">
        <f>HYPERLINK("https://klasma.github.io/Logging_0980/kartor/A 13990-2020 karta.png", "A 13990-2020")</f>
        <v/>
      </c>
      <c r="V61">
        <f>HYPERLINK("https://klasma.github.io/Logging_0980/klagomål/A 13990-2020 FSC-klagomål.docx", "A 13990-2020")</f>
        <v/>
      </c>
      <c r="W61">
        <f>HYPERLINK("https://klasma.github.io/Logging_0980/klagomålsmail/A 13990-2020 FSC-klagomål mail.docx", "A 13990-2020")</f>
        <v/>
      </c>
      <c r="X61">
        <f>HYPERLINK("https://klasma.github.io/Logging_0980/tillsyn/A 13990-2020 tillsynsbegäran.docx", "A 13990-2020")</f>
        <v/>
      </c>
      <c r="Y61">
        <f>HYPERLINK("https://klasma.github.io/Logging_0980/tillsynsmail/A 13990-2020 tillsynsbegäran mail.docx", "A 13990-2020")</f>
        <v/>
      </c>
      <c r="Z61">
        <f>HYPERLINK("https://klasma.github.io/Logging_0980/fåglar/A 13990-2020 prioriterade fågelarter.docx", "A 13990-2020")</f>
        <v/>
      </c>
    </row>
    <row r="62" ht="15" customHeight="1">
      <c r="A62" t="inlineStr">
        <is>
          <t>A 21371-2020</t>
        </is>
      </c>
      <c r="B62" s="1" t="n">
        <v>43955</v>
      </c>
      <c r="C62" s="1" t="n">
        <v>45822</v>
      </c>
      <c r="D62" t="inlineStr">
        <is>
          <t>GOTLANDS LÄN</t>
        </is>
      </c>
      <c r="E62" t="inlineStr">
        <is>
          <t>GOTLAND</t>
        </is>
      </c>
      <c r="G62" t="n">
        <v>2</v>
      </c>
      <c r="H62" t="n">
        <v>0</v>
      </c>
      <c r="I62" t="n">
        <v>5</v>
      </c>
      <c r="J62" t="n">
        <v>0</v>
      </c>
      <c r="K62" t="n">
        <v>3</v>
      </c>
      <c r="L62" t="n">
        <v>0</v>
      </c>
      <c r="M62" t="n">
        <v>0</v>
      </c>
      <c r="N62" t="n">
        <v>0</v>
      </c>
      <c r="O62" t="n">
        <v>3</v>
      </c>
      <c r="P62" t="n">
        <v>3</v>
      </c>
      <c r="Q62" t="n">
        <v>8</v>
      </c>
      <c r="R62" s="2" t="inlineStr">
        <is>
          <t>Gulsträngad fagerspindling
Mörkfjällig olivspindling
Violettfläckig spindling
Anisspindling
Blå slemspindling
Fjällig taggsvamp s.str.
Kryddspindling
Olivspindling</t>
        </is>
      </c>
      <c r="S62">
        <f>HYPERLINK("https://klasma.github.io/Logging_0980/artfynd/A 21371-2020 artfynd.xlsx", "A 21371-2020")</f>
        <v/>
      </c>
      <c r="T62">
        <f>HYPERLINK("https://klasma.github.io/Logging_0980/kartor/A 21371-2020 karta.png", "A 21371-2020")</f>
        <v/>
      </c>
      <c r="V62">
        <f>HYPERLINK("https://klasma.github.io/Logging_0980/klagomål/A 21371-2020 FSC-klagomål.docx", "A 21371-2020")</f>
        <v/>
      </c>
      <c r="W62">
        <f>HYPERLINK("https://klasma.github.io/Logging_0980/klagomålsmail/A 21371-2020 FSC-klagomål mail.docx", "A 21371-2020")</f>
        <v/>
      </c>
      <c r="X62">
        <f>HYPERLINK("https://klasma.github.io/Logging_0980/tillsyn/A 21371-2020 tillsynsbegäran.docx", "A 21371-2020")</f>
        <v/>
      </c>
      <c r="Y62">
        <f>HYPERLINK("https://klasma.github.io/Logging_0980/tillsynsmail/A 21371-2020 tillsynsbegäran mail.docx", "A 21371-2020")</f>
        <v/>
      </c>
    </row>
    <row r="63" ht="15" customHeight="1">
      <c r="A63" t="inlineStr">
        <is>
          <t>A 1769-2022</t>
        </is>
      </c>
      <c r="B63" s="1" t="n">
        <v>44574</v>
      </c>
      <c r="C63" s="1" t="n">
        <v>45822</v>
      </c>
      <c r="D63" t="inlineStr">
        <is>
          <t>GOTLANDS LÄN</t>
        </is>
      </c>
      <c r="E63" t="inlineStr">
        <is>
          <t>GOTLAND</t>
        </is>
      </c>
      <c r="G63" t="n">
        <v>31.3</v>
      </c>
      <c r="H63" t="n">
        <v>5</v>
      </c>
      <c r="I63" t="n">
        <v>1</v>
      </c>
      <c r="J63" t="n">
        <v>3</v>
      </c>
      <c r="K63" t="n">
        <v>0</v>
      </c>
      <c r="L63" t="n">
        <v>0</v>
      </c>
      <c r="M63" t="n">
        <v>0</v>
      </c>
      <c r="N63" t="n">
        <v>0</v>
      </c>
      <c r="O63" t="n">
        <v>3</v>
      </c>
      <c r="P63" t="n">
        <v>0</v>
      </c>
      <c r="Q63" t="n">
        <v>8</v>
      </c>
      <c r="R63" s="2" t="inlineStr">
        <is>
          <t>Loppstarr
Majviva
Ängsstarr
Flugblomster
Brudsporre
Dactylorhiza incarnata subsp. incarnata
Grönvit nattviol
Kärrknipprot</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22318-2022</t>
        </is>
      </c>
      <c r="B64" s="1" t="n">
        <v>44712</v>
      </c>
      <c r="C64" s="1" t="n">
        <v>45822</v>
      </c>
      <c r="D64" t="inlineStr">
        <is>
          <t>GOTLANDS LÄN</t>
        </is>
      </c>
      <c r="E64" t="inlineStr">
        <is>
          <t>GOTLAND</t>
        </is>
      </c>
      <c r="G64" t="n">
        <v>3</v>
      </c>
      <c r="H64" t="n">
        <v>0</v>
      </c>
      <c r="I64" t="n">
        <v>4</v>
      </c>
      <c r="J64" t="n">
        <v>2</v>
      </c>
      <c r="K64" t="n">
        <v>2</v>
      </c>
      <c r="L64" t="n">
        <v>0</v>
      </c>
      <c r="M64" t="n">
        <v>0</v>
      </c>
      <c r="N64" t="n">
        <v>0</v>
      </c>
      <c r="O64" t="n">
        <v>4</v>
      </c>
      <c r="P64" t="n">
        <v>2</v>
      </c>
      <c r="Q64" t="n">
        <v>8</v>
      </c>
      <c r="R64" s="2" t="inlineStr">
        <is>
          <t>Duvspindling
Mörk kraterlav
Odörspindling
Svinrot
Anisspindling
Blå slemspindling
Rödgul trumpetsvamp
Svavelriska</t>
        </is>
      </c>
      <c r="S64">
        <f>HYPERLINK("https://klasma.github.io/Logging_0980/artfynd/A 22318-2022 artfynd.xlsx", "A 22318-2022")</f>
        <v/>
      </c>
      <c r="T64">
        <f>HYPERLINK("https://klasma.github.io/Logging_0980/kartor/A 22318-2022 karta.png", "A 22318-2022")</f>
        <v/>
      </c>
      <c r="V64">
        <f>HYPERLINK("https://klasma.github.io/Logging_0980/klagomål/A 22318-2022 FSC-klagomål.docx", "A 22318-2022")</f>
        <v/>
      </c>
      <c r="W64">
        <f>HYPERLINK("https://klasma.github.io/Logging_0980/klagomålsmail/A 22318-2022 FSC-klagomål mail.docx", "A 22318-2022")</f>
        <v/>
      </c>
      <c r="X64">
        <f>HYPERLINK("https://klasma.github.io/Logging_0980/tillsyn/A 22318-2022 tillsynsbegäran.docx", "A 22318-2022")</f>
        <v/>
      </c>
      <c r="Y64">
        <f>HYPERLINK("https://klasma.github.io/Logging_0980/tillsynsmail/A 22318-2022 tillsynsbegäran mail.docx", "A 22318-2022")</f>
        <v/>
      </c>
    </row>
    <row r="65" ht="15" customHeight="1">
      <c r="A65" t="inlineStr">
        <is>
          <t>A 2649-2023</t>
        </is>
      </c>
      <c r="B65" s="1" t="n">
        <v>44943</v>
      </c>
      <c r="C65" s="1" t="n">
        <v>45822</v>
      </c>
      <c r="D65" t="inlineStr">
        <is>
          <t>GOTLANDS LÄN</t>
        </is>
      </c>
      <c r="E65" t="inlineStr">
        <is>
          <t>GOTLAND</t>
        </is>
      </c>
      <c r="G65" t="n">
        <v>2.6</v>
      </c>
      <c r="H65" t="n">
        <v>1</v>
      </c>
      <c r="I65" t="n">
        <v>1</v>
      </c>
      <c r="J65" t="n">
        <v>1</v>
      </c>
      <c r="K65" t="n">
        <v>6</v>
      </c>
      <c r="L65" t="n">
        <v>0</v>
      </c>
      <c r="M65" t="n">
        <v>0</v>
      </c>
      <c r="N65" t="n">
        <v>0</v>
      </c>
      <c r="O65" t="n">
        <v>7</v>
      </c>
      <c r="P65" t="n">
        <v>6</v>
      </c>
      <c r="Q65" t="n">
        <v>8</v>
      </c>
      <c r="R65" s="2" t="inlineStr">
        <is>
          <t>Duvspindling
Garderönn
Granrotsspindling
Gul lammticka
Gulsträngad fagerspindling
Violettfläckig spindling
Svinrot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7039-2023</t>
        </is>
      </c>
      <c r="B66" s="1" t="n">
        <v>44968</v>
      </c>
      <c r="C66" s="1" t="n">
        <v>45822</v>
      </c>
      <c r="D66" t="inlineStr">
        <is>
          <t>GOTLANDS LÄN</t>
        </is>
      </c>
      <c r="E66" t="inlineStr">
        <is>
          <t>GOTLAND</t>
        </is>
      </c>
      <c r="G66" t="n">
        <v>2.9</v>
      </c>
      <c r="H66" t="n">
        <v>1</v>
      </c>
      <c r="I66" t="n">
        <v>3</v>
      </c>
      <c r="J66" t="n">
        <v>1</v>
      </c>
      <c r="K66" t="n">
        <v>1</v>
      </c>
      <c r="L66" t="n">
        <v>1</v>
      </c>
      <c r="M66" t="n">
        <v>1</v>
      </c>
      <c r="N66" t="n">
        <v>0</v>
      </c>
      <c r="O66" t="n">
        <v>5</v>
      </c>
      <c r="P66" t="n">
        <v>3</v>
      </c>
      <c r="Q66" t="n">
        <v>8</v>
      </c>
      <c r="R66" s="2" t="inlineStr">
        <is>
          <t>Stor blanklav
Ädellav
Mörk kraterlav
Dårgräsfjäril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3588-2024</t>
        </is>
      </c>
      <c r="B67" s="1" t="n">
        <v>45320</v>
      </c>
      <c r="C67" s="1" t="n">
        <v>45822</v>
      </c>
      <c r="D67" t="inlineStr">
        <is>
          <t>GOTLANDS LÄN</t>
        </is>
      </c>
      <c r="E67" t="inlineStr">
        <is>
          <t>GOTLAND</t>
        </is>
      </c>
      <c r="G67" t="n">
        <v>7.3</v>
      </c>
      <c r="H67" t="n">
        <v>2</v>
      </c>
      <c r="I67" t="n">
        <v>5</v>
      </c>
      <c r="J67" t="n">
        <v>1</v>
      </c>
      <c r="K67" t="n">
        <v>1</v>
      </c>
      <c r="L67" t="n">
        <v>0</v>
      </c>
      <c r="M67" t="n">
        <v>0</v>
      </c>
      <c r="N67" t="n">
        <v>0</v>
      </c>
      <c r="O67" t="n">
        <v>2</v>
      </c>
      <c r="P67" t="n">
        <v>1</v>
      </c>
      <c r="Q67" t="n">
        <v>8</v>
      </c>
      <c r="R67" s="2" t="inlineStr">
        <is>
          <t>Kopparspindling
Bittermusseron
Anisspindling
Besk kastanjemusseron
Granbarkgnagare
Grovticka
Skogsknipprot
Revlummer</t>
        </is>
      </c>
      <c r="S67">
        <f>HYPERLINK("https://klasma.github.io/Logging_0980/artfynd/A 3588-2024 artfynd.xlsx", "A 3588-2024")</f>
        <v/>
      </c>
      <c r="T67">
        <f>HYPERLINK("https://klasma.github.io/Logging_0980/kartor/A 3588-2024 karta.png", "A 3588-2024")</f>
        <v/>
      </c>
      <c r="V67">
        <f>HYPERLINK("https://klasma.github.io/Logging_0980/klagomål/A 3588-2024 FSC-klagomål.docx", "A 3588-2024")</f>
        <v/>
      </c>
      <c r="W67">
        <f>HYPERLINK("https://klasma.github.io/Logging_0980/klagomålsmail/A 3588-2024 FSC-klagomål mail.docx", "A 3588-2024")</f>
        <v/>
      </c>
      <c r="X67">
        <f>HYPERLINK("https://klasma.github.io/Logging_0980/tillsyn/A 3588-2024 tillsynsbegäran.docx", "A 3588-2024")</f>
        <v/>
      </c>
      <c r="Y67">
        <f>HYPERLINK("https://klasma.github.io/Logging_0980/tillsynsmail/A 3588-2024 tillsynsbegäran mail.docx", "A 3588-2024")</f>
        <v/>
      </c>
    </row>
    <row r="68" ht="15" customHeight="1">
      <c r="A68" t="inlineStr">
        <is>
          <t>A 21467-2024</t>
        </is>
      </c>
      <c r="B68" s="1" t="n">
        <v>45441</v>
      </c>
      <c r="C68" s="1" t="n">
        <v>45822</v>
      </c>
      <c r="D68" t="inlineStr">
        <is>
          <t>GOTLANDS LÄN</t>
        </is>
      </c>
      <c r="E68" t="inlineStr">
        <is>
          <t>GOTLAND</t>
        </is>
      </c>
      <c r="G68" t="n">
        <v>8.800000000000001</v>
      </c>
      <c r="H68" t="n">
        <v>5</v>
      </c>
      <c r="I68" t="n">
        <v>0</v>
      </c>
      <c r="J68" t="n">
        <v>6</v>
      </c>
      <c r="K68" t="n">
        <v>1</v>
      </c>
      <c r="L68" t="n">
        <v>0</v>
      </c>
      <c r="M68" t="n">
        <v>0</v>
      </c>
      <c r="N68" t="n">
        <v>0</v>
      </c>
      <c r="O68" t="n">
        <v>7</v>
      </c>
      <c r="P68" t="n">
        <v>1</v>
      </c>
      <c r="Q68" t="n">
        <v>8</v>
      </c>
      <c r="R68" s="2" t="inlineStr">
        <is>
          <t>Garderönn
Backtimjan
Dårgräsfjäril
Gulsparv
Jordtistel
Spillkråka
Svinrot
Blåsippa</t>
        </is>
      </c>
      <c r="S68">
        <f>HYPERLINK("https://klasma.github.io/Logging_0980/artfynd/A 21467-2024 artfynd.xlsx", "A 21467-2024")</f>
        <v/>
      </c>
      <c r="T68">
        <f>HYPERLINK("https://klasma.github.io/Logging_0980/kartor/A 21467-2024 karta.png", "A 21467-2024")</f>
        <v/>
      </c>
      <c r="V68">
        <f>HYPERLINK("https://klasma.github.io/Logging_0980/klagomål/A 21467-2024 FSC-klagomål.docx", "A 21467-2024")</f>
        <v/>
      </c>
      <c r="W68">
        <f>HYPERLINK("https://klasma.github.io/Logging_0980/klagomålsmail/A 21467-2024 FSC-klagomål mail.docx", "A 21467-2024")</f>
        <v/>
      </c>
      <c r="X68">
        <f>HYPERLINK("https://klasma.github.io/Logging_0980/tillsyn/A 21467-2024 tillsynsbegäran.docx", "A 21467-2024")</f>
        <v/>
      </c>
      <c r="Y68">
        <f>HYPERLINK("https://klasma.github.io/Logging_0980/tillsynsmail/A 21467-2024 tillsynsbegäran mail.docx", "A 21467-2024")</f>
        <v/>
      </c>
      <c r="Z68">
        <f>HYPERLINK("https://klasma.github.io/Logging_0980/fåglar/A 21467-2024 prioriterade fågelarter.docx", "A 21467-2024")</f>
        <v/>
      </c>
    </row>
    <row r="69" ht="15" customHeight="1">
      <c r="A69" t="inlineStr">
        <is>
          <t>A 34600-2019</t>
        </is>
      </c>
      <c r="B69" s="1" t="n">
        <v>43647</v>
      </c>
      <c r="C69" s="1" t="n">
        <v>45822</v>
      </c>
      <c r="D69" t="inlineStr">
        <is>
          <t>GOTLANDS LÄN</t>
        </is>
      </c>
      <c r="E69" t="inlineStr">
        <is>
          <t>GOTLAND</t>
        </is>
      </c>
      <c r="F69" t="inlineStr">
        <is>
          <t>Övriga statliga verk och myndigheter</t>
        </is>
      </c>
      <c r="G69" t="n">
        <v>2.3</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34600-2019 artfynd.xlsx", "A 34600-2019")</f>
        <v/>
      </c>
      <c r="T69">
        <f>HYPERLINK("https://klasma.github.io/Logging_0980/kartor/A 34600-2019 karta.png", "A 34600-2019")</f>
        <v/>
      </c>
      <c r="V69">
        <f>HYPERLINK("https://klasma.github.io/Logging_0980/klagomål/A 34600-2019 FSC-klagomål.docx", "A 34600-2019")</f>
        <v/>
      </c>
      <c r="W69">
        <f>HYPERLINK("https://klasma.github.io/Logging_0980/klagomålsmail/A 34600-2019 FSC-klagomål mail.docx", "A 34600-2019")</f>
        <v/>
      </c>
      <c r="X69">
        <f>HYPERLINK("https://klasma.github.io/Logging_0980/tillsyn/A 34600-2019 tillsynsbegäran.docx", "A 34600-2019")</f>
        <v/>
      </c>
      <c r="Y69">
        <f>HYPERLINK("https://klasma.github.io/Logging_0980/tillsynsmail/A 34600-2019 tillsynsbegäran mail.docx", "A 34600-2019")</f>
        <v/>
      </c>
      <c r="Z69">
        <f>HYPERLINK("https://klasma.github.io/Logging_0980/fåglar/A 34600-2019 prioriterade fågelarter.docx", "A 34600-2019")</f>
        <v/>
      </c>
    </row>
    <row r="70" ht="15" customHeight="1">
      <c r="A70" t="inlineStr">
        <is>
          <t>A 16786-2020</t>
        </is>
      </c>
      <c r="B70" s="1" t="n">
        <v>43913</v>
      </c>
      <c r="C70" s="1" t="n">
        <v>45822</v>
      </c>
      <c r="D70" t="inlineStr">
        <is>
          <t>GOTLANDS LÄN</t>
        </is>
      </c>
      <c r="E70" t="inlineStr">
        <is>
          <t>GOTLAND</t>
        </is>
      </c>
      <c r="G70" t="n">
        <v>5.9</v>
      </c>
      <c r="H70" t="n">
        <v>1</v>
      </c>
      <c r="I70" t="n">
        <v>5</v>
      </c>
      <c r="J70" t="n">
        <v>1</v>
      </c>
      <c r="K70" t="n">
        <v>1</v>
      </c>
      <c r="L70" t="n">
        <v>0</v>
      </c>
      <c r="M70" t="n">
        <v>0</v>
      </c>
      <c r="N70" t="n">
        <v>0</v>
      </c>
      <c r="O70" t="n">
        <v>2</v>
      </c>
      <c r="P70" t="n">
        <v>1</v>
      </c>
      <c r="Q70" t="n">
        <v>7</v>
      </c>
      <c r="R70" s="2" t="inlineStr">
        <is>
          <t>Gulsträngad fagerspindling
Odörspindling
Anisspindling
Fjällig taggsvamp s.str.
Nästrot
Rödfläckig zontaggsvamp
Skarp dropptaggsvamp</t>
        </is>
      </c>
      <c r="S70">
        <f>HYPERLINK("https://klasma.github.io/Logging_0980/artfynd/A 16786-2020 artfynd.xlsx", "A 16786-2020")</f>
        <v/>
      </c>
      <c r="T70">
        <f>HYPERLINK("https://klasma.github.io/Logging_0980/kartor/A 16786-2020 karta.png", "A 16786-2020")</f>
        <v/>
      </c>
      <c r="V70">
        <f>HYPERLINK("https://klasma.github.io/Logging_0980/klagomål/A 16786-2020 FSC-klagomål.docx", "A 16786-2020")</f>
        <v/>
      </c>
      <c r="W70">
        <f>HYPERLINK("https://klasma.github.io/Logging_0980/klagomålsmail/A 16786-2020 FSC-klagomål mail.docx", "A 16786-2020")</f>
        <v/>
      </c>
      <c r="X70">
        <f>HYPERLINK("https://klasma.github.io/Logging_0980/tillsyn/A 16786-2020 tillsynsbegäran.docx", "A 16786-2020")</f>
        <v/>
      </c>
      <c r="Y70">
        <f>HYPERLINK("https://klasma.github.io/Logging_0980/tillsynsmail/A 16786-2020 tillsynsbegäran mail.docx", "A 16786-2020")</f>
        <v/>
      </c>
    </row>
    <row r="71" ht="15" customHeight="1">
      <c r="A71" t="inlineStr">
        <is>
          <t>A 25887-2020</t>
        </is>
      </c>
      <c r="B71" s="1" t="n">
        <v>43984</v>
      </c>
      <c r="C71" s="1" t="n">
        <v>45822</v>
      </c>
      <c r="D71" t="inlineStr">
        <is>
          <t>GOTLANDS LÄN</t>
        </is>
      </c>
      <c r="E71" t="inlineStr">
        <is>
          <t>GOTLAND</t>
        </is>
      </c>
      <c r="G71" t="n">
        <v>4.7</v>
      </c>
      <c r="H71" t="n">
        <v>1</v>
      </c>
      <c r="I71" t="n">
        <v>4</v>
      </c>
      <c r="J71" t="n">
        <v>1</v>
      </c>
      <c r="K71" t="n">
        <v>2</v>
      </c>
      <c r="L71" t="n">
        <v>0</v>
      </c>
      <c r="M71" t="n">
        <v>0</v>
      </c>
      <c r="N71" t="n">
        <v>0</v>
      </c>
      <c r="O71" t="n">
        <v>3</v>
      </c>
      <c r="P71" t="n">
        <v>2</v>
      </c>
      <c r="Q71" t="n">
        <v>7</v>
      </c>
      <c r="R71" s="2" t="inlineStr">
        <is>
          <t>Pluggtrattskivling
Svartgrön spindling
Odörspindling
Anisspindling
Blå slemspindling
Fjällig taggsvamp s.str.
Nästrot</t>
        </is>
      </c>
      <c r="S71">
        <f>HYPERLINK("https://klasma.github.io/Logging_0980/artfynd/A 25887-2020 artfynd.xlsx", "A 25887-2020")</f>
        <v/>
      </c>
      <c r="T71">
        <f>HYPERLINK("https://klasma.github.io/Logging_0980/kartor/A 25887-2020 karta.png", "A 25887-2020")</f>
        <v/>
      </c>
      <c r="V71">
        <f>HYPERLINK("https://klasma.github.io/Logging_0980/klagomål/A 25887-2020 FSC-klagomål.docx", "A 25887-2020")</f>
        <v/>
      </c>
      <c r="W71">
        <f>HYPERLINK("https://klasma.github.io/Logging_0980/klagomålsmail/A 25887-2020 FSC-klagomål mail.docx", "A 25887-2020")</f>
        <v/>
      </c>
      <c r="X71">
        <f>HYPERLINK("https://klasma.github.io/Logging_0980/tillsyn/A 25887-2020 tillsynsbegäran.docx", "A 25887-2020")</f>
        <v/>
      </c>
      <c r="Y71">
        <f>HYPERLINK("https://klasma.github.io/Logging_0980/tillsynsmail/A 25887-2020 tillsynsbegäran mail.docx", "A 25887-2020")</f>
        <v/>
      </c>
    </row>
    <row r="72" ht="15" customHeight="1">
      <c r="A72" t="inlineStr">
        <is>
          <t>A 18541-2024</t>
        </is>
      </c>
      <c r="B72" s="1" t="n">
        <v>45425</v>
      </c>
      <c r="C72" s="1" t="n">
        <v>45822</v>
      </c>
      <c r="D72" t="inlineStr">
        <is>
          <t>GOTLANDS LÄN</t>
        </is>
      </c>
      <c r="E72" t="inlineStr">
        <is>
          <t>GOTLAND</t>
        </is>
      </c>
      <c r="F72" t="inlineStr">
        <is>
          <t>Övriga statliga verk och myndigheter</t>
        </is>
      </c>
      <c r="G72" t="n">
        <v>2.2</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18541-2024 artfynd.xlsx", "A 18541-2024")</f>
        <v/>
      </c>
      <c r="T72">
        <f>HYPERLINK("https://klasma.github.io/Logging_0980/kartor/A 18541-2024 karta.png", "A 18541-2024")</f>
        <v/>
      </c>
      <c r="V72">
        <f>HYPERLINK("https://klasma.github.io/Logging_0980/klagomål/A 18541-2024 FSC-klagomål.docx", "A 18541-2024")</f>
        <v/>
      </c>
      <c r="W72">
        <f>HYPERLINK("https://klasma.github.io/Logging_0980/klagomålsmail/A 18541-2024 FSC-klagomål mail.docx", "A 18541-2024")</f>
        <v/>
      </c>
      <c r="X72">
        <f>HYPERLINK("https://klasma.github.io/Logging_0980/tillsyn/A 18541-2024 tillsynsbegäran.docx", "A 18541-2024")</f>
        <v/>
      </c>
      <c r="Y72">
        <f>HYPERLINK("https://klasma.github.io/Logging_0980/tillsynsmail/A 18541-2024 tillsynsbegäran mail.docx", "A 18541-2024")</f>
        <v/>
      </c>
      <c r="Z72">
        <f>HYPERLINK("https://klasma.github.io/Logging_0980/fåglar/A 18541-2024 prioriterade fågelarter.docx", "A 18541-2024")</f>
        <v/>
      </c>
    </row>
    <row r="73" ht="15" customHeight="1">
      <c r="A73" t="inlineStr">
        <is>
          <t>A 4572-2025</t>
        </is>
      </c>
      <c r="B73" s="1" t="n">
        <v>45687</v>
      </c>
      <c r="C73" s="1" t="n">
        <v>45822</v>
      </c>
      <c r="D73" t="inlineStr">
        <is>
          <t>GOTLANDS LÄN</t>
        </is>
      </c>
      <c r="E73" t="inlineStr">
        <is>
          <t>GOTLAND</t>
        </is>
      </c>
      <c r="G73" t="n">
        <v>6.2</v>
      </c>
      <c r="H73" t="n">
        <v>5</v>
      </c>
      <c r="I73" t="n">
        <v>1</v>
      </c>
      <c r="J73" t="n">
        <v>3</v>
      </c>
      <c r="K73" t="n">
        <v>0</v>
      </c>
      <c r="L73" t="n">
        <v>1</v>
      </c>
      <c r="M73" t="n">
        <v>0</v>
      </c>
      <c r="N73" t="n">
        <v>0</v>
      </c>
      <c r="O73" t="n">
        <v>4</v>
      </c>
      <c r="P73" t="n">
        <v>1</v>
      </c>
      <c r="Q73" t="n">
        <v>7</v>
      </c>
      <c r="R73" s="2" t="inlineStr">
        <is>
          <t>Brun glada
Axveronika
Solvända
Spillkråka
Skogsknipprot
Sankt pers nycklar
Blåsippa</t>
        </is>
      </c>
      <c r="S73">
        <f>HYPERLINK("https://klasma.github.io/Logging_0980/artfynd/A 4572-2025 artfynd.xlsx", "A 4572-2025")</f>
        <v/>
      </c>
      <c r="T73">
        <f>HYPERLINK("https://klasma.github.io/Logging_0980/kartor/A 4572-2025 karta.png", "A 4572-2025")</f>
        <v/>
      </c>
      <c r="V73">
        <f>HYPERLINK("https://klasma.github.io/Logging_0980/klagomål/A 4572-2025 FSC-klagomål.docx", "A 4572-2025")</f>
        <v/>
      </c>
      <c r="W73">
        <f>HYPERLINK("https://klasma.github.io/Logging_0980/klagomålsmail/A 4572-2025 FSC-klagomål mail.docx", "A 4572-2025")</f>
        <v/>
      </c>
      <c r="X73">
        <f>HYPERLINK("https://klasma.github.io/Logging_0980/tillsyn/A 4572-2025 tillsynsbegäran.docx", "A 4572-2025")</f>
        <v/>
      </c>
      <c r="Y73">
        <f>HYPERLINK("https://klasma.github.io/Logging_0980/tillsynsmail/A 4572-2025 tillsynsbegäran mail.docx", "A 4572-2025")</f>
        <v/>
      </c>
      <c r="Z73">
        <f>HYPERLINK("https://klasma.github.io/Logging_0980/fåglar/A 4572-2025 prioriterade fågelarter.docx", "A 4572-2025")</f>
        <v/>
      </c>
    </row>
    <row r="74" ht="15" customHeight="1">
      <c r="A74" t="inlineStr">
        <is>
          <t>A 10419-2025</t>
        </is>
      </c>
      <c r="B74" s="1" t="n">
        <v>45720</v>
      </c>
      <c r="C74" s="1" t="n">
        <v>45822</v>
      </c>
      <c r="D74" t="inlineStr">
        <is>
          <t>GOTLANDS LÄN</t>
        </is>
      </c>
      <c r="E74" t="inlineStr">
        <is>
          <t>GOTLAND</t>
        </is>
      </c>
      <c r="G74" t="n">
        <v>1.2</v>
      </c>
      <c r="H74" t="n">
        <v>0</v>
      </c>
      <c r="I74" t="n">
        <v>5</v>
      </c>
      <c r="J74" t="n">
        <v>0</v>
      </c>
      <c r="K74" t="n">
        <v>2</v>
      </c>
      <c r="L74" t="n">
        <v>0</v>
      </c>
      <c r="M74" t="n">
        <v>0</v>
      </c>
      <c r="N74" t="n">
        <v>0</v>
      </c>
      <c r="O74" t="n">
        <v>2</v>
      </c>
      <c r="P74" t="n">
        <v>2</v>
      </c>
      <c r="Q74" t="n">
        <v>7</v>
      </c>
      <c r="R74" s="2" t="inlineStr">
        <is>
          <t>Mörkfjällig olivspindling
Violettfläckig spindling
Anisspindling
Blå slemspindling
Fjällig taggsvamp s.str.
Kryddspindling
Olivspindling</t>
        </is>
      </c>
      <c r="S74">
        <f>HYPERLINK("https://klasma.github.io/Logging_090980/artfynd/A 10419-2025 artfynd.xlsx", "A 10419-2025")</f>
        <v/>
      </c>
      <c r="T74">
        <f>HYPERLINK("https://klasma.github.io/Logging_090980/kartor/A 10419-2025 karta.png", "A 10419-2025")</f>
        <v/>
      </c>
      <c r="V74">
        <f>HYPERLINK("https://klasma.github.io/Logging_090980/klagomål/A 10419-2025 FSC-klagomål.docx", "A 10419-2025")</f>
        <v/>
      </c>
      <c r="W74">
        <f>HYPERLINK("https://klasma.github.io/Logging_090980/klagomålsmail/A 10419-2025 FSC-klagomål mail.docx", "A 10419-2025")</f>
        <v/>
      </c>
      <c r="X74">
        <f>HYPERLINK("https://klasma.github.io/Logging_090980/tillsyn/A 10419-2025 tillsynsbegäran.docx", "A 10419-2025")</f>
        <v/>
      </c>
      <c r="Y74">
        <f>HYPERLINK("https://klasma.github.io/Logging_090980/tillsynsmail/A 10419-2025 tillsynsbegäran mail.docx", "A 10419-2025")</f>
        <v/>
      </c>
    </row>
    <row r="75" ht="15" customHeight="1">
      <c r="A75" t="inlineStr">
        <is>
          <t>A 16353-2025</t>
        </is>
      </c>
      <c r="B75" s="1" t="n">
        <v>45751</v>
      </c>
      <c r="C75" s="1" t="n">
        <v>45822</v>
      </c>
      <c r="D75" t="inlineStr">
        <is>
          <t>GOTLANDS LÄN</t>
        </is>
      </c>
      <c r="E75" t="inlineStr">
        <is>
          <t>GOTLAND</t>
        </is>
      </c>
      <c r="G75" t="n">
        <v>8.800000000000001</v>
      </c>
      <c r="H75" t="n">
        <v>0</v>
      </c>
      <c r="I75" t="n">
        <v>6</v>
      </c>
      <c r="J75" t="n">
        <v>1</v>
      </c>
      <c r="K75" t="n">
        <v>0</v>
      </c>
      <c r="L75" t="n">
        <v>0</v>
      </c>
      <c r="M75" t="n">
        <v>0</v>
      </c>
      <c r="N75" t="n">
        <v>0</v>
      </c>
      <c r="O75" t="n">
        <v>1</v>
      </c>
      <c r="P75" t="n">
        <v>0</v>
      </c>
      <c r="Q75" t="n">
        <v>7</v>
      </c>
      <c r="R75" s="2" t="inlineStr">
        <is>
          <t>Flattoppad klubbsvamp
Anisspindling
Fjällig taggsvamp s.str.
Guldkremla
Kryddspindling
Rödgul trumpetsvamp
Svavelriska</t>
        </is>
      </c>
      <c r="S75">
        <f>HYPERLINK("https://klasma.github.io/Logging_090980/artfynd/A 16353-2025 artfynd.xlsx", "A 16353-2025")</f>
        <v/>
      </c>
      <c r="T75">
        <f>HYPERLINK("https://klasma.github.io/Logging_090980/kartor/A 16353-2025 karta.png", "A 16353-2025")</f>
        <v/>
      </c>
      <c r="V75">
        <f>HYPERLINK("https://klasma.github.io/Logging_090980/klagomål/A 16353-2025 FSC-klagomål.docx", "A 16353-2025")</f>
        <v/>
      </c>
      <c r="W75">
        <f>HYPERLINK("https://klasma.github.io/Logging_090980/klagomålsmail/A 16353-2025 FSC-klagomål mail.docx", "A 16353-2025")</f>
        <v/>
      </c>
      <c r="X75">
        <f>HYPERLINK("https://klasma.github.io/Logging_090980/tillsyn/A 16353-2025 tillsynsbegäran.docx", "A 16353-2025")</f>
        <v/>
      </c>
      <c r="Y75">
        <f>HYPERLINK("https://klasma.github.io/Logging_090980/tillsynsmail/A 16353-2025 tillsynsbegäran mail.docx", "A 16353-2025")</f>
        <v/>
      </c>
    </row>
    <row r="76" ht="15" customHeight="1">
      <c r="A76" t="inlineStr">
        <is>
          <t>A 65819-2020</t>
        </is>
      </c>
      <c r="B76" s="1" t="n">
        <v>44174</v>
      </c>
      <c r="C76" s="1" t="n">
        <v>45822</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25205-2021</t>
        </is>
      </c>
      <c r="B77" s="1" t="n">
        <v>44342</v>
      </c>
      <c r="C77" s="1" t="n">
        <v>45822</v>
      </c>
      <c r="D77" t="inlineStr">
        <is>
          <t>GOTLANDS LÄN</t>
        </is>
      </c>
      <c r="E77" t="inlineStr">
        <is>
          <t>GOTLAND</t>
        </is>
      </c>
      <c r="G77" t="n">
        <v>2.8</v>
      </c>
      <c r="H77" t="n">
        <v>0</v>
      </c>
      <c r="I77" t="n">
        <v>4</v>
      </c>
      <c r="J77" t="n">
        <v>0</v>
      </c>
      <c r="K77" t="n">
        <v>1</v>
      </c>
      <c r="L77" t="n">
        <v>1</v>
      </c>
      <c r="M77" t="n">
        <v>0</v>
      </c>
      <c r="N77" t="n">
        <v>0</v>
      </c>
      <c r="O77" t="n">
        <v>2</v>
      </c>
      <c r="P77" t="n">
        <v>2</v>
      </c>
      <c r="Q77" t="n">
        <v>6</v>
      </c>
      <c r="R77" s="2" t="inlineStr">
        <is>
          <t>Ädellav
Mörk kraterlav
Hasselticka
Lönnlav
Rikfruktig blemlav
Slät lönnlav</t>
        </is>
      </c>
      <c r="S77">
        <f>HYPERLINK("https://klasma.github.io/Logging_0980/artfynd/A 25205-2021 artfynd.xlsx", "A 25205-2021")</f>
        <v/>
      </c>
      <c r="T77">
        <f>HYPERLINK("https://klasma.github.io/Logging_0980/kartor/A 25205-2021 karta.png", "A 25205-2021")</f>
        <v/>
      </c>
      <c r="V77">
        <f>HYPERLINK("https://klasma.github.io/Logging_0980/klagomål/A 25205-2021 FSC-klagomål.docx", "A 25205-2021")</f>
        <v/>
      </c>
      <c r="W77">
        <f>HYPERLINK("https://klasma.github.io/Logging_0980/klagomålsmail/A 25205-2021 FSC-klagomål mail.docx", "A 25205-2021")</f>
        <v/>
      </c>
      <c r="X77">
        <f>HYPERLINK("https://klasma.github.io/Logging_0980/tillsyn/A 25205-2021 tillsynsbegäran.docx", "A 25205-2021")</f>
        <v/>
      </c>
      <c r="Y77">
        <f>HYPERLINK("https://klasma.github.io/Logging_0980/tillsynsmail/A 25205-2021 tillsynsbegäran mail.docx", "A 25205-2021")</f>
        <v/>
      </c>
    </row>
    <row r="78" ht="15" customHeight="1">
      <c r="A78" t="inlineStr">
        <is>
          <t>A 59865-2022</t>
        </is>
      </c>
      <c r="B78" s="1" t="n">
        <v>44908</v>
      </c>
      <c r="C78" s="1" t="n">
        <v>45822</v>
      </c>
      <c r="D78" t="inlineStr">
        <is>
          <t>GOTLANDS LÄN</t>
        </is>
      </c>
      <c r="E78" t="inlineStr">
        <is>
          <t>GOTLAND</t>
        </is>
      </c>
      <c r="G78" t="n">
        <v>2.7</v>
      </c>
      <c r="H78" t="n">
        <v>0</v>
      </c>
      <c r="I78" t="n">
        <v>2</v>
      </c>
      <c r="J78" t="n">
        <v>2</v>
      </c>
      <c r="K78" t="n">
        <v>2</v>
      </c>
      <c r="L78" t="n">
        <v>0</v>
      </c>
      <c r="M78" t="n">
        <v>0</v>
      </c>
      <c r="N78" t="n">
        <v>0</v>
      </c>
      <c r="O78" t="n">
        <v>4</v>
      </c>
      <c r="P78" t="n">
        <v>2</v>
      </c>
      <c r="Q78" t="n">
        <v>6</v>
      </c>
      <c r="R78" s="2" t="inlineStr">
        <is>
          <t>Granrotsspindling
Svartgrön spindling
Denisespindling
Doftskinn
Blå slemspindling
Svavelriska</t>
        </is>
      </c>
      <c r="S78">
        <f>HYPERLINK("https://klasma.github.io/Logging_0980/artfynd/A 59865-2022 artfynd.xlsx", "A 59865-2022")</f>
        <v/>
      </c>
      <c r="T78">
        <f>HYPERLINK("https://klasma.github.io/Logging_0980/kartor/A 59865-2022 karta.png", "A 59865-2022")</f>
        <v/>
      </c>
      <c r="V78">
        <f>HYPERLINK("https://klasma.github.io/Logging_0980/klagomål/A 59865-2022 FSC-klagomål.docx", "A 59865-2022")</f>
        <v/>
      </c>
      <c r="W78">
        <f>HYPERLINK("https://klasma.github.io/Logging_0980/klagomålsmail/A 59865-2022 FSC-klagomål mail.docx", "A 59865-2022")</f>
        <v/>
      </c>
      <c r="X78">
        <f>HYPERLINK("https://klasma.github.io/Logging_0980/tillsyn/A 59865-2022 tillsynsbegäran.docx", "A 59865-2022")</f>
        <v/>
      </c>
      <c r="Y78">
        <f>HYPERLINK("https://klasma.github.io/Logging_0980/tillsynsmail/A 59865-2022 tillsynsbegäran mail.docx", "A 59865-2022")</f>
        <v/>
      </c>
    </row>
    <row r="79" ht="15" customHeight="1">
      <c r="A79" t="inlineStr">
        <is>
          <t>A 446-2023</t>
        </is>
      </c>
      <c r="B79" s="1" t="n">
        <v>44929</v>
      </c>
      <c r="C79" s="1" t="n">
        <v>45822</v>
      </c>
      <c r="D79" t="inlineStr">
        <is>
          <t>GOTLANDS LÄN</t>
        </is>
      </c>
      <c r="E79" t="inlineStr">
        <is>
          <t>GOTLAND</t>
        </is>
      </c>
      <c r="G79" t="n">
        <v>7.1</v>
      </c>
      <c r="H79" t="n">
        <v>2</v>
      </c>
      <c r="I79" t="n">
        <v>3</v>
      </c>
      <c r="J79" t="n">
        <v>2</v>
      </c>
      <c r="K79" t="n">
        <v>1</v>
      </c>
      <c r="L79" t="n">
        <v>0</v>
      </c>
      <c r="M79" t="n">
        <v>0</v>
      </c>
      <c r="N79" t="n">
        <v>0</v>
      </c>
      <c r="O79" t="n">
        <v>3</v>
      </c>
      <c r="P79" t="n">
        <v>1</v>
      </c>
      <c r="Q79" t="n">
        <v>6</v>
      </c>
      <c r="R79" s="2" t="inlineStr">
        <is>
          <t>Svartgrön spindling
Spillkråka
Äggspindling
Kastanjefjällskivling
Skogsknipprot
Svavelriska</t>
        </is>
      </c>
      <c r="S79">
        <f>HYPERLINK("https://klasma.github.io/Logging_0980/artfynd/A 446-2023 artfynd.xlsx", "A 446-2023")</f>
        <v/>
      </c>
      <c r="T79">
        <f>HYPERLINK("https://klasma.github.io/Logging_0980/kartor/A 446-2023 karta.png", "A 446-2023")</f>
        <v/>
      </c>
      <c r="V79">
        <f>HYPERLINK("https://klasma.github.io/Logging_0980/klagomål/A 446-2023 FSC-klagomål.docx", "A 446-2023")</f>
        <v/>
      </c>
      <c r="W79">
        <f>HYPERLINK("https://klasma.github.io/Logging_0980/klagomålsmail/A 446-2023 FSC-klagomål mail.docx", "A 446-2023")</f>
        <v/>
      </c>
      <c r="X79">
        <f>HYPERLINK("https://klasma.github.io/Logging_0980/tillsyn/A 446-2023 tillsynsbegäran.docx", "A 446-2023")</f>
        <v/>
      </c>
      <c r="Y79">
        <f>HYPERLINK("https://klasma.github.io/Logging_0980/tillsynsmail/A 446-2023 tillsynsbegäran mail.docx", "A 446-2023")</f>
        <v/>
      </c>
      <c r="Z79">
        <f>HYPERLINK("https://klasma.github.io/Logging_0980/fåglar/A 446-2023 prioriterade fågelarter.docx", "A 446-2023")</f>
        <v/>
      </c>
    </row>
    <row r="80" ht="15" customHeight="1">
      <c r="A80" t="inlineStr">
        <is>
          <t>A 2085-2023</t>
        </is>
      </c>
      <c r="B80" s="1" t="n">
        <v>44939</v>
      </c>
      <c r="C80" s="1" t="n">
        <v>45822</v>
      </c>
      <c r="D80" t="inlineStr">
        <is>
          <t>GOTLANDS LÄN</t>
        </is>
      </c>
      <c r="E80" t="inlineStr">
        <is>
          <t>GOTLAND</t>
        </is>
      </c>
      <c r="G80" t="n">
        <v>0.9</v>
      </c>
      <c r="H80" t="n">
        <v>2</v>
      </c>
      <c r="I80" t="n">
        <v>5</v>
      </c>
      <c r="J80" t="n">
        <v>0</v>
      </c>
      <c r="K80" t="n">
        <v>0</v>
      </c>
      <c r="L80" t="n">
        <v>0</v>
      </c>
      <c r="M80" t="n">
        <v>0</v>
      </c>
      <c r="N80" t="n">
        <v>0</v>
      </c>
      <c r="O80" t="n">
        <v>0</v>
      </c>
      <c r="P80" t="n">
        <v>0</v>
      </c>
      <c r="Q80" t="n">
        <v>6</v>
      </c>
      <c r="R80" s="2" t="inlineStr">
        <is>
          <t>Blå slemspindling
Blåmossa
Kattfotslav
Skogsknipprot
Vågbandad barkbock
Skogsduva</t>
        </is>
      </c>
      <c r="S80">
        <f>HYPERLINK("https://klasma.github.io/Logging_0980/artfynd/A 2085-2023 artfynd.xlsx", "A 2085-2023")</f>
        <v/>
      </c>
      <c r="T80">
        <f>HYPERLINK("https://klasma.github.io/Logging_0980/kartor/A 2085-2023 karta.png", "A 2085-2023")</f>
        <v/>
      </c>
      <c r="V80">
        <f>HYPERLINK("https://klasma.github.io/Logging_0980/klagomål/A 2085-2023 FSC-klagomål.docx", "A 2085-2023")</f>
        <v/>
      </c>
      <c r="W80">
        <f>HYPERLINK("https://klasma.github.io/Logging_0980/klagomålsmail/A 2085-2023 FSC-klagomål mail.docx", "A 2085-2023")</f>
        <v/>
      </c>
      <c r="X80">
        <f>HYPERLINK("https://klasma.github.io/Logging_0980/tillsyn/A 2085-2023 tillsynsbegäran.docx", "A 2085-2023")</f>
        <v/>
      </c>
      <c r="Y80">
        <f>HYPERLINK("https://klasma.github.io/Logging_0980/tillsynsmail/A 2085-2023 tillsynsbegäran mail.docx", "A 2085-2023")</f>
        <v/>
      </c>
      <c r="Z80">
        <f>HYPERLINK("https://klasma.github.io/Logging_0980/fåglar/A 2085-2023 prioriterade fågelarter.docx", "A 2085-2023")</f>
        <v/>
      </c>
    </row>
    <row r="81" ht="15" customHeight="1">
      <c r="A81" t="inlineStr">
        <is>
          <t>A 7038-2023</t>
        </is>
      </c>
      <c r="B81" s="1" t="n">
        <v>44968</v>
      </c>
      <c r="C81" s="1" t="n">
        <v>45822</v>
      </c>
      <c r="D81" t="inlineStr">
        <is>
          <t>GOTLANDS LÄN</t>
        </is>
      </c>
      <c r="E81" t="inlineStr">
        <is>
          <t>GOTLAND</t>
        </is>
      </c>
      <c r="G81" t="n">
        <v>5.2</v>
      </c>
      <c r="H81" t="n">
        <v>1</v>
      </c>
      <c r="I81" t="n">
        <v>1</v>
      </c>
      <c r="J81" t="n">
        <v>1</v>
      </c>
      <c r="K81" t="n">
        <v>0</v>
      </c>
      <c r="L81" t="n">
        <v>2</v>
      </c>
      <c r="M81" t="n">
        <v>0</v>
      </c>
      <c r="N81" t="n">
        <v>0</v>
      </c>
      <c r="O81" t="n">
        <v>5</v>
      </c>
      <c r="P81" t="n">
        <v>2</v>
      </c>
      <c r="Q81" t="n">
        <v>6</v>
      </c>
      <c r="R81" s="2" t="inlineStr">
        <is>
          <t>Liten ädellav
Ädellav
Dårgräsfjäril
Blemlavsklotter
Frostig asplav
Havstulpanlav</t>
        </is>
      </c>
      <c r="S81">
        <f>HYPERLINK("https://klasma.github.io/Logging_0980/artfynd/A 7038-2023 artfynd.xlsx", "A 7038-2023")</f>
        <v/>
      </c>
      <c r="T81">
        <f>HYPERLINK("https://klasma.github.io/Logging_0980/kartor/A 7038-2023 karta.png", "A 7038-2023")</f>
        <v/>
      </c>
      <c r="V81">
        <f>HYPERLINK("https://klasma.github.io/Logging_0980/klagomål/A 7038-2023 FSC-klagomål.docx", "A 7038-2023")</f>
        <v/>
      </c>
      <c r="W81">
        <f>HYPERLINK("https://klasma.github.io/Logging_0980/klagomålsmail/A 7038-2023 FSC-klagomål mail.docx", "A 7038-2023")</f>
        <v/>
      </c>
      <c r="X81">
        <f>HYPERLINK("https://klasma.github.io/Logging_0980/tillsyn/A 7038-2023 tillsynsbegäran.docx", "A 7038-2023")</f>
        <v/>
      </c>
      <c r="Y81">
        <f>HYPERLINK("https://klasma.github.io/Logging_0980/tillsynsmail/A 7038-2023 tillsynsbegäran mail.docx", "A 7038-2023")</f>
        <v/>
      </c>
    </row>
    <row r="82" ht="15" customHeight="1">
      <c r="A82" t="inlineStr">
        <is>
          <t>A 43199-2023</t>
        </is>
      </c>
      <c r="B82" s="1" t="n">
        <v>45183</v>
      </c>
      <c r="C82" s="1" t="n">
        <v>45822</v>
      </c>
      <c r="D82" t="inlineStr">
        <is>
          <t>GOTLANDS LÄN</t>
        </is>
      </c>
      <c r="E82" t="inlineStr">
        <is>
          <t>GOTLAND</t>
        </is>
      </c>
      <c r="G82" t="n">
        <v>3.8</v>
      </c>
      <c r="H82" t="n">
        <v>2</v>
      </c>
      <c r="I82" t="n">
        <v>4</v>
      </c>
      <c r="J82" t="n">
        <v>0</v>
      </c>
      <c r="K82" t="n">
        <v>1</v>
      </c>
      <c r="L82" t="n">
        <v>1</v>
      </c>
      <c r="M82" t="n">
        <v>0</v>
      </c>
      <c r="N82" t="n">
        <v>0</v>
      </c>
      <c r="O82" t="n">
        <v>2</v>
      </c>
      <c r="P82" t="n">
        <v>2</v>
      </c>
      <c r="Q82" t="n">
        <v>6</v>
      </c>
      <c r="R82" s="2" t="inlineStr">
        <is>
          <t>Ask
Gotlandsmåra
Nästrot
Skogsknipprot
Sårläka
Underviol</t>
        </is>
      </c>
      <c r="S82">
        <f>HYPERLINK("https://klasma.github.io/Logging_0980/artfynd/A 43199-2023 artfynd.xlsx", "A 43199-2023")</f>
        <v/>
      </c>
      <c r="T82">
        <f>HYPERLINK("https://klasma.github.io/Logging_0980/kartor/A 43199-2023 karta.png", "A 43199-2023")</f>
        <v/>
      </c>
      <c r="V82">
        <f>HYPERLINK("https://klasma.github.io/Logging_0980/klagomål/A 43199-2023 FSC-klagomål.docx", "A 43199-2023")</f>
        <v/>
      </c>
      <c r="W82">
        <f>HYPERLINK("https://klasma.github.io/Logging_0980/klagomålsmail/A 43199-2023 FSC-klagomål mail.docx", "A 43199-2023")</f>
        <v/>
      </c>
      <c r="X82">
        <f>HYPERLINK("https://klasma.github.io/Logging_0980/tillsyn/A 43199-2023 tillsynsbegäran.docx", "A 43199-2023")</f>
        <v/>
      </c>
      <c r="Y82">
        <f>HYPERLINK("https://klasma.github.io/Logging_0980/tillsynsmail/A 43199-2023 tillsynsbegäran mail.docx", "A 43199-2023")</f>
        <v/>
      </c>
    </row>
    <row r="83" ht="15" customHeight="1">
      <c r="A83" t="inlineStr">
        <is>
          <t>A 45695-2023</t>
        </is>
      </c>
      <c r="B83" s="1" t="n">
        <v>45195</v>
      </c>
      <c r="C83" s="1" t="n">
        <v>45822</v>
      </c>
      <c r="D83" t="inlineStr">
        <is>
          <t>GOTLANDS LÄN</t>
        </is>
      </c>
      <c r="E83" t="inlineStr">
        <is>
          <t>GOTLAND</t>
        </is>
      </c>
      <c r="G83" t="n">
        <v>20.3</v>
      </c>
      <c r="H83" t="n">
        <v>2</v>
      </c>
      <c r="I83" t="n">
        <v>1</v>
      </c>
      <c r="J83" t="n">
        <v>3</v>
      </c>
      <c r="K83" t="n">
        <v>0</v>
      </c>
      <c r="L83" t="n">
        <v>0</v>
      </c>
      <c r="M83" t="n">
        <v>0</v>
      </c>
      <c r="N83" t="n">
        <v>0</v>
      </c>
      <c r="O83" t="n">
        <v>3</v>
      </c>
      <c r="P83" t="n">
        <v>0</v>
      </c>
      <c r="Q83" t="n">
        <v>6</v>
      </c>
      <c r="R83" s="2" t="inlineStr">
        <is>
          <t>Loppstarr
Majviva
Svinrot
Axag
Brudsporre
Kärrknipprot</t>
        </is>
      </c>
      <c r="S83">
        <f>HYPERLINK("https://klasma.github.io/Logging_0980/artfynd/A 45695-2023 artfynd.xlsx", "A 45695-2023")</f>
        <v/>
      </c>
      <c r="T83">
        <f>HYPERLINK("https://klasma.github.io/Logging_0980/kartor/A 45695-2023 karta.png", "A 45695-2023")</f>
        <v/>
      </c>
      <c r="V83">
        <f>HYPERLINK("https://klasma.github.io/Logging_0980/klagomål/A 45695-2023 FSC-klagomål.docx", "A 45695-2023")</f>
        <v/>
      </c>
      <c r="W83">
        <f>HYPERLINK("https://klasma.github.io/Logging_0980/klagomålsmail/A 45695-2023 FSC-klagomål mail.docx", "A 45695-2023")</f>
        <v/>
      </c>
      <c r="X83">
        <f>HYPERLINK("https://klasma.github.io/Logging_0980/tillsyn/A 45695-2023 tillsynsbegäran.docx", "A 45695-2023")</f>
        <v/>
      </c>
      <c r="Y83">
        <f>HYPERLINK("https://klasma.github.io/Logging_0980/tillsynsmail/A 45695-2023 tillsynsbegäran mail.docx", "A 45695-2023")</f>
        <v/>
      </c>
    </row>
    <row r="84" ht="15" customHeight="1">
      <c r="A84" t="inlineStr">
        <is>
          <t>A 54527-2023</t>
        </is>
      </c>
      <c r="B84" s="1" t="n">
        <v>45233</v>
      </c>
      <c r="C84" s="1" t="n">
        <v>45822</v>
      </c>
      <c r="D84" t="inlineStr">
        <is>
          <t>GOTLANDS LÄN</t>
        </is>
      </c>
      <c r="E84" t="inlineStr">
        <is>
          <t>GOTLAND</t>
        </is>
      </c>
      <c r="G84" t="n">
        <v>28.5</v>
      </c>
      <c r="H84" t="n">
        <v>1</v>
      </c>
      <c r="I84" t="n">
        <v>0</v>
      </c>
      <c r="J84" t="n">
        <v>5</v>
      </c>
      <c r="K84" t="n">
        <v>0</v>
      </c>
      <c r="L84" t="n">
        <v>0</v>
      </c>
      <c r="M84" t="n">
        <v>0</v>
      </c>
      <c r="N84" t="n">
        <v>0</v>
      </c>
      <c r="O84" t="n">
        <v>5</v>
      </c>
      <c r="P84" t="n">
        <v>0</v>
      </c>
      <c r="Q84" t="n">
        <v>6</v>
      </c>
      <c r="R84" s="2" t="inlineStr">
        <is>
          <t>Backstarr
Backtimjan
Jordtistel
Sexfläckig bastardsvärmare
Solvända
Brudsporre</t>
        </is>
      </c>
      <c r="S84">
        <f>HYPERLINK("https://klasma.github.io/Logging_0980/artfynd/A 54527-2023 artfynd.xlsx", "A 54527-2023")</f>
        <v/>
      </c>
      <c r="T84">
        <f>HYPERLINK("https://klasma.github.io/Logging_0980/kartor/A 54527-2023 karta.png", "A 54527-2023")</f>
        <v/>
      </c>
      <c r="V84">
        <f>HYPERLINK("https://klasma.github.io/Logging_0980/klagomål/A 54527-2023 FSC-klagomål.docx", "A 54527-2023")</f>
        <v/>
      </c>
      <c r="W84">
        <f>HYPERLINK("https://klasma.github.io/Logging_0980/klagomålsmail/A 54527-2023 FSC-klagomål mail.docx", "A 54527-2023")</f>
        <v/>
      </c>
      <c r="X84">
        <f>HYPERLINK("https://klasma.github.io/Logging_0980/tillsyn/A 54527-2023 tillsynsbegäran.docx", "A 54527-2023")</f>
        <v/>
      </c>
      <c r="Y84">
        <f>HYPERLINK("https://klasma.github.io/Logging_0980/tillsynsmail/A 54527-2023 tillsynsbegäran mail.docx", "A 54527-2023")</f>
        <v/>
      </c>
    </row>
    <row r="85" ht="15" customHeight="1">
      <c r="A85" t="inlineStr">
        <is>
          <t>A 64658-2023</t>
        </is>
      </c>
      <c r="B85" s="1" t="n">
        <v>45281</v>
      </c>
      <c r="C85" s="1" t="n">
        <v>45822</v>
      </c>
      <c r="D85" t="inlineStr">
        <is>
          <t>GOTLANDS LÄN</t>
        </is>
      </c>
      <c r="E85" t="inlineStr">
        <is>
          <t>GOTLAND</t>
        </is>
      </c>
      <c r="G85" t="n">
        <v>9.699999999999999</v>
      </c>
      <c r="H85" t="n">
        <v>1</v>
      </c>
      <c r="I85" t="n">
        <v>2</v>
      </c>
      <c r="J85" t="n">
        <v>0</v>
      </c>
      <c r="K85" t="n">
        <v>3</v>
      </c>
      <c r="L85" t="n">
        <v>1</v>
      </c>
      <c r="M85" t="n">
        <v>0</v>
      </c>
      <c r="N85" t="n">
        <v>0</v>
      </c>
      <c r="O85" t="n">
        <v>4</v>
      </c>
      <c r="P85" t="n">
        <v>4</v>
      </c>
      <c r="Q85" t="n">
        <v>6</v>
      </c>
      <c r="R85" s="2" t="inlineStr">
        <is>
          <t>Ädellav
Blek kraterlav
Garderönn
Västlig njurlav
Strävlosta
Underviol</t>
        </is>
      </c>
      <c r="S85">
        <f>HYPERLINK("https://klasma.github.io/Logging_0980/artfynd/A 64658-2023 artfynd.xlsx", "A 64658-2023")</f>
        <v/>
      </c>
      <c r="T85">
        <f>HYPERLINK("https://klasma.github.io/Logging_0980/kartor/A 64658-2023 karta.png", "A 64658-2023")</f>
        <v/>
      </c>
      <c r="V85">
        <f>HYPERLINK("https://klasma.github.io/Logging_0980/klagomål/A 64658-2023 FSC-klagomål.docx", "A 64658-2023")</f>
        <v/>
      </c>
      <c r="W85">
        <f>HYPERLINK("https://klasma.github.io/Logging_0980/klagomålsmail/A 64658-2023 FSC-klagomål mail.docx", "A 64658-2023")</f>
        <v/>
      </c>
      <c r="X85">
        <f>HYPERLINK("https://klasma.github.io/Logging_0980/tillsyn/A 64658-2023 tillsynsbegäran.docx", "A 64658-2023")</f>
        <v/>
      </c>
      <c r="Y85">
        <f>HYPERLINK("https://klasma.github.io/Logging_0980/tillsynsmail/A 64658-2023 tillsynsbegäran mail.docx", "A 64658-2023")</f>
        <v/>
      </c>
    </row>
    <row r="86" ht="15" customHeight="1">
      <c r="A86" t="inlineStr">
        <is>
          <t>A 6050-2024</t>
        </is>
      </c>
      <c r="B86" s="1" t="n">
        <v>45336</v>
      </c>
      <c r="C86" s="1" t="n">
        <v>45822</v>
      </c>
      <c r="D86" t="inlineStr">
        <is>
          <t>GOTLANDS LÄN</t>
        </is>
      </c>
      <c r="E86" t="inlineStr">
        <is>
          <t>GOTLAND</t>
        </is>
      </c>
      <c r="G86" t="n">
        <v>5.1</v>
      </c>
      <c r="H86" t="n">
        <v>0</v>
      </c>
      <c r="I86" t="n">
        <v>4</v>
      </c>
      <c r="J86" t="n">
        <v>2</v>
      </c>
      <c r="K86" t="n">
        <v>0</v>
      </c>
      <c r="L86" t="n">
        <v>0</v>
      </c>
      <c r="M86" t="n">
        <v>0</v>
      </c>
      <c r="N86" t="n">
        <v>0</v>
      </c>
      <c r="O86" t="n">
        <v>2</v>
      </c>
      <c r="P86" t="n">
        <v>0</v>
      </c>
      <c r="Q86" t="n">
        <v>6</v>
      </c>
      <c r="R86" s="2" t="inlineStr">
        <is>
          <t>Blek fingersvamp
Vippärt
Anisspindling
Kryddspindling
Olivspindling
Strimspindling</t>
        </is>
      </c>
      <c r="S86">
        <f>HYPERLINK("https://klasma.github.io/Logging_0980/artfynd/A 6050-2024 artfynd.xlsx", "A 6050-2024")</f>
        <v/>
      </c>
      <c r="T86">
        <f>HYPERLINK("https://klasma.github.io/Logging_0980/kartor/A 6050-2024 karta.png", "A 6050-2024")</f>
        <v/>
      </c>
      <c r="V86">
        <f>HYPERLINK("https://klasma.github.io/Logging_0980/klagomål/A 6050-2024 FSC-klagomål.docx", "A 6050-2024")</f>
        <v/>
      </c>
      <c r="W86">
        <f>HYPERLINK("https://klasma.github.io/Logging_0980/klagomålsmail/A 6050-2024 FSC-klagomål mail.docx", "A 6050-2024")</f>
        <v/>
      </c>
      <c r="X86">
        <f>HYPERLINK("https://klasma.github.io/Logging_0980/tillsyn/A 6050-2024 tillsynsbegäran.docx", "A 6050-2024")</f>
        <v/>
      </c>
      <c r="Y86">
        <f>HYPERLINK("https://klasma.github.io/Logging_0980/tillsynsmail/A 6050-2024 tillsynsbegäran mail.docx", "A 6050-2024")</f>
        <v/>
      </c>
    </row>
    <row r="87" ht="15" customHeight="1">
      <c r="A87" t="inlineStr">
        <is>
          <t>A 16823-2024</t>
        </is>
      </c>
      <c r="B87" s="1" t="n">
        <v>45411</v>
      </c>
      <c r="C87" s="1" t="n">
        <v>45822</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45248-2024</t>
        </is>
      </c>
      <c r="B88" s="1" t="n">
        <v>45576</v>
      </c>
      <c r="C88" s="1" t="n">
        <v>45822</v>
      </c>
      <c r="D88" t="inlineStr">
        <is>
          <t>GOTLANDS LÄN</t>
        </is>
      </c>
      <c r="E88" t="inlineStr">
        <is>
          <t>GOTLAND</t>
        </is>
      </c>
      <c r="G88" t="n">
        <v>9.4</v>
      </c>
      <c r="H88" t="n">
        <v>0</v>
      </c>
      <c r="I88" t="n">
        <v>3</v>
      </c>
      <c r="J88" t="n">
        <v>1</v>
      </c>
      <c r="K88" t="n">
        <v>0</v>
      </c>
      <c r="L88" t="n">
        <v>1</v>
      </c>
      <c r="M88" t="n">
        <v>1</v>
      </c>
      <c r="N88" t="n">
        <v>0</v>
      </c>
      <c r="O88" t="n">
        <v>3</v>
      </c>
      <c r="P88" t="n">
        <v>2</v>
      </c>
      <c r="Q88" t="n">
        <v>6</v>
      </c>
      <c r="R88" s="2" t="inlineStr">
        <is>
          <t>Lundalm
Ask
Oxtungssvamp
Myskmadra
Stinkbrosking
Underviol</t>
        </is>
      </c>
      <c r="S88">
        <f>HYPERLINK("https://klasma.github.io/Logging_0980/artfynd/A 45248-2024 artfynd.xlsx", "A 45248-2024")</f>
        <v/>
      </c>
      <c r="T88">
        <f>HYPERLINK("https://klasma.github.io/Logging_0980/kartor/A 45248-2024 karta.png", "A 45248-2024")</f>
        <v/>
      </c>
      <c r="V88">
        <f>HYPERLINK("https://klasma.github.io/Logging_0980/klagomål/A 45248-2024 FSC-klagomål.docx", "A 45248-2024")</f>
        <v/>
      </c>
      <c r="W88">
        <f>HYPERLINK("https://klasma.github.io/Logging_0980/klagomålsmail/A 45248-2024 FSC-klagomål mail.docx", "A 45248-2024")</f>
        <v/>
      </c>
      <c r="X88">
        <f>HYPERLINK("https://klasma.github.io/Logging_0980/tillsyn/A 45248-2024 tillsynsbegäran.docx", "A 45248-2024")</f>
        <v/>
      </c>
      <c r="Y88">
        <f>HYPERLINK("https://klasma.github.io/Logging_0980/tillsynsmail/A 45248-2024 tillsynsbegäran mail.docx", "A 45248-2024")</f>
        <v/>
      </c>
    </row>
    <row r="89" ht="15" customHeight="1">
      <c r="A89" t="inlineStr">
        <is>
          <t>A 8645-2025</t>
        </is>
      </c>
      <c r="B89" s="1" t="n">
        <v>45712</v>
      </c>
      <c r="C89" s="1" t="n">
        <v>45822</v>
      </c>
      <c r="D89" t="inlineStr">
        <is>
          <t>GOTLANDS LÄN</t>
        </is>
      </c>
      <c r="E89" t="inlineStr">
        <is>
          <t>GOTLAND</t>
        </is>
      </c>
      <c r="G89" t="n">
        <v>21.9</v>
      </c>
      <c r="H89" t="n">
        <v>3</v>
      </c>
      <c r="I89" t="n">
        <v>4</v>
      </c>
      <c r="J89" t="n">
        <v>1</v>
      </c>
      <c r="K89" t="n">
        <v>0</v>
      </c>
      <c r="L89" t="n">
        <v>1</v>
      </c>
      <c r="M89" t="n">
        <v>0</v>
      </c>
      <c r="N89" t="n">
        <v>0</v>
      </c>
      <c r="O89" t="n">
        <v>2</v>
      </c>
      <c r="P89" t="n">
        <v>1</v>
      </c>
      <c r="Q89" t="n">
        <v>6</v>
      </c>
      <c r="R89" s="2" t="inlineStr">
        <is>
          <t>Ask
Spillkråka
Blåmossa
Kalktallört
Nästrot
Skogsknipprot</t>
        </is>
      </c>
      <c r="S89">
        <f>HYPERLINK("https://klasma.github.io/Logging_0980/artfynd/A 8645-2025 artfynd.xlsx", "A 8645-2025")</f>
        <v/>
      </c>
      <c r="T89">
        <f>HYPERLINK("https://klasma.github.io/Logging_0980/kartor/A 8645-2025 karta.png", "A 8645-2025")</f>
        <v/>
      </c>
      <c r="V89">
        <f>HYPERLINK("https://klasma.github.io/Logging_0980/klagomål/A 8645-2025 FSC-klagomål.docx", "A 8645-2025")</f>
        <v/>
      </c>
      <c r="W89">
        <f>HYPERLINK("https://klasma.github.io/Logging_0980/klagomålsmail/A 8645-2025 FSC-klagomål mail.docx", "A 8645-2025")</f>
        <v/>
      </c>
      <c r="X89">
        <f>HYPERLINK("https://klasma.github.io/Logging_0980/tillsyn/A 8645-2025 tillsynsbegäran.docx", "A 8645-2025")</f>
        <v/>
      </c>
      <c r="Y89">
        <f>HYPERLINK("https://klasma.github.io/Logging_0980/tillsynsmail/A 8645-2025 tillsynsbegäran mail.docx", "A 8645-2025")</f>
        <v/>
      </c>
      <c r="Z89">
        <f>HYPERLINK("https://klasma.github.io/Logging_0980/fåglar/A 8645-2025 prioriterade fågelarter.docx", "A 8645-2025")</f>
        <v/>
      </c>
    </row>
    <row r="90" ht="15" customHeight="1">
      <c r="A90" t="inlineStr">
        <is>
          <t>A 38183-2019</t>
        </is>
      </c>
      <c r="B90" s="1" t="n">
        <v>43684</v>
      </c>
      <c r="C90" s="1" t="n">
        <v>45822</v>
      </c>
      <c r="D90" t="inlineStr">
        <is>
          <t>GOTLANDS LÄN</t>
        </is>
      </c>
      <c r="E90" t="inlineStr">
        <is>
          <t>GOTLAND</t>
        </is>
      </c>
      <c r="G90" t="n">
        <v>2.1</v>
      </c>
      <c r="H90" t="n">
        <v>0</v>
      </c>
      <c r="I90" t="n">
        <v>2</v>
      </c>
      <c r="J90" t="n">
        <v>0</v>
      </c>
      <c r="K90" t="n">
        <v>3</v>
      </c>
      <c r="L90" t="n">
        <v>0</v>
      </c>
      <c r="M90" t="n">
        <v>0</v>
      </c>
      <c r="N90" t="n">
        <v>0</v>
      </c>
      <c r="O90" t="n">
        <v>3</v>
      </c>
      <c r="P90" t="n">
        <v>3</v>
      </c>
      <c r="Q90" t="n">
        <v>5</v>
      </c>
      <c r="R90" s="2" t="inlineStr">
        <is>
          <t>Bullspindling
Gulsträngad fagerspindling
Skogskorn
Anisspindling
Myskmadra</t>
        </is>
      </c>
      <c r="S90">
        <f>HYPERLINK("https://klasma.github.io/Logging_0980/artfynd/A 38183-2019 artfynd.xlsx", "A 38183-2019")</f>
        <v/>
      </c>
      <c r="T90">
        <f>HYPERLINK("https://klasma.github.io/Logging_0980/kartor/A 38183-2019 karta.png", "A 38183-2019")</f>
        <v/>
      </c>
      <c r="V90">
        <f>HYPERLINK("https://klasma.github.io/Logging_0980/klagomål/A 38183-2019 FSC-klagomål.docx", "A 38183-2019")</f>
        <v/>
      </c>
      <c r="W90">
        <f>HYPERLINK("https://klasma.github.io/Logging_0980/klagomålsmail/A 38183-2019 FSC-klagomål mail.docx", "A 38183-2019")</f>
        <v/>
      </c>
      <c r="X90">
        <f>HYPERLINK("https://klasma.github.io/Logging_0980/tillsyn/A 38183-2019 tillsynsbegäran.docx", "A 38183-2019")</f>
        <v/>
      </c>
      <c r="Y90">
        <f>HYPERLINK("https://klasma.github.io/Logging_0980/tillsynsmail/A 38183-2019 tillsynsbegäran mail.docx", "A 38183-2019")</f>
        <v/>
      </c>
    </row>
    <row r="91" ht="15" customHeight="1">
      <c r="A91" t="inlineStr">
        <is>
          <t>A 62991-2019</t>
        </is>
      </c>
      <c r="B91" s="1" t="n">
        <v>43790</v>
      </c>
      <c r="C91" s="1" t="n">
        <v>45822</v>
      </c>
      <c r="D91" t="inlineStr">
        <is>
          <t>GOTLANDS LÄN</t>
        </is>
      </c>
      <c r="E91" t="inlineStr">
        <is>
          <t>GOTLAND</t>
        </is>
      </c>
      <c r="G91" t="n">
        <v>3.9</v>
      </c>
      <c r="H91" t="n">
        <v>0</v>
      </c>
      <c r="I91" t="n">
        <v>2</v>
      </c>
      <c r="J91" t="n">
        <v>3</v>
      </c>
      <c r="K91" t="n">
        <v>0</v>
      </c>
      <c r="L91" t="n">
        <v>0</v>
      </c>
      <c r="M91" t="n">
        <v>0</v>
      </c>
      <c r="N91" t="n">
        <v>0</v>
      </c>
      <c r="O91" t="n">
        <v>3</v>
      </c>
      <c r="P91" t="n">
        <v>0</v>
      </c>
      <c r="Q91" t="n">
        <v>5</v>
      </c>
      <c r="R91" s="2" t="inlineStr">
        <is>
          <t>Reliktbock
Smedbock
Tallticka
Blodticka
Mindre märgborre</t>
        </is>
      </c>
      <c r="S91">
        <f>HYPERLINK("https://klasma.github.io/Logging_0980/artfynd/A 62991-2019 artfynd.xlsx", "A 62991-2019")</f>
        <v/>
      </c>
      <c r="T91">
        <f>HYPERLINK("https://klasma.github.io/Logging_0980/kartor/A 62991-2019 karta.png", "A 62991-2019")</f>
        <v/>
      </c>
      <c r="V91">
        <f>HYPERLINK("https://klasma.github.io/Logging_0980/klagomål/A 62991-2019 FSC-klagomål.docx", "A 62991-2019")</f>
        <v/>
      </c>
      <c r="W91">
        <f>HYPERLINK("https://klasma.github.io/Logging_0980/klagomålsmail/A 62991-2019 FSC-klagomål mail.docx", "A 62991-2019")</f>
        <v/>
      </c>
      <c r="X91">
        <f>HYPERLINK("https://klasma.github.io/Logging_0980/tillsyn/A 62991-2019 tillsynsbegäran.docx", "A 62991-2019")</f>
        <v/>
      </c>
      <c r="Y91">
        <f>HYPERLINK("https://klasma.github.io/Logging_0980/tillsynsmail/A 62991-2019 tillsynsbegäran mail.docx", "A 62991-2019")</f>
        <v/>
      </c>
    </row>
    <row r="92" ht="15" customHeight="1">
      <c r="A92" t="inlineStr">
        <is>
          <t>A 7648-2020</t>
        </is>
      </c>
      <c r="B92" s="1" t="n">
        <v>43872</v>
      </c>
      <c r="C92" s="1" t="n">
        <v>45822</v>
      </c>
      <c r="D92" t="inlineStr">
        <is>
          <t>GOTLANDS LÄN</t>
        </is>
      </c>
      <c r="E92" t="inlineStr">
        <is>
          <t>GOTLAND</t>
        </is>
      </c>
      <c r="F92" t="inlineStr">
        <is>
          <t>Kyrkan</t>
        </is>
      </c>
      <c r="G92" t="n">
        <v>4.2</v>
      </c>
      <c r="H92" t="n">
        <v>0</v>
      </c>
      <c r="I92" t="n">
        <v>3</v>
      </c>
      <c r="J92" t="n">
        <v>1</v>
      </c>
      <c r="K92" t="n">
        <v>0</v>
      </c>
      <c r="L92" t="n">
        <v>1</v>
      </c>
      <c r="M92" t="n">
        <v>0</v>
      </c>
      <c r="N92" t="n">
        <v>0</v>
      </c>
      <c r="O92" t="n">
        <v>2</v>
      </c>
      <c r="P92" t="n">
        <v>1</v>
      </c>
      <c r="Q92" t="n">
        <v>5</v>
      </c>
      <c r="R92" s="2" t="inlineStr">
        <is>
          <t>Ädellav
Orangepudrad klotterlav
Kornig nållav
Rikfruktig blemlav
Slät lönnlav</t>
        </is>
      </c>
      <c r="S92">
        <f>HYPERLINK("https://klasma.github.io/Logging_0980/artfynd/A 7648-2020 artfynd.xlsx", "A 7648-2020")</f>
        <v/>
      </c>
      <c r="T92">
        <f>HYPERLINK("https://klasma.github.io/Logging_0980/kartor/A 7648-2020 karta.png", "A 7648-2020")</f>
        <v/>
      </c>
      <c r="V92">
        <f>HYPERLINK("https://klasma.github.io/Logging_0980/klagomål/A 7648-2020 FSC-klagomål.docx", "A 7648-2020")</f>
        <v/>
      </c>
      <c r="W92">
        <f>HYPERLINK("https://klasma.github.io/Logging_0980/klagomålsmail/A 7648-2020 FSC-klagomål mail.docx", "A 7648-2020")</f>
        <v/>
      </c>
      <c r="X92">
        <f>HYPERLINK("https://klasma.github.io/Logging_0980/tillsyn/A 7648-2020 tillsynsbegäran.docx", "A 7648-2020")</f>
        <v/>
      </c>
      <c r="Y92">
        <f>HYPERLINK("https://klasma.github.io/Logging_0980/tillsynsmail/A 7648-2020 tillsynsbegäran mail.docx", "A 7648-2020")</f>
        <v/>
      </c>
    </row>
    <row r="93" ht="15" customHeight="1">
      <c r="A93" t="inlineStr">
        <is>
          <t>A 22317-2022</t>
        </is>
      </c>
      <c r="B93" s="1" t="n">
        <v>44712</v>
      </c>
      <c r="C93" s="1" t="n">
        <v>45822</v>
      </c>
      <c r="D93" t="inlineStr">
        <is>
          <t>GOTLANDS LÄN</t>
        </is>
      </c>
      <c r="E93" t="inlineStr">
        <is>
          <t>GOTLAND</t>
        </is>
      </c>
      <c r="G93" t="n">
        <v>2</v>
      </c>
      <c r="H93" t="n">
        <v>0</v>
      </c>
      <c r="I93" t="n">
        <v>4</v>
      </c>
      <c r="J93" t="n">
        <v>1</v>
      </c>
      <c r="K93" t="n">
        <v>0</v>
      </c>
      <c r="L93" t="n">
        <v>0</v>
      </c>
      <c r="M93" t="n">
        <v>0</v>
      </c>
      <c r="N93" t="n">
        <v>0</v>
      </c>
      <c r="O93" t="n">
        <v>1</v>
      </c>
      <c r="P93" t="n">
        <v>0</v>
      </c>
      <c r="Q93" t="n">
        <v>5</v>
      </c>
      <c r="R93" s="2" t="inlineStr">
        <is>
          <t>Odörspindling
Anisspindling
Blå slemspindling
Kattfotslav
Svavelriska</t>
        </is>
      </c>
      <c r="S93">
        <f>HYPERLINK("https://klasma.github.io/Logging_0980/artfynd/A 22317-2022 artfynd.xlsx", "A 22317-2022")</f>
        <v/>
      </c>
      <c r="T93">
        <f>HYPERLINK("https://klasma.github.io/Logging_0980/kartor/A 22317-2022 karta.png", "A 22317-2022")</f>
        <v/>
      </c>
      <c r="V93">
        <f>HYPERLINK("https://klasma.github.io/Logging_0980/klagomål/A 22317-2022 FSC-klagomål.docx", "A 22317-2022")</f>
        <v/>
      </c>
      <c r="W93">
        <f>HYPERLINK("https://klasma.github.io/Logging_0980/klagomålsmail/A 22317-2022 FSC-klagomål mail.docx", "A 22317-2022")</f>
        <v/>
      </c>
      <c r="X93">
        <f>HYPERLINK("https://klasma.github.io/Logging_0980/tillsyn/A 22317-2022 tillsynsbegäran.docx", "A 22317-2022")</f>
        <v/>
      </c>
      <c r="Y93">
        <f>HYPERLINK("https://klasma.github.io/Logging_0980/tillsynsmail/A 22317-2022 tillsynsbegäran mail.docx", "A 22317-2022")</f>
        <v/>
      </c>
    </row>
    <row r="94" ht="15" customHeight="1">
      <c r="A94" t="inlineStr">
        <is>
          <t>A 39471-2022</t>
        </is>
      </c>
      <c r="B94" s="1" t="n">
        <v>44818</v>
      </c>
      <c r="C94" s="1" t="n">
        <v>45822</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Anisspindling
Blå slemspindling
Svavelriska</t>
        </is>
      </c>
      <c r="S94">
        <f>HYPERLINK("https://klasma.github.io/Logging_0980/artfynd/A 39471-2022 artfynd.xlsx", "A 39471-2022")</f>
        <v/>
      </c>
      <c r="T94">
        <f>HYPERLINK("https://klasma.github.io/Logging_0980/kartor/A 39471-2022 karta.png", "A 39471-2022")</f>
        <v/>
      </c>
      <c r="V94">
        <f>HYPERLINK("https://klasma.github.io/Logging_0980/klagomål/A 39471-2022 FSC-klagomål.docx", "A 39471-2022")</f>
        <v/>
      </c>
      <c r="W94">
        <f>HYPERLINK("https://klasma.github.io/Logging_0980/klagomålsmail/A 39471-2022 FSC-klagomål mail.docx", "A 39471-2022")</f>
        <v/>
      </c>
      <c r="X94">
        <f>HYPERLINK("https://klasma.github.io/Logging_0980/tillsyn/A 39471-2022 tillsynsbegäran.docx", "A 39471-2022")</f>
        <v/>
      </c>
      <c r="Y94">
        <f>HYPERLINK("https://klasma.github.io/Logging_0980/tillsynsmail/A 39471-2022 tillsynsbegäran mail.docx", "A 39471-2022")</f>
        <v/>
      </c>
    </row>
    <row r="95" ht="15" customHeight="1">
      <c r="A95" t="inlineStr">
        <is>
          <t>A 43074-2022</t>
        </is>
      </c>
      <c r="B95" s="1" t="n">
        <v>44833</v>
      </c>
      <c r="C95" s="1" t="n">
        <v>45822</v>
      </c>
      <c r="D95" t="inlineStr">
        <is>
          <t>GOTLANDS LÄN</t>
        </is>
      </c>
      <c r="E95" t="inlineStr">
        <is>
          <t>GOTLAND</t>
        </is>
      </c>
      <c r="G95" t="n">
        <v>10.6</v>
      </c>
      <c r="H95" t="n">
        <v>3</v>
      </c>
      <c r="I95" t="n">
        <v>1</v>
      </c>
      <c r="J95" t="n">
        <v>3</v>
      </c>
      <c r="K95" t="n">
        <v>1</v>
      </c>
      <c r="L95" t="n">
        <v>0</v>
      </c>
      <c r="M95" t="n">
        <v>0</v>
      </c>
      <c r="N95" t="n">
        <v>0</v>
      </c>
      <c r="O95" t="n">
        <v>4</v>
      </c>
      <c r="P95" t="n">
        <v>1</v>
      </c>
      <c r="Q95" t="n">
        <v>5</v>
      </c>
      <c r="R95" s="2" t="inlineStr">
        <is>
          <t>Väddnätfjäril
Gulsparv
Rödvingetrast
Skugglosta
Strävlosta</t>
        </is>
      </c>
      <c r="S95">
        <f>HYPERLINK("https://klasma.github.io/Logging_0980/artfynd/A 43074-2022 artfynd.xlsx", "A 43074-2022")</f>
        <v/>
      </c>
      <c r="T95">
        <f>HYPERLINK("https://klasma.github.io/Logging_0980/kartor/A 43074-2022 karta.png", "A 43074-2022")</f>
        <v/>
      </c>
      <c r="V95">
        <f>HYPERLINK("https://klasma.github.io/Logging_0980/klagomål/A 43074-2022 FSC-klagomål.docx", "A 43074-2022")</f>
        <v/>
      </c>
      <c r="W95">
        <f>HYPERLINK("https://klasma.github.io/Logging_0980/klagomålsmail/A 43074-2022 FSC-klagomål mail.docx", "A 43074-2022")</f>
        <v/>
      </c>
      <c r="X95">
        <f>HYPERLINK("https://klasma.github.io/Logging_0980/tillsyn/A 43074-2022 tillsynsbegäran.docx", "A 43074-2022")</f>
        <v/>
      </c>
      <c r="Y95">
        <f>HYPERLINK("https://klasma.github.io/Logging_0980/tillsynsmail/A 43074-2022 tillsynsbegäran mail.docx", "A 43074-2022")</f>
        <v/>
      </c>
      <c r="Z95">
        <f>HYPERLINK("https://klasma.github.io/Logging_0980/fåglar/A 43074-2022 prioriterade fågelarter.docx", "A 43074-2022")</f>
        <v/>
      </c>
    </row>
    <row r="96" ht="15" customHeight="1">
      <c r="A96" t="inlineStr">
        <is>
          <t>A 44944-2022</t>
        </is>
      </c>
      <c r="B96" s="1" t="n">
        <v>44841</v>
      </c>
      <c r="C96" s="1" t="n">
        <v>45822</v>
      </c>
      <c r="D96" t="inlineStr">
        <is>
          <t>GOTLANDS LÄN</t>
        </is>
      </c>
      <c r="E96" t="inlineStr">
        <is>
          <t>GOTLAND</t>
        </is>
      </c>
      <c r="G96" t="n">
        <v>2.8</v>
      </c>
      <c r="H96" t="n">
        <v>0</v>
      </c>
      <c r="I96" t="n">
        <v>3</v>
      </c>
      <c r="J96" t="n">
        <v>2</v>
      </c>
      <c r="K96" t="n">
        <v>0</v>
      </c>
      <c r="L96" t="n">
        <v>0</v>
      </c>
      <c r="M96" t="n">
        <v>0</v>
      </c>
      <c r="N96" t="n">
        <v>0</v>
      </c>
      <c r="O96" t="n">
        <v>2</v>
      </c>
      <c r="P96" t="n">
        <v>0</v>
      </c>
      <c r="Q96" t="n">
        <v>5</v>
      </c>
      <c r="R96" s="2" t="inlineStr">
        <is>
          <t>Denisespindling
Odörspindling
Anisspindling
Fjällig taggsvamp s.str.
Rödgul trumpetsvamp</t>
        </is>
      </c>
      <c r="S96">
        <f>HYPERLINK("https://klasma.github.io/Logging_0980/artfynd/A 44944-2022 artfynd.xlsx", "A 44944-2022")</f>
        <v/>
      </c>
      <c r="T96">
        <f>HYPERLINK("https://klasma.github.io/Logging_0980/kartor/A 44944-2022 karta.png", "A 44944-2022")</f>
        <v/>
      </c>
      <c r="V96">
        <f>HYPERLINK("https://klasma.github.io/Logging_0980/klagomål/A 44944-2022 FSC-klagomål.docx", "A 44944-2022")</f>
        <v/>
      </c>
      <c r="W96">
        <f>HYPERLINK("https://klasma.github.io/Logging_0980/klagomålsmail/A 44944-2022 FSC-klagomål mail.docx", "A 44944-2022")</f>
        <v/>
      </c>
      <c r="X96">
        <f>HYPERLINK("https://klasma.github.io/Logging_0980/tillsyn/A 44944-2022 tillsynsbegäran.docx", "A 44944-2022")</f>
        <v/>
      </c>
      <c r="Y96">
        <f>HYPERLINK("https://klasma.github.io/Logging_0980/tillsynsmail/A 44944-2022 tillsynsbegäran mail.docx", "A 44944-2022")</f>
        <v/>
      </c>
    </row>
    <row r="97" ht="15" customHeight="1">
      <c r="A97" t="inlineStr">
        <is>
          <t>A 54055-2022</t>
        </is>
      </c>
      <c r="B97" s="1" t="n">
        <v>44881</v>
      </c>
      <c r="C97" s="1" t="n">
        <v>45822</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Diskvaxskivling
Kryddspindling
Olivspindling</t>
        </is>
      </c>
      <c r="S97">
        <f>HYPERLINK("https://klasma.github.io/Logging_0980/artfynd/A 54055-2022 artfynd.xlsx", "A 54055-2022")</f>
        <v/>
      </c>
      <c r="T97">
        <f>HYPERLINK("https://klasma.github.io/Logging_0980/kartor/A 54055-2022 karta.png", "A 54055-2022")</f>
        <v/>
      </c>
      <c r="V97">
        <f>HYPERLINK("https://klasma.github.io/Logging_0980/klagomål/A 54055-2022 FSC-klagomål.docx", "A 54055-2022")</f>
        <v/>
      </c>
      <c r="W97">
        <f>HYPERLINK("https://klasma.github.io/Logging_0980/klagomålsmail/A 54055-2022 FSC-klagomål mail.docx", "A 54055-2022")</f>
        <v/>
      </c>
      <c r="X97">
        <f>HYPERLINK("https://klasma.github.io/Logging_0980/tillsyn/A 54055-2022 tillsynsbegäran.docx", "A 54055-2022")</f>
        <v/>
      </c>
      <c r="Y97">
        <f>HYPERLINK("https://klasma.github.io/Logging_0980/tillsynsmail/A 54055-2022 tillsynsbegäran mail.docx", "A 54055-2022")</f>
        <v/>
      </c>
    </row>
    <row r="98" ht="15" customHeight="1">
      <c r="A98" t="inlineStr">
        <is>
          <t>A 39425-2023</t>
        </is>
      </c>
      <c r="B98" s="1" t="n">
        <v>45166</v>
      </c>
      <c r="C98" s="1" t="n">
        <v>45822</v>
      </c>
      <c r="D98" t="inlineStr">
        <is>
          <t>GOTLANDS LÄN</t>
        </is>
      </c>
      <c r="E98" t="inlineStr">
        <is>
          <t>GOTLAND</t>
        </is>
      </c>
      <c r="G98" t="n">
        <v>3.9</v>
      </c>
      <c r="H98" t="n">
        <v>1</v>
      </c>
      <c r="I98" t="n">
        <v>3</v>
      </c>
      <c r="J98" t="n">
        <v>0</v>
      </c>
      <c r="K98" t="n">
        <v>2</v>
      </c>
      <c r="L98" t="n">
        <v>0</v>
      </c>
      <c r="M98" t="n">
        <v>0</v>
      </c>
      <c r="N98" t="n">
        <v>0</v>
      </c>
      <c r="O98" t="n">
        <v>2</v>
      </c>
      <c r="P98" t="n">
        <v>2</v>
      </c>
      <c r="Q98" t="n">
        <v>5</v>
      </c>
      <c r="R98" s="2" t="inlineStr">
        <is>
          <t>Knärot
Violgubbe
Anisspindling
Rödgul trumpetsvamp
Svavelriska</t>
        </is>
      </c>
      <c r="S98">
        <f>HYPERLINK("https://klasma.github.io/Logging_0980/artfynd/A 39425-2023 artfynd.xlsx", "A 39425-2023")</f>
        <v/>
      </c>
      <c r="T98">
        <f>HYPERLINK("https://klasma.github.io/Logging_0980/kartor/A 39425-2023 karta.png", "A 39425-2023")</f>
        <v/>
      </c>
      <c r="U98">
        <f>HYPERLINK("https://klasma.github.io/Logging_0980/knärot/A 39425-2023 karta knärot.png", "A 39425-2023")</f>
        <v/>
      </c>
      <c r="V98">
        <f>HYPERLINK("https://klasma.github.io/Logging_0980/klagomål/A 39425-2023 FSC-klagomål.docx", "A 39425-2023")</f>
        <v/>
      </c>
      <c r="W98">
        <f>HYPERLINK("https://klasma.github.io/Logging_0980/klagomålsmail/A 39425-2023 FSC-klagomål mail.docx", "A 39425-2023")</f>
        <v/>
      </c>
      <c r="X98">
        <f>HYPERLINK("https://klasma.github.io/Logging_0980/tillsyn/A 39425-2023 tillsynsbegäran.docx", "A 39425-2023")</f>
        <v/>
      </c>
      <c r="Y98">
        <f>HYPERLINK("https://klasma.github.io/Logging_0980/tillsynsmail/A 39425-2023 tillsynsbegäran mail.docx", "A 39425-2023")</f>
        <v/>
      </c>
    </row>
    <row r="99" ht="15" customHeight="1">
      <c r="A99" t="inlineStr">
        <is>
          <t>A 48749-2023</t>
        </is>
      </c>
      <c r="B99" s="1" t="n">
        <v>45208</v>
      </c>
      <c r="C99" s="1" t="n">
        <v>45822</v>
      </c>
      <c r="D99" t="inlineStr">
        <is>
          <t>GOTLANDS LÄN</t>
        </is>
      </c>
      <c r="E99" t="inlineStr">
        <is>
          <t>GOTLAND</t>
        </is>
      </c>
      <c r="G99" t="n">
        <v>6.8</v>
      </c>
      <c r="H99" t="n">
        <v>2</v>
      </c>
      <c r="I99" t="n">
        <v>2</v>
      </c>
      <c r="J99" t="n">
        <v>2</v>
      </c>
      <c r="K99" t="n">
        <v>1</v>
      </c>
      <c r="L99" t="n">
        <v>0</v>
      </c>
      <c r="M99" t="n">
        <v>0</v>
      </c>
      <c r="N99" t="n">
        <v>0</v>
      </c>
      <c r="O99" t="n">
        <v>3</v>
      </c>
      <c r="P99" t="n">
        <v>1</v>
      </c>
      <c r="Q99" t="n">
        <v>5</v>
      </c>
      <c r="R99" s="2" t="inlineStr">
        <is>
          <t>Garderönn
Axveronika
Backtimjan
Murgröna
Skogsknipprot</t>
        </is>
      </c>
      <c r="S99">
        <f>HYPERLINK("https://klasma.github.io/Logging_0980/artfynd/A 48749-2023 artfynd.xlsx", "A 48749-2023")</f>
        <v/>
      </c>
      <c r="T99">
        <f>HYPERLINK("https://klasma.github.io/Logging_0980/kartor/A 48749-2023 karta.png", "A 48749-2023")</f>
        <v/>
      </c>
      <c r="V99">
        <f>HYPERLINK("https://klasma.github.io/Logging_0980/klagomål/A 48749-2023 FSC-klagomål.docx", "A 48749-2023")</f>
        <v/>
      </c>
      <c r="W99">
        <f>HYPERLINK("https://klasma.github.io/Logging_0980/klagomålsmail/A 48749-2023 FSC-klagomål mail.docx", "A 48749-2023")</f>
        <v/>
      </c>
      <c r="X99">
        <f>HYPERLINK("https://klasma.github.io/Logging_0980/tillsyn/A 48749-2023 tillsynsbegäran.docx", "A 48749-2023")</f>
        <v/>
      </c>
      <c r="Y99">
        <f>HYPERLINK("https://klasma.github.io/Logging_0980/tillsynsmail/A 48749-2023 tillsynsbegäran mail.docx", "A 48749-2023")</f>
        <v/>
      </c>
    </row>
    <row r="100" ht="15" customHeight="1">
      <c r="A100" t="inlineStr">
        <is>
          <t>A 32300-2024</t>
        </is>
      </c>
      <c r="B100" s="1" t="n">
        <v>45512</v>
      </c>
      <c r="C100" s="1" t="n">
        <v>45822</v>
      </c>
      <c r="D100" t="inlineStr">
        <is>
          <t>GOTLANDS LÄN</t>
        </is>
      </c>
      <c r="E100" t="inlineStr">
        <is>
          <t>GOTLAND</t>
        </is>
      </c>
      <c r="G100" t="n">
        <v>5.3</v>
      </c>
      <c r="H100" t="n">
        <v>3</v>
      </c>
      <c r="I100" t="n">
        <v>4</v>
      </c>
      <c r="J100" t="n">
        <v>0</v>
      </c>
      <c r="K100" t="n">
        <v>1</v>
      </c>
      <c r="L100" t="n">
        <v>0</v>
      </c>
      <c r="M100" t="n">
        <v>0</v>
      </c>
      <c r="N100" t="n">
        <v>0</v>
      </c>
      <c r="O100" t="n">
        <v>1</v>
      </c>
      <c r="P100" t="n">
        <v>1</v>
      </c>
      <c r="Q100" t="n">
        <v>5</v>
      </c>
      <c r="R100" s="2" t="inlineStr">
        <is>
          <t>Vit taggsvamp
Blå slemspindling
Flugblomster
Purpurknipprot
Tvåblad</t>
        </is>
      </c>
      <c r="S100">
        <f>HYPERLINK("https://klasma.github.io/Logging_0980/artfynd/A 32300-2024 artfynd.xlsx", "A 32300-2024")</f>
        <v/>
      </c>
      <c r="T100">
        <f>HYPERLINK("https://klasma.github.io/Logging_0980/kartor/A 32300-2024 karta.png", "A 32300-2024")</f>
        <v/>
      </c>
      <c r="V100">
        <f>HYPERLINK("https://klasma.github.io/Logging_0980/klagomål/A 32300-2024 FSC-klagomål.docx", "A 32300-2024")</f>
        <v/>
      </c>
      <c r="W100">
        <f>HYPERLINK("https://klasma.github.io/Logging_0980/klagomålsmail/A 32300-2024 FSC-klagomål mail.docx", "A 32300-2024")</f>
        <v/>
      </c>
      <c r="X100">
        <f>HYPERLINK("https://klasma.github.io/Logging_0980/tillsyn/A 32300-2024 tillsynsbegäran.docx", "A 32300-2024")</f>
        <v/>
      </c>
      <c r="Y100">
        <f>HYPERLINK("https://klasma.github.io/Logging_0980/tillsynsmail/A 32300-2024 tillsynsbegäran mail.docx", "A 32300-2024")</f>
        <v/>
      </c>
    </row>
    <row r="101" ht="15" customHeight="1">
      <c r="A101" t="inlineStr">
        <is>
          <t>A 32326-2024</t>
        </is>
      </c>
      <c r="B101" s="1" t="n">
        <v>45512</v>
      </c>
      <c r="C101" s="1" t="n">
        <v>45822</v>
      </c>
      <c r="D101" t="inlineStr">
        <is>
          <t>GOTLANDS LÄN</t>
        </is>
      </c>
      <c r="E101" t="inlineStr">
        <is>
          <t>GOTLAND</t>
        </is>
      </c>
      <c r="G101" t="n">
        <v>9.199999999999999</v>
      </c>
      <c r="H101" t="n">
        <v>3</v>
      </c>
      <c r="I101" t="n">
        <v>2</v>
      </c>
      <c r="J101" t="n">
        <v>2</v>
      </c>
      <c r="K101" t="n">
        <v>0</v>
      </c>
      <c r="L101" t="n">
        <v>0</v>
      </c>
      <c r="M101" t="n">
        <v>0</v>
      </c>
      <c r="N101" t="n">
        <v>0</v>
      </c>
      <c r="O101" t="n">
        <v>2</v>
      </c>
      <c r="P101" t="n">
        <v>0</v>
      </c>
      <c r="Q101" t="n">
        <v>5</v>
      </c>
      <c r="R101" s="2" t="inlineStr">
        <is>
          <t>Jordtistel
Svinrot
Purpurknipprot
Skogsknipprot
Brudsporre</t>
        </is>
      </c>
      <c r="S101">
        <f>HYPERLINK("https://klasma.github.io/Logging_0980/artfynd/A 32326-2024 artfynd.xlsx", "A 32326-2024")</f>
        <v/>
      </c>
      <c r="T101">
        <f>HYPERLINK("https://klasma.github.io/Logging_0980/kartor/A 32326-2024 karta.png", "A 32326-2024")</f>
        <v/>
      </c>
      <c r="V101">
        <f>HYPERLINK("https://klasma.github.io/Logging_0980/klagomål/A 32326-2024 FSC-klagomål.docx", "A 32326-2024")</f>
        <v/>
      </c>
      <c r="W101">
        <f>HYPERLINK("https://klasma.github.io/Logging_0980/klagomålsmail/A 32326-2024 FSC-klagomål mail.docx", "A 32326-2024")</f>
        <v/>
      </c>
      <c r="X101">
        <f>HYPERLINK("https://klasma.github.io/Logging_0980/tillsyn/A 32326-2024 tillsynsbegäran.docx", "A 32326-2024")</f>
        <v/>
      </c>
      <c r="Y101">
        <f>HYPERLINK("https://klasma.github.io/Logging_0980/tillsynsmail/A 32326-2024 tillsynsbegäran mail.docx", "A 32326-2024")</f>
        <v/>
      </c>
    </row>
    <row r="102" ht="15" customHeight="1">
      <c r="A102" t="inlineStr">
        <is>
          <t>A 34584-2024</t>
        </is>
      </c>
      <c r="B102" s="1" t="n">
        <v>45526</v>
      </c>
      <c r="C102" s="1" t="n">
        <v>45822</v>
      </c>
      <c r="D102" t="inlineStr">
        <is>
          <t>GOTLANDS LÄN</t>
        </is>
      </c>
      <c r="E102" t="inlineStr">
        <is>
          <t>GOTLAND</t>
        </is>
      </c>
      <c r="G102" t="n">
        <v>3.4</v>
      </c>
      <c r="H102" t="n">
        <v>3</v>
      </c>
      <c r="I102" t="n">
        <v>1</v>
      </c>
      <c r="J102" t="n">
        <v>3</v>
      </c>
      <c r="K102" t="n">
        <v>1</v>
      </c>
      <c r="L102" t="n">
        <v>0</v>
      </c>
      <c r="M102" t="n">
        <v>0</v>
      </c>
      <c r="N102" t="n">
        <v>0</v>
      </c>
      <c r="O102" t="n">
        <v>4</v>
      </c>
      <c r="P102" t="n">
        <v>1</v>
      </c>
      <c r="Q102" t="n">
        <v>5</v>
      </c>
      <c r="R102" s="2" t="inlineStr">
        <is>
          <t>Garderönn
Dårgräsfjäril
Spillkråka
Svinrot
Blåmossa</t>
        </is>
      </c>
      <c r="S102">
        <f>HYPERLINK("https://klasma.github.io/Logging_0980/artfynd/A 34584-2024 artfynd.xlsx", "A 34584-2024")</f>
        <v/>
      </c>
      <c r="T102">
        <f>HYPERLINK("https://klasma.github.io/Logging_0980/kartor/A 34584-2024 karta.png", "A 34584-2024")</f>
        <v/>
      </c>
      <c r="V102">
        <f>HYPERLINK("https://klasma.github.io/Logging_0980/klagomål/A 34584-2024 FSC-klagomål.docx", "A 34584-2024")</f>
        <v/>
      </c>
      <c r="W102">
        <f>HYPERLINK("https://klasma.github.io/Logging_0980/klagomålsmail/A 34584-2024 FSC-klagomål mail.docx", "A 34584-2024")</f>
        <v/>
      </c>
      <c r="X102">
        <f>HYPERLINK("https://klasma.github.io/Logging_0980/tillsyn/A 34584-2024 tillsynsbegäran.docx", "A 34584-2024")</f>
        <v/>
      </c>
      <c r="Y102">
        <f>HYPERLINK("https://klasma.github.io/Logging_0980/tillsynsmail/A 34584-2024 tillsynsbegäran mail.docx", "A 34584-2024")</f>
        <v/>
      </c>
      <c r="Z102">
        <f>HYPERLINK("https://klasma.github.io/Logging_0980/fåglar/A 34584-2024 prioriterade fågelarter.docx", "A 34584-2024")</f>
        <v/>
      </c>
    </row>
    <row r="103" ht="15" customHeight="1">
      <c r="A103" t="inlineStr">
        <is>
          <t>A 42936-2024</t>
        </is>
      </c>
      <c r="B103" s="1" t="n">
        <v>45567</v>
      </c>
      <c r="C103" s="1" t="n">
        <v>45822</v>
      </c>
      <c r="D103" t="inlineStr">
        <is>
          <t>GOTLANDS LÄN</t>
        </is>
      </c>
      <c r="E103" t="inlineStr">
        <is>
          <t>GOTLAND</t>
        </is>
      </c>
      <c r="G103" t="n">
        <v>3.4</v>
      </c>
      <c r="H103" t="n">
        <v>0</v>
      </c>
      <c r="I103" t="n">
        <v>3</v>
      </c>
      <c r="J103" t="n">
        <v>1</v>
      </c>
      <c r="K103" t="n">
        <v>1</v>
      </c>
      <c r="L103" t="n">
        <v>0</v>
      </c>
      <c r="M103" t="n">
        <v>0</v>
      </c>
      <c r="N103" t="n">
        <v>0</v>
      </c>
      <c r="O103" t="n">
        <v>2</v>
      </c>
      <c r="P103" t="n">
        <v>1</v>
      </c>
      <c r="Q103" t="n">
        <v>5</v>
      </c>
      <c r="R103" s="2" t="inlineStr">
        <is>
          <t>Vit taggsvamp
Äggspindling
Barrfagerspindling
Blå slemspindling
Svavelriska</t>
        </is>
      </c>
      <c r="S103">
        <f>HYPERLINK("https://klasma.github.io/Logging_0980/artfynd/A 42936-2024 artfynd.xlsx", "A 42936-2024")</f>
        <v/>
      </c>
      <c r="T103">
        <f>HYPERLINK("https://klasma.github.io/Logging_0980/kartor/A 42936-2024 karta.png", "A 42936-2024")</f>
        <v/>
      </c>
      <c r="V103">
        <f>HYPERLINK("https://klasma.github.io/Logging_0980/klagomål/A 42936-2024 FSC-klagomål.docx", "A 42936-2024")</f>
        <v/>
      </c>
      <c r="W103">
        <f>HYPERLINK("https://klasma.github.io/Logging_0980/klagomålsmail/A 42936-2024 FSC-klagomål mail.docx", "A 42936-2024")</f>
        <v/>
      </c>
      <c r="X103">
        <f>HYPERLINK("https://klasma.github.io/Logging_0980/tillsyn/A 42936-2024 tillsynsbegäran.docx", "A 42936-2024")</f>
        <v/>
      </c>
      <c r="Y103">
        <f>HYPERLINK("https://klasma.github.io/Logging_0980/tillsynsmail/A 42936-2024 tillsynsbegäran mail.docx", "A 42936-2024")</f>
        <v/>
      </c>
    </row>
    <row r="104" ht="15" customHeight="1">
      <c r="A104" t="inlineStr">
        <is>
          <t>A 45071-2024</t>
        </is>
      </c>
      <c r="B104" s="1" t="n">
        <v>45575</v>
      </c>
      <c r="C104" s="1" t="n">
        <v>45822</v>
      </c>
      <c r="D104" t="inlineStr">
        <is>
          <t>GOTLANDS LÄN</t>
        </is>
      </c>
      <c r="E104" t="inlineStr">
        <is>
          <t>GOTLAND</t>
        </is>
      </c>
      <c r="G104" t="n">
        <v>7.9</v>
      </c>
      <c r="H104" t="n">
        <v>0</v>
      </c>
      <c r="I104" t="n">
        <v>2</v>
      </c>
      <c r="J104" t="n">
        <v>1</v>
      </c>
      <c r="K104" t="n">
        <v>1</v>
      </c>
      <c r="L104" t="n">
        <v>0</v>
      </c>
      <c r="M104" t="n">
        <v>0</v>
      </c>
      <c r="N104" t="n">
        <v>0</v>
      </c>
      <c r="O104" t="n">
        <v>3</v>
      </c>
      <c r="P104" t="n">
        <v>1</v>
      </c>
      <c r="Q104" t="n">
        <v>5</v>
      </c>
      <c r="R104" s="2" t="inlineStr">
        <is>
          <t>Granrotsspindling
Odörspindling
Trollspindling
Besk kastanjemusseron
Blå slemspindling</t>
        </is>
      </c>
      <c r="S104">
        <f>HYPERLINK("https://klasma.github.io/Logging_0980/artfynd/A 45071-2024 artfynd.xlsx", "A 45071-2024")</f>
        <v/>
      </c>
      <c r="T104">
        <f>HYPERLINK("https://klasma.github.io/Logging_0980/kartor/A 45071-2024 karta.png", "A 45071-2024")</f>
        <v/>
      </c>
      <c r="V104">
        <f>HYPERLINK("https://klasma.github.io/Logging_0980/klagomål/A 45071-2024 FSC-klagomål.docx", "A 45071-2024")</f>
        <v/>
      </c>
      <c r="W104">
        <f>HYPERLINK("https://klasma.github.io/Logging_0980/klagomålsmail/A 45071-2024 FSC-klagomål mail.docx", "A 45071-2024")</f>
        <v/>
      </c>
      <c r="X104">
        <f>HYPERLINK("https://klasma.github.io/Logging_0980/tillsyn/A 45071-2024 tillsynsbegäran.docx", "A 45071-2024")</f>
        <v/>
      </c>
      <c r="Y104">
        <f>HYPERLINK("https://klasma.github.io/Logging_0980/tillsynsmail/A 45071-2024 tillsynsbegäran mail.docx", "A 45071-2024")</f>
        <v/>
      </c>
    </row>
    <row r="105" ht="15" customHeight="1">
      <c r="A105" t="inlineStr">
        <is>
          <t>A 16375-2025</t>
        </is>
      </c>
      <c r="B105" s="1" t="n">
        <v>45751</v>
      </c>
      <c r="C105" s="1" t="n">
        <v>45822</v>
      </c>
      <c r="D105" t="inlineStr">
        <is>
          <t>GOTLANDS LÄN</t>
        </is>
      </c>
      <c r="E105" t="inlineStr">
        <is>
          <t>GOTLAND</t>
        </is>
      </c>
      <c r="G105" t="n">
        <v>1.9</v>
      </c>
      <c r="H105" t="n">
        <v>3</v>
      </c>
      <c r="I105" t="n">
        <v>3</v>
      </c>
      <c r="J105" t="n">
        <v>1</v>
      </c>
      <c r="K105" t="n">
        <v>0</v>
      </c>
      <c r="L105" t="n">
        <v>1</v>
      </c>
      <c r="M105" t="n">
        <v>0</v>
      </c>
      <c r="N105" t="n">
        <v>0</v>
      </c>
      <c r="O105" t="n">
        <v>2</v>
      </c>
      <c r="P105" t="n">
        <v>1</v>
      </c>
      <c r="Q105" t="n">
        <v>5</v>
      </c>
      <c r="R105" s="2" t="inlineStr">
        <is>
          <t>Ask
Spillkråka
Blåmossa
Nästrot
Tvåblad</t>
        </is>
      </c>
      <c r="S105">
        <f>HYPERLINK("https://klasma.github.io/Logging_090980/artfynd/A 16375-2025 artfynd.xlsx", "A 16375-2025")</f>
        <v/>
      </c>
      <c r="T105">
        <f>HYPERLINK("https://klasma.github.io/Logging_090980/kartor/A 16375-2025 karta.png", "A 16375-2025")</f>
        <v/>
      </c>
      <c r="V105">
        <f>HYPERLINK("https://klasma.github.io/Logging_090980/klagomål/A 16375-2025 FSC-klagomål.docx", "A 16375-2025")</f>
        <v/>
      </c>
      <c r="W105">
        <f>HYPERLINK("https://klasma.github.io/Logging_090980/klagomålsmail/A 16375-2025 FSC-klagomål mail.docx", "A 16375-2025")</f>
        <v/>
      </c>
      <c r="X105">
        <f>HYPERLINK("https://klasma.github.io/Logging_090980/tillsyn/A 16375-2025 tillsynsbegäran.docx", "A 16375-2025")</f>
        <v/>
      </c>
      <c r="Y105">
        <f>HYPERLINK("https://klasma.github.io/Logging_090980/tillsynsmail/A 16375-2025 tillsynsbegäran mail.docx", "A 16375-2025")</f>
        <v/>
      </c>
      <c r="Z105">
        <f>HYPERLINK("https://klasma.github.io/Logging_090980/fåglar/A 16375-2025 prioriterade fågelarter.docx", "A 16375-2025")</f>
        <v/>
      </c>
    </row>
    <row r="106" ht="15" customHeight="1">
      <c r="A106" t="inlineStr">
        <is>
          <t>A 21537-2019</t>
        </is>
      </c>
      <c r="B106" s="1" t="n">
        <v>43580</v>
      </c>
      <c r="C106" s="1" t="n">
        <v>45822</v>
      </c>
      <c r="D106" t="inlineStr">
        <is>
          <t>GOTLANDS LÄN</t>
        </is>
      </c>
      <c r="E106" t="inlineStr">
        <is>
          <t>GOTLAND</t>
        </is>
      </c>
      <c r="G106" t="n">
        <v>5.3</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21537-2019 artfynd.xlsx", "A 21537-2019")</f>
        <v/>
      </c>
      <c r="T106">
        <f>HYPERLINK("https://klasma.github.io/Logging_0980/kartor/A 21537-2019 karta.png", "A 21537-2019")</f>
        <v/>
      </c>
      <c r="V106">
        <f>HYPERLINK("https://klasma.github.io/Logging_0980/klagomål/A 21537-2019 FSC-klagomål.docx", "A 21537-2019")</f>
        <v/>
      </c>
      <c r="W106">
        <f>HYPERLINK("https://klasma.github.io/Logging_0980/klagomålsmail/A 21537-2019 FSC-klagomål mail.docx", "A 21537-2019")</f>
        <v/>
      </c>
      <c r="X106">
        <f>HYPERLINK("https://klasma.github.io/Logging_0980/tillsyn/A 21537-2019 tillsynsbegäran.docx", "A 21537-2019")</f>
        <v/>
      </c>
      <c r="Y106">
        <f>HYPERLINK("https://klasma.github.io/Logging_0980/tillsynsmail/A 21537-2019 tillsynsbegäran mail.docx", "A 21537-2019")</f>
        <v/>
      </c>
    </row>
    <row r="107" ht="15" customHeight="1">
      <c r="A107" t="inlineStr">
        <is>
          <t>A 39839-2019</t>
        </is>
      </c>
      <c r="B107" s="1" t="n">
        <v>43689</v>
      </c>
      <c r="C107" s="1" t="n">
        <v>45822</v>
      </c>
      <c r="D107" t="inlineStr">
        <is>
          <t>GOTLANDS LÄN</t>
        </is>
      </c>
      <c r="E107" t="inlineStr">
        <is>
          <t>GOTLAND</t>
        </is>
      </c>
      <c r="G107" t="n">
        <v>18.9</v>
      </c>
      <c r="H107" t="n">
        <v>1</v>
      </c>
      <c r="I107" t="n">
        <v>1</v>
      </c>
      <c r="J107" t="n">
        <v>3</v>
      </c>
      <c r="K107" t="n">
        <v>0</v>
      </c>
      <c r="L107" t="n">
        <v>0</v>
      </c>
      <c r="M107" t="n">
        <v>0</v>
      </c>
      <c r="N107" t="n">
        <v>0</v>
      </c>
      <c r="O107" t="n">
        <v>3</v>
      </c>
      <c r="P107" t="n">
        <v>0</v>
      </c>
      <c r="Q107" t="n">
        <v>4</v>
      </c>
      <c r="R107" s="2" t="inlineStr">
        <is>
          <t>Apollofjäril
Hårig blombock
Sexfläckig bastardsvärmare
Åttafläckig praktbagge</t>
        </is>
      </c>
      <c r="S107">
        <f>HYPERLINK("https://klasma.github.io/Logging_0980/artfynd/A 39839-2019 artfynd.xlsx", "A 39839-2019")</f>
        <v/>
      </c>
      <c r="T107">
        <f>HYPERLINK("https://klasma.github.io/Logging_0980/kartor/A 39839-2019 karta.png", "A 39839-2019")</f>
        <v/>
      </c>
      <c r="V107">
        <f>HYPERLINK("https://klasma.github.io/Logging_0980/klagomål/A 39839-2019 FSC-klagomål.docx", "A 39839-2019")</f>
        <v/>
      </c>
      <c r="W107">
        <f>HYPERLINK("https://klasma.github.io/Logging_0980/klagomålsmail/A 39839-2019 FSC-klagomål mail.docx", "A 39839-2019")</f>
        <v/>
      </c>
      <c r="X107">
        <f>HYPERLINK("https://klasma.github.io/Logging_0980/tillsyn/A 39839-2019 tillsynsbegäran.docx", "A 39839-2019")</f>
        <v/>
      </c>
      <c r="Y107">
        <f>HYPERLINK("https://klasma.github.io/Logging_0980/tillsynsmail/A 39839-2019 tillsynsbegäran mail.docx", "A 39839-2019")</f>
        <v/>
      </c>
    </row>
    <row r="108" ht="15" customHeight="1">
      <c r="A108" t="inlineStr">
        <is>
          <t>A 64378-2020</t>
        </is>
      </c>
      <c r="B108" s="1" t="n">
        <v>44168</v>
      </c>
      <c r="C108" s="1" t="n">
        <v>45822</v>
      </c>
      <c r="D108" t="inlineStr">
        <is>
          <t>GOTLANDS LÄN</t>
        </is>
      </c>
      <c r="E108" t="inlineStr">
        <is>
          <t>GOTLAND</t>
        </is>
      </c>
      <c r="G108" t="n">
        <v>2.1</v>
      </c>
      <c r="H108" t="n">
        <v>0</v>
      </c>
      <c r="I108" t="n">
        <v>1</v>
      </c>
      <c r="J108" t="n">
        <v>0</v>
      </c>
      <c r="K108" t="n">
        <v>2</v>
      </c>
      <c r="L108" t="n">
        <v>1</v>
      </c>
      <c r="M108" t="n">
        <v>0</v>
      </c>
      <c r="N108" t="n">
        <v>0</v>
      </c>
      <c r="O108" t="n">
        <v>3</v>
      </c>
      <c r="P108" t="n">
        <v>3</v>
      </c>
      <c r="Q108" t="n">
        <v>4</v>
      </c>
      <c r="R108" s="2" t="inlineStr">
        <is>
          <t>Sienamusseron
Bitter taggsvamp
Duvspindling
Fjällig taggsvamp s.str.</t>
        </is>
      </c>
      <c r="S108">
        <f>HYPERLINK("https://klasma.github.io/Logging_0980/artfynd/A 64378-2020 artfynd.xlsx", "A 64378-2020")</f>
        <v/>
      </c>
      <c r="T108">
        <f>HYPERLINK("https://klasma.github.io/Logging_0980/kartor/A 64378-2020 karta.png", "A 64378-2020")</f>
        <v/>
      </c>
      <c r="V108">
        <f>HYPERLINK("https://klasma.github.io/Logging_0980/klagomål/A 64378-2020 FSC-klagomål.docx", "A 64378-2020")</f>
        <v/>
      </c>
      <c r="W108">
        <f>HYPERLINK("https://klasma.github.io/Logging_0980/klagomålsmail/A 64378-2020 FSC-klagomål mail.docx", "A 64378-2020")</f>
        <v/>
      </c>
      <c r="X108">
        <f>HYPERLINK("https://klasma.github.io/Logging_0980/tillsyn/A 64378-2020 tillsynsbegäran.docx", "A 64378-2020")</f>
        <v/>
      </c>
      <c r="Y108">
        <f>HYPERLINK("https://klasma.github.io/Logging_0980/tillsynsmail/A 64378-2020 tillsynsbegäran mail.docx", "A 64378-2020")</f>
        <v/>
      </c>
    </row>
    <row r="109" ht="15" customHeight="1">
      <c r="A109" t="inlineStr">
        <is>
          <t>A 2223-2021</t>
        </is>
      </c>
      <c r="B109" s="1" t="n">
        <v>44211</v>
      </c>
      <c r="C109" s="1" t="n">
        <v>45822</v>
      </c>
      <c r="D109" t="inlineStr">
        <is>
          <t>GOTLANDS LÄN</t>
        </is>
      </c>
      <c r="E109" t="inlineStr">
        <is>
          <t>GOTLAND</t>
        </is>
      </c>
      <c r="G109" t="n">
        <v>2.2</v>
      </c>
      <c r="H109" t="n">
        <v>2</v>
      </c>
      <c r="I109" t="n">
        <v>4</v>
      </c>
      <c r="J109" t="n">
        <v>0</v>
      </c>
      <c r="K109" t="n">
        <v>0</v>
      </c>
      <c r="L109" t="n">
        <v>0</v>
      </c>
      <c r="M109" t="n">
        <v>0</v>
      </c>
      <c r="N109" t="n">
        <v>0</v>
      </c>
      <c r="O109" t="n">
        <v>0</v>
      </c>
      <c r="P109" t="n">
        <v>0</v>
      </c>
      <c r="Q109" t="n">
        <v>4</v>
      </c>
      <c r="R109" s="2" t="inlineStr">
        <is>
          <t>Blåmossa
Granbarkgnagare
Nästrot
Tvåblad</t>
        </is>
      </c>
      <c r="S109">
        <f>HYPERLINK("https://klasma.github.io/Logging_0980/artfynd/A 2223-2021 artfynd.xlsx", "A 2223-2021")</f>
        <v/>
      </c>
      <c r="T109">
        <f>HYPERLINK("https://klasma.github.io/Logging_0980/kartor/A 2223-2021 karta.png", "A 2223-2021")</f>
        <v/>
      </c>
      <c r="V109">
        <f>HYPERLINK("https://klasma.github.io/Logging_0980/klagomål/A 2223-2021 FSC-klagomål.docx", "A 2223-2021")</f>
        <v/>
      </c>
      <c r="W109">
        <f>HYPERLINK("https://klasma.github.io/Logging_0980/klagomålsmail/A 2223-2021 FSC-klagomål mail.docx", "A 2223-2021")</f>
        <v/>
      </c>
      <c r="X109">
        <f>HYPERLINK("https://klasma.github.io/Logging_0980/tillsyn/A 2223-2021 tillsynsbegäran.docx", "A 2223-2021")</f>
        <v/>
      </c>
      <c r="Y109">
        <f>HYPERLINK("https://klasma.github.io/Logging_0980/tillsynsmail/A 2223-2021 tillsynsbegäran mail.docx", "A 2223-2021")</f>
        <v/>
      </c>
    </row>
    <row r="110" ht="15" customHeight="1">
      <c r="A110" t="inlineStr">
        <is>
          <t>A 29331-2021</t>
        </is>
      </c>
      <c r="B110" s="1" t="n">
        <v>44361</v>
      </c>
      <c r="C110" s="1" t="n">
        <v>45822</v>
      </c>
      <c r="D110" t="inlineStr">
        <is>
          <t>GOTLANDS LÄN</t>
        </is>
      </c>
      <c r="E110" t="inlineStr">
        <is>
          <t>GOTLAND</t>
        </is>
      </c>
      <c r="G110" t="n">
        <v>3.7</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29331-2021 artfynd.xlsx", "A 29331-2021")</f>
        <v/>
      </c>
      <c r="T110">
        <f>HYPERLINK("https://klasma.github.io/Logging_0980/kartor/A 29331-2021 karta.png", "A 29331-2021")</f>
        <v/>
      </c>
      <c r="V110">
        <f>HYPERLINK("https://klasma.github.io/Logging_0980/klagomål/A 29331-2021 FSC-klagomål.docx", "A 29331-2021")</f>
        <v/>
      </c>
      <c r="W110">
        <f>HYPERLINK("https://klasma.github.io/Logging_0980/klagomålsmail/A 29331-2021 FSC-klagomål mail.docx", "A 29331-2021")</f>
        <v/>
      </c>
      <c r="X110">
        <f>HYPERLINK("https://klasma.github.io/Logging_0980/tillsyn/A 29331-2021 tillsynsbegäran.docx", "A 29331-2021")</f>
        <v/>
      </c>
      <c r="Y110">
        <f>HYPERLINK("https://klasma.github.io/Logging_0980/tillsynsmail/A 29331-2021 tillsynsbegäran mail.docx", "A 29331-2021")</f>
        <v/>
      </c>
    </row>
    <row r="111" ht="15" customHeight="1">
      <c r="A111" t="inlineStr">
        <is>
          <t>A 44933-2022</t>
        </is>
      </c>
      <c r="B111" s="1" t="n">
        <v>44841</v>
      </c>
      <c r="C111" s="1" t="n">
        <v>45822</v>
      </c>
      <c r="D111" t="inlineStr">
        <is>
          <t>GOTLANDS LÄN</t>
        </is>
      </c>
      <c r="E111" t="inlineStr">
        <is>
          <t>GOTLAND</t>
        </is>
      </c>
      <c r="G111" t="n">
        <v>4.5</v>
      </c>
      <c r="H111" t="n">
        <v>1</v>
      </c>
      <c r="I111" t="n">
        <v>2</v>
      </c>
      <c r="J111" t="n">
        <v>2</v>
      </c>
      <c r="K111" t="n">
        <v>0</v>
      </c>
      <c r="L111" t="n">
        <v>0</v>
      </c>
      <c r="M111" t="n">
        <v>0</v>
      </c>
      <c r="N111" t="n">
        <v>0</v>
      </c>
      <c r="O111" t="n">
        <v>2</v>
      </c>
      <c r="P111" t="n">
        <v>0</v>
      </c>
      <c r="Q111" t="n">
        <v>4</v>
      </c>
      <c r="R111" s="2" t="inlineStr">
        <is>
          <t>Ekvaxskivling
Odörspindling
Skarp dropptaggsvamp
Skogsknipprot</t>
        </is>
      </c>
      <c r="S111">
        <f>HYPERLINK("https://klasma.github.io/Logging_0980/artfynd/A 44933-2022 artfynd.xlsx", "A 44933-2022")</f>
        <v/>
      </c>
      <c r="T111">
        <f>HYPERLINK("https://klasma.github.io/Logging_0980/kartor/A 44933-2022 karta.png", "A 44933-2022")</f>
        <v/>
      </c>
      <c r="V111">
        <f>HYPERLINK("https://klasma.github.io/Logging_0980/klagomål/A 44933-2022 FSC-klagomål.docx", "A 44933-2022")</f>
        <v/>
      </c>
      <c r="W111">
        <f>HYPERLINK("https://klasma.github.io/Logging_0980/klagomålsmail/A 44933-2022 FSC-klagomål mail.docx", "A 44933-2022")</f>
        <v/>
      </c>
      <c r="X111">
        <f>HYPERLINK("https://klasma.github.io/Logging_0980/tillsyn/A 44933-2022 tillsynsbegäran.docx", "A 44933-2022")</f>
        <v/>
      </c>
      <c r="Y111">
        <f>HYPERLINK("https://klasma.github.io/Logging_0980/tillsynsmail/A 44933-2022 tillsynsbegäran mail.docx", "A 44933-2022")</f>
        <v/>
      </c>
    </row>
    <row r="112" ht="15" customHeight="1">
      <c r="A112" t="inlineStr">
        <is>
          <t>A 47526-2022</t>
        </is>
      </c>
      <c r="B112" s="1" t="n">
        <v>44853</v>
      </c>
      <c r="C112" s="1" t="n">
        <v>45822</v>
      </c>
      <c r="D112" t="inlineStr">
        <is>
          <t>GOTLANDS LÄN</t>
        </is>
      </c>
      <c r="E112" t="inlineStr">
        <is>
          <t>GOTLAND</t>
        </is>
      </c>
      <c r="G112" t="n">
        <v>9.800000000000001</v>
      </c>
      <c r="H112" t="n">
        <v>3</v>
      </c>
      <c r="I112" t="n">
        <v>0</v>
      </c>
      <c r="J112" t="n">
        <v>2</v>
      </c>
      <c r="K112" t="n">
        <v>0</v>
      </c>
      <c r="L112" t="n">
        <v>0</v>
      </c>
      <c r="M112" t="n">
        <v>0</v>
      </c>
      <c r="N112" t="n">
        <v>0</v>
      </c>
      <c r="O112" t="n">
        <v>2</v>
      </c>
      <c r="P112" t="n">
        <v>0</v>
      </c>
      <c r="Q112" t="n">
        <v>4</v>
      </c>
      <c r="R112" s="2" t="inlineStr">
        <is>
          <t>Dårgräsfjäril
Svinrot
Sankt pers nycklar
Blåsippa</t>
        </is>
      </c>
      <c r="S112">
        <f>HYPERLINK("https://klasma.github.io/Logging_0980/artfynd/A 47526-2022 artfynd.xlsx", "A 47526-2022")</f>
        <v/>
      </c>
      <c r="T112">
        <f>HYPERLINK("https://klasma.github.io/Logging_0980/kartor/A 47526-2022 karta.png", "A 47526-2022")</f>
        <v/>
      </c>
      <c r="V112">
        <f>HYPERLINK("https://klasma.github.io/Logging_0980/klagomål/A 47526-2022 FSC-klagomål.docx", "A 47526-2022")</f>
        <v/>
      </c>
      <c r="W112">
        <f>HYPERLINK("https://klasma.github.io/Logging_0980/klagomålsmail/A 47526-2022 FSC-klagomål mail.docx", "A 47526-2022")</f>
        <v/>
      </c>
      <c r="X112">
        <f>HYPERLINK("https://klasma.github.io/Logging_0980/tillsyn/A 47526-2022 tillsynsbegäran.docx", "A 47526-2022")</f>
        <v/>
      </c>
      <c r="Y112">
        <f>HYPERLINK("https://klasma.github.io/Logging_0980/tillsynsmail/A 47526-2022 tillsynsbegäran mail.docx", "A 47526-2022")</f>
        <v/>
      </c>
    </row>
    <row r="113" ht="15" customHeight="1">
      <c r="A113" t="inlineStr">
        <is>
          <t>A 186-2023</t>
        </is>
      </c>
      <c r="B113" s="1" t="n">
        <v>44928</v>
      </c>
      <c r="C113" s="1" t="n">
        <v>45822</v>
      </c>
      <c r="D113" t="inlineStr">
        <is>
          <t>GOTLANDS LÄN</t>
        </is>
      </c>
      <c r="E113" t="inlineStr">
        <is>
          <t>GOTLAND</t>
        </is>
      </c>
      <c r="G113" t="n">
        <v>2.2</v>
      </c>
      <c r="H113" t="n">
        <v>2</v>
      </c>
      <c r="I113" t="n">
        <v>2</v>
      </c>
      <c r="J113" t="n">
        <v>0</v>
      </c>
      <c r="K113" t="n">
        <v>2</v>
      </c>
      <c r="L113" t="n">
        <v>0</v>
      </c>
      <c r="M113" t="n">
        <v>0</v>
      </c>
      <c r="N113" t="n">
        <v>0</v>
      </c>
      <c r="O113" t="n">
        <v>2</v>
      </c>
      <c r="P113" t="n">
        <v>2</v>
      </c>
      <c r="Q113" t="n">
        <v>4</v>
      </c>
      <c r="R113" s="2" t="inlineStr">
        <is>
          <t>Svartgrön spindling
Vit taggsvamp
Nästrot
Skogsknipprot</t>
        </is>
      </c>
      <c r="S113">
        <f>HYPERLINK("https://klasma.github.io/Logging_0980/artfynd/A 186-2023 artfynd.xlsx", "A 186-2023")</f>
        <v/>
      </c>
      <c r="T113">
        <f>HYPERLINK("https://klasma.github.io/Logging_0980/kartor/A 186-2023 karta.png", "A 186-2023")</f>
        <v/>
      </c>
      <c r="V113">
        <f>HYPERLINK("https://klasma.github.io/Logging_0980/klagomål/A 186-2023 FSC-klagomål.docx", "A 186-2023")</f>
        <v/>
      </c>
      <c r="W113">
        <f>HYPERLINK("https://klasma.github.io/Logging_0980/klagomålsmail/A 186-2023 FSC-klagomål mail.docx", "A 186-2023")</f>
        <v/>
      </c>
      <c r="X113">
        <f>HYPERLINK("https://klasma.github.io/Logging_0980/tillsyn/A 186-2023 tillsynsbegäran.docx", "A 186-2023")</f>
        <v/>
      </c>
      <c r="Y113">
        <f>HYPERLINK("https://klasma.github.io/Logging_0980/tillsynsmail/A 186-2023 tillsynsbegäran mail.docx", "A 186-2023")</f>
        <v/>
      </c>
    </row>
    <row r="114" ht="15" customHeight="1">
      <c r="A114" t="inlineStr">
        <is>
          <t>A 584-2023</t>
        </is>
      </c>
      <c r="B114" s="1" t="n">
        <v>44930</v>
      </c>
      <c r="C114" s="1" t="n">
        <v>45822</v>
      </c>
      <c r="D114" t="inlineStr">
        <is>
          <t>GOTLANDS LÄN</t>
        </is>
      </c>
      <c r="E114" t="inlineStr">
        <is>
          <t>GOTLAND</t>
        </is>
      </c>
      <c r="G114" t="n">
        <v>27.2</v>
      </c>
      <c r="H114" t="n">
        <v>0</v>
      </c>
      <c r="I114" t="n">
        <v>2</v>
      </c>
      <c r="J114" t="n">
        <v>1</v>
      </c>
      <c r="K114" t="n">
        <v>1</v>
      </c>
      <c r="L114" t="n">
        <v>0</v>
      </c>
      <c r="M114" t="n">
        <v>0</v>
      </c>
      <c r="N114" t="n">
        <v>0</v>
      </c>
      <c r="O114" t="n">
        <v>2</v>
      </c>
      <c r="P114" t="n">
        <v>1</v>
      </c>
      <c r="Q114" t="n">
        <v>4</v>
      </c>
      <c r="R114" s="2" t="inlineStr">
        <is>
          <t>Granrotsspindling
Denisespindling
Rödgul trumpetsvamp
Vågbandad barkbock</t>
        </is>
      </c>
      <c r="S114">
        <f>HYPERLINK("https://klasma.github.io/Logging_0980/artfynd/A 584-2023 artfynd.xlsx", "A 584-2023")</f>
        <v/>
      </c>
      <c r="T114">
        <f>HYPERLINK("https://klasma.github.io/Logging_0980/kartor/A 584-2023 karta.png", "A 584-2023")</f>
        <v/>
      </c>
      <c r="V114">
        <f>HYPERLINK("https://klasma.github.io/Logging_0980/klagomål/A 584-2023 FSC-klagomål.docx", "A 584-2023")</f>
        <v/>
      </c>
      <c r="W114">
        <f>HYPERLINK("https://klasma.github.io/Logging_0980/klagomålsmail/A 584-2023 FSC-klagomål mail.docx", "A 584-2023")</f>
        <v/>
      </c>
      <c r="X114">
        <f>HYPERLINK("https://klasma.github.io/Logging_0980/tillsyn/A 584-2023 tillsynsbegäran.docx", "A 584-2023")</f>
        <v/>
      </c>
      <c r="Y114">
        <f>HYPERLINK("https://klasma.github.io/Logging_0980/tillsynsmail/A 584-2023 tillsynsbegäran mail.docx", "A 584-2023")</f>
        <v/>
      </c>
    </row>
    <row r="115" ht="15" customHeight="1">
      <c r="A115" t="inlineStr">
        <is>
          <t>A 1971-2023</t>
        </is>
      </c>
      <c r="B115" s="1" t="n">
        <v>44939</v>
      </c>
      <c r="C115" s="1" t="n">
        <v>45822</v>
      </c>
      <c r="D115" t="inlineStr">
        <is>
          <t>GOTLANDS LÄN</t>
        </is>
      </c>
      <c r="E115" t="inlineStr">
        <is>
          <t>GOTLAND</t>
        </is>
      </c>
      <c r="G115" t="n">
        <v>5.5</v>
      </c>
      <c r="H115" t="n">
        <v>0</v>
      </c>
      <c r="I115" t="n">
        <v>2</v>
      </c>
      <c r="J115" t="n">
        <v>1</v>
      </c>
      <c r="K115" t="n">
        <v>1</v>
      </c>
      <c r="L115" t="n">
        <v>0</v>
      </c>
      <c r="M115" t="n">
        <v>0</v>
      </c>
      <c r="N115" t="n">
        <v>0</v>
      </c>
      <c r="O115" t="n">
        <v>2</v>
      </c>
      <c r="P115" t="n">
        <v>1</v>
      </c>
      <c r="Q115" t="n">
        <v>4</v>
      </c>
      <c r="R115" s="2" t="inlineStr">
        <is>
          <t>Gulsträngad fagerspindling
Svinrot
Fjällig taggsvamp s.str.
Olivspindling</t>
        </is>
      </c>
      <c r="S115">
        <f>HYPERLINK("https://klasma.github.io/Logging_0980/artfynd/A 1971-2023 artfynd.xlsx", "A 1971-2023")</f>
        <v/>
      </c>
      <c r="T115">
        <f>HYPERLINK("https://klasma.github.io/Logging_0980/kartor/A 1971-2023 karta.png", "A 1971-2023")</f>
        <v/>
      </c>
      <c r="V115">
        <f>HYPERLINK("https://klasma.github.io/Logging_0980/klagomål/A 1971-2023 FSC-klagomål.docx", "A 1971-2023")</f>
        <v/>
      </c>
      <c r="W115">
        <f>HYPERLINK("https://klasma.github.io/Logging_0980/klagomålsmail/A 1971-2023 FSC-klagomål mail.docx", "A 1971-2023")</f>
        <v/>
      </c>
      <c r="X115">
        <f>HYPERLINK("https://klasma.github.io/Logging_0980/tillsyn/A 1971-2023 tillsynsbegäran.docx", "A 1971-2023")</f>
        <v/>
      </c>
      <c r="Y115">
        <f>HYPERLINK("https://klasma.github.io/Logging_0980/tillsynsmail/A 1971-2023 tillsynsbegäran mail.docx", "A 1971-2023")</f>
        <v/>
      </c>
    </row>
    <row r="116" ht="15" customHeight="1">
      <c r="A116" t="inlineStr">
        <is>
          <t>A 6159-2023</t>
        </is>
      </c>
      <c r="B116" s="1" t="n">
        <v>44964</v>
      </c>
      <c r="C116" s="1" t="n">
        <v>45822</v>
      </c>
      <c r="D116" t="inlineStr">
        <is>
          <t>GOTLANDS LÄN</t>
        </is>
      </c>
      <c r="E116" t="inlineStr">
        <is>
          <t>GOTLAND</t>
        </is>
      </c>
      <c r="G116" t="n">
        <v>2</v>
      </c>
      <c r="H116" t="n">
        <v>0</v>
      </c>
      <c r="I116" t="n">
        <v>2</v>
      </c>
      <c r="J116" t="n">
        <v>2</v>
      </c>
      <c r="K116" t="n">
        <v>0</v>
      </c>
      <c r="L116" t="n">
        <v>0</v>
      </c>
      <c r="M116" t="n">
        <v>0</v>
      </c>
      <c r="N116" t="n">
        <v>0</v>
      </c>
      <c r="O116" t="n">
        <v>2</v>
      </c>
      <c r="P116" t="n">
        <v>0</v>
      </c>
      <c r="Q116" t="n">
        <v>4</v>
      </c>
      <c r="R116" s="2" t="inlineStr">
        <is>
          <t>Dofttaggsvamp
Odörspindling
Anisspindling
Olivspindling</t>
        </is>
      </c>
      <c r="S116">
        <f>HYPERLINK("https://klasma.github.io/Logging_0980/artfynd/A 6159-2023 artfynd.xlsx", "A 6159-2023")</f>
        <v/>
      </c>
      <c r="T116">
        <f>HYPERLINK("https://klasma.github.io/Logging_0980/kartor/A 6159-2023 karta.png", "A 6159-2023")</f>
        <v/>
      </c>
      <c r="V116">
        <f>HYPERLINK("https://klasma.github.io/Logging_0980/klagomål/A 6159-2023 FSC-klagomål.docx", "A 6159-2023")</f>
        <v/>
      </c>
      <c r="W116">
        <f>HYPERLINK("https://klasma.github.io/Logging_0980/klagomålsmail/A 6159-2023 FSC-klagomål mail.docx", "A 6159-2023")</f>
        <v/>
      </c>
      <c r="X116">
        <f>HYPERLINK("https://klasma.github.io/Logging_0980/tillsyn/A 6159-2023 tillsynsbegäran.docx", "A 6159-2023")</f>
        <v/>
      </c>
      <c r="Y116">
        <f>HYPERLINK("https://klasma.github.io/Logging_0980/tillsynsmail/A 6159-2023 tillsynsbegäran mail.docx", "A 6159-2023")</f>
        <v/>
      </c>
    </row>
    <row r="117" ht="15" customHeight="1">
      <c r="A117" t="inlineStr">
        <is>
          <t>A 8265-2023</t>
        </is>
      </c>
      <c r="B117" s="1" t="n">
        <v>44974</v>
      </c>
      <c r="C117" s="1" t="n">
        <v>45822</v>
      </c>
      <c r="D117" t="inlineStr">
        <is>
          <t>GOTLANDS LÄN</t>
        </is>
      </c>
      <c r="E117" t="inlineStr">
        <is>
          <t>GOTLAND</t>
        </is>
      </c>
      <c r="G117" t="n">
        <v>3.3</v>
      </c>
      <c r="H117" t="n">
        <v>4</v>
      </c>
      <c r="I117" t="n">
        <v>3</v>
      </c>
      <c r="J117" t="n">
        <v>0</v>
      </c>
      <c r="K117" t="n">
        <v>0</v>
      </c>
      <c r="L117" t="n">
        <v>0</v>
      </c>
      <c r="M117" t="n">
        <v>0</v>
      </c>
      <c r="N117" t="n">
        <v>0</v>
      </c>
      <c r="O117" t="n">
        <v>0</v>
      </c>
      <c r="P117" t="n">
        <v>0</v>
      </c>
      <c r="Q117" t="n">
        <v>4</v>
      </c>
      <c r="R117" s="2" t="inlineStr">
        <is>
          <t>Flugblomster
Purpurknipprot
Tvåblad
Salepsrot</t>
        </is>
      </c>
      <c r="S117">
        <f>HYPERLINK("https://klasma.github.io/Logging_0980/artfynd/A 8265-2023 artfynd.xlsx", "A 8265-2023")</f>
        <v/>
      </c>
      <c r="T117">
        <f>HYPERLINK("https://klasma.github.io/Logging_0980/kartor/A 8265-2023 karta.png", "A 8265-2023")</f>
        <v/>
      </c>
      <c r="V117">
        <f>HYPERLINK("https://klasma.github.io/Logging_0980/klagomål/A 8265-2023 FSC-klagomål.docx", "A 8265-2023")</f>
        <v/>
      </c>
      <c r="W117">
        <f>HYPERLINK("https://klasma.github.io/Logging_0980/klagomålsmail/A 8265-2023 FSC-klagomål mail.docx", "A 8265-2023")</f>
        <v/>
      </c>
      <c r="X117">
        <f>HYPERLINK("https://klasma.github.io/Logging_0980/tillsyn/A 8265-2023 tillsynsbegäran.docx", "A 8265-2023")</f>
        <v/>
      </c>
      <c r="Y117">
        <f>HYPERLINK("https://klasma.github.io/Logging_0980/tillsynsmail/A 8265-2023 tillsynsbegäran mail.docx", "A 8265-2023")</f>
        <v/>
      </c>
    </row>
    <row r="118" ht="15" customHeight="1">
      <c r="A118" t="inlineStr">
        <is>
          <t>A 43197-2023</t>
        </is>
      </c>
      <c r="B118" s="1" t="n">
        <v>45183</v>
      </c>
      <c r="C118" s="1" t="n">
        <v>45822</v>
      </c>
      <c r="D118" t="inlineStr">
        <is>
          <t>GOTLANDS LÄN</t>
        </is>
      </c>
      <c r="E118" t="inlineStr">
        <is>
          <t>GOTLAND</t>
        </is>
      </c>
      <c r="G118" t="n">
        <v>3.7</v>
      </c>
      <c r="H118" t="n">
        <v>2</v>
      </c>
      <c r="I118" t="n">
        <v>1</v>
      </c>
      <c r="J118" t="n">
        <v>1</v>
      </c>
      <c r="K118" t="n">
        <v>1</v>
      </c>
      <c r="L118" t="n">
        <v>0</v>
      </c>
      <c r="M118" t="n">
        <v>0</v>
      </c>
      <c r="N118" t="n">
        <v>0</v>
      </c>
      <c r="O118" t="n">
        <v>2</v>
      </c>
      <c r="P118" t="n">
        <v>1</v>
      </c>
      <c r="Q118" t="n">
        <v>4</v>
      </c>
      <c r="R118" s="2" t="inlineStr">
        <is>
          <t>Allékantlav
Svinrot
Skogsknipprot
Revlummer</t>
        </is>
      </c>
      <c r="S118">
        <f>HYPERLINK("https://klasma.github.io/Logging_0980/artfynd/A 43197-2023 artfynd.xlsx", "A 43197-2023")</f>
        <v/>
      </c>
      <c r="T118">
        <f>HYPERLINK("https://klasma.github.io/Logging_0980/kartor/A 43197-2023 karta.png", "A 43197-2023")</f>
        <v/>
      </c>
      <c r="V118">
        <f>HYPERLINK("https://klasma.github.io/Logging_0980/klagomål/A 43197-2023 FSC-klagomål.docx", "A 43197-2023")</f>
        <v/>
      </c>
      <c r="W118">
        <f>HYPERLINK("https://klasma.github.io/Logging_0980/klagomålsmail/A 43197-2023 FSC-klagomål mail.docx", "A 43197-2023")</f>
        <v/>
      </c>
      <c r="X118">
        <f>HYPERLINK("https://klasma.github.io/Logging_0980/tillsyn/A 43197-2023 tillsynsbegäran.docx", "A 43197-2023")</f>
        <v/>
      </c>
      <c r="Y118">
        <f>HYPERLINK("https://klasma.github.io/Logging_0980/tillsynsmail/A 43197-2023 tillsynsbegäran mail.docx", "A 43197-2023")</f>
        <v/>
      </c>
    </row>
    <row r="119" ht="15" customHeight="1">
      <c r="A119" t="inlineStr">
        <is>
          <t>A 46969-2023</t>
        </is>
      </c>
      <c r="B119" s="1" t="n">
        <v>45195</v>
      </c>
      <c r="C119" s="1" t="n">
        <v>45822</v>
      </c>
      <c r="D119" t="inlineStr">
        <is>
          <t>GOTLANDS LÄN</t>
        </is>
      </c>
      <c r="E119" t="inlineStr">
        <is>
          <t>GOTLAND</t>
        </is>
      </c>
      <c r="G119" t="n">
        <v>7.3</v>
      </c>
      <c r="H119" t="n">
        <v>1</v>
      </c>
      <c r="I119" t="n">
        <v>1</v>
      </c>
      <c r="J119" t="n">
        <v>2</v>
      </c>
      <c r="K119" t="n">
        <v>0</v>
      </c>
      <c r="L119" t="n">
        <v>0</v>
      </c>
      <c r="M119" t="n">
        <v>0</v>
      </c>
      <c r="N119" t="n">
        <v>0</v>
      </c>
      <c r="O119" t="n">
        <v>2</v>
      </c>
      <c r="P119" t="n">
        <v>0</v>
      </c>
      <c r="Q119" t="n">
        <v>4</v>
      </c>
      <c r="R119" s="2" t="inlineStr">
        <is>
          <t>Backtimjan
Solvända
Svavelriska
Nattviol</t>
        </is>
      </c>
      <c r="S119">
        <f>HYPERLINK("https://klasma.github.io/Logging_0980/artfynd/A 46969-2023 artfynd.xlsx", "A 46969-2023")</f>
        <v/>
      </c>
      <c r="T119">
        <f>HYPERLINK("https://klasma.github.io/Logging_0980/kartor/A 46969-2023 karta.png", "A 46969-2023")</f>
        <v/>
      </c>
      <c r="V119">
        <f>HYPERLINK("https://klasma.github.io/Logging_0980/klagomål/A 46969-2023 FSC-klagomål.docx", "A 46969-2023")</f>
        <v/>
      </c>
      <c r="W119">
        <f>HYPERLINK("https://klasma.github.io/Logging_0980/klagomålsmail/A 46969-2023 FSC-klagomål mail.docx", "A 46969-2023")</f>
        <v/>
      </c>
      <c r="X119">
        <f>HYPERLINK("https://klasma.github.io/Logging_0980/tillsyn/A 46969-2023 tillsynsbegäran.docx", "A 46969-2023")</f>
        <v/>
      </c>
      <c r="Y119">
        <f>HYPERLINK("https://klasma.github.io/Logging_0980/tillsynsmail/A 46969-2023 tillsynsbegäran mail.docx", "A 46969-2023")</f>
        <v/>
      </c>
    </row>
    <row r="120" ht="15" customHeight="1">
      <c r="A120" t="inlineStr">
        <is>
          <t>A 45682-2023</t>
        </is>
      </c>
      <c r="B120" s="1" t="n">
        <v>45195</v>
      </c>
      <c r="C120" s="1" t="n">
        <v>45822</v>
      </c>
      <c r="D120" t="inlineStr">
        <is>
          <t>GOTLANDS LÄN</t>
        </is>
      </c>
      <c r="E120" t="inlineStr">
        <is>
          <t>GOTLAND</t>
        </is>
      </c>
      <c r="G120" t="n">
        <v>13.9</v>
      </c>
      <c r="H120" t="n">
        <v>2</v>
      </c>
      <c r="I120" t="n">
        <v>2</v>
      </c>
      <c r="J120" t="n">
        <v>1</v>
      </c>
      <c r="K120" t="n">
        <v>0</v>
      </c>
      <c r="L120" t="n">
        <v>0</v>
      </c>
      <c r="M120" t="n">
        <v>0</v>
      </c>
      <c r="N120" t="n">
        <v>0</v>
      </c>
      <c r="O120" t="n">
        <v>1</v>
      </c>
      <c r="P120" t="n">
        <v>0</v>
      </c>
      <c r="Q120" t="n">
        <v>4</v>
      </c>
      <c r="R120" s="2" t="inlineStr">
        <is>
          <t>Loppstarr
Flugblomster
Kalktallört
Dactylorhiza incarnata subsp. incarnata</t>
        </is>
      </c>
      <c r="S120">
        <f>HYPERLINK("https://klasma.github.io/Logging_0980/artfynd/A 45682-2023 artfynd.xlsx", "A 45682-2023")</f>
        <v/>
      </c>
      <c r="T120">
        <f>HYPERLINK("https://klasma.github.io/Logging_0980/kartor/A 45682-2023 karta.png", "A 45682-2023")</f>
        <v/>
      </c>
      <c r="V120">
        <f>HYPERLINK("https://klasma.github.io/Logging_0980/klagomål/A 45682-2023 FSC-klagomål.docx", "A 45682-2023")</f>
        <v/>
      </c>
      <c r="W120">
        <f>HYPERLINK("https://klasma.github.io/Logging_0980/klagomålsmail/A 45682-2023 FSC-klagomål mail.docx", "A 45682-2023")</f>
        <v/>
      </c>
      <c r="X120">
        <f>HYPERLINK("https://klasma.github.io/Logging_0980/tillsyn/A 45682-2023 tillsynsbegäran.docx", "A 45682-2023")</f>
        <v/>
      </c>
      <c r="Y120">
        <f>HYPERLINK("https://klasma.github.io/Logging_0980/tillsynsmail/A 45682-2023 tillsynsbegäran mail.docx", "A 45682-2023")</f>
        <v/>
      </c>
    </row>
    <row r="121" ht="15" customHeight="1">
      <c r="A121" t="inlineStr">
        <is>
          <t>A 54523-2023</t>
        </is>
      </c>
      <c r="B121" s="1" t="n">
        <v>45233</v>
      </c>
      <c r="C121" s="1" t="n">
        <v>45822</v>
      </c>
      <c r="D121" t="inlineStr">
        <is>
          <t>GOTLANDS LÄN</t>
        </is>
      </c>
      <c r="E121" t="inlineStr">
        <is>
          <t>GOTLAND</t>
        </is>
      </c>
      <c r="G121" t="n">
        <v>3.7</v>
      </c>
      <c r="H121" t="n">
        <v>2</v>
      </c>
      <c r="I121" t="n">
        <v>0</v>
      </c>
      <c r="J121" t="n">
        <v>1</v>
      </c>
      <c r="K121" t="n">
        <v>1</v>
      </c>
      <c r="L121" t="n">
        <v>0</v>
      </c>
      <c r="M121" t="n">
        <v>0</v>
      </c>
      <c r="N121" t="n">
        <v>0</v>
      </c>
      <c r="O121" t="n">
        <v>2</v>
      </c>
      <c r="P121" t="n">
        <v>1</v>
      </c>
      <c r="Q121" t="n">
        <v>4</v>
      </c>
      <c r="R121" s="2" t="inlineStr">
        <is>
          <t>Sommarklynne
Åkerkulla
Brudsporre
Kärrknipprot</t>
        </is>
      </c>
      <c r="S121">
        <f>HYPERLINK("https://klasma.github.io/Logging_0980/artfynd/A 54523-2023 artfynd.xlsx", "A 54523-2023")</f>
        <v/>
      </c>
      <c r="T121">
        <f>HYPERLINK("https://klasma.github.io/Logging_0980/kartor/A 54523-2023 karta.png", "A 54523-2023")</f>
        <v/>
      </c>
      <c r="V121">
        <f>HYPERLINK("https://klasma.github.io/Logging_0980/klagomål/A 54523-2023 FSC-klagomål.docx", "A 54523-2023")</f>
        <v/>
      </c>
      <c r="W121">
        <f>HYPERLINK("https://klasma.github.io/Logging_0980/klagomålsmail/A 54523-2023 FSC-klagomål mail.docx", "A 54523-2023")</f>
        <v/>
      </c>
      <c r="X121">
        <f>HYPERLINK("https://klasma.github.io/Logging_0980/tillsyn/A 54523-2023 tillsynsbegäran.docx", "A 54523-2023")</f>
        <v/>
      </c>
      <c r="Y121">
        <f>HYPERLINK("https://klasma.github.io/Logging_0980/tillsynsmail/A 54523-2023 tillsynsbegäran mail.docx", "A 54523-2023")</f>
        <v/>
      </c>
    </row>
    <row r="122" ht="15" customHeight="1">
      <c r="A122" t="inlineStr">
        <is>
          <t>A 5904-2024</t>
        </is>
      </c>
      <c r="B122" s="1" t="n">
        <v>45335</v>
      </c>
      <c r="C122" s="1" t="n">
        <v>45822</v>
      </c>
      <c r="D122" t="inlineStr">
        <is>
          <t>GOTLANDS LÄN</t>
        </is>
      </c>
      <c r="E122" t="inlineStr">
        <is>
          <t>GOTLAND</t>
        </is>
      </c>
      <c r="G122" t="n">
        <v>6.4</v>
      </c>
      <c r="H122" t="n">
        <v>1</v>
      </c>
      <c r="I122" t="n">
        <v>2</v>
      </c>
      <c r="J122" t="n">
        <v>1</v>
      </c>
      <c r="K122" t="n">
        <v>0</v>
      </c>
      <c r="L122" t="n">
        <v>0</v>
      </c>
      <c r="M122" t="n">
        <v>0</v>
      </c>
      <c r="N122" t="n">
        <v>0</v>
      </c>
      <c r="O122" t="n">
        <v>1</v>
      </c>
      <c r="P122" t="n">
        <v>0</v>
      </c>
      <c r="Q122" t="n">
        <v>4</v>
      </c>
      <c r="R122" s="2" t="inlineStr">
        <is>
          <t>Backstarr
Blåmossa
Kattfotslav
Sankt pers nycklar</t>
        </is>
      </c>
      <c r="S122">
        <f>HYPERLINK("https://klasma.github.io/Logging_0980/artfynd/A 5904-2024 artfynd.xlsx", "A 5904-2024")</f>
        <v/>
      </c>
      <c r="T122">
        <f>HYPERLINK("https://klasma.github.io/Logging_0980/kartor/A 5904-2024 karta.png", "A 5904-2024")</f>
        <v/>
      </c>
      <c r="V122">
        <f>HYPERLINK("https://klasma.github.io/Logging_0980/klagomål/A 5904-2024 FSC-klagomål.docx", "A 5904-2024")</f>
        <v/>
      </c>
      <c r="W122">
        <f>HYPERLINK("https://klasma.github.io/Logging_0980/klagomålsmail/A 5904-2024 FSC-klagomål mail.docx", "A 5904-2024")</f>
        <v/>
      </c>
      <c r="X122">
        <f>HYPERLINK("https://klasma.github.io/Logging_0980/tillsyn/A 5904-2024 tillsynsbegäran.docx", "A 5904-2024")</f>
        <v/>
      </c>
      <c r="Y122">
        <f>HYPERLINK("https://klasma.github.io/Logging_0980/tillsynsmail/A 5904-2024 tillsynsbegäran mail.docx", "A 5904-2024")</f>
        <v/>
      </c>
    </row>
    <row r="123" ht="15" customHeight="1">
      <c r="A123" t="inlineStr">
        <is>
          <t>A 14354-2024</t>
        </is>
      </c>
      <c r="B123" s="1" t="n">
        <v>45393</v>
      </c>
      <c r="C123" s="1" t="n">
        <v>45822</v>
      </c>
      <c r="D123" t="inlineStr">
        <is>
          <t>GOTLANDS LÄN</t>
        </is>
      </c>
      <c r="E123" t="inlineStr">
        <is>
          <t>GOTLAND</t>
        </is>
      </c>
      <c r="G123" t="n">
        <v>2.4</v>
      </c>
      <c r="H123" t="n">
        <v>1</v>
      </c>
      <c r="I123" t="n">
        <v>0</v>
      </c>
      <c r="J123" t="n">
        <v>4</v>
      </c>
      <c r="K123" t="n">
        <v>0</v>
      </c>
      <c r="L123" t="n">
        <v>0</v>
      </c>
      <c r="M123" t="n">
        <v>0</v>
      </c>
      <c r="N123" t="n">
        <v>0</v>
      </c>
      <c r="O123" t="n">
        <v>4</v>
      </c>
      <c r="P123" t="n">
        <v>0</v>
      </c>
      <c r="Q123" t="n">
        <v>4</v>
      </c>
      <c r="R123" s="2" t="inlineStr">
        <is>
          <t>Dårgräsfjäril
Smedbock
Svinrot
Ängsskära</t>
        </is>
      </c>
      <c r="S123">
        <f>HYPERLINK("https://klasma.github.io/Logging_0980/artfynd/A 14354-2024 artfynd.xlsx", "A 14354-2024")</f>
        <v/>
      </c>
      <c r="T123">
        <f>HYPERLINK("https://klasma.github.io/Logging_0980/kartor/A 14354-2024 karta.png", "A 14354-2024")</f>
        <v/>
      </c>
      <c r="V123">
        <f>HYPERLINK("https://klasma.github.io/Logging_0980/klagomål/A 14354-2024 FSC-klagomål.docx", "A 14354-2024")</f>
        <v/>
      </c>
      <c r="W123">
        <f>HYPERLINK("https://klasma.github.io/Logging_0980/klagomålsmail/A 14354-2024 FSC-klagomål mail.docx", "A 14354-2024")</f>
        <v/>
      </c>
      <c r="X123">
        <f>HYPERLINK("https://klasma.github.io/Logging_0980/tillsyn/A 14354-2024 tillsynsbegäran.docx", "A 14354-2024")</f>
        <v/>
      </c>
      <c r="Y123">
        <f>HYPERLINK("https://klasma.github.io/Logging_0980/tillsynsmail/A 14354-2024 tillsynsbegäran mail.docx", "A 14354-2024")</f>
        <v/>
      </c>
    </row>
    <row r="124" ht="15" customHeight="1">
      <c r="A124" t="inlineStr">
        <is>
          <t>A 25768-2024</t>
        </is>
      </c>
      <c r="B124" s="1" t="n">
        <v>45466</v>
      </c>
      <c r="C124" s="1" t="n">
        <v>45822</v>
      </c>
      <c r="D124" t="inlineStr">
        <is>
          <t>GOTLANDS LÄN</t>
        </is>
      </c>
      <c r="E124" t="inlineStr">
        <is>
          <t>GOTLAND</t>
        </is>
      </c>
      <c r="G124" t="n">
        <v>4.6</v>
      </c>
      <c r="H124" t="n">
        <v>4</v>
      </c>
      <c r="I124" t="n">
        <v>2</v>
      </c>
      <c r="J124" t="n">
        <v>0</v>
      </c>
      <c r="K124" t="n">
        <v>0</v>
      </c>
      <c r="L124" t="n">
        <v>0</v>
      </c>
      <c r="M124" t="n">
        <v>0</v>
      </c>
      <c r="N124" t="n">
        <v>0</v>
      </c>
      <c r="O124" t="n">
        <v>0</v>
      </c>
      <c r="P124" t="n">
        <v>0</v>
      </c>
      <c r="Q124" t="n">
        <v>4</v>
      </c>
      <c r="R124" s="2" t="inlineStr">
        <is>
          <t>Nästrot
Tvåblad
Fläcknycklar
Nattviol</t>
        </is>
      </c>
      <c r="S124">
        <f>HYPERLINK("https://klasma.github.io/Logging_0980/artfynd/A 25768-2024 artfynd.xlsx", "A 25768-2024")</f>
        <v/>
      </c>
      <c r="T124">
        <f>HYPERLINK("https://klasma.github.io/Logging_0980/kartor/A 25768-2024 karta.png", "A 25768-2024")</f>
        <v/>
      </c>
      <c r="V124">
        <f>HYPERLINK("https://klasma.github.io/Logging_0980/klagomål/A 25768-2024 FSC-klagomål.docx", "A 25768-2024")</f>
        <v/>
      </c>
      <c r="W124">
        <f>HYPERLINK("https://klasma.github.io/Logging_0980/klagomålsmail/A 25768-2024 FSC-klagomål mail.docx", "A 25768-2024")</f>
        <v/>
      </c>
      <c r="X124">
        <f>HYPERLINK("https://klasma.github.io/Logging_0980/tillsyn/A 25768-2024 tillsynsbegäran.docx", "A 25768-2024")</f>
        <v/>
      </c>
      <c r="Y124">
        <f>HYPERLINK("https://klasma.github.io/Logging_0980/tillsynsmail/A 25768-2024 tillsynsbegäran mail.docx", "A 25768-2024")</f>
        <v/>
      </c>
    </row>
    <row r="125" ht="15" customHeight="1">
      <c r="A125" t="inlineStr">
        <is>
          <t>A 34171-2024</t>
        </is>
      </c>
      <c r="B125" s="1" t="n">
        <v>45524</v>
      </c>
      <c r="C125" s="1" t="n">
        <v>45822</v>
      </c>
      <c r="D125" t="inlineStr">
        <is>
          <t>GOTLANDS LÄN</t>
        </is>
      </c>
      <c r="E125" t="inlineStr">
        <is>
          <t>GOTLAND</t>
        </is>
      </c>
      <c r="G125" t="n">
        <v>6.6</v>
      </c>
      <c r="H125" t="n">
        <v>0</v>
      </c>
      <c r="I125" t="n">
        <v>1</v>
      </c>
      <c r="J125" t="n">
        <v>1</v>
      </c>
      <c r="K125" t="n">
        <v>1</v>
      </c>
      <c r="L125" t="n">
        <v>1</v>
      </c>
      <c r="M125" t="n">
        <v>0</v>
      </c>
      <c r="N125" t="n">
        <v>0</v>
      </c>
      <c r="O125" t="n">
        <v>3</v>
      </c>
      <c r="P125" t="n">
        <v>2</v>
      </c>
      <c r="Q125" t="n">
        <v>4</v>
      </c>
      <c r="R125" s="2" t="inlineStr">
        <is>
          <t>Ädellav
Mörk kraterlav
Orangepudrad klotterlav
Strävlosta</t>
        </is>
      </c>
      <c r="S125">
        <f>HYPERLINK("https://klasma.github.io/Logging_0980/artfynd/A 34171-2024 artfynd.xlsx", "A 34171-2024")</f>
        <v/>
      </c>
      <c r="T125">
        <f>HYPERLINK("https://klasma.github.io/Logging_0980/kartor/A 34171-2024 karta.png", "A 34171-2024")</f>
        <v/>
      </c>
      <c r="V125">
        <f>HYPERLINK("https://klasma.github.io/Logging_0980/klagomål/A 34171-2024 FSC-klagomål.docx", "A 34171-2024")</f>
        <v/>
      </c>
      <c r="W125">
        <f>HYPERLINK("https://klasma.github.io/Logging_0980/klagomålsmail/A 34171-2024 FSC-klagomål mail.docx", "A 34171-2024")</f>
        <v/>
      </c>
      <c r="X125">
        <f>HYPERLINK("https://klasma.github.io/Logging_0980/tillsyn/A 34171-2024 tillsynsbegäran.docx", "A 34171-2024")</f>
        <v/>
      </c>
      <c r="Y125">
        <f>HYPERLINK("https://klasma.github.io/Logging_0980/tillsynsmail/A 34171-2024 tillsynsbegäran mail.docx", "A 34171-2024")</f>
        <v/>
      </c>
    </row>
    <row r="126" ht="15" customHeight="1">
      <c r="A126" t="inlineStr">
        <is>
          <t>A 48025-2024</t>
        </is>
      </c>
      <c r="B126" s="1" t="n">
        <v>45589</v>
      </c>
      <c r="C126" s="1" t="n">
        <v>45822</v>
      </c>
      <c r="D126" t="inlineStr">
        <is>
          <t>GOTLANDS LÄN</t>
        </is>
      </c>
      <c r="E126" t="inlineStr">
        <is>
          <t>GOTLAND</t>
        </is>
      </c>
      <c r="G126" t="n">
        <v>7.8</v>
      </c>
      <c r="H126" t="n">
        <v>0</v>
      </c>
      <c r="I126" t="n">
        <v>1</v>
      </c>
      <c r="J126" t="n">
        <v>0</v>
      </c>
      <c r="K126" t="n">
        <v>2</v>
      </c>
      <c r="L126" t="n">
        <v>1</v>
      </c>
      <c r="M126" t="n">
        <v>0</v>
      </c>
      <c r="N126" t="n">
        <v>0</v>
      </c>
      <c r="O126" t="n">
        <v>3</v>
      </c>
      <c r="P126" t="n">
        <v>3</v>
      </c>
      <c r="Q126" t="n">
        <v>4</v>
      </c>
      <c r="R126" s="2" t="inlineStr">
        <is>
          <t>Ädellav
Mörk kraterlav
Violettfläckig spindling
Kattfotslav</t>
        </is>
      </c>
      <c r="S126">
        <f>HYPERLINK("https://klasma.github.io/Logging_0980/artfynd/A 48025-2024 artfynd.xlsx", "A 48025-2024")</f>
        <v/>
      </c>
      <c r="T126">
        <f>HYPERLINK("https://klasma.github.io/Logging_0980/kartor/A 48025-2024 karta.png", "A 48025-2024")</f>
        <v/>
      </c>
      <c r="V126">
        <f>HYPERLINK("https://klasma.github.io/Logging_0980/klagomål/A 48025-2024 FSC-klagomål.docx", "A 48025-2024")</f>
        <v/>
      </c>
      <c r="W126">
        <f>HYPERLINK("https://klasma.github.io/Logging_0980/klagomålsmail/A 48025-2024 FSC-klagomål mail.docx", "A 48025-2024")</f>
        <v/>
      </c>
      <c r="X126">
        <f>HYPERLINK("https://klasma.github.io/Logging_0980/tillsyn/A 48025-2024 tillsynsbegäran.docx", "A 48025-2024")</f>
        <v/>
      </c>
      <c r="Y126">
        <f>HYPERLINK("https://klasma.github.io/Logging_0980/tillsynsmail/A 48025-2024 tillsynsbegäran mail.docx", "A 48025-2024")</f>
        <v/>
      </c>
    </row>
    <row r="127" ht="15" customHeight="1">
      <c r="A127" t="inlineStr">
        <is>
          <t>A 56717-2024</t>
        </is>
      </c>
      <c r="B127" s="1" t="n">
        <v>45628</v>
      </c>
      <c r="C127" s="1" t="n">
        <v>45822</v>
      </c>
      <c r="D127" t="inlineStr">
        <is>
          <t>GOTLANDS LÄN</t>
        </is>
      </c>
      <c r="E127" t="inlineStr">
        <is>
          <t>GOTLAND</t>
        </is>
      </c>
      <c r="G127" t="n">
        <v>9.699999999999999</v>
      </c>
      <c r="H127" t="n">
        <v>0</v>
      </c>
      <c r="I127" t="n">
        <v>2</v>
      </c>
      <c r="J127" t="n">
        <v>2</v>
      </c>
      <c r="K127" t="n">
        <v>0</v>
      </c>
      <c r="L127" t="n">
        <v>0</v>
      </c>
      <c r="M127" t="n">
        <v>0</v>
      </c>
      <c r="N127" t="n">
        <v>0</v>
      </c>
      <c r="O127" t="n">
        <v>2</v>
      </c>
      <c r="P127" t="n">
        <v>0</v>
      </c>
      <c r="Q127" t="n">
        <v>4</v>
      </c>
      <c r="R127" s="2" t="inlineStr">
        <is>
          <t>Ekvaxskivling
Odörspindling
Fjällig taggsvamp s.str.
Kattfotslav</t>
        </is>
      </c>
      <c r="S127">
        <f>HYPERLINK("https://klasma.github.io/Logging_0980/artfynd/A 56717-2024 artfynd.xlsx", "A 56717-2024")</f>
        <v/>
      </c>
      <c r="T127">
        <f>HYPERLINK("https://klasma.github.io/Logging_0980/kartor/A 56717-2024 karta.png", "A 56717-2024")</f>
        <v/>
      </c>
      <c r="V127">
        <f>HYPERLINK("https://klasma.github.io/Logging_0980/klagomål/A 56717-2024 FSC-klagomål.docx", "A 56717-2024")</f>
        <v/>
      </c>
      <c r="W127">
        <f>HYPERLINK("https://klasma.github.io/Logging_0980/klagomålsmail/A 56717-2024 FSC-klagomål mail.docx", "A 56717-2024")</f>
        <v/>
      </c>
      <c r="X127">
        <f>HYPERLINK("https://klasma.github.io/Logging_0980/tillsyn/A 56717-2024 tillsynsbegäran.docx", "A 56717-2024")</f>
        <v/>
      </c>
      <c r="Y127">
        <f>HYPERLINK("https://klasma.github.io/Logging_0980/tillsynsmail/A 56717-2024 tillsynsbegäran mail.docx", "A 56717-2024")</f>
        <v/>
      </c>
    </row>
    <row r="128" ht="15" customHeight="1">
      <c r="A128" t="inlineStr">
        <is>
          <t>A 58191-2024</t>
        </is>
      </c>
      <c r="B128" s="1" t="n">
        <v>45632</v>
      </c>
      <c r="C128" s="1" t="n">
        <v>45822</v>
      </c>
      <c r="D128" t="inlineStr">
        <is>
          <t>GOTLANDS LÄN</t>
        </is>
      </c>
      <c r="E128" t="inlineStr">
        <is>
          <t>GOTLAND</t>
        </is>
      </c>
      <c r="G128" t="n">
        <v>14.2</v>
      </c>
      <c r="H128" t="n">
        <v>3</v>
      </c>
      <c r="I128" t="n">
        <v>0</v>
      </c>
      <c r="J128" t="n">
        <v>4</v>
      </c>
      <c r="K128" t="n">
        <v>0</v>
      </c>
      <c r="L128" t="n">
        <v>0</v>
      </c>
      <c r="M128" t="n">
        <v>0</v>
      </c>
      <c r="N128" t="n">
        <v>0</v>
      </c>
      <c r="O128" t="n">
        <v>4</v>
      </c>
      <c r="P128" t="n">
        <v>0</v>
      </c>
      <c r="Q128" t="n">
        <v>4</v>
      </c>
      <c r="R128" s="2" t="inlineStr">
        <is>
          <t>Björktrast
Crepis tectorum subsp. tectorum
Duvhök
Spillkråka</t>
        </is>
      </c>
      <c r="S128">
        <f>HYPERLINK("https://klasma.github.io/Logging_0980/artfynd/A 58191-2024 artfynd.xlsx", "A 58191-2024")</f>
        <v/>
      </c>
      <c r="T128">
        <f>HYPERLINK("https://klasma.github.io/Logging_0980/kartor/A 58191-2024 karta.png", "A 58191-2024")</f>
        <v/>
      </c>
      <c r="V128">
        <f>HYPERLINK("https://klasma.github.io/Logging_0980/klagomål/A 58191-2024 FSC-klagomål.docx", "A 58191-2024")</f>
        <v/>
      </c>
      <c r="W128">
        <f>HYPERLINK("https://klasma.github.io/Logging_0980/klagomålsmail/A 58191-2024 FSC-klagomål mail.docx", "A 58191-2024")</f>
        <v/>
      </c>
      <c r="X128">
        <f>HYPERLINK("https://klasma.github.io/Logging_0980/tillsyn/A 58191-2024 tillsynsbegäran.docx", "A 58191-2024")</f>
        <v/>
      </c>
      <c r="Y128">
        <f>HYPERLINK("https://klasma.github.io/Logging_0980/tillsynsmail/A 58191-2024 tillsynsbegäran mail.docx", "A 58191-2024")</f>
        <v/>
      </c>
      <c r="Z128">
        <f>HYPERLINK("https://klasma.github.io/Logging_0980/fåglar/A 58191-2024 prioriterade fågelarter.docx", "A 58191-2024")</f>
        <v/>
      </c>
    </row>
    <row r="129" ht="15" customHeight="1">
      <c r="A129" t="inlineStr">
        <is>
          <t>A 2485-2025</t>
        </is>
      </c>
      <c r="B129" s="1" t="n">
        <v>45673</v>
      </c>
      <c r="C129" s="1" t="n">
        <v>45822</v>
      </c>
      <c r="D129" t="inlineStr">
        <is>
          <t>GOTLANDS LÄN</t>
        </is>
      </c>
      <c r="E129" t="inlineStr">
        <is>
          <t>GOTLAND</t>
        </is>
      </c>
      <c r="G129" t="n">
        <v>5</v>
      </c>
      <c r="H129" t="n">
        <v>2</v>
      </c>
      <c r="I129" t="n">
        <v>2</v>
      </c>
      <c r="J129" t="n">
        <v>0</v>
      </c>
      <c r="K129" t="n">
        <v>2</v>
      </c>
      <c r="L129" t="n">
        <v>0</v>
      </c>
      <c r="M129" t="n">
        <v>0</v>
      </c>
      <c r="N129" t="n">
        <v>0</v>
      </c>
      <c r="O129" t="n">
        <v>2</v>
      </c>
      <c r="P129" t="n">
        <v>2</v>
      </c>
      <c r="Q129" t="n">
        <v>4</v>
      </c>
      <c r="R129" s="2" t="inlineStr">
        <is>
          <t>Gotlandsmåra
Skogskorn
Nästrot
Skogsknipprot</t>
        </is>
      </c>
      <c r="S129">
        <f>HYPERLINK("https://klasma.github.io/Logging_0980/artfynd/A 2485-2025 artfynd.xlsx", "A 2485-2025")</f>
        <v/>
      </c>
      <c r="T129">
        <f>HYPERLINK("https://klasma.github.io/Logging_0980/kartor/A 2485-2025 karta.png", "A 2485-2025")</f>
        <v/>
      </c>
      <c r="V129">
        <f>HYPERLINK("https://klasma.github.io/Logging_0980/klagomål/A 2485-2025 FSC-klagomål.docx", "A 2485-2025")</f>
        <v/>
      </c>
      <c r="W129">
        <f>HYPERLINK("https://klasma.github.io/Logging_0980/klagomålsmail/A 2485-2025 FSC-klagomål mail.docx", "A 2485-2025")</f>
        <v/>
      </c>
      <c r="X129">
        <f>HYPERLINK("https://klasma.github.io/Logging_0980/tillsyn/A 2485-2025 tillsynsbegäran.docx", "A 2485-2025")</f>
        <v/>
      </c>
      <c r="Y129">
        <f>HYPERLINK("https://klasma.github.io/Logging_0980/tillsynsmail/A 2485-2025 tillsynsbegäran mail.docx", "A 2485-2025")</f>
        <v/>
      </c>
    </row>
    <row r="130" ht="15" customHeight="1">
      <c r="A130" t="inlineStr">
        <is>
          <t>A 60700-2019</t>
        </is>
      </c>
      <c r="B130" s="1" t="n">
        <v>43781</v>
      </c>
      <c r="C130" s="1" t="n">
        <v>45822</v>
      </c>
      <c r="D130" t="inlineStr">
        <is>
          <t>GOTLANDS LÄN</t>
        </is>
      </c>
      <c r="E130" t="inlineStr">
        <is>
          <t>GOTLAND</t>
        </is>
      </c>
      <c r="G130" t="n">
        <v>4.3</v>
      </c>
      <c r="H130" t="n">
        <v>0</v>
      </c>
      <c r="I130" t="n">
        <v>2</v>
      </c>
      <c r="J130" t="n">
        <v>1</v>
      </c>
      <c r="K130" t="n">
        <v>0</v>
      </c>
      <c r="L130" t="n">
        <v>0</v>
      </c>
      <c r="M130" t="n">
        <v>0</v>
      </c>
      <c r="N130" t="n">
        <v>0</v>
      </c>
      <c r="O130" t="n">
        <v>1</v>
      </c>
      <c r="P130" t="n">
        <v>0</v>
      </c>
      <c r="Q130" t="n">
        <v>3</v>
      </c>
      <c r="R130" s="2" t="inlineStr">
        <is>
          <t>Tallticka
Blåmossa
Kattfotslav</t>
        </is>
      </c>
      <c r="S130">
        <f>HYPERLINK("https://klasma.github.io/Logging_0980/artfynd/A 60700-2019 artfynd.xlsx", "A 60700-2019")</f>
        <v/>
      </c>
      <c r="T130">
        <f>HYPERLINK("https://klasma.github.io/Logging_0980/kartor/A 60700-2019 karta.png", "A 60700-2019")</f>
        <v/>
      </c>
      <c r="V130">
        <f>HYPERLINK("https://klasma.github.io/Logging_0980/klagomål/A 60700-2019 FSC-klagomål.docx", "A 60700-2019")</f>
        <v/>
      </c>
      <c r="W130">
        <f>HYPERLINK("https://klasma.github.io/Logging_0980/klagomålsmail/A 60700-2019 FSC-klagomål mail.docx", "A 60700-2019")</f>
        <v/>
      </c>
      <c r="X130">
        <f>HYPERLINK("https://klasma.github.io/Logging_0980/tillsyn/A 60700-2019 tillsynsbegäran.docx", "A 60700-2019")</f>
        <v/>
      </c>
      <c r="Y130">
        <f>HYPERLINK("https://klasma.github.io/Logging_0980/tillsynsmail/A 60700-2019 tillsynsbegäran mail.docx", "A 60700-2019")</f>
        <v/>
      </c>
    </row>
    <row r="131" ht="15" customHeight="1">
      <c r="A131" t="inlineStr">
        <is>
          <t>A 66053-2019</t>
        </is>
      </c>
      <c r="B131" s="1" t="n">
        <v>43806</v>
      </c>
      <c r="C131" s="1" t="n">
        <v>45822</v>
      </c>
      <c r="D131" t="inlineStr">
        <is>
          <t>GOTLANDS LÄN</t>
        </is>
      </c>
      <c r="E131" t="inlineStr">
        <is>
          <t>GOTLAND</t>
        </is>
      </c>
      <c r="G131" t="n">
        <v>58.6</v>
      </c>
      <c r="H131" t="n">
        <v>2</v>
      </c>
      <c r="I131" t="n">
        <v>0</v>
      </c>
      <c r="J131" t="n">
        <v>1</v>
      </c>
      <c r="K131" t="n">
        <v>2</v>
      </c>
      <c r="L131" t="n">
        <v>0</v>
      </c>
      <c r="M131" t="n">
        <v>0</v>
      </c>
      <c r="N131" t="n">
        <v>0</v>
      </c>
      <c r="O131" t="n">
        <v>3</v>
      </c>
      <c r="P131" t="n">
        <v>2</v>
      </c>
      <c r="Q131" t="n">
        <v>3</v>
      </c>
      <c r="R131" s="2" t="inlineStr">
        <is>
          <t>Falsk guldskivlav
Garderönn
Apollofjäril</t>
        </is>
      </c>
      <c r="S131">
        <f>HYPERLINK("https://klasma.github.io/Logging_0980/artfynd/A 66053-2019 artfynd.xlsx", "A 66053-2019")</f>
        <v/>
      </c>
      <c r="T131">
        <f>HYPERLINK("https://klasma.github.io/Logging_0980/kartor/A 66053-2019 karta.png", "A 66053-2019")</f>
        <v/>
      </c>
      <c r="V131">
        <f>HYPERLINK("https://klasma.github.io/Logging_0980/klagomål/A 66053-2019 FSC-klagomål.docx", "A 66053-2019")</f>
        <v/>
      </c>
      <c r="W131">
        <f>HYPERLINK("https://klasma.github.io/Logging_0980/klagomålsmail/A 66053-2019 FSC-klagomål mail.docx", "A 66053-2019")</f>
        <v/>
      </c>
      <c r="X131">
        <f>HYPERLINK("https://klasma.github.io/Logging_0980/tillsyn/A 66053-2019 tillsynsbegäran.docx", "A 66053-2019")</f>
        <v/>
      </c>
      <c r="Y131">
        <f>HYPERLINK("https://klasma.github.io/Logging_0980/tillsynsmail/A 66053-2019 tillsynsbegäran mail.docx", "A 66053-2019")</f>
        <v/>
      </c>
    </row>
    <row r="132" ht="15" customHeight="1">
      <c r="A132" t="inlineStr">
        <is>
          <t>A 2536-2020</t>
        </is>
      </c>
      <c r="B132" s="1" t="n">
        <v>43847</v>
      </c>
      <c r="C132" s="1" t="n">
        <v>45822</v>
      </c>
      <c r="D132" t="inlineStr">
        <is>
          <t>GOTLANDS LÄN</t>
        </is>
      </c>
      <c r="E132" t="inlineStr">
        <is>
          <t>GOTLAND</t>
        </is>
      </c>
      <c r="G132" t="n">
        <v>4.2</v>
      </c>
      <c r="H132" t="n">
        <v>1</v>
      </c>
      <c r="I132" t="n">
        <v>0</v>
      </c>
      <c r="J132" t="n">
        <v>2</v>
      </c>
      <c r="K132" t="n">
        <v>0</v>
      </c>
      <c r="L132" t="n">
        <v>0</v>
      </c>
      <c r="M132" t="n">
        <v>0</v>
      </c>
      <c r="N132" t="n">
        <v>0</v>
      </c>
      <c r="O132" t="n">
        <v>2</v>
      </c>
      <c r="P132" t="n">
        <v>0</v>
      </c>
      <c r="Q132" t="n">
        <v>3</v>
      </c>
      <c r="R132" s="2" t="inlineStr">
        <is>
          <t>Backklöver
Svinrot
Blåsippa</t>
        </is>
      </c>
      <c r="S132">
        <f>HYPERLINK("https://klasma.github.io/Logging_0980/artfynd/A 2536-2020 artfynd.xlsx", "A 2536-2020")</f>
        <v/>
      </c>
      <c r="T132">
        <f>HYPERLINK("https://klasma.github.io/Logging_0980/kartor/A 2536-2020 karta.png", "A 2536-2020")</f>
        <v/>
      </c>
      <c r="V132">
        <f>HYPERLINK("https://klasma.github.io/Logging_0980/klagomål/A 2536-2020 FSC-klagomål.docx", "A 2536-2020")</f>
        <v/>
      </c>
      <c r="W132">
        <f>HYPERLINK("https://klasma.github.io/Logging_0980/klagomålsmail/A 2536-2020 FSC-klagomål mail.docx", "A 2536-2020")</f>
        <v/>
      </c>
      <c r="X132">
        <f>HYPERLINK("https://klasma.github.io/Logging_0980/tillsyn/A 2536-2020 tillsynsbegäran.docx", "A 2536-2020")</f>
        <v/>
      </c>
      <c r="Y132">
        <f>HYPERLINK("https://klasma.github.io/Logging_0980/tillsynsmail/A 2536-2020 tillsynsbegäran mail.docx", "A 2536-2020")</f>
        <v/>
      </c>
    </row>
    <row r="133" ht="15" customHeight="1">
      <c r="A133" t="inlineStr">
        <is>
          <t>A 3218-2020</t>
        </is>
      </c>
      <c r="B133" s="1" t="n">
        <v>43851</v>
      </c>
      <c r="C133" s="1" t="n">
        <v>45822</v>
      </c>
      <c r="D133" t="inlineStr">
        <is>
          <t>GOTLANDS LÄN</t>
        </is>
      </c>
      <c r="E133" t="inlineStr">
        <is>
          <t>GOTLAND</t>
        </is>
      </c>
      <c r="G133" t="n">
        <v>7.8</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HYPERLINK("https://klasma.github.io/Logging_0980/artfynd/A 3218-2020 artfynd.xlsx", "A 3218-2020")</f>
        <v/>
      </c>
      <c r="T133">
        <f>HYPERLINK("https://klasma.github.io/Logging_0980/kartor/A 3218-2020 karta.png", "A 3218-2020")</f>
        <v/>
      </c>
      <c r="V133">
        <f>HYPERLINK("https://klasma.github.io/Logging_0980/klagomål/A 3218-2020 FSC-klagomål.docx", "A 3218-2020")</f>
        <v/>
      </c>
      <c r="W133">
        <f>HYPERLINK("https://klasma.github.io/Logging_0980/klagomålsmail/A 3218-2020 FSC-klagomål mail.docx", "A 3218-2020")</f>
        <v/>
      </c>
      <c r="X133">
        <f>HYPERLINK("https://klasma.github.io/Logging_0980/tillsyn/A 3218-2020 tillsynsbegäran.docx", "A 3218-2020")</f>
        <v/>
      </c>
      <c r="Y133">
        <f>HYPERLINK("https://klasma.github.io/Logging_0980/tillsynsmail/A 3218-2020 tillsynsbegäran mail.docx", "A 3218-2020")</f>
        <v/>
      </c>
    </row>
    <row r="134" ht="15" customHeight="1">
      <c r="A134" t="inlineStr">
        <is>
          <t>A 7156-2020</t>
        </is>
      </c>
      <c r="B134" s="1" t="n">
        <v>43870</v>
      </c>
      <c r="C134" s="1" t="n">
        <v>45822</v>
      </c>
      <c r="D134" t="inlineStr">
        <is>
          <t>GOTLANDS LÄN</t>
        </is>
      </c>
      <c r="E134" t="inlineStr">
        <is>
          <t>GOTLAND</t>
        </is>
      </c>
      <c r="G134" t="n">
        <v>1.5</v>
      </c>
      <c r="H134" t="n">
        <v>1</v>
      </c>
      <c r="I134" t="n">
        <v>0</v>
      </c>
      <c r="J134" t="n">
        <v>2</v>
      </c>
      <c r="K134" t="n">
        <v>0</v>
      </c>
      <c r="L134" t="n">
        <v>0</v>
      </c>
      <c r="M134" t="n">
        <v>0</v>
      </c>
      <c r="N134" t="n">
        <v>0</v>
      </c>
      <c r="O134" t="n">
        <v>2</v>
      </c>
      <c r="P134" t="n">
        <v>0</v>
      </c>
      <c r="Q134" t="n">
        <v>3</v>
      </c>
      <c r="R134" s="2" t="inlineStr">
        <is>
          <t>Bolmört
Solvända
Sankt pers nycklar</t>
        </is>
      </c>
      <c r="S134">
        <f>HYPERLINK("https://klasma.github.io/Logging_0980/artfynd/A 7156-2020 artfynd.xlsx", "A 7156-2020")</f>
        <v/>
      </c>
      <c r="T134">
        <f>HYPERLINK("https://klasma.github.io/Logging_0980/kartor/A 7156-2020 karta.png", "A 7156-2020")</f>
        <v/>
      </c>
      <c r="V134">
        <f>HYPERLINK("https://klasma.github.io/Logging_0980/klagomål/A 7156-2020 FSC-klagomål.docx", "A 7156-2020")</f>
        <v/>
      </c>
      <c r="W134">
        <f>HYPERLINK("https://klasma.github.io/Logging_0980/klagomålsmail/A 7156-2020 FSC-klagomål mail.docx", "A 7156-2020")</f>
        <v/>
      </c>
      <c r="X134">
        <f>HYPERLINK("https://klasma.github.io/Logging_0980/tillsyn/A 7156-2020 tillsynsbegäran.docx", "A 7156-2020")</f>
        <v/>
      </c>
      <c r="Y134">
        <f>HYPERLINK("https://klasma.github.io/Logging_0980/tillsynsmail/A 7156-2020 tillsynsbegäran mail.docx", "A 7156-2020")</f>
        <v/>
      </c>
    </row>
    <row r="135" ht="15" customHeight="1">
      <c r="A135" t="inlineStr">
        <is>
          <t>A 10707-2020</t>
        </is>
      </c>
      <c r="B135" s="1" t="n">
        <v>43888</v>
      </c>
      <c r="C135" s="1" t="n">
        <v>45822</v>
      </c>
      <c r="D135" t="inlineStr">
        <is>
          <t>GOTLANDS LÄN</t>
        </is>
      </c>
      <c r="E135" t="inlineStr">
        <is>
          <t>GOTLAND</t>
        </is>
      </c>
      <c r="F135" t="inlineStr">
        <is>
          <t>Övriga statliga verk och myndigheter</t>
        </is>
      </c>
      <c r="G135" t="n">
        <v>27.7</v>
      </c>
      <c r="H135" t="n">
        <v>0</v>
      </c>
      <c r="I135" t="n">
        <v>0</v>
      </c>
      <c r="J135" t="n">
        <v>3</v>
      </c>
      <c r="K135" t="n">
        <v>0</v>
      </c>
      <c r="L135" t="n">
        <v>0</v>
      </c>
      <c r="M135" t="n">
        <v>0</v>
      </c>
      <c r="N135" t="n">
        <v>0</v>
      </c>
      <c r="O135" t="n">
        <v>3</v>
      </c>
      <c r="P135" t="n">
        <v>0</v>
      </c>
      <c r="Q135" t="n">
        <v>3</v>
      </c>
      <c r="R135" s="2" t="inlineStr">
        <is>
          <t>Grådådra
Mindre blåvinge
Ängsnätfjäril</t>
        </is>
      </c>
      <c r="S135">
        <f>HYPERLINK("https://klasma.github.io/Logging_0980/artfynd/A 10707-2020 artfynd.xlsx", "A 10707-2020")</f>
        <v/>
      </c>
      <c r="T135">
        <f>HYPERLINK("https://klasma.github.io/Logging_0980/kartor/A 10707-2020 karta.png", "A 10707-2020")</f>
        <v/>
      </c>
      <c r="V135">
        <f>HYPERLINK("https://klasma.github.io/Logging_0980/klagomål/A 10707-2020 FSC-klagomål.docx", "A 10707-2020")</f>
        <v/>
      </c>
      <c r="W135">
        <f>HYPERLINK("https://klasma.github.io/Logging_0980/klagomålsmail/A 10707-2020 FSC-klagomål mail.docx", "A 10707-2020")</f>
        <v/>
      </c>
      <c r="X135">
        <f>HYPERLINK("https://klasma.github.io/Logging_0980/tillsyn/A 10707-2020 tillsynsbegäran.docx", "A 10707-2020")</f>
        <v/>
      </c>
      <c r="Y135">
        <f>HYPERLINK("https://klasma.github.io/Logging_0980/tillsynsmail/A 10707-2020 tillsynsbegäran mail.docx", "A 10707-2020")</f>
        <v/>
      </c>
    </row>
    <row r="136" ht="15" customHeight="1">
      <c r="A136" t="inlineStr">
        <is>
          <t>A 55029-2020</t>
        </is>
      </c>
      <c r="B136" s="1" t="n">
        <v>44130</v>
      </c>
      <c r="C136" s="1" t="n">
        <v>45822</v>
      </c>
      <c r="D136" t="inlineStr">
        <is>
          <t>GOTLANDS LÄN</t>
        </is>
      </c>
      <c r="E136" t="inlineStr">
        <is>
          <t>GOTLAND</t>
        </is>
      </c>
      <c r="G136" t="n">
        <v>6.9</v>
      </c>
      <c r="H136" t="n">
        <v>1</v>
      </c>
      <c r="I136" t="n">
        <v>2</v>
      </c>
      <c r="J136" t="n">
        <v>1</v>
      </c>
      <c r="K136" t="n">
        <v>0</v>
      </c>
      <c r="L136" t="n">
        <v>0</v>
      </c>
      <c r="M136" t="n">
        <v>0</v>
      </c>
      <c r="N136" t="n">
        <v>0</v>
      </c>
      <c r="O136" t="n">
        <v>1</v>
      </c>
      <c r="P136" t="n">
        <v>0</v>
      </c>
      <c r="Q136" t="n">
        <v>3</v>
      </c>
      <c r="R136" s="2" t="inlineStr">
        <is>
          <t>Dårgräsfjäril
Anisspindling
Granbarkgnagare</t>
        </is>
      </c>
      <c r="S136">
        <f>HYPERLINK("https://klasma.github.io/Logging_0980/artfynd/A 55029-2020 artfynd.xlsx", "A 55029-2020")</f>
        <v/>
      </c>
      <c r="T136">
        <f>HYPERLINK("https://klasma.github.io/Logging_0980/kartor/A 55029-2020 karta.png", "A 55029-2020")</f>
        <v/>
      </c>
      <c r="V136">
        <f>HYPERLINK("https://klasma.github.io/Logging_0980/klagomål/A 55029-2020 FSC-klagomål.docx", "A 55029-2020")</f>
        <v/>
      </c>
      <c r="W136">
        <f>HYPERLINK("https://klasma.github.io/Logging_0980/klagomålsmail/A 55029-2020 FSC-klagomål mail.docx", "A 55029-2020")</f>
        <v/>
      </c>
      <c r="X136">
        <f>HYPERLINK("https://klasma.github.io/Logging_0980/tillsyn/A 55029-2020 tillsynsbegäran.docx", "A 55029-2020")</f>
        <v/>
      </c>
      <c r="Y136">
        <f>HYPERLINK("https://klasma.github.io/Logging_0980/tillsynsmail/A 55029-2020 tillsynsbegäran mail.docx", "A 55029-2020")</f>
        <v/>
      </c>
    </row>
    <row r="137" ht="15" customHeight="1">
      <c r="A137" t="inlineStr">
        <is>
          <t>A 62326-2020</t>
        </is>
      </c>
      <c r="B137" s="1" t="n">
        <v>44160</v>
      </c>
      <c r="C137" s="1" t="n">
        <v>45822</v>
      </c>
      <c r="D137" t="inlineStr">
        <is>
          <t>GOTLANDS LÄN</t>
        </is>
      </c>
      <c r="E137" t="inlineStr">
        <is>
          <t>GOTLAND</t>
        </is>
      </c>
      <c r="G137" t="n">
        <v>7.4</v>
      </c>
      <c r="H137" t="n">
        <v>1</v>
      </c>
      <c r="I137" t="n">
        <v>3</v>
      </c>
      <c r="J137" t="n">
        <v>0</v>
      </c>
      <c r="K137" t="n">
        <v>0</v>
      </c>
      <c r="L137" t="n">
        <v>0</v>
      </c>
      <c r="M137" t="n">
        <v>0</v>
      </c>
      <c r="N137" t="n">
        <v>0</v>
      </c>
      <c r="O137" t="n">
        <v>0</v>
      </c>
      <c r="P137" t="n">
        <v>0</v>
      </c>
      <c r="Q137" t="n">
        <v>3</v>
      </c>
      <c r="R137" s="2" t="inlineStr">
        <is>
          <t>Anisspindling
Blåmossa
Skogsknipprot</t>
        </is>
      </c>
      <c r="S137">
        <f>HYPERLINK("https://klasma.github.io/Logging_0980/artfynd/A 62326-2020 artfynd.xlsx", "A 62326-2020")</f>
        <v/>
      </c>
      <c r="T137">
        <f>HYPERLINK("https://klasma.github.io/Logging_0980/kartor/A 62326-2020 karta.png", "A 62326-2020")</f>
        <v/>
      </c>
      <c r="V137">
        <f>HYPERLINK("https://klasma.github.io/Logging_0980/klagomål/A 62326-2020 FSC-klagomål.docx", "A 62326-2020")</f>
        <v/>
      </c>
      <c r="W137">
        <f>HYPERLINK("https://klasma.github.io/Logging_0980/klagomålsmail/A 62326-2020 FSC-klagomål mail.docx", "A 62326-2020")</f>
        <v/>
      </c>
      <c r="X137">
        <f>HYPERLINK("https://klasma.github.io/Logging_0980/tillsyn/A 62326-2020 tillsynsbegäran.docx", "A 62326-2020")</f>
        <v/>
      </c>
      <c r="Y137">
        <f>HYPERLINK("https://klasma.github.io/Logging_0980/tillsynsmail/A 62326-2020 tillsynsbegäran mail.docx", "A 62326-2020")</f>
        <v/>
      </c>
    </row>
    <row r="138" ht="15" customHeight="1">
      <c r="A138" t="inlineStr">
        <is>
          <t>A 2332-2021</t>
        </is>
      </c>
      <c r="B138" s="1" t="n">
        <v>44214</v>
      </c>
      <c r="C138" s="1" t="n">
        <v>45822</v>
      </c>
      <c r="D138" t="inlineStr">
        <is>
          <t>GOTLANDS LÄN</t>
        </is>
      </c>
      <c r="E138" t="inlineStr">
        <is>
          <t>GOTLAND</t>
        </is>
      </c>
      <c r="G138" t="n">
        <v>2.3</v>
      </c>
      <c r="H138" t="n">
        <v>2</v>
      </c>
      <c r="I138" t="n">
        <v>0</v>
      </c>
      <c r="J138" t="n">
        <v>1</v>
      </c>
      <c r="K138" t="n">
        <v>0</v>
      </c>
      <c r="L138" t="n">
        <v>0</v>
      </c>
      <c r="M138" t="n">
        <v>0</v>
      </c>
      <c r="N138" t="n">
        <v>0</v>
      </c>
      <c r="O138" t="n">
        <v>1</v>
      </c>
      <c r="P138" t="n">
        <v>0</v>
      </c>
      <c r="Q138" t="n">
        <v>3</v>
      </c>
      <c r="R138" s="2" t="inlineStr">
        <is>
          <t>Korpnopping
Sankt pers nycklar
Blåsippa</t>
        </is>
      </c>
      <c r="S138">
        <f>HYPERLINK("https://klasma.github.io/Logging_0980/artfynd/A 2332-2021 artfynd.xlsx", "A 2332-2021")</f>
        <v/>
      </c>
      <c r="T138">
        <f>HYPERLINK("https://klasma.github.io/Logging_0980/kartor/A 2332-2021 karta.png", "A 2332-2021")</f>
        <v/>
      </c>
      <c r="V138">
        <f>HYPERLINK("https://klasma.github.io/Logging_0980/klagomål/A 2332-2021 FSC-klagomål.docx", "A 2332-2021")</f>
        <v/>
      </c>
      <c r="W138">
        <f>HYPERLINK("https://klasma.github.io/Logging_0980/klagomålsmail/A 2332-2021 FSC-klagomål mail.docx", "A 2332-2021")</f>
        <v/>
      </c>
      <c r="X138">
        <f>HYPERLINK("https://klasma.github.io/Logging_0980/tillsyn/A 2332-2021 tillsynsbegäran.docx", "A 2332-2021")</f>
        <v/>
      </c>
      <c r="Y138">
        <f>HYPERLINK("https://klasma.github.io/Logging_0980/tillsynsmail/A 2332-2021 tillsynsbegäran mail.docx", "A 2332-2021")</f>
        <v/>
      </c>
    </row>
    <row r="139" ht="15" customHeight="1">
      <c r="A139" t="inlineStr">
        <is>
          <t>A 12519-2021</t>
        </is>
      </c>
      <c r="B139" s="1" t="n">
        <v>44269</v>
      </c>
      <c r="C139" s="1" t="n">
        <v>45822</v>
      </c>
      <c r="D139" t="inlineStr">
        <is>
          <t>GOTLANDS LÄN</t>
        </is>
      </c>
      <c r="E139" t="inlineStr">
        <is>
          <t>GOTLAND</t>
        </is>
      </c>
      <c r="F139" t="inlineStr">
        <is>
          <t>Kyrkan</t>
        </is>
      </c>
      <c r="G139" t="n">
        <v>3.4</v>
      </c>
      <c r="H139" t="n">
        <v>0</v>
      </c>
      <c r="I139" t="n">
        <v>2</v>
      </c>
      <c r="J139" t="n">
        <v>1</v>
      </c>
      <c r="K139" t="n">
        <v>0</v>
      </c>
      <c r="L139" t="n">
        <v>0</v>
      </c>
      <c r="M139" t="n">
        <v>0</v>
      </c>
      <c r="N139" t="n">
        <v>0</v>
      </c>
      <c r="O139" t="n">
        <v>1</v>
      </c>
      <c r="P139" t="n">
        <v>0</v>
      </c>
      <c r="Q139" t="n">
        <v>3</v>
      </c>
      <c r="R139" s="2" t="inlineStr">
        <is>
          <t>Loppstarr
Rödgul trumpetsvamp
Vågbandad barkbock</t>
        </is>
      </c>
      <c r="S139">
        <f>HYPERLINK("https://klasma.github.io/Logging_0980/artfynd/A 12519-2021 artfynd.xlsx", "A 12519-2021")</f>
        <v/>
      </c>
      <c r="T139">
        <f>HYPERLINK("https://klasma.github.io/Logging_0980/kartor/A 12519-2021 karta.png", "A 12519-2021")</f>
        <v/>
      </c>
      <c r="V139">
        <f>HYPERLINK("https://klasma.github.io/Logging_0980/klagomål/A 12519-2021 FSC-klagomål.docx", "A 12519-2021")</f>
        <v/>
      </c>
      <c r="W139">
        <f>HYPERLINK("https://klasma.github.io/Logging_0980/klagomålsmail/A 12519-2021 FSC-klagomål mail.docx", "A 12519-2021")</f>
        <v/>
      </c>
      <c r="X139">
        <f>HYPERLINK("https://klasma.github.io/Logging_0980/tillsyn/A 12519-2021 tillsynsbegäran.docx", "A 12519-2021")</f>
        <v/>
      </c>
      <c r="Y139">
        <f>HYPERLINK("https://klasma.github.io/Logging_0980/tillsynsmail/A 12519-2021 tillsynsbegäran mail.docx", "A 12519-2021")</f>
        <v/>
      </c>
    </row>
    <row r="140" ht="15" customHeight="1">
      <c r="A140" t="inlineStr">
        <is>
          <t>A 32666-2021</t>
        </is>
      </c>
      <c r="B140" s="1" t="n">
        <v>44375</v>
      </c>
      <c r="C140" s="1" t="n">
        <v>45822</v>
      </c>
      <c r="D140" t="inlineStr">
        <is>
          <t>GOTLANDS LÄN</t>
        </is>
      </c>
      <c r="E140" t="inlineStr">
        <is>
          <t>GOTLAND</t>
        </is>
      </c>
      <c r="G140" t="n">
        <v>0.9</v>
      </c>
      <c r="H140" t="n">
        <v>1</v>
      </c>
      <c r="I140" t="n">
        <v>2</v>
      </c>
      <c r="J140" t="n">
        <v>0</v>
      </c>
      <c r="K140" t="n">
        <v>1</v>
      </c>
      <c r="L140" t="n">
        <v>0</v>
      </c>
      <c r="M140" t="n">
        <v>0</v>
      </c>
      <c r="N140" t="n">
        <v>0</v>
      </c>
      <c r="O140" t="n">
        <v>1</v>
      </c>
      <c r="P140" t="n">
        <v>1</v>
      </c>
      <c r="Q140" t="n">
        <v>3</v>
      </c>
      <c r="R140" s="2" t="inlineStr">
        <is>
          <t>Skogskorn
Myskmadra
Vit skogslilja</t>
        </is>
      </c>
      <c r="S140">
        <f>HYPERLINK("https://klasma.github.io/Logging_0980/artfynd/A 32666-2021 artfynd.xlsx", "A 32666-2021")</f>
        <v/>
      </c>
      <c r="T140">
        <f>HYPERLINK("https://klasma.github.io/Logging_0980/kartor/A 32666-2021 karta.png", "A 32666-2021")</f>
        <v/>
      </c>
      <c r="V140">
        <f>HYPERLINK("https://klasma.github.io/Logging_0980/klagomål/A 32666-2021 FSC-klagomål.docx", "A 32666-2021")</f>
        <v/>
      </c>
      <c r="W140">
        <f>HYPERLINK("https://klasma.github.io/Logging_0980/klagomålsmail/A 32666-2021 FSC-klagomål mail.docx", "A 32666-2021")</f>
        <v/>
      </c>
      <c r="X140">
        <f>HYPERLINK("https://klasma.github.io/Logging_0980/tillsyn/A 32666-2021 tillsynsbegäran.docx", "A 32666-2021")</f>
        <v/>
      </c>
      <c r="Y140">
        <f>HYPERLINK("https://klasma.github.io/Logging_0980/tillsynsmail/A 32666-2021 tillsynsbegäran mail.docx", "A 32666-2021")</f>
        <v/>
      </c>
    </row>
    <row r="141" ht="15" customHeight="1">
      <c r="A141" t="inlineStr">
        <is>
          <t>A 32718-2021</t>
        </is>
      </c>
      <c r="B141" s="1" t="n">
        <v>44375</v>
      </c>
      <c r="C141" s="1" t="n">
        <v>45822</v>
      </c>
      <c r="D141" t="inlineStr">
        <is>
          <t>GOTLANDS LÄN</t>
        </is>
      </c>
      <c r="E141" t="inlineStr">
        <is>
          <t>GOTLAND</t>
        </is>
      </c>
      <c r="G141" t="n">
        <v>2.1</v>
      </c>
      <c r="H141" t="n">
        <v>0</v>
      </c>
      <c r="I141" t="n">
        <v>1</v>
      </c>
      <c r="J141" t="n">
        <v>1</v>
      </c>
      <c r="K141" t="n">
        <v>1</v>
      </c>
      <c r="L141" t="n">
        <v>0</v>
      </c>
      <c r="M141" t="n">
        <v>0</v>
      </c>
      <c r="N141" t="n">
        <v>0</v>
      </c>
      <c r="O141" t="n">
        <v>2</v>
      </c>
      <c r="P141" t="n">
        <v>1</v>
      </c>
      <c r="Q141" t="n">
        <v>3</v>
      </c>
      <c r="R141" s="2" t="inlineStr">
        <is>
          <t>Skogskorn
Skugglosta
Strävlosta</t>
        </is>
      </c>
      <c r="S141">
        <f>HYPERLINK("https://klasma.github.io/Logging_0980/artfynd/A 32718-2021 artfynd.xlsx", "A 32718-2021")</f>
        <v/>
      </c>
      <c r="T141">
        <f>HYPERLINK("https://klasma.github.io/Logging_0980/kartor/A 32718-2021 karta.png", "A 32718-2021")</f>
        <v/>
      </c>
      <c r="V141">
        <f>HYPERLINK("https://klasma.github.io/Logging_0980/klagomål/A 32718-2021 FSC-klagomål.docx", "A 32718-2021")</f>
        <v/>
      </c>
      <c r="W141">
        <f>HYPERLINK("https://klasma.github.io/Logging_0980/klagomålsmail/A 32718-2021 FSC-klagomål mail.docx", "A 32718-2021")</f>
        <v/>
      </c>
      <c r="X141">
        <f>HYPERLINK("https://klasma.github.io/Logging_0980/tillsyn/A 32718-2021 tillsynsbegäran.docx", "A 32718-2021")</f>
        <v/>
      </c>
      <c r="Y141">
        <f>HYPERLINK("https://klasma.github.io/Logging_0980/tillsynsmail/A 32718-2021 tillsynsbegäran mail.docx", "A 32718-2021")</f>
        <v/>
      </c>
    </row>
    <row r="142" ht="15" customHeight="1">
      <c r="A142" t="inlineStr">
        <is>
          <t>A 44323-2021</t>
        </is>
      </c>
      <c r="B142" s="1" t="n">
        <v>44434</v>
      </c>
      <c r="C142" s="1" t="n">
        <v>45822</v>
      </c>
      <c r="D142" t="inlineStr">
        <is>
          <t>GOTLANDS LÄN</t>
        </is>
      </c>
      <c r="E142" t="inlineStr">
        <is>
          <t>GOTLAND</t>
        </is>
      </c>
      <c r="G142" t="n">
        <v>7.5</v>
      </c>
      <c r="H142" t="n">
        <v>1</v>
      </c>
      <c r="I142" t="n">
        <v>3</v>
      </c>
      <c r="J142" t="n">
        <v>0</v>
      </c>
      <c r="K142" t="n">
        <v>0</v>
      </c>
      <c r="L142" t="n">
        <v>0</v>
      </c>
      <c r="M142" t="n">
        <v>0</v>
      </c>
      <c r="N142" t="n">
        <v>0</v>
      </c>
      <c r="O142" t="n">
        <v>0</v>
      </c>
      <c r="P142" t="n">
        <v>0</v>
      </c>
      <c r="Q142" t="n">
        <v>3</v>
      </c>
      <c r="R142" s="2" t="inlineStr">
        <is>
          <t>Anisspindling
Barrfagerspindling
Skogsknipprot</t>
        </is>
      </c>
      <c r="S142">
        <f>HYPERLINK("https://klasma.github.io/Logging_0980/artfynd/A 44323-2021 artfynd.xlsx", "A 44323-2021")</f>
        <v/>
      </c>
      <c r="T142">
        <f>HYPERLINK("https://klasma.github.io/Logging_0980/kartor/A 44323-2021 karta.png", "A 44323-2021")</f>
        <v/>
      </c>
      <c r="V142">
        <f>HYPERLINK("https://klasma.github.io/Logging_0980/klagomål/A 44323-2021 FSC-klagomål.docx", "A 44323-2021")</f>
        <v/>
      </c>
      <c r="W142">
        <f>HYPERLINK("https://klasma.github.io/Logging_0980/klagomålsmail/A 44323-2021 FSC-klagomål mail.docx", "A 44323-2021")</f>
        <v/>
      </c>
      <c r="X142">
        <f>HYPERLINK("https://klasma.github.io/Logging_0980/tillsyn/A 44323-2021 tillsynsbegäran.docx", "A 44323-2021")</f>
        <v/>
      </c>
      <c r="Y142">
        <f>HYPERLINK("https://klasma.github.io/Logging_0980/tillsynsmail/A 44323-2021 tillsynsbegäran mail.docx", "A 44323-2021")</f>
        <v/>
      </c>
    </row>
    <row r="143" ht="15" customHeight="1">
      <c r="A143" t="inlineStr">
        <is>
          <t>A 53552-2021</t>
        </is>
      </c>
      <c r="B143" s="1" t="n">
        <v>44468</v>
      </c>
      <c r="C143" s="1" t="n">
        <v>45822</v>
      </c>
      <c r="D143" t="inlineStr">
        <is>
          <t>GOTLANDS LÄN</t>
        </is>
      </c>
      <c r="E143" t="inlineStr">
        <is>
          <t>GOTLAND</t>
        </is>
      </c>
      <c r="G143" t="n">
        <v>6.2</v>
      </c>
      <c r="H143" t="n">
        <v>2</v>
      </c>
      <c r="I143" t="n">
        <v>0</v>
      </c>
      <c r="J143" t="n">
        <v>1</v>
      </c>
      <c r="K143" t="n">
        <v>0</v>
      </c>
      <c r="L143" t="n">
        <v>0</v>
      </c>
      <c r="M143" t="n">
        <v>0</v>
      </c>
      <c r="N143" t="n">
        <v>0</v>
      </c>
      <c r="O143" t="n">
        <v>1</v>
      </c>
      <c r="P143" t="n">
        <v>0</v>
      </c>
      <c r="Q143" t="n">
        <v>3</v>
      </c>
      <c r="R143" s="2" t="inlineStr">
        <is>
          <t>Bredbrämad bastardsvärmare
Grönvit nattviol
Gullviva</t>
        </is>
      </c>
      <c r="S143">
        <f>HYPERLINK("https://klasma.github.io/Logging_0980/artfynd/A 53552-2021 artfynd.xlsx", "A 53552-2021")</f>
        <v/>
      </c>
      <c r="T143">
        <f>HYPERLINK("https://klasma.github.io/Logging_0980/kartor/A 53552-2021 karta.png", "A 53552-2021")</f>
        <v/>
      </c>
      <c r="V143">
        <f>HYPERLINK("https://klasma.github.io/Logging_0980/klagomål/A 53552-2021 FSC-klagomål.docx", "A 53552-2021")</f>
        <v/>
      </c>
      <c r="W143">
        <f>HYPERLINK("https://klasma.github.io/Logging_0980/klagomålsmail/A 53552-2021 FSC-klagomål mail.docx", "A 53552-2021")</f>
        <v/>
      </c>
      <c r="X143">
        <f>HYPERLINK("https://klasma.github.io/Logging_0980/tillsyn/A 53552-2021 tillsynsbegäran.docx", "A 53552-2021")</f>
        <v/>
      </c>
      <c r="Y143">
        <f>HYPERLINK("https://klasma.github.io/Logging_0980/tillsynsmail/A 53552-2021 tillsynsbegäran mail.docx", "A 53552-2021")</f>
        <v/>
      </c>
    </row>
    <row r="144" ht="15" customHeight="1">
      <c r="A144" t="inlineStr">
        <is>
          <t>A 58821-2021</t>
        </is>
      </c>
      <c r="B144" s="1" t="n">
        <v>44489</v>
      </c>
      <c r="C144" s="1" t="n">
        <v>45822</v>
      </c>
      <c r="D144" t="inlineStr">
        <is>
          <t>GOTLANDS LÄN</t>
        </is>
      </c>
      <c r="E144" t="inlineStr">
        <is>
          <t>GOTLAND</t>
        </is>
      </c>
      <c r="G144" t="n">
        <v>2.5</v>
      </c>
      <c r="H144" t="n">
        <v>3</v>
      </c>
      <c r="I144" t="n">
        <v>1</v>
      </c>
      <c r="J144" t="n">
        <v>2</v>
      </c>
      <c r="K144" t="n">
        <v>0</v>
      </c>
      <c r="L144" t="n">
        <v>0</v>
      </c>
      <c r="M144" t="n">
        <v>0</v>
      </c>
      <c r="N144" t="n">
        <v>0</v>
      </c>
      <c r="O144" t="n">
        <v>2</v>
      </c>
      <c r="P144" t="n">
        <v>0</v>
      </c>
      <c r="Q144" t="n">
        <v>3</v>
      </c>
      <c r="R144" s="2" t="inlineStr">
        <is>
          <t>Apollofjäril
Svartfläckig blåvinge
Nästrot</t>
        </is>
      </c>
      <c r="S144">
        <f>HYPERLINK("https://klasma.github.io/Logging_0980/artfynd/A 58821-2021 artfynd.xlsx", "A 58821-2021")</f>
        <v/>
      </c>
      <c r="T144">
        <f>HYPERLINK("https://klasma.github.io/Logging_0980/kartor/A 58821-2021 karta.png", "A 58821-2021")</f>
        <v/>
      </c>
      <c r="V144">
        <f>HYPERLINK("https://klasma.github.io/Logging_0980/klagomål/A 58821-2021 FSC-klagomål.docx", "A 58821-2021")</f>
        <v/>
      </c>
      <c r="W144">
        <f>HYPERLINK("https://klasma.github.io/Logging_0980/klagomålsmail/A 58821-2021 FSC-klagomål mail.docx", "A 58821-2021")</f>
        <v/>
      </c>
      <c r="X144">
        <f>HYPERLINK("https://klasma.github.io/Logging_0980/tillsyn/A 58821-2021 tillsynsbegäran.docx", "A 58821-2021")</f>
        <v/>
      </c>
      <c r="Y144">
        <f>HYPERLINK("https://klasma.github.io/Logging_0980/tillsynsmail/A 58821-2021 tillsynsbegäran mail.docx", "A 58821-2021")</f>
        <v/>
      </c>
    </row>
    <row r="145" ht="15" customHeight="1">
      <c r="A145" t="inlineStr">
        <is>
          <t>A 13499-2022</t>
        </is>
      </c>
      <c r="B145" s="1" t="n">
        <v>44647</v>
      </c>
      <c r="C145" s="1" t="n">
        <v>45822</v>
      </c>
      <c r="D145" t="inlineStr">
        <is>
          <t>GOTLANDS LÄN</t>
        </is>
      </c>
      <c r="E145" t="inlineStr">
        <is>
          <t>GOTLAND</t>
        </is>
      </c>
      <c r="G145" t="n">
        <v>6.8</v>
      </c>
      <c r="H145" t="n">
        <v>3</v>
      </c>
      <c r="I145" t="n">
        <v>0</v>
      </c>
      <c r="J145" t="n">
        <v>1</v>
      </c>
      <c r="K145" t="n">
        <v>0</v>
      </c>
      <c r="L145" t="n">
        <v>0</v>
      </c>
      <c r="M145" t="n">
        <v>0</v>
      </c>
      <c r="N145" t="n">
        <v>0</v>
      </c>
      <c r="O145" t="n">
        <v>1</v>
      </c>
      <c r="P145" t="n">
        <v>0</v>
      </c>
      <c r="Q145" t="n">
        <v>3</v>
      </c>
      <c r="R145" s="2" t="inlineStr">
        <is>
          <t>Spillkråka
Sankt pers nycklar
Blåsippa</t>
        </is>
      </c>
      <c r="S145">
        <f>HYPERLINK("https://klasma.github.io/Logging_0980/artfynd/A 13499-2022 artfynd.xlsx", "A 13499-2022")</f>
        <v/>
      </c>
      <c r="T145">
        <f>HYPERLINK("https://klasma.github.io/Logging_0980/kartor/A 13499-2022 karta.png", "A 13499-2022")</f>
        <v/>
      </c>
      <c r="V145">
        <f>HYPERLINK("https://klasma.github.io/Logging_0980/klagomål/A 13499-2022 FSC-klagomål.docx", "A 13499-2022")</f>
        <v/>
      </c>
      <c r="W145">
        <f>HYPERLINK("https://klasma.github.io/Logging_0980/klagomålsmail/A 13499-2022 FSC-klagomål mail.docx", "A 13499-2022")</f>
        <v/>
      </c>
      <c r="X145">
        <f>HYPERLINK("https://klasma.github.io/Logging_0980/tillsyn/A 13499-2022 tillsynsbegäran.docx", "A 13499-2022")</f>
        <v/>
      </c>
      <c r="Y145">
        <f>HYPERLINK("https://klasma.github.io/Logging_0980/tillsynsmail/A 13499-2022 tillsynsbegäran mail.docx", "A 13499-2022")</f>
        <v/>
      </c>
      <c r="Z145">
        <f>HYPERLINK("https://klasma.github.io/Logging_0980/fåglar/A 13499-2022 prioriterade fågelarter.docx", "A 13499-2022")</f>
        <v/>
      </c>
    </row>
    <row r="146" ht="15" customHeight="1">
      <c r="A146" t="inlineStr">
        <is>
          <t>A 43013-2022</t>
        </is>
      </c>
      <c r="B146" s="1" t="n">
        <v>44833</v>
      </c>
      <c r="C146" s="1" t="n">
        <v>45822</v>
      </c>
      <c r="D146" t="inlineStr">
        <is>
          <t>GOTLANDS LÄN</t>
        </is>
      </c>
      <c r="E146" t="inlineStr">
        <is>
          <t>GOTLAND</t>
        </is>
      </c>
      <c r="G146" t="n">
        <v>9.300000000000001</v>
      </c>
      <c r="H146" t="n">
        <v>0</v>
      </c>
      <c r="I146" t="n">
        <v>2</v>
      </c>
      <c r="J146" t="n">
        <v>0</v>
      </c>
      <c r="K146" t="n">
        <v>1</v>
      </c>
      <c r="L146" t="n">
        <v>0</v>
      </c>
      <c r="M146" t="n">
        <v>0</v>
      </c>
      <c r="N146" t="n">
        <v>0</v>
      </c>
      <c r="O146" t="n">
        <v>1</v>
      </c>
      <c r="P146" t="n">
        <v>1</v>
      </c>
      <c r="Q146" t="n">
        <v>3</v>
      </c>
      <c r="R146" s="2" t="inlineStr">
        <is>
          <t>Violettfläckig spindling
Anisspindling
Blå slemspindling</t>
        </is>
      </c>
      <c r="S146">
        <f>HYPERLINK("https://klasma.github.io/Logging_0980/artfynd/A 43013-2022 artfynd.xlsx", "A 43013-2022")</f>
        <v/>
      </c>
      <c r="T146">
        <f>HYPERLINK("https://klasma.github.io/Logging_0980/kartor/A 43013-2022 karta.png", "A 43013-2022")</f>
        <v/>
      </c>
      <c r="V146">
        <f>HYPERLINK("https://klasma.github.io/Logging_0980/klagomål/A 43013-2022 FSC-klagomål.docx", "A 43013-2022")</f>
        <v/>
      </c>
      <c r="W146">
        <f>HYPERLINK("https://klasma.github.io/Logging_0980/klagomålsmail/A 43013-2022 FSC-klagomål mail.docx", "A 43013-2022")</f>
        <v/>
      </c>
      <c r="X146">
        <f>HYPERLINK("https://klasma.github.io/Logging_0980/tillsyn/A 43013-2022 tillsynsbegäran.docx", "A 43013-2022")</f>
        <v/>
      </c>
      <c r="Y146">
        <f>HYPERLINK("https://klasma.github.io/Logging_0980/tillsynsmail/A 43013-2022 tillsynsbegäran mail.docx", "A 43013-2022")</f>
        <v/>
      </c>
    </row>
    <row r="147" ht="15" customHeight="1">
      <c r="A147" t="inlineStr">
        <is>
          <t>A 44913-2022</t>
        </is>
      </c>
      <c r="B147" s="1" t="n">
        <v>44841</v>
      </c>
      <c r="C147" s="1" t="n">
        <v>45822</v>
      </c>
      <c r="D147" t="inlineStr">
        <is>
          <t>GOTLANDS LÄN</t>
        </is>
      </c>
      <c r="E147" t="inlineStr">
        <is>
          <t>GOTLAND</t>
        </is>
      </c>
      <c r="G147" t="n">
        <v>8.800000000000001</v>
      </c>
      <c r="H147" t="n">
        <v>1</v>
      </c>
      <c r="I147" t="n">
        <v>1</v>
      </c>
      <c r="J147" t="n">
        <v>1</v>
      </c>
      <c r="K147" t="n">
        <v>0</v>
      </c>
      <c r="L147" t="n">
        <v>0</v>
      </c>
      <c r="M147" t="n">
        <v>0</v>
      </c>
      <c r="N147" t="n">
        <v>0</v>
      </c>
      <c r="O147" t="n">
        <v>1</v>
      </c>
      <c r="P147" t="n">
        <v>0</v>
      </c>
      <c r="Q147" t="n">
        <v>3</v>
      </c>
      <c r="R147" s="2" t="inlineStr">
        <is>
          <t>Odörspindling
Granbarkgnagare
Kärrknipprot</t>
        </is>
      </c>
      <c r="S147">
        <f>HYPERLINK("https://klasma.github.io/Logging_0980/artfynd/A 44913-2022 artfynd.xlsx", "A 44913-2022")</f>
        <v/>
      </c>
      <c r="T147">
        <f>HYPERLINK("https://klasma.github.io/Logging_0980/kartor/A 44913-2022 karta.png", "A 44913-2022")</f>
        <v/>
      </c>
      <c r="V147">
        <f>HYPERLINK("https://klasma.github.io/Logging_0980/klagomål/A 44913-2022 FSC-klagomål.docx", "A 44913-2022")</f>
        <v/>
      </c>
      <c r="W147">
        <f>HYPERLINK("https://klasma.github.io/Logging_0980/klagomålsmail/A 44913-2022 FSC-klagomål mail.docx", "A 44913-2022")</f>
        <v/>
      </c>
      <c r="X147">
        <f>HYPERLINK("https://klasma.github.io/Logging_0980/tillsyn/A 44913-2022 tillsynsbegäran.docx", "A 44913-2022")</f>
        <v/>
      </c>
      <c r="Y147">
        <f>HYPERLINK("https://klasma.github.io/Logging_0980/tillsynsmail/A 44913-2022 tillsynsbegäran mail.docx", "A 44913-2022")</f>
        <v/>
      </c>
    </row>
    <row r="148" ht="15" customHeight="1">
      <c r="A148" t="inlineStr">
        <is>
          <t>A 17982-2023</t>
        </is>
      </c>
      <c r="B148" s="1" t="n">
        <v>45040</v>
      </c>
      <c r="C148" s="1" t="n">
        <v>45822</v>
      </c>
      <c r="D148" t="inlineStr">
        <is>
          <t>GOTLANDS LÄN</t>
        </is>
      </c>
      <c r="E148" t="inlineStr">
        <is>
          <t>GOTLAND</t>
        </is>
      </c>
      <c r="G148" t="n">
        <v>2.2</v>
      </c>
      <c r="H148" t="n">
        <v>0</v>
      </c>
      <c r="I148" t="n">
        <v>0</v>
      </c>
      <c r="J148" t="n">
        <v>2</v>
      </c>
      <c r="K148" t="n">
        <v>0</v>
      </c>
      <c r="L148" t="n">
        <v>0</v>
      </c>
      <c r="M148" t="n">
        <v>1</v>
      </c>
      <c r="N148" t="n">
        <v>0</v>
      </c>
      <c r="O148" t="n">
        <v>3</v>
      </c>
      <c r="P148" t="n">
        <v>1</v>
      </c>
      <c r="Q148" t="n">
        <v>3</v>
      </c>
      <c r="R148" s="2" t="inlineStr">
        <is>
          <t>Lundalm
Krusfrö
Ängsskära</t>
        </is>
      </c>
      <c r="S148">
        <f>HYPERLINK("https://klasma.github.io/Logging_0980/artfynd/A 17982-2023 artfynd.xlsx", "A 17982-2023")</f>
        <v/>
      </c>
      <c r="T148">
        <f>HYPERLINK("https://klasma.github.io/Logging_0980/kartor/A 17982-2023 karta.png", "A 17982-2023")</f>
        <v/>
      </c>
      <c r="V148">
        <f>HYPERLINK("https://klasma.github.io/Logging_0980/klagomål/A 17982-2023 FSC-klagomål.docx", "A 17982-2023")</f>
        <v/>
      </c>
      <c r="W148">
        <f>HYPERLINK("https://klasma.github.io/Logging_0980/klagomålsmail/A 17982-2023 FSC-klagomål mail.docx", "A 17982-2023")</f>
        <v/>
      </c>
      <c r="X148">
        <f>HYPERLINK("https://klasma.github.io/Logging_0980/tillsyn/A 17982-2023 tillsynsbegäran.docx", "A 17982-2023")</f>
        <v/>
      </c>
      <c r="Y148">
        <f>HYPERLINK("https://klasma.github.io/Logging_0980/tillsynsmail/A 17982-2023 tillsynsbegäran mail.docx", "A 17982-2023")</f>
        <v/>
      </c>
    </row>
    <row r="149" ht="15" customHeight="1">
      <c r="A149" t="inlineStr">
        <is>
          <t>A 27041-2023</t>
        </is>
      </c>
      <c r="B149" s="1" t="n">
        <v>45095</v>
      </c>
      <c r="C149" s="1" t="n">
        <v>45822</v>
      </c>
      <c r="D149" t="inlineStr">
        <is>
          <t>GOTLANDS LÄN</t>
        </is>
      </c>
      <c r="E149" t="inlineStr">
        <is>
          <t>GOTLAND</t>
        </is>
      </c>
      <c r="G149" t="n">
        <v>5.3</v>
      </c>
      <c r="H149" t="n">
        <v>0</v>
      </c>
      <c r="I149" t="n">
        <v>2</v>
      </c>
      <c r="J149" t="n">
        <v>1</v>
      </c>
      <c r="K149" t="n">
        <v>0</v>
      </c>
      <c r="L149" t="n">
        <v>0</v>
      </c>
      <c r="M149" t="n">
        <v>0</v>
      </c>
      <c r="N149" t="n">
        <v>0</v>
      </c>
      <c r="O149" t="n">
        <v>1</v>
      </c>
      <c r="P149" t="n">
        <v>0</v>
      </c>
      <c r="Q149" t="n">
        <v>3</v>
      </c>
      <c r="R149" s="2" t="inlineStr">
        <is>
          <t>Odörspindling
Anisspindling
Besk kastanjemusseron</t>
        </is>
      </c>
      <c r="S149">
        <f>HYPERLINK("https://klasma.github.io/Logging_0980/artfynd/A 27041-2023 artfynd.xlsx", "A 27041-2023")</f>
        <v/>
      </c>
      <c r="T149">
        <f>HYPERLINK("https://klasma.github.io/Logging_0980/kartor/A 27041-2023 karta.png", "A 27041-2023")</f>
        <v/>
      </c>
      <c r="V149">
        <f>HYPERLINK("https://klasma.github.io/Logging_0980/klagomål/A 27041-2023 FSC-klagomål.docx", "A 27041-2023")</f>
        <v/>
      </c>
      <c r="W149">
        <f>HYPERLINK("https://klasma.github.io/Logging_0980/klagomålsmail/A 27041-2023 FSC-klagomål mail.docx", "A 27041-2023")</f>
        <v/>
      </c>
      <c r="X149">
        <f>HYPERLINK("https://klasma.github.io/Logging_0980/tillsyn/A 27041-2023 tillsynsbegäran.docx", "A 27041-2023")</f>
        <v/>
      </c>
      <c r="Y149">
        <f>HYPERLINK("https://klasma.github.io/Logging_0980/tillsynsmail/A 27041-2023 tillsynsbegäran mail.docx", "A 27041-2023")</f>
        <v/>
      </c>
    </row>
    <row r="150" ht="15" customHeight="1">
      <c r="A150" t="inlineStr">
        <is>
          <t>A 27280-2023</t>
        </is>
      </c>
      <c r="B150" s="1" t="n">
        <v>45096</v>
      </c>
      <c r="C150" s="1" t="n">
        <v>45822</v>
      </c>
      <c r="D150" t="inlineStr">
        <is>
          <t>GOTLANDS LÄN</t>
        </is>
      </c>
      <c r="E150" t="inlineStr">
        <is>
          <t>GOTLAND</t>
        </is>
      </c>
      <c r="G150" t="n">
        <v>2.7</v>
      </c>
      <c r="H150" t="n">
        <v>3</v>
      </c>
      <c r="I150" t="n">
        <v>0</v>
      </c>
      <c r="J150" t="n">
        <v>1</v>
      </c>
      <c r="K150" t="n">
        <v>0</v>
      </c>
      <c r="L150" t="n">
        <v>0</v>
      </c>
      <c r="M150" t="n">
        <v>0</v>
      </c>
      <c r="N150" t="n">
        <v>0</v>
      </c>
      <c r="O150" t="n">
        <v>1</v>
      </c>
      <c r="P150" t="n">
        <v>0</v>
      </c>
      <c r="Q150" t="n">
        <v>3</v>
      </c>
      <c r="R150" s="2" t="inlineStr">
        <is>
          <t>Mindre hackspett
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c r="Z150">
        <f>HYPERLINK("https://klasma.github.io/Logging_0980/fåglar/A 27280-2023 prioriterade fågelarter.docx", "A 27280-2023")</f>
        <v/>
      </c>
    </row>
    <row r="151" ht="15" customHeight="1">
      <c r="A151" t="inlineStr">
        <is>
          <t>A 12315-2024</t>
        </is>
      </c>
      <c r="B151" s="1" t="n">
        <v>45378</v>
      </c>
      <c r="C151" s="1" t="n">
        <v>45822</v>
      </c>
      <c r="D151" t="inlineStr">
        <is>
          <t>GOTLANDS LÄN</t>
        </is>
      </c>
      <c r="E151" t="inlineStr">
        <is>
          <t>GOTLAND</t>
        </is>
      </c>
      <c r="G151" t="n">
        <v>6</v>
      </c>
      <c r="H151" t="n">
        <v>3</v>
      </c>
      <c r="I151" t="n">
        <v>1</v>
      </c>
      <c r="J151" t="n">
        <v>1</v>
      </c>
      <c r="K151" t="n">
        <v>0</v>
      </c>
      <c r="L151" t="n">
        <v>0</v>
      </c>
      <c r="M151" t="n">
        <v>0</v>
      </c>
      <c r="N151" t="n">
        <v>0</v>
      </c>
      <c r="O151" t="n">
        <v>1</v>
      </c>
      <c r="P151" t="n">
        <v>0</v>
      </c>
      <c r="Q151" t="n">
        <v>3</v>
      </c>
      <c r="R151" s="2" t="inlineStr">
        <is>
          <t>Buskskvätta
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c r="Z151">
        <f>HYPERLINK("https://klasma.github.io/Logging_0980/fåglar/A 12315-2024 prioriterade fågelarter.docx", "A 12315-2024")</f>
        <v/>
      </c>
    </row>
    <row r="152" ht="15" customHeight="1">
      <c r="A152" t="inlineStr">
        <is>
          <t>A 16542-2024</t>
        </is>
      </c>
      <c r="B152" s="1" t="n">
        <v>45408</v>
      </c>
      <c r="C152" s="1" t="n">
        <v>45822</v>
      </c>
      <c r="D152" t="inlineStr">
        <is>
          <t>GOTLANDS LÄN</t>
        </is>
      </c>
      <c r="E152" t="inlineStr">
        <is>
          <t>GOTLAND</t>
        </is>
      </c>
      <c r="G152" t="n">
        <v>1.6</v>
      </c>
      <c r="H152" t="n">
        <v>2</v>
      </c>
      <c r="I152" t="n">
        <v>2</v>
      </c>
      <c r="J152" t="n">
        <v>1</v>
      </c>
      <c r="K152" t="n">
        <v>0</v>
      </c>
      <c r="L152" t="n">
        <v>0</v>
      </c>
      <c r="M152" t="n">
        <v>0</v>
      </c>
      <c r="N152" t="n">
        <v>0</v>
      </c>
      <c r="O152" t="n">
        <v>1</v>
      </c>
      <c r="P152" t="n">
        <v>0</v>
      </c>
      <c r="Q152" t="n">
        <v>3</v>
      </c>
      <c r="R152" s="2" t="inlineStr">
        <is>
          <t>Tallticka
Nästrot
Tvåblad</t>
        </is>
      </c>
      <c r="S152">
        <f>HYPERLINK("https://klasma.github.io/Logging_0980/artfynd/A 16542-2024 artfynd.xlsx", "A 16542-2024")</f>
        <v/>
      </c>
      <c r="T152">
        <f>HYPERLINK("https://klasma.github.io/Logging_0980/kartor/A 16542-2024 karta.png", "A 16542-2024")</f>
        <v/>
      </c>
      <c r="V152">
        <f>HYPERLINK("https://klasma.github.io/Logging_0980/klagomål/A 16542-2024 FSC-klagomål.docx", "A 16542-2024")</f>
        <v/>
      </c>
      <c r="W152">
        <f>HYPERLINK("https://klasma.github.io/Logging_0980/klagomålsmail/A 16542-2024 FSC-klagomål mail.docx", "A 16542-2024")</f>
        <v/>
      </c>
      <c r="X152">
        <f>HYPERLINK("https://klasma.github.io/Logging_0980/tillsyn/A 16542-2024 tillsynsbegäran.docx", "A 16542-2024")</f>
        <v/>
      </c>
      <c r="Y152">
        <f>HYPERLINK("https://klasma.github.io/Logging_0980/tillsynsmail/A 16542-2024 tillsynsbegäran mail.docx", "A 16542-2024")</f>
        <v/>
      </c>
    </row>
    <row r="153" ht="15" customHeight="1">
      <c r="A153" t="inlineStr">
        <is>
          <t>A 17975-2024</t>
        </is>
      </c>
      <c r="B153" s="1" t="n">
        <v>45419</v>
      </c>
      <c r="C153" s="1" t="n">
        <v>45822</v>
      </c>
      <c r="D153" t="inlineStr">
        <is>
          <t>GOTLANDS LÄN</t>
        </is>
      </c>
      <c r="E153" t="inlineStr">
        <is>
          <t>GOTLAND</t>
        </is>
      </c>
      <c r="G153" t="n">
        <v>7.9</v>
      </c>
      <c r="H153" t="n">
        <v>0</v>
      </c>
      <c r="I153" t="n">
        <v>1</v>
      </c>
      <c r="J153" t="n">
        <v>1</v>
      </c>
      <c r="K153" t="n">
        <v>0</v>
      </c>
      <c r="L153" t="n">
        <v>1</v>
      </c>
      <c r="M153" t="n">
        <v>0</v>
      </c>
      <c r="N153" t="n">
        <v>0</v>
      </c>
      <c r="O153" t="n">
        <v>2</v>
      </c>
      <c r="P153" t="n">
        <v>1</v>
      </c>
      <c r="Q153" t="n">
        <v>3</v>
      </c>
      <c r="R153" s="2" t="inlineStr">
        <is>
          <t>Ask
Skugglosta
Strävlosta</t>
        </is>
      </c>
      <c r="S153">
        <f>HYPERLINK("https://klasma.github.io/Logging_0980/artfynd/A 17975-2024 artfynd.xlsx", "A 17975-2024")</f>
        <v/>
      </c>
      <c r="T153">
        <f>HYPERLINK("https://klasma.github.io/Logging_0980/kartor/A 17975-2024 karta.png", "A 17975-2024")</f>
        <v/>
      </c>
      <c r="V153">
        <f>HYPERLINK("https://klasma.github.io/Logging_0980/klagomål/A 17975-2024 FSC-klagomål.docx", "A 17975-2024")</f>
        <v/>
      </c>
      <c r="W153">
        <f>HYPERLINK("https://klasma.github.io/Logging_0980/klagomålsmail/A 17975-2024 FSC-klagomål mail.docx", "A 17975-2024")</f>
        <v/>
      </c>
      <c r="X153">
        <f>HYPERLINK("https://klasma.github.io/Logging_0980/tillsyn/A 17975-2024 tillsynsbegäran.docx", "A 17975-2024")</f>
        <v/>
      </c>
      <c r="Y153">
        <f>HYPERLINK("https://klasma.github.io/Logging_0980/tillsynsmail/A 17975-2024 tillsynsbegäran mail.docx", "A 17975-2024")</f>
        <v/>
      </c>
    </row>
    <row r="154" ht="15" customHeight="1">
      <c r="A154" t="inlineStr">
        <is>
          <t>A 24345-2024</t>
        </is>
      </c>
      <c r="B154" s="1" t="n">
        <v>45457</v>
      </c>
      <c r="C154" s="1" t="n">
        <v>45822</v>
      </c>
      <c r="D154" t="inlineStr">
        <is>
          <t>GOTLANDS LÄN</t>
        </is>
      </c>
      <c r="E154" t="inlineStr">
        <is>
          <t>GOTLAND</t>
        </is>
      </c>
      <c r="G154" t="n">
        <v>5.2</v>
      </c>
      <c r="H154" t="n">
        <v>1</v>
      </c>
      <c r="I154" t="n">
        <v>1</v>
      </c>
      <c r="J154" t="n">
        <v>2</v>
      </c>
      <c r="K154" t="n">
        <v>0</v>
      </c>
      <c r="L154" t="n">
        <v>0</v>
      </c>
      <c r="M154" t="n">
        <v>0</v>
      </c>
      <c r="N154" t="n">
        <v>0</v>
      </c>
      <c r="O154" t="n">
        <v>2</v>
      </c>
      <c r="P154" t="n">
        <v>0</v>
      </c>
      <c r="Q154" t="n">
        <v>3</v>
      </c>
      <c r="R154" s="2" t="inlineStr">
        <is>
          <t>Backtimjan
Dårgräsfjäril
Rödgul trumpetsvamp</t>
        </is>
      </c>
      <c r="S154">
        <f>HYPERLINK("https://klasma.github.io/Logging_0980/artfynd/A 24345-2024 artfynd.xlsx", "A 24345-2024")</f>
        <v/>
      </c>
      <c r="T154">
        <f>HYPERLINK("https://klasma.github.io/Logging_0980/kartor/A 24345-2024 karta.png", "A 24345-2024")</f>
        <v/>
      </c>
      <c r="V154">
        <f>HYPERLINK("https://klasma.github.io/Logging_0980/klagomål/A 24345-2024 FSC-klagomål.docx", "A 24345-2024")</f>
        <v/>
      </c>
      <c r="W154">
        <f>HYPERLINK("https://klasma.github.io/Logging_0980/klagomålsmail/A 24345-2024 FSC-klagomål mail.docx", "A 24345-2024")</f>
        <v/>
      </c>
      <c r="X154">
        <f>HYPERLINK("https://klasma.github.io/Logging_0980/tillsyn/A 24345-2024 tillsynsbegäran.docx", "A 24345-2024")</f>
        <v/>
      </c>
      <c r="Y154">
        <f>HYPERLINK("https://klasma.github.io/Logging_0980/tillsynsmail/A 24345-2024 tillsynsbegäran mail.docx", "A 24345-2024")</f>
        <v/>
      </c>
    </row>
    <row r="155" ht="15" customHeight="1">
      <c r="A155" t="inlineStr">
        <is>
          <t>A 25981-2024</t>
        </is>
      </c>
      <c r="B155" s="1" t="n">
        <v>45467</v>
      </c>
      <c r="C155" s="1" t="n">
        <v>45822</v>
      </c>
      <c r="D155" t="inlineStr">
        <is>
          <t>GOTLANDS LÄN</t>
        </is>
      </c>
      <c r="E155" t="inlineStr">
        <is>
          <t>GOTLAND</t>
        </is>
      </c>
      <c r="G155" t="n">
        <v>5.9</v>
      </c>
      <c r="H155" t="n">
        <v>3</v>
      </c>
      <c r="I155" t="n">
        <v>2</v>
      </c>
      <c r="J155" t="n">
        <v>0</v>
      </c>
      <c r="K155" t="n">
        <v>0</v>
      </c>
      <c r="L155" t="n">
        <v>0</v>
      </c>
      <c r="M155" t="n">
        <v>0</v>
      </c>
      <c r="N155" t="n">
        <v>0</v>
      </c>
      <c r="O155" t="n">
        <v>0</v>
      </c>
      <c r="P155" t="n">
        <v>0</v>
      </c>
      <c r="Q155" t="n">
        <v>3</v>
      </c>
      <c r="R155" s="2" t="inlineStr">
        <is>
          <t>Purpurknipprot
Skogsknipprot
Fläcknycklar</t>
        </is>
      </c>
      <c r="S155">
        <f>HYPERLINK("https://klasma.github.io/Logging_0980/artfynd/A 25981-2024 artfynd.xlsx", "A 25981-2024")</f>
        <v/>
      </c>
      <c r="T155">
        <f>HYPERLINK("https://klasma.github.io/Logging_0980/kartor/A 25981-2024 karta.png", "A 25981-2024")</f>
        <v/>
      </c>
      <c r="V155">
        <f>HYPERLINK("https://klasma.github.io/Logging_0980/klagomål/A 25981-2024 FSC-klagomål.docx", "A 25981-2024")</f>
        <v/>
      </c>
      <c r="W155">
        <f>HYPERLINK("https://klasma.github.io/Logging_0980/klagomålsmail/A 25981-2024 FSC-klagomål mail.docx", "A 25981-2024")</f>
        <v/>
      </c>
      <c r="X155">
        <f>HYPERLINK("https://klasma.github.io/Logging_0980/tillsyn/A 25981-2024 tillsynsbegäran.docx", "A 25981-2024")</f>
        <v/>
      </c>
      <c r="Y155">
        <f>HYPERLINK("https://klasma.github.io/Logging_0980/tillsynsmail/A 25981-2024 tillsynsbegäran mail.docx", "A 25981-2024")</f>
        <v/>
      </c>
    </row>
    <row r="156" ht="15" customHeight="1">
      <c r="A156" t="inlineStr">
        <is>
          <t>A 54940-2024</t>
        </is>
      </c>
      <c r="B156" s="1" t="n">
        <v>45618</v>
      </c>
      <c r="C156" s="1" t="n">
        <v>45822</v>
      </c>
      <c r="D156" t="inlineStr">
        <is>
          <t>GOTLANDS LÄN</t>
        </is>
      </c>
      <c r="E156" t="inlineStr">
        <is>
          <t>GOTLAND</t>
        </is>
      </c>
      <c r="G156" t="n">
        <v>1.2</v>
      </c>
      <c r="H156" t="n">
        <v>2</v>
      </c>
      <c r="I156" t="n">
        <v>0</v>
      </c>
      <c r="J156" t="n">
        <v>1</v>
      </c>
      <c r="K156" t="n">
        <v>0</v>
      </c>
      <c r="L156" t="n">
        <v>0</v>
      </c>
      <c r="M156" t="n">
        <v>0</v>
      </c>
      <c r="N156" t="n">
        <v>0</v>
      </c>
      <c r="O156" t="n">
        <v>1</v>
      </c>
      <c r="P156" t="n">
        <v>0</v>
      </c>
      <c r="Q156" t="n">
        <v>3</v>
      </c>
      <c r="R156" s="2" t="inlineStr">
        <is>
          <t>Ängsstarr
Brudsporre
Dactylorhiza incarnata subsp. incarnata</t>
        </is>
      </c>
      <c r="S156">
        <f>HYPERLINK("https://klasma.github.io/Logging_0980/artfynd/A 54940-2024 artfynd.xlsx", "A 54940-2024")</f>
        <v/>
      </c>
      <c r="T156">
        <f>HYPERLINK("https://klasma.github.io/Logging_0980/kartor/A 54940-2024 karta.png", "A 54940-2024")</f>
        <v/>
      </c>
      <c r="V156">
        <f>HYPERLINK("https://klasma.github.io/Logging_0980/klagomål/A 54940-2024 FSC-klagomål.docx", "A 54940-2024")</f>
        <v/>
      </c>
      <c r="W156">
        <f>HYPERLINK("https://klasma.github.io/Logging_0980/klagomålsmail/A 54940-2024 FSC-klagomål mail.docx", "A 54940-2024")</f>
        <v/>
      </c>
      <c r="X156">
        <f>HYPERLINK("https://klasma.github.io/Logging_0980/tillsyn/A 54940-2024 tillsynsbegäran.docx", "A 54940-2024")</f>
        <v/>
      </c>
      <c r="Y156">
        <f>HYPERLINK("https://klasma.github.io/Logging_0980/tillsynsmail/A 54940-2024 tillsynsbegäran mail.docx", "A 54940-2024")</f>
        <v/>
      </c>
    </row>
    <row r="157" ht="15" customHeight="1">
      <c r="A157" t="inlineStr">
        <is>
          <t>A 2318-2025</t>
        </is>
      </c>
      <c r="B157" s="1" t="n">
        <v>45673</v>
      </c>
      <c r="C157" s="1" t="n">
        <v>45822</v>
      </c>
      <c r="D157" t="inlineStr">
        <is>
          <t>GOTLANDS LÄN</t>
        </is>
      </c>
      <c r="E157" t="inlineStr">
        <is>
          <t>GOTLAND</t>
        </is>
      </c>
      <c r="G157" t="n">
        <v>26.3</v>
      </c>
      <c r="H157" t="n">
        <v>0</v>
      </c>
      <c r="I157" t="n">
        <v>1</v>
      </c>
      <c r="J157" t="n">
        <v>1</v>
      </c>
      <c r="K157" t="n">
        <v>1</v>
      </c>
      <c r="L157" t="n">
        <v>0</v>
      </c>
      <c r="M157" t="n">
        <v>0</v>
      </c>
      <c r="N157" t="n">
        <v>0</v>
      </c>
      <c r="O157" t="n">
        <v>2</v>
      </c>
      <c r="P157" t="n">
        <v>1</v>
      </c>
      <c r="Q157" t="n">
        <v>3</v>
      </c>
      <c r="R157" s="2" t="inlineStr">
        <is>
          <t>Strandviol
Lunglav
Strävlosta</t>
        </is>
      </c>
      <c r="S157">
        <f>HYPERLINK("https://klasma.github.io/Logging_0980/artfynd/A 2318-2025 artfynd.xlsx", "A 2318-2025")</f>
        <v/>
      </c>
      <c r="T157">
        <f>HYPERLINK("https://klasma.github.io/Logging_0980/kartor/A 2318-2025 karta.png", "A 2318-2025")</f>
        <v/>
      </c>
      <c r="V157">
        <f>HYPERLINK("https://klasma.github.io/Logging_0980/klagomål/A 2318-2025 FSC-klagomål.docx", "A 2318-2025")</f>
        <v/>
      </c>
      <c r="W157">
        <f>HYPERLINK("https://klasma.github.io/Logging_0980/klagomålsmail/A 2318-2025 FSC-klagomål mail.docx", "A 2318-2025")</f>
        <v/>
      </c>
      <c r="X157">
        <f>HYPERLINK("https://klasma.github.io/Logging_0980/tillsyn/A 2318-2025 tillsynsbegäran.docx", "A 2318-2025")</f>
        <v/>
      </c>
      <c r="Y157">
        <f>HYPERLINK("https://klasma.github.io/Logging_0980/tillsynsmail/A 2318-2025 tillsynsbegäran mail.docx", "A 2318-2025")</f>
        <v/>
      </c>
    </row>
    <row r="158" ht="15" customHeight="1">
      <c r="A158" t="inlineStr">
        <is>
          <t>A 21897-2019</t>
        </is>
      </c>
      <c r="B158" s="1" t="n">
        <v>43584</v>
      </c>
      <c r="C158" s="1" t="n">
        <v>45822</v>
      </c>
      <c r="D158" t="inlineStr">
        <is>
          <t>GOTLANDS LÄN</t>
        </is>
      </c>
      <c r="E158" t="inlineStr">
        <is>
          <t>GOTLAND</t>
        </is>
      </c>
      <c r="G158" t="n">
        <v>7.4</v>
      </c>
      <c r="H158" t="n">
        <v>2</v>
      </c>
      <c r="I158" t="n">
        <v>1</v>
      </c>
      <c r="J158" t="n">
        <v>0</v>
      </c>
      <c r="K158" t="n">
        <v>0</v>
      </c>
      <c r="L158" t="n">
        <v>0</v>
      </c>
      <c r="M158" t="n">
        <v>0</v>
      </c>
      <c r="N158" t="n">
        <v>0</v>
      </c>
      <c r="O158" t="n">
        <v>0</v>
      </c>
      <c r="P158" t="n">
        <v>0</v>
      </c>
      <c r="Q158" t="n">
        <v>2</v>
      </c>
      <c r="R158" s="2" t="inlineStr">
        <is>
          <t>Korallrot
Nattviol</t>
        </is>
      </c>
      <c r="S158">
        <f>HYPERLINK("https://klasma.github.io/Logging_0980/artfynd/A 21897-2019 artfynd.xlsx", "A 21897-2019")</f>
        <v/>
      </c>
      <c r="T158">
        <f>HYPERLINK("https://klasma.github.io/Logging_0980/kartor/A 21897-2019 karta.png", "A 21897-2019")</f>
        <v/>
      </c>
      <c r="V158">
        <f>HYPERLINK("https://klasma.github.io/Logging_0980/klagomål/A 21897-2019 FSC-klagomål.docx", "A 21897-2019")</f>
        <v/>
      </c>
      <c r="W158">
        <f>HYPERLINK("https://klasma.github.io/Logging_0980/klagomålsmail/A 21897-2019 FSC-klagomål mail.docx", "A 21897-2019")</f>
        <v/>
      </c>
      <c r="X158">
        <f>HYPERLINK("https://klasma.github.io/Logging_0980/tillsyn/A 21897-2019 tillsynsbegäran.docx", "A 21897-2019")</f>
        <v/>
      </c>
      <c r="Y158">
        <f>HYPERLINK("https://klasma.github.io/Logging_0980/tillsynsmail/A 21897-2019 tillsynsbegäran mail.docx", "A 21897-2019")</f>
        <v/>
      </c>
    </row>
    <row r="159" ht="15" customHeight="1">
      <c r="A159" t="inlineStr">
        <is>
          <t>A 32969-2019</t>
        </is>
      </c>
      <c r="B159" s="1" t="n">
        <v>43648</v>
      </c>
      <c r="C159" s="1" t="n">
        <v>45822</v>
      </c>
      <c r="D159" t="inlineStr">
        <is>
          <t>GOTLANDS LÄN</t>
        </is>
      </c>
      <c r="E159" t="inlineStr">
        <is>
          <t>GOTLAND</t>
        </is>
      </c>
      <c r="G159" t="n">
        <v>5.1</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32969-2019 artfynd.xlsx", "A 32969-2019")</f>
        <v/>
      </c>
      <c r="T159">
        <f>HYPERLINK("https://klasma.github.io/Logging_0980/kartor/A 32969-2019 karta.png", "A 32969-2019")</f>
        <v/>
      </c>
      <c r="V159">
        <f>HYPERLINK("https://klasma.github.io/Logging_0980/klagomål/A 32969-2019 FSC-klagomål.docx", "A 32969-2019")</f>
        <v/>
      </c>
      <c r="W159">
        <f>HYPERLINK("https://klasma.github.io/Logging_0980/klagomålsmail/A 32969-2019 FSC-klagomål mail.docx", "A 32969-2019")</f>
        <v/>
      </c>
      <c r="X159">
        <f>HYPERLINK("https://klasma.github.io/Logging_0980/tillsyn/A 32969-2019 tillsynsbegäran.docx", "A 32969-2019")</f>
        <v/>
      </c>
      <c r="Y159">
        <f>HYPERLINK("https://klasma.github.io/Logging_0980/tillsynsmail/A 32969-2019 tillsynsbegäran mail.docx", "A 32969-2019")</f>
        <v/>
      </c>
    </row>
    <row r="160" ht="15" customHeight="1">
      <c r="A160" t="inlineStr">
        <is>
          <t>A 32966-2019</t>
        </is>
      </c>
      <c r="B160" s="1" t="n">
        <v>43648</v>
      </c>
      <c r="C160" s="1" t="n">
        <v>45822</v>
      </c>
      <c r="D160" t="inlineStr">
        <is>
          <t>GOTLANDS LÄN</t>
        </is>
      </c>
      <c r="E160" t="inlineStr">
        <is>
          <t>GOTLAND</t>
        </is>
      </c>
      <c r="G160" t="n">
        <v>4</v>
      </c>
      <c r="H160" t="n">
        <v>1</v>
      </c>
      <c r="I160" t="n">
        <v>1</v>
      </c>
      <c r="J160" t="n">
        <v>0</v>
      </c>
      <c r="K160" t="n">
        <v>0</v>
      </c>
      <c r="L160" t="n">
        <v>0</v>
      </c>
      <c r="M160" t="n">
        <v>0</v>
      </c>
      <c r="N160" t="n">
        <v>0</v>
      </c>
      <c r="O160" t="n">
        <v>0</v>
      </c>
      <c r="P160" t="n">
        <v>0</v>
      </c>
      <c r="Q160" t="n">
        <v>2</v>
      </c>
      <c r="R160" s="2" t="inlineStr">
        <is>
          <t>Kattfotslav
Blåsippa</t>
        </is>
      </c>
      <c r="S160">
        <f>HYPERLINK("https://klasma.github.io/Logging_0980/artfynd/A 32966-2019 artfynd.xlsx", "A 32966-2019")</f>
        <v/>
      </c>
      <c r="T160">
        <f>HYPERLINK("https://klasma.github.io/Logging_0980/kartor/A 32966-2019 karta.png", "A 32966-2019")</f>
        <v/>
      </c>
      <c r="V160">
        <f>HYPERLINK("https://klasma.github.io/Logging_0980/klagomål/A 32966-2019 FSC-klagomål.docx", "A 32966-2019")</f>
        <v/>
      </c>
      <c r="W160">
        <f>HYPERLINK("https://klasma.github.io/Logging_0980/klagomålsmail/A 32966-2019 FSC-klagomål mail.docx", "A 32966-2019")</f>
        <v/>
      </c>
      <c r="X160">
        <f>HYPERLINK("https://klasma.github.io/Logging_0980/tillsyn/A 32966-2019 tillsynsbegäran.docx", "A 32966-2019")</f>
        <v/>
      </c>
      <c r="Y160">
        <f>HYPERLINK("https://klasma.github.io/Logging_0980/tillsynsmail/A 32966-2019 tillsynsbegäran mail.docx", "A 32966-2019")</f>
        <v/>
      </c>
    </row>
    <row r="161" ht="15" customHeight="1">
      <c r="A161" t="inlineStr">
        <is>
          <t>A 43304-2019</t>
        </is>
      </c>
      <c r="B161" s="1" t="n">
        <v>43706</v>
      </c>
      <c r="C161" s="1" t="n">
        <v>45822</v>
      </c>
      <c r="D161" t="inlineStr">
        <is>
          <t>GOTLANDS LÄN</t>
        </is>
      </c>
      <c r="E161" t="inlineStr">
        <is>
          <t>GOTLAND</t>
        </is>
      </c>
      <c r="G161" t="n">
        <v>3.2</v>
      </c>
      <c r="H161" t="n">
        <v>2</v>
      </c>
      <c r="I161" t="n">
        <v>1</v>
      </c>
      <c r="J161" t="n">
        <v>0</v>
      </c>
      <c r="K161" t="n">
        <v>0</v>
      </c>
      <c r="L161" t="n">
        <v>0</v>
      </c>
      <c r="M161" t="n">
        <v>0</v>
      </c>
      <c r="N161" t="n">
        <v>0</v>
      </c>
      <c r="O161" t="n">
        <v>0</v>
      </c>
      <c r="P161" t="n">
        <v>0</v>
      </c>
      <c r="Q161" t="n">
        <v>2</v>
      </c>
      <c r="R161" s="2" t="inlineStr">
        <is>
          <t>Skogsknipprot
Blåsippa</t>
        </is>
      </c>
      <c r="S161">
        <f>HYPERLINK("https://klasma.github.io/Logging_0980/artfynd/A 43304-2019 artfynd.xlsx", "A 43304-2019")</f>
        <v/>
      </c>
      <c r="T161">
        <f>HYPERLINK("https://klasma.github.io/Logging_0980/kartor/A 43304-2019 karta.png", "A 43304-2019")</f>
        <v/>
      </c>
      <c r="V161">
        <f>HYPERLINK("https://klasma.github.io/Logging_0980/klagomål/A 43304-2019 FSC-klagomål.docx", "A 43304-2019")</f>
        <v/>
      </c>
      <c r="W161">
        <f>HYPERLINK("https://klasma.github.io/Logging_0980/klagomålsmail/A 43304-2019 FSC-klagomål mail.docx", "A 43304-2019")</f>
        <v/>
      </c>
      <c r="X161">
        <f>HYPERLINK("https://klasma.github.io/Logging_0980/tillsyn/A 43304-2019 tillsynsbegäran.docx", "A 43304-2019")</f>
        <v/>
      </c>
      <c r="Y161">
        <f>HYPERLINK("https://klasma.github.io/Logging_0980/tillsynsmail/A 43304-2019 tillsynsbegäran mail.docx", "A 43304-2019")</f>
        <v/>
      </c>
    </row>
    <row r="162" ht="15" customHeight="1">
      <c r="A162" t="inlineStr">
        <is>
          <t>A 334-2020</t>
        </is>
      </c>
      <c r="B162" s="1" t="n">
        <v>43837</v>
      </c>
      <c r="C162" s="1" t="n">
        <v>45822</v>
      </c>
      <c r="D162" t="inlineStr">
        <is>
          <t>GOTLANDS LÄN</t>
        </is>
      </c>
      <c r="E162" t="inlineStr">
        <is>
          <t>GOTLAND</t>
        </is>
      </c>
      <c r="G162" t="n">
        <v>5.3</v>
      </c>
      <c r="H162" t="n">
        <v>2</v>
      </c>
      <c r="I162" t="n">
        <v>0</v>
      </c>
      <c r="J162" t="n">
        <v>1</v>
      </c>
      <c r="K162" t="n">
        <v>0</v>
      </c>
      <c r="L162" t="n">
        <v>0</v>
      </c>
      <c r="M162" t="n">
        <v>0</v>
      </c>
      <c r="N162" t="n">
        <v>0</v>
      </c>
      <c r="O162" t="n">
        <v>1</v>
      </c>
      <c r="P162" t="n">
        <v>0</v>
      </c>
      <c r="Q162" t="n">
        <v>2</v>
      </c>
      <c r="R162" s="2" t="inlineStr">
        <is>
          <t>Smådopping
Mindre vattensalamander</t>
        </is>
      </c>
      <c r="S162">
        <f>HYPERLINK("https://klasma.github.io/Logging_0980/artfynd/A 334-2020 artfynd.xlsx", "A 334-2020")</f>
        <v/>
      </c>
      <c r="T162">
        <f>HYPERLINK("https://klasma.github.io/Logging_0980/kartor/A 334-2020 karta.png", "A 334-2020")</f>
        <v/>
      </c>
      <c r="V162">
        <f>HYPERLINK("https://klasma.github.io/Logging_0980/klagomål/A 334-2020 FSC-klagomål.docx", "A 334-2020")</f>
        <v/>
      </c>
      <c r="W162">
        <f>HYPERLINK("https://klasma.github.io/Logging_0980/klagomålsmail/A 334-2020 FSC-klagomål mail.docx", "A 334-2020")</f>
        <v/>
      </c>
      <c r="X162">
        <f>HYPERLINK("https://klasma.github.io/Logging_0980/tillsyn/A 334-2020 tillsynsbegäran.docx", "A 334-2020")</f>
        <v/>
      </c>
      <c r="Y162">
        <f>HYPERLINK("https://klasma.github.io/Logging_0980/tillsynsmail/A 334-2020 tillsynsbegäran mail.docx", "A 334-2020")</f>
        <v/>
      </c>
    </row>
    <row r="163" ht="15" customHeight="1">
      <c r="A163" t="inlineStr">
        <is>
          <t>A 4812-2020</t>
        </is>
      </c>
      <c r="B163" s="1" t="n">
        <v>43852</v>
      </c>
      <c r="C163" s="1" t="n">
        <v>45822</v>
      </c>
      <c r="D163" t="inlineStr">
        <is>
          <t>GOTLANDS LÄN</t>
        </is>
      </c>
      <c r="E163" t="inlineStr">
        <is>
          <t>GOTLAND</t>
        </is>
      </c>
      <c r="G163" t="n">
        <v>3.9</v>
      </c>
      <c r="H163" t="n">
        <v>1</v>
      </c>
      <c r="I163" t="n">
        <v>1</v>
      </c>
      <c r="J163" t="n">
        <v>0</v>
      </c>
      <c r="K163" t="n">
        <v>1</v>
      </c>
      <c r="L163" t="n">
        <v>0</v>
      </c>
      <c r="M163" t="n">
        <v>0</v>
      </c>
      <c r="N163" t="n">
        <v>0</v>
      </c>
      <c r="O163" t="n">
        <v>1</v>
      </c>
      <c r="P163" t="n">
        <v>1</v>
      </c>
      <c r="Q163" t="n">
        <v>2</v>
      </c>
      <c r="R163" s="2" t="inlineStr">
        <is>
          <t>Gotlandsmåra
Nästrot</t>
        </is>
      </c>
      <c r="S163">
        <f>HYPERLINK("https://klasma.github.io/Logging_0980/artfynd/A 4812-2020 artfynd.xlsx", "A 4812-2020")</f>
        <v/>
      </c>
      <c r="T163">
        <f>HYPERLINK("https://klasma.github.io/Logging_0980/kartor/A 4812-2020 karta.png", "A 4812-2020")</f>
        <v/>
      </c>
      <c r="V163">
        <f>HYPERLINK("https://klasma.github.io/Logging_0980/klagomål/A 4812-2020 FSC-klagomål.docx", "A 4812-2020")</f>
        <v/>
      </c>
      <c r="W163">
        <f>HYPERLINK("https://klasma.github.io/Logging_0980/klagomålsmail/A 4812-2020 FSC-klagomål mail.docx", "A 4812-2020")</f>
        <v/>
      </c>
      <c r="X163">
        <f>HYPERLINK("https://klasma.github.io/Logging_0980/tillsyn/A 4812-2020 tillsynsbegäran.docx", "A 4812-2020")</f>
        <v/>
      </c>
      <c r="Y163">
        <f>HYPERLINK("https://klasma.github.io/Logging_0980/tillsynsmail/A 4812-2020 tillsynsbegäran mail.docx", "A 4812-2020")</f>
        <v/>
      </c>
    </row>
    <row r="164" ht="15" customHeight="1">
      <c r="A164" t="inlineStr">
        <is>
          <t>A 40879-2020</t>
        </is>
      </c>
      <c r="B164" s="1" t="n">
        <v>44070</v>
      </c>
      <c r="C164" s="1" t="n">
        <v>45822</v>
      </c>
      <c r="D164" t="inlineStr">
        <is>
          <t>GOTLANDS LÄN</t>
        </is>
      </c>
      <c r="E164" t="inlineStr">
        <is>
          <t>GOTLAND</t>
        </is>
      </c>
      <c r="G164" t="n">
        <v>6.4</v>
      </c>
      <c r="H164" t="n">
        <v>0</v>
      </c>
      <c r="I164" t="n">
        <v>1</v>
      </c>
      <c r="J164" t="n">
        <v>1</v>
      </c>
      <c r="K164" t="n">
        <v>0</v>
      </c>
      <c r="L164" t="n">
        <v>0</v>
      </c>
      <c r="M164" t="n">
        <v>0</v>
      </c>
      <c r="N164" t="n">
        <v>0</v>
      </c>
      <c r="O164" t="n">
        <v>1</v>
      </c>
      <c r="P164" t="n">
        <v>0</v>
      </c>
      <c r="Q164" t="n">
        <v>2</v>
      </c>
      <c r="R164" s="2" t="inlineStr">
        <is>
          <t>Odörspindling
Olivspindling</t>
        </is>
      </c>
      <c r="S164">
        <f>HYPERLINK("https://klasma.github.io/Logging_0980/artfynd/A 40879-2020 artfynd.xlsx", "A 40879-2020")</f>
        <v/>
      </c>
      <c r="T164">
        <f>HYPERLINK("https://klasma.github.io/Logging_0980/kartor/A 40879-2020 karta.png", "A 40879-2020")</f>
        <v/>
      </c>
      <c r="V164">
        <f>HYPERLINK("https://klasma.github.io/Logging_0980/klagomål/A 40879-2020 FSC-klagomål.docx", "A 40879-2020")</f>
        <v/>
      </c>
      <c r="W164">
        <f>HYPERLINK("https://klasma.github.io/Logging_0980/klagomålsmail/A 40879-2020 FSC-klagomål mail.docx", "A 40879-2020")</f>
        <v/>
      </c>
      <c r="X164">
        <f>HYPERLINK("https://klasma.github.io/Logging_0980/tillsyn/A 40879-2020 tillsynsbegäran.docx", "A 40879-2020")</f>
        <v/>
      </c>
      <c r="Y164">
        <f>HYPERLINK("https://klasma.github.io/Logging_0980/tillsynsmail/A 40879-2020 tillsynsbegäran mail.docx", "A 40879-2020")</f>
        <v/>
      </c>
    </row>
    <row r="165" ht="15" customHeight="1">
      <c r="A165" t="inlineStr">
        <is>
          <t>A 43321-2020</t>
        </is>
      </c>
      <c r="B165" s="1" t="n">
        <v>44081</v>
      </c>
      <c r="C165" s="1" t="n">
        <v>45822</v>
      </c>
      <c r="D165" t="inlineStr">
        <is>
          <t>GOTLANDS LÄN</t>
        </is>
      </c>
      <c r="E165" t="inlineStr">
        <is>
          <t>GOTLAND</t>
        </is>
      </c>
      <c r="G165" t="n">
        <v>10</v>
      </c>
      <c r="H165" t="n">
        <v>1</v>
      </c>
      <c r="I165" t="n">
        <v>0</v>
      </c>
      <c r="J165" t="n">
        <v>2</v>
      </c>
      <c r="K165" t="n">
        <v>0</v>
      </c>
      <c r="L165" t="n">
        <v>0</v>
      </c>
      <c r="M165" t="n">
        <v>0</v>
      </c>
      <c r="N165" t="n">
        <v>0</v>
      </c>
      <c r="O165" t="n">
        <v>2</v>
      </c>
      <c r="P165" t="n">
        <v>0</v>
      </c>
      <c r="Q165" t="n">
        <v>2</v>
      </c>
      <c r="R165" s="2" t="inlineStr">
        <is>
          <t>Buskskvätta
Ängsnätfjäril</t>
        </is>
      </c>
      <c r="S165">
        <f>HYPERLINK("https://klasma.github.io/Logging_0980/artfynd/A 43321-2020 artfynd.xlsx", "A 43321-2020")</f>
        <v/>
      </c>
      <c r="T165">
        <f>HYPERLINK("https://klasma.github.io/Logging_0980/kartor/A 43321-2020 karta.png", "A 43321-2020")</f>
        <v/>
      </c>
      <c r="V165">
        <f>HYPERLINK("https://klasma.github.io/Logging_0980/klagomål/A 43321-2020 FSC-klagomål.docx", "A 43321-2020")</f>
        <v/>
      </c>
      <c r="W165">
        <f>HYPERLINK("https://klasma.github.io/Logging_0980/klagomålsmail/A 43321-2020 FSC-klagomål mail.docx", "A 43321-2020")</f>
        <v/>
      </c>
      <c r="X165">
        <f>HYPERLINK("https://klasma.github.io/Logging_0980/tillsyn/A 43321-2020 tillsynsbegäran.docx", "A 43321-2020")</f>
        <v/>
      </c>
      <c r="Y165">
        <f>HYPERLINK("https://klasma.github.io/Logging_0980/tillsynsmail/A 43321-2020 tillsynsbegäran mail.docx", "A 43321-2020")</f>
        <v/>
      </c>
      <c r="Z165">
        <f>HYPERLINK("https://klasma.github.io/Logging_0980/fåglar/A 43321-2020 prioriterade fågelarter.docx", "A 43321-2020")</f>
        <v/>
      </c>
    </row>
    <row r="166" ht="15" customHeight="1">
      <c r="A166" t="inlineStr">
        <is>
          <t>A 58701-2020</t>
        </is>
      </c>
      <c r="B166" s="1" t="n">
        <v>44146</v>
      </c>
      <c r="C166" s="1" t="n">
        <v>45822</v>
      </c>
      <c r="D166" t="inlineStr">
        <is>
          <t>GOTLANDS LÄN</t>
        </is>
      </c>
      <c r="E166" t="inlineStr">
        <is>
          <t>GOTLAND</t>
        </is>
      </c>
      <c r="G166" t="n">
        <v>5.5</v>
      </c>
      <c r="H166" t="n">
        <v>0</v>
      </c>
      <c r="I166" t="n">
        <v>0</v>
      </c>
      <c r="J166" t="n">
        <v>1</v>
      </c>
      <c r="K166" t="n">
        <v>1</v>
      </c>
      <c r="L166" t="n">
        <v>0</v>
      </c>
      <c r="M166" t="n">
        <v>0</v>
      </c>
      <c r="N166" t="n">
        <v>0</v>
      </c>
      <c r="O166" t="n">
        <v>2</v>
      </c>
      <c r="P166" t="n">
        <v>1</v>
      </c>
      <c r="Q166" t="n">
        <v>2</v>
      </c>
      <c r="R166" s="2" t="inlineStr">
        <is>
          <t>Vit taggsvamp
Odörspindling</t>
        </is>
      </c>
      <c r="S166">
        <f>HYPERLINK("https://klasma.github.io/Logging_0980/artfynd/A 58701-2020 artfynd.xlsx", "A 58701-2020")</f>
        <v/>
      </c>
      <c r="T166">
        <f>HYPERLINK("https://klasma.github.io/Logging_0980/kartor/A 58701-2020 karta.png", "A 58701-2020")</f>
        <v/>
      </c>
      <c r="V166">
        <f>HYPERLINK("https://klasma.github.io/Logging_0980/klagomål/A 58701-2020 FSC-klagomål.docx", "A 58701-2020")</f>
        <v/>
      </c>
      <c r="W166">
        <f>HYPERLINK("https://klasma.github.io/Logging_0980/klagomålsmail/A 58701-2020 FSC-klagomål mail.docx", "A 58701-2020")</f>
        <v/>
      </c>
      <c r="X166">
        <f>HYPERLINK("https://klasma.github.io/Logging_0980/tillsyn/A 58701-2020 tillsynsbegäran.docx", "A 58701-2020")</f>
        <v/>
      </c>
      <c r="Y166">
        <f>HYPERLINK("https://klasma.github.io/Logging_0980/tillsynsmail/A 58701-2020 tillsynsbegäran mail.docx", "A 58701-2020")</f>
        <v/>
      </c>
    </row>
    <row r="167" ht="15" customHeight="1">
      <c r="A167" t="inlineStr">
        <is>
          <t>A 64263-2020</t>
        </is>
      </c>
      <c r="B167" s="1" t="n">
        <v>44168</v>
      </c>
      <c r="C167" s="1" t="n">
        <v>45822</v>
      </c>
      <c r="D167" t="inlineStr">
        <is>
          <t>GOTLANDS LÄN</t>
        </is>
      </c>
      <c r="E167" t="inlineStr">
        <is>
          <t>GOTLAND</t>
        </is>
      </c>
      <c r="G167" t="n">
        <v>10.9</v>
      </c>
      <c r="H167" t="n">
        <v>1</v>
      </c>
      <c r="I167" t="n">
        <v>0</v>
      </c>
      <c r="J167" t="n">
        <v>2</v>
      </c>
      <c r="K167" t="n">
        <v>0</v>
      </c>
      <c r="L167" t="n">
        <v>0</v>
      </c>
      <c r="M167" t="n">
        <v>0</v>
      </c>
      <c r="N167" t="n">
        <v>0</v>
      </c>
      <c r="O167" t="n">
        <v>2</v>
      </c>
      <c r="P167" t="n">
        <v>0</v>
      </c>
      <c r="Q167" t="n">
        <v>2</v>
      </c>
      <c r="R167" s="2" t="inlineStr">
        <is>
          <t>Mindre hackspett
Ullticka</t>
        </is>
      </c>
      <c r="S167">
        <f>HYPERLINK("https://klasma.github.io/Logging_0980/artfynd/A 64263-2020 artfynd.xlsx", "A 64263-2020")</f>
        <v/>
      </c>
      <c r="T167">
        <f>HYPERLINK("https://klasma.github.io/Logging_0980/kartor/A 64263-2020 karta.png", "A 64263-2020")</f>
        <v/>
      </c>
      <c r="V167">
        <f>HYPERLINK("https://klasma.github.io/Logging_0980/klagomål/A 64263-2020 FSC-klagomål.docx", "A 64263-2020")</f>
        <v/>
      </c>
      <c r="W167">
        <f>HYPERLINK("https://klasma.github.io/Logging_0980/klagomålsmail/A 64263-2020 FSC-klagomål mail.docx", "A 64263-2020")</f>
        <v/>
      </c>
      <c r="X167">
        <f>HYPERLINK("https://klasma.github.io/Logging_0980/tillsyn/A 64263-2020 tillsynsbegäran.docx", "A 64263-2020")</f>
        <v/>
      </c>
      <c r="Y167">
        <f>HYPERLINK("https://klasma.github.io/Logging_0980/tillsynsmail/A 64263-2020 tillsynsbegäran mail.docx", "A 64263-2020")</f>
        <v/>
      </c>
      <c r="Z167">
        <f>HYPERLINK("https://klasma.github.io/Logging_0980/fåglar/A 64263-2020 prioriterade fågelarter.docx", "A 64263-2020")</f>
        <v/>
      </c>
    </row>
    <row r="168" ht="15" customHeight="1">
      <c r="A168" t="inlineStr">
        <is>
          <t>A 9930-2021</t>
        </is>
      </c>
      <c r="B168" s="1" t="n">
        <v>44252</v>
      </c>
      <c r="C168" s="1" t="n">
        <v>45822</v>
      </c>
      <c r="D168" t="inlineStr">
        <is>
          <t>GOTLANDS LÄN</t>
        </is>
      </c>
      <c r="E168" t="inlineStr">
        <is>
          <t>GOTLAND</t>
        </is>
      </c>
      <c r="G168" t="n">
        <v>1.9</v>
      </c>
      <c r="H168" t="n">
        <v>0</v>
      </c>
      <c r="I168" t="n">
        <v>0</v>
      </c>
      <c r="J168" t="n">
        <v>0</v>
      </c>
      <c r="K168" t="n">
        <v>0</v>
      </c>
      <c r="L168" t="n">
        <v>1</v>
      </c>
      <c r="M168" t="n">
        <v>1</v>
      </c>
      <c r="N168" t="n">
        <v>0</v>
      </c>
      <c r="O168" t="n">
        <v>2</v>
      </c>
      <c r="P168" t="n">
        <v>2</v>
      </c>
      <c r="Q168" t="n">
        <v>2</v>
      </c>
      <c r="R168" s="2" t="inlineStr">
        <is>
          <t>Lundalm
Ask</t>
        </is>
      </c>
      <c r="S168">
        <f>HYPERLINK("https://klasma.github.io/Logging_0980/artfynd/A 9930-2021 artfynd.xlsx", "A 9930-2021")</f>
        <v/>
      </c>
      <c r="T168">
        <f>HYPERLINK("https://klasma.github.io/Logging_0980/kartor/A 9930-2021 karta.png", "A 9930-2021")</f>
        <v/>
      </c>
      <c r="V168">
        <f>HYPERLINK("https://klasma.github.io/Logging_0980/klagomål/A 9930-2021 FSC-klagomål.docx", "A 9930-2021")</f>
        <v/>
      </c>
      <c r="W168">
        <f>HYPERLINK("https://klasma.github.io/Logging_0980/klagomålsmail/A 9930-2021 FSC-klagomål mail.docx", "A 9930-2021")</f>
        <v/>
      </c>
      <c r="X168">
        <f>HYPERLINK("https://klasma.github.io/Logging_0980/tillsyn/A 9930-2021 tillsynsbegäran.docx", "A 9930-2021")</f>
        <v/>
      </c>
      <c r="Y168">
        <f>HYPERLINK("https://klasma.github.io/Logging_0980/tillsynsmail/A 9930-2021 tillsynsbegäran mail.docx", "A 9930-2021")</f>
        <v/>
      </c>
    </row>
    <row r="169" ht="15" customHeight="1">
      <c r="A169" t="inlineStr">
        <is>
          <t>A 16429-2021</t>
        </is>
      </c>
      <c r="B169" s="1" t="n">
        <v>44293</v>
      </c>
      <c r="C169" s="1" t="n">
        <v>45822</v>
      </c>
      <c r="D169" t="inlineStr">
        <is>
          <t>GOTLANDS LÄN</t>
        </is>
      </c>
      <c r="E169" t="inlineStr">
        <is>
          <t>GOTLAND</t>
        </is>
      </c>
      <c r="G169" t="n">
        <v>3.4</v>
      </c>
      <c r="H169" t="n">
        <v>0</v>
      </c>
      <c r="I169" t="n">
        <v>0</v>
      </c>
      <c r="J169" t="n">
        <v>1</v>
      </c>
      <c r="K169" t="n">
        <v>1</v>
      </c>
      <c r="L169" t="n">
        <v>0</v>
      </c>
      <c r="M169" t="n">
        <v>0</v>
      </c>
      <c r="N169" t="n">
        <v>0</v>
      </c>
      <c r="O169" t="n">
        <v>2</v>
      </c>
      <c r="P169" t="n">
        <v>1</v>
      </c>
      <c r="Q169" t="n">
        <v>2</v>
      </c>
      <c r="R169" s="2" t="inlineStr">
        <is>
          <t>Gotlandsmåra
Barrviolspindling</t>
        </is>
      </c>
      <c r="S169">
        <f>HYPERLINK("https://klasma.github.io/Logging_0980/artfynd/A 16429-2021 artfynd.xlsx", "A 16429-2021")</f>
        <v/>
      </c>
      <c r="T169">
        <f>HYPERLINK("https://klasma.github.io/Logging_0980/kartor/A 16429-2021 karta.png", "A 16429-2021")</f>
        <v/>
      </c>
      <c r="V169">
        <f>HYPERLINK("https://klasma.github.io/Logging_0980/klagomål/A 16429-2021 FSC-klagomål.docx", "A 16429-2021")</f>
        <v/>
      </c>
      <c r="W169">
        <f>HYPERLINK("https://klasma.github.io/Logging_0980/klagomålsmail/A 16429-2021 FSC-klagomål mail.docx", "A 16429-2021")</f>
        <v/>
      </c>
      <c r="X169">
        <f>HYPERLINK("https://klasma.github.io/Logging_0980/tillsyn/A 16429-2021 tillsynsbegäran.docx", "A 16429-2021")</f>
        <v/>
      </c>
      <c r="Y169">
        <f>HYPERLINK("https://klasma.github.io/Logging_0980/tillsynsmail/A 16429-2021 tillsynsbegäran mail.docx", "A 16429-2021")</f>
        <v/>
      </c>
    </row>
    <row r="170" ht="15" customHeight="1">
      <c r="A170" t="inlineStr">
        <is>
          <t>A 29870-2021</t>
        </is>
      </c>
      <c r="B170" s="1" t="n">
        <v>44362</v>
      </c>
      <c r="C170" s="1" t="n">
        <v>45822</v>
      </c>
      <c r="D170" t="inlineStr">
        <is>
          <t>GOTLANDS LÄN</t>
        </is>
      </c>
      <c r="E170" t="inlineStr">
        <is>
          <t>GOTLAND</t>
        </is>
      </c>
      <c r="G170" t="n">
        <v>2.4</v>
      </c>
      <c r="H170" t="n">
        <v>0</v>
      </c>
      <c r="I170" t="n">
        <v>1</v>
      </c>
      <c r="J170" t="n">
        <v>0</v>
      </c>
      <c r="K170" t="n">
        <v>1</v>
      </c>
      <c r="L170" t="n">
        <v>0</v>
      </c>
      <c r="M170" t="n">
        <v>0</v>
      </c>
      <c r="N170" t="n">
        <v>0</v>
      </c>
      <c r="O170" t="n">
        <v>1</v>
      </c>
      <c r="P170" t="n">
        <v>1</v>
      </c>
      <c r="Q170" t="n">
        <v>2</v>
      </c>
      <c r="R170" s="2" t="inlineStr">
        <is>
          <t>Blåfotad fagerspindling
Olivspindling</t>
        </is>
      </c>
      <c r="S170">
        <f>HYPERLINK("https://klasma.github.io/Logging_0980/artfynd/A 29870-2021 artfynd.xlsx", "A 29870-2021")</f>
        <v/>
      </c>
      <c r="T170">
        <f>HYPERLINK("https://klasma.github.io/Logging_0980/kartor/A 29870-2021 karta.png", "A 29870-2021")</f>
        <v/>
      </c>
      <c r="V170">
        <f>HYPERLINK("https://klasma.github.io/Logging_0980/klagomål/A 29870-2021 FSC-klagomål.docx", "A 29870-2021")</f>
        <v/>
      </c>
      <c r="W170">
        <f>HYPERLINK("https://klasma.github.io/Logging_0980/klagomålsmail/A 29870-2021 FSC-klagomål mail.docx", "A 29870-2021")</f>
        <v/>
      </c>
      <c r="X170">
        <f>HYPERLINK("https://klasma.github.io/Logging_0980/tillsyn/A 29870-2021 tillsynsbegäran.docx", "A 29870-2021")</f>
        <v/>
      </c>
      <c r="Y170">
        <f>HYPERLINK("https://klasma.github.io/Logging_0980/tillsynsmail/A 29870-2021 tillsynsbegäran mail.docx", "A 29870-2021")</f>
        <v/>
      </c>
    </row>
    <row r="171" ht="15" customHeight="1">
      <c r="A171" t="inlineStr">
        <is>
          <t>A 41346-2021</t>
        </is>
      </c>
      <c r="B171" s="1" t="n">
        <v>44424</v>
      </c>
      <c r="C171" s="1" t="n">
        <v>45822</v>
      </c>
      <c r="D171" t="inlineStr">
        <is>
          <t>GOTLANDS LÄN</t>
        </is>
      </c>
      <c r="E171" t="inlineStr">
        <is>
          <t>GOTLAND</t>
        </is>
      </c>
      <c r="G171" t="n">
        <v>0.9</v>
      </c>
      <c r="H171" t="n">
        <v>0</v>
      </c>
      <c r="I171" t="n">
        <v>1</v>
      </c>
      <c r="J171" t="n">
        <v>0</v>
      </c>
      <c r="K171" t="n">
        <v>1</v>
      </c>
      <c r="L171" t="n">
        <v>0</v>
      </c>
      <c r="M171" t="n">
        <v>0</v>
      </c>
      <c r="N171" t="n">
        <v>0</v>
      </c>
      <c r="O171" t="n">
        <v>1</v>
      </c>
      <c r="P171" t="n">
        <v>1</v>
      </c>
      <c r="Q171" t="n">
        <v>2</v>
      </c>
      <c r="R171" s="2" t="inlineStr">
        <is>
          <t>Vit taggsvamp
Fjällig taggsvamp s.str.</t>
        </is>
      </c>
      <c r="S171">
        <f>HYPERLINK("https://klasma.github.io/Logging_0980/artfynd/A 41346-2021 artfynd.xlsx", "A 41346-2021")</f>
        <v/>
      </c>
      <c r="T171">
        <f>HYPERLINK("https://klasma.github.io/Logging_0980/kartor/A 41346-2021 karta.png", "A 41346-2021")</f>
        <v/>
      </c>
      <c r="V171">
        <f>HYPERLINK("https://klasma.github.io/Logging_0980/klagomål/A 41346-2021 FSC-klagomål.docx", "A 41346-2021")</f>
        <v/>
      </c>
      <c r="W171">
        <f>HYPERLINK("https://klasma.github.io/Logging_0980/klagomålsmail/A 41346-2021 FSC-klagomål mail.docx", "A 41346-2021")</f>
        <v/>
      </c>
      <c r="X171">
        <f>HYPERLINK("https://klasma.github.io/Logging_0980/tillsyn/A 41346-2021 tillsynsbegäran.docx", "A 41346-2021")</f>
        <v/>
      </c>
      <c r="Y171">
        <f>HYPERLINK("https://klasma.github.io/Logging_0980/tillsynsmail/A 41346-2021 tillsynsbegäran mail.docx", "A 41346-2021")</f>
        <v/>
      </c>
    </row>
    <row r="172" ht="15" customHeight="1">
      <c r="A172" t="inlineStr">
        <is>
          <t>A 51737-2021</t>
        </is>
      </c>
      <c r="B172" s="1" t="n">
        <v>44462</v>
      </c>
      <c r="C172" s="1" t="n">
        <v>45822</v>
      </c>
      <c r="D172" t="inlineStr">
        <is>
          <t>GOTLANDS LÄN</t>
        </is>
      </c>
      <c r="E172" t="inlineStr">
        <is>
          <t>GOTLAND</t>
        </is>
      </c>
      <c r="G172" t="n">
        <v>8.6</v>
      </c>
      <c r="H172" t="n">
        <v>0</v>
      </c>
      <c r="I172" t="n">
        <v>1</v>
      </c>
      <c r="J172" t="n">
        <v>1</v>
      </c>
      <c r="K172" t="n">
        <v>0</v>
      </c>
      <c r="L172" t="n">
        <v>0</v>
      </c>
      <c r="M172" t="n">
        <v>0</v>
      </c>
      <c r="N172" t="n">
        <v>0</v>
      </c>
      <c r="O172" t="n">
        <v>1</v>
      </c>
      <c r="P172" t="n">
        <v>0</v>
      </c>
      <c r="Q172" t="n">
        <v>2</v>
      </c>
      <c r="R172" s="2" t="inlineStr">
        <is>
          <t>Igelkott
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60665-2021</t>
        </is>
      </c>
      <c r="B173" s="1" t="n">
        <v>44496</v>
      </c>
      <c r="C173" s="1" t="n">
        <v>45822</v>
      </c>
      <c r="D173" t="inlineStr">
        <is>
          <t>GOTLANDS LÄN</t>
        </is>
      </c>
      <c r="E173" t="inlineStr">
        <is>
          <t>GOTLAND</t>
        </is>
      </c>
      <c r="G173" t="n">
        <v>1.6</v>
      </c>
      <c r="H173" t="n">
        <v>0</v>
      </c>
      <c r="I173" t="n">
        <v>0</v>
      </c>
      <c r="J173" t="n">
        <v>0</v>
      </c>
      <c r="K173" t="n">
        <v>1</v>
      </c>
      <c r="L173" t="n">
        <v>1</v>
      </c>
      <c r="M173" t="n">
        <v>0</v>
      </c>
      <c r="N173" t="n">
        <v>0</v>
      </c>
      <c r="O173" t="n">
        <v>2</v>
      </c>
      <c r="P173" t="n">
        <v>2</v>
      </c>
      <c r="Q173" t="n">
        <v>2</v>
      </c>
      <c r="R173" s="2" t="inlineStr">
        <is>
          <t>Ädellav
Skogskorn</t>
        </is>
      </c>
      <c r="S173">
        <f>HYPERLINK("https://klasma.github.io/Logging_0980/artfynd/A 60665-2021 artfynd.xlsx", "A 60665-2021")</f>
        <v/>
      </c>
      <c r="T173">
        <f>HYPERLINK("https://klasma.github.io/Logging_0980/kartor/A 60665-2021 karta.png", "A 60665-2021")</f>
        <v/>
      </c>
      <c r="V173">
        <f>HYPERLINK("https://klasma.github.io/Logging_0980/klagomål/A 60665-2021 FSC-klagomål.docx", "A 60665-2021")</f>
        <v/>
      </c>
      <c r="W173">
        <f>HYPERLINK("https://klasma.github.io/Logging_0980/klagomålsmail/A 60665-2021 FSC-klagomål mail.docx", "A 60665-2021")</f>
        <v/>
      </c>
      <c r="X173">
        <f>HYPERLINK("https://klasma.github.io/Logging_0980/tillsyn/A 60665-2021 tillsynsbegäran.docx", "A 60665-2021")</f>
        <v/>
      </c>
      <c r="Y173">
        <f>HYPERLINK("https://klasma.github.io/Logging_0980/tillsynsmail/A 60665-2021 tillsynsbegäran mail.docx", "A 60665-2021")</f>
        <v/>
      </c>
    </row>
    <row r="174" ht="15" customHeight="1">
      <c r="A174" t="inlineStr">
        <is>
          <t>A 73144-2021</t>
        </is>
      </c>
      <c r="B174" s="1" t="n">
        <v>44550</v>
      </c>
      <c r="C174" s="1" t="n">
        <v>45822</v>
      </c>
      <c r="D174" t="inlineStr">
        <is>
          <t>GOTLANDS LÄN</t>
        </is>
      </c>
      <c r="E174" t="inlineStr">
        <is>
          <t>GOTLAND</t>
        </is>
      </c>
      <c r="G174" t="n">
        <v>1.9</v>
      </c>
      <c r="H174" t="n">
        <v>0</v>
      </c>
      <c r="I174" t="n">
        <v>1</v>
      </c>
      <c r="J174" t="n">
        <v>0</v>
      </c>
      <c r="K174" t="n">
        <v>1</v>
      </c>
      <c r="L174" t="n">
        <v>0</v>
      </c>
      <c r="M174" t="n">
        <v>0</v>
      </c>
      <c r="N174" t="n">
        <v>0</v>
      </c>
      <c r="O174" t="n">
        <v>1</v>
      </c>
      <c r="P174" t="n">
        <v>1</v>
      </c>
      <c r="Q174" t="n">
        <v>2</v>
      </c>
      <c r="R174" s="2" t="inlineStr">
        <is>
          <t>Skogskorn
Kambräken</t>
        </is>
      </c>
      <c r="S174">
        <f>HYPERLINK("https://klasma.github.io/Logging_0980/artfynd/A 73144-2021 artfynd.xlsx", "A 73144-2021")</f>
        <v/>
      </c>
      <c r="T174">
        <f>HYPERLINK("https://klasma.github.io/Logging_0980/kartor/A 73144-2021 karta.png", "A 73144-2021")</f>
        <v/>
      </c>
      <c r="V174">
        <f>HYPERLINK("https://klasma.github.io/Logging_0980/klagomål/A 73144-2021 FSC-klagomål.docx", "A 73144-2021")</f>
        <v/>
      </c>
      <c r="W174">
        <f>HYPERLINK("https://klasma.github.io/Logging_0980/klagomålsmail/A 73144-2021 FSC-klagomål mail.docx", "A 73144-2021")</f>
        <v/>
      </c>
      <c r="X174">
        <f>HYPERLINK("https://klasma.github.io/Logging_0980/tillsyn/A 73144-2021 tillsynsbegäran.docx", "A 73144-2021")</f>
        <v/>
      </c>
      <c r="Y174">
        <f>HYPERLINK("https://klasma.github.io/Logging_0980/tillsynsmail/A 73144-2021 tillsynsbegäran mail.docx", "A 73144-2021")</f>
        <v/>
      </c>
    </row>
    <row r="175" ht="15" customHeight="1">
      <c r="A175" t="inlineStr">
        <is>
          <t>A 7070-2022</t>
        </is>
      </c>
      <c r="B175" s="1" t="n">
        <v>44603</v>
      </c>
      <c r="C175" s="1" t="n">
        <v>45822</v>
      </c>
      <c r="D175" t="inlineStr">
        <is>
          <t>GOTLANDS LÄN</t>
        </is>
      </c>
      <c r="E175" t="inlineStr">
        <is>
          <t>GOTLAND</t>
        </is>
      </c>
      <c r="G175" t="n">
        <v>2.6</v>
      </c>
      <c r="H175" t="n">
        <v>0</v>
      </c>
      <c r="I175" t="n">
        <v>2</v>
      </c>
      <c r="J175" t="n">
        <v>0</v>
      </c>
      <c r="K175" t="n">
        <v>0</v>
      </c>
      <c r="L175" t="n">
        <v>0</v>
      </c>
      <c r="M175" t="n">
        <v>0</v>
      </c>
      <c r="N175" t="n">
        <v>0</v>
      </c>
      <c r="O175" t="n">
        <v>0</v>
      </c>
      <c r="P175" t="n">
        <v>0</v>
      </c>
      <c r="Q175" t="n">
        <v>2</v>
      </c>
      <c r="R175" s="2" t="inlineStr">
        <is>
          <t>Blåmossa
Kattfotslav</t>
        </is>
      </c>
      <c r="S175">
        <f>HYPERLINK("https://klasma.github.io/Logging_0980/artfynd/A 7070-2022 artfynd.xlsx", "A 7070-2022")</f>
        <v/>
      </c>
      <c r="T175">
        <f>HYPERLINK("https://klasma.github.io/Logging_0980/kartor/A 7070-2022 karta.png", "A 7070-2022")</f>
        <v/>
      </c>
      <c r="V175">
        <f>HYPERLINK("https://klasma.github.io/Logging_0980/klagomål/A 7070-2022 FSC-klagomål.docx", "A 7070-2022")</f>
        <v/>
      </c>
      <c r="W175">
        <f>HYPERLINK("https://klasma.github.io/Logging_0980/klagomålsmail/A 7070-2022 FSC-klagomål mail.docx", "A 7070-2022")</f>
        <v/>
      </c>
      <c r="X175">
        <f>HYPERLINK("https://klasma.github.io/Logging_0980/tillsyn/A 7070-2022 tillsynsbegäran.docx", "A 7070-2022")</f>
        <v/>
      </c>
      <c r="Y175">
        <f>HYPERLINK("https://klasma.github.io/Logging_0980/tillsynsmail/A 7070-2022 tillsynsbegäran mail.docx", "A 7070-2022")</f>
        <v/>
      </c>
    </row>
    <row r="176" ht="15" customHeight="1">
      <c r="A176" t="inlineStr">
        <is>
          <t>A 19175-2022</t>
        </is>
      </c>
      <c r="B176" s="1" t="n">
        <v>44691</v>
      </c>
      <c r="C176" s="1" t="n">
        <v>45822</v>
      </c>
      <c r="D176" t="inlineStr">
        <is>
          <t>GOTLANDS LÄN</t>
        </is>
      </c>
      <c r="E176" t="inlineStr">
        <is>
          <t>GOTLAND</t>
        </is>
      </c>
      <c r="G176" t="n">
        <v>8.5</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19175-2022 artfynd.xlsx", "A 19175-2022")</f>
        <v/>
      </c>
      <c r="T176">
        <f>HYPERLINK("https://klasma.github.io/Logging_0980/kartor/A 19175-2022 karta.png", "A 19175-2022")</f>
        <v/>
      </c>
      <c r="V176">
        <f>HYPERLINK("https://klasma.github.io/Logging_0980/klagomål/A 19175-2022 FSC-klagomål.docx", "A 19175-2022")</f>
        <v/>
      </c>
      <c r="W176">
        <f>HYPERLINK("https://klasma.github.io/Logging_0980/klagomålsmail/A 19175-2022 FSC-klagomål mail.docx", "A 19175-2022")</f>
        <v/>
      </c>
      <c r="X176">
        <f>HYPERLINK("https://klasma.github.io/Logging_0980/tillsyn/A 19175-2022 tillsynsbegäran.docx", "A 19175-2022")</f>
        <v/>
      </c>
      <c r="Y176">
        <f>HYPERLINK("https://klasma.github.io/Logging_0980/tillsynsmail/A 19175-2022 tillsynsbegäran mail.docx", "A 19175-2022")</f>
        <v/>
      </c>
      <c r="Z176">
        <f>HYPERLINK("https://klasma.github.io/Logging_0980/fåglar/A 19175-2022 prioriterade fågelarter.docx", "A 19175-2022")</f>
        <v/>
      </c>
    </row>
    <row r="177" ht="15" customHeight="1">
      <c r="A177" t="inlineStr">
        <is>
          <t>A 20218-2022</t>
        </is>
      </c>
      <c r="B177" s="1" t="n">
        <v>44698</v>
      </c>
      <c r="C177" s="1" t="n">
        <v>45822</v>
      </c>
      <c r="D177" t="inlineStr">
        <is>
          <t>GOTLANDS LÄN</t>
        </is>
      </c>
      <c r="E177" t="inlineStr">
        <is>
          <t>GOTLAND</t>
        </is>
      </c>
      <c r="G177" t="n">
        <v>4.3</v>
      </c>
      <c r="H177" t="n">
        <v>0</v>
      </c>
      <c r="I177" t="n">
        <v>1</v>
      </c>
      <c r="J177" t="n">
        <v>1</v>
      </c>
      <c r="K177" t="n">
        <v>0</v>
      </c>
      <c r="L177" t="n">
        <v>0</v>
      </c>
      <c r="M177" t="n">
        <v>0</v>
      </c>
      <c r="N177" t="n">
        <v>0</v>
      </c>
      <c r="O177" t="n">
        <v>1</v>
      </c>
      <c r="P177" t="n">
        <v>0</v>
      </c>
      <c r="Q177" t="n">
        <v>2</v>
      </c>
      <c r="R177" s="2" t="inlineStr">
        <is>
          <t>Flattoppad klubbsvamp
Rödgul trumpetsvamp</t>
        </is>
      </c>
      <c r="S177">
        <f>HYPERLINK("https://klasma.github.io/Logging_0980/artfynd/A 20218-2022 artfynd.xlsx", "A 20218-2022")</f>
        <v/>
      </c>
      <c r="T177">
        <f>HYPERLINK("https://klasma.github.io/Logging_0980/kartor/A 20218-2022 karta.png", "A 20218-2022")</f>
        <v/>
      </c>
      <c r="V177">
        <f>HYPERLINK("https://klasma.github.io/Logging_0980/klagomål/A 20218-2022 FSC-klagomål.docx", "A 20218-2022")</f>
        <v/>
      </c>
      <c r="W177">
        <f>HYPERLINK("https://klasma.github.io/Logging_0980/klagomålsmail/A 20218-2022 FSC-klagomål mail.docx", "A 20218-2022")</f>
        <v/>
      </c>
      <c r="X177">
        <f>HYPERLINK("https://klasma.github.io/Logging_0980/tillsyn/A 20218-2022 tillsynsbegäran.docx", "A 20218-2022")</f>
        <v/>
      </c>
      <c r="Y177">
        <f>HYPERLINK("https://klasma.github.io/Logging_0980/tillsynsmail/A 20218-2022 tillsynsbegäran mail.docx", "A 20218-2022")</f>
        <v/>
      </c>
    </row>
    <row r="178" ht="15" customHeight="1">
      <c r="A178" t="inlineStr">
        <is>
          <t>A 48126-2022</t>
        </is>
      </c>
      <c r="B178" s="1" t="n">
        <v>44857</v>
      </c>
      <c r="C178" s="1" t="n">
        <v>45822</v>
      </c>
      <c r="D178" t="inlineStr">
        <is>
          <t>GOTLANDS LÄN</t>
        </is>
      </c>
      <c r="E178" t="inlineStr">
        <is>
          <t>GOTLAND</t>
        </is>
      </c>
      <c r="G178" t="n">
        <v>9.800000000000001</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48126-2022 artfynd.xlsx", "A 48126-2022")</f>
        <v/>
      </c>
      <c r="T178">
        <f>HYPERLINK("https://klasma.github.io/Logging_0980/kartor/A 48126-2022 karta.png", "A 48126-2022")</f>
        <v/>
      </c>
      <c r="V178">
        <f>HYPERLINK("https://klasma.github.io/Logging_0980/klagomål/A 48126-2022 FSC-klagomål.docx", "A 48126-2022")</f>
        <v/>
      </c>
      <c r="W178">
        <f>HYPERLINK("https://klasma.github.io/Logging_0980/klagomålsmail/A 48126-2022 FSC-klagomål mail.docx", "A 48126-2022")</f>
        <v/>
      </c>
      <c r="X178">
        <f>HYPERLINK("https://klasma.github.io/Logging_0980/tillsyn/A 48126-2022 tillsynsbegäran.docx", "A 48126-2022")</f>
        <v/>
      </c>
      <c r="Y178">
        <f>HYPERLINK("https://klasma.github.io/Logging_0980/tillsynsmail/A 48126-2022 tillsynsbegäran mail.docx", "A 48126-2022")</f>
        <v/>
      </c>
      <c r="Z178">
        <f>HYPERLINK("https://klasma.github.io/Logging_0980/fåglar/A 48126-2022 prioriterade fågelarter.docx", "A 48126-2022")</f>
        <v/>
      </c>
    </row>
    <row r="179" ht="15" customHeight="1">
      <c r="A179" t="inlineStr">
        <is>
          <t>A 62193-2022</t>
        </is>
      </c>
      <c r="B179" s="1" t="n">
        <v>44922</v>
      </c>
      <c r="C179" s="1" t="n">
        <v>45822</v>
      </c>
      <c r="D179" t="inlineStr">
        <is>
          <t>GOTLANDS LÄN</t>
        </is>
      </c>
      <c r="E179" t="inlineStr">
        <is>
          <t>GOTLAND</t>
        </is>
      </c>
      <c r="G179" t="n">
        <v>5.6</v>
      </c>
      <c r="H179" t="n">
        <v>2</v>
      </c>
      <c r="I179" t="n">
        <v>0</v>
      </c>
      <c r="J179" t="n">
        <v>1</v>
      </c>
      <c r="K179" t="n">
        <v>0</v>
      </c>
      <c r="L179" t="n">
        <v>0</v>
      </c>
      <c r="M179" t="n">
        <v>0</v>
      </c>
      <c r="N179" t="n">
        <v>0</v>
      </c>
      <c r="O179" t="n">
        <v>1</v>
      </c>
      <c r="P179" t="n">
        <v>0</v>
      </c>
      <c r="Q179" t="n">
        <v>2</v>
      </c>
      <c r="R179" s="2" t="inlineStr">
        <is>
          <t>Grönsångare
Gullviva</t>
        </is>
      </c>
      <c r="S179">
        <f>HYPERLINK("https://klasma.github.io/Logging_0980/artfynd/A 62193-2022 artfynd.xlsx", "A 62193-2022")</f>
        <v/>
      </c>
      <c r="T179">
        <f>HYPERLINK("https://klasma.github.io/Logging_0980/kartor/A 62193-2022 karta.png", "A 62193-2022")</f>
        <v/>
      </c>
      <c r="V179">
        <f>HYPERLINK("https://klasma.github.io/Logging_0980/klagomål/A 62193-2022 FSC-klagomål.docx", "A 62193-2022")</f>
        <v/>
      </c>
      <c r="W179">
        <f>HYPERLINK("https://klasma.github.io/Logging_0980/klagomålsmail/A 62193-2022 FSC-klagomål mail.docx", "A 62193-2022")</f>
        <v/>
      </c>
      <c r="X179">
        <f>HYPERLINK("https://klasma.github.io/Logging_0980/tillsyn/A 62193-2022 tillsynsbegäran.docx", "A 62193-2022")</f>
        <v/>
      </c>
      <c r="Y179">
        <f>HYPERLINK("https://klasma.github.io/Logging_0980/tillsynsmail/A 62193-2022 tillsynsbegäran mail.docx", "A 62193-2022")</f>
        <v/>
      </c>
      <c r="Z179">
        <f>HYPERLINK("https://klasma.github.io/Logging_0980/fåglar/A 62193-2022 prioriterade fågelarter.docx", "A 62193-2022")</f>
        <v/>
      </c>
    </row>
    <row r="180" ht="15" customHeight="1">
      <c r="A180" t="inlineStr">
        <is>
          <t>A 3779-2023</t>
        </is>
      </c>
      <c r="B180" s="1" t="n">
        <v>44951</v>
      </c>
      <c r="C180" s="1" t="n">
        <v>45822</v>
      </c>
      <c r="D180" t="inlineStr">
        <is>
          <t>GOTLANDS LÄN</t>
        </is>
      </c>
      <c r="E180" t="inlineStr">
        <is>
          <t>GOTLAND</t>
        </is>
      </c>
      <c r="G180" t="n">
        <v>5.2</v>
      </c>
      <c r="H180" t="n">
        <v>0</v>
      </c>
      <c r="I180" t="n">
        <v>2</v>
      </c>
      <c r="J180" t="n">
        <v>0</v>
      </c>
      <c r="K180" t="n">
        <v>0</v>
      </c>
      <c r="L180" t="n">
        <v>0</v>
      </c>
      <c r="M180" t="n">
        <v>0</v>
      </c>
      <c r="N180" t="n">
        <v>0</v>
      </c>
      <c r="O180" t="n">
        <v>0</v>
      </c>
      <c r="P180" t="n">
        <v>0</v>
      </c>
      <c r="Q180" t="n">
        <v>2</v>
      </c>
      <c r="R180" s="2" t="inlineStr">
        <is>
          <t>Blå slemspindling
Olivspindling</t>
        </is>
      </c>
      <c r="S180">
        <f>HYPERLINK("https://klasma.github.io/Logging_0980/artfynd/A 3779-2023 artfynd.xlsx", "A 3779-2023")</f>
        <v/>
      </c>
      <c r="T180">
        <f>HYPERLINK("https://klasma.github.io/Logging_0980/kartor/A 3779-2023 karta.png", "A 3779-2023")</f>
        <v/>
      </c>
      <c r="V180">
        <f>HYPERLINK("https://klasma.github.io/Logging_0980/klagomål/A 3779-2023 FSC-klagomål.docx", "A 3779-2023")</f>
        <v/>
      </c>
      <c r="W180">
        <f>HYPERLINK("https://klasma.github.io/Logging_0980/klagomålsmail/A 3779-2023 FSC-klagomål mail.docx", "A 3779-2023")</f>
        <v/>
      </c>
      <c r="X180">
        <f>HYPERLINK("https://klasma.github.io/Logging_0980/tillsyn/A 3779-2023 tillsynsbegäran.docx", "A 3779-2023")</f>
        <v/>
      </c>
      <c r="Y180">
        <f>HYPERLINK("https://klasma.github.io/Logging_0980/tillsynsmail/A 3779-2023 tillsynsbegäran mail.docx", "A 3779-2023")</f>
        <v/>
      </c>
    </row>
    <row r="181" ht="15" customHeight="1">
      <c r="A181" t="inlineStr">
        <is>
          <t>A 35028-2023</t>
        </is>
      </c>
      <c r="B181" s="1" t="n">
        <v>45145</v>
      </c>
      <c r="C181" s="1" t="n">
        <v>45822</v>
      </c>
      <c r="D181" t="inlineStr">
        <is>
          <t>GOTLANDS LÄN</t>
        </is>
      </c>
      <c r="E181" t="inlineStr">
        <is>
          <t>GOTLAND</t>
        </is>
      </c>
      <c r="G181" t="n">
        <v>1.1</v>
      </c>
      <c r="H181" t="n">
        <v>0</v>
      </c>
      <c r="I181" t="n">
        <v>1</v>
      </c>
      <c r="J181" t="n">
        <v>0</v>
      </c>
      <c r="K181" t="n">
        <v>1</v>
      </c>
      <c r="L181" t="n">
        <v>0</v>
      </c>
      <c r="M181" t="n">
        <v>0</v>
      </c>
      <c r="N181" t="n">
        <v>0</v>
      </c>
      <c r="O181" t="n">
        <v>1</v>
      </c>
      <c r="P181" t="n">
        <v>1</v>
      </c>
      <c r="Q181" t="n">
        <v>2</v>
      </c>
      <c r="R181" s="2" t="inlineStr">
        <is>
          <t>Tät korallorangelav
Guldlockmossa</t>
        </is>
      </c>
      <c r="S181">
        <f>HYPERLINK("https://klasma.github.io/Logging_0980/artfynd/A 35028-2023 artfynd.xlsx", "A 35028-2023")</f>
        <v/>
      </c>
      <c r="T181">
        <f>HYPERLINK("https://klasma.github.io/Logging_0980/kartor/A 35028-2023 karta.png", "A 35028-2023")</f>
        <v/>
      </c>
      <c r="V181">
        <f>HYPERLINK("https://klasma.github.io/Logging_0980/klagomål/A 35028-2023 FSC-klagomål.docx", "A 35028-2023")</f>
        <v/>
      </c>
      <c r="W181">
        <f>HYPERLINK("https://klasma.github.io/Logging_0980/klagomålsmail/A 35028-2023 FSC-klagomål mail.docx", "A 35028-2023")</f>
        <v/>
      </c>
      <c r="X181">
        <f>HYPERLINK("https://klasma.github.io/Logging_0980/tillsyn/A 35028-2023 tillsynsbegäran.docx", "A 35028-2023")</f>
        <v/>
      </c>
      <c r="Y181">
        <f>HYPERLINK("https://klasma.github.io/Logging_0980/tillsynsmail/A 35028-2023 tillsynsbegäran mail.docx", "A 35028-2023")</f>
        <v/>
      </c>
    </row>
    <row r="182" ht="15" customHeight="1">
      <c r="A182" t="inlineStr">
        <is>
          <t>A 35029-2023</t>
        </is>
      </c>
      <c r="B182" s="1" t="n">
        <v>45145</v>
      </c>
      <c r="C182" s="1" t="n">
        <v>45822</v>
      </c>
      <c r="D182" t="inlineStr">
        <is>
          <t>GOTLANDS LÄN</t>
        </is>
      </c>
      <c r="E182" t="inlineStr">
        <is>
          <t>GOTLAND</t>
        </is>
      </c>
      <c r="G182" t="n">
        <v>1.7</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35029-2023 artfynd.xlsx", "A 35029-2023")</f>
        <v/>
      </c>
      <c r="T182">
        <f>HYPERLINK("https://klasma.github.io/Logging_0980/kartor/A 35029-2023 karta.png", "A 35029-2023")</f>
        <v/>
      </c>
      <c r="V182">
        <f>HYPERLINK("https://klasma.github.io/Logging_0980/klagomål/A 35029-2023 FSC-klagomål.docx", "A 35029-2023")</f>
        <v/>
      </c>
      <c r="W182">
        <f>HYPERLINK("https://klasma.github.io/Logging_0980/klagomålsmail/A 35029-2023 FSC-klagomål mail.docx", "A 35029-2023")</f>
        <v/>
      </c>
      <c r="X182">
        <f>HYPERLINK("https://klasma.github.io/Logging_0980/tillsyn/A 35029-2023 tillsynsbegäran.docx", "A 35029-2023")</f>
        <v/>
      </c>
      <c r="Y182">
        <f>HYPERLINK("https://klasma.github.io/Logging_0980/tillsynsmail/A 35029-2023 tillsynsbegäran mail.docx", "A 35029-2023")</f>
        <v/>
      </c>
    </row>
    <row r="183" ht="15" customHeight="1">
      <c r="A183" t="inlineStr">
        <is>
          <t>A 39430-2023</t>
        </is>
      </c>
      <c r="B183" s="1" t="n">
        <v>45166</v>
      </c>
      <c r="C183" s="1" t="n">
        <v>45822</v>
      </c>
      <c r="D183" t="inlineStr">
        <is>
          <t>GOTLANDS LÄN</t>
        </is>
      </c>
      <c r="E183" t="inlineStr">
        <is>
          <t>GOTLAND</t>
        </is>
      </c>
      <c r="G183" t="n">
        <v>2.3</v>
      </c>
      <c r="H183" t="n">
        <v>0</v>
      </c>
      <c r="I183" t="n">
        <v>1</v>
      </c>
      <c r="J183" t="n">
        <v>1</v>
      </c>
      <c r="K183" t="n">
        <v>0</v>
      </c>
      <c r="L183" t="n">
        <v>0</v>
      </c>
      <c r="M183" t="n">
        <v>0</v>
      </c>
      <c r="N183" t="n">
        <v>0</v>
      </c>
      <c r="O183" t="n">
        <v>1</v>
      </c>
      <c r="P183" t="n">
        <v>0</v>
      </c>
      <c r="Q183" t="n">
        <v>2</v>
      </c>
      <c r="R183" s="2" t="inlineStr">
        <is>
          <t>Odörspindling
Anisspindling</t>
        </is>
      </c>
      <c r="S183">
        <f>HYPERLINK("https://klasma.github.io/Logging_0980/artfynd/A 39430-2023 artfynd.xlsx", "A 39430-2023")</f>
        <v/>
      </c>
      <c r="T183">
        <f>HYPERLINK("https://klasma.github.io/Logging_0980/kartor/A 39430-2023 karta.png", "A 39430-2023")</f>
        <v/>
      </c>
      <c r="V183">
        <f>HYPERLINK("https://klasma.github.io/Logging_0980/klagomål/A 39430-2023 FSC-klagomål.docx", "A 39430-2023")</f>
        <v/>
      </c>
      <c r="W183">
        <f>HYPERLINK("https://klasma.github.io/Logging_0980/klagomålsmail/A 39430-2023 FSC-klagomål mail.docx", "A 39430-2023")</f>
        <v/>
      </c>
      <c r="X183">
        <f>HYPERLINK("https://klasma.github.io/Logging_0980/tillsyn/A 39430-2023 tillsynsbegäran.docx", "A 39430-2023")</f>
        <v/>
      </c>
      <c r="Y183">
        <f>HYPERLINK("https://klasma.github.io/Logging_0980/tillsynsmail/A 39430-2023 tillsynsbegäran mail.docx", "A 39430-2023")</f>
        <v/>
      </c>
    </row>
    <row r="184" ht="15" customHeight="1">
      <c r="A184" t="inlineStr">
        <is>
          <t>A 39749-2023</t>
        </is>
      </c>
      <c r="B184" s="1" t="n">
        <v>45167</v>
      </c>
      <c r="C184" s="1" t="n">
        <v>45822</v>
      </c>
      <c r="D184" t="inlineStr">
        <is>
          <t>GOTLANDS LÄN</t>
        </is>
      </c>
      <c r="E184" t="inlineStr">
        <is>
          <t>GOTLAND</t>
        </is>
      </c>
      <c r="G184" t="n">
        <v>8.300000000000001</v>
      </c>
      <c r="H184" t="n">
        <v>0</v>
      </c>
      <c r="I184" t="n">
        <v>1</v>
      </c>
      <c r="J184" t="n">
        <v>1</v>
      </c>
      <c r="K184" t="n">
        <v>0</v>
      </c>
      <c r="L184" t="n">
        <v>0</v>
      </c>
      <c r="M184" t="n">
        <v>0</v>
      </c>
      <c r="N184" t="n">
        <v>0</v>
      </c>
      <c r="O184" t="n">
        <v>1</v>
      </c>
      <c r="P184" t="n">
        <v>0</v>
      </c>
      <c r="Q184" t="n">
        <v>2</v>
      </c>
      <c r="R184" s="2" t="inlineStr">
        <is>
          <t>Majviva
Axag</t>
        </is>
      </c>
      <c r="S184">
        <f>HYPERLINK("https://klasma.github.io/Logging_0980/artfynd/A 39749-2023 artfynd.xlsx", "A 39749-2023")</f>
        <v/>
      </c>
      <c r="T184">
        <f>HYPERLINK("https://klasma.github.io/Logging_0980/kartor/A 39749-2023 karta.png", "A 39749-2023")</f>
        <v/>
      </c>
      <c r="V184">
        <f>HYPERLINK("https://klasma.github.io/Logging_0980/klagomål/A 39749-2023 FSC-klagomål.docx", "A 39749-2023")</f>
        <v/>
      </c>
      <c r="W184">
        <f>HYPERLINK("https://klasma.github.io/Logging_0980/klagomålsmail/A 39749-2023 FSC-klagomål mail.docx", "A 39749-2023")</f>
        <v/>
      </c>
      <c r="X184">
        <f>HYPERLINK("https://klasma.github.io/Logging_0980/tillsyn/A 39749-2023 tillsynsbegäran.docx", "A 39749-2023")</f>
        <v/>
      </c>
      <c r="Y184">
        <f>HYPERLINK("https://klasma.github.io/Logging_0980/tillsynsmail/A 39749-2023 tillsynsbegäran mail.docx", "A 39749-2023")</f>
        <v/>
      </c>
    </row>
    <row r="185" ht="15" customHeight="1">
      <c r="A185" t="inlineStr">
        <is>
          <t>A 2818-2024</t>
        </is>
      </c>
      <c r="B185" s="1" t="n">
        <v>45314</v>
      </c>
      <c r="C185" s="1" t="n">
        <v>45822</v>
      </c>
      <c r="D185" t="inlineStr">
        <is>
          <t>GOTLANDS LÄN</t>
        </is>
      </c>
      <c r="E185" t="inlineStr">
        <is>
          <t>GOTLAND</t>
        </is>
      </c>
      <c r="G185" t="n">
        <v>2.4</v>
      </c>
      <c r="H185" t="n">
        <v>1</v>
      </c>
      <c r="I185" t="n">
        <v>0</v>
      </c>
      <c r="J185" t="n">
        <v>1</v>
      </c>
      <c r="K185" t="n">
        <v>0</v>
      </c>
      <c r="L185" t="n">
        <v>0</v>
      </c>
      <c r="M185" t="n">
        <v>0</v>
      </c>
      <c r="N185" t="n">
        <v>0</v>
      </c>
      <c r="O185" t="n">
        <v>1</v>
      </c>
      <c r="P185" t="n">
        <v>0</v>
      </c>
      <c r="Q185" t="n">
        <v>2</v>
      </c>
      <c r="R185" s="2" t="inlineStr">
        <is>
          <t>Solvända
Gullviva</t>
        </is>
      </c>
      <c r="S185">
        <f>HYPERLINK("https://klasma.github.io/Logging_0980/artfynd/A 2818-2024 artfynd.xlsx", "A 2818-2024")</f>
        <v/>
      </c>
      <c r="T185">
        <f>HYPERLINK("https://klasma.github.io/Logging_0980/kartor/A 2818-2024 karta.png", "A 2818-2024")</f>
        <v/>
      </c>
      <c r="V185">
        <f>HYPERLINK("https://klasma.github.io/Logging_0980/klagomål/A 2818-2024 FSC-klagomål.docx", "A 2818-2024")</f>
        <v/>
      </c>
      <c r="W185">
        <f>HYPERLINK("https://klasma.github.io/Logging_0980/klagomålsmail/A 2818-2024 FSC-klagomål mail.docx", "A 2818-2024")</f>
        <v/>
      </c>
      <c r="X185">
        <f>HYPERLINK("https://klasma.github.io/Logging_0980/tillsyn/A 2818-2024 tillsynsbegäran.docx", "A 2818-2024")</f>
        <v/>
      </c>
      <c r="Y185">
        <f>HYPERLINK("https://klasma.github.io/Logging_0980/tillsynsmail/A 2818-2024 tillsynsbegäran mail.docx", "A 2818-2024")</f>
        <v/>
      </c>
    </row>
    <row r="186" ht="15" customHeight="1">
      <c r="A186" t="inlineStr">
        <is>
          <t>A 16331-2024</t>
        </is>
      </c>
      <c r="B186" s="1" t="n">
        <v>45407</v>
      </c>
      <c r="C186" s="1" t="n">
        <v>45822</v>
      </c>
      <c r="D186" t="inlineStr">
        <is>
          <t>GOTLANDS LÄN</t>
        </is>
      </c>
      <c r="E186" t="inlineStr">
        <is>
          <t>GOTLAND</t>
        </is>
      </c>
      <c r="G186" t="n">
        <v>4.2</v>
      </c>
      <c r="H186" t="n">
        <v>0</v>
      </c>
      <c r="I186" t="n">
        <v>2</v>
      </c>
      <c r="J186" t="n">
        <v>0</v>
      </c>
      <c r="K186" t="n">
        <v>0</v>
      </c>
      <c r="L186" t="n">
        <v>0</v>
      </c>
      <c r="M186" t="n">
        <v>0</v>
      </c>
      <c r="N186" t="n">
        <v>0</v>
      </c>
      <c r="O186" t="n">
        <v>0</v>
      </c>
      <c r="P186" t="n">
        <v>0</v>
      </c>
      <c r="Q186" t="n">
        <v>2</v>
      </c>
      <c r="R186" s="2" t="inlineStr">
        <is>
          <t>Blå slemspindling
Västlig hakmossa</t>
        </is>
      </c>
      <c r="S186">
        <f>HYPERLINK("https://klasma.github.io/Logging_0980/artfynd/A 16331-2024 artfynd.xlsx", "A 16331-2024")</f>
        <v/>
      </c>
      <c r="T186">
        <f>HYPERLINK("https://klasma.github.io/Logging_0980/kartor/A 16331-2024 karta.png", "A 16331-2024")</f>
        <v/>
      </c>
      <c r="V186">
        <f>HYPERLINK("https://klasma.github.io/Logging_0980/klagomål/A 16331-2024 FSC-klagomål.docx", "A 16331-2024")</f>
        <v/>
      </c>
      <c r="W186">
        <f>HYPERLINK("https://klasma.github.io/Logging_0980/klagomålsmail/A 16331-2024 FSC-klagomål mail.docx", "A 16331-2024")</f>
        <v/>
      </c>
      <c r="X186">
        <f>HYPERLINK("https://klasma.github.io/Logging_0980/tillsyn/A 16331-2024 tillsynsbegäran.docx", "A 16331-2024")</f>
        <v/>
      </c>
      <c r="Y186">
        <f>HYPERLINK("https://klasma.github.io/Logging_0980/tillsynsmail/A 16331-2024 tillsynsbegäran mail.docx", "A 16331-2024")</f>
        <v/>
      </c>
    </row>
    <row r="187" ht="15" customHeight="1">
      <c r="A187" t="inlineStr">
        <is>
          <t>A 17533-2024</t>
        </is>
      </c>
      <c r="B187" s="1" t="n">
        <v>45415</v>
      </c>
      <c r="C187" s="1" t="n">
        <v>45822</v>
      </c>
      <c r="D187" t="inlineStr">
        <is>
          <t>GOTLANDS LÄN</t>
        </is>
      </c>
      <c r="E187" t="inlineStr">
        <is>
          <t>GOTLAND</t>
        </is>
      </c>
      <c r="G187" t="n">
        <v>2.3</v>
      </c>
      <c r="H187" t="n">
        <v>0</v>
      </c>
      <c r="I187" t="n">
        <v>1</v>
      </c>
      <c r="J187" t="n">
        <v>0</v>
      </c>
      <c r="K187" t="n">
        <v>1</v>
      </c>
      <c r="L187" t="n">
        <v>0</v>
      </c>
      <c r="M187" t="n">
        <v>0</v>
      </c>
      <c r="N187" t="n">
        <v>0</v>
      </c>
      <c r="O187" t="n">
        <v>1</v>
      </c>
      <c r="P187" t="n">
        <v>1</v>
      </c>
      <c r="Q187" t="n">
        <v>2</v>
      </c>
      <c r="R187" s="2" t="inlineStr">
        <is>
          <t>Skogskorn
Strävlosta</t>
        </is>
      </c>
      <c r="S187">
        <f>HYPERLINK("https://klasma.github.io/Logging_0980/artfynd/A 17533-2024 artfynd.xlsx", "A 17533-2024")</f>
        <v/>
      </c>
      <c r="T187">
        <f>HYPERLINK("https://klasma.github.io/Logging_0980/kartor/A 17533-2024 karta.png", "A 17533-2024")</f>
        <v/>
      </c>
      <c r="V187">
        <f>HYPERLINK("https://klasma.github.io/Logging_0980/klagomål/A 17533-2024 FSC-klagomål.docx", "A 17533-2024")</f>
        <v/>
      </c>
      <c r="W187">
        <f>HYPERLINK("https://klasma.github.io/Logging_0980/klagomålsmail/A 17533-2024 FSC-klagomål mail.docx", "A 17533-2024")</f>
        <v/>
      </c>
      <c r="X187">
        <f>HYPERLINK("https://klasma.github.io/Logging_0980/tillsyn/A 17533-2024 tillsynsbegäran.docx", "A 17533-2024")</f>
        <v/>
      </c>
      <c r="Y187">
        <f>HYPERLINK("https://klasma.github.io/Logging_0980/tillsynsmail/A 17533-2024 tillsynsbegäran mail.docx", "A 17533-2024")</f>
        <v/>
      </c>
    </row>
    <row r="188" ht="15" customHeight="1">
      <c r="A188" t="inlineStr">
        <is>
          <t>A 25973-2024</t>
        </is>
      </c>
      <c r="B188" s="1" t="n">
        <v>45467</v>
      </c>
      <c r="C188" s="1" t="n">
        <v>45822</v>
      </c>
      <c r="D188" t="inlineStr">
        <is>
          <t>GOTLANDS LÄN</t>
        </is>
      </c>
      <c r="E188" t="inlineStr">
        <is>
          <t>GOTLAND</t>
        </is>
      </c>
      <c r="G188" t="n">
        <v>2.3</v>
      </c>
      <c r="H188" t="n">
        <v>1</v>
      </c>
      <c r="I188" t="n">
        <v>0</v>
      </c>
      <c r="J188" t="n">
        <v>2</v>
      </c>
      <c r="K188" t="n">
        <v>0</v>
      </c>
      <c r="L188" t="n">
        <v>0</v>
      </c>
      <c r="M188" t="n">
        <v>0</v>
      </c>
      <c r="N188" t="n">
        <v>0</v>
      </c>
      <c r="O188" t="n">
        <v>2</v>
      </c>
      <c r="P188" t="n">
        <v>0</v>
      </c>
      <c r="Q188" t="n">
        <v>2</v>
      </c>
      <c r="R188" s="2" t="inlineStr">
        <is>
          <t>Dårgräsfjäril
Svinrot</t>
        </is>
      </c>
      <c r="S188">
        <f>HYPERLINK("https://klasma.github.io/Logging_0980/artfynd/A 25973-2024 artfynd.xlsx", "A 25973-2024")</f>
        <v/>
      </c>
      <c r="T188">
        <f>HYPERLINK("https://klasma.github.io/Logging_0980/kartor/A 25973-2024 karta.png", "A 25973-2024")</f>
        <v/>
      </c>
      <c r="V188">
        <f>HYPERLINK("https://klasma.github.io/Logging_0980/klagomål/A 25973-2024 FSC-klagomål.docx", "A 25973-2024")</f>
        <v/>
      </c>
      <c r="W188">
        <f>HYPERLINK("https://klasma.github.io/Logging_0980/klagomålsmail/A 25973-2024 FSC-klagomål mail.docx", "A 25973-2024")</f>
        <v/>
      </c>
      <c r="X188">
        <f>HYPERLINK("https://klasma.github.io/Logging_0980/tillsyn/A 25973-2024 tillsynsbegäran.docx", "A 25973-2024")</f>
        <v/>
      </c>
      <c r="Y188">
        <f>HYPERLINK("https://klasma.github.io/Logging_0980/tillsynsmail/A 25973-2024 tillsynsbegäran mail.docx", "A 25973-2024")</f>
        <v/>
      </c>
    </row>
    <row r="189" ht="15" customHeight="1">
      <c r="A189" t="inlineStr">
        <is>
          <t>A 26077-2024</t>
        </is>
      </c>
      <c r="B189" s="1" t="n">
        <v>45467</v>
      </c>
      <c r="C189" s="1" t="n">
        <v>45822</v>
      </c>
      <c r="D189" t="inlineStr">
        <is>
          <t>GOTLANDS LÄN</t>
        </is>
      </c>
      <c r="E189" t="inlineStr">
        <is>
          <t>GOTLAND</t>
        </is>
      </c>
      <c r="G189" t="n">
        <v>4.6</v>
      </c>
      <c r="H189" t="n">
        <v>0</v>
      </c>
      <c r="I189" t="n">
        <v>0</v>
      </c>
      <c r="J189" t="n">
        <v>1</v>
      </c>
      <c r="K189" t="n">
        <v>0</v>
      </c>
      <c r="L189" t="n">
        <v>1</v>
      </c>
      <c r="M189" t="n">
        <v>0</v>
      </c>
      <c r="N189" t="n">
        <v>0</v>
      </c>
      <c r="O189" t="n">
        <v>2</v>
      </c>
      <c r="P189" t="n">
        <v>1</v>
      </c>
      <c r="Q189" t="n">
        <v>2</v>
      </c>
      <c r="R189" s="2" t="inlineStr">
        <is>
          <t>Ask
Tallticka</t>
        </is>
      </c>
      <c r="S189">
        <f>HYPERLINK("https://klasma.github.io/Logging_0980/artfynd/A 26077-2024 artfynd.xlsx", "A 26077-2024")</f>
        <v/>
      </c>
      <c r="T189">
        <f>HYPERLINK("https://klasma.github.io/Logging_0980/kartor/A 26077-2024 karta.png", "A 26077-2024")</f>
        <v/>
      </c>
      <c r="V189">
        <f>HYPERLINK("https://klasma.github.io/Logging_0980/klagomål/A 26077-2024 FSC-klagomål.docx", "A 26077-2024")</f>
        <v/>
      </c>
      <c r="W189">
        <f>HYPERLINK("https://klasma.github.io/Logging_0980/klagomålsmail/A 26077-2024 FSC-klagomål mail.docx", "A 26077-2024")</f>
        <v/>
      </c>
      <c r="X189">
        <f>HYPERLINK("https://klasma.github.io/Logging_0980/tillsyn/A 26077-2024 tillsynsbegäran.docx", "A 26077-2024")</f>
        <v/>
      </c>
      <c r="Y189">
        <f>HYPERLINK("https://klasma.github.io/Logging_0980/tillsynsmail/A 26077-2024 tillsynsbegäran mail.docx", "A 26077-2024")</f>
        <v/>
      </c>
    </row>
    <row r="190" ht="15" customHeight="1">
      <c r="A190" t="inlineStr">
        <is>
          <t>A 28261-2024</t>
        </is>
      </c>
      <c r="B190" s="1" t="n">
        <v>45477</v>
      </c>
      <c r="C190" s="1" t="n">
        <v>45822</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28261-2024 artfynd.xlsx", "A 28261-2024")</f>
        <v/>
      </c>
      <c r="T190">
        <f>HYPERLINK("https://klasma.github.io/Logging_0980/kartor/A 28261-2024 karta.png", "A 28261-2024")</f>
        <v/>
      </c>
      <c r="V190">
        <f>HYPERLINK("https://klasma.github.io/Logging_0980/klagomål/A 28261-2024 FSC-klagomål.docx", "A 28261-2024")</f>
        <v/>
      </c>
      <c r="W190">
        <f>HYPERLINK("https://klasma.github.io/Logging_0980/klagomålsmail/A 28261-2024 FSC-klagomål mail.docx", "A 28261-2024")</f>
        <v/>
      </c>
      <c r="X190">
        <f>HYPERLINK("https://klasma.github.io/Logging_0980/tillsyn/A 28261-2024 tillsynsbegäran.docx", "A 28261-2024")</f>
        <v/>
      </c>
      <c r="Y190">
        <f>HYPERLINK("https://klasma.github.io/Logging_0980/tillsynsmail/A 28261-2024 tillsynsbegäran mail.docx", "A 28261-2024")</f>
        <v/>
      </c>
    </row>
    <row r="191" ht="15" customHeight="1">
      <c r="A191" t="inlineStr">
        <is>
          <t>A 28276-2024</t>
        </is>
      </c>
      <c r="B191" s="1" t="n">
        <v>45477</v>
      </c>
      <c r="C191" s="1" t="n">
        <v>45822</v>
      </c>
      <c r="D191" t="inlineStr">
        <is>
          <t>GOTLANDS LÄN</t>
        </is>
      </c>
      <c r="E191" t="inlineStr">
        <is>
          <t>GOTLAND</t>
        </is>
      </c>
      <c r="G191" t="n">
        <v>22.8</v>
      </c>
      <c r="H191" t="n">
        <v>0</v>
      </c>
      <c r="I191" t="n">
        <v>0</v>
      </c>
      <c r="J191" t="n">
        <v>2</v>
      </c>
      <c r="K191" t="n">
        <v>0</v>
      </c>
      <c r="L191" t="n">
        <v>0</v>
      </c>
      <c r="M191" t="n">
        <v>0</v>
      </c>
      <c r="N191" t="n">
        <v>0</v>
      </c>
      <c r="O191" t="n">
        <v>2</v>
      </c>
      <c r="P191" t="n">
        <v>0</v>
      </c>
      <c r="Q191" t="n">
        <v>2</v>
      </c>
      <c r="R191" s="2" t="inlineStr">
        <is>
          <t>Grådådra
Åkerkulla</t>
        </is>
      </c>
      <c r="S191">
        <f>HYPERLINK("https://klasma.github.io/Logging_0980/artfynd/A 28276-2024 artfynd.xlsx", "A 28276-2024")</f>
        <v/>
      </c>
      <c r="T191">
        <f>HYPERLINK("https://klasma.github.io/Logging_0980/kartor/A 28276-2024 karta.png", "A 28276-2024")</f>
        <v/>
      </c>
      <c r="V191">
        <f>HYPERLINK("https://klasma.github.io/Logging_0980/klagomål/A 28276-2024 FSC-klagomål.docx", "A 28276-2024")</f>
        <v/>
      </c>
      <c r="W191">
        <f>HYPERLINK("https://klasma.github.io/Logging_0980/klagomålsmail/A 28276-2024 FSC-klagomål mail.docx", "A 28276-2024")</f>
        <v/>
      </c>
      <c r="X191">
        <f>HYPERLINK("https://klasma.github.io/Logging_0980/tillsyn/A 28276-2024 tillsynsbegäran.docx", "A 28276-2024")</f>
        <v/>
      </c>
      <c r="Y191">
        <f>HYPERLINK("https://klasma.github.io/Logging_0980/tillsynsmail/A 28276-2024 tillsynsbegäran mail.docx", "A 28276-2024")</f>
        <v/>
      </c>
    </row>
    <row r="192" ht="15" customHeight="1">
      <c r="A192" t="inlineStr">
        <is>
          <t>A 54357-2024</t>
        </is>
      </c>
      <c r="B192" s="1" t="n">
        <v>45617</v>
      </c>
      <c r="C192" s="1" t="n">
        <v>45822</v>
      </c>
      <c r="D192" t="inlineStr">
        <is>
          <t>GOTLANDS LÄN</t>
        </is>
      </c>
      <c r="E192" t="inlineStr">
        <is>
          <t>GOTLAND</t>
        </is>
      </c>
      <c r="G192" t="n">
        <v>1.5</v>
      </c>
      <c r="H192" t="n">
        <v>1</v>
      </c>
      <c r="I192" t="n">
        <v>0</v>
      </c>
      <c r="J192" t="n">
        <v>1</v>
      </c>
      <c r="K192" t="n">
        <v>0</v>
      </c>
      <c r="L192" t="n">
        <v>0</v>
      </c>
      <c r="M192" t="n">
        <v>0</v>
      </c>
      <c r="N192" t="n">
        <v>0</v>
      </c>
      <c r="O192" t="n">
        <v>1</v>
      </c>
      <c r="P192" t="n">
        <v>0</v>
      </c>
      <c r="Q192" t="n">
        <v>2</v>
      </c>
      <c r="R192" s="2" t="inlineStr">
        <is>
          <t>Loppstarr
Fläcknycklar</t>
        </is>
      </c>
      <c r="S192">
        <f>HYPERLINK("https://klasma.github.io/Logging_0980/artfynd/A 54357-2024 artfynd.xlsx", "A 54357-2024")</f>
        <v/>
      </c>
      <c r="T192">
        <f>HYPERLINK("https://klasma.github.io/Logging_0980/kartor/A 54357-2024 karta.png", "A 54357-2024")</f>
        <v/>
      </c>
      <c r="V192">
        <f>HYPERLINK("https://klasma.github.io/Logging_0980/klagomål/A 54357-2024 FSC-klagomål.docx", "A 54357-2024")</f>
        <v/>
      </c>
      <c r="W192">
        <f>HYPERLINK("https://klasma.github.io/Logging_0980/klagomålsmail/A 54357-2024 FSC-klagomål mail.docx", "A 54357-2024")</f>
        <v/>
      </c>
      <c r="X192">
        <f>HYPERLINK("https://klasma.github.io/Logging_0980/tillsyn/A 54357-2024 tillsynsbegäran.docx", "A 54357-2024")</f>
        <v/>
      </c>
      <c r="Y192">
        <f>HYPERLINK("https://klasma.github.io/Logging_0980/tillsynsmail/A 54357-2024 tillsynsbegäran mail.docx", "A 54357-2024")</f>
        <v/>
      </c>
    </row>
    <row r="193" ht="15" customHeight="1">
      <c r="A193" t="inlineStr">
        <is>
          <t>A 54647-2024</t>
        </is>
      </c>
      <c r="B193" s="1" t="n">
        <v>45617</v>
      </c>
      <c r="C193" s="1" t="n">
        <v>45822</v>
      </c>
      <c r="D193" t="inlineStr">
        <is>
          <t>GOTLANDS LÄN</t>
        </is>
      </c>
      <c r="E193" t="inlineStr">
        <is>
          <t>GOTLAND</t>
        </is>
      </c>
      <c r="G193" t="n">
        <v>2.2</v>
      </c>
      <c r="H193" t="n">
        <v>0</v>
      </c>
      <c r="I193" t="n">
        <v>2</v>
      </c>
      <c r="J193" t="n">
        <v>0</v>
      </c>
      <c r="K193" t="n">
        <v>0</v>
      </c>
      <c r="L193" t="n">
        <v>0</v>
      </c>
      <c r="M193" t="n">
        <v>0</v>
      </c>
      <c r="N193" t="n">
        <v>0</v>
      </c>
      <c r="O193" t="n">
        <v>0</v>
      </c>
      <c r="P193" t="n">
        <v>0</v>
      </c>
      <c r="Q193" t="n">
        <v>2</v>
      </c>
      <c r="R193" s="2" t="inlineStr">
        <is>
          <t>Kattfotslav
Olivspindling</t>
        </is>
      </c>
      <c r="S193">
        <f>HYPERLINK("https://klasma.github.io/Logging_0980/artfynd/A 54647-2024 artfynd.xlsx", "A 54647-2024")</f>
        <v/>
      </c>
      <c r="T193">
        <f>HYPERLINK("https://klasma.github.io/Logging_0980/kartor/A 54647-2024 karta.png", "A 54647-2024")</f>
        <v/>
      </c>
      <c r="V193">
        <f>HYPERLINK("https://klasma.github.io/Logging_0980/klagomål/A 54647-2024 FSC-klagomål.docx", "A 54647-2024")</f>
        <v/>
      </c>
      <c r="W193">
        <f>HYPERLINK("https://klasma.github.io/Logging_0980/klagomålsmail/A 54647-2024 FSC-klagomål mail.docx", "A 54647-2024")</f>
        <v/>
      </c>
      <c r="X193">
        <f>HYPERLINK("https://klasma.github.io/Logging_0980/tillsyn/A 54647-2024 tillsynsbegäran.docx", "A 54647-2024")</f>
        <v/>
      </c>
      <c r="Y193">
        <f>HYPERLINK("https://klasma.github.io/Logging_0980/tillsynsmail/A 54647-2024 tillsynsbegäran mail.docx", "A 54647-2024")</f>
        <v/>
      </c>
    </row>
    <row r="194" ht="15" customHeight="1">
      <c r="A194" t="inlineStr">
        <is>
          <t>A 55649-2024</t>
        </is>
      </c>
      <c r="B194" s="1" t="n">
        <v>45622</v>
      </c>
      <c r="C194" s="1" t="n">
        <v>45822</v>
      </c>
      <c r="D194" t="inlineStr">
        <is>
          <t>GOTLANDS LÄN</t>
        </is>
      </c>
      <c r="E194" t="inlineStr">
        <is>
          <t>GOTLAND</t>
        </is>
      </c>
      <c r="G194" t="n">
        <v>4.6</v>
      </c>
      <c r="H194" t="n">
        <v>2</v>
      </c>
      <c r="I194" t="n">
        <v>0</v>
      </c>
      <c r="J194" t="n">
        <v>0</v>
      </c>
      <c r="K194" t="n">
        <v>0</v>
      </c>
      <c r="L194" t="n">
        <v>0</v>
      </c>
      <c r="M194" t="n">
        <v>0</v>
      </c>
      <c r="N194" t="n">
        <v>0</v>
      </c>
      <c r="O194" t="n">
        <v>0</v>
      </c>
      <c r="P194" t="n">
        <v>0</v>
      </c>
      <c r="Q194" t="n">
        <v>2</v>
      </c>
      <c r="R194" s="2" t="inlineStr">
        <is>
          <t>Sankt pers nycklar
Blåsippa</t>
        </is>
      </c>
      <c r="S194">
        <f>HYPERLINK("https://klasma.github.io/Logging_0980/artfynd/A 55649-2024 artfynd.xlsx", "A 55649-2024")</f>
        <v/>
      </c>
      <c r="T194">
        <f>HYPERLINK("https://klasma.github.io/Logging_0980/kartor/A 55649-2024 karta.png", "A 55649-2024")</f>
        <v/>
      </c>
      <c r="V194">
        <f>HYPERLINK("https://klasma.github.io/Logging_0980/klagomål/A 55649-2024 FSC-klagomål.docx", "A 55649-2024")</f>
        <v/>
      </c>
      <c r="W194">
        <f>HYPERLINK("https://klasma.github.io/Logging_0980/klagomålsmail/A 55649-2024 FSC-klagomål mail.docx", "A 55649-2024")</f>
        <v/>
      </c>
      <c r="X194">
        <f>HYPERLINK("https://klasma.github.io/Logging_0980/tillsyn/A 55649-2024 tillsynsbegäran.docx", "A 55649-2024")</f>
        <v/>
      </c>
      <c r="Y194">
        <f>HYPERLINK("https://klasma.github.io/Logging_0980/tillsynsmail/A 55649-2024 tillsynsbegäran mail.docx", "A 55649-2024")</f>
        <v/>
      </c>
    </row>
    <row r="195" ht="15" customHeight="1">
      <c r="A195" t="inlineStr">
        <is>
          <t>A 1120-2025</t>
        </is>
      </c>
      <c r="B195" s="1" t="n">
        <v>45666</v>
      </c>
      <c r="C195" s="1" t="n">
        <v>45822</v>
      </c>
      <c r="D195" t="inlineStr">
        <is>
          <t>GOTLANDS LÄN</t>
        </is>
      </c>
      <c r="E195" t="inlineStr">
        <is>
          <t>GOTLAND</t>
        </is>
      </c>
      <c r="G195" t="n">
        <v>9.300000000000001</v>
      </c>
      <c r="H195" t="n">
        <v>1</v>
      </c>
      <c r="I195" t="n">
        <v>1</v>
      </c>
      <c r="J195" t="n">
        <v>1</v>
      </c>
      <c r="K195" t="n">
        <v>0</v>
      </c>
      <c r="L195" t="n">
        <v>0</v>
      </c>
      <c r="M195" t="n">
        <v>0</v>
      </c>
      <c r="N195" t="n">
        <v>0</v>
      </c>
      <c r="O195" t="n">
        <v>1</v>
      </c>
      <c r="P195" t="n">
        <v>0</v>
      </c>
      <c r="Q195" t="n">
        <v>2</v>
      </c>
      <c r="R195" s="2" t="inlineStr">
        <is>
          <t>Röd skogslilja
Vårärt</t>
        </is>
      </c>
      <c r="S195">
        <f>HYPERLINK("https://klasma.github.io/Logging_0980/artfynd/A 1120-2025 artfynd.xlsx", "A 1120-2025")</f>
        <v/>
      </c>
      <c r="T195">
        <f>HYPERLINK("https://klasma.github.io/Logging_0980/kartor/A 1120-2025 karta.png", "A 1120-2025")</f>
        <v/>
      </c>
      <c r="V195">
        <f>HYPERLINK("https://klasma.github.io/Logging_0980/klagomål/A 1120-2025 FSC-klagomål.docx", "A 1120-2025")</f>
        <v/>
      </c>
      <c r="W195">
        <f>HYPERLINK("https://klasma.github.io/Logging_0980/klagomålsmail/A 1120-2025 FSC-klagomål mail.docx", "A 1120-2025")</f>
        <v/>
      </c>
      <c r="X195">
        <f>HYPERLINK("https://klasma.github.io/Logging_0980/tillsyn/A 1120-2025 tillsynsbegäran.docx", "A 1120-2025")</f>
        <v/>
      </c>
      <c r="Y195">
        <f>HYPERLINK("https://klasma.github.io/Logging_0980/tillsynsmail/A 1120-2025 tillsynsbegäran mail.docx", "A 1120-2025")</f>
        <v/>
      </c>
    </row>
    <row r="196" ht="15" customHeight="1">
      <c r="A196" t="inlineStr">
        <is>
          <t>A 9209-2025</t>
        </is>
      </c>
      <c r="B196" s="1" t="n">
        <v>45714</v>
      </c>
      <c r="C196" s="1" t="n">
        <v>45822</v>
      </c>
      <c r="D196" t="inlineStr">
        <is>
          <t>GOTLANDS LÄN</t>
        </is>
      </c>
      <c r="E196" t="inlineStr">
        <is>
          <t>GOTLAND</t>
        </is>
      </c>
      <c r="G196" t="n">
        <v>11.6</v>
      </c>
      <c r="H196" t="n">
        <v>0</v>
      </c>
      <c r="I196" t="n">
        <v>1</v>
      </c>
      <c r="J196" t="n">
        <v>0</v>
      </c>
      <c r="K196" t="n">
        <v>1</v>
      </c>
      <c r="L196" t="n">
        <v>0</v>
      </c>
      <c r="M196" t="n">
        <v>0</v>
      </c>
      <c r="N196" t="n">
        <v>0</v>
      </c>
      <c r="O196" t="n">
        <v>1</v>
      </c>
      <c r="P196" t="n">
        <v>1</v>
      </c>
      <c r="Q196" t="n">
        <v>2</v>
      </c>
      <c r="R196" s="2" t="inlineStr">
        <is>
          <t>Skogskorn
Myskmadra</t>
        </is>
      </c>
      <c r="S196">
        <f>HYPERLINK("https://klasma.github.io/Logging_0980/artfynd/A 9209-2025 artfynd.xlsx", "A 9209-2025")</f>
        <v/>
      </c>
      <c r="T196">
        <f>HYPERLINK("https://klasma.github.io/Logging_0980/kartor/A 9209-2025 karta.png", "A 9209-2025")</f>
        <v/>
      </c>
      <c r="V196">
        <f>HYPERLINK("https://klasma.github.io/Logging_0980/klagomål/A 9209-2025 FSC-klagomål.docx", "A 9209-2025")</f>
        <v/>
      </c>
      <c r="W196">
        <f>HYPERLINK("https://klasma.github.io/Logging_0980/klagomålsmail/A 9209-2025 FSC-klagomål mail.docx", "A 9209-2025")</f>
        <v/>
      </c>
      <c r="X196">
        <f>HYPERLINK("https://klasma.github.io/Logging_0980/tillsyn/A 9209-2025 tillsynsbegäran.docx", "A 9209-2025")</f>
        <v/>
      </c>
      <c r="Y196">
        <f>HYPERLINK("https://klasma.github.io/Logging_0980/tillsynsmail/A 9209-2025 tillsynsbegäran mail.docx", "A 9209-2025")</f>
        <v/>
      </c>
    </row>
    <row r="197" ht="15" customHeight="1">
      <c r="A197" t="inlineStr">
        <is>
          <t>A 12914-2025</t>
        </is>
      </c>
      <c r="B197" s="1" t="n">
        <v>45733</v>
      </c>
      <c r="C197" s="1" t="n">
        <v>45822</v>
      </c>
      <c r="D197" t="inlineStr">
        <is>
          <t>GOTLANDS LÄN</t>
        </is>
      </c>
      <c r="E197" t="inlineStr">
        <is>
          <t>GOTLAND</t>
        </is>
      </c>
      <c r="G197" t="n">
        <v>24.8</v>
      </c>
      <c r="H197" t="n">
        <v>2</v>
      </c>
      <c r="I197" t="n">
        <v>1</v>
      </c>
      <c r="J197" t="n">
        <v>0</v>
      </c>
      <c r="K197" t="n">
        <v>0</v>
      </c>
      <c r="L197" t="n">
        <v>0</v>
      </c>
      <c r="M197" t="n">
        <v>0</v>
      </c>
      <c r="N197" t="n">
        <v>0</v>
      </c>
      <c r="O197" t="n">
        <v>0</v>
      </c>
      <c r="P197" t="n">
        <v>0</v>
      </c>
      <c r="Q197" t="n">
        <v>2</v>
      </c>
      <c r="R197" s="2" t="inlineStr">
        <is>
          <t>Purpurknipprot
Brudsporre</t>
        </is>
      </c>
      <c r="S197">
        <f>HYPERLINK("https://klasma.github.io/Logging_090980/artfynd/A 12914-2025 artfynd.xlsx", "A 12914-2025")</f>
        <v/>
      </c>
      <c r="T197">
        <f>HYPERLINK("https://klasma.github.io/Logging_090980/kartor/A 12914-2025 karta.png", "A 12914-2025")</f>
        <v/>
      </c>
      <c r="V197">
        <f>HYPERLINK("https://klasma.github.io/Logging_090980/klagomål/A 12914-2025 FSC-klagomål.docx", "A 12914-2025")</f>
        <v/>
      </c>
      <c r="W197">
        <f>HYPERLINK("https://klasma.github.io/Logging_090980/klagomålsmail/A 12914-2025 FSC-klagomål mail.docx", "A 12914-2025")</f>
        <v/>
      </c>
      <c r="X197">
        <f>HYPERLINK("https://klasma.github.io/Logging_090980/tillsyn/A 12914-2025 tillsynsbegäran.docx", "A 12914-2025")</f>
        <v/>
      </c>
      <c r="Y197">
        <f>HYPERLINK("https://klasma.github.io/Logging_090980/tillsynsmail/A 12914-2025 tillsynsbegäran mail.docx", "A 12914-2025")</f>
        <v/>
      </c>
    </row>
    <row r="198" ht="15" customHeight="1">
      <c r="A198" t="inlineStr">
        <is>
          <t>A 21879-2025</t>
        </is>
      </c>
      <c r="B198" s="1" t="n">
        <v>45784</v>
      </c>
      <c r="C198" s="1" t="n">
        <v>45822</v>
      </c>
      <c r="D198" t="inlineStr">
        <is>
          <t>GOTLANDS LÄN</t>
        </is>
      </c>
      <c r="E198" t="inlineStr">
        <is>
          <t>GOTLAND</t>
        </is>
      </c>
      <c r="G198" t="n">
        <v>11.1</v>
      </c>
      <c r="H198" t="n">
        <v>0</v>
      </c>
      <c r="I198" t="n">
        <v>1</v>
      </c>
      <c r="J198" t="n">
        <v>0</v>
      </c>
      <c r="K198" t="n">
        <v>0</v>
      </c>
      <c r="L198" t="n">
        <v>1</v>
      </c>
      <c r="M198" t="n">
        <v>0</v>
      </c>
      <c r="N198" t="n">
        <v>0</v>
      </c>
      <c r="O198" t="n">
        <v>1</v>
      </c>
      <c r="P198" t="n">
        <v>1</v>
      </c>
      <c r="Q198" t="n">
        <v>2</v>
      </c>
      <c r="R198" s="2" t="inlineStr">
        <is>
          <t>Ask
Murgröna</t>
        </is>
      </c>
      <c r="S198">
        <f>HYPERLINK("https://klasma.github.io/Logging_090980/artfynd/A 21879-2025 artfynd.xlsx", "A 21879-2025")</f>
        <v/>
      </c>
      <c r="T198">
        <f>HYPERLINK("https://klasma.github.io/Logging_090980/kartor/A 21879-2025 karta.png", "A 21879-2025")</f>
        <v/>
      </c>
      <c r="V198">
        <f>HYPERLINK("https://klasma.github.io/Logging_090980/klagomål/A 21879-2025 FSC-klagomål.docx", "A 21879-2025")</f>
        <v/>
      </c>
      <c r="W198">
        <f>HYPERLINK("https://klasma.github.io/Logging_090980/klagomålsmail/A 21879-2025 FSC-klagomål mail.docx", "A 21879-2025")</f>
        <v/>
      </c>
      <c r="X198">
        <f>HYPERLINK("https://klasma.github.io/Logging_090980/tillsyn/A 21879-2025 tillsynsbegäran.docx", "A 21879-2025")</f>
        <v/>
      </c>
      <c r="Y198">
        <f>HYPERLINK("https://klasma.github.io/Logging_090980/tillsynsmail/A 21879-2025 tillsynsbegäran mail.docx", "A 21879-2025")</f>
        <v/>
      </c>
    </row>
    <row r="199" ht="15" customHeight="1">
      <c r="A199" t="inlineStr">
        <is>
          <t>A 18223-2019</t>
        </is>
      </c>
      <c r="B199" s="1" t="n">
        <v>43558</v>
      </c>
      <c r="C199" s="1" t="n">
        <v>45822</v>
      </c>
      <c r="D199" t="inlineStr">
        <is>
          <t>GOTLANDS LÄN</t>
        </is>
      </c>
      <c r="E199" t="inlineStr">
        <is>
          <t>GOTLAND</t>
        </is>
      </c>
      <c r="G199" t="n">
        <v>1.1</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18223-2019 artfynd.xlsx", "A 18223-2019")</f>
        <v/>
      </c>
      <c r="T199">
        <f>HYPERLINK("https://klasma.github.io/Logging_0980/kartor/A 18223-2019 karta.png", "A 18223-2019")</f>
        <v/>
      </c>
      <c r="V199">
        <f>HYPERLINK("https://klasma.github.io/Logging_0980/klagomål/A 18223-2019 FSC-klagomål.docx", "A 18223-2019")</f>
        <v/>
      </c>
      <c r="W199">
        <f>HYPERLINK("https://klasma.github.io/Logging_0980/klagomålsmail/A 18223-2019 FSC-klagomål mail.docx", "A 18223-2019")</f>
        <v/>
      </c>
      <c r="X199">
        <f>HYPERLINK("https://klasma.github.io/Logging_0980/tillsyn/A 18223-2019 tillsynsbegäran.docx", "A 18223-2019")</f>
        <v/>
      </c>
      <c r="Y199">
        <f>HYPERLINK("https://klasma.github.io/Logging_0980/tillsynsmail/A 18223-2019 tillsynsbegäran mail.docx", "A 18223-2019")</f>
        <v/>
      </c>
    </row>
    <row r="200" ht="15" customHeight="1">
      <c r="A200" t="inlineStr">
        <is>
          <t>A 23016-2019</t>
        </is>
      </c>
      <c r="B200" s="1" t="n">
        <v>43591</v>
      </c>
      <c r="C200" s="1" t="n">
        <v>45822</v>
      </c>
      <c r="D200" t="inlineStr">
        <is>
          <t>GOTLANDS LÄN</t>
        </is>
      </c>
      <c r="E200" t="inlineStr">
        <is>
          <t>GOTLAND</t>
        </is>
      </c>
      <c r="G200" t="n">
        <v>7.9</v>
      </c>
      <c r="H200" t="n">
        <v>1</v>
      </c>
      <c r="I200" t="n">
        <v>0</v>
      </c>
      <c r="J200" t="n">
        <v>0</v>
      </c>
      <c r="K200" t="n">
        <v>0</v>
      </c>
      <c r="L200" t="n">
        <v>0</v>
      </c>
      <c r="M200" t="n">
        <v>0</v>
      </c>
      <c r="N200" t="n">
        <v>0</v>
      </c>
      <c r="O200" t="n">
        <v>0</v>
      </c>
      <c r="P200" t="n">
        <v>0</v>
      </c>
      <c r="Q200" t="n">
        <v>1</v>
      </c>
      <c r="R200" s="2" t="inlineStr">
        <is>
          <t>Äkta lopplummer</t>
        </is>
      </c>
      <c r="S200">
        <f>HYPERLINK("https://klasma.github.io/Logging_0980/artfynd/A 23016-2019 artfynd.xlsx", "A 23016-2019")</f>
        <v/>
      </c>
      <c r="T200">
        <f>HYPERLINK("https://klasma.github.io/Logging_0980/kartor/A 23016-2019 karta.png", "A 23016-2019")</f>
        <v/>
      </c>
      <c r="V200">
        <f>HYPERLINK("https://klasma.github.io/Logging_0980/klagomål/A 23016-2019 FSC-klagomål.docx", "A 23016-2019")</f>
        <v/>
      </c>
      <c r="W200">
        <f>HYPERLINK("https://klasma.github.io/Logging_0980/klagomålsmail/A 23016-2019 FSC-klagomål mail.docx", "A 23016-2019")</f>
        <v/>
      </c>
      <c r="X200">
        <f>HYPERLINK("https://klasma.github.io/Logging_0980/tillsyn/A 23016-2019 tillsynsbegäran.docx", "A 23016-2019")</f>
        <v/>
      </c>
      <c r="Y200">
        <f>HYPERLINK("https://klasma.github.io/Logging_0980/tillsynsmail/A 23016-2019 tillsynsbegäran mail.docx", "A 23016-2019")</f>
        <v/>
      </c>
    </row>
    <row r="201" ht="15" customHeight="1">
      <c r="A201" t="inlineStr">
        <is>
          <t>A 32061-2019</t>
        </is>
      </c>
      <c r="B201" s="1" t="n">
        <v>43643</v>
      </c>
      <c r="C201" s="1" t="n">
        <v>45822</v>
      </c>
      <c r="D201" t="inlineStr">
        <is>
          <t>GOTLANDS LÄN</t>
        </is>
      </c>
      <c r="E201" t="inlineStr">
        <is>
          <t>GOTLAND</t>
        </is>
      </c>
      <c r="G201" t="n">
        <v>7.5</v>
      </c>
      <c r="H201" t="n">
        <v>1</v>
      </c>
      <c r="I201" t="n">
        <v>0</v>
      </c>
      <c r="J201" t="n">
        <v>1</v>
      </c>
      <c r="K201" t="n">
        <v>0</v>
      </c>
      <c r="L201" t="n">
        <v>0</v>
      </c>
      <c r="M201" t="n">
        <v>0</v>
      </c>
      <c r="N201" t="n">
        <v>0</v>
      </c>
      <c r="O201" t="n">
        <v>1</v>
      </c>
      <c r="P201" t="n">
        <v>0</v>
      </c>
      <c r="Q201" t="n">
        <v>1</v>
      </c>
      <c r="R201" s="2" t="inlineStr">
        <is>
          <t>Buskskvätta</t>
        </is>
      </c>
      <c r="S201">
        <f>HYPERLINK("https://klasma.github.io/Logging_0980/artfynd/A 32061-2019 artfynd.xlsx", "A 32061-2019")</f>
        <v/>
      </c>
      <c r="T201">
        <f>HYPERLINK("https://klasma.github.io/Logging_0980/kartor/A 32061-2019 karta.png", "A 32061-2019")</f>
        <v/>
      </c>
      <c r="V201">
        <f>HYPERLINK("https://klasma.github.io/Logging_0980/klagomål/A 32061-2019 FSC-klagomål.docx", "A 32061-2019")</f>
        <v/>
      </c>
      <c r="W201">
        <f>HYPERLINK("https://klasma.github.io/Logging_0980/klagomålsmail/A 32061-2019 FSC-klagomål mail.docx", "A 32061-2019")</f>
        <v/>
      </c>
      <c r="X201">
        <f>HYPERLINK("https://klasma.github.io/Logging_0980/tillsyn/A 32061-2019 tillsynsbegäran.docx", "A 32061-2019")</f>
        <v/>
      </c>
      <c r="Y201">
        <f>HYPERLINK("https://klasma.github.io/Logging_0980/tillsynsmail/A 32061-2019 tillsynsbegäran mail.docx", "A 32061-2019")</f>
        <v/>
      </c>
      <c r="Z201">
        <f>HYPERLINK("https://klasma.github.io/Logging_0980/fåglar/A 32061-2019 prioriterade fågelarter.docx", "A 32061-2019")</f>
        <v/>
      </c>
    </row>
    <row r="202" ht="15" customHeight="1">
      <c r="A202" t="inlineStr">
        <is>
          <t>A 32963-2019</t>
        </is>
      </c>
      <c r="B202" s="1" t="n">
        <v>43648</v>
      </c>
      <c r="C202" s="1" t="n">
        <v>45822</v>
      </c>
      <c r="D202" t="inlineStr">
        <is>
          <t>GOTLANDS LÄN</t>
        </is>
      </c>
      <c r="E202" t="inlineStr">
        <is>
          <t>GOTLAND</t>
        </is>
      </c>
      <c r="G202" t="n">
        <v>5.8</v>
      </c>
      <c r="H202" t="n">
        <v>0</v>
      </c>
      <c r="I202" t="n">
        <v>0</v>
      </c>
      <c r="J202" t="n">
        <v>1</v>
      </c>
      <c r="K202" t="n">
        <v>0</v>
      </c>
      <c r="L202" t="n">
        <v>0</v>
      </c>
      <c r="M202" t="n">
        <v>0</v>
      </c>
      <c r="N202" t="n">
        <v>0</v>
      </c>
      <c r="O202" t="n">
        <v>1</v>
      </c>
      <c r="P202" t="n">
        <v>0</v>
      </c>
      <c r="Q202" t="n">
        <v>1</v>
      </c>
      <c r="R202" s="2" t="inlineStr">
        <is>
          <t>Mindre blåvinge</t>
        </is>
      </c>
      <c r="S202">
        <f>HYPERLINK("https://klasma.github.io/Logging_0980/artfynd/A 32963-2019 artfynd.xlsx", "A 32963-2019")</f>
        <v/>
      </c>
      <c r="T202">
        <f>HYPERLINK("https://klasma.github.io/Logging_0980/kartor/A 32963-2019 karta.png", "A 32963-2019")</f>
        <v/>
      </c>
      <c r="V202">
        <f>HYPERLINK("https://klasma.github.io/Logging_0980/klagomål/A 32963-2019 FSC-klagomål.docx", "A 32963-2019")</f>
        <v/>
      </c>
      <c r="W202">
        <f>HYPERLINK("https://klasma.github.io/Logging_0980/klagomålsmail/A 32963-2019 FSC-klagomål mail.docx", "A 32963-2019")</f>
        <v/>
      </c>
      <c r="X202">
        <f>HYPERLINK("https://klasma.github.io/Logging_0980/tillsyn/A 32963-2019 tillsynsbegäran.docx", "A 32963-2019")</f>
        <v/>
      </c>
      <c r="Y202">
        <f>HYPERLINK("https://klasma.github.io/Logging_0980/tillsynsmail/A 32963-2019 tillsynsbegäran mail.docx", "A 32963-2019")</f>
        <v/>
      </c>
    </row>
    <row r="203" ht="15" customHeight="1">
      <c r="A203" t="inlineStr">
        <is>
          <t>A 35282-2019</t>
        </is>
      </c>
      <c r="B203" s="1" t="n">
        <v>43656</v>
      </c>
      <c r="C203" s="1" t="n">
        <v>45822</v>
      </c>
      <c r="D203" t="inlineStr">
        <is>
          <t>GOTLANDS LÄN</t>
        </is>
      </c>
      <c r="E203" t="inlineStr">
        <is>
          <t>GOTLAND</t>
        </is>
      </c>
      <c r="G203" t="n">
        <v>5.6</v>
      </c>
      <c r="H203" t="n">
        <v>1</v>
      </c>
      <c r="I203" t="n">
        <v>0</v>
      </c>
      <c r="J203" t="n">
        <v>1</v>
      </c>
      <c r="K203" t="n">
        <v>0</v>
      </c>
      <c r="L203" t="n">
        <v>0</v>
      </c>
      <c r="M203" t="n">
        <v>0</v>
      </c>
      <c r="N203" t="n">
        <v>0</v>
      </c>
      <c r="O203" t="n">
        <v>1</v>
      </c>
      <c r="P203" t="n">
        <v>0</v>
      </c>
      <c r="Q203" t="n">
        <v>1</v>
      </c>
      <c r="R203" s="2" t="inlineStr">
        <is>
          <t>Spillkråka</t>
        </is>
      </c>
      <c r="S203">
        <f>HYPERLINK("https://klasma.github.io/Logging_0980/artfynd/A 35282-2019 artfynd.xlsx", "A 35282-2019")</f>
        <v/>
      </c>
      <c r="T203">
        <f>HYPERLINK("https://klasma.github.io/Logging_0980/kartor/A 35282-2019 karta.png", "A 35282-2019")</f>
        <v/>
      </c>
      <c r="V203">
        <f>HYPERLINK("https://klasma.github.io/Logging_0980/klagomål/A 35282-2019 FSC-klagomål.docx", "A 35282-2019")</f>
        <v/>
      </c>
      <c r="W203">
        <f>HYPERLINK("https://klasma.github.io/Logging_0980/klagomålsmail/A 35282-2019 FSC-klagomål mail.docx", "A 35282-2019")</f>
        <v/>
      </c>
      <c r="X203">
        <f>HYPERLINK("https://klasma.github.io/Logging_0980/tillsyn/A 35282-2019 tillsynsbegäran.docx", "A 35282-2019")</f>
        <v/>
      </c>
      <c r="Y203">
        <f>HYPERLINK("https://klasma.github.io/Logging_0980/tillsynsmail/A 35282-2019 tillsynsbegäran mail.docx", "A 35282-2019")</f>
        <v/>
      </c>
      <c r="Z203">
        <f>HYPERLINK("https://klasma.github.io/Logging_0980/fåglar/A 35282-2019 prioriterade fågelarter.docx", "A 35282-2019")</f>
        <v/>
      </c>
    </row>
    <row r="204" ht="15" customHeight="1">
      <c r="A204" t="inlineStr">
        <is>
          <t>A 48584-2019</t>
        </is>
      </c>
      <c r="B204" s="1" t="n">
        <v>43727</v>
      </c>
      <c r="C204" s="1" t="n">
        <v>45822</v>
      </c>
      <c r="D204" t="inlineStr">
        <is>
          <t>GOTLANDS LÄN</t>
        </is>
      </c>
      <c r="E204" t="inlineStr">
        <is>
          <t>GOTLAND</t>
        </is>
      </c>
      <c r="G204" t="n">
        <v>4.4</v>
      </c>
      <c r="H204" t="n">
        <v>0</v>
      </c>
      <c r="I204" t="n">
        <v>1</v>
      </c>
      <c r="J204" t="n">
        <v>0</v>
      </c>
      <c r="K204" t="n">
        <v>0</v>
      </c>
      <c r="L204" t="n">
        <v>0</v>
      </c>
      <c r="M204" t="n">
        <v>0</v>
      </c>
      <c r="N204" t="n">
        <v>0</v>
      </c>
      <c r="O204" t="n">
        <v>0</v>
      </c>
      <c r="P204" t="n">
        <v>0</v>
      </c>
      <c r="Q204" t="n">
        <v>1</v>
      </c>
      <c r="R204" s="2" t="inlineStr">
        <is>
          <t>Scharlakansskål</t>
        </is>
      </c>
      <c r="S204">
        <f>HYPERLINK("https://klasma.github.io/Logging_0980/artfynd/A 48584-2019 artfynd.xlsx", "A 48584-2019")</f>
        <v/>
      </c>
      <c r="T204">
        <f>HYPERLINK("https://klasma.github.io/Logging_0980/kartor/A 48584-2019 karta.png", "A 48584-2019")</f>
        <v/>
      </c>
      <c r="V204">
        <f>HYPERLINK("https://klasma.github.io/Logging_0980/klagomål/A 48584-2019 FSC-klagomål.docx", "A 48584-2019")</f>
        <v/>
      </c>
      <c r="W204">
        <f>HYPERLINK("https://klasma.github.io/Logging_0980/klagomålsmail/A 48584-2019 FSC-klagomål mail.docx", "A 48584-2019")</f>
        <v/>
      </c>
      <c r="X204">
        <f>HYPERLINK("https://klasma.github.io/Logging_0980/tillsyn/A 48584-2019 tillsynsbegäran.docx", "A 48584-2019")</f>
        <v/>
      </c>
      <c r="Y204">
        <f>HYPERLINK("https://klasma.github.io/Logging_0980/tillsynsmail/A 48584-2019 tillsynsbegäran mail.docx", "A 48584-2019")</f>
        <v/>
      </c>
    </row>
    <row r="205" ht="15" customHeight="1">
      <c r="A205" t="inlineStr">
        <is>
          <t>A 68988-2019</t>
        </is>
      </c>
      <c r="B205" s="1" t="n">
        <v>43826</v>
      </c>
      <c r="C205" s="1" t="n">
        <v>45822</v>
      </c>
      <c r="D205" t="inlineStr">
        <is>
          <t>GOTLANDS LÄN</t>
        </is>
      </c>
      <c r="E205" t="inlineStr">
        <is>
          <t>GOTLAND</t>
        </is>
      </c>
      <c r="F205" t="inlineStr">
        <is>
          <t>Kyrkan</t>
        </is>
      </c>
      <c r="G205" t="n">
        <v>4.6</v>
      </c>
      <c r="H205" t="n">
        <v>0</v>
      </c>
      <c r="I205" t="n">
        <v>1</v>
      </c>
      <c r="J205" t="n">
        <v>0</v>
      </c>
      <c r="K205" t="n">
        <v>0</v>
      </c>
      <c r="L205" t="n">
        <v>0</v>
      </c>
      <c r="M205" t="n">
        <v>0</v>
      </c>
      <c r="N205" t="n">
        <v>0</v>
      </c>
      <c r="O205" t="n">
        <v>0</v>
      </c>
      <c r="P205" t="n">
        <v>0</v>
      </c>
      <c r="Q205" t="n">
        <v>1</v>
      </c>
      <c r="R205" s="2" t="inlineStr">
        <is>
          <t>Kattfotslav</t>
        </is>
      </c>
      <c r="S205">
        <f>HYPERLINK("https://klasma.github.io/Logging_0980/artfynd/A 68988-2019 artfynd.xlsx", "A 68988-2019")</f>
        <v/>
      </c>
      <c r="T205">
        <f>HYPERLINK("https://klasma.github.io/Logging_0980/kartor/A 68988-2019 karta.png", "A 68988-2019")</f>
        <v/>
      </c>
      <c r="V205">
        <f>HYPERLINK("https://klasma.github.io/Logging_0980/klagomål/A 68988-2019 FSC-klagomål.docx", "A 68988-2019")</f>
        <v/>
      </c>
      <c r="W205">
        <f>HYPERLINK("https://klasma.github.io/Logging_0980/klagomålsmail/A 68988-2019 FSC-klagomål mail.docx", "A 68988-2019")</f>
        <v/>
      </c>
      <c r="X205">
        <f>HYPERLINK("https://klasma.github.io/Logging_0980/tillsyn/A 68988-2019 tillsynsbegäran.docx", "A 68988-2019")</f>
        <v/>
      </c>
      <c r="Y205">
        <f>HYPERLINK("https://klasma.github.io/Logging_0980/tillsynsmail/A 68988-2019 tillsynsbegäran mail.docx", "A 68988-2019")</f>
        <v/>
      </c>
    </row>
    <row r="206" ht="15" customHeight="1">
      <c r="A206" t="inlineStr">
        <is>
          <t>A 14010-2020</t>
        </is>
      </c>
      <c r="B206" s="1" t="n">
        <v>43899</v>
      </c>
      <c r="C206" s="1" t="n">
        <v>45822</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Gulsparv</t>
        </is>
      </c>
      <c r="S206">
        <f>HYPERLINK("https://klasma.github.io/Logging_0980/artfynd/A 14010-2020 artfynd.xlsx", "A 14010-2020")</f>
        <v/>
      </c>
      <c r="T206">
        <f>HYPERLINK("https://klasma.github.io/Logging_0980/kartor/A 14010-2020 karta.png", "A 14010-2020")</f>
        <v/>
      </c>
      <c r="V206">
        <f>HYPERLINK("https://klasma.github.io/Logging_0980/klagomål/A 14010-2020 FSC-klagomål.docx", "A 14010-2020")</f>
        <v/>
      </c>
      <c r="W206">
        <f>HYPERLINK("https://klasma.github.io/Logging_0980/klagomålsmail/A 14010-2020 FSC-klagomål mail.docx", "A 14010-2020")</f>
        <v/>
      </c>
      <c r="X206">
        <f>HYPERLINK("https://klasma.github.io/Logging_0980/tillsyn/A 14010-2020 tillsynsbegäran.docx", "A 14010-2020")</f>
        <v/>
      </c>
      <c r="Y206">
        <f>HYPERLINK("https://klasma.github.io/Logging_0980/tillsynsmail/A 14010-2020 tillsynsbegäran mail.docx", "A 14010-2020")</f>
        <v/>
      </c>
      <c r="Z206">
        <f>HYPERLINK("https://klasma.github.io/Logging_0980/fåglar/A 14010-2020 prioriterade fågelarter.docx", "A 14010-2020")</f>
        <v/>
      </c>
    </row>
    <row r="207" ht="15" customHeight="1">
      <c r="A207" t="inlineStr">
        <is>
          <t>A 21753-2020</t>
        </is>
      </c>
      <c r="B207" s="1" t="n">
        <v>43957</v>
      </c>
      <c r="C207" s="1" t="n">
        <v>45822</v>
      </c>
      <c r="D207" t="inlineStr">
        <is>
          <t>GOTLANDS LÄN</t>
        </is>
      </c>
      <c r="E207" t="inlineStr">
        <is>
          <t>GOTLAND</t>
        </is>
      </c>
      <c r="G207" t="n">
        <v>3.5</v>
      </c>
      <c r="H207" t="n">
        <v>0</v>
      </c>
      <c r="I207" t="n">
        <v>0</v>
      </c>
      <c r="J207" t="n">
        <v>0</v>
      </c>
      <c r="K207" t="n">
        <v>0</v>
      </c>
      <c r="L207" t="n">
        <v>0</v>
      </c>
      <c r="M207" t="n">
        <v>1</v>
      </c>
      <c r="N207" t="n">
        <v>0</v>
      </c>
      <c r="O207" t="n">
        <v>1</v>
      </c>
      <c r="P207" t="n">
        <v>1</v>
      </c>
      <c r="Q207" t="n">
        <v>1</v>
      </c>
      <c r="R207" s="2" t="inlineStr">
        <is>
          <t>Skogsalm</t>
        </is>
      </c>
      <c r="S207">
        <f>HYPERLINK("https://klasma.github.io/Logging_0980/artfynd/A 21753-2020 artfynd.xlsx", "A 21753-2020")</f>
        <v/>
      </c>
      <c r="T207">
        <f>HYPERLINK("https://klasma.github.io/Logging_0980/kartor/A 21753-2020 karta.png", "A 21753-2020")</f>
        <v/>
      </c>
      <c r="V207">
        <f>HYPERLINK("https://klasma.github.io/Logging_0980/klagomål/A 21753-2020 FSC-klagomål.docx", "A 21753-2020")</f>
        <v/>
      </c>
      <c r="W207">
        <f>HYPERLINK("https://klasma.github.io/Logging_0980/klagomålsmail/A 21753-2020 FSC-klagomål mail.docx", "A 21753-2020")</f>
        <v/>
      </c>
      <c r="X207">
        <f>HYPERLINK("https://klasma.github.io/Logging_0980/tillsyn/A 21753-2020 tillsynsbegäran.docx", "A 21753-2020")</f>
        <v/>
      </c>
      <c r="Y207">
        <f>HYPERLINK("https://klasma.github.io/Logging_0980/tillsynsmail/A 21753-2020 tillsynsbegäran mail.docx", "A 21753-2020")</f>
        <v/>
      </c>
    </row>
    <row r="208" ht="15" customHeight="1">
      <c r="A208" t="inlineStr">
        <is>
          <t>A 22203-2020</t>
        </is>
      </c>
      <c r="B208" s="1" t="n">
        <v>43962</v>
      </c>
      <c r="C208" s="1" t="n">
        <v>45822</v>
      </c>
      <c r="D208" t="inlineStr">
        <is>
          <t>GOTLANDS LÄN</t>
        </is>
      </c>
      <c r="E208" t="inlineStr">
        <is>
          <t>GOTLAND</t>
        </is>
      </c>
      <c r="G208" t="n">
        <v>3.2</v>
      </c>
      <c r="H208" t="n">
        <v>0</v>
      </c>
      <c r="I208" t="n">
        <v>0</v>
      </c>
      <c r="J208" t="n">
        <v>1</v>
      </c>
      <c r="K208" t="n">
        <v>0</v>
      </c>
      <c r="L208" t="n">
        <v>0</v>
      </c>
      <c r="M208" t="n">
        <v>0</v>
      </c>
      <c r="N208" t="n">
        <v>0</v>
      </c>
      <c r="O208" t="n">
        <v>1</v>
      </c>
      <c r="P208" t="n">
        <v>0</v>
      </c>
      <c r="Q208" t="n">
        <v>1</v>
      </c>
      <c r="R208" s="2" t="inlineStr">
        <is>
          <t>Svinrot</t>
        </is>
      </c>
      <c r="S208">
        <f>HYPERLINK("https://klasma.github.io/Logging_0980/artfynd/A 22203-2020 artfynd.xlsx", "A 22203-2020")</f>
        <v/>
      </c>
      <c r="T208">
        <f>HYPERLINK("https://klasma.github.io/Logging_0980/kartor/A 22203-2020 karta.png", "A 22203-2020")</f>
        <v/>
      </c>
      <c r="V208">
        <f>HYPERLINK("https://klasma.github.io/Logging_0980/klagomål/A 22203-2020 FSC-klagomål.docx", "A 22203-2020")</f>
        <v/>
      </c>
      <c r="W208">
        <f>HYPERLINK("https://klasma.github.io/Logging_0980/klagomålsmail/A 22203-2020 FSC-klagomål mail.docx", "A 22203-2020")</f>
        <v/>
      </c>
      <c r="X208">
        <f>HYPERLINK("https://klasma.github.io/Logging_0980/tillsyn/A 22203-2020 tillsynsbegäran.docx", "A 22203-2020")</f>
        <v/>
      </c>
      <c r="Y208">
        <f>HYPERLINK("https://klasma.github.io/Logging_0980/tillsynsmail/A 22203-2020 tillsynsbegäran mail.docx", "A 22203-2020")</f>
        <v/>
      </c>
    </row>
    <row r="209" ht="15" customHeight="1">
      <c r="A209" t="inlineStr">
        <is>
          <t>A 22628-2020</t>
        </is>
      </c>
      <c r="B209" s="1" t="n">
        <v>43963</v>
      </c>
      <c r="C209" s="1" t="n">
        <v>45822</v>
      </c>
      <c r="D209" t="inlineStr">
        <is>
          <t>GOTLANDS LÄN</t>
        </is>
      </c>
      <c r="E209" t="inlineStr">
        <is>
          <t>GOTLAND</t>
        </is>
      </c>
      <c r="G209" t="n">
        <v>4.3</v>
      </c>
      <c r="H209" t="n">
        <v>0</v>
      </c>
      <c r="I209" t="n">
        <v>0</v>
      </c>
      <c r="J209" t="n">
        <v>0</v>
      </c>
      <c r="K209" t="n">
        <v>1</v>
      </c>
      <c r="L209" t="n">
        <v>0</v>
      </c>
      <c r="M209" t="n">
        <v>0</v>
      </c>
      <c r="N209" t="n">
        <v>0</v>
      </c>
      <c r="O209" t="n">
        <v>1</v>
      </c>
      <c r="P209" t="n">
        <v>1</v>
      </c>
      <c r="Q209" t="n">
        <v>1</v>
      </c>
      <c r="R209" s="2" t="inlineStr">
        <is>
          <t>Gotlandsmåra</t>
        </is>
      </c>
      <c r="S209">
        <f>HYPERLINK("https://klasma.github.io/Logging_0980/artfynd/A 22628-2020 artfynd.xlsx", "A 22628-2020")</f>
        <v/>
      </c>
      <c r="T209">
        <f>HYPERLINK("https://klasma.github.io/Logging_0980/kartor/A 22628-2020 karta.png", "A 22628-2020")</f>
        <v/>
      </c>
      <c r="V209">
        <f>HYPERLINK("https://klasma.github.io/Logging_0980/klagomål/A 22628-2020 FSC-klagomål.docx", "A 22628-2020")</f>
        <v/>
      </c>
      <c r="W209">
        <f>HYPERLINK("https://klasma.github.io/Logging_0980/klagomålsmail/A 22628-2020 FSC-klagomål mail.docx", "A 22628-2020")</f>
        <v/>
      </c>
      <c r="X209">
        <f>HYPERLINK("https://klasma.github.io/Logging_0980/tillsyn/A 22628-2020 tillsynsbegäran.docx", "A 22628-2020")</f>
        <v/>
      </c>
      <c r="Y209">
        <f>HYPERLINK("https://klasma.github.io/Logging_0980/tillsynsmail/A 22628-2020 tillsynsbegäran mail.docx", "A 22628-2020")</f>
        <v/>
      </c>
    </row>
    <row r="210" ht="15" customHeight="1">
      <c r="A210" t="inlineStr">
        <is>
          <t>A 39999-2020</t>
        </is>
      </c>
      <c r="B210" s="1" t="n">
        <v>44067</v>
      </c>
      <c r="C210" s="1" t="n">
        <v>45822</v>
      </c>
      <c r="D210" t="inlineStr">
        <is>
          <t>GOTLANDS LÄN</t>
        </is>
      </c>
      <c r="E210" t="inlineStr">
        <is>
          <t>GOTLAND</t>
        </is>
      </c>
      <c r="G210" t="n">
        <v>1.8</v>
      </c>
      <c r="H210" t="n">
        <v>0</v>
      </c>
      <c r="I210" t="n">
        <v>1</v>
      </c>
      <c r="J210" t="n">
        <v>0</v>
      </c>
      <c r="K210" t="n">
        <v>0</v>
      </c>
      <c r="L210" t="n">
        <v>0</v>
      </c>
      <c r="M210" t="n">
        <v>0</v>
      </c>
      <c r="N210" t="n">
        <v>0</v>
      </c>
      <c r="O210" t="n">
        <v>0</v>
      </c>
      <c r="P210" t="n">
        <v>0</v>
      </c>
      <c r="Q210" t="n">
        <v>1</v>
      </c>
      <c r="R210" s="2" t="inlineStr">
        <is>
          <t>Strävlosta</t>
        </is>
      </c>
      <c r="S210">
        <f>HYPERLINK("https://klasma.github.io/Logging_0980/artfynd/A 39999-2020 artfynd.xlsx", "A 39999-2020")</f>
        <v/>
      </c>
      <c r="T210">
        <f>HYPERLINK("https://klasma.github.io/Logging_0980/kartor/A 39999-2020 karta.png", "A 39999-2020")</f>
        <v/>
      </c>
      <c r="V210">
        <f>HYPERLINK("https://klasma.github.io/Logging_0980/klagomål/A 39999-2020 FSC-klagomål.docx", "A 39999-2020")</f>
        <v/>
      </c>
      <c r="W210">
        <f>HYPERLINK("https://klasma.github.io/Logging_0980/klagomålsmail/A 39999-2020 FSC-klagomål mail.docx", "A 39999-2020")</f>
        <v/>
      </c>
      <c r="X210">
        <f>HYPERLINK("https://klasma.github.io/Logging_0980/tillsyn/A 39999-2020 tillsynsbegäran.docx", "A 39999-2020")</f>
        <v/>
      </c>
      <c r="Y210">
        <f>HYPERLINK("https://klasma.github.io/Logging_0980/tillsynsmail/A 39999-2020 tillsynsbegäran mail.docx", "A 39999-2020")</f>
        <v/>
      </c>
    </row>
    <row r="211" ht="15" customHeight="1">
      <c r="A211" t="inlineStr">
        <is>
          <t>A 40266-2020</t>
        </is>
      </c>
      <c r="B211" s="1" t="n">
        <v>44068</v>
      </c>
      <c r="C211" s="1" t="n">
        <v>45822</v>
      </c>
      <c r="D211" t="inlineStr">
        <is>
          <t>GOTLANDS LÄN</t>
        </is>
      </c>
      <c r="E211" t="inlineStr">
        <is>
          <t>GOTLAND</t>
        </is>
      </c>
      <c r="F211" t="inlineStr">
        <is>
          <t>Kyrkan</t>
        </is>
      </c>
      <c r="G211" t="n">
        <v>1.3</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40266-2020 artfynd.xlsx", "A 40266-2020")</f>
        <v/>
      </c>
      <c r="T211">
        <f>HYPERLINK("https://klasma.github.io/Logging_0980/kartor/A 40266-2020 karta.png", "A 40266-2020")</f>
        <v/>
      </c>
      <c r="V211">
        <f>HYPERLINK("https://klasma.github.io/Logging_0980/klagomål/A 40266-2020 FSC-klagomål.docx", "A 40266-2020")</f>
        <v/>
      </c>
      <c r="W211">
        <f>HYPERLINK("https://klasma.github.io/Logging_0980/klagomålsmail/A 40266-2020 FSC-klagomål mail.docx", "A 40266-2020")</f>
        <v/>
      </c>
      <c r="X211">
        <f>HYPERLINK("https://klasma.github.io/Logging_0980/tillsyn/A 40266-2020 tillsynsbegäran.docx", "A 40266-2020")</f>
        <v/>
      </c>
      <c r="Y211">
        <f>HYPERLINK("https://klasma.github.io/Logging_0980/tillsynsmail/A 40266-2020 tillsynsbegäran mail.docx", "A 40266-2020")</f>
        <v/>
      </c>
    </row>
    <row r="212" ht="15" customHeight="1">
      <c r="A212" t="inlineStr">
        <is>
          <t>A 41065-2020</t>
        </is>
      </c>
      <c r="B212" s="1" t="n">
        <v>44069</v>
      </c>
      <c r="C212" s="1" t="n">
        <v>45822</v>
      </c>
      <c r="D212" t="inlineStr">
        <is>
          <t>GOTLANDS LÄN</t>
        </is>
      </c>
      <c r="E212" t="inlineStr">
        <is>
          <t>GOTLAND</t>
        </is>
      </c>
      <c r="G212" t="n">
        <v>12</v>
      </c>
      <c r="H212" t="n">
        <v>0</v>
      </c>
      <c r="I212" t="n">
        <v>1</v>
      </c>
      <c r="J212" t="n">
        <v>0</v>
      </c>
      <c r="K212" t="n">
        <v>0</v>
      </c>
      <c r="L212" t="n">
        <v>0</v>
      </c>
      <c r="M212" t="n">
        <v>0</v>
      </c>
      <c r="N212" t="n">
        <v>0</v>
      </c>
      <c r="O212" t="n">
        <v>0</v>
      </c>
      <c r="P212" t="n">
        <v>0</v>
      </c>
      <c r="Q212" t="n">
        <v>1</v>
      </c>
      <c r="R212" s="2" t="inlineStr">
        <is>
          <t>Myskmadra</t>
        </is>
      </c>
      <c r="S212">
        <f>HYPERLINK("https://klasma.github.io/Logging_0980/artfynd/A 41065-2020 artfynd.xlsx", "A 41065-2020")</f>
        <v/>
      </c>
      <c r="T212">
        <f>HYPERLINK("https://klasma.github.io/Logging_0980/kartor/A 41065-2020 karta.png", "A 41065-2020")</f>
        <v/>
      </c>
      <c r="V212">
        <f>HYPERLINK("https://klasma.github.io/Logging_0980/klagomål/A 41065-2020 FSC-klagomål.docx", "A 41065-2020")</f>
        <v/>
      </c>
      <c r="W212">
        <f>HYPERLINK("https://klasma.github.io/Logging_0980/klagomålsmail/A 41065-2020 FSC-klagomål mail.docx", "A 41065-2020")</f>
        <v/>
      </c>
      <c r="X212">
        <f>HYPERLINK("https://klasma.github.io/Logging_0980/tillsyn/A 41065-2020 tillsynsbegäran.docx", "A 41065-2020")</f>
        <v/>
      </c>
      <c r="Y212">
        <f>HYPERLINK("https://klasma.github.io/Logging_0980/tillsynsmail/A 41065-2020 tillsynsbegäran mail.docx", "A 41065-2020")</f>
        <v/>
      </c>
    </row>
    <row r="213" ht="15" customHeight="1">
      <c r="A213" t="inlineStr">
        <is>
          <t>A 44958-2020</t>
        </is>
      </c>
      <c r="B213" s="1" t="n">
        <v>44088</v>
      </c>
      <c r="C213" s="1" t="n">
        <v>45822</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Hornuggla</t>
        </is>
      </c>
      <c r="S213">
        <f>HYPERLINK("https://klasma.github.io/Logging_0980/artfynd/A 44958-2020 artfynd.xlsx", "A 44958-2020")</f>
        <v/>
      </c>
      <c r="T213">
        <f>HYPERLINK("https://klasma.github.io/Logging_0980/kartor/A 44958-2020 karta.png", "A 44958-2020")</f>
        <v/>
      </c>
      <c r="V213">
        <f>HYPERLINK("https://klasma.github.io/Logging_0980/klagomål/A 44958-2020 FSC-klagomål.docx", "A 44958-2020")</f>
        <v/>
      </c>
      <c r="W213">
        <f>HYPERLINK("https://klasma.github.io/Logging_0980/klagomålsmail/A 44958-2020 FSC-klagomål mail.docx", "A 44958-2020")</f>
        <v/>
      </c>
      <c r="X213">
        <f>HYPERLINK("https://klasma.github.io/Logging_0980/tillsyn/A 44958-2020 tillsynsbegäran.docx", "A 44958-2020")</f>
        <v/>
      </c>
      <c r="Y213">
        <f>HYPERLINK("https://klasma.github.io/Logging_0980/tillsynsmail/A 44958-2020 tillsynsbegäran mail.docx", "A 44958-2020")</f>
        <v/>
      </c>
      <c r="Z213">
        <f>HYPERLINK("https://klasma.github.io/Logging_0980/fåglar/A 44958-2020 prioriterade fågelarter.docx", "A 44958-2020")</f>
        <v/>
      </c>
    </row>
    <row r="214" ht="15" customHeight="1">
      <c r="A214" t="inlineStr">
        <is>
          <t>A 45924-2020</t>
        </is>
      </c>
      <c r="B214" s="1" t="n">
        <v>44088</v>
      </c>
      <c r="C214" s="1" t="n">
        <v>45822</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Myskmadra</t>
        </is>
      </c>
      <c r="S214">
        <f>HYPERLINK("https://klasma.github.io/Logging_0980/artfynd/A 45924-2020 artfynd.xlsx", "A 45924-2020")</f>
        <v/>
      </c>
      <c r="T214">
        <f>HYPERLINK("https://klasma.github.io/Logging_0980/kartor/A 45924-2020 karta.png", "A 45924-2020")</f>
        <v/>
      </c>
      <c r="V214">
        <f>HYPERLINK("https://klasma.github.io/Logging_0980/klagomål/A 45924-2020 FSC-klagomål.docx", "A 45924-2020")</f>
        <v/>
      </c>
      <c r="W214">
        <f>HYPERLINK("https://klasma.github.io/Logging_0980/klagomålsmail/A 45924-2020 FSC-klagomål mail.docx", "A 45924-2020")</f>
        <v/>
      </c>
      <c r="X214">
        <f>HYPERLINK("https://klasma.github.io/Logging_0980/tillsyn/A 45924-2020 tillsynsbegäran.docx", "A 45924-2020")</f>
        <v/>
      </c>
      <c r="Y214">
        <f>HYPERLINK("https://klasma.github.io/Logging_0980/tillsynsmail/A 45924-2020 tillsynsbegäran mail.docx", "A 45924-2020")</f>
        <v/>
      </c>
    </row>
    <row r="215" ht="15" customHeight="1">
      <c r="A215" t="inlineStr">
        <is>
          <t>A 63299-2020</t>
        </is>
      </c>
      <c r="B215" s="1" t="n">
        <v>44165</v>
      </c>
      <c r="C215" s="1" t="n">
        <v>45822</v>
      </c>
      <c r="D215" t="inlineStr">
        <is>
          <t>GOTLANDS LÄN</t>
        </is>
      </c>
      <c r="E215" t="inlineStr">
        <is>
          <t>GOTLAND</t>
        </is>
      </c>
      <c r="G215" t="n">
        <v>12.9</v>
      </c>
      <c r="H215" t="n">
        <v>1</v>
      </c>
      <c r="I215" t="n">
        <v>0</v>
      </c>
      <c r="J215" t="n">
        <v>1</v>
      </c>
      <c r="K215" t="n">
        <v>0</v>
      </c>
      <c r="L215" t="n">
        <v>0</v>
      </c>
      <c r="M215" t="n">
        <v>0</v>
      </c>
      <c r="N215" t="n">
        <v>0</v>
      </c>
      <c r="O215" t="n">
        <v>1</v>
      </c>
      <c r="P215" t="n">
        <v>0</v>
      </c>
      <c r="Q215" t="n">
        <v>1</v>
      </c>
      <c r="R215" s="2" t="inlineStr">
        <is>
          <t>Svartfläckig blåvinge</t>
        </is>
      </c>
      <c r="S215">
        <f>HYPERLINK("https://klasma.github.io/Logging_0980/artfynd/A 63299-2020 artfynd.xlsx", "A 63299-2020")</f>
        <v/>
      </c>
      <c r="T215">
        <f>HYPERLINK("https://klasma.github.io/Logging_0980/kartor/A 63299-2020 karta.png", "A 63299-2020")</f>
        <v/>
      </c>
      <c r="V215">
        <f>HYPERLINK("https://klasma.github.io/Logging_0980/klagomål/A 63299-2020 FSC-klagomål.docx", "A 63299-2020")</f>
        <v/>
      </c>
      <c r="W215">
        <f>HYPERLINK("https://klasma.github.io/Logging_0980/klagomålsmail/A 63299-2020 FSC-klagomål mail.docx", "A 63299-2020")</f>
        <v/>
      </c>
      <c r="X215">
        <f>HYPERLINK("https://klasma.github.io/Logging_0980/tillsyn/A 63299-2020 tillsynsbegäran.docx", "A 63299-2020")</f>
        <v/>
      </c>
      <c r="Y215">
        <f>HYPERLINK("https://klasma.github.io/Logging_0980/tillsynsmail/A 63299-2020 tillsynsbegäran mail.docx", "A 63299-2020")</f>
        <v/>
      </c>
    </row>
    <row r="216" ht="15" customHeight="1">
      <c r="A216" t="inlineStr">
        <is>
          <t>A 24-2021</t>
        </is>
      </c>
      <c r="B216" s="1" t="n">
        <v>44197</v>
      </c>
      <c r="C216" s="1" t="n">
        <v>45822</v>
      </c>
      <c r="D216" t="inlineStr">
        <is>
          <t>GOTLANDS LÄN</t>
        </is>
      </c>
      <c r="E216" t="inlineStr">
        <is>
          <t>GOTLAND</t>
        </is>
      </c>
      <c r="F216" t="inlineStr">
        <is>
          <t>Kyrkan</t>
        </is>
      </c>
      <c r="G216" t="n">
        <v>1.7</v>
      </c>
      <c r="H216" t="n">
        <v>0</v>
      </c>
      <c r="I216" t="n">
        <v>1</v>
      </c>
      <c r="J216" t="n">
        <v>0</v>
      </c>
      <c r="K216" t="n">
        <v>0</v>
      </c>
      <c r="L216" t="n">
        <v>0</v>
      </c>
      <c r="M216" t="n">
        <v>0</v>
      </c>
      <c r="N216" t="n">
        <v>0</v>
      </c>
      <c r="O216" t="n">
        <v>0</v>
      </c>
      <c r="P216" t="n">
        <v>0</v>
      </c>
      <c r="Q216" t="n">
        <v>1</v>
      </c>
      <c r="R216" s="2" t="inlineStr">
        <is>
          <t>Svavelriska</t>
        </is>
      </c>
      <c r="S216">
        <f>HYPERLINK("https://klasma.github.io/Logging_0980/artfynd/A 24-2021 artfynd.xlsx", "A 24-2021")</f>
        <v/>
      </c>
      <c r="T216">
        <f>HYPERLINK("https://klasma.github.io/Logging_0980/kartor/A 24-2021 karta.png", "A 24-2021")</f>
        <v/>
      </c>
      <c r="V216">
        <f>HYPERLINK("https://klasma.github.io/Logging_0980/klagomål/A 24-2021 FSC-klagomål.docx", "A 24-2021")</f>
        <v/>
      </c>
      <c r="W216">
        <f>HYPERLINK("https://klasma.github.io/Logging_0980/klagomålsmail/A 24-2021 FSC-klagomål mail.docx", "A 24-2021")</f>
        <v/>
      </c>
      <c r="X216">
        <f>HYPERLINK("https://klasma.github.io/Logging_0980/tillsyn/A 24-2021 tillsynsbegäran.docx", "A 24-2021")</f>
        <v/>
      </c>
      <c r="Y216">
        <f>HYPERLINK("https://klasma.github.io/Logging_0980/tillsynsmail/A 24-2021 tillsynsbegäran mail.docx", "A 24-2021")</f>
        <v/>
      </c>
    </row>
    <row r="217" ht="15" customHeight="1">
      <c r="A217" t="inlineStr">
        <is>
          <t>A 7485-2021</t>
        </is>
      </c>
      <c r="B217" s="1" t="n">
        <v>44238</v>
      </c>
      <c r="C217" s="1" t="n">
        <v>45822</v>
      </c>
      <c r="D217" t="inlineStr">
        <is>
          <t>GOTLANDS LÄN</t>
        </is>
      </c>
      <c r="E217" t="inlineStr">
        <is>
          <t>GOTLAND</t>
        </is>
      </c>
      <c r="G217" t="n">
        <v>2.9</v>
      </c>
      <c r="H217" t="n">
        <v>1</v>
      </c>
      <c r="I217" t="n">
        <v>0</v>
      </c>
      <c r="J217" t="n">
        <v>1</v>
      </c>
      <c r="K217" t="n">
        <v>0</v>
      </c>
      <c r="L217" t="n">
        <v>0</v>
      </c>
      <c r="M217" t="n">
        <v>0</v>
      </c>
      <c r="N217" t="n">
        <v>0</v>
      </c>
      <c r="O217" t="n">
        <v>1</v>
      </c>
      <c r="P217" t="n">
        <v>0</v>
      </c>
      <c r="Q217" t="n">
        <v>1</v>
      </c>
      <c r="R217" s="2" t="inlineStr">
        <is>
          <t>Spillkråka</t>
        </is>
      </c>
      <c r="S217">
        <f>HYPERLINK("https://klasma.github.io/Logging_0980/artfynd/A 7485-2021 artfynd.xlsx", "A 7485-2021")</f>
        <v/>
      </c>
      <c r="T217">
        <f>HYPERLINK("https://klasma.github.io/Logging_0980/kartor/A 7485-2021 karta.png", "A 7485-2021")</f>
        <v/>
      </c>
      <c r="V217">
        <f>HYPERLINK("https://klasma.github.io/Logging_0980/klagomål/A 7485-2021 FSC-klagomål.docx", "A 7485-2021")</f>
        <v/>
      </c>
      <c r="W217">
        <f>HYPERLINK("https://klasma.github.io/Logging_0980/klagomålsmail/A 7485-2021 FSC-klagomål mail.docx", "A 7485-2021")</f>
        <v/>
      </c>
      <c r="X217">
        <f>HYPERLINK("https://klasma.github.io/Logging_0980/tillsyn/A 7485-2021 tillsynsbegäran.docx", "A 7485-2021")</f>
        <v/>
      </c>
      <c r="Y217">
        <f>HYPERLINK("https://klasma.github.io/Logging_0980/tillsynsmail/A 7485-2021 tillsynsbegäran mail.docx", "A 7485-2021")</f>
        <v/>
      </c>
      <c r="Z217">
        <f>HYPERLINK("https://klasma.github.io/Logging_0980/fåglar/A 7485-2021 prioriterade fågelarter.docx", "A 7485-2021")</f>
        <v/>
      </c>
    </row>
    <row r="218" ht="15" customHeight="1">
      <c r="A218" t="inlineStr">
        <is>
          <t>A 13939-2021</t>
        </is>
      </c>
      <c r="B218" s="1" t="n">
        <v>44277</v>
      </c>
      <c r="C218" s="1" t="n">
        <v>45822</v>
      </c>
      <c r="D218" t="inlineStr">
        <is>
          <t>GOTLANDS LÄN</t>
        </is>
      </c>
      <c r="E218" t="inlineStr">
        <is>
          <t>GOTLAND</t>
        </is>
      </c>
      <c r="G218" t="n">
        <v>1</v>
      </c>
      <c r="H218" t="n">
        <v>0</v>
      </c>
      <c r="I218" t="n">
        <v>0</v>
      </c>
      <c r="J218" t="n">
        <v>1</v>
      </c>
      <c r="K218" t="n">
        <v>0</v>
      </c>
      <c r="L218" t="n">
        <v>0</v>
      </c>
      <c r="M218" t="n">
        <v>0</v>
      </c>
      <c r="N218" t="n">
        <v>0</v>
      </c>
      <c r="O218" t="n">
        <v>1</v>
      </c>
      <c r="P218" t="n">
        <v>0</v>
      </c>
      <c r="Q218" t="n">
        <v>1</v>
      </c>
      <c r="R218" s="2" t="inlineStr">
        <is>
          <t>Axveronika</t>
        </is>
      </c>
      <c r="S218">
        <f>HYPERLINK("https://klasma.github.io/Logging_0980/artfynd/A 13939-2021 artfynd.xlsx", "A 13939-2021")</f>
        <v/>
      </c>
      <c r="T218">
        <f>HYPERLINK("https://klasma.github.io/Logging_0980/kartor/A 13939-2021 karta.png", "A 13939-2021")</f>
        <v/>
      </c>
      <c r="V218">
        <f>HYPERLINK("https://klasma.github.io/Logging_0980/klagomål/A 13939-2021 FSC-klagomål.docx", "A 13939-2021")</f>
        <v/>
      </c>
      <c r="W218">
        <f>HYPERLINK("https://klasma.github.io/Logging_0980/klagomålsmail/A 13939-2021 FSC-klagomål mail.docx", "A 13939-2021")</f>
        <v/>
      </c>
      <c r="X218">
        <f>HYPERLINK("https://klasma.github.io/Logging_0980/tillsyn/A 13939-2021 tillsynsbegäran.docx", "A 13939-2021")</f>
        <v/>
      </c>
      <c r="Y218">
        <f>HYPERLINK("https://klasma.github.io/Logging_0980/tillsynsmail/A 13939-2021 tillsynsbegäran mail.docx", "A 13939-2021")</f>
        <v/>
      </c>
    </row>
    <row r="219" ht="15" customHeight="1">
      <c r="A219" t="inlineStr">
        <is>
          <t>A 17723-2021</t>
        </is>
      </c>
      <c r="B219" s="1" t="n">
        <v>44300</v>
      </c>
      <c r="C219" s="1" t="n">
        <v>45822</v>
      </c>
      <c r="D219" t="inlineStr">
        <is>
          <t>GOTLANDS LÄN</t>
        </is>
      </c>
      <c r="E219" t="inlineStr">
        <is>
          <t>GOTLAND</t>
        </is>
      </c>
      <c r="G219" t="n">
        <v>1.5</v>
      </c>
      <c r="H219" t="n">
        <v>1</v>
      </c>
      <c r="I219" t="n">
        <v>1</v>
      </c>
      <c r="J219" t="n">
        <v>0</v>
      </c>
      <c r="K219" t="n">
        <v>0</v>
      </c>
      <c r="L219" t="n">
        <v>0</v>
      </c>
      <c r="M219" t="n">
        <v>0</v>
      </c>
      <c r="N219" t="n">
        <v>0</v>
      </c>
      <c r="O219" t="n">
        <v>0</v>
      </c>
      <c r="P219" t="n">
        <v>0</v>
      </c>
      <c r="Q219" t="n">
        <v>1</v>
      </c>
      <c r="R219" s="2" t="inlineStr">
        <is>
          <t>Vit skogslilja</t>
        </is>
      </c>
      <c r="S219">
        <f>HYPERLINK("https://klasma.github.io/Logging_0980/artfynd/A 17723-2021 artfynd.xlsx", "A 17723-2021")</f>
        <v/>
      </c>
      <c r="T219">
        <f>HYPERLINK("https://klasma.github.io/Logging_0980/kartor/A 17723-2021 karta.png", "A 17723-2021")</f>
        <v/>
      </c>
      <c r="V219">
        <f>HYPERLINK("https://klasma.github.io/Logging_0980/klagomål/A 17723-2021 FSC-klagomål.docx", "A 17723-2021")</f>
        <v/>
      </c>
      <c r="W219">
        <f>HYPERLINK("https://klasma.github.io/Logging_0980/klagomålsmail/A 17723-2021 FSC-klagomål mail.docx", "A 17723-2021")</f>
        <v/>
      </c>
      <c r="X219">
        <f>HYPERLINK("https://klasma.github.io/Logging_0980/tillsyn/A 17723-2021 tillsynsbegäran.docx", "A 17723-2021")</f>
        <v/>
      </c>
      <c r="Y219">
        <f>HYPERLINK("https://klasma.github.io/Logging_0980/tillsynsmail/A 17723-2021 tillsynsbegäran mail.docx", "A 17723-2021")</f>
        <v/>
      </c>
    </row>
    <row r="220" ht="15" customHeight="1">
      <c r="A220" t="inlineStr">
        <is>
          <t>A 29951-2021</t>
        </is>
      </c>
      <c r="B220" s="1" t="n">
        <v>44362</v>
      </c>
      <c r="C220" s="1" t="n">
        <v>45822</v>
      </c>
      <c r="D220" t="inlineStr">
        <is>
          <t>GOTLANDS LÄN</t>
        </is>
      </c>
      <c r="E220" t="inlineStr">
        <is>
          <t>GOTLAND</t>
        </is>
      </c>
      <c r="G220" t="n">
        <v>3.4</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29951-2021 artfynd.xlsx", "A 29951-2021")</f>
        <v/>
      </c>
      <c r="T220">
        <f>HYPERLINK("https://klasma.github.io/Logging_0980/kartor/A 29951-2021 karta.png", "A 29951-2021")</f>
        <v/>
      </c>
      <c r="V220">
        <f>HYPERLINK("https://klasma.github.io/Logging_0980/klagomål/A 29951-2021 FSC-klagomål.docx", "A 29951-2021")</f>
        <v/>
      </c>
      <c r="W220">
        <f>HYPERLINK("https://klasma.github.io/Logging_0980/klagomålsmail/A 29951-2021 FSC-klagomål mail.docx", "A 29951-2021")</f>
        <v/>
      </c>
      <c r="X220">
        <f>HYPERLINK("https://klasma.github.io/Logging_0980/tillsyn/A 29951-2021 tillsynsbegäran.docx", "A 29951-2021")</f>
        <v/>
      </c>
      <c r="Y220">
        <f>HYPERLINK("https://klasma.github.io/Logging_0980/tillsynsmail/A 29951-2021 tillsynsbegäran mail.docx", "A 29951-2021")</f>
        <v/>
      </c>
    </row>
    <row r="221" ht="15" customHeight="1">
      <c r="A221" t="inlineStr">
        <is>
          <t>A 35467-2021</t>
        </is>
      </c>
      <c r="B221" s="1" t="n">
        <v>44385</v>
      </c>
      <c r="C221" s="1" t="n">
        <v>45822</v>
      </c>
      <c r="D221" t="inlineStr">
        <is>
          <t>GOTLANDS LÄN</t>
        </is>
      </c>
      <c r="E221" t="inlineStr">
        <is>
          <t>GOTLAND</t>
        </is>
      </c>
      <c r="G221" t="n">
        <v>12.7</v>
      </c>
      <c r="H221" t="n">
        <v>0</v>
      </c>
      <c r="I221" t="n">
        <v>0</v>
      </c>
      <c r="J221" t="n">
        <v>1</v>
      </c>
      <c r="K221" t="n">
        <v>0</v>
      </c>
      <c r="L221" t="n">
        <v>0</v>
      </c>
      <c r="M221" t="n">
        <v>0</v>
      </c>
      <c r="N221" t="n">
        <v>0</v>
      </c>
      <c r="O221" t="n">
        <v>1</v>
      </c>
      <c r="P221" t="n">
        <v>0</v>
      </c>
      <c r="Q221" t="n">
        <v>1</v>
      </c>
      <c r="R221" s="2" t="inlineStr">
        <is>
          <t>Loppstarr</t>
        </is>
      </c>
      <c r="S221">
        <f>HYPERLINK("https://klasma.github.io/Logging_0980/artfynd/A 35467-2021 artfynd.xlsx", "A 35467-2021")</f>
        <v/>
      </c>
      <c r="T221">
        <f>HYPERLINK("https://klasma.github.io/Logging_0980/kartor/A 35467-2021 karta.png", "A 35467-2021")</f>
        <v/>
      </c>
      <c r="V221">
        <f>HYPERLINK("https://klasma.github.io/Logging_0980/klagomål/A 35467-2021 FSC-klagomål.docx", "A 35467-2021")</f>
        <v/>
      </c>
      <c r="W221">
        <f>HYPERLINK("https://klasma.github.io/Logging_0980/klagomålsmail/A 35467-2021 FSC-klagomål mail.docx", "A 35467-2021")</f>
        <v/>
      </c>
      <c r="X221">
        <f>HYPERLINK("https://klasma.github.io/Logging_0980/tillsyn/A 35467-2021 tillsynsbegäran.docx", "A 35467-2021")</f>
        <v/>
      </c>
      <c r="Y221">
        <f>HYPERLINK("https://klasma.github.io/Logging_0980/tillsynsmail/A 35467-2021 tillsynsbegäran mail.docx", "A 35467-2021")</f>
        <v/>
      </c>
    </row>
    <row r="222" ht="15" customHeight="1">
      <c r="A222" t="inlineStr">
        <is>
          <t>A 44308-2021</t>
        </is>
      </c>
      <c r="B222" s="1" t="n">
        <v>44434</v>
      </c>
      <c r="C222" s="1" t="n">
        <v>45822</v>
      </c>
      <c r="D222" t="inlineStr">
        <is>
          <t>GOTLANDS LÄN</t>
        </is>
      </c>
      <c r="E222" t="inlineStr">
        <is>
          <t>GOTLAND</t>
        </is>
      </c>
      <c r="G222" t="n">
        <v>5.9</v>
      </c>
      <c r="H222" t="n">
        <v>0</v>
      </c>
      <c r="I222" t="n">
        <v>1</v>
      </c>
      <c r="J222" t="n">
        <v>0</v>
      </c>
      <c r="K222" t="n">
        <v>0</v>
      </c>
      <c r="L222" t="n">
        <v>0</v>
      </c>
      <c r="M222" t="n">
        <v>0</v>
      </c>
      <c r="N222" t="n">
        <v>0</v>
      </c>
      <c r="O222" t="n">
        <v>0</v>
      </c>
      <c r="P222" t="n">
        <v>0</v>
      </c>
      <c r="Q222" t="n">
        <v>1</v>
      </c>
      <c r="R222" s="2" t="inlineStr">
        <is>
          <t>Svavelriska</t>
        </is>
      </c>
      <c r="S222">
        <f>HYPERLINK("https://klasma.github.io/Logging_0980/artfynd/A 44308-2021 artfynd.xlsx", "A 44308-2021")</f>
        <v/>
      </c>
      <c r="T222">
        <f>HYPERLINK("https://klasma.github.io/Logging_0980/kartor/A 44308-2021 karta.png", "A 44308-2021")</f>
        <v/>
      </c>
      <c r="V222">
        <f>HYPERLINK("https://klasma.github.io/Logging_0980/klagomål/A 44308-2021 FSC-klagomål.docx", "A 44308-2021")</f>
        <v/>
      </c>
      <c r="W222">
        <f>HYPERLINK("https://klasma.github.io/Logging_0980/klagomålsmail/A 44308-2021 FSC-klagomål mail.docx", "A 44308-2021")</f>
        <v/>
      </c>
      <c r="X222">
        <f>HYPERLINK("https://klasma.github.io/Logging_0980/tillsyn/A 44308-2021 tillsynsbegäran.docx", "A 44308-2021")</f>
        <v/>
      </c>
      <c r="Y222">
        <f>HYPERLINK("https://klasma.github.io/Logging_0980/tillsynsmail/A 44308-2021 tillsynsbegäran mail.docx", "A 44308-2021")</f>
        <v/>
      </c>
    </row>
    <row r="223" ht="15" customHeight="1">
      <c r="A223" t="inlineStr">
        <is>
          <t>A 47411-2021</t>
        </is>
      </c>
      <c r="B223" s="1" t="n">
        <v>44447</v>
      </c>
      <c r="C223" s="1" t="n">
        <v>45822</v>
      </c>
      <c r="D223" t="inlineStr">
        <is>
          <t>GOTLANDS LÄN</t>
        </is>
      </c>
      <c r="E223" t="inlineStr">
        <is>
          <t>GOTLAND</t>
        </is>
      </c>
      <c r="G223" t="n">
        <v>2.7</v>
      </c>
      <c r="H223" t="n">
        <v>1</v>
      </c>
      <c r="I223" t="n">
        <v>0</v>
      </c>
      <c r="J223" t="n">
        <v>0</v>
      </c>
      <c r="K223" t="n">
        <v>0</v>
      </c>
      <c r="L223" t="n">
        <v>0</v>
      </c>
      <c r="M223" t="n">
        <v>0</v>
      </c>
      <c r="N223" t="n">
        <v>0</v>
      </c>
      <c r="O223" t="n">
        <v>0</v>
      </c>
      <c r="P223" t="n">
        <v>0</v>
      </c>
      <c r="Q223" t="n">
        <v>1</v>
      </c>
      <c r="R223" s="2" t="inlineStr">
        <is>
          <t>Revlummer</t>
        </is>
      </c>
      <c r="S223">
        <f>HYPERLINK("https://klasma.github.io/Logging_0980/artfynd/A 47411-2021 artfynd.xlsx", "A 47411-2021")</f>
        <v/>
      </c>
      <c r="T223">
        <f>HYPERLINK("https://klasma.github.io/Logging_0980/kartor/A 47411-2021 karta.png", "A 47411-2021")</f>
        <v/>
      </c>
      <c r="V223">
        <f>HYPERLINK("https://klasma.github.io/Logging_0980/klagomål/A 47411-2021 FSC-klagomål.docx", "A 47411-2021")</f>
        <v/>
      </c>
      <c r="W223">
        <f>HYPERLINK("https://klasma.github.io/Logging_0980/klagomålsmail/A 47411-2021 FSC-klagomål mail.docx", "A 47411-2021")</f>
        <v/>
      </c>
      <c r="X223">
        <f>HYPERLINK("https://klasma.github.io/Logging_0980/tillsyn/A 47411-2021 tillsynsbegäran.docx", "A 47411-2021")</f>
        <v/>
      </c>
      <c r="Y223">
        <f>HYPERLINK("https://klasma.github.io/Logging_0980/tillsynsmail/A 47411-2021 tillsynsbegäran mail.docx", "A 47411-2021")</f>
        <v/>
      </c>
    </row>
    <row r="224" ht="15" customHeight="1">
      <c r="A224" t="inlineStr">
        <is>
          <t>A 63576-2021</t>
        </is>
      </c>
      <c r="B224" s="1" t="n">
        <v>44508</v>
      </c>
      <c r="C224" s="1" t="n">
        <v>45822</v>
      </c>
      <c r="D224" t="inlineStr">
        <is>
          <t>GOTLANDS LÄN</t>
        </is>
      </c>
      <c r="E224" t="inlineStr">
        <is>
          <t>GOTLAND</t>
        </is>
      </c>
      <c r="F224" t="inlineStr">
        <is>
          <t>Kyrkan</t>
        </is>
      </c>
      <c r="G224" t="n">
        <v>4.1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63576-2021 artfynd.xlsx", "A 63576-2021")</f>
        <v/>
      </c>
      <c r="T224">
        <f>HYPERLINK("https://klasma.github.io/Logging_0980/kartor/A 63576-2021 karta.png", "A 63576-2021")</f>
        <v/>
      </c>
      <c r="V224">
        <f>HYPERLINK("https://klasma.github.io/Logging_0980/klagomål/A 63576-2021 FSC-klagomål.docx", "A 63576-2021")</f>
        <v/>
      </c>
      <c r="W224">
        <f>HYPERLINK("https://klasma.github.io/Logging_0980/klagomålsmail/A 63576-2021 FSC-klagomål mail.docx", "A 63576-2021")</f>
        <v/>
      </c>
      <c r="X224">
        <f>HYPERLINK("https://klasma.github.io/Logging_0980/tillsyn/A 63576-2021 tillsynsbegäran.docx", "A 63576-2021")</f>
        <v/>
      </c>
      <c r="Y224">
        <f>HYPERLINK("https://klasma.github.io/Logging_0980/tillsynsmail/A 63576-2021 tillsynsbegäran mail.docx", "A 63576-2021")</f>
        <v/>
      </c>
    </row>
    <row r="225" ht="15" customHeight="1">
      <c r="A225" t="inlineStr">
        <is>
          <t>A 64700-2021</t>
        </is>
      </c>
      <c r="B225" s="1" t="n">
        <v>44511</v>
      </c>
      <c r="C225" s="1" t="n">
        <v>45822</v>
      </c>
      <c r="D225" t="inlineStr">
        <is>
          <t>GOTLANDS LÄN</t>
        </is>
      </c>
      <c r="E225" t="inlineStr">
        <is>
          <t>GOTLAND</t>
        </is>
      </c>
      <c r="F225" t="inlineStr">
        <is>
          <t>Naturvårdsverket</t>
        </is>
      </c>
      <c r="G225" t="n">
        <v>2.4</v>
      </c>
      <c r="H225" t="n">
        <v>1</v>
      </c>
      <c r="I225" t="n">
        <v>0</v>
      </c>
      <c r="J225" t="n">
        <v>0</v>
      </c>
      <c r="K225" t="n">
        <v>1</v>
      </c>
      <c r="L225" t="n">
        <v>0</v>
      </c>
      <c r="M225" t="n">
        <v>0</v>
      </c>
      <c r="N225" t="n">
        <v>0</v>
      </c>
      <c r="O225" t="n">
        <v>1</v>
      </c>
      <c r="P225" t="n">
        <v>1</v>
      </c>
      <c r="Q225" t="n">
        <v>1</v>
      </c>
      <c r="R225" s="2" t="inlineStr">
        <is>
          <t>Kalkdån</t>
        </is>
      </c>
      <c r="S225">
        <f>HYPERLINK("https://klasma.github.io/Logging_0980/artfynd/A 64700-2021 artfynd.xlsx", "A 64700-2021")</f>
        <v/>
      </c>
      <c r="T225">
        <f>HYPERLINK("https://klasma.github.io/Logging_0980/kartor/A 64700-2021 karta.png", "A 64700-2021")</f>
        <v/>
      </c>
      <c r="V225">
        <f>HYPERLINK("https://klasma.github.io/Logging_0980/klagomål/A 64700-2021 FSC-klagomål.docx", "A 64700-2021")</f>
        <v/>
      </c>
      <c r="W225">
        <f>HYPERLINK("https://klasma.github.io/Logging_0980/klagomålsmail/A 64700-2021 FSC-klagomål mail.docx", "A 64700-2021")</f>
        <v/>
      </c>
      <c r="X225">
        <f>HYPERLINK("https://klasma.github.io/Logging_0980/tillsyn/A 64700-2021 tillsynsbegäran.docx", "A 64700-2021")</f>
        <v/>
      </c>
      <c r="Y225">
        <f>HYPERLINK("https://klasma.github.io/Logging_0980/tillsynsmail/A 64700-2021 tillsynsbegäran mail.docx", "A 64700-2021")</f>
        <v/>
      </c>
    </row>
    <row r="226" ht="15" customHeight="1">
      <c r="A226" t="inlineStr">
        <is>
          <t>A 65927-2021</t>
        </is>
      </c>
      <c r="B226" s="1" t="n">
        <v>44516</v>
      </c>
      <c r="C226" s="1" t="n">
        <v>45822</v>
      </c>
      <c r="D226" t="inlineStr">
        <is>
          <t>GOTLANDS LÄN</t>
        </is>
      </c>
      <c r="E226" t="inlineStr">
        <is>
          <t>GOTLAND</t>
        </is>
      </c>
      <c r="G226" t="n">
        <v>3.1</v>
      </c>
      <c r="H226" t="n">
        <v>1</v>
      </c>
      <c r="I226" t="n">
        <v>0</v>
      </c>
      <c r="J226" t="n">
        <v>0</v>
      </c>
      <c r="K226" t="n">
        <v>1</v>
      </c>
      <c r="L226" t="n">
        <v>0</v>
      </c>
      <c r="M226" t="n">
        <v>0</v>
      </c>
      <c r="N226" t="n">
        <v>0</v>
      </c>
      <c r="O226" t="n">
        <v>1</v>
      </c>
      <c r="P226" t="n">
        <v>1</v>
      </c>
      <c r="Q226" t="n">
        <v>1</v>
      </c>
      <c r="R226" s="2" t="inlineStr">
        <is>
          <t>Grenigt kungsljus</t>
        </is>
      </c>
      <c r="S226">
        <f>HYPERLINK("https://klasma.github.io/Logging_0980/artfynd/A 65927-2021 artfynd.xlsx", "A 65927-2021")</f>
        <v/>
      </c>
      <c r="T226">
        <f>HYPERLINK("https://klasma.github.io/Logging_0980/kartor/A 65927-2021 karta.png", "A 65927-2021")</f>
        <v/>
      </c>
      <c r="V226">
        <f>HYPERLINK("https://klasma.github.io/Logging_0980/klagomål/A 65927-2021 FSC-klagomål.docx", "A 65927-2021")</f>
        <v/>
      </c>
      <c r="W226">
        <f>HYPERLINK("https://klasma.github.io/Logging_0980/klagomålsmail/A 65927-2021 FSC-klagomål mail.docx", "A 65927-2021")</f>
        <v/>
      </c>
      <c r="X226">
        <f>HYPERLINK("https://klasma.github.io/Logging_0980/tillsyn/A 65927-2021 tillsynsbegäran.docx", "A 65927-2021")</f>
        <v/>
      </c>
      <c r="Y226">
        <f>HYPERLINK("https://klasma.github.io/Logging_0980/tillsynsmail/A 65927-2021 tillsynsbegäran mail.docx", "A 65927-2021")</f>
        <v/>
      </c>
    </row>
    <row r="227" ht="15" customHeight="1">
      <c r="A227" t="inlineStr">
        <is>
          <t>A 66091-2021</t>
        </is>
      </c>
      <c r="B227" s="1" t="n">
        <v>44517</v>
      </c>
      <c r="C227" s="1" t="n">
        <v>45822</v>
      </c>
      <c r="D227" t="inlineStr">
        <is>
          <t>GOTLANDS LÄN</t>
        </is>
      </c>
      <c r="E227" t="inlineStr">
        <is>
          <t>GOTLAND</t>
        </is>
      </c>
      <c r="G227" t="n">
        <v>11.7</v>
      </c>
      <c r="H227" t="n">
        <v>1</v>
      </c>
      <c r="I227" t="n">
        <v>0</v>
      </c>
      <c r="J227" t="n">
        <v>0</v>
      </c>
      <c r="K227" t="n">
        <v>0</v>
      </c>
      <c r="L227" t="n">
        <v>0</v>
      </c>
      <c r="M227" t="n">
        <v>0</v>
      </c>
      <c r="N227" t="n">
        <v>0</v>
      </c>
      <c r="O227" t="n">
        <v>0</v>
      </c>
      <c r="P227" t="n">
        <v>0</v>
      </c>
      <c r="Q227" t="n">
        <v>1</v>
      </c>
      <c r="R227" s="2" t="inlineStr">
        <is>
          <t>Pärluggla</t>
        </is>
      </c>
      <c r="S227">
        <f>HYPERLINK("https://klasma.github.io/Logging_0980/artfynd/A 66091-2021 artfynd.xlsx", "A 66091-2021")</f>
        <v/>
      </c>
      <c r="T227">
        <f>HYPERLINK("https://klasma.github.io/Logging_0980/kartor/A 66091-2021 karta.png", "A 66091-2021")</f>
        <v/>
      </c>
      <c r="V227">
        <f>HYPERLINK("https://klasma.github.io/Logging_0980/klagomål/A 66091-2021 FSC-klagomål.docx", "A 66091-2021")</f>
        <v/>
      </c>
      <c r="W227">
        <f>HYPERLINK("https://klasma.github.io/Logging_0980/klagomålsmail/A 66091-2021 FSC-klagomål mail.docx", "A 66091-2021")</f>
        <v/>
      </c>
      <c r="X227">
        <f>HYPERLINK("https://klasma.github.io/Logging_0980/tillsyn/A 66091-2021 tillsynsbegäran.docx", "A 66091-2021")</f>
        <v/>
      </c>
      <c r="Y227">
        <f>HYPERLINK("https://klasma.github.io/Logging_0980/tillsynsmail/A 66091-2021 tillsynsbegäran mail.docx", "A 66091-2021")</f>
        <v/>
      </c>
      <c r="Z227">
        <f>HYPERLINK("https://klasma.github.io/Logging_0980/fåglar/A 66091-2021 prioriterade fågelarter.docx", "A 66091-2021")</f>
        <v/>
      </c>
    </row>
    <row r="228" ht="15" customHeight="1">
      <c r="A228" t="inlineStr">
        <is>
          <t>A 24245-2022</t>
        </is>
      </c>
      <c r="B228" s="1" t="n">
        <v>44725</v>
      </c>
      <c r="C228" s="1" t="n">
        <v>45822</v>
      </c>
      <c r="D228" t="inlineStr">
        <is>
          <t>GOTLANDS LÄN</t>
        </is>
      </c>
      <c r="E228" t="inlineStr">
        <is>
          <t>GOTLAND</t>
        </is>
      </c>
      <c r="G228" t="n">
        <v>4.9</v>
      </c>
      <c r="H228" t="n">
        <v>0</v>
      </c>
      <c r="I228" t="n">
        <v>0</v>
      </c>
      <c r="J228" t="n">
        <v>0</v>
      </c>
      <c r="K228" t="n">
        <v>0</v>
      </c>
      <c r="L228" t="n">
        <v>1</v>
      </c>
      <c r="M228" t="n">
        <v>0</v>
      </c>
      <c r="N228" t="n">
        <v>0</v>
      </c>
      <c r="O228" t="n">
        <v>1</v>
      </c>
      <c r="P228" t="n">
        <v>1</v>
      </c>
      <c r="Q228" t="n">
        <v>1</v>
      </c>
      <c r="R228" s="2" t="inlineStr">
        <is>
          <t>Slät taggsvamp</t>
        </is>
      </c>
      <c r="S228">
        <f>HYPERLINK("https://klasma.github.io/Logging_0980/artfynd/A 24245-2022 artfynd.xlsx", "A 24245-2022")</f>
        <v/>
      </c>
      <c r="T228">
        <f>HYPERLINK("https://klasma.github.io/Logging_0980/kartor/A 24245-2022 karta.png", "A 24245-2022")</f>
        <v/>
      </c>
      <c r="V228">
        <f>HYPERLINK("https://klasma.github.io/Logging_0980/klagomål/A 24245-2022 FSC-klagomål.docx", "A 24245-2022")</f>
        <v/>
      </c>
      <c r="W228">
        <f>HYPERLINK("https://klasma.github.io/Logging_0980/klagomålsmail/A 24245-2022 FSC-klagomål mail.docx", "A 24245-2022")</f>
        <v/>
      </c>
      <c r="X228">
        <f>HYPERLINK("https://klasma.github.io/Logging_0980/tillsyn/A 24245-2022 tillsynsbegäran.docx", "A 24245-2022")</f>
        <v/>
      </c>
      <c r="Y228">
        <f>HYPERLINK("https://klasma.github.io/Logging_0980/tillsynsmail/A 24245-2022 tillsynsbegäran mail.docx", "A 24245-2022")</f>
        <v/>
      </c>
    </row>
    <row r="229" ht="15" customHeight="1">
      <c r="A229" t="inlineStr">
        <is>
          <t>A 25783-2022</t>
        </is>
      </c>
      <c r="B229" s="1" t="n">
        <v>44733</v>
      </c>
      <c r="C229" s="1" t="n">
        <v>45822</v>
      </c>
      <c r="D229" t="inlineStr">
        <is>
          <t>GOTLANDS LÄN</t>
        </is>
      </c>
      <c r="E229" t="inlineStr">
        <is>
          <t>GOTLAND</t>
        </is>
      </c>
      <c r="G229" t="n">
        <v>1</v>
      </c>
      <c r="H229" t="n">
        <v>1</v>
      </c>
      <c r="I229" t="n">
        <v>1</v>
      </c>
      <c r="J229" t="n">
        <v>0</v>
      </c>
      <c r="K229" t="n">
        <v>0</v>
      </c>
      <c r="L229" t="n">
        <v>0</v>
      </c>
      <c r="M229" t="n">
        <v>0</v>
      </c>
      <c r="N229" t="n">
        <v>0</v>
      </c>
      <c r="O229" t="n">
        <v>0</v>
      </c>
      <c r="P229" t="n">
        <v>0</v>
      </c>
      <c r="Q229" t="n">
        <v>1</v>
      </c>
      <c r="R229" s="2" t="inlineStr">
        <is>
          <t>Vit skogslilja</t>
        </is>
      </c>
      <c r="S229">
        <f>HYPERLINK("https://klasma.github.io/Logging_0980/artfynd/A 25783-2022 artfynd.xlsx", "A 25783-2022")</f>
        <v/>
      </c>
      <c r="T229">
        <f>HYPERLINK("https://klasma.github.io/Logging_0980/kartor/A 25783-2022 karta.png", "A 25783-2022")</f>
        <v/>
      </c>
      <c r="V229">
        <f>HYPERLINK("https://klasma.github.io/Logging_0980/klagomål/A 25783-2022 FSC-klagomål.docx", "A 25783-2022")</f>
        <v/>
      </c>
      <c r="W229">
        <f>HYPERLINK("https://klasma.github.io/Logging_0980/klagomålsmail/A 25783-2022 FSC-klagomål mail.docx", "A 25783-2022")</f>
        <v/>
      </c>
      <c r="X229">
        <f>HYPERLINK("https://klasma.github.io/Logging_0980/tillsyn/A 25783-2022 tillsynsbegäran.docx", "A 25783-2022")</f>
        <v/>
      </c>
      <c r="Y229">
        <f>HYPERLINK("https://klasma.github.io/Logging_0980/tillsynsmail/A 25783-2022 tillsynsbegäran mail.docx", "A 25783-2022")</f>
        <v/>
      </c>
    </row>
    <row r="230" ht="15" customHeight="1">
      <c r="A230" t="inlineStr">
        <is>
          <t>A 27168-2022</t>
        </is>
      </c>
      <c r="B230" s="1" t="n">
        <v>44741</v>
      </c>
      <c r="C230" s="1" t="n">
        <v>45822</v>
      </c>
      <c r="D230" t="inlineStr">
        <is>
          <t>GOTLANDS LÄN</t>
        </is>
      </c>
      <c r="E230" t="inlineStr">
        <is>
          <t>GOTLAND</t>
        </is>
      </c>
      <c r="G230" t="n">
        <v>2.2</v>
      </c>
      <c r="H230" t="n">
        <v>1</v>
      </c>
      <c r="I230" t="n">
        <v>1</v>
      </c>
      <c r="J230" t="n">
        <v>0</v>
      </c>
      <c r="K230" t="n">
        <v>0</v>
      </c>
      <c r="L230" t="n">
        <v>0</v>
      </c>
      <c r="M230" t="n">
        <v>0</v>
      </c>
      <c r="N230" t="n">
        <v>0</v>
      </c>
      <c r="O230" t="n">
        <v>0</v>
      </c>
      <c r="P230" t="n">
        <v>0</v>
      </c>
      <c r="Q230" t="n">
        <v>1</v>
      </c>
      <c r="R230" s="2" t="inlineStr">
        <is>
          <t>Purpurknipprot</t>
        </is>
      </c>
      <c r="S230">
        <f>HYPERLINK("https://klasma.github.io/Logging_0980/artfynd/A 27168-2022 artfynd.xlsx", "A 27168-2022")</f>
        <v/>
      </c>
      <c r="T230">
        <f>HYPERLINK("https://klasma.github.io/Logging_0980/kartor/A 27168-2022 karta.png", "A 27168-2022")</f>
        <v/>
      </c>
      <c r="V230">
        <f>HYPERLINK("https://klasma.github.io/Logging_0980/klagomål/A 27168-2022 FSC-klagomål.docx", "A 27168-2022")</f>
        <v/>
      </c>
      <c r="W230">
        <f>HYPERLINK("https://klasma.github.io/Logging_0980/klagomålsmail/A 27168-2022 FSC-klagomål mail.docx", "A 27168-2022")</f>
        <v/>
      </c>
      <c r="X230">
        <f>HYPERLINK("https://klasma.github.io/Logging_0980/tillsyn/A 27168-2022 tillsynsbegäran.docx", "A 27168-2022")</f>
        <v/>
      </c>
      <c r="Y230">
        <f>HYPERLINK("https://klasma.github.io/Logging_0980/tillsynsmail/A 27168-2022 tillsynsbegäran mail.docx", "A 27168-2022")</f>
        <v/>
      </c>
    </row>
    <row r="231" ht="15" customHeight="1">
      <c r="A231" t="inlineStr">
        <is>
          <t>A 27814-2022</t>
        </is>
      </c>
      <c r="B231" s="1" t="n">
        <v>44743</v>
      </c>
      <c r="C231" s="1" t="n">
        <v>45822</v>
      </c>
      <c r="D231" t="inlineStr">
        <is>
          <t>GOTLANDS LÄN</t>
        </is>
      </c>
      <c r="E231" t="inlineStr">
        <is>
          <t>GOTLAND</t>
        </is>
      </c>
      <c r="G231" t="n">
        <v>25</v>
      </c>
      <c r="H231" t="n">
        <v>1</v>
      </c>
      <c r="I231" t="n">
        <v>0</v>
      </c>
      <c r="J231" t="n">
        <v>0</v>
      </c>
      <c r="K231" t="n">
        <v>0</v>
      </c>
      <c r="L231" t="n">
        <v>0</v>
      </c>
      <c r="M231" t="n">
        <v>0</v>
      </c>
      <c r="N231" t="n">
        <v>0</v>
      </c>
      <c r="O231" t="n">
        <v>0</v>
      </c>
      <c r="P231" t="n">
        <v>0</v>
      </c>
      <c r="Q231" t="n">
        <v>1</v>
      </c>
      <c r="R231" s="2" t="inlineStr">
        <is>
          <t>Mindre vattensalamander</t>
        </is>
      </c>
      <c r="S231">
        <f>HYPERLINK("https://klasma.github.io/Logging_0980/artfynd/A 27814-2022 artfynd.xlsx", "A 27814-2022")</f>
        <v/>
      </c>
      <c r="T231">
        <f>HYPERLINK("https://klasma.github.io/Logging_0980/kartor/A 27814-2022 karta.png", "A 27814-2022")</f>
        <v/>
      </c>
      <c r="V231">
        <f>HYPERLINK("https://klasma.github.io/Logging_0980/klagomål/A 27814-2022 FSC-klagomål.docx", "A 27814-2022")</f>
        <v/>
      </c>
      <c r="W231">
        <f>HYPERLINK("https://klasma.github.io/Logging_0980/klagomålsmail/A 27814-2022 FSC-klagomål mail.docx", "A 27814-2022")</f>
        <v/>
      </c>
      <c r="X231">
        <f>HYPERLINK("https://klasma.github.io/Logging_0980/tillsyn/A 27814-2022 tillsynsbegäran.docx", "A 27814-2022")</f>
        <v/>
      </c>
      <c r="Y231">
        <f>HYPERLINK("https://klasma.github.io/Logging_0980/tillsynsmail/A 27814-2022 tillsynsbegäran mail.docx", "A 27814-2022")</f>
        <v/>
      </c>
    </row>
    <row r="232" ht="15" customHeight="1">
      <c r="A232" t="inlineStr">
        <is>
          <t>A 44095-2022</t>
        </is>
      </c>
      <c r="B232" s="1" t="n">
        <v>44839</v>
      </c>
      <c r="C232" s="1" t="n">
        <v>45822</v>
      </c>
      <c r="D232" t="inlineStr">
        <is>
          <t>GOTLANDS LÄN</t>
        </is>
      </c>
      <c r="E232" t="inlineStr">
        <is>
          <t>GOTLAND</t>
        </is>
      </c>
      <c r="G232" t="n">
        <v>9</v>
      </c>
      <c r="H232" t="n">
        <v>0</v>
      </c>
      <c r="I232" t="n">
        <v>1</v>
      </c>
      <c r="J232" t="n">
        <v>0</v>
      </c>
      <c r="K232" t="n">
        <v>0</v>
      </c>
      <c r="L232" t="n">
        <v>0</v>
      </c>
      <c r="M232" t="n">
        <v>0</v>
      </c>
      <c r="N232" t="n">
        <v>0</v>
      </c>
      <c r="O232" t="n">
        <v>0</v>
      </c>
      <c r="P232" t="n">
        <v>0</v>
      </c>
      <c r="Q232" t="n">
        <v>1</v>
      </c>
      <c r="R232" s="2" t="inlineStr">
        <is>
          <t>Strävlosta</t>
        </is>
      </c>
      <c r="S232">
        <f>HYPERLINK("https://klasma.github.io/Logging_0980/artfynd/A 44095-2022 artfynd.xlsx", "A 44095-2022")</f>
        <v/>
      </c>
      <c r="T232">
        <f>HYPERLINK("https://klasma.github.io/Logging_0980/kartor/A 44095-2022 karta.png", "A 44095-2022")</f>
        <v/>
      </c>
      <c r="V232">
        <f>HYPERLINK("https://klasma.github.io/Logging_0980/klagomål/A 44095-2022 FSC-klagomål.docx", "A 44095-2022")</f>
        <v/>
      </c>
      <c r="W232">
        <f>HYPERLINK("https://klasma.github.io/Logging_0980/klagomålsmail/A 44095-2022 FSC-klagomål mail.docx", "A 44095-2022")</f>
        <v/>
      </c>
      <c r="X232">
        <f>HYPERLINK("https://klasma.github.io/Logging_0980/tillsyn/A 44095-2022 tillsynsbegäran.docx", "A 44095-2022")</f>
        <v/>
      </c>
      <c r="Y232">
        <f>HYPERLINK("https://klasma.github.io/Logging_0980/tillsynsmail/A 44095-2022 tillsynsbegäran mail.docx", "A 44095-2022")</f>
        <v/>
      </c>
    </row>
    <row r="233" ht="15" customHeight="1">
      <c r="A233" t="inlineStr">
        <is>
          <t>A 44088-2022</t>
        </is>
      </c>
      <c r="B233" s="1" t="n">
        <v>44839</v>
      </c>
      <c r="C233" s="1" t="n">
        <v>45822</v>
      </c>
      <c r="D233" t="inlineStr">
        <is>
          <t>GOTLANDS LÄN</t>
        </is>
      </c>
      <c r="E233" t="inlineStr">
        <is>
          <t>GOTLAND</t>
        </is>
      </c>
      <c r="G233" t="n">
        <v>1.5</v>
      </c>
      <c r="H233" t="n">
        <v>0</v>
      </c>
      <c r="I233" t="n">
        <v>1</v>
      </c>
      <c r="J233" t="n">
        <v>0</v>
      </c>
      <c r="K233" t="n">
        <v>0</v>
      </c>
      <c r="L233" t="n">
        <v>0</v>
      </c>
      <c r="M233" t="n">
        <v>0</v>
      </c>
      <c r="N233" t="n">
        <v>0</v>
      </c>
      <c r="O233" t="n">
        <v>0</v>
      </c>
      <c r="P233" t="n">
        <v>0</v>
      </c>
      <c r="Q233" t="n">
        <v>1</v>
      </c>
      <c r="R233" s="2" t="inlineStr">
        <is>
          <t>Strävlosta</t>
        </is>
      </c>
      <c r="S233">
        <f>HYPERLINK("https://klasma.github.io/Logging_0980/artfynd/A 44088-2022 artfynd.xlsx", "A 44088-2022")</f>
        <v/>
      </c>
      <c r="T233">
        <f>HYPERLINK("https://klasma.github.io/Logging_0980/kartor/A 44088-2022 karta.png", "A 44088-2022")</f>
        <v/>
      </c>
      <c r="V233">
        <f>HYPERLINK("https://klasma.github.io/Logging_0980/klagomål/A 44088-2022 FSC-klagomål.docx", "A 44088-2022")</f>
        <v/>
      </c>
      <c r="W233">
        <f>HYPERLINK("https://klasma.github.io/Logging_0980/klagomålsmail/A 44088-2022 FSC-klagomål mail.docx", "A 44088-2022")</f>
        <v/>
      </c>
      <c r="X233">
        <f>HYPERLINK("https://klasma.github.io/Logging_0980/tillsyn/A 44088-2022 tillsynsbegäran.docx", "A 44088-2022")</f>
        <v/>
      </c>
      <c r="Y233">
        <f>HYPERLINK("https://klasma.github.io/Logging_0980/tillsynsmail/A 44088-2022 tillsynsbegäran mail.docx", "A 44088-2022")</f>
        <v/>
      </c>
    </row>
    <row r="234" ht="15" customHeight="1">
      <c r="A234" t="inlineStr">
        <is>
          <t>A 61796-2022</t>
        </is>
      </c>
      <c r="B234" s="1" t="n">
        <v>44917</v>
      </c>
      <c r="C234" s="1" t="n">
        <v>45822</v>
      </c>
      <c r="D234" t="inlineStr">
        <is>
          <t>GOTLANDS LÄN</t>
        </is>
      </c>
      <c r="E234" t="inlineStr">
        <is>
          <t>GOTLAND</t>
        </is>
      </c>
      <c r="G234" t="n">
        <v>1.5</v>
      </c>
      <c r="H234" t="n">
        <v>1</v>
      </c>
      <c r="I234" t="n">
        <v>0</v>
      </c>
      <c r="J234" t="n">
        <v>0</v>
      </c>
      <c r="K234" t="n">
        <v>0</v>
      </c>
      <c r="L234" t="n">
        <v>0</v>
      </c>
      <c r="M234" t="n">
        <v>0</v>
      </c>
      <c r="N234" t="n">
        <v>0</v>
      </c>
      <c r="O234" t="n">
        <v>0</v>
      </c>
      <c r="P234" t="n">
        <v>0</v>
      </c>
      <c r="Q234" t="n">
        <v>1</v>
      </c>
      <c r="R234" s="2" t="inlineStr">
        <is>
          <t>Skogsduva</t>
        </is>
      </c>
      <c r="S234">
        <f>HYPERLINK("https://klasma.github.io/Logging_0980/artfynd/A 61796-2022 artfynd.xlsx", "A 61796-2022")</f>
        <v/>
      </c>
      <c r="T234">
        <f>HYPERLINK("https://klasma.github.io/Logging_0980/kartor/A 61796-2022 karta.png", "A 61796-2022")</f>
        <v/>
      </c>
      <c r="V234">
        <f>HYPERLINK("https://klasma.github.io/Logging_0980/klagomål/A 61796-2022 FSC-klagomål.docx", "A 61796-2022")</f>
        <v/>
      </c>
      <c r="W234">
        <f>HYPERLINK("https://klasma.github.io/Logging_0980/klagomålsmail/A 61796-2022 FSC-klagomål mail.docx", "A 61796-2022")</f>
        <v/>
      </c>
      <c r="X234">
        <f>HYPERLINK("https://klasma.github.io/Logging_0980/tillsyn/A 61796-2022 tillsynsbegäran.docx", "A 61796-2022")</f>
        <v/>
      </c>
      <c r="Y234">
        <f>HYPERLINK("https://klasma.github.io/Logging_0980/tillsynsmail/A 61796-2022 tillsynsbegäran mail.docx", "A 61796-2022")</f>
        <v/>
      </c>
      <c r="Z234">
        <f>HYPERLINK("https://klasma.github.io/Logging_0980/fåglar/A 61796-2022 prioriterade fågelarter.docx", "A 61796-2022")</f>
        <v/>
      </c>
    </row>
    <row r="235" ht="15" customHeight="1">
      <c r="A235" t="inlineStr">
        <is>
          <t>A 62552-2022</t>
        </is>
      </c>
      <c r="B235" s="1" t="n">
        <v>44924</v>
      </c>
      <c r="C235" s="1" t="n">
        <v>45822</v>
      </c>
      <c r="D235" t="inlineStr">
        <is>
          <t>GOTLANDS LÄN</t>
        </is>
      </c>
      <c r="E235" t="inlineStr">
        <is>
          <t>GOTLAND</t>
        </is>
      </c>
      <c r="G235" t="n">
        <v>1.6</v>
      </c>
      <c r="H235" t="n">
        <v>0</v>
      </c>
      <c r="I235" t="n">
        <v>0</v>
      </c>
      <c r="J235" t="n">
        <v>1</v>
      </c>
      <c r="K235" t="n">
        <v>0</v>
      </c>
      <c r="L235" t="n">
        <v>0</v>
      </c>
      <c r="M235" t="n">
        <v>0</v>
      </c>
      <c r="N235" t="n">
        <v>0</v>
      </c>
      <c r="O235" t="n">
        <v>1</v>
      </c>
      <c r="P235" t="n">
        <v>0</v>
      </c>
      <c r="Q235" t="n">
        <v>1</v>
      </c>
      <c r="R235" s="2" t="inlineStr">
        <is>
          <t>Äggspindling</t>
        </is>
      </c>
      <c r="S235">
        <f>HYPERLINK("https://klasma.github.io/Logging_0980/artfynd/A 62552-2022 artfynd.xlsx", "A 62552-2022")</f>
        <v/>
      </c>
      <c r="T235">
        <f>HYPERLINK("https://klasma.github.io/Logging_0980/kartor/A 62552-2022 karta.png", "A 62552-2022")</f>
        <v/>
      </c>
      <c r="V235">
        <f>HYPERLINK("https://klasma.github.io/Logging_0980/klagomål/A 62552-2022 FSC-klagomål.docx", "A 62552-2022")</f>
        <v/>
      </c>
      <c r="W235">
        <f>HYPERLINK("https://klasma.github.io/Logging_0980/klagomålsmail/A 62552-2022 FSC-klagomål mail.docx", "A 62552-2022")</f>
        <v/>
      </c>
      <c r="X235">
        <f>HYPERLINK("https://klasma.github.io/Logging_0980/tillsyn/A 62552-2022 tillsynsbegäran.docx", "A 62552-2022")</f>
        <v/>
      </c>
      <c r="Y235">
        <f>HYPERLINK("https://klasma.github.io/Logging_0980/tillsynsmail/A 62552-2022 tillsynsbegäran mail.docx", "A 62552-2022")</f>
        <v/>
      </c>
    </row>
    <row r="236" ht="15" customHeight="1">
      <c r="A236" t="inlineStr">
        <is>
          <t>A 447-2023</t>
        </is>
      </c>
      <c r="B236" s="1" t="n">
        <v>44929</v>
      </c>
      <c r="C236" s="1" t="n">
        <v>45822</v>
      </c>
      <c r="D236" t="inlineStr">
        <is>
          <t>GOTLANDS LÄN</t>
        </is>
      </c>
      <c r="E236" t="inlineStr">
        <is>
          <t>GOTLAND</t>
        </is>
      </c>
      <c r="G236" t="n">
        <v>5.1</v>
      </c>
      <c r="H236" t="n">
        <v>0</v>
      </c>
      <c r="I236" t="n">
        <v>0</v>
      </c>
      <c r="J236" t="n">
        <v>1</v>
      </c>
      <c r="K236" t="n">
        <v>0</v>
      </c>
      <c r="L236" t="n">
        <v>0</v>
      </c>
      <c r="M236" t="n">
        <v>0</v>
      </c>
      <c r="N236" t="n">
        <v>0</v>
      </c>
      <c r="O236" t="n">
        <v>1</v>
      </c>
      <c r="P236" t="n">
        <v>0</v>
      </c>
      <c r="Q236" t="n">
        <v>1</v>
      </c>
      <c r="R236" s="2" t="inlineStr">
        <is>
          <t>Äggspindling</t>
        </is>
      </c>
      <c r="S236">
        <f>HYPERLINK("https://klasma.github.io/Logging_0980/artfynd/A 447-2023 artfynd.xlsx", "A 447-2023")</f>
        <v/>
      </c>
      <c r="T236">
        <f>HYPERLINK("https://klasma.github.io/Logging_0980/kartor/A 447-2023 karta.png", "A 447-2023")</f>
        <v/>
      </c>
      <c r="V236">
        <f>HYPERLINK("https://klasma.github.io/Logging_0980/klagomål/A 447-2023 FSC-klagomål.docx", "A 447-2023")</f>
        <v/>
      </c>
      <c r="W236">
        <f>HYPERLINK("https://klasma.github.io/Logging_0980/klagomålsmail/A 447-2023 FSC-klagomål mail.docx", "A 447-2023")</f>
        <v/>
      </c>
      <c r="X236">
        <f>HYPERLINK("https://klasma.github.io/Logging_0980/tillsyn/A 447-2023 tillsynsbegäran.docx", "A 447-2023")</f>
        <v/>
      </c>
      <c r="Y236">
        <f>HYPERLINK("https://klasma.github.io/Logging_0980/tillsynsmail/A 447-2023 tillsynsbegäran mail.docx", "A 447-2023")</f>
        <v/>
      </c>
    </row>
    <row r="237" ht="15" customHeight="1">
      <c r="A237" t="inlineStr">
        <is>
          <t>A 947-2023</t>
        </is>
      </c>
      <c r="B237" s="1" t="n">
        <v>44934</v>
      </c>
      <c r="C237" s="1" t="n">
        <v>45822</v>
      </c>
      <c r="D237" t="inlineStr">
        <is>
          <t>GOTLANDS LÄN</t>
        </is>
      </c>
      <c r="E237" t="inlineStr">
        <is>
          <t>GOTLAND</t>
        </is>
      </c>
      <c r="G237" t="n">
        <v>0.7</v>
      </c>
      <c r="H237" t="n">
        <v>1</v>
      </c>
      <c r="I237" t="n">
        <v>0</v>
      </c>
      <c r="J237" t="n">
        <v>0</v>
      </c>
      <c r="K237" t="n">
        <v>1</v>
      </c>
      <c r="L237" t="n">
        <v>0</v>
      </c>
      <c r="M237" t="n">
        <v>0</v>
      </c>
      <c r="N237" t="n">
        <v>0</v>
      </c>
      <c r="O237" t="n">
        <v>1</v>
      </c>
      <c r="P237" t="n">
        <v>1</v>
      </c>
      <c r="Q237" t="n">
        <v>1</v>
      </c>
      <c r="R237" s="2" t="inlineStr">
        <is>
          <t>Garderönn</t>
        </is>
      </c>
      <c r="S237">
        <f>HYPERLINK("https://klasma.github.io/Logging_0980/artfynd/A 947-2023 artfynd.xlsx", "A 947-2023")</f>
        <v/>
      </c>
      <c r="T237">
        <f>HYPERLINK("https://klasma.github.io/Logging_0980/kartor/A 947-2023 karta.png", "A 947-2023")</f>
        <v/>
      </c>
      <c r="V237">
        <f>HYPERLINK("https://klasma.github.io/Logging_0980/klagomål/A 947-2023 FSC-klagomål.docx", "A 947-2023")</f>
        <v/>
      </c>
      <c r="W237">
        <f>HYPERLINK("https://klasma.github.io/Logging_0980/klagomålsmail/A 947-2023 FSC-klagomål mail.docx", "A 947-2023")</f>
        <v/>
      </c>
      <c r="X237">
        <f>HYPERLINK("https://klasma.github.io/Logging_0980/tillsyn/A 947-2023 tillsynsbegäran.docx", "A 947-2023")</f>
        <v/>
      </c>
      <c r="Y237">
        <f>HYPERLINK("https://klasma.github.io/Logging_0980/tillsynsmail/A 947-2023 tillsynsbegäran mail.docx", "A 947-2023")</f>
        <v/>
      </c>
    </row>
    <row r="238" ht="15" customHeight="1">
      <c r="A238" t="inlineStr">
        <is>
          <t>A 2213-2023</t>
        </is>
      </c>
      <c r="B238" s="1" t="n">
        <v>44942</v>
      </c>
      <c r="C238" s="1" t="n">
        <v>45822</v>
      </c>
      <c r="D238" t="inlineStr">
        <is>
          <t>GOTLANDS LÄN</t>
        </is>
      </c>
      <c r="E238" t="inlineStr">
        <is>
          <t>GOTLAND</t>
        </is>
      </c>
      <c r="G238" t="n">
        <v>2.7</v>
      </c>
      <c r="H238" t="n">
        <v>0</v>
      </c>
      <c r="I238" t="n">
        <v>0</v>
      </c>
      <c r="J238" t="n">
        <v>1</v>
      </c>
      <c r="K238" t="n">
        <v>0</v>
      </c>
      <c r="L238" t="n">
        <v>0</v>
      </c>
      <c r="M238" t="n">
        <v>0</v>
      </c>
      <c r="N238" t="n">
        <v>0</v>
      </c>
      <c r="O238" t="n">
        <v>1</v>
      </c>
      <c r="P238" t="n">
        <v>0</v>
      </c>
      <c r="Q238" t="n">
        <v>1</v>
      </c>
      <c r="R238" s="2" t="inlineStr">
        <is>
          <t>Odörspindling</t>
        </is>
      </c>
      <c r="S238">
        <f>HYPERLINK("https://klasma.github.io/Logging_0980/artfynd/A 2213-2023 artfynd.xlsx", "A 2213-2023")</f>
        <v/>
      </c>
      <c r="T238">
        <f>HYPERLINK("https://klasma.github.io/Logging_0980/kartor/A 2213-2023 karta.png", "A 2213-2023")</f>
        <v/>
      </c>
      <c r="V238">
        <f>HYPERLINK("https://klasma.github.io/Logging_0980/klagomål/A 2213-2023 FSC-klagomål.docx", "A 2213-2023")</f>
        <v/>
      </c>
      <c r="W238">
        <f>HYPERLINK("https://klasma.github.io/Logging_0980/klagomålsmail/A 2213-2023 FSC-klagomål mail.docx", "A 2213-2023")</f>
        <v/>
      </c>
      <c r="X238">
        <f>HYPERLINK("https://klasma.github.io/Logging_0980/tillsyn/A 2213-2023 tillsynsbegäran.docx", "A 2213-2023")</f>
        <v/>
      </c>
      <c r="Y238">
        <f>HYPERLINK("https://klasma.github.io/Logging_0980/tillsynsmail/A 2213-2023 tillsynsbegäran mail.docx", "A 2213-2023")</f>
        <v/>
      </c>
    </row>
    <row r="239" ht="15" customHeight="1">
      <c r="A239" t="inlineStr">
        <is>
          <t>A 10995-2023</t>
        </is>
      </c>
      <c r="B239" s="1" t="n">
        <v>44986</v>
      </c>
      <c r="C239" s="1" t="n">
        <v>45822</v>
      </c>
      <c r="D239" t="inlineStr">
        <is>
          <t>GOTLANDS LÄN</t>
        </is>
      </c>
      <c r="E239" t="inlineStr">
        <is>
          <t>GOTLAND</t>
        </is>
      </c>
      <c r="G239" t="n">
        <v>2.8</v>
      </c>
      <c r="H239" t="n">
        <v>0</v>
      </c>
      <c r="I239" t="n">
        <v>0</v>
      </c>
      <c r="J239" t="n">
        <v>0</v>
      </c>
      <c r="K239" t="n">
        <v>1</v>
      </c>
      <c r="L239" t="n">
        <v>0</v>
      </c>
      <c r="M239" t="n">
        <v>0</v>
      </c>
      <c r="N239" t="n">
        <v>0</v>
      </c>
      <c r="O239" t="n">
        <v>1</v>
      </c>
      <c r="P239" t="n">
        <v>1</v>
      </c>
      <c r="Q239" t="n">
        <v>1</v>
      </c>
      <c r="R239" s="2" t="inlineStr">
        <is>
          <t>Violettfläckig spindling</t>
        </is>
      </c>
      <c r="S239">
        <f>HYPERLINK("https://klasma.github.io/Logging_0980/artfynd/A 10995-2023 artfynd.xlsx", "A 10995-2023")</f>
        <v/>
      </c>
      <c r="T239">
        <f>HYPERLINK("https://klasma.github.io/Logging_0980/kartor/A 10995-2023 karta.png", "A 10995-2023")</f>
        <v/>
      </c>
      <c r="V239">
        <f>HYPERLINK("https://klasma.github.io/Logging_0980/klagomål/A 10995-2023 FSC-klagomål.docx", "A 10995-2023")</f>
        <v/>
      </c>
      <c r="W239">
        <f>HYPERLINK("https://klasma.github.io/Logging_0980/klagomålsmail/A 10995-2023 FSC-klagomål mail.docx", "A 10995-2023")</f>
        <v/>
      </c>
      <c r="X239">
        <f>HYPERLINK("https://klasma.github.io/Logging_0980/tillsyn/A 10995-2023 tillsynsbegäran.docx", "A 10995-2023")</f>
        <v/>
      </c>
      <c r="Y239">
        <f>HYPERLINK("https://klasma.github.io/Logging_0980/tillsynsmail/A 10995-2023 tillsynsbegäran mail.docx", "A 10995-2023")</f>
        <v/>
      </c>
    </row>
    <row r="240" ht="15" customHeight="1">
      <c r="A240" t="inlineStr">
        <is>
          <t>A 15212-2023</t>
        </is>
      </c>
      <c r="B240" s="1" t="n">
        <v>45019</v>
      </c>
      <c r="C240" s="1" t="n">
        <v>45822</v>
      </c>
      <c r="D240" t="inlineStr">
        <is>
          <t>GOTLANDS LÄN</t>
        </is>
      </c>
      <c r="E240" t="inlineStr">
        <is>
          <t>GOTLAND</t>
        </is>
      </c>
      <c r="G240" t="n">
        <v>3.1</v>
      </c>
      <c r="H240" t="n">
        <v>0</v>
      </c>
      <c r="I240" t="n">
        <v>0</v>
      </c>
      <c r="J240" t="n">
        <v>1</v>
      </c>
      <c r="K240" t="n">
        <v>0</v>
      </c>
      <c r="L240" t="n">
        <v>0</v>
      </c>
      <c r="M240" t="n">
        <v>0</v>
      </c>
      <c r="N240" t="n">
        <v>0</v>
      </c>
      <c r="O240" t="n">
        <v>1</v>
      </c>
      <c r="P240" t="n">
        <v>0</v>
      </c>
      <c r="Q240" t="n">
        <v>1</v>
      </c>
      <c r="R240" s="2" t="inlineStr">
        <is>
          <t>Grådådra</t>
        </is>
      </c>
      <c r="S240">
        <f>HYPERLINK("https://klasma.github.io/Logging_0980/artfynd/A 15212-2023 artfynd.xlsx", "A 15212-2023")</f>
        <v/>
      </c>
      <c r="T240">
        <f>HYPERLINK("https://klasma.github.io/Logging_0980/kartor/A 15212-2023 karta.png", "A 15212-2023")</f>
        <v/>
      </c>
      <c r="V240">
        <f>HYPERLINK("https://klasma.github.io/Logging_0980/klagomål/A 15212-2023 FSC-klagomål.docx", "A 15212-2023")</f>
        <v/>
      </c>
      <c r="W240">
        <f>HYPERLINK("https://klasma.github.io/Logging_0980/klagomålsmail/A 15212-2023 FSC-klagomål mail.docx", "A 15212-2023")</f>
        <v/>
      </c>
      <c r="X240">
        <f>HYPERLINK("https://klasma.github.io/Logging_0980/tillsyn/A 15212-2023 tillsynsbegäran.docx", "A 15212-2023")</f>
        <v/>
      </c>
      <c r="Y240">
        <f>HYPERLINK("https://klasma.github.io/Logging_0980/tillsynsmail/A 15212-2023 tillsynsbegäran mail.docx", "A 15212-2023")</f>
        <v/>
      </c>
    </row>
    <row r="241" ht="15" customHeight="1">
      <c r="A241" t="inlineStr">
        <is>
          <t>A 22782-2023</t>
        </is>
      </c>
      <c r="B241" s="1" t="n">
        <v>45072</v>
      </c>
      <c r="C241" s="1" t="n">
        <v>45822</v>
      </c>
      <c r="D241" t="inlineStr">
        <is>
          <t>GOTLANDS LÄN</t>
        </is>
      </c>
      <c r="E241" t="inlineStr">
        <is>
          <t>GOTLAND</t>
        </is>
      </c>
      <c r="F241" t="inlineStr">
        <is>
          <t>Kyrkan</t>
        </is>
      </c>
      <c r="G241" t="n">
        <v>3.1</v>
      </c>
      <c r="H241" t="n">
        <v>1</v>
      </c>
      <c r="I241" t="n">
        <v>0</v>
      </c>
      <c r="J241" t="n">
        <v>0</v>
      </c>
      <c r="K241" t="n">
        <v>0</v>
      </c>
      <c r="L241" t="n">
        <v>0</v>
      </c>
      <c r="M241" t="n">
        <v>0</v>
      </c>
      <c r="N241" t="n">
        <v>0</v>
      </c>
      <c r="O241" t="n">
        <v>0</v>
      </c>
      <c r="P241" t="n">
        <v>0</v>
      </c>
      <c r="Q241" t="n">
        <v>1</v>
      </c>
      <c r="R241" s="2" t="inlineStr">
        <is>
          <t>Ängsnycklar × skogsnycklar</t>
        </is>
      </c>
      <c r="S241">
        <f>HYPERLINK("https://klasma.github.io/Logging_0980/artfynd/A 22782-2023 artfynd.xlsx", "A 22782-2023")</f>
        <v/>
      </c>
      <c r="T241">
        <f>HYPERLINK("https://klasma.github.io/Logging_0980/kartor/A 22782-2023 karta.png", "A 22782-2023")</f>
        <v/>
      </c>
      <c r="V241">
        <f>HYPERLINK("https://klasma.github.io/Logging_0980/klagomål/A 22782-2023 FSC-klagomål.docx", "A 22782-2023")</f>
        <v/>
      </c>
      <c r="W241">
        <f>HYPERLINK("https://klasma.github.io/Logging_0980/klagomålsmail/A 22782-2023 FSC-klagomål mail.docx", "A 22782-2023")</f>
        <v/>
      </c>
      <c r="X241">
        <f>HYPERLINK("https://klasma.github.io/Logging_0980/tillsyn/A 22782-2023 tillsynsbegäran.docx", "A 22782-2023")</f>
        <v/>
      </c>
      <c r="Y241">
        <f>HYPERLINK("https://klasma.github.io/Logging_0980/tillsynsmail/A 22782-2023 tillsynsbegäran mail.docx", "A 22782-2023")</f>
        <v/>
      </c>
    </row>
    <row r="242" ht="15" customHeight="1">
      <c r="A242" t="inlineStr">
        <is>
          <t>A 24007-2023</t>
        </is>
      </c>
      <c r="B242" s="1" t="n">
        <v>45078</v>
      </c>
      <c r="C242" s="1" t="n">
        <v>45822</v>
      </c>
      <c r="D242" t="inlineStr">
        <is>
          <t>GOTLANDS LÄN</t>
        </is>
      </c>
      <c r="E242" t="inlineStr">
        <is>
          <t>GOTLAND</t>
        </is>
      </c>
      <c r="F242" t="inlineStr">
        <is>
          <t>Naturvårdsverket</t>
        </is>
      </c>
      <c r="G242" t="n">
        <v>2.5</v>
      </c>
      <c r="H242" t="n">
        <v>1</v>
      </c>
      <c r="I242" t="n">
        <v>1</v>
      </c>
      <c r="J242" t="n">
        <v>0</v>
      </c>
      <c r="K242" t="n">
        <v>0</v>
      </c>
      <c r="L242" t="n">
        <v>0</v>
      </c>
      <c r="M242" t="n">
        <v>0</v>
      </c>
      <c r="N242" t="n">
        <v>0</v>
      </c>
      <c r="O242" t="n">
        <v>0</v>
      </c>
      <c r="P242" t="n">
        <v>0</v>
      </c>
      <c r="Q242" t="n">
        <v>1</v>
      </c>
      <c r="R242" s="2" t="inlineStr">
        <is>
          <t>Nästrot</t>
        </is>
      </c>
      <c r="S242">
        <f>HYPERLINK("https://klasma.github.io/Logging_0980/artfynd/A 24007-2023 artfynd.xlsx", "A 24007-2023")</f>
        <v/>
      </c>
      <c r="T242">
        <f>HYPERLINK("https://klasma.github.io/Logging_0980/kartor/A 24007-2023 karta.png", "A 24007-2023")</f>
        <v/>
      </c>
      <c r="V242">
        <f>HYPERLINK("https://klasma.github.io/Logging_0980/klagomål/A 24007-2023 FSC-klagomål.docx", "A 24007-2023")</f>
        <v/>
      </c>
      <c r="W242">
        <f>HYPERLINK("https://klasma.github.io/Logging_0980/klagomålsmail/A 24007-2023 FSC-klagomål mail.docx", "A 24007-2023")</f>
        <v/>
      </c>
      <c r="X242">
        <f>HYPERLINK("https://klasma.github.io/Logging_0980/tillsyn/A 24007-2023 tillsynsbegäran.docx", "A 24007-2023")</f>
        <v/>
      </c>
      <c r="Y242">
        <f>HYPERLINK("https://klasma.github.io/Logging_0980/tillsynsmail/A 24007-2023 tillsynsbegäran mail.docx", "A 24007-2023")</f>
        <v/>
      </c>
    </row>
    <row r="243" ht="15" customHeight="1">
      <c r="A243" t="inlineStr">
        <is>
          <t>A 27589-2023</t>
        </is>
      </c>
      <c r="B243" s="1" t="n">
        <v>45097</v>
      </c>
      <c r="C243" s="1" t="n">
        <v>45822</v>
      </c>
      <c r="D243" t="inlineStr">
        <is>
          <t>GOTLANDS LÄN</t>
        </is>
      </c>
      <c r="E243" t="inlineStr">
        <is>
          <t>GOTLAND</t>
        </is>
      </c>
      <c r="G243" t="n">
        <v>5.4</v>
      </c>
      <c r="H243" t="n">
        <v>0</v>
      </c>
      <c r="I243" t="n">
        <v>0</v>
      </c>
      <c r="J243" t="n">
        <v>0</v>
      </c>
      <c r="K243" t="n">
        <v>0</v>
      </c>
      <c r="L243" t="n">
        <v>0</v>
      </c>
      <c r="M243" t="n">
        <v>1</v>
      </c>
      <c r="N243" t="n">
        <v>0</v>
      </c>
      <c r="O243" t="n">
        <v>1</v>
      </c>
      <c r="P243" t="n">
        <v>1</v>
      </c>
      <c r="Q243" t="n">
        <v>1</v>
      </c>
      <c r="R243" s="2" t="inlineStr">
        <is>
          <t>Skogsalm</t>
        </is>
      </c>
      <c r="S243">
        <f>HYPERLINK("https://klasma.github.io/Logging_0980/artfynd/A 27589-2023 artfynd.xlsx", "A 27589-2023")</f>
        <v/>
      </c>
      <c r="T243">
        <f>HYPERLINK("https://klasma.github.io/Logging_0980/kartor/A 27589-2023 karta.png", "A 27589-2023")</f>
        <v/>
      </c>
      <c r="V243">
        <f>HYPERLINK("https://klasma.github.io/Logging_0980/klagomål/A 27589-2023 FSC-klagomål.docx", "A 27589-2023")</f>
        <v/>
      </c>
      <c r="W243">
        <f>HYPERLINK("https://klasma.github.io/Logging_0980/klagomålsmail/A 27589-2023 FSC-klagomål mail.docx", "A 27589-2023")</f>
        <v/>
      </c>
      <c r="X243">
        <f>HYPERLINK("https://klasma.github.io/Logging_0980/tillsyn/A 27589-2023 tillsynsbegäran.docx", "A 27589-2023")</f>
        <v/>
      </c>
      <c r="Y243">
        <f>HYPERLINK("https://klasma.github.io/Logging_0980/tillsynsmail/A 27589-2023 tillsynsbegäran mail.docx", "A 27589-2023")</f>
        <v/>
      </c>
    </row>
    <row r="244" ht="15" customHeight="1">
      <c r="A244" t="inlineStr">
        <is>
          <t>A 28546-2023</t>
        </is>
      </c>
      <c r="B244" s="1" t="n">
        <v>45103</v>
      </c>
      <c r="C244" s="1" t="n">
        <v>45822</v>
      </c>
      <c r="D244" t="inlineStr">
        <is>
          <t>GOTLANDS LÄN</t>
        </is>
      </c>
      <c r="E244" t="inlineStr">
        <is>
          <t>GOTLAND</t>
        </is>
      </c>
      <c r="G244" t="n">
        <v>7.9</v>
      </c>
      <c r="H244" t="n">
        <v>1</v>
      </c>
      <c r="I244" t="n">
        <v>0</v>
      </c>
      <c r="J244" t="n">
        <v>0</v>
      </c>
      <c r="K244" t="n">
        <v>0</v>
      </c>
      <c r="L244" t="n">
        <v>0</v>
      </c>
      <c r="M244" t="n">
        <v>0</v>
      </c>
      <c r="N244" t="n">
        <v>0</v>
      </c>
      <c r="O244" t="n">
        <v>0</v>
      </c>
      <c r="P244" t="n">
        <v>0</v>
      </c>
      <c r="Q244" t="n">
        <v>1</v>
      </c>
      <c r="R244" s="2" t="inlineStr">
        <is>
          <t>Äkta lopplummer</t>
        </is>
      </c>
      <c r="S244">
        <f>HYPERLINK("https://klasma.github.io/Logging_0980/artfynd/A 28546-2023 artfynd.xlsx", "A 28546-2023")</f>
        <v/>
      </c>
      <c r="T244">
        <f>HYPERLINK("https://klasma.github.io/Logging_0980/kartor/A 28546-2023 karta.png", "A 28546-2023")</f>
        <v/>
      </c>
      <c r="V244">
        <f>HYPERLINK("https://klasma.github.io/Logging_0980/klagomål/A 28546-2023 FSC-klagomål.docx", "A 28546-2023")</f>
        <v/>
      </c>
      <c r="W244">
        <f>HYPERLINK("https://klasma.github.io/Logging_0980/klagomålsmail/A 28546-2023 FSC-klagomål mail.docx", "A 28546-2023")</f>
        <v/>
      </c>
      <c r="X244">
        <f>HYPERLINK("https://klasma.github.io/Logging_0980/tillsyn/A 28546-2023 tillsynsbegäran.docx", "A 28546-2023")</f>
        <v/>
      </c>
      <c r="Y244">
        <f>HYPERLINK("https://klasma.github.io/Logging_0980/tillsynsmail/A 28546-2023 tillsynsbegäran mail.docx", "A 28546-2023")</f>
        <v/>
      </c>
    </row>
    <row r="245" ht="15" customHeight="1">
      <c r="A245" t="inlineStr">
        <is>
          <t>A 35615-2023</t>
        </is>
      </c>
      <c r="B245" s="1" t="n">
        <v>45147</v>
      </c>
      <c r="C245" s="1" t="n">
        <v>45822</v>
      </c>
      <c r="D245" t="inlineStr">
        <is>
          <t>GOTLANDS LÄN</t>
        </is>
      </c>
      <c r="E245" t="inlineStr">
        <is>
          <t>GOTLAND</t>
        </is>
      </c>
      <c r="G245" t="n">
        <v>6.1</v>
      </c>
      <c r="H245" t="n">
        <v>0</v>
      </c>
      <c r="I245" t="n">
        <v>0</v>
      </c>
      <c r="J245" t="n">
        <v>1</v>
      </c>
      <c r="K245" t="n">
        <v>0</v>
      </c>
      <c r="L245" t="n">
        <v>0</v>
      </c>
      <c r="M245" t="n">
        <v>0</v>
      </c>
      <c r="N245" t="n">
        <v>0</v>
      </c>
      <c r="O245" t="n">
        <v>1</v>
      </c>
      <c r="P245" t="n">
        <v>0</v>
      </c>
      <c r="Q245" t="n">
        <v>1</v>
      </c>
      <c r="R245" s="2" t="inlineStr">
        <is>
          <t>Åkerranunkel</t>
        </is>
      </c>
      <c r="S245">
        <f>HYPERLINK("https://klasma.github.io/Logging_0980/artfynd/A 35615-2023 artfynd.xlsx", "A 35615-2023")</f>
        <v/>
      </c>
      <c r="T245">
        <f>HYPERLINK("https://klasma.github.io/Logging_0980/kartor/A 35615-2023 karta.png", "A 35615-2023")</f>
        <v/>
      </c>
      <c r="V245">
        <f>HYPERLINK("https://klasma.github.io/Logging_0980/klagomål/A 35615-2023 FSC-klagomål.docx", "A 35615-2023")</f>
        <v/>
      </c>
      <c r="W245">
        <f>HYPERLINK("https://klasma.github.io/Logging_0980/klagomålsmail/A 35615-2023 FSC-klagomål mail.docx", "A 35615-2023")</f>
        <v/>
      </c>
      <c r="X245">
        <f>HYPERLINK("https://klasma.github.io/Logging_0980/tillsyn/A 35615-2023 tillsynsbegäran.docx", "A 35615-2023")</f>
        <v/>
      </c>
      <c r="Y245">
        <f>HYPERLINK("https://klasma.github.io/Logging_0980/tillsynsmail/A 35615-2023 tillsynsbegäran mail.docx", "A 35615-2023")</f>
        <v/>
      </c>
    </row>
    <row r="246" ht="15" customHeight="1">
      <c r="A246" t="inlineStr">
        <is>
          <t>A 37584-2023</t>
        </is>
      </c>
      <c r="B246" s="1" t="n">
        <v>45159</v>
      </c>
      <c r="C246" s="1" t="n">
        <v>45822</v>
      </c>
      <c r="D246" t="inlineStr">
        <is>
          <t>GOTLANDS LÄN</t>
        </is>
      </c>
      <c r="E246" t="inlineStr">
        <is>
          <t>GOTLAND</t>
        </is>
      </c>
      <c r="G246" t="n">
        <v>5.4</v>
      </c>
      <c r="H246" t="n">
        <v>0</v>
      </c>
      <c r="I246" t="n">
        <v>1</v>
      </c>
      <c r="J246" t="n">
        <v>0</v>
      </c>
      <c r="K246" t="n">
        <v>0</v>
      </c>
      <c r="L246" t="n">
        <v>0</v>
      </c>
      <c r="M246" t="n">
        <v>0</v>
      </c>
      <c r="N246" t="n">
        <v>0</v>
      </c>
      <c r="O246" t="n">
        <v>0</v>
      </c>
      <c r="P246" t="n">
        <v>0</v>
      </c>
      <c r="Q246" t="n">
        <v>1</v>
      </c>
      <c r="R246" s="2" t="inlineStr">
        <is>
          <t>Myskmadra</t>
        </is>
      </c>
      <c r="S246">
        <f>HYPERLINK("https://klasma.github.io/Logging_0980/artfynd/A 37584-2023 artfynd.xlsx", "A 37584-2023")</f>
        <v/>
      </c>
      <c r="T246">
        <f>HYPERLINK("https://klasma.github.io/Logging_0980/kartor/A 37584-2023 karta.png", "A 37584-2023")</f>
        <v/>
      </c>
      <c r="V246">
        <f>HYPERLINK("https://klasma.github.io/Logging_0980/klagomål/A 37584-2023 FSC-klagomål.docx", "A 37584-2023")</f>
        <v/>
      </c>
      <c r="W246">
        <f>HYPERLINK("https://klasma.github.io/Logging_0980/klagomålsmail/A 37584-2023 FSC-klagomål mail.docx", "A 37584-2023")</f>
        <v/>
      </c>
      <c r="X246">
        <f>HYPERLINK("https://klasma.github.io/Logging_0980/tillsyn/A 37584-2023 tillsynsbegäran.docx", "A 37584-2023")</f>
        <v/>
      </c>
      <c r="Y246">
        <f>HYPERLINK("https://klasma.github.io/Logging_0980/tillsynsmail/A 37584-2023 tillsynsbegäran mail.docx", "A 37584-2023")</f>
        <v/>
      </c>
    </row>
    <row r="247" ht="15" customHeight="1">
      <c r="A247" t="inlineStr">
        <is>
          <t>A 42939-2023</t>
        </is>
      </c>
      <c r="B247" s="1" t="n">
        <v>45182</v>
      </c>
      <c r="C247" s="1" t="n">
        <v>45822</v>
      </c>
      <c r="D247" t="inlineStr">
        <is>
          <t>GOTLANDS LÄN</t>
        </is>
      </c>
      <c r="E247" t="inlineStr">
        <is>
          <t>GOTLAND</t>
        </is>
      </c>
      <c r="G247" t="n">
        <v>7.5</v>
      </c>
      <c r="H247" t="n">
        <v>0</v>
      </c>
      <c r="I247" t="n">
        <v>0</v>
      </c>
      <c r="J247" t="n">
        <v>0</v>
      </c>
      <c r="K247" t="n">
        <v>1</v>
      </c>
      <c r="L247" t="n">
        <v>0</v>
      </c>
      <c r="M247" t="n">
        <v>0</v>
      </c>
      <c r="N247" t="n">
        <v>0</v>
      </c>
      <c r="O247" t="n">
        <v>1</v>
      </c>
      <c r="P247" t="n">
        <v>1</v>
      </c>
      <c r="Q247" t="n">
        <v>1</v>
      </c>
      <c r="R247" s="2" t="inlineStr">
        <is>
          <t>Skogskorn</t>
        </is>
      </c>
      <c r="S247">
        <f>HYPERLINK("https://klasma.github.io/Logging_0980/artfynd/A 42939-2023 artfynd.xlsx", "A 42939-2023")</f>
        <v/>
      </c>
      <c r="T247">
        <f>HYPERLINK("https://klasma.github.io/Logging_0980/kartor/A 42939-2023 karta.png", "A 42939-2023")</f>
        <v/>
      </c>
      <c r="V247">
        <f>HYPERLINK("https://klasma.github.io/Logging_0980/klagomål/A 42939-2023 FSC-klagomål.docx", "A 42939-2023")</f>
        <v/>
      </c>
      <c r="W247">
        <f>HYPERLINK("https://klasma.github.io/Logging_0980/klagomålsmail/A 42939-2023 FSC-klagomål mail.docx", "A 42939-2023")</f>
        <v/>
      </c>
      <c r="X247">
        <f>HYPERLINK("https://klasma.github.io/Logging_0980/tillsyn/A 42939-2023 tillsynsbegäran.docx", "A 42939-2023")</f>
        <v/>
      </c>
      <c r="Y247">
        <f>HYPERLINK("https://klasma.github.io/Logging_0980/tillsynsmail/A 42939-2023 tillsynsbegäran mail.docx", "A 42939-2023")</f>
        <v/>
      </c>
    </row>
    <row r="248" ht="15" customHeight="1">
      <c r="A248" t="inlineStr">
        <is>
          <t>A 43219-2023</t>
        </is>
      </c>
      <c r="B248" s="1" t="n">
        <v>45183</v>
      </c>
      <c r="C248" s="1" t="n">
        <v>45822</v>
      </c>
      <c r="D248" t="inlineStr">
        <is>
          <t>GOTLANDS LÄN</t>
        </is>
      </c>
      <c r="E248" t="inlineStr">
        <is>
          <t>GOTLAND</t>
        </is>
      </c>
      <c r="G248" t="n">
        <v>3.6</v>
      </c>
      <c r="H248" t="n">
        <v>1</v>
      </c>
      <c r="I248" t="n">
        <v>0</v>
      </c>
      <c r="J248" t="n">
        <v>0</v>
      </c>
      <c r="K248" t="n">
        <v>0</v>
      </c>
      <c r="L248" t="n">
        <v>0</v>
      </c>
      <c r="M248" t="n">
        <v>0</v>
      </c>
      <c r="N248" t="n">
        <v>0</v>
      </c>
      <c r="O248" t="n">
        <v>0</v>
      </c>
      <c r="P248" t="n">
        <v>0</v>
      </c>
      <c r="Q248" t="n">
        <v>1</v>
      </c>
      <c r="R248" s="2" t="inlineStr">
        <is>
          <t>Skogsduva</t>
        </is>
      </c>
      <c r="S248">
        <f>HYPERLINK("https://klasma.github.io/Logging_0980/artfynd/A 43219-2023 artfynd.xlsx", "A 43219-2023")</f>
        <v/>
      </c>
      <c r="T248">
        <f>HYPERLINK("https://klasma.github.io/Logging_0980/kartor/A 43219-2023 karta.png", "A 43219-2023")</f>
        <v/>
      </c>
      <c r="V248">
        <f>HYPERLINK("https://klasma.github.io/Logging_0980/klagomål/A 43219-2023 FSC-klagomål.docx", "A 43219-2023")</f>
        <v/>
      </c>
      <c r="W248">
        <f>HYPERLINK("https://klasma.github.io/Logging_0980/klagomålsmail/A 43219-2023 FSC-klagomål mail.docx", "A 43219-2023")</f>
        <v/>
      </c>
      <c r="X248">
        <f>HYPERLINK("https://klasma.github.io/Logging_0980/tillsyn/A 43219-2023 tillsynsbegäran.docx", "A 43219-2023")</f>
        <v/>
      </c>
      <c r="Y248">
        <f>HYPERLINK("https://klasma.github.io/Logging_0980/tillsynsmail/A 43219-2023 tillsynsbegäran mail.docx", "A 43219-2023")</f>
        <v/>
      </c>
      <c r="Z248">
        <f>HYPERLINK("https://klasma.github.io/Logging_0980/fåglar/A 43219-2023 prioriterade fågelarter.docx", "A 43219-2023")</f>
        <v/>
      </c>
    </row>
    <row r="249" ht="15" customHeight="1">
      <c r="A249" t="inlineStr">
        <is>
          <t>A 46527-2023</t>
        </is>
      </c>
      <c r="B249" s="1" t="n">
        <v>45197</v>
      </c>
      <c r="C249" s="1" t="n">
        <v>45822</v>
      </c>
      <c r="D249" t="inlineStr">
        <is>
          <t>GOTLANDS LÄN</t>
        </is>
      </c>
      <c r="E249" t="inlineStr">
        <is>
          <t>GOTLAND</t>
        </is>
      </c>
      <c r="G249" t="n">
        <v>0.9</v>
      </c>
      <c r="H249" t="n">
        <v>0</v>
      </c>
      <c r="I249" t="n">
        <v>0</v>
      </c>
      <c r="J249" t="n">
        <v>1</v>
      </c>
      <c r="K249" t="n">
        <v>0</v>
      </c>
      <c r="L249" t="n">
        <v>0</v>
      </c>
      <c r="M249" t="n">
        <v>0</v>
      </c>
      <c r="N249" t="n">
        <v>0</v>
      </c>
      <c r="O249" t="n">
        <v>1</v>
      </c>
      <c r="P249" t="n">
        <v>0</v>
      </c>
      <c r="Q249" t="n">
        <v>1</v>
      </c>
      <c r="R249" s="2" t="inlineStr">
        <is>
          <t>Guldgräshoppa</t>
        </is>
      </c>
      <c r="S249">
        <f>HYPERLINK("https://klasma.github.io/Logging_0980/artfynd/A 46527-2023 artfynd.xlsx", "A 46527-2023")</f>
        <v/>
      </c>
      <c r="T249">
        <f>HYPERLINK("https://klasma.github.io/Logging_0980/kartor/A 46527-2023 karta.png", "A 46527-2023")</f>
        <v/>
      </c>
      <c r="V249">
        <f>HYPERLINK("https://klasma.github.io/Logging_0980/klagomål/A 46527-2023 FSC-klagomål.docx", "A 46527-2023")</f>
        <v/>
      </c>
      <c r="W249">
        <f>HYPERLINK("https://klasma.github.io/Logging_0980/klagomålsmail/A 46527-2023 FSC-klagomål mail.docx", "A 46527-2023")</f>
        <v/>
      </c>
      <c r="X249">
        <f>HYPERLINK("https://klasma.github.io/Logging_0980/tillsyn/A 46527-2023 tillsynsbegäran.docx", "A 46527-2023")</f>
        <v/>
      </c>
      <c r="Y249">
        <f>HYPERLINK("https://klasma.github.io/Logging_0980/tillsynsmail/A 46527-2023 tillsynsbegäran mail.docx", "A 46527-2023")</f>
        <v/>
      </c>
    </row>
    <row r="250" ht="15" customHeight="1">
      <c r="A250" t="inlineStr">
        <is>
          <t>A 49847-2023</t>
        </is>
      </c>
      <c r="B250" s="1" t="n">
        <v>45212</v>
      </c>
      <c r="C250" s="1" t="n">
        <v>45822</v>
      </c>
      <c r="D250" t="inlineStr">
        <is>
          <t>GOTLANDS LÄN</t>
        </is>
      </c>
      <c r="E250" t="inlineStr">
        <is>
          <t>GOTLAND</t>
        </is>
      </c>
      <c r="G250" t="n">
        <v>35.2</v>
      </c>
      <c r="H250" t="n">
        <v>0</v>
      </c>
      <c r="I250" t="n">
        <v>0</v>
      </c>
      <c r="J250" t="n">
        <v>0</v>
      </c>
      <c r="K250" t="n">
        <v>1</v>
      </c>
      <c r="L250" t="n">
        <v>0</v>
      </c>
      <c r="M250" t="n">
        <v>0</v>
      </c>
      <c r="N250" t="n">
        <v>0</v>
      </c>
      <c r="O250" t="n">
        <v>1</v>
      </c>
      <c r="P250" t="n">
        <v>1</v>
      </c>
      <c r="Q250" t="n">
        <v>1</v>
      </c>
      <c r="R250" s="2" t="inlineStr">
        <is>
          <t>Strandviol</t>
        </is>
      </c>
      <c r="S250">
        <f>HYPERLINK("https://klasma.github.io/Logging_0980/artfynd/A 49847-2023 artfynd.xlsx", "A 49847-2023")</f>
        <v/>
      </c>
      <c r="T250">
        <f>HYPERLINK("https://klasma.github.io/Logging_0980/kartor/A 49847-2023 karta.png", "A 49847-2023")</f>
        <v/>
      </c>
      <c r="V250">
        <f>HYPERLINK("https://klasma.github.io/Logging_0980/klagomål/A 49847-2023 FSC-klagomål.docx", "A 49847-2023")</f>
        <v/>
      </c>
      <c r="W250">
        <f>HYPERLINK("https://klasma.github.io/Logging_0980/klagomålsmail/A 49847-2023 FSC-klagomål mail.docx", "A 49847-2023")</f>
        <v/>
      </c>
      <c r="X250">
        <f>HYPERLINK("https://klasma.github.io/Logging_0980/tillsyn/A 49847-2023 tillsynsbegäran.docx", "A 49847-2023")</f>
        <v/>
      </c>
      <c r="Y250">
        <f>HYPERLINK("https://klasma.github.io/Logging_0980/tillsynsmail/A 49847-2023 tillsynsbegäran mail.docx", "A 49847-2023")</f>
        <v/>
      </c>
    </row>
    <row r="251" ht="15" customHeight="1">
      <c r="A251" t="inlineStr">
        <is>
          <t>A 53907-2023</t>
        </is>
      </c>
      <c r="B251" s="1" t="n">
        <v>45231</v>
      </c>
      <c r="C251" s="1" t="n">
        <v>45822</v>
      </c>
      <c r="D251" t="inlineStr">
        <is>
          <t>GOTLANDS LÄN</t>
        </is>
      </c>
      <c r="E251" t="inlineStr">
        <is>
          <t>GOTLAND</t>
        </is>
      </c>
      <c r="G251" t="n">
        <v>13.7</v>
      </c>
      <c r="H251" t="n">
        <v>0</v>
      </c>
      <c r="I251" t="n">
        <v>0</v>
      </c>
      <c r="J251" t="n">
        <v>0</v>
      </c>
      <c r="K251" t="n">
        <v>1</v>
      </c>
      <c r="L251" t="n">
        <v>0</v>
      </c>
      <c r="M251" t="n">
        <v>0</v>
      </c>
      <c r="N251" t="n">
        <v>0</v>
      </c>
      <c r="O251" t="n">
        <v>1</v>
      </c>
      <c r="P251" t="n">
        <v>1</v>
      </c>
      <c r="Q251" t="n">
        <v>1</v>
      </c>
      <c r="R251" s="2" t="inlineStr">
        <is>
          <t>Granrotsspindling</t>
        </is>
      </c>
      <c r="S251">
        <f>HYPERLINK("https://klasma.github.io/Logging_0980/artfynd/A 53907-2023 artfynd.xlsx", "A 53907-2023")</f>
        <v/>
      </c>
      <c r="T251">
        <f>HYPERLINK("https://klasma.github.io/Logging_0980/kartor/A 53907-2023 karta.png", "A 53907-2023")</f>
        <v/>
      </c>
      <c r="V251">
        <f>HYPERLINK("https://klasma.github.io/Logging_0980/klagomål/A 53907-2023 FSC-klagomål.docx", "A 53907-2023")</f>
        <v/>
      </c>
      <c r="W251">
        <f>HYPERLINK("https://klasma.github.io/Logging_0980/klagomålsmail/A 53907-2023 FSC-klagomål mail.docx", "A 53907-2023")</f>
        <v/>
      </c>
      <c r="X251">
        <f>HYPERLINK("https://klasma.github.io/Logging_0980/tillsyn/A 53907-2023 tillsynsbegäran.docx", "A 53907-2023")</f>
        <v/>
      </c>
      <c r="Y251">
        <f>HYPERLINK("https://klasma.github.io/Logging_0980/tillsynsmail/A 53907-2023 tillsynsbegäran mail.docx", "A 53907-2023")</f>
        <v/>
      </c>
    </row>
    <row r="252" ht="15" customHeight="1">
      <c r="A252" t="inlineStr">
        <is>
          <t>A 56304-2023</t>
        </is>
      </c>
      <c r="B252" s="1" t="n">
        <v>45242</v>
      </c>
      <c r="C252" s="1" t="n">
        <v>45822</v>
      </c>
      <c r="D252" t="inlineStr">
        <is>
          <t>GOTLANDS LÄN</t>
        </is>
      </c>
      <c r="E252" t="inlineStr">
        <is>
          <t>GOTLAND</t>
        </is>
      </c>
      <c r="G252" t="n">
        <v>0.9</v>
      </c>
      <c r="H252" t="n">
        <v>1</v>
      </c>
      <c r="I252" t="n">
        <v>0</v>
      </c>
      <c r="J252" t="n">
        <v>0</v>
      </c>
      <c r="K252" t="n">
        <v>1</v>
      </c>
      <c r="L252" t="n">
        <v>0</v>
      </c>
      <c r="M252" t="n">
        <v>0</v>
      </c>
      <c r="N252" t="n">
        <v>0</v>
      </c>
      <c r="O252" t="n">
        <v>1</v>
      </c>
      <c r="P252" t="n">
        <v>1</v>
      </c>
      <c r="Q252" t="n">
        <v>1</v>
      </c>
      <c r="R252" s="2" t="inlineStr">
        <is>
          <t>Garderönn</t>
        </is>
      </c>
      <c r="S252">
        <f>HYPERLINK("https://klasma.github.io/Logging_0980/artfynd/A 56304-2023 artfynd.xlsx", "A 56304-2023")</f>
        <v/>
      </c>
      <c r="T252">
        <f>HYPERLINK("https://klasma.github.io/Logging_0980/kartor/A 56304-2023 karta.png", "A 56304-2023")</f>
        <v/>
      </c>
      <c r="V252">
        <f>HYPERLINK("https://klasma.github.io/Logging_0980/klagomål/A 56304-2023 FSC-klagomål.docx", "A 56304-2023")</f>
        <v/>
      </c>
      <c r="W252">
        <f>HYPERLINK("https://klasma.github.io/Logging_0980/klagomålsmail/A 56304-2023 FSC-klagomål mail.docx", "A 56304-2023")</f>
        <v/>
      </c>
      <c r="X252">
        <f>HYPERLINK("https://klasma.github.io/Logging_0980/tillsyn/A 56304-2023 tillsynsbegäran.docx", "A 56304-2023")</f>
        <v/>
      </c>
      <c r="Y252">
        <f>HYPERLINK("https://klasma.github.io/Logging_0980/tillsynsmail/A 56304-2023 tillsynsbegäran mail.docx", "A 56304-2023")</f>
        <v/>
      </c>
    </row>
    <row r="253" ht="15" customHeight="1">
      <c r="A253" t="inlineStr">
        <is>
          <t>A 61561-2023</t>
        </is>
      </c>
      <c r="B253" s="1" t="n">
        <v>45265</v>
      </c>
      <c r="C253" s="1" t="n">
        <v>45822</v>
      </c>
      <c r="D253" t="inlineStr">
        <is>
          <t>GOTLANDS LÄN</t>
        </is>
      </c>
      <c r="E253" t="inlineStr">
        <is>
          <t>GOTLAND</t>
        </is>
      </c>
      <c r="G253" t="n">
        <v>7.4</v>
      </c>
      <c r="H253" t="n">
        <v>0</v>
      </c>
      <c r="I253" t="n">
        <v>0</v>
      </c>
      <c r="J253" t="n">
        <v>1</v>
      </c>
      <c r="K253" t="n">
        <v>0</v>
      </c>
      <c r="L253" t="n">
        <v>0</v>
      </c>
      <c r="M253" t="n">
        <v>0</v>
      </c>
      <c r="N253" t="n">
        <v>0</v>
      </c>
      <c r="O253" t="n">
        <v>1</v>
      </c>
      <c r="P253" t="n">
        <v>0</v>
      </c>
      <c r="Q253" t="n">
        <v>1</v>
      </c>
      <c r="R253" s="2" t="inlineStr">
        <is>
          <t>Loppstarr</t>
        </is>
      </c>
      <c r="S253">
        <f>HYPERLINK("https://klasma.github.io/Logging_0980/artfynd/A 61561-2023 artfynd.xlsx", "A 61561-2023")</f>
        <v/>
      </c>
      <c r="T253">
        <f>HYPERLINK("https://klasma.github.io/Logging_0980/kartor/A 61561-2023 karta.png", "A 61561-2023")</f>
        <v/>
      </c>
      <c r="V253">
        <f>HYPERLINK("https://klasma.github.io/Logging_0980/klagomål/A 61561-2023 FSC-klagomål.docx", "A 61561-2023")</f>
        <v/>
      </c>
      <c r="W253">
        <f>HYPERLINK("https://klasma.github.io/Logging_0980/klagomålsmail/A 61561-2023 FSC-klagomål mail.docx", "A 61561-2023")</f>
        <v/>
      </c>
      <c r="X253">
        <f>HYPERLINK("https://klasma.github.io/Logging_0980/tillsyn/A 61561-2023 tillsynsbegäran.docx", "A 61561-2023")</f>
        <v/>
      </c>
      <c r="Y253">
        <f>HYPERLINK("https://klasma.github.io/Logging_0980/tillsynsmail/A 61561-2023 tillsynsbegäran mail.docx", "A 61561-2023")</f>
        <v/>
      </c>
    </row>
    <row r="254" ht="15" customHeight="1">
      <c r="A254" t="inlineStr">
        <is>
          <t>A 61846-2023</t>
        </is>
      </c>
      <c r="B254" s="1" t="n">
        <v>45266</v>
      </c>
      <c r="C254" s="1" t="n">
        <v>45822</v>
      </c>
      <c r="D254" t="inlineStr">
        <is>
          <t>GOTLANDS LÄN</t>
        </is>
      </c>
      <c r="E254" t="inlineStr">
        <is>
          <t>GOTLAND</t>
        </is>
      </c>
      <c r="G254" t="n">
        <v>2.2</v>
      </c>
      <c r="H254" t="n">
        <v>1</v>
      </c>
      <c r="I254" t="n">
        <v>0</v>
      </c>
      <c r="J254" t="n">
        <v>1</v>
      </c>
      <c r="K254" t="n">
        <v>0</v>
      </c>
      <c r="L254" t="n">
        <v>0</v>
      </c>
      <c r="M254" t="n">
        <v>0</v>
      </c>
      <c r="N254" t="n">
        <v>0</v>
      </c>
      <c r="O254" t="n">
        <v>1</v>
      </c>
      <c r="P254" t="n">
        <v>0</v>
      </c>
      <c r="Q254" t="n">
        <v>1</v>
      </c>
      <c r="R254" s="2" t="inlineStr">
        <is>
          <t>Rosenfink</t>
        </is>
      </c>
      <c r="S254">
        <f>HYPERLINK("https://klasma.github.io/Logging_0980/artfynd/A 61846-2023 artfynd.xlsx", "A 61846-2023")</f>
        <v/>
      </c>
      <c r="T254">
        <f>HYPERLINK("https://klasma.github.io/Logging_0980/kartor/A 61846-2023 karta.png", "A 61846-2023")</f>
        <v/>
      </c>
      <c r="V254">
        <f>HYPERLINK("https://klasma.github.io/Logging_0980/klagomål/A 61846-2023 FSC-klagomål.docx", "A 61846-2023")</f>
        <v/>
      </c>
      <c r="W254">
        <f>HYPERLINK("https://klasma.github.io/Logging_0980/klagomålsmail/A 61846-2023 FSC-klagomål mail.docx", "A 61846-2023")</f>
        <v/>
      </c>
      <c r="X254">
        <f>HYPERLINK("https://klasma.github.io/Logging_0980/tillsyn/A 61846-2023 tillsynsbegäran.docx", "A 61846-2023")</f>
        <v/>
      </c>
      <c r="Y254">
        <f>HYPERLINK("https://klasma.github.io/Logging_0980/tillsynsmail/A 61846-2023 tillsynsbegäran mail.docx", "A 61846-2023")</f>
        <v/>
      </c>
      <c r="Z254">
        <f>HYPERLINK("https://klasma.github.io/Logging_0980/fåglar/A 61846-2023 prioriterade fågelarter.docx", "A 61846-2023")</f>
        <v/>
      </c>
    </row>
    <row r="255" ht="15" customHeight="1">
      <c r="A255" t="inlineStr">
        <is>
          <t>A 61994-2023</t>
        </is>
      </c>
      <c r="B255" s="1" t="n">
        <v>45266</v>
      </c>
      <c r="C255" s="1" t="n">
        <v>45822</v>
      </c>
      <c r="D255" t="inlineStr">
        <is>
          <t>GOTLANDS LÄN</t>
        </is>
      </c>
      <c r="E255" t="inlineStr">
        <is>
          <t>GOTLAND</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HYPERLINK("https://klasma.github.io/Logging_0980/artfynd/A 61994-2023 artfynd.xlsx", "A 61994-2023")</f>
        <v/>
      </c>
      <c r="T255">
        <f>HYPERLINK("https://klasma.github.io/Logging_0980/kartor/A 61994-2023 karta.png", "A 61994-2023")</f>
        <v/>
      </c>
      <c r="V255">
        <f>HYPERLINK("https://klasma.github.io/Logging_0980/klagomål/A 61994-2023 FSC-klagomål.docx", "A 61994-2023")</f>
        <v/>
      </c>
      <c r="W255">
        <f>HYPERLINK("https://klasma.github.io/Logging_0980/klagomålsmail/A 61994-2023 FSC-klagomål mail.docx", "A 61994-2023")</f>
        <v/>
      </c>
      <c r="X255">
        <f>HYPERLINK("https://klasma.github.io/Logging_0980/tillsyn/A 61994-2023 tillsynsbegäran.docx", "A 61994-2023")</f>
        <v/>
      </c>
      <c r="Y255">
        <f>HYPERLINK("https://klasma.github.io/Logging_0980/tillsynsmail/A 61994-2023 tillsynsbegäran mail.docx", "A 61994-2023")</f>
        <v/>
      </c>
    </row>
    <row r="256" ht="15" customHeight="1">
      <c r="A256" t="inlineStr">
        <is>
          <t>A 62376-2023</t>
        </is>
      </c>
      <c r="B256" s="1" t="n">
        <v>45268</v>
      </c>
      <c r="C256" s="1" t="n">
        <v>45822</v>
      </c>
      <c r="D256" t="inlineStr">
        <is>
          <t>GOTLANDS LÄN</t>
        </is>
      </c>
      <c r="E256" t="inlineStr">
        <is>
          <t>GOTLAND</t>
        </is>
      </c>
      <c r="G256" t="n">
        <v>4.2</v>
      </c>
      <c r="H256" t="n">
        <v>1</v>
      </c>
      <c r="I256" t="n">
        <v>0</v>
      </c>
      <c r="J256" t="n">
        <v>0</v>
      </c>
      <c r="K256" t="n">
        <v>0</v>
      </c>
      <c r="L256" t="n">
        <v>0</v>
      </c>
      <c r="M256" t="n">
        <v>0</v>
      </c>
      <c r="N256" t="n">
        <v>0</v>
      </c>
      <c r="O256" t="n">
        <v>0</v>
      </c>
      <c r="P256" t="n">
        <v>0</v>
      </c>
      <c r="Q256" t="n">
        <v>1</v>
      </c>
      <c r="R256" s="2" t="inlineStr">
        <is>
          <t>Fläcknycklar</t>
        </is>
      </c>
      <c r="S256">
        <f>HYPERLINK("https://klasma.github.io/Logging_0980/artfynd/A 62376-2023 artfynd.xlsx", "A 62376-2023")</f>
        <v/>
      </c>
      <c r="T256">
        <f>HYPERLINK("https://klasma.github.io/Logging_0980/kartor/A 62376-2023 karta.png", "A 62376-2023")</f>
        <v/>
      </c>
      <c r="V256">
        <f>HYPERLINK("https://klasma.github.io/Logging_0980/klagomål/A 62376-2023 FSC-klagomål.docx", "A 62376-2023")</f>
        <v/>
      </c>
      <c r="W256">
        <f>HYPERLINK("https://klasma.github.io/Logging_0980/klagomålsmail/A 62376-2023 FSC-klagomål mail.docx", "A 62376-2023")</f>
        <v/>
      </c>
      <c r="X256">
        <f>HYPERLINK("https://klasma.github.io/Logging_0980/tillsyn/A 62376-2023 tillsynsbegäran.docx", "A 62376-2023")</f>
        <v/>
      </c>
      <c r="Y256">
        <f>HYPERLINK("https://klasma.github.io/Logging_0980/tillsynsmail/A 62376-2023 tillsynsbegäran mail.docx", "A 62376-2023")</f>
        <v/>
      </c>
    </row>
    <row r="257" ht="15" customHeight="1">
      <c r="A257" t="inlineStr">
        <is>
          <t>A 63515-2023</t>
        </is>
      </c>
      <c r="B257" s="1" t="n">
        <v>45274</v>
      </c>
      <c r="C257" s="1" t="n">
        <v>45822</v>
      </c>
      <c r="D257" t="inlineStr">
        <is>
          <t>GOTLANDS LÄN</t>
        </is>
      </c>
      <c r="E257" t="inlineStr">
        <is>
          <t>GOTLAND</t>
        </is>
      </c>
      <c r="G257" t="n">
        <v>2.1</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63515-2023 artfynd.xlsx", "A 63515-2023")</f>
        <v/>
      </c>
      <c r="T257">
        <f>HYPERLINK("https://klasma.github.io/Logging_0980/kartor/A 63515-2023 karta.png", "A 63515-2023")</f>
        <v/>
      </c>
      <c r="V257">
        <f>HYPERLINK("https://klasma.github.io/Logging_0980/klagomål/A 63515-2023 FSC-klagomål.docx", "A 63515-2023")</f>
        <v/>
      </c>
      <c r="W257">
        <f>HYPERLINK("https://klasma.github.io/Logging_0980/klagomålsmail/A 63515-2023 FSC-klagomål mail.docx", "A 63515-2023")</f>
        <v/>
      </c>
      <c r="X257">
        <f>HYPERLINK("https://klasma.github.io/Logging_0980/tillsyn/A 63515-2023 tillsynsbegäran.docx", "A 63515-2023")</f>
        <v/>
      </c>
      <c r="Y257">
        <f>HYPERLINK("https://klasma.github.io/Logging_0980/tillsynsmail/A 63515-2023 tillsynsbegäran mail.docx", "A 63515-2023")</f>
        <v/>
      </c>
    </row>
    <row r="258" ht="15" customHeight="1">
      <c r="A258" t="inlineStr">
        <is>
          <t>A 63302-2023</t>
        </is>
      </c>
      <c r="B258" s="1" t="n">
        <v>45274</v>
      </c>
      <c r="C258" s="1" t="n">
        <v>45822</v>
      </c>
      <c r="D258" t="inlineStr">
        <is>
          <t>GOTLANDS LÄN</t>
        </is>
      </c>
      <c r="E258" t="inlineStr">
        <is>
          <t>GOTLAND</t>
        </is>
      </c>
      <c r="G258" t="n">
        <v>1.3</v>
      </c>
      <c r="H258" t="n">
        <v>1</v>
      </c>
      <c r="I258" t="n">
        <v>0</v>
      </c>
      <c r="J258" t="n">
        <v>0</v>
      </c>
      <c r="K258" t="n">
        <v>0</v>
      </c>
      <c r="L258" t="n">
        <v>0</v>
      </c>
      <c r="M258" t="n">
        <v>0</v>
      </c>
      <c r="N258" t="n">
        <v>0</v>
      </c>
      <c r="O258" t="n">
        <v>0</v>
      </c>
      <c r="P258" t="n">
        <v>0</v>
      </c>
      <c r="Q258" t="n">
        <v>1</v>
      </c>
      <c r="R258" s="2" t="inlineStr">
        <is>
          <t>Nattskärra</t>
        </is>
      </c>
      <c r="S258">
        <f>HYPERLINK("https://klasma.github.io/Logging_0980/artfynd/A 63302-2023 artfynd.xlsx", "A 63302-2023")</f>
        <v/>
      </c>
      <c r="T258">
        <f>HYPERLINK("https://klasma.github.io/Logging_0980/kartor/A 63302-2023 karta.png", "A 63302-2023")</f>
        <v/>
      </c>
      <c r="V258">
        <f>HYPERLINK("https://klasma.github.io/Logging_0980/klagomål/A 63302-2023 FSC-klagomål.docx", "A 63302-2023")</f>
        <v/>
      </c>
      <c r="W258">
        <f>HYPERLINK("https://klasma.github.io/Logging_0980/klagomålsmail/A 63302-2023 FSC-klagomål mail.docx", "A 63302-2023")</f>
        <v/>
      </c>
      <c r="X258">
        <f>HYPERLINK("https://klasma.github.io/Logging_0980/tillsyn/A 63302-2023 tillsynsbegäran.docx", "A 63302-2023")</f>
        <v/>
      </c>
      <c r="Y258">
        <f>HYPERLINK("https://klasma.github.io/Logging_0980/tillsynsmail/A 63302-2023 tillsynsbegäran mail.docx", "A 63302-2023")</f>
        <v/>
      </c>
      <c r="Z258">
        <f>HYPERLINK("https://klasma.github.io/Logging_0980/fåglar/A 63302-2023 prioriterade fågelarter.docx", "A 63302-2023")</f>
        <v/>
      </c>
    </row>
    <row r="259" ht="15" customHeight="1">
      <c r="A259" t="inlineStr">
        <is>
          <t>A 2534-2024</t>
        </is>
      </c>
      <c r="B259" s="1" t="n">
        <v>45313</v>
      </c>
      <c r="C259" s="1" t="n">
        <v>45822</v>
      </c>
      <c r="D259" t="inlineStr">
        <is>
          <t>GOTLANDS LÄN</t>
        </is>
      </c>
      <c r="E259" t="inlineStr">
        <is>
          <t>GOTLAND</t>
        </is>
      </c>
      <c r="G259" t="n">
        <v>1</v>
      </c>
      <c r="H259" t="n">
        <v>0</v>
      </c>
      <c r="I259" t="n">
        <v>0</v>
      </c>
      <c r="J259" t="n">
        <v>0</v>
      </c>
      <c r="K259" t="n">
        <v>0</v>
      </c>
      <c r="L259" t="n">
        <v>1</v>
      </c>
      <c r="M259" t="n">
        <v>0</v>
      </c>
      <c r="N259" t="n">
        <v>0</v>
      </c>
      <c r="O259" t="n">
        <v>1</v>
      </c>
      <c r="P259" t="n">
        <v>1</v>
      </c>
      <c r="Q259" t="n">
        <v>1</v>
      </c>
      <c r="R259" s="2" t="inlineStr">
        <is>
          <t>Ryl</t>
        </is>
      </c>
      <c r="S259">
        <f>HYPERLINK("https://klasma.github.io/Logging_0980/artfynd/A 2534-2024 artfynd.xlsx", "A 2534-2024")</f>
        <v/>
      </c>
      <c r="T259">
        <f>HYPERLINK("https://klasma.github.io/Logging_0980/kartor/A 2534-2024 karta.png", "A 2534-2024")</f>
        <v/>
      </c>
      <c r="V259">
        <f>HYPERLINK("https://klasma.github.io/Logging_0980/klagomål/A 2534-2024 FSC-klagomål.docx", "A 2534-2024")</f>
        <v/>
      </c>
      <c r="W259">
        <f>HYPERLINK("https://klasma.github.io/Logging_0980/klagomålsmail/A 2534-2024 FSC-klagomål mail.docx", "A 2534-2024")</f>
        <v/>
      </c>
      <c r="X259">
        <f>HYPERLINK("https://klasma.github.io/Logging_0980/tillsyn/A 2534-2024 tillsynsbegäran.docx", "A 2534-2024")</f>
        <v/>
      </c>
      <c r="Y259">
        <f>HYPERLINK("https://klasma.github.io/Logging_0980/tillsynsmail/A 2534-2024 tillsynsbegäran mail.docx", "A 2534-2024")</f>
        <v/>
      </c>
    </row>
    <row r="260" ht="15" customHeight="1">
      <c r="A260" t="inlineStr">
        <is>
          <t>A 6303-2024</t>
        </is>
      </c>
      <c r="B260" s="1" t="n">
        <v>45338</v>
      </c>
      <c r="C260" s="1" t="n">
        <v>45822</v>
      </c>
      <c r="D260" t="inlineStr">
        <is>
          <t>GOTLANDS LÄN</t>
        </is>
      </c>
      <c r="E260" t="inlineStr">
        <is>
          <t>GOTLAND</t>
        </is>
      </c>
      <c r="G260" t="n">
        <v>0.6</v>
      </c>
      <c r="H260" t="n">
        <v>0</v>
      </c>
      <c r="I260" t="n">
        <v>1</v>
      </c>
      <c r="J260" t="n">
        <v>0</v>
      </c>
      <c r="K260" t="n">
        <v>0</v>
      </c>
      <c r="L260" t="n">
        <v>0</v>
      </c>
      <c r="M260" t="n">
        <v>0</v>
      </c>
      <c r="N260" t="n">
        <v>0</v>
      </c>
      <c r="O260" t="n">
        <v>0</v>
      </c>
      <c r="P260" t="n">
        <v>0</v>
      </c>
      <c r="Q260" t="n">
        <v>1</v>
      </c>
      <c r="R260" s="2" t="inlineStr">
        <is>
          <t>Strävlosta</t>
        </is>
      </c>
      <c r="S260">
        <f>HYPERLINK("https://klasma.github.io/Logging_0980/artfynd/A 6303-2024 artfynd.xlsx", "A 6303-2024")</f>
        <v/>
      </c>
      <c r="T260">
        <f>HYPERLINK("https://klasma.github.io/Logging_0980/kartor/A 6303-2024 karta.png", "A 6303-2024")</f>
        <v/>
      </c>
      <c r="V260">
        <f>HYPERLINK("https://klasma.github.io/Logging_0980/klagomål/A 6303-2024 FSC-klagomål.docx", "A 6303-2024")</f>
        <v/>
      </c>
      <c r="W260">
        <f>HYPERLINK("https://klasma.github.io/Logging_0980/klagomålsmail/A 6303-2024 FSC-klagomål mail.docx", "A 6303-2024")</f>
        <v/>
      </c>
      <c r="X260">
        <f>HYPERLINK("https://klasma.github.io/Logging_0980/tillsyn/A 6303-2024 tillsynsbegäran.docx", "A 6303-2024")</f>
        <v/>
      </c>
      <c r="Y260">
        <f>HYPERLINK("https://klasma.github.io/Logging_0980/tillsynsmail/A 6303-2024 tillsynsbegäran mail.docx", "A 6303-2024")</f>
        <v/>
      </c>
    </row>
    <row r="261" ht="15" customHeight="1">
      <c r="A261" t="inlineStr">
        <is>
          <t>A 8291-2024</t>
        </is>
      </c>
      <c r="B261" s="1" t="n">
        <v>45352</v>
      </c>
      <c r="C261" s="1" t="n">
        <v>45822</v>
      </c>
      <c r="D261" t="inlineStr">
        <is>
          <t>GOTLANDS LÄN</t>
        </is>
      </c>
      <c r="E261" t="inlineStr">
        <is>
          <t>GOTLAND</t>
        </is>
      </c>
      <c r="G261" t="n">
        <v>5.4</v>
      </c>
      <c r="H261" t="n">
        <v>1</v>
      </c>
      <c r="I261" t="n">
        <v>0</v>
      </c>
      <c r="J261" t="n">
        <v>1</v>
      </c>
      <c r="K261" t="n">
        <v>0</v>
      </c>
      <c r="L261" t="n">
        <v>0</v>
      </c>
      <c r="M261" t="n">
        <v>0</v>
      </c>
      <c r="N261" t="n">
        <v>0</v>
      </c>
      <c r="O261" t="n">
        <v>1</v>
      </c>
      <c r="P261" t="n">
        <v>0</v>
      </c>
      <c r="Q261" t="n">
        <v>1</v>
      </c>
      <c r="R261" s="2" t="inlineStr">
        <is>
          <t>Ärtsångare</t>
        </is>
      </c>
      <c r="S261">
        <f>HYPERLINK("https://klasma.github.io/Logging_0980/artfynd/A 8291-2024 artfynd.xlsx", "A 8291-2024")</f>
        <v/>
      </c>
      <c r="T261">
        <f>HYPERLINK("https://klasma.github.io/Logging_0980/kartor/A 8291-2024 karta.png", "A 8291-2024")</f>
        <v/>
      </c>
      <c r="V261">
        <f>HYPERLINK("https://klasma.github.io/Logging_0980/klagomål/A 8291-2024 FSC-klagomål.docx", "A 8291-2024")</f>
        <v/>
      </c>
      <c r="W261">
        <f>HYPERLINK("https://klasma.github.io/Logging_0980/klagomålsmail/A 8291-2024 FSC-klagomål mail.docx", "A 8291-2024")</f>
        <v/>
      </c>
      <c r="X261">
        <f>HYPERLINK("https://klasma.github.io/Logging_0980/tillsyn/A 8291-2024 tillsynsbegäran.docx", "A 8291-2024")</f>
        <v/>
      </c>
      <c r="Y261">
        <f>HYPERLINK("https://klasma.github.io/Logging_0980/tillsynsmail/A 8291-2024 tillsynsbegäran mail.docx", "A 8291-2024")</f>
        <v/>
      </c>
      <c r="Z261">
        <f>HYPERLINK("https://klasma.github.io/Logging_0980/fåglar/A 8291-2024 prioriterade fågelarter.docx", "A 8291-2024")</f>
        <v/>
      </c>
    </row>
    <row r="262" ht="15" customHeight="1">
      <c r="A262" t="inlineStr">
        <is>
          <t>A 9862-2024</t>
        </is>
      </c>
      <c r="B262" s="1" t="n">
        <v>45363</v>
      </c>
      <c r="C262" s="1" t="n">
        <v>45822</v>
      </c>
      <c r="D262" t="inlineStr">
        <is>
          <t>GOTLANDS LÄN</t>
        </is>
      </c>
      <c r="E262" t="inlineStr">
        <is>
          <t>GOTLAND</t>
        </is>
      </c>
      <c r="G262" t="n">
        <v>3.5</v>
      </c>
      <c r="H262" t="n">
        <v>1</v>
      </c>
      <c r="I262" t="n">
        <v>0</v>
      </c>
      <c r="J262" t="n">
        <v>0</v>
      </c>
      <c r="K262" t="n">
        <v>0</v>
      </c>
      <c r="L262" t="n">
        <v>0</v>
      </c>
      <c r="M262" t="n">
        <v>0</v>
      </c>
      <c r="N262" t="n">
        <v>0</v>
      </c>
      <c r="O262" t="n">
        <v>0</v>
      </c>
      <c r="P262" t="n">
        <v>0</v>
      </c>
      <c r="Q262" t="n">
        <v>1</v>
      </c>
      <c r="R262" s="2" t="inlineStr">
        <is>
          <t>Nattviol</t>
        </is>
      </c>
      <c r="S262">
        <f>HYPERLINK("https://klasma.github.io/Logging_0980/artfynd/A 9862-2024 artfynd.xlsx", "A 9862-2024")</f>
        <v/>
      </c>
      <c r="T262">
        <f>HYPERLINK("https://klasma.github.io/Logging_0980/kartor/A 9862-2024 karta.png", "A 9862-2024")</f>
        <v/>
      </c>
      <c r="V262">
        <f>HYPERLINK("https://klasma.github.io/Logging_0980/klagomål/A 9862-2024 FSC-klagomål.docx", "A 9862-2024")</f>
        <v/>
      </c>
      <c r="W262">
        <f>HYPERLINK("https://klasma.github.io/Logging_0980/klagomålsmail/A 9862-2024 FSC-klagomål mail.docx", "A 9862-2024")</f>
        <v/>
      </c>
      <c r="X262">
        <f>HYPERLINK("https://klasma.github.io/Logging_0980/tillsyn/A 9862-2024 tillsynsbegäran.docx", "A 9862-2024")</f>
        <v/>
      </c>
      <c r="Y262">
        <f>HYPERLINK("https://klasma.github.io/Logging_0980/tillsynsmail/A 9862-2024 tillsynsbegäran mail.docx", "A 9862-2024")</f>
        <v/>
      </c>
    </row>
    <row r="263" ht="15" customHeight="1">
      <c r="A263" t="inlineStr">
        <is>
          <t>A 10440-2024</t>
        </is>
      </c>
      <c r="B263" s="1" t="n">
        <v>45366</v>
      </c>
      <c r="C263" s="1" t="n">
        <v>45822</v>
      </c>
      <c r="D263" t="inlineStr">
        <is>
          <t>GOTLANDS LÄN</t>
        </is>
      </c>
      <c r="E263" t="inlineStr">
        <is>
          <t>GOTLAND</t>
        </is>
      </c>
      <c r="G263" t="n">
        <v>2.5</v>
      </c>
      <c r="H263" t="n">
        <v>1</v>
      </c>
      <c r="I263" t="n">
        <v>0</v>
      </c>
      <c r="J263" t="n">
        <v>1</v>
      </c>
      <c r="K263" t="n">
        <v>0</v>
      </c>
      <c r="L263" t="n">
        <v>0</v>
      </c>
      <c r="M263" t="n">
        <v>0</v>
      </c>
      <c r="N263" t="n">
        <v>0</v>
      </c>
      <c r="O263" t="n">
        <v>1</v>
      </c>
      <c r="P263" t="n">
        <v>0</v>
      </c>
      <c r="Q263" t="n">
        <v>1</v>
      </c>
      <c r="R263" s="2" t="inlineStr">
        <is>
          <t>Mindre hackspett</t>
        </is>
      </c>
      <c r="S263">
        <f>HYPERLINK("https://klasma.github.io/Logging_0980/artfynd/A 10440-2024 artfynd.xlsx", "A 10440-2024")</f>
        <v/>
      </c>
      <c r="T263">
        <f>HYPERLINK("https://klasma.github.io/Logging_0980/kartor/A 10440-2024 karta.png", "A 10440-2024")</f>
        <v/>
      </c>
      <c r="V263">
        <f>HYPERLINK("https://klasma.github.io/Logging_0980/klagomål/A 10440-2024 FSC-klagomål.docx", "A 10440-2024")</f>
        <v/>
      </c>
      <c r="W263">
        <f>HYPERLINK("https://klasma.github.io/Logging_0980/klagomålsmail/A 10440-2024 FSC-klagomål mail.docx", "A 10440-2024")</f>
        <v/>
      </c>
      <c r="X263">
        <f>HYPERLINK("https://klasma.github.io/Logging_0980/tillsyn/A 10440-2024 tillsynsbegäran.docx", "A 10440-2024")</f>
        <v/>
      </c>
      <c r="Y263">
        <f>HYPERLINK("https://klasma.github.io/Logging_0980/tillsynsmail/A 10440-2024 tillsynsbegäran mail.docx", "A 10440-2024")</f>
        <v/>
      </c>
      <c r="Z263">
        <f>HYPERLINK("https://klasma.github.io/Logging_0980/fåglar/A 10440-2024 prioriterade fågelarter.docx", "A 10440-2024")</f>
        <v/>
      </c>
    </row>
    <row r="264" ht="15" customHeight="1">
      <c r="A264" t="inlineStr">
        <is>
          <t>A 12379-2024</t>
        </is>
      </c>
      <c r="B264" s="1" t="n">
        <v>45379</v>
      </c>
      <c r="C264" s="1" t="n">
        <v>45822</v>
      </c>
      <c r="D264" t="inlineStr">
        <is>
          <t>GOTLANDS LÄN</t>
        </is>
      </c>
      <c r="E264" t="inlineStr">
        <is>
          <t>GOTLAND</t>
        </is>
      </c>
      <c r="G264" t="n">
        <v>4.4</v>
      </c>
      <c r="H264" t="n">
        <v>0</v>
      </c>
      <c r="I264" t="n">
        <v>0</v>
      </c>
      <c r="J264" t="n">
        <v>1</v>
      </c>
      <c r="K264" t="n">
        <v>0</v>
      </c>
      <c r="L264" t="n">
        <v>0</v>
      </c>
      <c r="M264" t="n">
        <v>0</v>
      </c>
      <c r="N264" t="n">
        <v>0</v>
      </c>
      <c r="O264" t="n">
        <v>1</v>
      </c>
      <c r="P264" t="n">
        <v>0</v>
      </c>
      <c r="Q264" t="n">
        <v>1</v>
      </c>
      <c r="R264" s="2" t="inlineStr">
        <is>
          <t>Svinrot</t>
        </is>
      </c>
      <c r="S264">
        <f>HYPERLINK("https://klasma.github.io/Logging_0980/artfynd/A 12379-2024 artfynd.xlsx", "A 12379-2024")</f>
        <v/>
      </c>
      <c r="T264">
        <f>HYPERLINK("https://klasma.github.io/Logging_0980/kartor/A 12379-2024 karta.png", "A 12379-2024")</f>
        <v/>
      </c>
      <c r="V264">
        <f>HYPERLINK("https://klasma.github.io/Logging_0980/klagomål/A 12379-2024 FSC-klagomål.docx", "A 12379-2024")</f>
        <v/>
      </c>
      <c r="W264">
        <f>HYPERLINK("https://klasma.github.io/Logging_0980/klagomålsmail/A 12379-2024 FSC-klagomål mail.docx", "A 12379-2024")</f>
        <v/>
      </c>
      <c r="X264">
        <f>HYPERLINK("https://klasma.github.io/Logging_0980/tillsyn/A 12379-2024 tillsynsbegäran.docx", "A 12379-2024")</f>
        <v/>
      </c>
      <c r="Y264">
        <f>HYPERLINK("https://klasma.github.io/Logging_0980/tillsynsmail/A 12379-2024 tillsynsbegäran mail.docx", "A 12379-2024")</f>
        <v/>
      </c>
    </row>
    <row r="265" ht="15" customHeight="1">
      <c r="A265" t="inlineStr">
        <is>
          <t>A 15629-2024</t>
        </is>
      </c>
      <c r="B265" s="1" t="n">
        <v>45402</v>
      </c>
      <c r="C265" s="1" t="n">
        <v>45822</v>
      </c>
      <c r="D265" t="inlineStr">
        <is>
          <t>GOTLANDS LÄN</t>
        </is>
      </c>
      <c r="E265" t="inlineStr">
        <is>
          <t>GOTLAND</t>
        </is>
      </c>
      <c r="G265" t="n">
        <v>6.3</v>
      </c>
      <c r="H265" t="n">
        <v>1</v>
      </c>
      <c r="I265" t="n">
        <v>0</v>
      </c>
      <c r="J265" t="n">
        <v>1</v>
      </c>
      <c r="K265" t="n">
        <v>0</v>
      </c>
      <c r="L265" t="n">
        <v>0</v>
      </c>
      <c r="M265" t="n">
        <v>0</v>
      </c>
      <c r="N265" t="n">
        <v>0</v>
      </c>
      <c r="O265" t="n">
        <v>1</v>
      </c>
      <c r="P265" t="n">
        <v>0</v>
      </c>
      <c r="Q265" t="n">
        <v>1</v>
      </c>
      <c r="R265" s="2" t="inlineStr">
        <is>
          <t>Apollofjäril</t>
        </is>
      </c>
      <c r="S265">
        <f>HYPERLINK("https://klasma.github.io/Logging_0980/artfynd/A 15629-2024 artfynd.xlsx", "A 15629-2024")</f>
        <v/>
      </c>
      <c r="T265">
        <f>HYPERLINK("https://klasma.github.io/Logging_0980/kartor/A 15629-2024 karta.png", "A 15629-2024")</f>
        <v/>
      </c>
      <c r="V265">
        <f>HYPERLINK("https://klasma.github.io/Logging_0980/klagomål/A 15629-2024 FSC-klagomål.docx", "A 15629-2024")</f>
        <v/>
      </c>
      <c r="W265">
        <f>HYPERLINK("https://klasma.github.io/Logging_0980/klagomålsmail/A 15629-2024 FSC-klagomål mail.docx", "A 15629-2024")</f>
        <v/>
      </c>
      <c r="X265">
        <f>HYPERLINK("https://klasma.github.io/Logging_0980/tillsyn/A 15629-2024 tillsynsbegäran.docx", "A 15629-2024")</f>
        <v/>
      </c>
      <c r="Y265">
        <f>HYPERLINK("https://klasma.github.io/Logging_0980/tillsynsmail/A 15629-2024 tillsynsbegäran mail.docx", "A 15629-2024")</f>
        <v/>
      </c>
    </row>
    <row r="266" ht="15" customHeight="1">
      <c r="A266" t="inlineStr">
        <is>
          <t>A 15637-2024</t>
        </is>
      </c>
      <c r="B266" s="1" t="n">
        <v>45403</v>
      </c>
      <c r="C266" s="1" t="n">
        <v>45822</v>
      </c>
      <c r="D266" t="inlineStr">
        <is>
          <t>GOTLANDS LÄN</t>
        </is>
      </c>
      <c r="E266" t="inlineStr">
        <is>
          <t>GOTLAND</t>
        </is>
      </c>
      <c r="G266" t="n">
        <v>4.1</v>
      </c>
      <c r="H266" t="n">
        <v>1</v>
      </c>
      <c r="I266" t="n">
        <v>0</v>
      </c>
      <c r="J266" t="n">
        <v>0</v>
      </c>
      <c r="K266" t="n">
        <v>0</v>
      </c>
      <c r="L266" t="n">
        <v>0</v>
      </c>
      <c r="M266" t="n">
        <v>0</v>
      </c>
      <c r="N266" t="n">
        <v>0</v>
      </c>
      <c r="O266" t="n">
        <v>0</v>
      </c>
      <c r="P266" t="n">
        <v>0</v>
      </c>
      <c r="Q266" t="n">
        <v>1</v>
      </c>
      <c r="R266" s="2" t="inlineStr">
        <is>
          <t>Blåsippa</t>
        </is>
      </c>
      <c r="S266">
        <f>HYPERLINK("https://klasma.github.io/Logging_0980/artfynd/A 15637-2024 artfynd.xlsx", "A 15637-2024")</f>
        <v/>
      </c>
      <c r="T266">
        <f>HYPERLINK("https://klasma.github.io/Logging_0980/kartor/A 15637-2024 karta.png", "A 15637-2024")</f>
        <v/>
      </c>
      <c r="V266">
        <f>HYPERLINK("https://klasma.github.io/Logging_0980/klagomål/A 15637-2024 FSC-klagomål.docx", "A 15637-2024")</f>
        <v/>
      </c>
      <c r="W266">
        <f>HYPERLINK("https://klasma.github.io/Logging_0980/klagomålsmail/A 15637-2024 FSC-klagomål mail.docx", "A 15637-2024")</f>
        <v/>
      </c>
      <c r="X266">
        <f>HYPERLINK("https://klasma.github.io/Logging_0980/tillsyn/A 15637-2024 tillsynsbegäran.docx", "A 15637-2024")</f>
        <v/>
      </c>
      <c r="Y266">
        <f>HYPERLINK("https://klasma.github.io/Logging_0980/tillsynsmail/A 15637-2024 tillsynsbegäran mail.docx", "A 15637-2024")</f>
        <v/>
      </c>
    </row>
    <row r="267" ht="15" customHeight="1">
      <c r="A267" t="inlineStr">
        <is>
          <t>A 17681-2024</t>
        </is>
      </c>
      <c r="B267" s="1" t="n">
        <v>45418</v>
      </c>
      <c r="C267" s="1" t="n">
        <v>45822</v>
      </c>
      <c r="D267" t="inlineStr">
        <is>
          <t>GOTLANDS LÄN</t>
        </is>
      </c>
      <c r="E267" t="inlineStr">
        <is>
          <t>GOTLAND</t>
        </is>
      </c>
      <c r="G267" t="n">
        <v>1.9</v>
      </c>
      <c r="H267" t="n">
        <v>0</v>
      </c>
      <c r="I267" t="n">
        <v>0</v>
      </c>
      <c r="J267" t="n">
        <v>1</v>
      </c>
      <c r="K267" t="n">
        <v>0</v>
      </c>
      <c r="L267" t="n">
        <v>0</v>
      </c>
      <c r="M267" t="n">
        <v>0</v>
      </c>
      <c r="N267" t="n">
        <v>0</v>
      </c>
      <c r="O267" t="n">
        <v>1</v>
      </c>
      <c r="P267" t="n">
        <v>0</v>
      </c>
      <c r="Q267" t="n">
        <v>1</v>
      </c>
      <c r="R267" s="2" t="inlineStr">
        <is>
          <t>Igelkott</t>
        </is>
      </c>
      <c r="S267">
        <f>HYPERLINK("https://klasma.github.io/Logging_0980/artfynd/A 17681-2024 artfynd.xlsx", "A 17681-2024")</f>
        <v/>
      </c>
      <c r="T267">
        <f>HYPERLINK("https://klasma.github.io/Logging_0980/kartor/A 17681-2024 karta.png", "A 17681-2024")</f>
        <v/>
      </c>
      <c r="V267">
        <f>HYPERLINK("https://klasma.github.io/Logging_0980/klagomål/A 17681-2024 FSC-klagomål.docx", "A 17681-2024")</f>
        <v/>
      </c>
      <c r="W267">
        <f>HYPERLINK("https://klasma.github.io/Logging_0980/klagomålsmail/A 17681-2024 FSC-klagomål mail.docx", "A 17681-2024")</f>
        <v/>
      </c>
      <c r="X267">
        <f>HYPERLINK("https://klasma.github.io/Logging_0980/tillsyn/A 17681-2024 tillsynsbegäran.docx", "A 17681-2024")</f>
        <v/>
      </c>
      <c r="Y267">
        <f>HYPERLINK("https://klasma.github.io/Logging_0980/tillsynsmail/A 17681-2024 tillsynsbegäran mail.docx", "A 17681-2024")</f>
        <v/>
      </c>
    </row>
    <row r="268" ht="15" customHeight="1">
      <c r="A268" t="inlineStr">
        <is>
          <t>A 17727-2024</t>
        </is>
      </c>
      <c r="B268" s="1" t="n">
        <v>45418</v>
      </c>
      <c r="C268" s="1" t="n">
        <v>45822</v>
      </c>
      <c r="D268" t="inlineStr">
        <is>
          <t>GOTLANDS LÄN</t>
        </is>
      </c>
      <c r="E268" t="inlineStr">
        <is>
          <t>GOTLAND</t>
        </is>
      </c>
      <c r="G268" t="n">
        <v>1</v>
      </c>
      <c r="H268" t="n">
        <v>0</v>
      </c>
      <c r="I268" t="n">
        <v>0</v>
      </c>
      <c r="J268" t="n">
        <v>1</v>
      </c>
      <c r="K268" t="n">
        <v>0</v>
      </c>
      <c r="L268" t="n">
        <v>0</v>
      </c>
      <c r="M268" t="n">
        <v>0</v>
      </c>
      <c r="N268" t="n">
        <v>0</v>
      </c>
      <c r="O268" t="n">
        <v>1</v>
      </c>
      <c r="P268" t="n">
        <v>0</v>
      </c>
      <c r="Q268" t="n">
        <v>1</v>
      </c>
      <c r="R268" s="2" t="inlineStr">
        <is>
          <t>Åkerranunkel</t>
        </is>
      </c>
      <c r="S268">
        <f>HYPERLINK("https://klasma.github.io/Logging_0980/artfynd/A 17727-2024 artfynd.xlsx", "A 17727-2024")</f>
        <v/>
      </c>
      <c r="T268">
        <f>HYPERLINK("https://klasma.github.io/Logging_0980/kartor/A 17727-2024 karta.png", "A 17727-2024")</f>
        <v/>
      </c>
      <c r="V268">
        <f>HYPERLINK("https://klasma.github.io/Logging_0980/klagomål/A 17727-2024 FSC-klagomål.docx", "A 17727-2024")</f>
        <v/>
      </c>
      <c r="W268">
        <f>HYPERLINK("https://klasma.github.io/Logging_0980/klagomålsmail/A 17727-2024 FSC-klagomål mail.docx", "A 17727-2024")</f>
        <v/>
      </c>
      <c r="X268">
        <f>HYPERLINK("https://klasma.github.io/Logging_0980/tillsyn/A 17727-2024 tillsynsbegäran.docx", "A 17727-2024")</f>
        <v/>
      </c>
      <c r="Y268">
        <f>HYPERLINK("https://klasma.github.io/Logging_0980/tillsynsmail/A 17727-2024 tillsynsbegäran mail.docx", "A 17727-2024")</f>
        <v/>
      </c>
    </row>
    <row r="269" ht="15" customHeight="1">
      <c r="A269" t="inlineStr">
        <is>
          <t>A 20831-2024</t>
        </is>
      </c>
      <c r="B269" s="1" t="n">
        <v>45439</v>
      </c>
      <c r="C269" s="1" t="n">
        <v>45822</v>
      </c>
      <c r="D269" t="inlineStr">
        <is>
          <t>GOTLANDS LÄN</t>
        </is>
      </c>
      <c r="E269" t="inlineStr">
        <is>
          <t>GOTLAND</t>
        </is>
      </c>
      <c r="G269" t="n">
        <v>2.9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20831-2024 artfynd.xlsx", "A 20831-2024")</f>
        <v/>
      </c>
      <c r="T269">
        <f>HYPERLINK("https://klasma.github.io/Logging_0980/kartor/A 20831-2024 karta.png", "A 20831-2024")</f>
        <v/>
      </c>
      <c r="V269">
        <f>HYPERLINK("https://klasma.github.io/Logging_0980/klagomål/A 20831-2024 FSC-klagomål.docx", "A 20831-2024")</f>
        <v/>
      </c>
      <c r="W269">
        <f>HYPERLINK("https://klasma.github.io/Logging_0980/klagomålsmail/A 20831-2024 FSC-klagomål mail.docx", "A 20831-2024")</f>
        <v/>
      </c>
      <c r="X269">
        <f>HYPERLINK("https://klasma.github.io/Logging_0980/tillsyn/A 20831-2024 tillsynsbegäran.docx", "A 20831-2024")</f>
        <v/>
      </c>
      <c r="Y269">
        <f>HYPERLINK("https://klasma.github.io/Logging_0980/tillsynsmail/A 20831-2024 tillsynsbegäran mail.docx", "A 20831-2024")</f>
        <v/>
      </c>
    </row>
    <row r="270" ht="15" customHeight="1">
      <c r="A270" t="inlineStr">
        <is>
          <t>A 20838-2024</t>
        </is>
      </c>
      <c r="B270" s="1" t="n">
        <v>45439</v>
      </c>
      <c r="C270" s="1" t="n">
        <v>45822</v>
      </c>
      <c r="D270" t="inlineStr">
        <is>
          <t>GOTLANDS LÄN</t>
        </is>
      </c>
      <c r="E270" t="inlineStr">
        <is>
          <t>GOTLAND</t>
        </is>
      </c>
      <c r="G270" t="n">
        <v>0.7</v>
      </c>
      <c r="H270" t="n">
        <v>1</v>
      </c>
      <c r="I270" t="n">
        <v>1</v>
      </c>
      <c r="J270" t="n">
        <v>0</v>
      </c>
      <c r="K270" t="n">
        <v>0</v>
      </c>
      <c r="L270" t="n">
        <v>0</v>
      </c>
      <c r="M270" t="n">
        <v>0</v>
      </c>
      <c r="N270" t="n">
        <v>0</v>
      </c>
      <c r="O270" t="n">
        <v>0</v>
      </c>
      <c r="P270" t="n">
        <v>0</v>
      </c>
      <c r="Q270" t="n">
        <v>1</v>
      </c>
      <c r="R270" s="2" t="inlineStr">
        <is>
          <t>Skogsknipprot</t>
        </is>
      </c>
      <c r="S270">
        <f>HYPERLINK("https://klasma.github.io/Logging_0980/artfynd/A 20838-2024 artfynd.xlsx", "A 20838-2024")</f>
        <v/>
      </c>
      <c r="T270">
        <f>HYPERLINK("https://klasma.github.io/Logging_0980/kartor/A 20838-2024 karta.png", "A 20838-2024")</f>
        <v/>
      </c>
      <c r="V270">
        <f>HYPERLINK("https://klasma.github.io/Logging_0980/klagomål/A 20838-2024 FSC-klagomål.docx", "A 20838-2024")</f>
        <v/>
      </c>
      <c r="W270">
        <f>HYPERLINK("https://klasma.github.io/Logging_0980/klagomålsmail/A 20838-2024 FSC-klagomål mail.docx", "A 20838-2024")</f>
        <v/>
      </c>
      <c r="X270">
        <f>HYPERLINK("https://klasma.github.io/Logging_0980/tillsyn/A 20838-2024 tillsynsbegäran.docx", "A 20838-2024")</f>
        <v/>
      </c>
      <c r="Y270">
        <f>HYPERLINK("https://klasma.github.io/Logging_0980/tillsynsmail/A 20838-2024 tillsynsbegäran mail.docx", "A 20838-2024")</f>
        <v/>
      </c>
    </row>
    <row r="271" ht="15" customHeight="1">
      <c r="A271" t="inlineStr">
        <is>
          <t>A 20833-2024</t>
        </is>
      </c>
      <c r="B271" s="1" t="n">
        <v>45439</v>
      </c>
      <c r="C271" s="1" t="n">
        <v>45822</v>
      </c>
      <c r="D271" t="inlineStr">
        <is>
          <t>GOTLANDS LÄN</t>
        </is>
      </c>
      <c r="E271" t="inlineStr">
        <is>
          <t>GOTLAND</t>
        </is>
      </c>
      <c r="G271" t="n">
        <v>0.9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20833-2024 artfynd.xlsx", "A 20833-2024")</f>
        <v/>
      </c>
      <c r="T271">
        <f>HYPERLINK("https://klasma.github.io/Logging_0980/kartor/A 20833-2024 karta.png", "A 20833-2024")</f>
        <v/>
      </c>
      <c r="V271">
        <f>HYPERLINK("https://klasma.github.io/Logging_0980/klagomål/A 20833-2024 FSC-klagomål.docx", "A 20833-2024")</f>
        <v/>
      </c>
      <c r="W271">
        <f>HYPERLINK("https://klasma.github.io/Logging_0980/klagomålsmail/A 20833-2024 FSC-klagomål mail.docx", "A 20833-2024")</f>
        <v/>
      </c>
      <c r="X271">
        <f>HYPERLINK("https://klasma.github.io/Logging_0980/tillsyn/A 20833-2024 tillsynsbegäran.docx", "A 20833-2024")</f>
        <v/>
      </c>
      <c r="Y271">
        <f>HYPERLINK("https://klasma.github.io/Logging_0980/tillsynsmail/A 20833-2024 tillsynsbegäran mail.docx", "A 20833-2024")</f>
        <v/>
      </c>
    </row>
    <row r="272" ht="15" customHeight="1">
      <c r="A272" t="inlineStr">
        <is>
          <t>A 25977-2024</t>
        </is>
      </c>
      <c r="B272" s="1" t="n">
        <v>45467</v>
      </c>
      <c r="C272" s="1" t="n">
        <v>45822</v>
      </c>
      <c r="D272" t="inlineStr">
        <is>
          <t>GOTLANDS LÄN</t>
        </is>
      </c>
      <c r="E272" t="inlineStr">
        <is>
          <t>GOTLAND</t>
        </is>
      </c>
      <c r="G272" t="n">
        <v>3</v>
      </c>
      <c r="H272" t="n">
        <v>1</v>
      </c>
      <c r="I272" t="n">
        <v>0</v>
      </c>
      <c r="J272" t="n">
        <v>0</v>
      </c>
      <c r="K272" t="n">
        <v>0</v>
      </c>
      <c r="L272" t="n">
        <v>0</v>
      </c>
      <c r="M272" t="n">
        <v>0</v>
      </c>
      <c r="N272" t="n">
        <v>0</v>
      </c>
      <c r="O272" t="n">
        <v>0</v>
      </c>
      <c r="P272" t="n">
        <v>0</v>
      </c>
      <c r="Q272" t="n">
        <v>1</v>
      </c>
      <c r="R272" s="2" t="inlineStr">
        <is>
          <t>Nattviol</t>
        </is>
      </c>
      <c r="S272">
        <f>HYPERLINK("https://klasma.github.io/Logging_0980/artfynd/A 25977-2024 artfynd.xlsx", "A 25977-2024")</f>
        <v/>
      </c>
      <c r="T272">
        <f>HYPERLINK("https://klasma.github.io/Logging_0980/kartor/A 25977-2024 karta.png", "A 25977-2024")</f>
        <v/>
      </c>
      <c r="V272">
        <f>HYPERLINK("https://klasma.github.io/Logging_0980/klagomål/A 25977-2024 FSC-klagomål.docx", "A 25977-2024")</f>
        <v/>
      </c>
      <c r="W272">
        <f>HYPERLINK("https://klasma.github.io/Logging_0980/klagomålsmail/A 25977-2024 FSC-klagomål mail.docx", "A 25977-2024")</f>
        <v/>
      </c>
      <c r="X272">
        <f>HYPERLINK("https://klasma.github.io/Logging_0980/tillsyn/A 25977-2024 tillsynsbegäran.docx", "A 25977-2024")</f>
        <v/>
      </c>
      <c r="Y272">
        <f>HYPERLINK("https://klasma.github.io/Logging_0980/tillsynsmail/A 25977-2024 tillsynsbegäran mail.docx", "A 25977-2024")</f>
        <v/>
      </c>
    </row>
    <row r="273" ht="15" customHeight="1">
      <c r="A273" t="inlineStr">
        <is>
          <t>A 30892-2024</t>
        </is>
      </c>
      <c r="B273" s="1" t="n">
        <v>45491</v>
      </c>
      <c r="C273" s="1" t="n">
        <v>45822</v>
      </c>
      <c r="D273" t="inlineStr">
        <is>
          <t>GOTLANDS LÄN</t>
        </is>
      </c>
      <c r="E273" t="inlineStr">
        <is>
          <t>GOTLAND</t>
        </is>
      </c>
      <c r="G273" t="n">
        <v>16.3</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30892-2024 artfynd.xlsx", "A 30892-2024")</f>
        <v/>
      </c>
      <c r="T273">
        <f>HYPERLINK("https://klasma.github.io/Logging_0980/kartor/A 30892-2024 karta.png", "A 30892-2024")</f>
        <v/>
      </c>
      <c r="V273">
        <f>HYPERLINK("https://klasma.github.io/Logging_0980/klagomål/A 30892-2024 FSC-klagomål.docx", "A 30892-2024")</f>
        <v/>
      </c>
      <c r="W273">
        <f>HYPERLINK("https://klasma.github.io/Logging_0980/klagomålsmail/A 30892-2024 FSC-klagomål mail.docx", "A 30892-2024")</f>
        <v/>
      </c>
      <c r="X273">
        <f>HYPERLINK("https://klasma.github.io/Logging_0980/tillsyn/A 30892-2024 tillsynsbegäran.docx", "A 30892-2024")</f>
        <v/>
      </c>
      <c r="Y273">
        <f>HYPERLINK("https://klasma.github.io/Logging_0980/tillsynsmail/A 30892-2024 tillsynsbegäran mail.docx", "A 30892-2024")</f>
        <v/>
      </c>
    </row>
    <row r="274" ht="15" customHeight="1">
      <c r="A274" t="inlineStr">
        <is>
          <t>A 30410-2024</t>
        </is>
      </c>
      <c r="B274" s="1" t="n">
        <v>45491</v>
      </c>
      <c r="C274" s="1" t="n">
        <v>45822</v>
      </c>
      <c r="D274" t="inlineStr">
        <is>
          <t>GOTLANDS LÄN</t>
        </is>
      </c>
      <c r="E274" t="inlineStr">
        <is>
          <t>GOTLAND</t>
        </is>
      </c>
      <c r="G274" t="n">
        <v>4</v>
      </c>
      <c r="H274" t="n">
        <v>0</v>
      </c>
      <c r="I274" t="n">
        <v>0</v>
      </c>
      <c r="J274" t="n">
        <v>1</v>
      </c>
      <c r="K274" t="n">
        <v>0</v>
      </c>
      <c r="L274" t="n">
        <v>0</v>
      </c>
      <c r="M274" t="n">
        <v>0</v>
      </c>
      <c r="N274" t="n">
        <v>0</v>
      </c>
      <c r="O274" t="n">
        <v>1</v>
      </c>
      <c r="P274" t="n">
        <v>0</v>
      </c>
      <c r="Q274" t="n">
        <v>1</v>
      </c>
      <c r="R274" s="2" t="inlineStr">
        <is>
          <t>Granticka</t>
        </is>
      </c>
      <c r="S274">
        <f>HYPERLINK("https://klasma.github.io/Logging_0980/artfynd/A 30410-2024 artfynd.xlsx", "A 30410-2024")</f>
        <v/>
      </c>
      <c r="T274">
        <f>HYPERLINK("https://klasma.github.io/Logging_0980/kartor/A 30410-2024 karta.png", "A 30410-2024")</f>
        <v/>
      </c>
      <c r="V274">
        <f>HYPERLINK("https://klasma.github.io/Logging_0980/klagomål/A 30410-2024 FSC-klagomål.docx", "A 30410-2024")</f>
        <v/>
      </c>
      <c r="W274">
        <f>HYPERLINK("https://klasma.github.io/Logging_0980/klagomålsmail/A 30410-2024 FSC-klagomål mail.docx", "A 30410-2024")</f>
        <v/>
      </c>
      <c r="X274">
        <f>HYPERLINK("https://klasma.github.io/Logging_0980/tillsyn/A 30410-2024 tillsynsbegäran.docx", "A 30410-2024")</f>
        <v/>
      </c>
      <c r="Y274">
        <f>HYPERLINK("https://klasma.github.io/Logging_0980/tillsynsmail/A 30410-2024 tillsynsbegäran mail.docx", "A 30410-2024")</f>
        <v/>
      </c>
    </row>
    <row r="275" ht="15" customHeight="1">
      <c r="A275" t="inlineStr">
        <is>
          <t>A 31750-2024</t>
        </is>
      </c>
      <c r="B275" s="1" t="n">
        <v>45509</v>
      </c>
      <c r="C275" s="1" t="n">
        <v>45822</v>
      </c>
      <c r="D275" t="inlineStr">
        <is>
          <t>GOTLANDS LÄN</t>
        </is>
      </c>
      <c r="E275" t="inlineStr">
        <is>
          <t>GOTLAND</t>
        </is>
      </c>
      <c r="G275" t="n">
        <v>10.3</v>
      </c>
      <c r="H275" t="n">
        <v>1</v>
      </c>
      <c r="I275" t="n">
        <v>0</v>
      </c>
      <c r="J275" t="n">
        <v>1</v>
      </c>
      <c r="K275" t="n">
        <v>0</v>
      </c>
      <c r="L275" t="n">
        <v>0</v>
      </c>
      <c r="M275" t="n">
        <v>0</v>
      </c>
      <c r="N275" t="n">
        <v>0</v>
      </c>
      <c r="O275" t="n">
        <v>1</v>
      </c>
      <c r="P275" t="n">
        <v>0</v>
      </c>
      <c r="Q275" t="n">
        <v>1</v>
      </c>
      <c r="R275" s="2" t="inlineStr">
        <is>
          <t>Grönsångare</t>
        </is>
      </c>
      <c r="S275">
        <f>HYPERLINK("https://klasma.github.io/Logging_0980/artfynd/A 31750-2024 artfynd.xlsx", "A 31750-2024")</f>
        <v/>
      </c>
      <c r="T275">
        <f>HYPERLINK("https://klasma.github.io/Logging_0980/kartor/A 31750-2024 karta.png", "A 31750-2024")</f>
        <v/>
      </c>
      <c r="V275">
        <f>HYPERLINK("https://klasma.github.io/Logging_0980/klagomål/A 31750-2024 FSC-klagomål.docx", "A 31750-2024")</f>
        <v/>
      </c>
      <c r="W275">
        <f>HYPERLINK("https://klasma.github.io/Logging_0980/klagomålsmail/A 31750-2024 FSC-klagomål mail.docx", "A 31750-2024")</f>
        <v/>
      </c>
      <c r="X275">
        <f>HYPERLINK("https://klasma.github.io/Logging_0980/tillsyn/A 31750-2024 tillsynsbegäran.docx", "A 31750-2024")</f>
        <v/>
      </c>
      <c r="Y275">
        <f>HYPERLINK("https://klasma.github.io/Logging_0980/tillsynsmail/A 31750-2024 tillsynsbegäran mail.docx", "A 31750-2024")</f>
        <v/>
      </c>
      <c r="Z275">
        <f>HYPERLINK("https://klasma.github.io/Logging_0980/fåglar/A 31750-2024 prioriterade fågelarter.docx", "A 31750-2024")</f>
        <v/>
      </c>
    </row>
    <row r="276" ht="15" customHeight="1">
      <c r="A276" t="inlineStr">
        <is>
          <t>A 33081-2024</t>
        </is>
      </c>
      <c r="B276" s="1" t="n">
        <v>45517</v>
      </c>
      <c r="C276" s="1" t="n">
        <v>45822</v>
      </c>
      <c r="D276" t="inlineStr">
        <is>
          <t>GOTLANDS LÄN</t>
        </is>
      </c>
      <c r="E276" t="inlineStr">
        <is>
          <t>GOTLAND</t>
        </is>
      </c>
      <c r="G276" t="n">
        <v>1.4</v>
      </c>
      <c r="H276" t="n">
        <v>0</v>
      </c>
      <c r="I276" t="n">
        <v>0</v>
      </c>
      <c r="J276" t="n">
        <v>0</v>
      </c>
      <c r="K276" t="n">
        <v>1</v>
      </c>
      <c r="L276" t="n">
        <v>0</v>
      </c>
      <c r="M276" t="n">
        <v>0</v>
      </c>
      <c r="N276" t="n">
        <v>0</v>
      </c>
      <c r="O276" t="n">
        <v>1</v>
      </c>
      <c r="P276" t="n">
        <v>1</v>
      </c>
      <c r="Q276" t="n">
        <v>1</v>
      </c>
      <c r="R276" s="2" t="inlineStr">
        <is>
          <t>Gotlandsmåra</t>
        </is>
      </c>
      <c r="S276">
        <f>HYPERLINK("https://klasma.github.io/Logging_0980/artfynd/A 33081-2024 artfynd.xlsx", "A 33081-2024")</f>
        <v/>
      </c>
      <c r="T276">
        <f>HYPERLINK("https://klasma.github.io/Logging_0980/kartor/A 33081-2024 karta.png", "A 33081-2024")</f>
        <v/>
      </c>
      <c r="V276">
        <f>HYPERLINK("https://klasma.github.io/Logging_0980/klagomål/A 33081-2024 FSC-klagomål.docx", "A 33081-2024")</f>
        <v/>
      </c>
      <c r="W276">
        <f>HYPERLINK("https://klasma.github.io/Logging_0980/klagomålsmail/A 33081-2024 FSC-klagomål mail.docx", "A 33081-2024")</f>
        <v/>
      </c>
      <c r="X276">
        <f>HYPERLINK("https://klasma.github.io/Logging_0980/tillsyn/A 33081-2024 tillsynsbegäran.docx", "A 33081-2024")</f>
        <v/>
      </c>
      <c r="Y276">
        <f>HYPERLINK("https://klasma.github.io/Logging_0980/tillsynsmail/A 33081-2024 tillsynsbegäran mail.docx", "A 33081-2024")</f>
        <v/>
      </c>
    </row>
    <row r="277" ht="15" customHeight="1">
      <c r="A277" t="inlineStr">
        <is>
          <t>A 34141-2024</t>
        </is>
      </c>
      <c r="B277" s="1" t="n">
        <v>45524</v>
      </c>
      <c r="C277" s="1" t="n">
        <v>45822</v>
      </c>
      <c r="D277" t="inlineStr">
        <is>
          <t>GOTLANDS LÄN</t>
        </is>
      </c>
      <c r="E277" t="inlineStr">
        <is>
          <t>GOTLAND</t>
        </is>
      </c>
      <c r="G277" t="n">
        <v>0.9</v>
      </c>
      <c r="H277" t="n">
        <v>0</v>
      </c>
      <c r="I277" t="n">
        <v>1</v>
      </c>
      <c r="J277" t="n">
        <v>0</v>
      </c>
      <c r="K277" t="n">
        <v>0</v>
      </c>
      <c r="L277" t="n">
        <v>0</v>
      </c>
      <c r="M277" t="n">
        <v>0</v>
      </c>
      <c r="N277" t="n">
        <v>0</v>
      </c>
      <c r="O277" t="n">
        <v>0</v>
      </c>
      <c r="P277" t="n">
        <v>0</v>
      </c>
      <c r="Q277" t="n">
        <v>1</v>
      </c>
      <c r="R277" s="2" t="inlineStr">
        <is>
          <t>Strävlosta</t>
        </is>
      </c>
      <c r="S277">
        <f>HYPERLINK("https://klasma.github.io/Logging_0980/artfynd/A 34141-2024 artfynd.xlsx", "A 34141-2024")</f>
        <v/>
      </c>
      <c r="T277">
        <f>HYPERLINK("https://klasma.github.io/Logging_0980/kartor/A 34141-2024 karta.png", "A 34141-2024")</f>
        <v/>
      </c>
      <c r="V277">
        <f>HYPERLINK("https://klasma.github.io/Logging_0980/klagomål/A 34141-2024 FSC-klagomål.docx", "A 34141-2024")</f>
        <v/>
      </c>
      <c r="W277">
        <f>HYPERLINK("https://klasma.github.io/Logging_0980/klagomålsmail/A 34141-2024 FSC-klagomål mail.docx", "A 34141-2024")</f>
        <v/>
      </c>
      <c r="X277">
        <f>HYPERLINK("https://klasma.github.io/Logging_0980/tillsyn/A 34141-2024 tillsynsbegäran.docx", "A 34141-2024")</f>
        <v/>
      </c>
      <c r="Y277">
        <f>HYPERLINK("https://klasma.github.io/Logging_0980/tillsynsmail/A 34141-2024 tillsynsbegäran mail.docx", "A 34141-2024")</f>
        <v/>
      </c>
    </row>
    <row r="278" ht="15" customHeight="1">
      <c r="A278" t="inlineStr">
        <is>
          <t>A 34809-2024</t>
        </is>
      </c>
      <c r="B278" s="1" t="n">
        <v>45526</v>
      </c>
      <c r="C278" s="1" t="n">
        <v>45822</v>
      </c>
      <c r="D278" t="inlineStr">
        <is>
          <t>GOTLANDS LÄN</t>
        </is>
      </c>
      <c r="E278" t="inlineStr">
        <is>
          <t>GOTLAND</t>
        </is>
      </c>
      <c r="G278" t="n">
        <v>9.9</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34809-2024 artfynd.xlsx", "A 34809-2024")</f>
        <v/>
      </c>
      <c r="T278">
        <f>HYPERLINK("https://klasma.github.io/Logging_0980/kartor/A 34809-2024 karta.png", "A 34809-2024")</f>
        <v/>
      </c>
      <c r="V278">
        <f>HYPERLINK("https://klasma.github.io/Logging_0980/klagomål/A 34809-2024 FSC-klagomål.docx", "A 34809-2024")</f>
        <v/>
      </c>
      <c r="W278">
        <f>HYPERLINK("https://klasma.github.io/Logging_0980/klagomålsmail/A 34809-2024 FSC-klagomål mail.docx", "A 34809-2024")</f>
        <v/>
      </c>
      <c r="X278">
        <f>HYPERLINK("https://klasma.github.io/Logging_0980/tillsyn/A 34809-2024 tillsynsbegäran.docx", "A 34809-2024")</f>
        <v/>
      </c>
      <c r="Y278">
        <f>HYPERLINK("https://klasma.github.io/Logging_0980/tillsynsmail/A 34809-2024 tillsynsbegäran mail.docx", "A 34809-2024")</f>
        <v/>
      </c>
    </row>
    <row r="279" ht="15" customHeight="1">
      <c r="A279" t="inlineStr">
        <is>
          <t>A 35574-2024</t>
        </is>
      </c>
      <c r="B279" s="1" t="n">
        <v>45531</v>
      </c>
      <c r="C279" s="1" t="n">
        <v>45822</v>
      </c>
      <c r="D279" t="inlineStr">
        <is>
          <t>GOTLANDS LÄN</t>
        </is>
      </c>
      <c r="E279" t="inlineStr">
        <is>
          <t>GOTLAND</t>
        </is>
      </c>
      <c r="G279" t="n">
        <v>5.7</v>
      </c>
      <c r="H279" t="n">
        <v>0</v>
      </c>
      <c r="I279" t="n">
        <v>1</v>
      </c>
      <c r="J279" t="n">
        <v>0</v>
      </c>
      <c r="K279" t="n">
        <v>0</v>
      </c>
      <c r="L279" t="n">
        <v>0</v>
      </c>
      <c r="M279" t="n">
        <v>0</v>
      </c>
      <c r="N279" t="n">
        <v>0</v>
      </c>
      <c r="O279" t="n">
        <v>0</v>
      </c>
      <c r="P279" t="n">
        <v>0</v>
      </c>
      <c r="Q279" t="n">
        <v>1</v>
      </c>
      <c r="R279" s="2" t="inlineStr">
        <is>
          <t>Murgröna</t>
        </is>
      </c>
      <c r="S279">
        <f>HYPERLINK("https://klasma.github.io/Logging_0980/artfynd/A 35574-2024 artfynd.xlsx", "A 35574-2024")</f>
        <v/>
      </c>
      <c r="T279">
        <f>HYPERLINK("https://klasma.github.io/Logging_0980/kartor/A 35574-2024 karta.png", "A 35574-2024")</f>
        <v/>
      </c>
      <c r="V279">
        <f>HYPERLINK("https://klasma.github.io/Logging_0980/klagomål/A 35574-2024 FSC-klagomål.docx", "A 35574-2024")</f>
        <v/>
      </c>
      <c r="W279">
        <f>HYPERLINK("https://klasma.github.io/Logging_0980/klagomålsmail/A 35574-2024 FSC-klagomål mail.docx", "A 35574-2024")</f>
        <v/>
      </c>
      <c r="X279">
        <f>HYPERLINK("https://klasma.github.io/Logging_0980/tillsyn/A 35574-2024 tillsynsbegäran.docx", "A 35574-2024")</f>
        <v/>
      </c>
      <c r="Y279">
        <f>HYPERLINK("https://klasma.github.io/Logging_0980/tillsynsmail/A 35574-2024 tillsynsbegäran mail.docx", "A 35574-2024")</f>
        <v/>
      </c>
    </row>
    <row r="280" ht="15" customHeight="1">
      <c r="A280" t="inlineStr">
        <is>
          <t>A 40805-2024</t>
        </is>
      </c>
      <c r="B280" s="1" t="n">
        <v>45558</v>
      </c>
      <c r="C280" s="1" t="n">
        <v>45822</v>
      </c>
      <c r="D280" t="inlineStr">
        <is>
          <t>GOTLANDS LÄN</t>
        </is>
      </c>
      <c r="E280" t="inlineStr">
        <is>
          <t>GOTLAND</t>
        </is>
      </c>
      <c r="G280" t="n">
        <v>13.2</v>
      </c>
      <c r="H280" t="n">
        <v>1</v>
      </c>
      <c r="I280" t="n">
        <v>1</v>
      </c>
      <c r="J280" t="n">
        <v>0</v>
      </c>
      <c r="K280" t="n">
        <v>0</v>
      </c>
      <c r="L280" t="n">
        <v>0</v>
      </c>
      <c r="M280" t="n">
        <v>0</v>
      </c>
      <c r="N280" t="n">
        <v>0</v>
      </c>
      <c r="O280" t="n">
        <v>0</v>
      </c>
      <c r="P280" t="n">
        <v>0</v>
      </c>
      <c r="Q280" t="n">
        <v>1</v>
      </c>
      <c r="R280" s="2" t="inlineStr">
        <is>
          <t>Skogsknipprot</t>
        </is>
      </c>
      <c r="S280">
        <f>HYPERLINK("https://klasma.github.io/Logging_0980/artfynd/A 40805-2024 artfynd.xlsx", "A 40805-2024")</f>
        <v/>
      </c>
      <c r="T280">
        <f>HYPERLINK("https://klasma.github.io/Logging_0980/kartor/A 40805-2024 karta.png", "A 40805-2024")</f>
        <v/>
      </c>
      <c r="V280">
        <f>HYPERLINK("https://klasma.github.io/Logging_0980/klagomål/A 40805-2024 FSC-klagomål.docx", "A 40805-2024")</f>
        <v/>
      </c>
      <c r="W280">
        <f>HYPERLINK("https://klasma.github.io/Logging_0980/klagomålsmail/A 40805-2024 FSC-klagomål mail.docx", "A 40805-2024")</f>
        <v/>
      </c>
      <c r="X280">
        <f>HYPERLINK("https://klasma.github.io/Logging_0980/tillsyn/A 40805-2024 tillsynsbegäran.docx", "A 40805-2024")</f>
        <v/>
      </c>
      <c r="Y280">
        <f>HYPERLINK("https://klasma.github.io/Logging_0980/tillsynsmail/A 40805-2024 tillsynsbegäran mail.docx", "A 40805-2024")</f>
        <v/>
      </c>
    </row>
    <row r="281" ht="15" customHeight="1">
      <c r="A281" t="inlineStr">
        <is>
          <t>A 44468-2024</t>
        </is>
      </c>
      <c r="B281" s="1" t="n">
        <v>45574</v>
      </c>
      <c r="C281" s="1" t="n">
        <v>45822</v>
      </c>
      <c r="D281" t="inlineStr">
        <is>
          <t>GOTLANDS LÄN</t>
        </is>
      </c>
      <c r="E281" t="inlineStr">
        <is>
          <t>GOTLAND</t>
        </is>
      </c>
      <c r="G281" t="n">
        <v>7</v>
      </c>
      <c r="H281" t="n">
        <v>0</v>
      </c>
      <c r="I281" t="n">
        <v>0</v>
      </c>
      <c r="J281" t="n">
        <v>0</v>
      </c>
      <c r="K281" t="n">
        <v>0</v>
      </c>
      <c r="L281" t="n">
        <v>0</v>
      </c>
      <c r="M281" t="n">
        <v>1</v>
      </c>
      <c r="N281" t="n">
        <v>0</v>
      </c>
      <c r="O281" t="n">
        <v>1</v>
      </c>
      <c r="P281" t="n">
        <v>1</v>
      </c>
      <c r="Q281" t="n">
        <v>1</v>
      </c>
      <c r="R281" s="2" t="inlineStr">
        <is>
          <t>Skogsalm</t>
        </is>
      </c>
      <c r="S281">
        <f>HYPERLINK("https://klasma.github.io/Logging_0980/artfynd/A 44468-2024 artfynd.xlsx", "A 44468-2024")</f>
        <v/>
      </c>
      <c r="T281">
        <f>HYPERLINK("https://klasma.github.io/Logging_0980/kartor/A 44468-2024 karta.png", "A 44468-2024")</f>
        <v/>
      </c>
      <c r="V281">
        <f>HYPERLINK("https://klasma.github.io/Logging_0980/klagomål/A 44468-2024 FSC-klagomål.docx", "A 44468-2024")</f>
        <v/>
      </c>
      <c r="W281">
        <f>HYPERLINK("https://klasma.github.io/Logging_0980/klagomålsmail/A 44468-2024 FSC-klagomål mail.docx", "A 44468-2024")</f>
        <v/>
      </c>
      <c r="X281">
        <f>HYPERLINK("https://klasma.github.io/Logging_0980/tillsyn/A 44468-2024 tillsynsbegäran.docx", "A 44468-2024")</f>
        <v/>
      </c>
      <c r="Y281">
        <f>HYPERLINK("https://klasma.github.io/Logging_0980/tillsynsmail/A 44468-2024 tillsynsbegäran mail.docx", "A 44468-2024")</f>
        <v/>
      </c>
    </row>
    <row r="282" ht="15" customHeight="1">
      <c r="A282" t="inlineStr">
        <is>
          <t>A 48155-2024</t>
        </is>
      </c>
      <c r="B282" s="1" t="n">
        <v>45589</v>
      </c>
      <c r="C282" s="1" t="n">
        <v>45822</v>
      </c>
      <c r="D282" t="inlineStr">
        <is>
          <t>GOTLANDS LÄN</t>
        </is>
      </c>
      <c r="E282" t="inlineStr">
        <is>
          <t>GOTLAND</t>
        </is>
      </c>
      <c r="G282" t="n">
        <v>2.4</v>
      </c>
      <c r="H282" t="n">
        <v>1</v>
      </c>
      <c r="I282" t="n">
        <v>0</v>
      </c>
      <c r="J282" t="n">
        <v>0</v>
      </c>
      <c r="K282" t="n">
        <v>0</v>
      </c>
      <c r="L282" t="n">
        <v>0</v>
      </c>
      <c r="M282" t="n">
        <v>0</v>
      </c>
      <c r="N282" t="n">
        <v>0</v>
      </c>
      <c r="O282" t="n">
        <v>0</v>
      </c>
      <c r="P282" t="n">
        <v>0</v>
      </c>
      <c r="Q282" t="n">
        <v>1</v>
      </c>
      <c r="R282" s="2" t="inlineStr">
        <is>
          <t>Gröngöling</t>
        </is>
      </c>
      <c r="S282">
        <f>HYPERLINK("https://klasma.github.io/Logging_0980/artfynd/A 48155-2024 artfynd.xlsx", "A 48155-2024")</f>
        <v/>
      </c>
      <c r="T282">
        <f>HYPERLINK("https://klasma.github.io/Logging_0980/kartor/A 48155-2024 karta.png", "A 48155-2024")</f>
        <v/>
      </c>
      <c r="V282">
        <f>HYPERLINK("https://klasma.github.io/Logging_0980/klagomål/A 48155-2024 FSC-klagomål.docx", "A 48155-2024")</f>
        <v/>
      </c>
      <c r="W282">
        <f>HYPERLINK("https://klasma.github.io/Logging_0980/klagomålsmail/A 48155-2024 FSC-klagomål mail.docx", "A 48155-2024")</f>
        <v/>
      </c>
      <c r="X282">
        <f>HYPERLINK("https://klasma.github.io/Logging_0980/tillsyn/A 48155-2024 tillsynsbegäran.docx", "A 48155-2024")</f>
        <v/>
      </c>
      <c r="Y282">
        <f>HYPERLINK("https://klasma.github.io/Logging_0980/tillsynsmail/A 48155-2024 tillsynsbegäran mail.docx", "A 48155-2024")</f>
        <v/>
      </c>
      <c r="Z282">
        <f>HYPERLINK("https://klasma.github.io/Logging_0980/fåglar/A 48155-2024 prioriterade fågelarter.docx", "A 48155-2024")</f>
        <v/>
      </c>
    </row>
    <row r="283" ht="15" customHeight="1">
      <c r="A283" t="inlineStr">
        <is>
          <t>A 49304-2024</t>
        </is>
      </c>
      <c r="B283" s="1" t="n">
        <v>45595</v>
      </c>
      <c r="C283" s="1" t="n">
        <v>45822</v>
      </c>
      <c r="D283" t="inlineStr">
        <is>
          <t>GOTLANDS LÄN</t>
        </is>
      </c>
      <c r="E283" t="inlineStr">
        <is>
          <t>GOTLAND</t>
        </is>
      </c>
      <c r="G283" t="n">
        <v>10.8</v>
      </c>
      <c r="H283" t="n">
        <v>0</v>
      </c>
      <c r="I283" t="n">
        <v>0</v>
      </c>
      <c r="J283" t="n">
        <v>1</v>
      </c>
      <c r="K283" t="n">
        <v>0</v>
      </c>
      <c r="L283" t="n">
        <v>0</v>
      </c>
      <c r="M283" t="n">
        <v>0</v>
      </c>
      <c r="N283" t="n">
        <v>0</v>
      </c>
      <c r="O283" t="n">
        <v>1</v>
      </c>
      <c r="P283" t="n">
        <v>0</v>
      </c>
      <c r="Q283" t="n">
        <v>1</v>
      </c>
      <c r="R283" s="2" t="inlineStr">
        <is>
          <t>Åkerranunkel</t>
        </is>
      </c>
      <c r="S283">
        <f>HYPERLINK("https://klasma.github.io/Logging_0980/artfynd/A 49304-2024 artfynd.xlsx", "A 49304-2024")</f>
        <v/>
      </c>
      <c r="T283">
        <f>HYPERLINK("https://klasma.github.io/Logging_0980/kartor/A 49304-2024 karta.png", "A 49304-2024")</f>
        <v/>
      </c>
      <c r="V283">
        <f>HYPERLINK("https://klasma.github.io/Logging_0980/klagomål/A 49304-2024 FSC-klagomål.docx", "A 49304-2024")</f>
        <v/>
      </c>
      <c r="W283">
        <f>HYPERLINK("https://klasma.github.io/Logging_0980/klagomålsmail/A 49304-2024 FSC-klagomål mail.docx", "A 49304-2024")</f>
        <v/>
      </c>
      <c r="X283">
        <f>HYPERLINK("https://klasma.github.io/Logging_0980/tillsyn/A 49304-2024 tillsynsbegäran.docx", "A 49304-2024")</f>
        <v/>
      </c>
      <c r="Y283">
        <f>HYPERLINK("https://klasma.github.io/Logging_0980/tillsynsmail/A 49304-2024 tillsynsbegäran mail.docx", "A 49304-2024")</f>
        <v/>
      </c>
    </row>
    <row r="284" ht="15" customHeight="1">
      <c r="A284" t="inlineStr">
        <is>
          <t>A 2476-2025</t>
        </is>
      </c>
      <c r="B284" s="1" t="n">
        <v>45673</v>
      </c>
      <c r="C284" s="1" t="n">
        <v>45822</v>
      </c>
      <c r="D284" t="inlineStr">
        <is>
          <t>GOTLANDS LÄN</t>
        </is>
      </c>
      <c r="E284" t="inlineStr">
        <is>
          <t>GOTLAND</t>
        </is>
      </c>
      <c r="G284" t="n">
        <v>3.1</v>
      </c>
      <c r="H284" t="n">
        <v>0</v>
      </c>
      <c r="I284" t="n">
        <v>1</v>
      </c>
      <c r="J284" t="n">
        <v>0</v>
      </c>
      <c r="K284" t="n">
        <v>0</v>
      </c>
      <c r="L284" t="n">
        <v>0</v>
      </c>
      <c r="M284" t="n">
        <v>0</v>
      </c>
      <c r="N284" t="n">
        <v>0</v>
      </c>
      <c r="O284" t="n">
        <v>0</v>
      </c>
      <c r="P284" t="n">
        <v>0</v>
      </c>
      <c r="Q284" t="n">
        <v>1</v>
      </c>
      <c r="R284" s="2" t="inlineStr">
        <is>
          <t>Kryddspindling</t>
        </is>
      </c>
      <c r="S284">
        <f>HYPERLINK("https://klasma.github.io/Logging_0980/artfynd/A 2476-2025 artfynd.xlsx", "A 2476-2025")</f>
        <v/>
      </c>
      <c r="T284">
        <f>HYPERLINK("https://klasma.github.io/Logging_0980/kartor/A 2476-2025 karta.png", "A 2476-2025")</f>
        <v/>
      </c>
      <c r="V284">
        <f>HYPERLINK("https://klasma.github.io/Logging_0980/klagomål/A 2476-2025 FSC-klagomål.docx", "A 2476-2025")</f>
        <v/>
      </c>
      <c r="W284">
        <f>HYPERLINK("https://klasma.github.io/Logging_0980/klagomålsmail/A 2476-2025 FSC-klagomål mail.docx", "A 2476-2025")</f>
        <v/>
      </c>
      <c r="X284">
        <f>HYPERLINK("https://klasma.github.io/Logging_0980/tillsyn/A 2476-2025 tillsynsbegäran.docx", "A 2476-2025")</f>
        <v/>
      </c>
      <c r="Y284">
        <f>HYPERLINK("https://klasma.github.io/Logging_0980/tillsynsmail/A 2476-2025 tillsynsbegäran mail.docx", "A 2476-2025")</f>
        <v/>
      </c>
    </row>
    <row r="285" ht="15" customHeight="1">
      <c r="A285" t="inlineStr">
        <is>
          <t>A 4984-2025</t>
        </is>
      </c>
      <c r="B285" s="1" t="n">
        <v>45691</v>
      </c>
      <c r="C285" s="1" t="n">
        <v>45822</v>
      </c>
      <c r="D285" t="inlineStr">
        <is>
          <t>GOTLANDS LÄN</t>
        </is>
      </c>
      <c r="E285" t="inlineStr">
        <is>
          <t>GOTLAND</t>
        </is>
      </c>
      <c r="G285" t="n">
        <v>1.3</v>
      </c>
      <c r="H285" t="n">
        <v>1</v>
      </c>
      <c r="I285" t="n">
        <v>0</v>
      </c>
      <c r="J285" t="n">
        <v>0</v>
      </c>
      <c r="K285" t="n">
        <v>0</v>
      </c>
      <c r="L285" t="n">
        <v>0</v>
      </c>
      <c r="M285" t="n">
        <v>0</v>
      </c>
      <c r="N285" t="n">
        <v>0</v>
      </c>
      <c r="O285" t="n">
        <v>0</v>
      </c>
      <c r="P285" t="n">
        <v>0</v>
      </c>
      <c r="Q285" t="n">
        <v>1</v>
      </c>
      <c r="R285" s="2" t="inlineStr">
        <is>
          <t>Kärrknipprot</t>
        </is>
      </c>
      <c r="S285">
        <f>HYPERLINK("https://klasma.github.io/Logging_0980/artfynd/A 4984-2025 artfynd.xlsx", "A 4984-2025")</f>
        <v/>
      </c>
      <c r="T285">
        <f>HYPERLINK("https://klasma.github.io/Logging_0980/kartor/A 4984-2025 karta.png", "A 4984-2025")</f>
        <v/>
      </c>
      <c r="V285">
        <f>HYPERLINK("https://klasma.github.io/Logging_0980/klagomål/A 4984-2025 FSC-klagomål.docx", "A 4984-2025")</f>
        <v/>
      </c>
      <c r="W285">
        <f>HYPERLINK("https://klasma.github.io/Logging_0980/klagomålsmail/A 4984-2025 FSC-klagomål mail.docx", "A 4984-2025")</f>
        <v/>
      </c>
      <c r="X285">
        <f>HYPERLINK("https://klasma.github.io/Logging_0980/tillsyn/A 4984-2025 tillsynsbegäran.docx", "A 4984-2025")</f>
        <v/>
      </c>
      <c r="Y285">
        <f>HYPERLINK("https://klasma.github.io/Logging_0980/tillsynsmail/A 4984-2025 tillsynsbegäran mail.docx", "A 4984-2025")</f>
        <v/>
      </c>
    </row>
    <row r="286" ht="15" customHeight="1">
      <c r="A286" t="inlineStr">
        <is>
          <t>A 5235-2025</t>
        </is>
      </c>
      <c r="B286" s="1" t="n">
        <v>45692</v>
      </c>
      <c r="C286" s="1" t="n">
        <v>45822</v>
      </c>
      <c r="D286" t="inlineStr">
        <is>
          <t>GOTLANDS LÄN</t>
        </is>
      </c>
      <c r="E286" t="inlineStr">
        <is>
          <t>GOTLAND</t>
        </is>
      </c>
      <c r="G286" t="n">
        <v>7.6</v>
      </c>
      <c r="H286" t="n">
        <v>0</v>
      </c>
      <c r="I286" t="n">
        <v>1</v>
      </c>
      <c r="J286" t="n">
        <v>0</v>
      </c>
      <c r="K286" t="n">
        <v>0</v>
      </c>
      <c r="L286" t="n">
        <v>0</v>
      </c>
      <c r="M286" t="n">
        <v>0</v>
      </c>
      <c r="N286" t="n">
        <v>0</v>
      </c>
      <c r="O286" t="n">
        <v>0</v>
      </c>
      <c r="P286" t="n">
        <v>0</v>
      </c>
      <c r="Q286" t="n">
        <v>1</v>
      </c>
      <c r="R286" s="2" t="inlineStr">
        <is>
          <t>Blåmossa</t>
        </is>
      </c>
      <c r="S286">
        <f>HYPERLINK("https://klasma.github.io/Logging_0980/artfynd/A 5235-2025 artfynd.xlsx", "A 5235-2025")</f>
        <v/>
      </c>
      <c r="T286">
        <f>HYPERLINK("https://klasma.github.io/Logging_0980/kartor/A 5235-2025 karta.png", "A 5235-2025")</f>
        <v/>
      </c>
      <c r="V286">
        <f>HYPERLINK("https://klasma.github.io/Logging_0980/klagomål/A 5235-2025 FSC-klagomål.docx", "A 5235-2025")</f>
        <v/>
      </c>
      <c r="W286">
        <f>HYPERLINK("https://klasma.github.io/Logging_0980/klagomålsmail/A 5235-2025 FSC-klagomål mail.docx", "A 5235-2025")</f>
        <v/>
      </c>
      <c r="X286">
        <f>HYPERLINK("https://klasma.github.io/Logging_0980/tillsyn/A 5235-2025 tillsynsbegäran.docx", "A 5235-2025")</f>
        <v/>
      </c>
      <c r="Y286">
        <f>HYPERLINK("https://klasma.github.io/Logging_0980/tillsynsmail/A 5235-2025 tillsynsbegäran mail.docx", "A 5235-2025")</f>
        <v/>
      </c>
    </row>
    <row r="287" ht="15" customHeight="1">
      <c r="A287" t="inlineStr">
        <is>
          <t>A 7637-2025</t>
        </is>
      </c>
      <c r="B287" s="1" t="n">
        <v>45705</v>
      </c>
      <c r="C287" s="1" t="n">
        <v>45822</v>
      </c>
      <c r="D287" t="inlineStr">
        <is>
          <t>GOTLANDS LÄN</t>
        </is>
      </c>
      <c r="E287" t="inlineStr">
        <is>
          <t>GOTLAND</t>
        </is>
      </c>
      <c r="G287" t="n">
        <v>3.7</v>
      </c>
      <c r="H287" t="n">
        <v>0</v>
      </c>
      <c r="I287" t="n">
        <v>0</v>
      </c>
      <c r="J287" t="n">
        <v>0</v>
      </c>
      <c r="K287" t="n">
        <v>0</v>
      </c>
      <c r="L287" t="n">
        <v>0</v>
      </c>
      <c r="M287" t="n">
        <v>1</v>
      </c>
      <c r="N287" t="n">
        <v>0</v>
      </c>
      <c r="O287" t="n">
        <v>1</v>
      </c>
      <c r="P287" t="n">
        <v>1</v>
      </c>
      <c r="Q287" t="n">
        <v>1</v>
      </c>
      <c r="R287" s="2" t="inlineStr">
        <is>
          <t>Skogsalm</t>
        </is>
      </c>
      <c r="S287">
        <f>HYPERLINK("https://klasma.github.io/Logging_0980/artfynd/A 7637-2025 artfynd.xlsx", "A 7637-2025")</f>
        <v/>
      </c>
      <c r="T287">
        <f>HYPERLINK("https://klasma.github.io/Logging_0980/kartor/A 7637-2025 karta.png", "A 7637-2025")</f>
        <v/>
      </c>
      <c r="V287">
        <f>HYPERLINK("https://klasma.github.io/Logging_0980/klagomål/A 7637-2025 FSC-klagomål.docx", "A 7637-2025")</f>
        <v/>
      </c>
      <c r="W287">
        <f>HYPERLINK("https://klasma.github.io/Logging_0980/klagomålsmail/A 7637-2025 FSC-klagomål mail.docx", "A 7637-2025")</f>
        <v/>
      </c>
      <c r="X287">
        <f>HYPERLINK("https://klasma.github.io/Logging_0980/tillsyn/A 7637-2025 tillsynsbegäran.docx", "A 7637-2025")</f>
        <v/>
      </c>
      <c r="Y287">
        <f>HYPERLINK("https://klasma.github.io/Logging_0980/tillsynsmail/A 7637-2025 tillsynsbegäran mail.docx", "A 7637-2025")</f>
        <v/>
      </c>
    </row>
    <row r="288" ht="15" customHeight="1">
      <c r="A288" t="inlineStr">
        <is>
          <t>A 8725-2025</t>
        </is>
      </c>
      <c r="B288" s="1" t="n">
        <v>45712</v>
      </c>
      <c r="C288" s="1" t="n">
        <v>45822</v>
      </c>
      <c r="D288" t="inlineStr">
        <is>
          <t>GOTLANDS LÄN</t>
        </is>
      </c>
      <c r="E288" t="inlineStr">
        <is>
          <t>GOTLAND</t>
        </is>
      </c>
      <c r="G288" t="n">
        <v>4.4</v>
      </c>
      <c r="H288" t="n">
        <v>1</v>
      </c>
      <c r="I288" t="n">
        <v>0</v>
      </c>
      <c r="J288" t="n">
        <v>1</v>
      </c>
      <c r="K288" t="n">
        <v>0</v>
      </c>
      <c r="L288" t="n">
        <v>0</v>
      </c>
      <c r="M288" t="n">
        <v>0</v>
      </c>
      <c r="N288" t="n">
        <v>0</v>
      </c>
      <c r="O288" t="n">
        <v>1</v>
      </c>
      <c r="P288" t="n">
        <v>0</v>
      </c>
      <c r="Q288" t="n">
        <v>1</v>
      </c>
      <c r="R288" s="2" t="inlineStr">
        <is>
          <t>Spillkråka</t>
        </is>
      </c>
      <c r="S288">
        <f>HYPERLINK("https://klasma.github.io/Logging_0980/artfynd/A 8725-2025 artfynd.xlsx", "A 8725-2025")</f>
        <v/>
      </c>
      <c r="T288">
        <f>HYPERLINK("https://klasma.github.io/Logging_0980/kartor/A 8725-2025 karta.png", "A 8725-2025")</f>
        <v/>
      </c>
      <c r="V288">
        <f>HYPERLINK("https://klasma.github.io/Logging_0980/klagomål/A 8725-2025 FSC-klagomål.docx", "A 8725-2025")</f>
        <v/>
      </c>
      <c r="W288">
        <f>HYPERLINK("https://klasma.github.io/Logging_0980/klagomålsmail/A 8725-2025 FSC-klagomål mail.docx", "A 8725-2025")</f>
        <v/>
      </c>
      <c r="X288">
        <f>HYPERLINK("https://klasma.github.io/Logging_0980/tillsyn/A 8725-2025 tillsynsbegäran.docx", "A 8725-2025")</f>
        <v/>
      </c>
      <c r="Y288">
        <f>HYPERLINK("https://klasma.github.io/Logging_0980/tillsynsmail/A 8725-2025 tillsynsbegäran mail.docx", "A 8725-2025")</f>
        <v/>
      </c>
      <c r="Z288">
        <f>HYPERLINK("https://klasma.github.io/Logging_0980/fåglar/A 8725-2025 prioriterade fågelarter.docx", "A 8725-2025")</f>
        <v/>
      </c>
    </row>
    <row r="289" ht="15" customHeight="1">
      <c r="A289" t="inlineStr">
        <is>
          <t>A 10218-2025</t>
        </is>
      </c>
      <c r="B289" s="1" t="n">
        <v>45720</v>
      </c>
      <c r="C289" s="1" t="n">
        <v>45822</v>
      </c>
      <c r="D289" t="inlineStr">
        <is>
          <t>GOTLANDS LÄN</t>
        </is>
      </c>
      <c r="E289" t="inlineStr">
        <is>
          <t>GOTLAND</t>
        </is>
      </c>
      <c r="G289" t="n">
        <v>8.1</v>
      </c>
      <c r="H289" t="n">
        <v>0</v>
      </c>
      <c r="I289" t="n">
        <v>1</v>
      </c>
      <c r="J289" t="n">
        <v>0</v>
      </c>
      <c r="K289" t="n">
        <v>0</v>
      </c>
      <c r="L289" t="n">
        <v>0</v>
      </c>
      <c r="M289" t="n">
        <v>0</v>
      </c>
      <c r="N289" t="n">
        <v>0</v>
      </c>
      <c r="O289" t="n">
        <v>0</v>
      </c>
      <c r="P289" t="n">
        <v>0</v>
      </c>
      <c r="Q289" t="n">
        <v>1</v>
      </c>
      <c r="R289" s="2" t="inlineStr">
        <is>
          <t>Kalktallört</t>
        </is>
      </c>
      <c r="S289">
        <f>HYPERLINK("https://klasma.github.io/Logging_090980/artfynd/A 10218-2025 artfynd.xlsx", "A 10218-2025")</f>
        <v/>
      </c>
      <c r="T289">
        <f>HYPERLINK("https://klasma.github.io/Logging_090980/kartor/A 10218-2025 karta.png", "A 10218-2025")</f>
        <v/>
      </c>
      <c r="V289">
        <f>HYPERLINK("https://klasma.github.io/Logging_090980/klagomål/A 10218-2025 FSC-klagomål.docx", "A 10218-2025")</f>
        <v/>
      </c>
      <c r="W289">
        <f>HYPERLINK("https://klasma.github.io/Logging_090980/klagomålsmail/A 10218-2025 FSC-klagomål mail.docx", "A 10218-2025")</f>
        <v/>
      </c>
      <c r="X289">
        <f>HYPERLINK("https://klasma.github.io/Logging_090980/tillsyn/A 10218-2025 tillsynsbegäran.docx", "A 10218-2025")</f>
        <v/>
      </c>
      <c r="Y289">
        <f>HYPERLINK("https://klasma.github.io/Logging_090980/tillsynsmail/A 10218-2025 tillsynsbegäran mail.docx", "A 10218-2025")</f>
        <v/>
      </c>
    </row>
    <row r="290" ht="15" customHeight="1">
      <c r="A290" t="inlineStr">
        <is>
          <t>A 10780-2025</t>
        </is>
      </c>
      <c r="B290" s="1" t="n">
        <v>45722</v>
      </c>
      <c r="C290" s="1" t="n">
        <v>45822</v>
      </c>
      <c r="D290" t="inlineStr">
        <is>
          <t>GOTLANDS LÄN</t>
        </is>
      </c>
      <c r="E290" t="inlineStr">
        <is>
          <t>GOTLAND</t>
        </is>
      </c>
      <c r="G290" t="n">
        <v>6.1</v>
      </c>
      <c r="H290" t="n">
        <v>1</v>
      </c>
      <c r="I290" t="n">
        <v>0</v>
      </c>
      <c r="J290" t="n">
        <v>0</v>
      </c>
      <c r="K290" t="n">
        <v>1</v>
      </c>
      <c r="L290" t="n">
        <v>0</v>
      </c>
      <c r="M290" t="n">
        <v>0</v>
      </c>
      <c r="N290" t="n">
        <v>0</v>
      </c>
      <c r="O290" t="n">
        <v>1</v>
      </c>
      <c r="P290" t="n">
        <v>1</v>
      </c>
      <c r="Q290" t="n">
        <v>1</v>
      </c>
      <c r="R290" s="2" t="inlineStr">
        <is>
          <t>Knärot</t>
        </is>
      </c>
      <c r="S290">
        <f>HYPERLINK("https://klasma.github.io/Logging_090980/artfynd/A 10780-2025 artfynd.xlsx", "A 10780-2025")</f>
        <v/>
      </c>
      <c r="T290">
        <f>HYPERLINK("https://klasma.github.io/Logging_090980/kartor/A 10780-2025 karta.png", "A 10780-2025")</f>
        <v/>
      </c>
      <c r="U290">
        <f>HYPERLINK("https://klasma.github.io/Logging_090980/knärot/A 10780-2025 karta knärot.png", "A 10780-2025")</f>
        <v/>
      </c>
      <c r="V290">
        <f>HYPERLINK("https://klasma.github.io/Logging_090980/klagomål/A 10780-2025 FSC-klagomål.docx", "A 10780-2025")</f>
        <v/>
      </c>
      <c r="W290">
        <f>HYPERLINK("https://klasma.github.io/Logging_090980/klagomålsmail/A 10780-2025 FSC-klagomål mail.docx", "A 10780-2025")</f>
        <v/>
      </c>
      <c r="X290">
        <f>HYPERLINK("https://klasma.github.io/Logging_090980/tillsyn/A 10780-2025 tillsynsbegäran.docx", "A 10780-2025")</f>
        <v/>
      </c>
      <c r="Y290">
        <f>HYPERLINK("https://klasma.github.io/Logging_090980/tillsynsmail/A 10780-2025 tillsynsbegäran mail.docx", "A 10780-2025")</f>
        <v/>
      </c>
    </row>
    <row r="291" ht="15" customHeight="1">
      <c r="A291" t="inlineStr">
        <is>
          <t>A 12324-2025</t>
        </is>
      </c>
      <c r="B291" s="1" t="n">
        <v>45730</v>
      </c>
      <c r="C291" s="1" t="n">
        <v>45822</v>
      </c>
      <c r="D291" t="inlineStr">
        <is>
          <t>GOTLANDS LÄN</t>
        </is>
      </c>
      <c r="E291" t="inlineStr">
        <is>
          <t>GOTLAND</t>
        </is>
      </c>
      <c r="G291" t="n">
        <v>5</v>
      </c>
      <c r="H291" t="n">
        <v>0</v>
      </c>
      <c r="I291" t="n">
        <v>0</v>
      </c>
      <c r="J291" t="n">
        <v>0</v>
      </c>
      <c r="K291" t="n">
        <v>1</v>
      </c>
      <c r="L291" t="n">
        <v>0</v>
      </c>
      <c r="M291" t="n">
        <v>0</v>
      </c>
      <c r="N291" t="n">
        <v>0</v>
      </c>
      <c r="O291" t="n">
        <v>1</v>
      </c>
      <c r="P291" t="n">
        <v>1</v>
      </c>
      <c r="Q291" t="n">
        <v>1</v>
      </c>
      <c r="R291" s="2" t="inlineStr">
        <is>
          <t>Sommarklynne</t>
        </is>
      </c>
      <c r="S291">
        <f>HYPERLINK("https://klasma.github.io/Logging_090980/artfynd/A 12324-2025 artfynd.xlsx", "A 12324-2025")</f>
        <v/>
      </c>
      <c r="T291">
        <f>HYPERLINK("https://klasma.github.io/Logging_090980/kartor/A 12324-2025 karta.png", "A 12324-2025")</f>
        <v/>
      </c>
      <c r="V291">
        <f>HYPERLINK("https://klasma.github.io/Logging_090980/klagomål/A 12324-2025 FSC-klagomål.docx", "A 12324-2025")</f>
        <v/>
      </c>
      <c r="W291">
        <f>HYPERLINK("https://klasma.github.io/Logging_090980/klagomålsmail/A 12324-2025 FSC-klagomål mail.docx", "A 12324-2025")</f>
        <v/>
      </c>
      <c r="X291">
        <f>HYPERLINK("https://klasma.github.io/Logging_090980/tillsyn/A 12324-2025 tillsynsbegäran.docx", "A 12324-2025")</f>
        <v/>
      </c>
      <c r="Y291">
        <f>HYPERLINK("https://klasma.github.io/Logging_090980/tillsynsmail/A 12324-2025 tillsynsbegäran mail.docx", "A 12324-2025")</f>
        <v/>
      </c>
    </row>
    <row r="292" ht="15" customHeight="1">
      <c r="A292" t="inlineStr">
        <is>
          <t>A 12924-2025</t>
        </is>
      </c>
      <c r="B292" s="1" t="n">
        <v>45734</v>
      </c>
      <c r="C292" s="1" t="n">
        <v>45822</v>
      </c>
      <c r="D292" t="inlineStr">
        <is>
          <t>GOTLANDS LÄN</t>
        </is>
      </c>
      <c r="E292" t="inlineStr">
        <is>
          <t>GOTLAND</t>
        </is>
      </c>
      <c r="G292" t="n">
        <v>11.7</v>
      </c>
      <c r="H292" t="n">
        <v>0</v>
      </c>
      <c r="I292" t="n">
        <v>0</v>
      </c>
      <c r="J292" t="n">
        <v>0</v>
      </c>
      <c r="K292" t="n">
        <v>1</v>
      </c>
      <c r="L292" t="n">
        <v>0</v>
      </c>
      <c r="M292" t="n">
        <v>0</v>
      </c>
      <c r="N292" t="n">
        <v>0</v>
      </c>
      <c r="O292" t="n">
        <v>1</v>
      </c>
      <c r="P292" t="n">
        <v>1</v>
      </c>
      <c r="Q292" t="n">
        <v>1</v>
      </c>
      <c r="R292" s="2" t="inlineStr">
        <is>
          <t>Gotlandsmåra</t>
        </is>
      </c>
      <c r="S292">
        <f>HYPERLINK("https://klasma.github.io/Logging_090980/artfynd/A 12924-2025 artfynd.xlsx", "A 12924-2025")</f>
        <v/>
      </c>
      <c r="T292">
        <f>HYPERLINK("https://klasma.github.io/Logging_090980/kartor/A 12924-2025 karta.png", "A 12924-2025")</f>
        <v/>
      </c>
      <c r="V292">
        <f>HYPERLINK("https://klasma.github.io/Logging_090980/klagomål/A 12924-2025 FSC-klagomål.docx", "A 12924-2025")</f>
        <v/>
      </c>
      <c r="W292">
        <f>HYPERLINK("https://klasma.github.io/Logging_090980/klagomålsmail/A 12924-2025 FSC-klagomål mail.docx", "A 12924-2025")</f>
        <v/>
      </c>
      <c r="X292">
        <f>HYPERLINK("https://klasma.github.io/Logging_090980/tillsyn/A 12924-2025 tillsynsbegäran.docx", "A 12924-2025")</f>
        <v/>
      </c>
      <c r="Y292">
        <f>HYPERLINK("https://klasma.github.io/Logging_090980/tillsynsmail/A 12924-2025 tillsynsbegäran mail.docx", "A 12924-2025")</f>
        <v/>
      </c>
    </row>
    <row r="293" ht="15" customHeight="1">
      <c r="A293" t="inlineStr">
        <is>
          <t>A 20429-2025</t>
        </is>
      </c>
      <c r="B293" s="1" t="n">
        <v>45775</v>
      </c>
      <c r="C293" s="1" t="n">
        <v>45822</v>
      </c>
      <c r="D293" t="inlineStr">
        <is>
          <t>GOTLANDS LÄN</t>
        </is>
      </c>
      <c r="E293" t="inlineStr">
        <is>
          <t>GOTLAND</t>
        </is>
      </c>
      <c r="G293" t="n">
        <v>1.4</v>
      </c>
      <c r="H293" t="n">
        <v>1</v>
      </c>
      <c r="I293" t="n">
        <v>0</v>
      </c>
      <c r="J293" t="n">
        <v>0</v>
      </c>
      <c r="K293" t="n">
        <v>0</v>
      </c>
      <c r="L293" t="n">
        <v>0</v>
      </c>
      <c r="M293" t="n">
        <v>0</v>
      </c>
      <c r="N293" t="n">
        <v>0</v>
      </c>
      <c r="O293" t="n">
        <v>0</v>
      </c>
      <c r="P293" t="n">
        <v>0</v>
      </c>
      <c r="Q293" t="n">
        <v>1</v>
      </c>
      <c r="R293" s="2" t="inlineStr">
        <is>
          <t>Äkta lopplummer</t>
        </is>
      </c>
      <c r="S293">
        <f>HYPERLINK("https://klasma.github.io/Logging_090980/artfynd/A 20429-2025 artfynd.xlsx", "A 20429-2025")</f>
        <v/>
      </c>
      <c r="T293">
        <f>HYPERLINK("https://klasma.github.io/Logging_090980/kartor/A 20429-2025 karta.png", "A 20429-2025")</f>
        <v/>
      </c>
      <c r="V293">
        <f>HYPERLINK("https://klasma.github.io/Logging_090980/klagomål/A 20429-2025 FSC-klagomål.docx", "A 20429-2025")</f>
        <v/>
      </c>
      <c r="W293">
        <f>HYPERLINK("https://klasma.github.io/Logging_090980/klagomålsmail/A 20429-2025 FSC-klagomål mail.docx", "A 20429-2025")</f>
        <v/>
      </c>
      <c r="X293">
        <f>HYPERLINK("https://klasma.github.io/Logging_090980/tillsyn/A 20429-2025 tillsynsbegäran.docx", "A 20429-2025")</f>
        <v/>
      </c>
      <c r="Y293">
        <f>HYPERLINK("https://klasma.github.io/Logging_090980/tillsynsmail/A 20429-2025 tillsynsbegäran mail.docx", "A 20429-2025")</f>
        <v/>
      </c>
    </row>
    <row r="294" ht="15" customHeight="1">
      <c r="A294" t="inlineStr">
        <is>
          <t>A 21466-2025</t>
        </is>
      </c>
      <c r="B294" s="1" t="n">
        <v>45782</v>
      </c>
      <c r="C294" s="1" t="n">
        <v>45822</v>
      </c>
      <c r="D294" t="inlineStr">
        <is>
          <t>GOTLANDS LÄN</t>
        </is>
      </c>
      <c r="E294" t="inlineStr">
        <is>
          <t>GOTLAND</t>
        </is>
      </c>
      <c r="F294" t="inlineStr">
        <is>
          <t>Övriga statliga verk och myndigheter</t>
        </is>
      </c>
      <c r="G294" t="n">
        <v>1.7</v>
      </c>
      <c r="H294" t="n">
        <v>1</v>
      </c>
      <c r="I294" t="n">
        <v>0</v>
      </c>
      <c r="J294" t="n">
        <v>0</v>
      </c>
      <c r="K294" t="n">
        <v>0</v>
      </c>
      <c r="L294" t="n">
        <v>0</v>
      </c>
      <c r="M294" t="n">
        <v>0</v>
      </c>
      <c r="N294" t="n">
        <v>0</v>
      </c>
      <c r="O294" t="n">
        <v>0</v>
      </c>
      <c r="P294" t="n">
        <v>0</v>
      </c>
      <c r="Q294" t="n">
        <v>1</v>
      </c>
      <c r="R294" s="2" t="inlineStr">
        <is>
          <t>Blåsippa</t>
        </is>
      </c>
      <c r="S294">
        <f>HYPERLINK("https://klasma.github.io/Logging_090980/artfynd/A 21466-2025 artfynd.xlsx", "A 21466-2025")</f>
        <v/>
      </c>
      <c r="T294">
        <f>HYPERLINK("https://klasma.github.io/Logging_090980/kartor/A 21466-2025 karta.png", "A 21466-2025")</f>
        <v/>
      </c>
      <c r="V294">
        <f>HYPERLINK("https://klasma.github.io/Logging_090980/klagomål/A 21466-2025 FSC-klagomål.docx", "A 21466-2025")</f>
        <v/>
      </c>
      <c r="W294">
        <f>HYPERLINK("https://klasma.github.io/Logging_090980/klagomålsmail/A 21466-2025 FSC-klagomål mail.docx", "A 21466-2025")</f>
        <v/>
      </c>
      <c r="X294">
        <f>HYPERLINK("https://klasma.github.io/Logging_090980/tillsyn/A 21466-2025 tillsynsbegäran.docx", "A 21466-2025")</f>
        <v/>
      </c>
      <c r="Y294">
        <f>HYPERLINK("https://klasma.github.io/Logging_090980/tillsynsmail/A 21466-2025 tillsynsbegäran mail.docx", "A 21466-2025")</f>
        <v/>
      </c>
    </row>
    <row r="295" ht="15" customHeight="1">
      <c r="A295" t="inlineStr">
        <is>
          <t>A 26461-2025</t>
        </is>
      </c>
      <c r="B295" s="1" t="n">
        <v>45807</v>
      </c>
      <c r="C295" s="1" t="n">
        <v>45822</v>
      </c>
      <c r="D295" t="inlineStr">
        <is>
          <t>GOTLANDS LÄN</t>
        </is>
      </c>
      <c r="E295" t="inlineStr">
        <is>
          <t>GOTLAND</t>
        </is>
      </c>
      <c r="G295" t="n">
        <v>4.1</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26461-2025 artfynd.xlsx", "A 26461-2025")</f>
        <v/>
      </c>
      <c r="T295">
        <f>HYPERLINK("https://klasma.github.io/Logging_090980/kartor/A 26461-2025 karta.png", "A 26461-2025")</f>
        <v/>
      </c>
      <c r="V295">
        <f>HYPERLINK("https://klasma.github.io/Logging_090980/klagomål/A 26461-2025 FSC-klagomål.docx", "A 26461-2025")</f>
        <v/>
      </c>
      <c r="W295">
        <f>HYPERLINK("https://klasma.github.io/Logging_090980/klagomålsmail/A 26461-2025 FSC-klagomål mail.docx", "A 26461-2025")</f>
        <v/>
      </c>
      <c r="X295">
        <f>HYPERLINK("https://klasma.github.io/Logging_090980/tillsyn/A 26461-2025 tillsynsbegäran.docx", "A 26461-2025")</f>
        <v/>
      </c>
      <c r="Y295">
        <f>HYPERLINK("https://klasma.github.io/Logging_090980/tillsynsmail/A 26461-2025 tillsynsbegäran mail.docx", "A 26461-2025")</f>
        <v/>
      </c>
    </row>
    <row r="296" ht="15" customHeight="1">
      <c r="A296" t="inlineStr">
        <is>
          <t>A 19159-2019</t>
        </is>
      </c>
      <c r="B296" s="1" t="n">
        <v>43564</v>
      </c>
      <c r="C296" s="1" t="n">
        <v>45822</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21380-2019</t>
        </is>
      </c>
      <c r="B297" s="1" t="n">
        <v>43579</v>
      </c>
      <c r="C297" s="1" t="n">
        <v>45822</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21894-2019</t>
        </is>
      </c>
      <c r="B298" s="1" t="n">
        <v>43584</v>
      </c>
      <c r="C298" s="1" t="n">
        <v>45822</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21925-2019</t>
        </is>
      </c>
      <c r="B299" s="1" t="n">
        <v>43584</v>
      </c>
      <c r="C299" s="1" t="n">
        <v>45822</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22457-2019</t>
        </is>
      </c>
      <c r="B300" s="1" t="n">
        <v>43587</v>
      </c>
      <c r="C300" s="1" t="n">
        <v>45822</v>
      </c>
      <c r="D300" t="inlineStr">
        <is>
          <t>GOTLANDS LÄN</t>
        </is>
      </c>
      <c r="E300" t="inlineStr">
        <is>
          <t>GOTLAND</t>
        </is>
      </c>
      <c r="G300" t="n">
        <v>0.3</v>
      </c>
      <c r="H300" t="n">
        <v>0</v>
      </c>
      <c r="I300" t="n">
        <v>0</v>
      </c>
      <c r="J300" t="n">
        <v>0</v>
      </c>
      <c r="K300" t="n">
        <v>0</v>
      </c>
      <c r="L300" t="n">
        <v>0</v>
      </c>
      <c r="M300" t="n">
        <v>0</v>
      </c>
      <c r="N300" t="n">
        <v>0</v>
      </c>
      <c r="O300" t="n">
        <v>0</v>
      </c>
      <c r="P300" t="n">
        <v>0</v>
      </c>
      <c r="Q300" t="n">
        <v>0</v>
      </c>
      <c r="R300" s="2" t="inlineStr"/>
    </row>
    <row r="301" ht="15" customHeight="1">
      <c r="A301" t="inlineStr">
        <is>
          <t>A 23044-2019</t>
        </is>
      </c>
      <c r="B301" s="1" t="n">
        <v>43591</v>
      </c>
      <c r="C301" s="1" t="n">
        <v>45822</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26595-2019</t>
        </is>
      </c>
      <c r="B302" s="1" t="n">
        <v>43612</v>
      </c>
      <c r="C302" s="1" t="n">
        <v>45822</v>
      </c>
      <c r="D302" t="inlineStr">
        <is>
          <t>GOTLANDS LÄN</t>
        </is>
      </c>
      <c r="E302" t="inlineStr">
        <is>
          <t>GOTLAND</t>
        </is>
      </c>
      <c r="G302" t="n">
        <v>0.2</v>
      </c>
      <c r="H302" t="n">
        <v>0</v>
      </c>
      <c r="I302" t="n">
        <v>0</v>
      </c>
      <c r="J302" t="n">
        <v>0</v>
      </c>
      <c r="K302" t="n">
        <v>0</v>
      </c>
      <c r="L302" t="n">
        <v>0</v>
      </c>
      <c r="M302" t="n">
        <v>0</v>
      </c>
      <c r="N302" t="n">
        <v>0</v>
      </c>
      <c r="O302" t="n">
        <v>0</v>
      </c>
      <c r="P302" t="n">
        <v>0</v>
      </c>
      <c r="Q302" t="n">
        <v>0</v>
      </c>
      <c r="R302" s="2" t="inlineStr"/>
    </row>
    <row r="303" ht="15" customHeight="1">
      <c r="A303" t="inlineStr">
        <is>
          <t>A 27795-2019</t>
        </is>
      </c>
      <c r="B303" s="1" t="n">
        <v>43612</v>
      </c>
      <c r="C303" s="1" t="n">
        <v>45822</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28977-2019</t>
        </is>
      </c>
      <c r="B304" s="1" t="n">
        <v>43628</v>
      </c>
      <c r="C304" s="1" t="n">
        <v>45822</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29470-2019</t>
        </is>
      </c>
      <c r="B305" s="1" t="n">
        <v>43629</v>
      </c>
      <c r="C305" s="1" t="n">
        <v>45822</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29469-2019</t>
        </is>
      </c>
      <c r="B306" s="1" t="n">
        <v>43629</v>
      </c>
      <c r="C306" s="1" t="n">
        <v>45822</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30033-2019</t>
        </is>
      </c>
      <c r="B307" s="1" t="n">
        <v>43630</v>
      </c>
      <c r="C307" s="1" t="n">
        <v>45822</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31396-2019</t>
        </is>
      </c>
      <c r="B308" s="1" t="n">
        <v>43636</v>
      </c>
      <c r="C308" s="1" t="n">
        <v>45822</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32949-2019</t>
        </is>
      </c>
      <c r="B309" s="1" t="n">
        <v>43648</v>
      </c>
      <c r="C309" s="1" t="n">
        <v>45822</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32964-2019</t>
        </is>
      </c>
      <c r="B310" s="1" t="n">
        <v>43648</v>
      </c>
      <c r="C310" s="1" t="n">
        <v>45822</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32970-2019</t>
        </is>
      </c>
      <c r="B311" s="1" t="n">
        <v>43648</v>
      </c>
      <c r="C311" s="1" t="n">
        <v>45822</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33673-2019</t>
        </is>
      </c>
      <c r="B312" s="1" t="n">
        <v>43651</v>
      </c>
      <c r="C312" s="1" t="n">
        <v>45822</v>
      </c>
      <c r="D312" t="inlineStr">
        <is>
          <t>GOTLANDS LÄN</t>
        </is>
      </c>
      <c r="E312" t="inlineStr">
        <is>
          <t>GOTLAND</t>
        </is>
      </c>
      <c r="G312" t="n">
        <v>3.8</v>
      </c>
      <c r="H312" t="n">
        <v>0</v>
      </c>
      <c r="I312" t="n">
        <v>0</v>
      </c>
      <c r="J312" t="n">
        <v>0</v>
      </c>
      <c r="K312" t="n">
        <v>0</v>
      </c>
      <c r="L312" t="n">
        <v>0</v>
      </c>
      <c r="M312" t="n">
        <v>0</v>
      </c>
      <c r="N312" t="n">
        <v>0</v>
      </c>
      <c r="O312" t="n">
        <v>0</v>
      </c>
      <c r="P312" t="n">
        <v>0</v>
      </c>
      <c r="Q312" t="n">
        <v>0</v>
      </c>
      <c r="R312" s="2" t="inlineStr"/>
    </row>
    <row r="313" ht="15" customHeight="1">
      <c r="A313" t="inlineStr">
        <is>
          <t>A 33668-2019</t>
        </is>
      </c>
      <c r="B313" s="1" t="n">
        <v>43651</v>
      </c>
      <c r="C313" s="1" t="n">
        <v>45822</v>
      </c>
      <c r="D313" t="inlineStr">
        <is>
          <t>GOTLANDS LÄN</t>
        </is>
      </c>
      <c r="E313" t="inlineStr">
        <is>
          <t>GOTLAND</t>
        </is>
      </c>
      <c r="G313" t="n">
        <v>9.4</v>
      </c>
      <c r="H313" t="n">
        <v>0</v>
      </c>
      <c r="I313" t="n">
        <v>0</v>
      </c>
      <c r="J313" t="n">
        <v>0</v>
      </c>
      <c r="K313" t="n">
        <v>0</v>
      </c>
      <c r="L313" t="n">
        <v>0</v>
      </c>
      <c r="M313" t="n">
        <v>0</v>
      </c>
      <c r="N313" t="n">
        <v>0</v>
      </c>
      <c r="O313" t="n">
        <v>0</v>
      </c>
      <c r="P313" t="n">
        <v>0</v>
      </c>
      <c r="Q313" t="n">
        <v>0</v>
      </c>
      <c r="R313" s="2" t="inlineStr"/>
    </row>
    <row r="314" ht="15" customHeight="1">
      <c r="A314" t="inlineStr">
        <is>
          <t>A 33674-2019</t>
        </is>
      </c>
      <c r="B314" s="1" t="n">
        <v>43651</v>
      </c>
      <c r="C314" s="1" t="n">
        <v>45822</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33646-2019</t>
        </is>
      </c>
      <c r="B315" s="1" t="n">
        <v>43651</v>
      </c>
      <c r="C315" s="1" t="n">
        <v>45822</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34790-2019</t>
        </is>
      </c>
      <c r="B316" s="1" t="n">
        <v>43658</v>
      </c>
      <c r="C316" s="1" t="n">
        <v>45822</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36344-2019</t>
        </is>
      </c>
      <c r="B317" s="1" t="n">
        <v>43661</v>
      </c>
      <c r="C317" s="1" t="n">
        <v>45822</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36072-2019</t>
        </is>
      </c>
      <c r="B318" s="1" t="n">
        <v>43668</v>
      </c>
      <c r="C318" s="1" t="n">
        <v>45822</v>
      </c>
      <c r="D318" t="inlineStr">
        <is>
          <t>GOTLANDS LÄN</t>
        </is>
      </c>
      <c r="E318" t="inlineStr">
        <is>
          <t>GOTLAND</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37028-2019</t>
        </is>
      </c>
      <c r="B319" s="1" t="n">
        <v>43675</v>
      </c>
      <c r="C319" s="1" t="n">
        <v>45822</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40205-2019</t>
        </is>
      </c>
      <c r="B320" s="1" t="n">
        <v>43693</v>
      </c>
      <c r="C320" s="1" t="n">
        <v>45822</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46423-2019</t>
        </is>
      </c>
      <c r="B321" s="1" t="n">
        <v>43719</v>
      </c>
      <c r="C321" s="1" t="n">
        <v>45822</v>
      </c>
      <c r="D321" t="inlineStr">
        <is>
          <t>GOTLANDS LÄN</t>
        </is>
      </c>
      <c r="E321" t="inlineStr">
        <is>
          <t>GOTLAND</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47141-2019</t>
        </is>
      </c>
      <c r="B322" s="1" t="n">
        <v>43721</v>
      </c>
      <c r="C322" s="1" t="n">
        <v>45822</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48459-2019</t>
        </is>
      </c>
      <c r="B323" s="1" t="n">
        <v>43727</v>
      </c>
      <c r="C323" s="1" t="n">
        <v>45822</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49769-2019</t>
        </is>
      </c>
      <c r="B324" s="1" t="n">
        <v>43733</v>
      </c>
      <c r="C324" s="1" t="n">
        <v>45822</v>
      </c>
      <c r="D324" t="inlineStr">
        <is>
          <t>GOTLANDS LÄN</t>
        </is>
      </c>
      <c r="E324" t="inlineStr">
        <is>
          <t>GOTLAND</t>
        </is>
      </c>
      <c r="G324" t="n">
        <v>22.3</v>
      </c>
      <c r="H324" t="n">
        <v>0</v>
      </c>
      <c r="I324" t="n">
        <v>0</v>
      </c>
      <c r="J324" t="n">
        <v>0</v>
      </c>
      <c r="K324" t="n">
        <v>0</v>
      </c>
      <c r="L324" t="n">
        <v>0</v>
      </c>
      <c r="M324" t="n">
        <v>0</v>
      </c>
      <c r="N324" t="n">
        <v>0</v>
      </c>
      <c r="O324" t="n">
        <v>0</v>
      </c>
      <c r="P324" t="n">
        <v>0</v>
      </c>
      <c r="Q324" t="n">
        <v>0</v>
      </c>
      <c r="R324" s="2" t="inlineStr"/>
    </row>
    <row r="325" ht="15" customHeight="1">
      <c r="A325" t="inlineStr">
        <is>
          <t>A 50463-2019</t>
        </is>
      </c>
      <c r="B325" s="1" t="n">
        <v>43735</v>
      </c>
      <c r="C325" s="1" t="n">
        <v>45822</v>
      </c>
      <c r="D325" t="inlineStr">
        <is>
          <t>GOTLANDS LÄN</t>
        </is>
      </c>
      <c r="E325" t="inlineStr">
        <is>
          <t>GOTLAND</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50632-2019</t>
        </is>
      </c>
      <c r="B326" s="1" t="n">
        <v>43737</v>
      </c>
      <c r="C326" s="1" t="n">
        <v>45822</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51577-2019</t>
        </is>
      </c>
      <c r="B327" s="1" t="n">
        <v>43740</v>
      </c>
      <c r="C327" s="1" t="n">
        <v>45822</v>
      </c>
      <c r="D327" t="inlineStr">
        <is>
          <t>GOTLANDS LÄN</t>
        </is>
      </c>
      <c r="E327" t="inlineStr">
        <is>
          <t>GOTLAND</t>
        </is>
      </c>
      <c r="G327" t="n">
        <v>6.5</v>
      </c>
      <c r="H327" t="n">
        <v>0</v>
      </c>
      <c r="I327" t="n">
        <v>0</v>
      </c>
      <c r="J327" t="n">
        <v>0</v>
      </c>
      <c r="K327" t="n">
        <v>0</v>
      </c>
      <c r="L327" t="n">
        <v>0</v>
      </c>
      <c r="M327" t="n">
        <v>0</v>
      </c>
      <c r="N327" t="n">
        <v>0</v>
      </c>
      <c r="O327" t="n">
        <v>0</v>
      </c>
      <c r="P327" t="n">
        <v>0</v>
      </c>
      <c r="Q327" t="n">
        <v>0</v>
      </c>
      <c r="R327" s="2" t="inlineStr"/>
    </row>
    <row r="328" ht="15" customHeight="1">
      <c r="A328" t="inlineStr">
        <is>
          <t>A 53783-2019</t>
        </is>
      </c>
      <c r="B328" s="1" t="n">
        <v>43750</v>
      </c>
      <c r="C328" s="1" t="n">
        <v>45822</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56238-2019</t>
        </is>
      </c>
      <c r="B329" s="1" t="n">
        <v>43762</v>
      </c>
      <c r="C329" s="1" t="n">
        <v>45822</v>
      </c>
      <c r="D329" t="inlineStr">
        <is>
          <t>GOTLANDS LÄN</t>
        </is>
      </c>
      <c r="E329" t="inlineStr">
        <is>
          <t>GOTLAND</t>
        </is>
      </c>
      <c r="G329" t="n">
        <v>5.8</v>
      </c>
      <c r="H329" t="n">
        <v>0</v>
      </c>
      <c r="I329" t="n">
        <v>0</v>
      </c>
      <c r="J329" t="n">
        <v>0</v>
      </c>
      <c r="K329" t="n">
        <v>0</v>
      </c>
      <c r="L329" t="n">
        <v>0</v>
      </c>
      <c r="M329" t="n">
        <v>0</v>
      </c>
      <c r="N329" t="n">
        <v>0</v>
      </c>
      <c r="O329" t="n">
        <v>0</v>
      </c>
      <c r="P329" t="n">
        <v>0</v>
      </c>
      <c r="Q329" t="n">
        <v>0</v>
      </c>
      <c r="R329" s="2" t="inlineStr"/>
    </row>
    <row r="330" ht="15" customHeight="1">
      <c r="A330" t="inlineStr">
        <is>
          <t>A 56845-2019</t>
        </is>
      </c>
      <c r="B330" s="1" t="n">
        <v>43765</v>
      </c>
      <c r="C330" s="1" t="n">
        <v>45822</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62212-2019</t>
        </is>
      </c>
      <c r="B331" s="1" t="n">
        <v>43788</v>
      </c>
      <c r="C331" s="1" t="n">
        <v>45822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62209-2019</t>
        </is>
      </c>
      <c r="B332" s="1" t="n">
        <v>43788</v>
      </c>
      <c r="C332" s="1" t="n">
        <v>45822</v>
      </c>
      <c r="D332" t="inlineStr">
        <is>
          <t>GOTLANDS LÄN</t>
        </is>
      </c>
      <c r="E332" t="inlineStr">
        <is>
          <t>GOTLAND</t>
        </is>
      </c>
      <c r="G332" t="n">
        <v>4.8</v>
      </c>
      <c r="H332" t="n">
        <v>0</v>
      </c>
      <c r="I332" t="n">
        <v>0</v>
      </c>
      <c r="J332" t="n">
        <v>0</v>
      </c>
      <c r="K332" t="n">
        <v>0</v>
      </c>
      <c r="L332" t="n">
        <v>0</v>
      </c>
      <c r="M332" t="n">
        <v>0</v>
      </c>
      <c r="N332" t="n">
        <v>0</v>
      </c>
      <c r="O332" t="n">
        <v>0</v>
      </c>
      <c r="P332" t="n">
        <v>0</v>
      </c>
      <c r="Q332" t="n">
        <v>0</v>
      </c>
      <c r="R332" s="2" t="inlineStr"/>
    </row>
    <row r="333" ht="15" customHeight="1">
      <c r="A333" t="inlineStr">
        <is>
          <t>A 62218-2019</t>
        </is>
      </c>
      <c r="B333" s="1" t="n">
        <v>43788</v>
      </c>
      <c r="C333" s="1" t="n">
        <v>45822</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63366-2019</t>
        </is>
      </c>
      <c r="B334" s="1" t="n">
        <v>43794</v>
      </c>
      <c r="C334" s="1" t="n">
        <v>45822</v>
      </c>
      <c r="D334" t="inlineStr">
        <is>
          <t>GOTLANDS LÄN</t>
        </is>
      </c>
      <c r="E334" t="inlineStr">
        <is>
          <t>GOTLAND</t>
        </is>
      </c>
      <c r="G334" t="n">
        <v>16.4</v>
      </c>
      <c r="H334" t="n">
        <v>0</v>
      </c>
      <c r="I334" t="n">
        <v>0</v>
      </c>
      <c r="J334" t="n">
        <v>0</v>
      </c>
      <c r="K334" t="n">
        <v>0</v>
      </c>
      <c r="L334" t="n">
        <v>0</v>
      </c>
      <c r="M334" t="n">
        <v>0</v>
      </c>
      <c r="N334" t="n">
        <v>0</v>
      </c>
      <c r="O334" t="n">
        <v>0</v>
      </c>
      <c r="P334" t="n">
        <v>0</v>
      </c>
      <c r="Q334" t="n">
        <v>0</v>
      </c>
      <c r="R334" s="2" t="inlineStr"/>
    </row>
    <row r="335" ht="15" customHeight="1">
      <c r="A335" t="inlineStr">
        <is>
          <t>A 63747-2019</t>
        </is>
      </c>
      <c r="B335" s="1" t="n">
        <v>43795</v>
      </c>
      <c r="C335" s="1" t="n">
        <v>45822</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63751-2019</t>
        </is>
      </c>
      <c r="B336" s="1" t="n">
        <v>43795</v>
      </c>
      <c r="C336" s="1" t="n">
        <v>45822</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66960-2019</t>
        </is>
      </c>
      <c r="B337" s="1" t="n">
        <v>43810</v>
      </c>
      <c r="C337" s="1" t="n">
        <v>45822</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67079-2019</t>
        </is>
      </c>
      <c r="B338" s="1" t="n">
        <v>43811</v>
      </c>
      <c r="C338" s="1" t="n">
        <v>45822</v>
      </c>
      <c r="D338" t="inlineStr">
        <is>
          <t>GOTLANDS LÄN</t>
        </is>
      </c>
      <c r="E338" t="inlineStr">
        <is>
          <t>GOTLAND</t>
        </is>
      </c>
      <c r="G338" t="n">
        <v>18.7</v>
      </c>
      <c r="H338" t="n">
        <v>0</v>
      </c>
      <c r="I338" t="n">
        <v>0</v>
      </c>
      <c r="J338" t="n">
        <v>0</v>
      </c>
      <c r="K338" t="n">
        <v>0</v>
      </c>
      <c r="L338" t="n">
        <v>0</v>
      </c>
      <c r="M338" t="n">
        <v>0</v>
      </c>
      <c r="N338" t="n">
        <v>0</v>
      </c>
      <c r="O338" t="n">
        <v>0</v>
      </c>
      <c r="P338" t="n">
        <v>0</v>
      </c>
      <c r="Q338" t="n">
        <v>0</v>
      </c>
      <c r="R338" s="2" t="inlineStr"/>
    </row>
    <row r="339" ht="15" customHeight="1">
      <c r="A339" t="inlineStr">
        <is>
          <t>A 67737-2019</t>
        </is>
      </c>
      <c r="B339" s="1" t="n">
        <v>43815</v>
      </c>
      <c r="C339" s="1" t="n">
        <v>45822</v>
      </c>
      <c r="D339" t="inlineStr">
        <is>
          <t>GOTLANDS LÄN</t>
        </is>
      </c>
      <c r="E339" t="inlineStr">
        <is>
          <t>GOTLAND</t>
        </is>
      </c>
      <c r="G339" t="n">
        <v>22.1</v>
      </c>
      <c r="H339" t="n">
        <v>0</v>
      </c>
      <c r="I339" t="n">
        <v>0</v>
      </c>
      <c r="J339" t="n">
        <v>0</v>
      </c>
      <c r="K339" t="n">
        <v>0</v>
      </c>
      <c r="L339" t="n">
        <v>0</v>
      </c>
      <c r="M339" t="n">
        <v>0</v>
      </c>
      <c r="N339" t="n">
        <v>0</v>
      </c>
      <c r="O339" t="n">
        <v>0</v>
      </c>
      <c r="P339" t="n">
        <v>0</v>
      </c>
      <c r="Q339" t="n">
        <v>0</v>
      </c>
      <c r="R339" s="2" t="inlineStr"/>
    </row>
    <row r="340" ht="15" customHeight="1">
      <c r="A340" t="inlineStr">
        <is>
          <t>A 67791-2019</t>
        </is>
      </c>
      <c r="B340" s="1" t="n">
        <v>43815</v>
      </c>
      <c r="C340" s="1" t="n">
        <v>45822</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67743-2019</t>
        </is>
      </c>
      <c r="B341" s="1" t="n">
        <v>43815</v>
      </c>
      <c r="C341" s="1" t="n">
        <v>45822</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972-2020</t>
        </is>
      </c>
      <c r="B342" s="1" t="n">
        <v>43819</v>
      </c>
      <c r="C342" s="1" t="n">
        <v>45822</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68750-2019</t>
        </is>
      </c>
      <c r="B343" s="1" t="n">
        <v>43819</v>
      </c>
      <c r="C343" s="1" t="n">
        <v>45822</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164-2020</t>
        </is>
      </c>
      <c r="B344" s="1" t="n">
        <v>43833</v>
      </c>
      <c r="C344" s="1" t="n">
        <v>45822</v>
      </c>
      <c r="D344" t="inlineStr">
        <is>
          <t>GOTLANDS LÄN</t>
        </is>
      </c>
      <c r="E344" t="inlineStr">
        <is>
          <t>GOTLAND</t>
        </is>
      </c>
      <c r="F344" t="inlineStr">
        <is>
          <t>Kyrkan</t>
        </is>
      </c>
      <c r="G344" t="n">
        <v>6.2</v>
      </c>
      <c r="H344" t="n">
        <v>0</v>
      </c>
      <c r="I344" t="n">
        <v>0</v>
      </c>
      <c r="J344" t="n">
        <v>0</v>
      </c>
      <c r="K344" t="n">
        <v>0</v>
      </c>
      <c r="L344" t="n">
        <v>0</v>
      </c>
      <c r="M344" t="n">
        <v>0</v>
      </c>
      <c r="N344" t="n">
        <v>0</v>
      </c>
      <c r="O344" t="n">
        <v>0</v>
      </c>
      <c r="P344" t="n">
        <v>0</v>
      </c>
      <c r="Q344" t="n">
        <v>0</v>
      </c>
      <c r="R344" s="2" t="inlineStr"/>
    </row>
    <row r="345" ht="15" customHeight="1">
      <c r="A345" t="inlineStr">
        <is>
          <t>A 768-2020</t>
        </is>
      </c>
      <c r="B345" s="1" t="n">
        <v>43838</v>
      </c>
      <c r="C345" s="1" t="n">
        <v>45822</v>
      </c>
      <c r="D345" t="inlineStr">
        <is>
          <t>GOTLANDS LÄN</t>
        </is>
      </c>
      <c r="E345" t="inlineStr">
        <is>
          <t>GOTLAND</t>
        </is>
      </c>
      <c r="G345" t="n">
        <v>4.3</v>
      </c>
      <c r="H345" t="n">
        <v>0</v>
      </c>
      <c r="I345" t="n">
        <v>0</v>
      </c>
      <c r="J345" t="n">
        <v>0</v>
      </c>
      <c r="K345" t="n">
        <v>0</v>
      </c>
      <c r="L345" t="n">
        <v>0</v>
      </c>
      <c r="M345" t="n">
        <v>0</v>
      </c>
      <c r="N345" t="n">
        <v>0</v>
      </c>
      <c r="O345" t="n">
        <v>0</v>
      </c>
      <c r="P345" t="n">
        <v>0</v>
      </c>
      <c r="Q345" t="n">
        <v>0</v>
      </c>
      <c r="R345" s="2" t="inlineStr"/>
    </row>
    <row r="346" ht="15" customHeight="1">
      <c r="A346" t="inlineStr">
        <is>
          <t>A 1384-2020</t>
        </is>
      </c>
      <c r="B346" s="1" t="n">
        <v>43843</v>
      </c>
      <c r="C346" s="1" t="n">
        <v>45822</v>
      </c>
      <c r="D346" t="inlineStr">
        <is>
          <t>GOTLANDS LÄN</t>
        </is>
      </c>
      <c r="E346" t="inlineStr">
        <is>
          <t>GOTLAND</t>
        </is>
      </c>
      <c r="G346" t="n">
        <v>6</v>
      </c>
      <c r="H346" t="n">
        <v>0</v>
      </c>
      <c r="I346" t="n">
        <v>0</v>
      </c>
      <c r="J346" t="n">
        <v>0</v>
      </c>
      <c r="K346" t="n">
        <v>0</v>
      </c>
      <c r="L346" t="n">
        <v>0</v>
      </c>
      <c r="M346" t="n">
        <v>0</v>
      </c>
      <c r="N346" t="n">
        <v>0</v>
      </c>
      <c r="O346" t="n">
        <v>0</v>
      </c>
      <c r="P346" t="n">
        <v>0</v>
      </c>
      <c r="Q346" t="n">
        <v>0</v>
      </c>
      <c r="R346" s="2" t="inlineStr"/>
    </row>
    <row r="347" ht="15" customHeight="1">
      <c r="A347" t="inlineStr">
        <is>
          <t>A 1541-2020</t>
        </is>
      </c>
      <c r="B347" s="1" t="n">
        <v>43843</v>
      </c>
      <c r="C347" s="1" t="n">
        <v>45822</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2675-2020</t>
        </is>
      </c>
      <c r="B348" s="1" t="n">
        <v>43849</v>
      </c>
      <c r="C348" s="1" t="n">
        <v>45822</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4409-2020</t>
        </is>
      </c>
      <c r="B349" s="1" t="n">
        <v>43850</v>
      </c>
      <c r="C349" s="1" t="n">
        <v>45822</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5724-2020</t>
        </is>
      </c>
      <c r="B350" s="1" t="n">
        <v>43862</v>
      </c>
      <c r="C350" s="1" t="n">
        <v>45822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5731-2020</t>
        </is>
      </c>
      <c r="B351" s="1" t="n">
        <v>43862</v>
      </c>
      <c r="C351" s="1" t="n">
        <v>45822</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5723-2020</t>
        </is>
      </c>
      <c r="B352" s="1" t="n">
        <v>43862</v>
      </c>
      <c r="C352" s="1" t="n">
        <v>45822</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5727-2020</t>
        </is>
      </c>
      <c r="B353" s="1" t="n">
        <v>43862</v>
      </c>
      <c r="C353" s="1" t="n">
        <v>45822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6226-2020</t>
        </is>
      </c>
      <c r="B354" s="1" t="n">
        <v>43865</v>
      </c>
      <c r="C354" s="1" t="n">
        <v>45822</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6611-2020</t>
        </is>
      </c>
      <c r="B355" s="1" t="n">
        <v>43867</v>
      </c>
      <c r="C355" s="1" t="n">
        <v>45822</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8217-2020</t>
        </is>
      </c>
      <c r="B356" s="1" t="n">
        <v>43874</v>
      </c>
      <c r="C356" s="1" t="n">
        <v>45822</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8872-2020</t>
        </is>
      </c>
      <c r="B357" s="1" t="n">
        <v>43878</v>
      </c>
      <c r="C357" s="1" t="n">
        <v>45822</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9502-2020</t>
        </is>
      </c>
      <c r="B358" s="1" t="n">
        <v>43880</v>
      </c>
      <c r="C358" s="1" t="n">
        <v>45822</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10932-2020</t>
        </is>
      </c>
      <c r="B359" s="1" t="n">
        <v>43889</v>
      </c>
      <c r="C359" s="1" t="n">
        <v>45822</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10931-2020</t>
        </is>
      </c>
      <c r="B360" s="1" t="n">
        <v>43889</v>
      </c>
      <c r="C360" s="1" t="n">
        <v>45822</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12309-2020</t>
        </is>
      </c>
      <c r="B361" s="1" t="n">
        <v>43895</v>
      </c>
      <c r="C361" s="1" t="n">
        <v>45822</v>
      </c>
      <c r="D361" t="inlineStr">
        <is>
          <t>GOTLANDS LÄN</t>
        </is>
      </c>
      <c r="E361" t="inlineStr">
        <is>
          <t>GOTLAND</t>
        </is>
      </c>
      <c r="G361" t="n">
        <v>0.9</v>
      </c>
      <c r="H361" t="n">
        <v>0</v>
      </c>
      <c r="I361" t="n">
        <v>0</v>
      </c>
      <c r="J361" t="n">
        <v>0</v>
      </c>
      <c r="K361" t="n">
        <v>0</v>
      </c>
      <c r="L361" t="n">
        <v>0</v>
      </c>
      <c r="M361" t="n">
        <v>0</v>
      </c>
      <c r="N361" t="n">
        <v>0</v>
      </c>
      <c r="O361" t="n">
        <v>0</v>
      </c>
      <c r="P361" t="n">
        <v>0</v>
      </c>
      <c r="Q361" t="n">
        <v>0</v>
      </c>
      <c r="R361" s="2" t="inlineStr"/>
    </row>
    <row r="362" ht="15" customHeight="1">
      <c r="A362" t="inlineStr">
        <is>
          <t>A 13940-2020</t>
        </is>
      </c>
      <c r="B362" s="1" t="n">
        <v>43903</v>
      </c>
      <c r="C362" s="1" t="n">
        <v>45822</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13930-2020</t>
        </is>
      </c>
      <c r="B363" s="1" t="n">
        <v>43906</v>
      </c>
      <c r="C363" s="1" t="n">
        <v>45822</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13995-2020</t>
        </is>
      </c>
      <c r="B364" s="1" t="n">
        <v>43906</v>
      </c>
      <c r="C364" s="1" t="n">
        <v>45822</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13987-2020</t>
        </is>
      </c>
      <c r="B365" s="1" t="n">
        <v>43906</v>
      </c>
      <c r="C365" s="1" t="n">
        <v>45822</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14073-2020</t>
        </is>
      </c>
      <c r="B366" s="1" t="n">
        <v>43907</v>
      </c>
      <c r="C366" s="1" t="n">
        <v>45822</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14074-2020</t>
        </is>
      </c>
      <c r="B367" s="1" t="n">
        <v>43907</v>
      </c>
      <c r="C367" s="1" t="n">
        <v>45822</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16452-2020</t>
        </is>
      </c>
      <c r="B368" s="1" t="n">
        <v>43909</v>
      </c>
      <c r="C368" s="1" t="n">
        <v>45822</v>
      </c>
      <c r="D368" t="inlineStr">
        <is>
          <t>GOTLANDS LÄN</t>
        </is>
      </c>
      <c r="E368" t="inlineStr">
        <is>
          <t>GOTLAND</t>
        </is>
      </c>
      <c r="G368" t="n">
        <v>0.7</v>
      </c>
      <c r="H368" t="n">
        <v>0</v>
      </c>
      <c r="I368" t="n">
        <v>0</v>
      </c>
      <c r="J368" t="n">
        <v>0</v>
      </c>
      <c r="K368" t="n">
        <v>0</v>
      </c>
      <c r="L368" t="n">
        <v>0</v>
      </c>
      <c r="M368" t="n">
        <v>0</v>
      </c>
      <c r="N368" t="n">
        <v>0</v>
      </c>
      <c r="O368" t="n">
        <v>0</v>
      </c>
      <c r="P368" t="n">
        <v>0</v>
      </c>
      <c r="Q368" t="n">
        <v>0</v>
      </c>
      <c r="R368" s="2" t="inlineStr"/>
    </row>
    <row r="369" ht="15" customHeight="1">
      <c r="A369" t="inlineStr">
        <is>
          <t>A 14995-2020</t>
        </is>
      </c>
      <c r="B369" s="1" t="n">
        <v>43910</v>
      </c>
      <c r="C369" s="1" t="n">
        <v>45822</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15202-2020</t>
        </is>
      </c>
      <c r="B370" s="1" t="n">
        <v>43913</v>
      </c>
      <c r="C370" s="1" t="n">
        <v>45822</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15197-2020</t>
        </is>
      </c>
      <c r="B371" s="1" t="n">
        <v>43913</v>
      </c>
      <c r="C371" s="1" t="n">
        <v>45822</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15888-2020</t>
        </is>
      </c>
      <c r="B372" s="1" t="n">
        <v>43915</v>
      </c>
      <c r="C372" s="1" t="n">
        <v>45822</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16133-2020</t>
        </is>
      </c>
      <c r="B373" s="1" t="n">
        <v>43916</v>
      </c>
      <c r="C373" s="1" t="n">
        <v>45822</v>
      </c>
      <c r="D373" t="inlineStr">
        <is>
          <t>GOTLANDS LÄN</t>
        </is>
      </c>
      <c r="E373" t="inlineStr">
        <is>
          <t>GOTLAND</t>
        </is>
      </c>
      <c r="G373" t="n">
        <v>6.7</v>
      </c>
      <c r="H373" t="n">
        <v>0</v>
      </c>
      <c r="I373" t="n">
        <v>0</v>
      </c>
      <c r="J373" t="n">
        <v>0</v>
      </c>
      <c r="K373" t="n">
        <v>0</v>
      </c>
      <c r="L373" t="n">
        <v>0</v>
      </c>
      <c r="M373" t="n">
        <v>0</v>
      </c>
      <c r="N373" t="n">
        <v>0</v>
      </c>
      <c r="O373" t="n">
        <v>0</v>
      </c>
      <c r="P373" t="n">
        <v>0</v>
      </c>
      <c r="Q373" t="n">
        <v>0</v>
      </c>
      <c r="R373" s="2" t="inlineStr"/>
    </row>
    <row r="374" ht="15" customHeight="1">
      <c r="A374" t="inlineStr">
        <is>
          <t>A 17403-2020</t>
        </is>
      </c>
      <c r="B374" s="1" t="n">
        <v>43917</v>
      </c>
      <c r="C374" s="1" t="n">
        <v>45822</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17869-2020</t>
        </is>
      </c>
      <c r="B375" s="1" t="n">
        <v>43924</v>
      </c>
      <c r="C375" s="1" t="n">
        <v>45822</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19900-2020</t>
        </is>
      </c>
      <c r="B376" s="1" t="n">
        <v>43942</v>
      </c>
      <c r="C376" s="1" t="n">
        <v>45822</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21568-2020</t>
        </is>
      </c>
      <c r="B377" s="1" t="n">
        <v>43956</v>
      </c>
      <c r="C377" s="1" t="n">
        <v>45822</v>
      </c>
      <c r="D377" t="inlineStr">
        <is>
          <t>GOTLANDS LÄN</t>
        </is>
      </c>
      <c r="E377" t="inlineStr">
        <is>
          <t>GOTLAND</t>
        </is>
      </c>
      <c r="G377" t="n">
        <v>2.8</v>
      </c>
      <c r="H377" t="n">
        <v>0</v>
      </c>
      <c r="I377" t="n">
        <v>0</v>
      </c>
      <c r="J377" t="n">
        <v>0</v>
      </c>
      <c r="K377" t="n">
        <v>0</v>
      </c>
      <c r="L377" t="n">
        <v>0</v>
      </c>
      <c r="M377" t="n">
        <v>0</v>
      </c>
      <c r="N377" t="n">
        <v>0</v>
      </c>
      <c r="O377" t="n">
        <v>0</v>
      </c>
      <c r="P377" t="n">
        <v>0</v>
      </c>
      <c r="Q377" t="n">
        <v>0</v>
      </c>
      <c r="R377" s="2" t="inlineStr"/>
    </row>
    <row r="378" ht="15" customHeight="1">
      <c r="A378" t="inlineStr">
        <is>
          <t>A 22093-2020</t>
        </is>
      </c>
      <c r="B378" s="1" t="n">
        <v>43959</v>
      </c>
      <c r="C378" s="1" t="n">
        <v>45822</v>
      </c>
      <c r="D378" t="inlineStr">
        <is>
          <t>GOTLANDS LÄN</t>
        </is>
      </c>
      <c r="E378" t="inlineStr">
        <is>
          <t>GOTLAND</t>
        </is>
      </c>
      <c r="F378" t="inlineStr">
        <is>
          <t>Kommuner</t>
        </is>
      </c>
      <c r="G378" t="n">
        <v>0.6</v>
      </c>
      <c r="H378" t="n">
        <v>0</v>
      </c>
      <c r="I378" t="n">
        <v>0</v>
      </c>
      <c r="J378" t="n">
        <v>0</v>
      </c>
      <c r="K378" t="n">
        <v>0</v>
      </c>
      <c r="L378" t="n">
        <v>0</v>
      </c>
      <c r="M378" t="n">
        <v>0</v>
      </c>
      <c r="N378" t="n">
        <v>0</v>
      </c>
      <c r="O378" t="n">
        <v>0</v>
      </c>
      <c r="P378" t="n">
        <v>0</v>
      </c>
      <c r="Q378" t="n">
        <v>0</v>
      </c>
      <c r="R378" s="2" t="inlineStr"/>
    </row>
    <row r="379" ht="15" customHeight="1">
      <c r="A379" t="inlineStr">
        <is>
          <t>A 22329-2020</t>
        </is>
      </c>
      <c r="B379" s="1" t="n">
        <v>43962</v>
      </c>
      <c r="C379" s="1" t="n">
        <v>45822</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22333-2020</t>
        </is>
      </c>
      <c r="B380" s="1" t="n">
        <v>43962</v>
      </c>
      <c r="C380" s="1" t="n">
        <v>45822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23498-2020</t>
        </is>
      </c>
      <c r="B381" s="1" t="n">
        <v>43969</v>
      </c>
      <c r="C381" s="1" t="n">
        <v>45822</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23728-2020</t>
        </is>
      </c>
      <c r="B382" s="1" t="n">
        <v>43970</v>
      </c>
      <c r="C382" s="1" t="n">
        <v>45822</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24537-2020</t>
        </is>
      </c>
      <c r="B383" s="1" t="n">
        <v>43977</v>
      </c>
      <c r="C383" s="1" t="n">
        <v>45822</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25039-2020</t>
        </is>
      </c>
      <c r="B384" s="1" t="n">
        <v>43979</v>
      </c>
      <c r="C384" s="1" t="n">
        <v>45822</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26117-2020</t>
        </is>
      </c>
      <c r="B385" s="1" t="n">
        <v>43985</v>
      </c>
      <c r="C385" s="1" t="n">
        <v>45822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27322-2020</t>
        </is>
      </c>
      <c r="B386" s="1" t="n">
        <v>43992</v>
      </c>
      <c r="C386" s="1" t="n">
        <v>45822</v>
      </c>
      <c r="D386" t="inlineStr">
        <is>
          <t>GOTLANDS LÄN</t>
        </is>
      </c>
      <c r="E386" t="inlineStr">
        <is>
          <t>GOTLAND</t>
        </is>
      </c>
      <c r="F386" t="inlineStr">
        <is>
          <t>Övriga statliga verk och myndigheter</t>
        </is>
      </c>
      <c r="G386" t="n">
        <v>7.4</v>
      </c>
      <c r="H386" t="n">
        <v>0</v>
      </c>
      <c r="I386" t="n">
        <v>0</v>
      </c>
      <c r="J386" t="n">
        <v>0</v>
      </c>
      <c r="K386" t="n">
        <v>0</v>
      </c>
      <c r="L386" t="n">
        <v>0</v>
      </c>
      <c r="M386" t="n">
        <v>0</v>
      </c>
      <c r="N386" t="n">
        <v>0</v>
      </c>
      <c r="O386" t="n">
        <v>0</v>
      </c>
      <c r="P386" t="n">
        <v>0</v>
      </c>
      <c r="Q386" t="n">
        <v>0</v>
      </c>
      <c r="R386" s="2" t="inlineStr"/>
    </row>
    <row r="387" ht="15" customHeight="1">
      <c r="A387" t="inlineStr">
        <is>
          <t>A 27334-2020</t>
        </is>
      </c>
      <c r="B387" s="1" t="n">
        <v>43992</v>
      </c>
      <c r="C387" s="1" t="n">
        <v>45822</v>
      </c>
      <c r="D387" t="inlineStr">
        <is>
          <t>GOTLANDS LÄN</t>
        </is>
      </c>
      <c r="E387" t="inlineStr">
        <is>
          <t>GOTLAND</t>
        </is>
      </c>
      <c r="F387" t="inlineStr">
        <is>
          <t>Övriga statliga verk och myndigheter</t>
        </is>
      </c>
      <c r="G387" t="n">
        <v>5.4</v>
      </c>
      <c r="H387" t="n">
        <v>0</v>
      </c>
      <c r="I387" t="n">
        <v>0</v>
      </c>
      <c r="J387" t="n">
        <v>0</v>
      </c>
      <c r="K387" t="n">
        <v>0</v>
      </c>
      <c r="L387" t="n">
        <v>0</v>
      </c>
      <c r="M387" t="n">
        <v>0</v>
      </c>
      <c r="N387" t="n">
        <v>0</v>
      </c>
      <c r="O387" t="n">
        <v>0</v>
      </c>
      <c r="P387" t="n">
        <v>0</v>
      </c>
      <c r="Q387" t="n">
        <v>0</v>
      </c>
      <c r="R387" s="2" t="inlineStr"/>
    </row>
    <row r="388" ht="15" customHeight="1">
      <c r="A388" t="inlineStr">
        <is>
          <t>A 27723-2020</t>
        </is>
      </c>
      <c r="B388" s="1" t="n">
        <v>43994</v>
      </c>
      <c r="C388" s="1" t="n">
        <v>45822</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27719-2020</t>
        </is>
      </c>
      <c r="B389" s="1" t="n">
        <v>43994</v>
      </c>
      <c r="C389" s="1" t="n">
        <v>45822</v>
      </c>
      <c r="D389" t="inlineStr">
        <is>
          <t>GOTLANDS LÄN</t>
        </is>
      </c>
      <c r="E389" t="inlineStr">
        <is>
          <t>GOTLAND</t>
        </is>
      </c>
      <c r="F389" t="inlineStr">
        <is>
          <t>Övriga statliga verk och myndigheter</t>
        </is>
      </c>
      <c r="G389" t="n">
        <v>0.5</v>
      </c>
      <c r="H389" t="n">
        <v>0</v>
      </c>
      <c r="I389" t="n">
        <v>0</v>
      </c>
      <c r="J389" t="n">
        <v>0</v>
      </c>
      <c r="K389" t="n">
        <v>0</v>
      </c>
      <c r="L389" t="n">
        <v>0</v>
      </c>
      <c r="M389" t="n">
        <v>0</v>
      </c>
      <c r="N389" t="n">
        <v>0</v>
      </c>
      <c r="O389" t="n">
        <v>0</v>
      </c>
      <c r="P389" t="n">
        <v>0</v>
      </c>
      <c r="Q389" t="n">
        <v>0</v>
      </c>
      <c r="R389" s="2" t="inlineStr"/>
    </row>
    <row r="390" ht="15" customHeight="1">
      <c r="A390" t="inlineStr">
        <is>
          <t>A 27713-2020</t>
        </is>
      </c>
      <c r="B390" s="1" t="n">
        <v>43994</v>
      </c>
      <c r="C390" s="1" t="n">
        <v>45822</v>
      </c>
      <c r="D390" t="inlineStr">
        <is>
          <t>GOTLANDS LÄN</t>
        </is>
      </c>
      <c r="E390" t="inlineStr">
        <is>
          <t>GOTLAND</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29529-2020</t>
        </is>
      </c>
      <c r="B391" s="1" t="n">
        <v>44005</v>
      </c>
      <c r="C391" s="1" t="n">
        <v>45822</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29915-2020</t>
        </is>
      </c>
      <c r="B392" s="1" t="n">
        <v>44006</v>
      </c>
      <c r="C392" s="1" t="n">
        <v>45822</v>
      </c>
      <c r="D392" t="inlineStr">
        <is>
          <t>GOTLANDS LÄN</t>
        </is>
      </c>
      <c r="E392" t="inlineStr">
        <is>
          <t>GOTLAND</t>
        </is>
      </c>
      <c r="F392" t="inlineStr">
        <is>
          <t>Kommuner</t>
        </is>
      </c>
      <c r="G392" t="n">
        <v>5.8</v>
      </c>
      <c r="H392" t="n">
        <v>0</v>
      </c>
      <c r="I392" t="n">
        <v>0</v>
      </c>
      <c r="J392" t="n">
        <v>0</v>
      </c>
      <c r="K392" t="n">
        <v>0</v>
      </c>
      <c r="L392" t="n">
        <v>0</v>
      </c>
      <c r="M392" t="n">
        <v>0</v>
      </c>
      <c r="N392" t="n">
        <v>0</v>
      </c>
      <c r="O392" t="n">
        <v>0</v>
      </c>
      <c r="P392" t="n">
        <v>0</v>
      </c>
      <c r="Q392" t="n">
        <v>0</v>
      </c>
      <c r="R392" s="2" t="inlineStr"/>
    </row>
    <row r="393" ht="15" customHeight="1">
      <c r="A393" t="inlineStr">
        <is>
          <t>A 30980-2020</t>
        </is>
      </c>
      <c r="B393" s="1" t="n">
        <v>44011</v>
      </c>
      <c r="C393" s="1" t="n">
        <v>45822</v>
      </c>
      <c r="D393" t="inlineStr">
        <is>
          <t>GOTLANDS LÄN</t>
        </is>
      </c>
      <c r="E393" t="inlineStr">
        <is>
          <t>GOTLAND</t>
        </is>
      </c>
      <c r="G393" t="n">
        <v>17.9</v>
      </c>
      <c r="H393" t="n">
        <v>0</v>
      </c>
      <c r="I393" t="n">
        <v>0</v>
      </c>
      <c r="J393" t="n">
        <v>0</v>
      </c>
      <c r="K393" t="n">
        <v>0</v>
      </c>
      <c r="L393" t="n">
        <v>0</v>
      </c>
      <c r="M393" t="n">
        <v>0</v>
      </c>
      <c r="N393" t="n">
        <v>0</v>
      </c>
      <c r="O393" t="n">
        <v>0</v>
      </c>
      <c r="P393" t="n">
        <v>0</v>
      </c>
      <c r="Q393" t="n">
        <v>0</v>
      </c>
      <c r="R393" s="2" t="inlineStr"/>
    </row>
    <row r="394" ht="15" customHeight="1">
      <c r="A394" t="inlineStr">
        <is>
          <t>A 32804-2020</t>
        </is>
      </c>
      <c r="B394" s="1" t="n">
        <v>44018</v>
      </c>
      <c r="C394" s="1" t="n">
        <v>45822</v>
      </c>
      <c r="D394" t="inlineStr">
        <is>
          <t>GOTLANDS LÄN</t>
        </is>
      </c>
      <c r="E394" t="inlineStr">
        <is>
          <t>GOTLAND</t>
        </is>
      </c>
      <c r="G394" t="n">
        <v>19.3</v>
      </c>
      <c r="H394" t="n">
        <v>0</v>
      </c>
      <c r="I394" t="n">
        <v>0</v>
      </c>
      <c r="J394" t="n">
        <v>0</v>
      </c>
      <c r="K394" t="n">
        <v>0</v>
      </c>
      <c r="L394" t="n">
        <v>0</v>
      </c>
      <c r="M394" t="n">
        <v>0</v>
      </c>
      <c r="N394" t="n">
        <v>0</v>
      </c>
      <c r="O394" t="n">
        <v>0</v>
      </c>
      <c r="P394" t="n">
        <v>0</v>
      </c>
      <c r="Q394" t="n">
        <v>0</v>
      </c>
      <c r="R394" s="2" t="inlineStr"/>
    </row>
    <row r="395" ht="15" customHeight="1">
      <c r="A395" t="inlineStr">
        <is>
          <t>A 32974-2020</t>
        </is>
      </c>
      <c r="B395" s="1" t="n">
        <v>44020</v>
      </c>
      <c r="C395" s="1" t="n">
        <v>45822</v>
      </c>
      <c r="D395" t="inlineStr">
        <is>
          <t>GOTLANDS LÄN</t>
        </is>
      </c>
      <c r="E395" t="inlineStr">
        <is>
          <t>GOTLAND</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35074-2020</t>
        </is>
      </c>
      <c r="B396" s="1" t="n">
        <v>44039</v>
      </c>
      <c r="C396" s="1" t="n">
        <v>45822</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36073-2020</t>
        </is>
      </c>
      <c r="B397" s="1" t="n">
        <v>44048</v>
      </c>
      <c r="C397" s="1" t="n">
        <v>45822</v>
      </c>
      <c r="D397" t="inlineStr">
        <is>
          <t>GOTLANDS LÄN</t>
        </is>
      </c>
      <c r="E397" t="inlineStr">
        <is>
          <t>GOTLAND</t>
        </is>
      </c>
      <c r="G397" t="n">
        <v>10.1</v>
      </c>
      <c r="H397" t="n">
        <v>0</v>
      </c>
      <c r="I397" t="n">
        <v>0</v>
      </c>
      <c r="J397" t="n">
        <v>0</v>
      </c>
      <c r="K397" t="n">
        <v>0</v>
      </c>
      <c r="L397" t="n">
        <v>0</v>
      </c>
      <c r="M397" t="n">
        <v>0</v>
      </c>
      <c r="N397" t="n">
        <v>0</v>
      </c>
      <c r="O397" t="n">
        <v>0</v>
      </c>
      <c r="P397" t="n">
        <v>0</v>
      </c>
      <c r="Q397" t="n">
        <v>0</v>
      </c>
      <c r="R397" s="2" t="inlineStr"/>
    </row>
    <row r="398" ht="15" customHeight="1">
      <c r="A398" t="inlineStr">
        <is>
          <t>A 36076-2020</t>
        </is>
      </c>
      <c r="B398" s="1" t="n">
        <v>44048</v>
      </c>
      <c r="C398" s="1" t="n">
        <v>45822</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36284-2020</t>
        </is>
      </c>
      <c r="B399" s="1" t="n">
        <v>44049</v>
      </c>
      <c r="C399" s="1" t="n">
        <v>45822</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37204-2020</t>
        </is>
      </c>
      <c r="B400" s="1" t="n">
        <v>44054</v>
      </c>
      <c r="C400" s="1" t="n">
        <v>45822</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38709-2020</t>
        </is>
      </c>
      <c r="B401" s="1" t="n">
        <v>44061</v>
      </c>
      <c r="C401" s="1" t="n">
        <v>45822</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39477-2020</t>
        </is>
      </c>
      <c r="B402" s="1" t="n">
        <v>44064</v>
      </c>
      <c r="C402" s="1" t="n">
        <v>45822</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41109-2020</t>
        </is>
      </c>
      <c r="B403" s="1" t="n">
        <v>44069</v>
      </c>
      <c r="C403" s="1" t="n">
        <v>45822</v>
      </c>
      <c r="D403" t="inlineStr">
        <is>
          <t>GOTLANDS LÄN</t>
        </is>
      </c>
      <c r="E403" t="inlineStr">
        <is>
          <t>GOTLAND</t>
        </is>
      </c>
      <c r="G403" t="n">
        <v>2.5</v>
      </c>
      <c r="H403" t="n">
        <v>0</v>
      </c>
      <c r="I403" t="n">
        <v>0</v>
      </c>
      <c r="J403" t="n">
        <v>0</v>
      </c>
      <c r="K403" t="n">
        <v>0</v>
      </c>
      <c r="L403" t="n">
        <v>0</v>
      </c>
      <c r="M403" t="n">
        <v>0</v>
      </c>
      <c r="N403" t="n">
        <v>0</v>
      </c>
      <c r="O403" t="n">
        <v>0</v>
      </c>
      <c r="P403" t="n">
        <v>0</v>
      </c>
      <c r="Q403" t="n">
        <v>0</v>
      </c>
      <c r="R403" s="2" t="inlineStr"/>
    </row>
    <row r="404" ht="15" customHeight="1">
      <c r="A404" t="inlineStr">
        <is>
          <t>A 41576-2020</t>
        </is>
      </c>
      <c r="B404" s="1" t="n">
        <v>44074</v>
      </c>
      <c r="C404" s="1" t="n">
        <v>45822</v>
      </c>
      <c r="D404" t="inlineStr">
        <is>
          <t>GOTLANDS LÄN</t>
        </is>
      </c>
      <c r="E404" t="inlineStr">
        <is>
          <t>GOTLAND</t>
        </is>
      </c>
      <c r="G404" t="n">
        <v>8.4</v>
      </c>
      <c r="H404" t="n">
        <v>0</v>
      </c>
      <c r="I404" t="n">
        <v>0</v>
      </c>
      <c r="J404" t="n">
        <v>0</v>
      </c>
      <c r="K404" t="n">
        <v>0</v>
      </c>
      <c r="L404" t="n">
        <v>0</v>
      </c>
      <c r="M404" t="n">
        <v>0</v>
      </c>
      <c r="N404" t="n">
        <v>0</v>
      </c>
      <c r="O404" t="n">
        <v>0</v>
      </c>
      <c r="P404" t="n">
        <v>0</v>
      </c>
      <c r="Q404" t="n">
        <v>0</v>
      </c>
      <c r="R404" s="2" t="inlineStr"/>
    </row>
    <row r="405" ht="15" customHeight="1">
      <c r="A405" t="inlineStr">
        <is>
          <t>A 45921-2020</t>
        </is>
      </c>
      <c r="B405" s="1" t="n">
        <v>44088</v>
      </c>
      <c r="C405" s="1" t="n">
        <v>45822</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46019-2020</t>
        </is>
      </c>
      <c r="B406" s="1" t="n">
        <v>44091</v>
      </c>
      <c r="C406" s="1" t="n">
        <v>45822</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46778-2020</t>
        </is>
      </c>
      <c r="B407" s="1" t="n">
        <v>44096</v>
      </c>
      <c r="C407" s="1" t="n">
        <v>45822</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53641-2020</t>
        </is>
      </c>
      <c r="B408" s="1" t="n">
        <v>44124</v>
      </c>
      <c r="C408" s="1" t="n">
        <v>45822</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53665-2020</t>
        </is>
      </c>
      <c r="B409" s="1" t="n">
        <v>44124</v>
      </c>
      <c r="C409" s="1" t="n">
        <v>45822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59052-2020</t>
        </is>
      </c>
      <c r="B410" s="1" t="n">
        <v>44147</v>
      </c>
      <c r="C410" s="1" t="n">
        <v>45822</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59630-2020</t>
        </is>
      </c>
      <c r="B411" s="1" t="n">
        <v>44150</v>
      </c>
      <c r="C411" s="1" t="n">
        <v>45822</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60356-2020</t>
        </is>
      </c>
      <c r="B412" s="1" t="n">
        <v>44152</v>
      </c>
      <c r="C412" s="1" t="n">
        <v>45822</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62120-2020</t>
        </is>
      </c>
      <c r="B413" s="1" t="n">
        <v>44158</v>
      </c>
      <c r="C413" s="1" t="n">
        <v>45822</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64380-2020</t>
        </is>
      </c>
      <c r="B414" s="1" t="n">
        <v>44168</v>
      </c>
      <c r="C414" s="1" t="n">
        <v>45822</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65126-2020</t>
        </is>
      </c>
      <c r="B415" s="1" t="n">
        <v>44168</v>
      </c>
      <c r="C415" s="1" t="n">
        <v>45822</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65537-2020</t>
        </is>
      </c>
      <c r="B416" s="1" t="n">
        <v>44173</v>
      </c>
      <c r="C416" s="1" t="n">
        <v>45822</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69643-2020</t>
        </is>
      </c>
      <c r="B417" s="1" t="n">
        <v>44195</v>
      </c>
      <c r="C417" s="1" t="n">
        <v>45822</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14-2021</t>
        </is>
      </c>
      <c r="B418" s="1" t="n">
        <v>44197</v>
      </c>
      <c r="C418" s="1" t="n">
        <v>45822</v>
      </c>
      <c r="D418" t="inlineStr">
        <is>
          <t>GOTLANDS LÄN</t>
        </is>
      </c>
      <c r="E418" t="inlineStr">
        <is>
          <t>GOTLAND</t>
        </is>
      </c>
      <c r="F418" t="inlineStr">
        <is>
          <t>Kyrkan</t>
        </is>
      </c>
      <c r="G418" t="n">
        <v>1.3</v>
      </c>
      <c r="H418" t="n">
        <v>0</v>
      </c>
      <c r="I418" t="n">
        <v>0</v>
      </c>
      <c r="J418" t="n">
        <v>0</v>
      </c>
      <c r="K418" t="n">
        <v>0</v>
      </c>
      <c r="L418" t="n">
        <v>0</v>
      </c>
      <c r="M418" t="n">
        <v>0</v>
      </c>
      <c r="N418" t="n">
        <v>0</v>
      </c>
      <c r="O418" t="n">
        <v>0</v>
      </c>
      <c r="P418" t="n">
        <v>0</v>
      </c>
      <c r="Q418" t="n">
        <v>0</v>
      </c>
      <c r="R418" s="2" t="inlineStr"/>
    </row>
    <row r="419" ht="15" customHeight="1">
      <c r="A419" t="inlineStr">
        <is>
          <t>A 1229-2021</t>
        </is>
      </c>
      <c r="B419" s="1" t="n">
        <v>44208</v>
      </c>
      <c r="C419" s="1" t="n">
        <v>45822</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2292-2021</t>
        </is>
      </c>
      <c r="B420" s="1" t="n">
        <v>44212</v>
      </c>
      <c r="C420" s="1" t="n">
        <v>45822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2608-2021</t>
        </is>
      </c>
      <c r="B421" s="1" t="n">
        <v>44214</v>
      </c>
      <c r="C421" s="1" t="n">
        <v>45822</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3319-2021</t>
        </is>
      </c>
      <c r="B422" s="1" t="n">
        <v>44216</v>
      </c>
      <c r="C422" s="1" t="n">
        <v>45822</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3172-2021</t>
        </is>
      </c>
      <c r="B423" s="1" t="n">
        <v>44217</v>
      </c>
      <c r="C423" s="1" t="n">
        <v>45822</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3271-2021</t>
        </is>
      </c>
      <c r="B424" s="1" t="n">
        <v>44217</v>
      </c>
      <c r="C424" s="1" t="n">
        <v>45822</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8329-2021</t>
        </is>
      </c>
      <c r="B425" s="1" t="n">
        <v>44244</v>
      </c>
      <c r="C425" s="1" t="n">
        <v>45822</v>
      </c>
      <c r="D425" t="inlineStr">
        <is>
          <t>GOTLANDS LÄN</t>
        </is>
      </c>
      <c r="E425" t="inlineStr">
        <is>
          <t>GOTLAND</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8700-2021</t>
        </is>
      </c>
      <c r="B426" s="1" t="n">
        <v>44246</v>
      </c>
      <c r="C426" s="1" t="n">
        <v>45822</v>
      </c>
      <c r="D426" t="inlineStr">
        <is>
          <t>GOTLANDS LÄN</t>
        </is>
      </c>
      <c r="E426" t="inlineStr">
        <is>
          <t>GOTLAND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11400-2021</t>
        </is>
      </c>
      <c r="B427" s="1" t="n">
        <v>44263</v>
      </c>
      <c r="C427" s="1" t="n">
        <v>45822</v>
      </c>
      <c r="D427" t="inlineStr">
        <is>
          <t>GOTLANDS LÄN</t>
        </is>
      </c>
      <c r="E427" t="inlineStr">
        <is>
          <t>GOTLAND</t>
        </is>
      </c>
      <c r="G427" t="n">
        <v>5.6</v>
      </c>
      <c r="H427" t="n">
        <v>0</v>
      </c>
      <c r="I427" t="n">
        <v>0</v>
      </c>
      <c r="J427" t="n">
        <v>0</v>
      </c>
      <c r="K427" t="n">
        <v>0</v>
      </c>
      <c r="L427" t="n">
        <v>0</v>
      </c>
      <c r="M427" t="n">
        <v>0</v>
      </c>
      <c r="N427" t="n">
        <v>0</v>
      </c>
      <c r="O427" t="n">
        <v>0</v>
      </c>
      <c r="P427" t="n">
        <v>0</v>
      </c>
      <c r="Q427" t="n">
        <v>0</v>
      </c>
      <c r="R427" s="2" t="inlineStr"/>
    </row>
    <row r="428" ht="15" customHeight="1">
      <c r="A428" t="inlineStr">
        <is>
          <t>A 11402-2021</t>
        </is>
      </c>
      <c r="B428" s="1" t="n">
        <v>44263</v>
      </c>
      <c r="C428" s="1" t="n">
        <v>45822</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12318-2021</t>
        </is>
      </c>
      <c r="B429" s="1" t="n">
        <v>44266</v>
      </c>
      <c r="C429" s="1" t="n">
        <v>45822</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13274-2021</t>
        </is>
      </c>
      <c r="B430" s="1" t="n">
        <v>44272</v>
      </c>
      <c r="C430" s="1" t="n">
        <v>45822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v>
      </c>
      <c r="C431" s="1" t="n">
        <v>45822</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14804-2021</t>
        </is>
      </c>
      <c r="B432" s="1" t="n">
        <v>44280</v>
      </c>
      <c r="C432" s="1" t="n">
        <v>45822</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15127-2021</t>
        </is>
      </c>
      <c r="B433" s="1" t="n">
        <v>44283</v>
      </c>
      <c r="C433" s="1" t="n">
        <v>45822</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16435-2021</t>
        </is>
      </c>
      <c r="B434" s="1" t="n">
        <v>44293</v>
      </c>
      <c r="C434" s="1" t="n">
        <v>45822</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17254-2021</t>
        </is>
      </c>
      <c r="B435" s="1" t="n">
        <v>44298</v>
      </c>
      <c r="C435" s="1" t="n">
        <v>45822</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17227-2021</t>
        </is>
      </c>
      <c r="B436" s="1" t="n">
        <v>44298</v>
      </c>
      <c r="C436" s="1" t="n">
        <v>45822</v>
      </c>
      <c r="D436" t="inlineStr">
        <is>
          <t>GOTLANDS LÄN</t>
        </is>
      </c>
      <c r="E436" t="inlineStr">
        <is>
          <t>GOTLAND</t>
        </is>
      </c>
      <c r="G436" t="n">
        <v>6.2</v>
      </c>
      <c r="H436" t="n">
        <v>0</v>
      </c>
      <c r="I436" t="n">
        <v>0</v>
      </c>
      <c r="J436" t="n">
        <v>0</v>
      </c>
      <c r="K436" t="n">
        <v>0</v>
      </c>
      <c r="L436" t="n">
        <v>0</v>
      </c>
      <c r="M436" t="n">
        <v>0</v>
      </c>
      <c r="N436" t="n">
        <v>0</v>
      </c>
      <c r="O436" t="n">
        <v>0</v>
      </c>
      <c r="P436" t="n">
        <v>0</v>
      </c>
      <c r="Q436" t="n">
        <v>0</v>
      </c>
      <c r="R436" s="2" t="inlineStr"/>
    </row>
    <row r="437" ht="15" customHeight="1">
      <c r="A437" t="inlineStr">
        <is>
          <t>A 17199-2021</t>
        </is>
      </c>
      <c r="B437" s="1" t="n">
        <v>44298</v>
      </c>
      <c r="C437" s="1" t="n">
        <v>45822</v>
      </c>
      <c r="D437" t="inlineStr">
        <is>
          <t>GOTLANDS LÄN</t>
        </is>
      </c>
      <c r="E437" t="inlineStr">
        <is>
          <t>GOTLAND</t>
        </is>
      </c>
      <c r="G437" t="n">
        <v>9.6</v>
      </c>
      <c r="H437" t="n">
        <v>0</v>
      </c>
      <c r="I437" t="n">
        <v>0</v>
      </c>
      <c r="J437" t="n">
        <v>0</v>
      </c>
      <c r="K437" t="n">
        <v>0</v>
      </c>
      <c r="L437" t="n">
        <v>0</v>
      </c>
      <c r="M437" t="n">
        <v>0</v>
      </c>
      <c r="N437" t="n">
        <v>0</v>
      </c>
      <c r="O437" t="n">
        <v>0</v>
      </c>
      <c r="P437" t="n">
        <v>0</v>
      </c>
      <c r="Q437" t="n">
        <v>0</v>
      </c>
      <c r="R437" s="2" t="inlineStr"/>
    </row>
    <row r="438" ht="15" customHeight="1">
      <c r="A438" t="inlineStr">
        <is>
          <t>A 17585-2021</t>
        </is>
      </c>
      <c r="B438" s="1" t="n">
        <v>44299</v>
      </c>
      <c r="C438" s="1" t="n">
        <v>45822</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17920-2021</t>
        </is>
      </c>
      <c r="B439" s="1" t="n">
        <v>44301</v>
      </c>
      <c r="C439" s="1" t="n">
        <v>45822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18038-2021</t>
        </is>
      </c>
      <c r="B440" s="1" t="n">
        <v>44302</v>
      </c>
      <c r="C440" s="1" t="n">
        <v>45822</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19447-2021</t>
        </is>
      </c>
      <c r="B441" s="1" t="n">
        <v>44310</v>
      </c>
      <c r="C441" s="1" t="n">
        <v>45822</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19448-2021</t>
        </is>
      </c>
      <c r="B442" s="1" t="n">
        <v>44310</v>
      </c>
      <c r="C442" s="1" t="n">
        <v>45822</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19892-2021</t>
        </is>
      </c>
      <c r="B443" s="1" t="n">
        <v>44312</v>
      </c>
      <c r="C443" s="1" t="n">
        <v>45822</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19901-2021</t>
        </is>
      </c>
      <c r="B444" s="1" t="n">
        <v>44312</v>
      </c>
      <c r="C444" s="1" t="n">
        <v>45822</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19939-2021</t>
        </is>
      </c>
      <c r="B445" s="1" t="n">
        <v>44313</v>
      </c>
      <c r="C445" s="1" t="n">
        <v>45822</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20111-2021</t>
        </is>
      </c>
      <c r="B446" s="1" t="n">
        <v>44314</v>
      </c>
      <c r="C446" s="1" t="n">
        <v>45822</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21507-2021</t>
        </is>
      </c>
      <c r="B447" s="1" t="n">
        <v>44321</v>
      </c>
      <c r="C447" s="1" t="n">
        <v>45822</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22155-2021</t>
        </is>
      </c>
      <c r="B448" s="1" t="n">
        <v>44325</v>
      </c>
      <c r="C448" s="1" t="n">
        <v>45822</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23910-2021</t>
        </is>
      </c>
      <c r="B449" s="1" t="n">
        <v>44335</v>
      </c>
      <c r="C449" s="1" t="n">
        <v>45822</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24001-2021</t>
        </is>
      </c>
      <c r="B450" s="1" t="n">
        <v>44335</v>
      </c>
      <c r="C450" s="1" t="n">
        <v>45822</v>
      </c>
      <c r="D450" t="inlineStr">
        <is>
          <t>GOTLANDS LÄN</t>
        </is>
      </c>
      <c r="E450" t="inlineStr">
        <is>
          <t>GOTLAND</t>
        </is>
      </c>
      <c r="G450" t="n">
        <v>3.4</v>
      </c>
      <c r="H450" t="n">
        <v>0</v>
      </c>
      <c r="I450" t="n">
        <v>0</v>
      </c>
      <c r="J450" t="n">
        <v>0</v>
      </c>
      <c r="K450" t="n">
        <v>0</v>
      </c>
      <c r="L450" t="n">
        <v>0</v>
      </c>
      <c r="M450" t="n">
        <v>0</v>
      </c>
      <c r="N450" t="n">
        <v>0</v>
      </c>
      <c r="O450" t="n">
        <v>0</v>
      </c>
      <c r="P450" t="n">
        <v>0</v>
      </c>
      <c r="Q450" t="n">
        <v>0</v>
      </c>
      <c r="R450" s="2" t="inlineStr"/>
    </row>
    <row r="451" ht="15" customHeight="1">
      <c r="A451" t="inlineStr">
        <is>
          <t>A 26810-2021</t>
        </is>
      </c>
      <c r="B451" s="1" t="n">
        <v>44349</v>
      </c>
      <c r="C451" s="1" t="n">
        <v>45822</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26857-2021</t>
        </is>
      </c>
      <c r="B452" s="1" t="n">
        <v>44349</v>
      </c>
      <c r="C452" s="1" t="n">
        <v>45822</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26867-2021</t>
        </is>
      </c>
      <c r="B453" s="1" t="n">
        <v>44349</v>
      </c>
      <c r="C453" s="1" t="n">
        <v>45822</v>
      </c>
      <c r="D453" t="inlineStr">
        <is>
          <t>GOTLANDS LÄN</t>
        </is>
      </c>
      <c r="E453" t="inlineStr">
        <is>
          <t>GOTLAND</t>
        </is>
      </c>
      <c r="G453" t="n">
        <v>5.7</v>
      </c>
      <c r="H453" t="n">
        <v>0</v>
      </c>
      <c r="I453" t="n">
        <v>0</v>
      </c>
      <c r="J453" t="n">
        <v>0</v>
      </c>
      <c r="K453" t="n">
        <v>0</v>
      </c>
      <c r="L453" t="n">
        <v>0</v>
      </c>
      <c r="M453" t="n">
        <v>0</v>
      </c>
      <c r="N453" t="n">
        <v>0</v>
      </c>
      <c r="O453" t="n">
        <v>0</v>
      </c>
      <c r="P453" t="n">
        <v>0</v>
      </c>
      <c r="Q453" t="n">
        <v>0</v>
      </c>
      <c r="R453" s="2" t="inlineStr"/>
    </row>
    <row r="454" ht="15" customHeight="1">
      <c r="A454" t="inlineStr">
        <is>
          <t>A 27930-2021</t>
        </is>
      </c>
      <c r="B454" s="1" t="n">
        <v>44354</v>
      </c>
      <c r="C454" s="1" t="n">
        <v>45822</v>
      </c>
      <c r="D454" t="inlineStr">
        <is>
          <t>GOTLANDS LÄN</t>
        </is>
      </c>
      <c r="E454" t="inlineStr">
        <is>
          <t>GOTLAND</t>
        </is>
      </c>
      <c r="G454" t="n">
        <v>2.5</v>
      </c>
      <c r="H454" t="n">
        <v>0</v>
      </c>
      <c r="I454" t="n">
        <v>0</v>
      </c>
      <c r="J454" t="n">
        <v>0</v>
      </c>
      <c r="K454" t="n">
        <v>0</v>
      </c>
      <c r="L454" t="n">
        <v>0</v>
      </c>
      <c r="M454" t="n">
        <v>0</v>
      </c>
      <c r="N454" t="n">
        <v>0</v>
      </c>
      <c r="O454" t="n">
        <v>0</v>
      </c>
      <c r="P454" t="n">
        <v>0</v>
      </c>
      <c r="Q454" t="n">
        <v>0</v>
      </c>
      <c r="R454" s="2" t="inlineStr"/>
    </row>
    <row r="455" ht="15" customHeight="1">
      <c r="A455" t="inlineStr">
        <is>
          <t>A 30055-2021</t>
        </is>
      </c>
      <c r="B455" s="1" t="n">
        <v>44363</v>
      </c>
      <c r="C455" s="1" t="n">
        <v>45822</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31264-2021</t>
        </is>
      </c>
      <c r="B456" s="1" t="n">
        <v>44368</v>
      </c>
      <c r="C456" s="1" t="n">
        <v>45822</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31981-2021</t>
        </is>
      </c>
      <c r="B457" s="1" t="n">
        <v>44370</v>
      </c>
      <c r="C457" s="1" t="n">
        <v>45822</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32647-2021</t>
        </is>
      </c>
      <c r="B458" s="1" t="n">
        <v>44375</v>
      </c>
      <c r="C458" s="1" t="n">
        <v>45822</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32691-2021</t>
        </is>
      </c>
      <c r="B459" s="1" t="n">
        <v>44375</v>
      </c>
      <c r="C459" s="1" t="n">
        <v>45822</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45822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36313-2021</t>
        </is>
      </c>
      <c r="B461" s="1" t="n">
        <v>44390</v>
      </c>
      <c r="C461" s="1" t="n">
        <v>45822</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37037-2021</t>
        </is>
      </c>
      <c r="B462" s="1" t="n">
        <v>44393</v>
      </c>
      <c r="C462" s="1" t="n">
        <v>45822</v>
      </c>
      <c r="D462" t="inlineStr">
        <is>
          <t>GOTLANDS LÄN</t>
        </is>
      </c>
      <c r="E462" t="inlineStr">
        <is>
          <t>GOTLAND</t>
        </is>
      </c>
      <c r="G462" t="n">
        <v>10.2</v>
      </c>
      <c r="H462" t="n">
        <v>0</v>
      </c>
      <c r="I462" t="n">
        <v>0</v>
      </c>
      <c r="J462" t="n">
        <v>0</v>
      </c>
      <c r="K462" t="n">
        <v>0</v>
      </c>
      <c r="L462" t="n">
        <v>0</v>
      </c>
      <c r="M462" t="n">
        <v>0</v>
      </c>
      <c r="N462" t="n">
        <v>0</v>
      </c>
      <c r="O462" t="n">
        <v>0</v>
      </c>
      <c r="P462" t="n">
        <v>0</v>
      </c>
      <c r="Q462" t="n">
        <v>0</v>
      </c>
      <c r="R462" s="2" t="inlineStr"/>
    </row>
    <row r="463" ht="15" customHeight="1">
      <c r="A463" t="inlineStr">
        <is>
          <t>A 37222-2021</t>
        </is>
      </c>
      <c r="B463" s="1" t="n">
        <v>44396</v>
      </c>
      <c r="C463" s="1" t="n">
        <v>45822</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42688-2021</t>
        </is>
      </c>
      <c r="B464" s="1" t="n">
        <v>44428</v>
      </c>
      <c r="C464" s="1" t="n">
        <v>45822</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44304-2021</t>
        </is>
      </c>
      <c r="B465" s="1" t="n">
        <v>44434</v>
      </c>
      <c r="C465" s="1" t="n">
        <v>45822</v>
      </c>
      <c r="D465" t="inlineStr">
        <is>
          <t>GOTLANDS LÄN</t>
        </is>
      </c>
      <c r="E465" t="inlineStr">
        <is>
          <t>GOTLAND</t>
        </is>
      </c>
      <c r="G465" t="n">
        <v>5.8</v>
      </c>
      <c r="H465" t="n">
        <v>0</v>
      </c>
      <c r="I465" t="n">
        <v>0</v>
      </c>
      <c r="J465" t="n">
        <v>0</v>
      </c>
      <c r="K465" t="n">
        <v>0</v>
      </c>
      <c r="L465" t="n">
        <v>0</v>
      </c>
      <c r="M465" t="n">
        <v>0</v>
      </c>
      <c r="N465" t="n">
        <v>0</v>
      </c>
      <c r="O465" t="n">
        <v>0</v>
      </c>
      <c r="P465" t="n">
        <v>0</v>
      </c>
      <c r="Q465" t="n">
        <v>0</v>
      </c>
      <c r="R465" s="2" t="inlineStr"/>
    </row>
    <row r="466" ht="15" customHeight="1">
      <c r="A466" t="inlineStr">
        <is>
          <t>A 44649-2021</t>
        </is>
      </c>
      <c r="B466" s="1" t="n">
        <v>44437</v>
      </c>
      <c r="C466" s="1" t="n">
        <v>45822</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46362-2021</t>
        </is>
      </c>
      <c r="B467" s="1" t="n">
        <v>44442</v>
      </c>
      <c r="C467" s="1" t="n">
        <v>45822</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45822</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47369-2021</t>
        </is>
      </c>
      <c r="B469" s="1" t="n">
        <v>44447</v>
      </c>
      <c r="C469" s="1" t="n">
        <v>45822</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50892-2021</t>
        </is>
      </c>
      <c r="B470" s="1" t="n">
        <v>44459</v>
      </c>
      <c r="C470" s="1" t="n">
        <v>45822</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v>
      </c>
      <c r="C471" s="1" t="n">
        <v>45822</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53479-2021</t>
        </is>
      </c>
      <c r="B472" s="1" t="n">
        <v>44468</v>
      </c>
      <c r="C472" s="1" t="n">
        <v>45822</v>
      </c>
      <c r="D472" t="inlineStr">
        <is>
          <t>GOTLANDS LÄN</t>
        </is>
      </c>
      <c r="E472" t="inlineStr">
        <is>
          <t>GOTLAND</t>
        </is>
      </c>
      <c r="G472" t="n">
        <v>8</v>
      </c>
      <c r="H472" t="n">
        <v>0</v>
      </c>
      <c r="I472" t="n">
        <v>0</v>
      </c>
      <c r="J472" t="n">
        <v>0</v>
      </c>
      <c r="K472" t="n">
        <v>0</v>
      </c>
      <c r="L472" t="n">
        <v>0</v>
      </c>
      <c r="M472" t="n">
        <v>0</v>
      </c>
      <c r="N472" t="n">
        <v>0</v>
      </c>
      <c r="O472" t="n">
        <v>0</v>
      </c>
      <c r="P472" t="n">
        <v>0</v>
      </c>
      <c r="Q472" t="n">
        <v>0</v>
      </c>
      <c r="R472" s="2" t="inlineStr"/>
    </row>
    <row r="473" ht="15" customHeight="1">
      <c r="A473" t="inlineStr">
        <is>
          <t>A 56951-2021</t>
        </is>
      </c>
      <c r="B473" s="1" t="n">
        <v>44482</v>
      </c>
      <c r="C473" s="1" t="n">
        <v>45822</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57219-2021</t>
        </is>
      </c>
      <c r="B474" s="1" t="n">
        <v>44483</v>
      </c>
      <c r="C474" s="1" t="n">
        <v>45822</v>
      </c>
      <c r="D474" t="inlineStr">
        <is>
          <t>GOTLANDS LÄN</t>
        </is>
      </c>
      <c r="E474" t="inlineStr">
        <is>
          <t>GOTLAND</t>
        </is>
      </c>
      <c r="F474" t="inlineStr">
        <is>
          <t>Kyrkan</t>
        </is>
      </c>
      <c r="G474" t="n">
        <v>4</v>
      </c>
      <c r="H474" t="n">
        <v>0</v>
      </c>
      <c r="I474" t="n">
        <v>0</v>
      </c>
      <c r="J474" t="n">
        <v>0</v>
      </c>
      <c r="K474" t="n">
        <v>0</v>
      </c>
      <c r="L474" t="n">
        <v>0</v>
      </c>
      <c r="M474" t="n">
        <v>0</v>
      </c>
      <c r="N474" t="n">
        <v>0</v>
      </c>
      <c r="O474" t="n">
        <v>0</v>
      </c>
      <c r="P474" t="n">
        <v>0</v>
      </c>
      <c r="Q474" t="n">
        <v>0</v>
      </c>
      <c r="R474" s="2" t="inlineStr"/>
    </row>
    <row r="475" ht="15" customHeight="1">
      <c r="A475" t="inlineStr">
        <is>
          <t>A 58224-2021</t>
        </is>
      </c>
      <c r="B475" s="1" t="n">
        <v>44487</v>
      </c>
      <c r="C475" s="1" t="n">
        <v>45822</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58600-2021</t>
        </is>
      </c>
      <c r="B476" s="1" t="n">
        <v>44488</v>
      </c>
      <c r="C476" s="1" t="n">
        <v>45822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58815-2021</t>
        </is>
      </c>
      <c r="B477" s="1" t="n">
        <v>44489</v>
      </c>
      <c r="C477" s="1" t="n">
        <v>45822</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60607-2021</t>
        </is>
      </c>
      <c r="B478" s="1" t="n">
        <v>44496</v>
      </c>
      <c r="C478" s="1" t="n">
        <v>45822</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60675-2021</t>
        </is>
      </c>
      <c r="B479" s="1" t="n">
        <v>44496</v>
      </c>
      <c r="C479" s="1" t="n">
        <v>45822</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62915-2021</t>
        </is>
      </c>
      <c r="B480" s="1" t="n">
        <v>44504</v>
      </c>
      <c r="C480" s="1" t="n">
        <v>45822</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63229-2021</t>
        </is>
      </c>
      <c r="B481" s="1" t="n">
        <v>44508</v>
      </c>
      <c r="C481" s="1" t="n">
        <v>45822</v>
      </c>
      <c r="D481" t="inlineStr">
        <is>
          <t>GOTLANDS LÄN</t>
        </is>
      </c>
      <c r="E481" t="inlineStr">
        <is>
          <t>GOTLAND</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64208-2021</t>
        </is>
      </c>
      <c r="B482" s="1" t="n">
        <v>44510</v>
      </c>
      <c r="C482" s="1" t="n">
        <v>45822</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65393-2021</t>
        </is>
      </c>
      <c r="B483" s="1" t="n">
        <v>44515</v>
      </c>
      <c r="C483" s="1" t="n">
        <v>45822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65901-2021</t>
        </is>
      </c>
      <c r="B484" s="1" t="n">
        <v>44516</v>
      </c>
      <c r="C484" s="1" t="n">
        <v>45822</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45822</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70997-2021</t>
        </is>
      </c>
      <c r="B486" s="1" t="n">
        <v>44538</v>
      </c>
      <c r="C486" s="1" t="n">
        <v>45822</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71010-2021</t>
        </is>
      </c>
      <c r="B487" s="1" t="n">
        <v>44538</v>
      </c>
      <c r="C487" s="1" t="n">
        <v>45822</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71620-2021</t>
        </is>
      </c>
      <c r="B488" s="1" t="n">
        <v>44542</v>
      </c>
      <c r="C488" s="1" t="n">
        <v>45822</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72626-2021</t>
        </is>
      </c>
      <c r="B489" s="1" t="n">
        <v>44546</v>
      </c>
      <c r="C489" s="1" t="n">
        <v>45822</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411-2022</t>
        </is>
      </c>
      <c r="B490" s="1" t="n">
        <v>44565</v>
      </c>
      <c r="C490" s="1" t="n">
        <v>45822</v>
      </c>
      <c r="D490" t="inlineStr">
        <is>
          <t>GOTLANDS LÄN</t>
        </is>
      </c>
      <c r="E490" t="inlineStr">
        <is>
          <t>GOTLAND</t>
        </is>
      </c>
      <c r="G490" t="n">
        <v>3.9</v>
      </c>
      <c r="H490" t="n">
        <v>0</v>
      </c>
      <c r="I490" t="n">
        <v>0</v>
      </c>
      <c r="J490" t="n">
        <v>0</v>
      </c>
      <c r="K490" t="n">
        <v>0</v>
      </c>
      <c r="L490" t="n">
        <v>0</v>
      </c>
      <c r="M490" t="n">
        <v>0</v>
      </c>
      <c r="N490" t="n">
        <v>0</v>
      </c>
      <c r="O490" t="n">
        <v>0</v>
      </c>
      <c r="P490" t="n">
        <v>0</v>
      </c>
      <c r="Q490" t="n">
        <v>0</v>
      </c>
      <c r="R490" s="2" t="inlineStr"/>
    </row>
    <row r="491" ht="15" customHeight="1">
      <c r="A491" t="inlineStr">
        <is>
          <t>A 4262-2022</t>
        </is>
      </c>
      <c r="B491" s="1" t="n">
        <v>44588</v>
      </c>
      <c r="C491" s="1" t="n">
        <v>45822</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8055-2022</t>
        </is>
      </c>
      <c r="B492" s="1" t="n">
        <v>44609</v>
      </c>
      <c r="C492" s="1" t="n">
        <v>45822</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v>
      </c>
      <c r="C493" s="1" t="n">
        <v>45822</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8045-2022</t>
        </is>
      </c>
      <c r="B494" s="1" t="n">
        <v>44609</v>
      </c>
      <c r="C494" s="1" t="n">
        <v>45822</v>
      </c>
      <c r="D494" t="inlineStr">
        <is>
          <t>GOTLANDS LÄN</t>
        </is>
      </c>
      <c r="E494" t="inlineStr">
        <is>
          <t>GOTLAND</t>
        </is>
      </c>
      <c r="G494" t="n">
        <v>7</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v>
      </c>
      <c r="C495" s="1" t="n">
        <v>45822</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11029-2022</t>
        </is>
      </c>
      <c r="B496" s="1" t="n">
        <v>44628</v>
      </c>
      <c r="C496" s="1" t="n">
        <v>45822</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13498-2022</t>
        </is>
      </c>
      <c r="B497" s="1" t="n">
        <v>44647</v>
      </c>
      <c r="C497" s="1" t="n">
        <v>45822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13500-2022</t>
        </is>
      </c>
      <c r="B498" s="1" t="n">
        <v>44647</v>
      </c>
      <c r="C498" s="1" t="n">
        <v>45822</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13643-2022</t>
        </is>
      </c>
      <c r="B499" s="1" t="n">
        <v>44648</v>
      </c>
      <c r="C499" s="1" t="n">
        <v>45822</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14413-2022</t>
        </is>
      </c>
      <c r="B500" s="1" t="n">
        <v>44652</v>
      </c>
      <c r="C500" s="1" t="n">
        <v>45822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15713-2022</t>
        </is>
      </c>
      <c r="B501" s="1" t="n">
        <v>44663</v>
      </c>
      <c r="C501" s="1" t="n">
        <v>45822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15710-2022</t>
        </is>
      </c>
      <c r="B502" s="1" t="n">
        <v>44663</v>
      </c>
      <c r="C502" s="1" t="n">
        <v>45822</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16858-2022</t>
        </is>
      </c>
      <c r="B503" s="1" t="n">
        <v>44674</v>
      </c>
      <c r="C503" s="1" t="n">
        <v>45822</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17147-2022</t>
        </is>
      </c>
      <c r="B504" s="1" t="n">
        <v>44677</v>
      </c>
      <c r="C504" s="1" t="n">
        <v>45822</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17354-2022</t>
        </is>
      </c>
      <c r="B505" s="1" t="n">
        <v>44678</v>
      </c>
      <c r="C505" s="1" t="n">
        <v>45822</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17381-2022</t>
        </is>
      </c>
      <c r="B506" s="1" t="n">
        <v>44678</v>
      </c>
      <c r="C506" s="1" t="n">
        <v>45822</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v>
      </c>
      <c r="C507" s="1" t="n">
        <v>45822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v>
      </c>
      <c r="C508" s="1" t="n">
        <v>45822</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45822</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20990-2022</t>
        </is>
      </c>
      <c r="B510" s="1" t="n">
        <v>44703</v>
      </c>
      <c r="C510" s="1" t="n">
        <v>45822</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20993-2022</t>
        </is>
      </c>
      <c r="B511" s="1" t="n">
        <v>44703</v>
      </c>
      <c r="C511" s="1" t="n">
        <v>45822</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v>
      </c>
      <c r="C512" s="1" t="n">
        <v>45822</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45822</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22498-2022</t>
        </is>
      </c>
      <c r="B514" s="1" t="n">
        <v>44713</v>
      </c>
      <c r="C514" s="1" t="n">
        <v>45822</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22495-2022</t>
        </is>
      </c>
      <c r="B515" s="1" t="n">
        <v>44713</v>
      </c>
      <c r="C515" s="1" t="n">
        <v>45822</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24123-2022</t>
        </is>
      </c>
      <c r="B516" s="1" t="n">
        <v>44725</v>
      </c>
      <c r="C516" s="1" t="n">
        <v>45822</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24235-2022</t>
        </is>
      </c>
      <c r="B517" s="1" t="n">
        <v>44725</v>
      </c>
      <c r="C517" s="1" t="n">
        <v>45822</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25866-2022</t>
        </is>
      </c>
      <c r="B518" s="1" t="n">
        <v>44733</v>
      </c>
      <c r="C518" s="1" t="n">
        <v>45822</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45822</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29809-2022</t>
        </is>
      </c>
      <c r="B520" s="1" t="n">
        <v>44755</v>
      </c>
      <c r="C520" s="1" t="n">
        <v>45822</v>
      </c>
      <c r="D520" t="inlineStr">
        <is>
          <t>GOTLANDS LÄN</t>
        </is>
      </c>
      <c r="E520" t="inlineStr">
        <is>
          <t>GOTLAND</t>
        </is>
      </c>
      <c r="G520" t="n">
        <v>11.5</v>
      </c>
      <c r="H520" t="n">
        <v>0</v>
      </c>
      <c r="I520" t="n">
        <v>0</v>
      </c>
      <c r="J520" t="n">
        <v>0</v>
      </c>
      <c r="K520" t="n">
        <v>0</v>
      </c>
      <c r="L520" t="n">
        <v>0</v>
      </c>
      <c r="M520" t="n">
        <v>0</v>
      </c>
      <c r="N520" t="n">
        <v>0</v>
      </c>
      <c r="O520" t="n">
        <v>0</v>
      </c>
      <c r="P520" t="n">
        <v>0</v>
      </c>
      <c r="Q520" t="n">
        <v>0</v>
      </c>
      <c r="R520" s="2" t="inlineStr"/>
    </row>
    <row r="521" ht="15" customHeight="1">
      <c r="A521" t="inlineStr">
        <is>
          <t>A 30282-2022</t>
        </is>
      </c>
      <c r="B521" s="1" t="n">
        <v>44760</v>
      </c>
      <c r="C521" s="1" t="n">
        <v>45822</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31239-2022</t>
        </is>
      </c>
      <c r="B522" s="1" t="n">
        <v>44771</v>
      </c>
      <c r="C522" s="1" t="n">
        <v>45822</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37569-2022</t>
        </is>
      </c>
      <c r="B523" s="1" t="n">
        <v>44809</v>
      </c>
      <c r="C523" s="1" t="n">
        <v>45822</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39302-2022</t>
        </is>
      </c>
      <c r="B524" s="1" t="n">
        <v>44817</v>
      </c>
      <c r="C524" s="1" t="n">
        <v>45822</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39496-2022</t>
        </is>
      </c>
      <c r="B525" s="1" t="n">
        <v>44818</v>
      </c>
      <c r="C525" s="1" t="n">
        <v>45822</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45822</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45822</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40294-2022</t>
        </is>
      </c>
      <c r="B528" s="1" t="n">
        <v>44821</v>
      </c>
      <c r="C528" s="1" t="n">
        <v>45822</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40478-2022</t>
        </is>
      </c>
      <c r="B529" s="1" t="n">
        <v>44823</v>
      </c>
      <c r="C529" s="1" t="n">
        <v>45822</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43081-2022</t>
        </is>
      </c>
      <c r="B530" s="1" t="n">
        <v>44833</v>
      </c>
      <c r="C530" s="1" t="n">
        <v>45822</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44102-2022</t>
        </is>
      </c>
      <c r="B531" s="1" t="n">
        <v>44839</v>
      </c>
      <c r="C531" s="1" t="n">
        <v>45822</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44108-2022</t>
        </is>
      </c>
      <c r="B532" s="1" t="n">
        <v>44839</v>
      </c>
      <c r="C532" s="1" t="n">
        <v>45822</v>
      </c>
      <c r="D532" t="inlineStr">
        <is>
          <t>GOTLANDS LÄN</t>
        </is>
      </c>
      <c r="E532" t="inlineStr">
        <is>
          <t>GOTLAND</t>
        </is>
      </c>
      <c r="G532" t="n">
        <v>12.9</v>
      </c>
      <c r="H532" t="n">
        <v>0</v>
      </c>
      <c r="I532" t="n">
        <v>0</v>
      </c>
      <c r="J532" t="n">
        <v>0</v>
      </c>
      <c r="K532" t="n">
        <v>0</v>
      </c>
      <c r="L532" t="n">
        <v>0</v>
      </c>
      <c r="M532" t="n">
        <v>0</v>
      </c>
      <c r="N532" t="n">
        <v>0</v>
      </c>
      <c r="O532" t="n">
        <v>0</v>
      </c>
      <c r="P532" t="n">
        <v>0</v>
      </c>
      <c r="Q532" t="n">
        <v>0</v>
      </c>
      <c r="R532" s="2" t="inlineStr"/>
    </row>
    <row r="533" ht="15" customHeight="1">
      <c r="A533" t="inlineStr">
        <is>
          <t>A 44207-2022</t>
        </is>
      </c>
      <c r="B533" s="1" t="n">
        <v>44839</v>
      </c>
      <c r="C533" s="1" t="n">
        <v>45822</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44204-2022</t>
        </is>
      </c>
      <c r="B534" s="1" t="n">
        <v>44839</v>
      </c>
      <c r="C534" s="1" t="n">
        <v>45822</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44228-2022</t>
        </is>
      </c>
      <c r="B535" s="1" t="n">
        <v>44839</v>
      </c>
      <c r="C535" s="1" t="n">
        <v>45822</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44878-2022</t>
        </is>
      </c>
      <c r="B536" s="1" t="n">
        <v>44839</v>
      </c>
      <c r="C536" s="1" t="n">
        <v>45822</v>
      </c>
      <c r="D536" t="inlineStr">
        <is>
          <t>GOTLANDS LÄN</t>
        </is>
      </c>
      <c r="E536" t="inlineStr">
        <is>
          <t>GOTLAND</t>
        </is>
      </c>
      <c r="G536" t="n">
        <v>4</v>
      </c>
      <c r="H536" t="n">
        <v>0</v>
      </c>
      <c r="I536" t="n">
        <v>0</v>
      </c>
      <c r="J536" t="n">
        <v>0</v>
      </c>
      <c r="K536" t="n">
        <v>0</v>
      </c>
      <c r="L536" t="n">
        <v>0</v>
      </c>
      <c r="M536" t="n">
        <v>0</v>
      </c>
      <c r="N536" t="n">
        <v>0</v>
      </c>
      <c r="O536" t="n">
        <v>0</v>
      </c>
      <c r="P536" t="n">
        <v>0</v>
      </c>
      <c r="Q536" t="n">
        <v>0</v>
      </c>
      <c r="R536" s="2" t="inlineStr"/>
    </row>
    <row r="537" ht="15" customHeight="1">
      <c r="A537" t="inlineStr">
        <is>
          <t>A 44919-2022</t>
        </is>
      </c>
      <c r="B537" s="1" t="n">
        <v>44841</v>
      </c>
      <c r="C537" s="1" t="n">
        <v>45822</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44942-2022</t>
        </is>
      </c>
      <c r="B538" s="1" t="n">
        <v>44841</v>
      </c>
      <c r="C538" s="1" t="n">
        <v>45822</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46189-2022</t>
        </is>
      </c>
      <c r="B539" s="1" t="n">
        <v>44847</v>
      </c>
      <c r="C539" s="1" t="n">
        <v>45822</v>
      </c>
      <c r="D539" t="inlineStr">
        <is>
          <t>GOTLANDS LÄN</t>
        </is>
      </c>
      <c r="E539" t="inlineStr">
        <is>
          <t>GOTLAND</t>
        </is>
      </c>
      <c r="G539" t="n">
        <v>0.4</v>
      </c>
      <c r="H539" t="n">
        <v>0</v>
      </c>
      <c r="I539" t="n">
        <v>0</v>
      </c>
      <c r="J539" t="n">
        <v>0</v>
      </c>
      <c r="K539" t="n">
        <v>0</v>
      </c>
      <c r="L539" t="n">
        <v>0</v>
      </c>
      <c r="M539" t="n">
        <v>0</v>
      </c>
      <c r="N539" t="n">
        <v>0</v>
      </c>
      <c r="O539" t="n">
        <v>0</v>
      </c>
      <c r="P539" t="n">
        <v>0</v>
      </c>
      <c r="Q539" t="n">
        <v>0</v>
      </c>
      <c r="R539" s="2" t="inlineStr"/>
    </row>
    <row r="540" ht="15" customHeight="1">
      <c r="A540" t="inlineStr">
        <is>
          <t>A 47231-2022</t>
        </is>
      </c>
      <c r="B540" s="1" t="n">
        <v>44852</v>
      </c>
      <c r="C540" s="1" t="n">
        <v>45822</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48734-2022</t>
        </is>
      </c>
      <c r="B541" s="1" t="n">
        <v>44855</v>
      </c>
      <c r="C541" s="1" t="n">
        <v>45822</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49812-2022</t>
        </is>
      </c>
      <c r="B542" s="1" t="n">
        <v>44862</v>
      </c>
      <c r="C542" s="1" t="n">
        <v>45822</v>
      </c>
      <c r="D542" t="inlineStr">
        <is>
          <t>GOTLANDS LÄN</t>
        </is>
      </c>
      <c r="E542" t="inlineStr">
        <is>
          <t>GOTLAND</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50810-2022</t>
        </is>
      </c>
      <c r="B543" s="1" t="n">
        <v>44867</v>
      </c>
      <c r="C543" s="1" t="n">
        <v>45822</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51591-2022</t>
        </is>
      </c>
      <c r="B544" s="1" t="n">
        <v>44871</v>
      </c>
      <c r="C544" s="1" t="n">
        <v>45822</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53725-2022</t>
        </is>
      </c>
      <c r="B545" s="1" t="n">
        <v>44875</v>
      </c>
      <c r="C545" s="1" t="n">
        <v>45822</v>
      </c>
      <c r="D545" t="inlineStr">
        <is>
          <t>GOTLANDS LÄN</t>
        </is>
      </c>
      <c r="E545" t="inlineStr">
        <is>
          <t>GOTLAND</t>
        </is>
      </c>
      <c r="F545" t="inlineStr">
        <is>
          <t>Övriga statliga verk och myndigheter</t>
        </is>
      </c>
      <c r="G545" t="n">
        <v>6.2</v>
      </c>
      <c r="H545" t="n">
        <v>0</v>
      </c>
      <c r="I545" t="n">
        <v>0</v>
      </c>
      <c r="J545" t="n">
        <v>0</v>
      </c>
      <c r="K545" t="n">
        <v>0</v>
      </c>
      <c r="L545" t="n">
        <v>0</v>
      </c>
      <c r="M545" t="n">
        <v>0</v>
      </c>
      <c r="N545" t="n">
        <v>0</v>
      </c>
      <c r="O545" t="n">
        <v>0</v>
      </c>
      <c r="P545" t="n">
        <v>0</v>
      </c>
      <c r="Q545" t="n">
        <v>0</v>
      </c>
      <c r="R545" s="2" t="inlineStr"/>
    </row>
    <row r="546" ht="15" customHeight="1">
      <c r="A546" t="inlineStr">
        <is>
          <t>A 53722-2022</t>
        </is>
      </c>
      <c r="B546" s="1" t="n">
        <v>44875</v>
      </c>
      <c r="C546" s="1" t="n">
        <v>45822</v>
      </c>
      <c r="D546" t="inlineStr">
        <is>
          <t>GOTLANDS LÄN</t>
        </is>
      </c>
      <c r="E546" t="inlineStr">
        <is>
          <t>GOTLAND</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53727-2022</t>
        </is>
      </c>
      <c r="B547" s="1" t="n">
        <v>44875</v>
      </c>
      <c r="C547" s="1" t="n">
        <v>45822</v>
      </c>
      <c r="D547" t="inlineStr">
        <is>
          <t>GOTLANDS LÄN</t>
        </is>
      </c>
      <c r="E547" t="inlineStr">
        <is>
          <t>GOTLAND</t>
        </is>
      </c>
      <c r="F547" t="inlineStr">
        <is>
          <t>Övriga statliga verk och myndigheter</t>
        </is>
      </c>
      <c r="G547" t="n">
        <v>3.6</v>
      </c>
      <c r="H547" t="n">
        <v>0</v>
      </c>
      <c r="I547" t="n">
        <v>0</v>
      </c>
      <c r="J547" t="n">
        <v>0</v>
      </c>
      <c r="K547" t="n">
        <v>0</v>
      </c>
      <c r="L547" t="n">
        <v>0</v>
      </c>
      <c r="M547" t="n">
        <v>0</v>
      </c>
      <c r="N547" t="n">
        <v>0</v>
      </c>
      <c r="O547" t="n">
        <v>0</v>
      </c>
      <c r="P547" t="n">
        <v>0</v>
      </c>
      <c r="Q547" t="n">
        <v>0</v>
      </c>
      <c r="R547" s="2" t="inlineStr"/>
    </row>
    <row r="548" ht="15" customHeight="1">
      <c r="A548" t="inlineStr">
        <is>
          <t>A 53225-2022</t>
        </is>
      </c>
      <c r="B548" s="1" t="n">
        <v>44876</v>
      </c>
      <c r="C548" s="1" t="n">
        <v>45822</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45822</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54073-2022</t>
        </is>
      </c>
      <c r="B550" s="1" t="n">
        <v>44881</v>
      </c>
      <c r="C550" s="1" t="n">
        <v>45822</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54268-2022</t>
        </is>
      </c>
      <c r="B551" s="1" t="n">
        <v>44882</v>
      </c>
      <c r="C551" s="1" t="n">
        <v>45822</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55866-2022</t>
        </is>
      </c>
      <c r="B552" s="1" t="n">
        <v>44888</v>
      </c>
      <c r="C552" s="1" t="n">
        <v>45822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56928-2022</t>
        </is>
      </c>
      <c r="B553" s="1" t="n">
        <v>44894</v>
      </c>
      <c r="C553" s="1" t="n">
        <v>45822</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45822</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45822</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57522-2022</t>
        </is>
      </c>
      <c r="B556" s="1" t="n">
        <v>44896</v>
      </c>
      <c r="C556" s="1" t="n">
        <v>45822</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v>
      </c>
      <c r="C557" s="1" t="n">
        <v>45822</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57947-2022</t>
        </is>
      </c>
      <c r="B558" s="1" t="n">
        <v>44900</v>
      </c>
      <c r="C558" s="1" t="n">
        <v>45822</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58479-2022</t>
        </is>
      </c>
      <c r="B559" s="1" t="n">
        <v>44902</v>
      </c>
      <c r="C559" s="1" t="n">
        <v>45822</v>
      </c>
      <c r="D559" t="inlineStr">
        <is>
          <t>GOTLANDS LÄN</t>
        </is>
      </c>
      <c r="E559" t="inlineStr">
        <is>
          <t>GOTLAND</t>
        </is>
      </c>
      <c r="G559" t="n">
        <v>2.9</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45822</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59874-2022</t>
        </is>
      </c>
      <c r="B561" s="1" t="n">
        <v>44908</v>
      </c>
      <c r="C561" s="1" t="n">
        <v>45822</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45822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59986-2022</t>
        </is>
      </c>
      <c r="B563" s="1" t="n">
        <v>44909</v>
      </c>
      <c r="C563" s="1" t="n">
        <v>45822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60372-2022</t>
        </is>
      </c>
      <c r="B564" s="1" t="n">
        <v>44910</v>
      </c>
      <c r="C564" s="1" t="n">
        <v>45822</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45822</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61570-2022</t>
        </is>
      </c>
      <c r="B566" s="1" t="n">
        <v>44916</v>
      </c>
      <c r="C566" s="1" t="n">
        <v>45822</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61563-2022</t>
        </is>
      </c>
      <c r="B567" s="1" t="n">
        <v>44916</v>
      </c>
      <c r="C567" s="1" t="n">
        <v>45822</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62155-2022</t>
        </is>
      </c>
      <c r="B568" s="1" t="n">
        <v>44922</v>
      </c>
      <c r="C568" s="1" t="n">
        <v>45822</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62164-2022</t>
        </is>
      </c>
      <c r="B569" s="1" t="n">
        <v>44922</v>
      </c>
      <c r="C569" s="1" t="n">
        <v>45822</v>
      </c>
      <c r="D569" t="inlineStr">
        <is>
          <t>GOTLANDS LÄN</t>
        </is>
      </c>
      <c r="E569" t="inlineStr">
        <is>
          <t>GOTLAND</t>
        </is>
      </c>
      <c r="G569" t="n">
        <v>3.8</v>
      </c>
      <c r="H569" t="n">
        <v>0</v>
      </c>
      <c r="I569" t="n">
        <v>0</v>
      </c>
      <c r="J569" t="n">
        <v>0</v>
      </c>
      <c r="K569" t="n">
        <v>0</v>
      </c>
      <c r="L569" t="n">
        <v>0</v>
      </c>
      <c r="M569" t="n">
        <v>0</v>
      </c>
      <c r="N569" t="n">
        <v>0</v>
      </c>
      <c r="O569" t="n">
        <v>0</v>
      </c>
      <c r="P569" t="n">
        <v>0</v>
      </c>
      <c r="Q569" t="n">
        <v>0</v>
      </c>
      <c r="R569" s="2" t="inlineStr"/>
    </row>
    <row r="570" ht="15" customHeight="1">
      <c r="A570" t="inlineStr">
        <is>
          <t>A 62182-2022</t>
        </is>
      </c>
      <c r="B570" s="1" t="n">
        <v>44922</v>
      </c>
      <c r="C570" s="1" t="n">
        <v>45822</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45822</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45822</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45822</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45822</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45822</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45822</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45822</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45822</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45822</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45822</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45822</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45822</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45822</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45822</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45822</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45822</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45822</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45822</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45822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45822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45822</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45822</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45822</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45822</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45822</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45822</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45822</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45822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45822</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45822</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45822</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45822</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45822</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45822</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45822</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45822</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45822</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45822</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45822</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45822</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45822</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45822</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45822</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45822</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45822</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45822</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45822</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45822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45822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45822</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45822</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45822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45822</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45822</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45822</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45822</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45822</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45822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45822</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45822</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45822</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45822</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45822</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45822</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45822</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45822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45822</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45822</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45822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45822</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45822</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45822</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45822</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45822</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45822</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45822</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45822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45822</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45822</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45822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45822</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45822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45822</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45822</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45822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45822</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45822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45822</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45822</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45822</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45822</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45822</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45822</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45822</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45822</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45822</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45822</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45822</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45822</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45822</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45822</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45822</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45822</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45822</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45822</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45822</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45822</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45822</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45822</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45822</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45822</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45822</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45822</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45822</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45822</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45822</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45822</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45822</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45822</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45822</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45822</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45822</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45822</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45822</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45822</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45822</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45822</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45822</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43223-2023</t>
        </is>
      </c>
      <c r="B699" s="1" t="n">
        <v>45183</v>
      </c>
      <c r="C699" s="1" t="n">
        <v>45822</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43200-2023</t>
        </is>
      </c>
      <c r="B700" s="1" t="n">
        <v>45183</v>
      </c>
      <c r="C700" s="1" t="n">
        <v>45822</v>
      </c>
      <c r="D700" t="inlineStr">
        <is>
          <t>GOTLANDS LÄN</t>
        </is>
      </c>
      <c r="E700" t="inlineStr">
        <is>
          <t>GOTLAND</t>
        </is>
      </c>
      <c r="G700" t="n">
        <v>0.5</v>
      </c>
      <c r="H700" t="n">
        <v>0</v>
      </c>
      <c r="I700" t="n">
        <v>0</v>
      </c>
      <c r="J700" t="n">
        <v>0</v>
      </c>
      <c r="K700" t="n">
        <v>0</v>
      </c>
      <c r="L700" t="n">
        <v>0</v>
      </c>
      <c r="M700" t="n">
        <v>0</v>
      </c>
      <c r="N700" t="n">
        <v>0</v>
      </c>
      <c r="O700" t="n">
        <v>0</v>
      </c>
      <c r="P700" t="n">
        <v>0</v>
      </c>
      <c r="Q700" t="n">
        <v>0</v>
      </c>
      <c r="R700" s="2" t="inlineStr"/>
    </row>
    <row r="701" ht="15" customHeight="1">
      <c r="A701" t="inlineStr">
        <is>
          <t>A 43226-2023</t>
        </is>
      </c>
      <c r="B701" s="1" t="n">
        <v>45183</v>
      </c>
      <c r="C701" s="1" t="n">
        <v>45822</v>
      </c>
      <c r="D701" t="inlineStr">
        <is>
          <t>GOTLANDS LÄN</t>
        </is>
      </c>
      <c r="E701" t="inlineStr">
        <is>
          <t>GOTLAND</t>
        </is>
      </c>
      <c r="G701" t="n">
        <v>1.5</v>
      </c>
      <c r="H701" t="n">
        <v>0</v>
      </c>
      <c r="I701" t="n">
        <v>0</v>
      </c>
      <c r="J701" t="n">
        <v>0</v>
      </c>
      <c r="K701" t="n">
        <v>0</v>
      </c>
      <c r="L701" t="n">
        <v>0</v>
      </c>
      <c r="M701" t="n">
        <v>0</v>
      </c>
      <c r="N701" t="n">
        <v>0</v>
      </c>
      <c r="O701" t="n">
        <v>0</v>
      </c>
      <c r="P701" t="n">
        <v>0</v>
      </c>
      <c r="Q701" t="n">
        <v>0</v>
      </c>
      <c r="R701" s="2" t="inlineStr"/>
    </row>
    <row r="702" ht="15" customHeight="1">
      <c r="A702" t="inlineStr">
        <is>
          <t>A 43231-2023</t>
        </is>
      </c>
      <c r="B702" s="1" t="n">
        <v>45183</v>
      </c>
      <c r="C702" s="1" t="n">
        <v>45822</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43220-2023</t>
        </is>
      </c>
      <c r="B703" s="1" t="n">
        <v>45183</v>
      </c>
      <c r="C703" s="1" t="n">
        <v>45822</v>
      </c>
      <c r="D703" t="inlineStr">
        <is>
          <t>GOTLANDS LÄN</t>
        </is>
      </c>
      <c r="E703" t="inlineStr">
        <is>
          <t>GOTLAND</t>
        </is>
      </c>
      <c r="G703" t="n">
        <v>3.3</v>
      </c>
      <c r="H703" t="n">
        <v>0</v>
      </c>
      <c r="I703" t="n">
        <v>0</v>
      </c>
      <c r="J703" t="n">
        <v>0</v>
      </c>
      <c r="K703" t="n">
        <v>0</v>
      </c>
      <c r="L703" t="n">
        <v>0</v>
      </c>
      <c r="M703" t="n">
        <v>0</v>
      </c>
      <c r="N703" t="n">
        <v>0</v>
      </c>
      <c r="O703" t="n">
        <v>0</v>
      </c>
      <c r="P703" t="n">
        <v>0</v>
      </c>
      <c r="Q703" t="n">
        <v>0</v>
      </c>
      <c r="R703" s="2" t="inlineStr"/>
    </row>
    <row r="704" ht="15" customHeight="1">
      <c r="A704" t="inlineStr">
        <is>
          <t>A 43224-2023</t>
        </is>
      </c>
      <c r="B704" s="1" t="n">
        <v>45183</v>
      </c>
      <c r="C704" s="1" t="n">
        <v>45822</v>
      </c>
      <c r="D704" t="inlineStr">
        <is>
          <t>GOTLANDS LÄN</t>
        </is>
      </c>
      <c r="E704" t="inlineStr">
        <is>
          <t>GOTLAND</t>
        </is>
      </c>
      <c r="G704" t="n">
        <v>1.1</v>
      </c>
      <c r="H704" t="n">
        <v>0</v>
      </c>
      <c r="I704" t="n">
        <v>0</v>
      </c>
      <c r="J704" t="n">
        <v>0</v>
      </c>
      <c r="K704" t="n">
        <v>0</v>
      </c>
      <c r="L704" t="n">
        <v>0</v>
      </c>
      <c r="M704" t="n">
        <v>0</v>
      </c>
      <c r="N704" t="n">
        <v>0</v>
      </c>
      <c r="O704" t="n">
        <v>0</v>
      </c>
      <c r="P704" t="n">
        <v>0</v>
      </c>
      <c r="Q704" t="n">
        <v>0</v>
      </c>
      <c r="R704" s="2" t="inlineStr"/>
    </row>
    <row r="705" ht="15" customHeight="1">
      <c r="A705" t="inlineStr">
        <is>
          <t>A 43229-2023</t>
        </is>
      </c>
      <c r="B705" s="1" t="n">
        <v>45183</v>
      </c>
      <c r="C705" s="1" t="n">
        <v>45822</v>
      </c>
      <c r="D705" t="inlineStr">
        <is>
          <t>GOTLANDS LÄN</t>
        </is>
      </c>
      <c r="E705" t="inlineStr">
        <is>
          <t>GOTLAND</t>
        </is>
      </c>
      <c r="G705" t="n">
        <v>7.1</v>
      </c>
      <c r="H705" t="n">
        <v>0</v>
      </c>
      <c r="I705" t="n">
        <v>0</v>
      </c>
      <c r="J705" t="n">
        <v>0</v>
      </c>
      <c r="K705" t="n">
        <v>0</v>
      </c>
      <c r="L705" t="n">
        <v>0</v>
      </c>
      <c r="M705" t="n">
        <v>0</v>
      </c>
      <c r="N705" t="n">
        <v>0</v>
      </c>
      <c r="O705" t="n">
        <v>0</v>
      </c>
      <c r="P705" t="n">
        <v>0</v>
      </c>
      <c r="Q705" t="n">
        <v>0</v>
      </c>
      <c r="R705" s="2" t="inlineStr"/>
    </row>
    <row r="706" ht="15" customHeight="1">
      <c r="A706" t="inlineStr">
        <is>
          <t>A 43901-2023</t>
        </is>
      </c>
      <c r="B706" s="1" t="n">
        <v>45187</v>
      </c>
      <c r="C706" s="1" t="n">
        <v>45822</v>
      </c>
      <c r="D706" t="inlineStr">
        <is>
          <t>GOTLANDS LÄN</t>
        </is>
      </c>
      <c r="E706" t="inlineStr">
        <is>
          <t>GOTLAND</t>
        </is>
      </c>
      <c r="G706" t="n">
        <v>5.4</v>
      </c>
      <c r="H706" t="n">
        <v>0</v>
      </c>
      <c r="I706" t="n">
        <v>0</v>
      </c>
      <c r="J706" t="n">
        <v>0</v>
      </c>
      <c r="K706" t="n">
        <v>0</v>
      </c>
      <c r="L706" t="n">
        <v>0</v>
      </c>
      <c r="M706" t="n">
        <v>0</v>
      </c>
      <c r="N706" t="n">
        <v>0</v>
      </c>
      <c r="O706" t="n">
        <v>0</v>
      </c>
      <c r="P706" t="n">
        <v>0</v>
      </c>
      <c r="Q706" t="n">
        <v>0</v>
      </c>
      <c r="R706" s="2" t="inlineStr"/>
    </row>
    <row r="707" ht="15" customHeight="1">
      <c r="A707" t="inlineStr">
        <is>
          <t>A 44189-2023</t>
        </is>
      </c>
      <c r="B707" s="1" t="n">
        <v>45188</v>
      </c>
      <c r="C707" s="1" t="n">
        <v>45822</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44888-2023</t>
        </is>
      </c>
      <c r="B708" s="1" t="n">
        <v>45190</v>
      </c>
      <c r="C708" s="1" t="n">
        <v>45822</v>
      </c>
      <c r="D708" t="inlineStr">
        <is>
          <t>GOTLANDS LÄN</t>
        </is>
      </c>
      <c r="E708" t="inlineStr">
        <is>
          <t>GOTLAND</t>
        </is>
      </c>
      <c r="G708" t="n">
        <v>6.1</v>
      </c>
      <c r="H708" t="n">
        <v>0</v>
      </c>
      <c r="I708" t="n">
        <v>0</v>
      </c>
      <c r="J708" t="n">
        <v>0</v>
      </c>
      <c r="K708" t="n">
        <v>0</v>
      </c>
      <c r="L708" t="n">
        <v>0</v>
      </c>
      <c r="M708" t="n">
        <v>0</v>
      </c>
      <c r="N708" t="n">
        <v>0</v>
      </c>
      <c r="O708" t="n">
        <v>0</v>
      </c>
      <c r="P708" t="n">
        <v>0</v>
      </c>
      <c r="Q708" t="n">
        <v>0</v>
      </c>
      <c r="R708" s="2" t="inlineStr"/>
    </row>
    <row r="709" ht="15" customHeight="1">
      <c r="A709" t="inlineStr">
        <is>
          <t>A 44941-2023</t>
        </is>
      </c>
      <c r="B709" s="1" t="n">
        <v>45190</v>
      </c>
      <c r="C709" s="1" t="n">
        <v>45822</v>
      </c>
      <c r="D709" t="inlineStr">
        <is>
          <t>GOTLANDS LÄN</t>
        </is>
      </c>
      <c r="E709" t="inlineStr">
        <is>
          <t>GOTLAND</t>
        </is>
      </c>
      <c r="G709" t="n">
        <v>2.7</v>
      </c>
      <c r="H709" t="n">
        <v>0</v>
      </c>
      <c r="I709" t="n">
        <v>0</v>
      </c>
      <c r="J709" t="n">
        <v>0</v>
      </c>
      <c r="K709" t="n">
        <v>0</v>
      </c>
      <c r="L709" t="n">
        <v>0</v>
      </c>
      <c r="M709" t="n">
        <v>0</v>
      </c>
      <c r="N709" t="n">
        <v>0</v>
      </c>
      <c r="O709" t="n">
        <v>0</v>
      </c>
      <c r="P709" t="n">
        <v>0</v>
      </c>
      <c r="Q709" t="n">
        <v>0</v>
      </c>
      <c r="R709" s="2" t="inlineStr"/>
    </row>
    <row r="710" ht="15" customHeight="1">
      <c r="A710" t="inlineStr">
        <is>
          <t>A 44953-2023</t>
        </is>
      </c>
      <c r="B710" s="1" t="n">
        <v>45190</v>
      </c>
      <c r="C710" s="1" t="n">
        <v>45822</v>
      </c>
      <c r="D710" t="inlineStr">
        <is>
          <t>GOTLANDS LÄN</t>
        </is>
      </c>
      <c r="E710" t="inlineStr">
        <is>
          <t>GOTLAND</t>
        </is>
      </c>
      <c r="G710" t="n">
        <v>3.7</v>
      </c>
      <c r="H710" t="n">
        <v>0</v>
      </c>
      <c r="I710" t="n">
        <v>0</v>
      </c>
      <c r="J710" t="n">
        <v>0</v>
      </c>
      <c r="K710" t="n">
        <v>0</v>
      </c>
      <c r="L710" t="n">
        <v>0</v>
      </c>
      <c r="M710" t="n">
        <v>0</v>
      </c>
      <c r="N710" t="n">
        <v>0</v>
      </c>
      <c r="O710" t="n">
        <v>0</v>
      </c>
      <c r="P710" t="n">
        <v>0</v>
      </c>
      <c r="Q710" t="n">
        <v>0</v>
      </c>
      <c r="R710" s="2" t="inlineStr"/>
    </row>
    <row r="711" ht="15" customHeight="1">
      <c r="A711" t="inlineStr">
        <is>
          <t>A 44918-2023</t>
        </is>
      </c>
      <c r="B711" s="1" t="n">
        <v>45190</v>
      </c>
      <c r="C711" s="1" t="n">
        <v>45822</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44949-2023</t>
        </is>
      </c>
      <c r="B712" s="1" t="n">
        <v>45190</v>
      </c>
      <c r="C712" s="1" t="n">
        <v>45822</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45168-2023</t>
        </is>
      </c>
      <c r="B713" s="1" t="n">
        <v>45191</v>
      </c>
      <c r="C713" s="1" t="n">
        <v>45822</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45600-2023</t>
        </is>
      </c>
      <c r="B714" s="1" t="n">
        <v>45194</v>
      </c>
      <c r="C714" s="1" t="n">
        <v>45822</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45692-2023</t>
        </is>
      </c>
      <c r="B715" s="1" t="n">
        <v>45195</v>
      </c>
      <c r="C715" s="1" t="n">
        <v>45822</v>
      </c>
      <c r="D715" t="inlineStr">
        <is>
          <t>GOTLANDS LÄN</t>
        </is>
      </c>
      <c r="E715" t="inlineStr">
        <is>
          <t>GOTLAND</t>
        </is>
      </c>
      <c r="G715" t="n">
        <v>5.3</v>
      </c>
      <c r="H715" t="n">
        <v>0</v>
      </c>
      <c r="I715" t="n">
        <v>0</v>
      </c>
      <c r="J715" t="n">
        <v>0</v>
      </c>
      <c r="K715" t="n">
        <v>0</v>
      </c>
      <c r="L715" t="n">
        <v>0</v>
      </c>
      <c r="M715" t="n">
        <v>0</v>
      </c>
      <c r="N715" t="n">
        <v>0</v>
      </c>
      <c r="O715" t="n">
        <v>0</v>
      </c>
      <c r="P715" t="n">
        <v>0</v>
      </c>
      <c r="Q715" t="n">
        <v>0</v>
      </c>
      <c r="R715" s="2" t="inlineStr"/>
    </row>
    <row r="716" ht="15" customHeight="1">
      <c r="A716" t="inlineStr">
        <is>
          <t>A 46402-2023</t>
        </is>
      </c>
      <c r="B716" s="1" t="n">
        <v>45197</v>
      </c>
      <c r="C716" s="1" t="n">
        <v>45822</v>
      </c>
      <c r="D716" t="inlineStr">
        <is>
          <t>GOTLANDS LÄN</t>
        </is>
      </c>
      <c r="E716" t="inlineStr">
        <is>
          <t>GOTLAND</t>
        </is>
      </c>
      <c r="G716" t="n">
        <v>2.5</v>
      </c>
      <c r="H716" t="n">
        <v>0</v>
      </c>
      <c r="I716" t="n">
        <v>0</v>
      </c>
      <c r="J716" t="n">
        <v>0</v>
      </c>
      <c r="K716" t="n">
        <v>0</v>
      </c>
      <c r="L716" t="n">
        <v>0</v>
      </c>
      <c r="M716" t="n">
        <v>0</v>
      </c>
      <c r="N716" t="n">
        <v>0</v>
      </c>
      <c r="O716" t="n">
        <v>0</v>
      </c>
      <c r="P716" t="n">
        <v>0</v>
      </c>
      <c r="Q716" t="n">
        <v>0</v>
      </c>
      <c r="R716" s="2" t="inlineStr"/>
    </row>
    <row r="717" ht="15" customHeight="1">
      <c r="A717" t="inlineStr">
        <is>
          <t>A 46396-2023</t>
        </is>
      </c>
      <c r="B717" s="1" t="n">
        <v>45197</v>
      </c>
      <c r="C717" s="1" t="n">
        <v>45822</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46400-2023</t>
        </is>
      </c>
      <c r="B718" s="1" t="n">
        <v>45197</v>
      </c>
      <c r="C718" s="1" t="n">
        <v>45822</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47322-2023</t>
        </is>
      </c>
      <c r="B719" s="1" t="n">
        <v>45202</v>
      </c>
      <c r="C719" s="1" t="n">
        <v>45822</v>
      </c>
      <c r="D719" t="inlineStr">
        <is>
          <t>GOTLANDS LÄN</t>
        </is>
      </c>
      <c r="E719" t="inlineStr">
        <is>
          <t>GOTLAND</t>
        </is>
      </c>
      <c r="G719" t="n">
        <v>3.9</v>
      </c>
      <c r="H719" t="n">
        <v>0</v>
      </c>
      <c r="I719" t="n">
        <v>0</v>
      </c>
      <c r="J719" t="n">
        <v>0</v>
      </c>
      <c r="K719" t="n">
        <v>0</v>
      </c>
      <c r="L719" t="n">
        <v>0</v>
      </c>
      <c r="M719" t="n">
        <v>0</v>
      </c>
      <c r="N719" t="n">
        <v>0</v>
      </c>
      <c r="O719" t="n">
        <v>0</v>
      </c>
      <c r="P719" t="n">
        <v>0</v>
      </c>
      <c r="Q719" t="n">
        <v>0</v>
      </c>
      <c r="R719" s="2" t="inlineStr"/>
    </row>
    <row r="720" ht="15" customHeight="1">
      <c r="A720" t="inlineStr">
        <is>
          <t>A 47762-2023</t>
        </is>
      </c>
      <c r="B720" s="1" t="n">
        <v>45203</v>
      </c>
      <c r="C720" s="1" t="n">
        <v>45822</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49411-2023</t>
        </is>
      </c>
      <c r="B721" s="1" t="n">
        <v>45205</v>
      </c>
      <c r="C721" s="1" t="n">
        <v>45822</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48503-2023</t>
        </is>
      </c>
      <c r="B722" s="1" t="n">
        <v>45207</v>
      </c>
      <c r="C722" s="1" t="n">
        <v>45822</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48504-2023</t>
        </is>
      </c>
      <c r="B723" s="1" t="n">
        <v>45207</v>
      </c>
      <c r="C723" s="1" t="n">
        <v>45822</v>
      </c>
      <c r="D723" t="inlineStr">
        <is>
          <t>GOTLANDS LÄN</t>
        </is>
      </c>
      <c r="E723" t="inlineStr">
        <is>
          <t>GOTLAND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48745-2023</t>
        </is>
      </c>
      <c r="B724" s="1" t="n">
        <v>45208</v>
      </c>
      <c r="C724" s="1" t="n">
        <v>45822</v>
      </c>
      <c r="D724" t="inlineStr">
        <is>
          <t>GOTLANDS LÄN</t>
        </is>
      </c>
      <c r="E724" t="inlineStr">
        <is>
          <t>GOTLAND</t>
        </is>
      </c>
      <c r="G724" t="n">
        <v>3.6</v>
      </c>
      <c r="H724" t="n">
        <v>0</v>
      </c>
      <c r="I724" t="n">
        <v>0</v>
      </c>
      <c r="J724" t="n">
        <v>0</v>
      </c>
      <c r="K724" t="n">
        <v>0</v>
      </c>
      <c r="L724" t="n">
        <v>0</v>
      </c>
      <c r="M724" t="n">
        <v>0</v>
      </c>
      <c r="N724" t="n">
        <v>0</v>
      </c>
      <c r="O724" t="n">
        <v>0</v>
      </c>
      <c r="P724" t="n">
        <v>0</v>
      </c>
      <c r="Q724" t="n">
        <v>0</v>
      </c>
      <c r="R724" s="2" t="inlineStr"/>
    </row>
    <row r="725" ht="15" customHeight="1">
      <c r="A725" t="inlineStr">
        <is>
          <t>A 49693-2023</t>
        </is>
      </c>
      <c r="B725" s="1" t="n">
        <v>45212</v>
      </c>
      <c r="C725" s="1" t="n">
        <v>45822</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49697-2023</t>
        </is>
      </c>
      <c r="B726" s="1" t="n">
        <v>45212</v>
      </c>
      <c r="C726" s="1" t="n">
        <v>45822</v>
      </c>
      <c r="D726" t="inlineStr">
        <is>
          <t>GOTLANDS LÄN</t>
        </is>
      </c>
      <c r="E726" t="inlineStr">
        <is>
          <t>GOTLAND</t>
        </is>
      </c>
      <c r="G726" t="n">
        <v>4.4</v>
      </c>
      <c r="H726" t="n">
        <v>0</v>
      </c>
      <c r="I726" t="n">
        <v>0</v>
      </c>
      <c r="J726" t="n">
        <v>0</v>
      </c>
      <c r="K726" t="n">
        <v>0</v>
      </c>
      <c r="L726" t="n">
        <v>0</v>
      </c>
      <c r="M726" t="n">
        <v>0</v>
      </c>
      <c r="N726" t="n">
        <v>0</v>
      </c>
      <c r="O726" t="n">
        <v>0</v>
      </c>
      <c r="P726" t="n">
        <v>0</v>
      </c>
      <c r="Q726" t="n">
        <v>0</v>
      </c>
      <c r="R726" s="2" t="inlineStr"/>
    </row>
    <row r="727" ht="15" customHeight="1">
      <c r="A727" t="inlineStr">
        <is>
          <t>A 49846-2023</t>
        </is>
      </c>
      <c r="B727" s="1" t="n">
        <v>45212</v>
      </c>
      <c r="C727" s="1" t="n">
        <v>45822</v>
      </c>
      <c r="D727" t="inlineStr">
        <is>
          <t>GOTLANDS LÄN</t>
        </is>
      </c>
      <c r="E727" t="inlineStr">
        <is>
          <t>GOTLAND</t>
        </is>
      </c>
      <c r="G727" t="n">
        <v>16.9</v>
      </c>
      <c r="H727" t="n">
        <v>0</v>
      </c>
      <c r="I727" t="n">
        <v>0</v>
      </c>
      <c r="J727" t="n">
        <v>0</v>
      </c>
      <c r="K727" t="n">
        <v>0</v>
      </c>
      <c r="L727" t="n">
        <v>0</v>
      </c>
      <c r="M727" t="n">
        <v>0</v>
      </c>
      <c r="N727" t="n">
        <v>0</v>
      </c>
      <c r="O727" t="n">
        <v>0</v>
      </c>
      <c r="P727" t="n">
        <v>0</v>
      </c>
      <c r="Q727" t="n">
        <v>0</v>
      </c>
      <c r="R727" s="2" t="inlineStr"/>
    </row>
    <row r="728" ht="15" customHeight="1">
      <c r="A728" t="inlineStr">
        <is>
          <t>A 49884-2023</t>
        </is>
      </c>
      <c r="B728" s="1" t="n">
        <v>45213</v>
      </c>
      <c r="C728" s="1" t="n">
        <v>45822</v>
      </c>
      <c r="D728" t="inlineStr">
        <is>
          <t>GOTLANDS LÄN</t>
        </is>
      </c>
      <c r="E728" t="inlineStr">
        <is>
          <t>GOTLAND</t>
        </is>
      </c>
      <c r="G728" t="n">
        <v>8.9</v>
      </c>
      <c r="H728" t="n">
        <v>0</v>
      </c>
      <c r="I728" t="n">
        <v>0</v>
      </c>
      <c r="J728" t="n">
        <v>0</v>
      </c>
      <c r="K728" t="n">
        <v>0</v>
      </c>
      <c r="L728" t="n">
        <v>0</v>
      </c>
      <c r="M728" t="n">
        <v>0</v>
      </c>
      <c r="N728" t="n">
        <v>0</v>
      </c>
      <c r="O728" t="n">
        <v>0</v>
      </c>
      <c r="P728" t="n">
        <v>0</v>
      </c>
      <c r="Q728" t="n">
        <v>0</v>
      </c>
      <c r="R728" s="2" t="inlineStr"/>
    </row>
    <row r="729" ht="15" customHeight="1">
      <c r="A729" t="inlineStr">
        <is>
          <t>A 49962-2023</t>
        </is>
      </c>
      <c r="B729" s="1" t="n">
        <v>45215</v>
      </c>
      <c r="C729" s="1" t="n">
        <v>45822</v>
      </c>
      <c r="D729" t="inlineStr">
        <is>
          <t>GOTLANDS LÄN</t>
        </is>
      </c>
      <c r="E729" t="inlineStr">
        <is>
          <t>GOTLAND</t>
        </is>
      </c>
      <c r="G729" t="n">
        <v>1.4</v>
      </c>
      <c r="H729" t="n">
        <v>0</v>
      </c>
      <c r="I729" t="n">
        <v>0</v>
      </c>
      <c r="J729" t="n">
        <v>0</v>
      </c>
      <c r="K729" t="n">
        <v>0</v>
      </c>
      <c r="L729" t="n">
        <v>0</v>
      </c>
      <c r="M729" t="n">
        <v>0</v>
      </c>
      <c r="N729" t="n">
        <v>0</v>
      </c>
      <c r="O729" t="n">
        <v>0</v>
      </c>
      <c r="P729" t="n">
        <v>0</v>
      </c>
      <c r="Q729" t="n">
        <v>0</v>
      </c>
      <c r="R729" s="2" t="inlineStr"/>
    </row>
    <row r="730" ht="15" customHeight="1">
      <c r="A730" t="inlineStr">
        <is>
          <t>A 49966-2023</t>
        </is>
      </c>
      <c r="B730" s="1" t="n">
        <v>45215</v>
      </c>
      <c r="C730" s="1" t="n">
        <v>45822</v>
      </c>
      <c r="D730" t="inlineStr">
        <is>
          <t>GOTLANDS LÄN</t>
        </is>
      </c>
      <c r="E730" t="inlineStr">
        <is>
          <t>GOTLAND</t>
        </is>
      </c>
      <c r="G730" t="n">
        <v>5</v>
      </c>
      <c r="H730" t="n">
        <v>0</v>
      </c>
      <c r="I730" t="n">
        <v>0</v>
      </c>
      <c r="J730" t="n">
        <v>0</v>
      </c>
      <c r="K730" t="n">
        <v>0</v>
      </c>
      <c r="L730" t="n">
        <v>0</v>
      </c>
      <c r="M730" t="n">
        <v>0</v>
      </c>
      <c r="N730" t="n">
        <v>0</v>
      </c>
      <c r="O730" t="n">
        <v>0</v>
      </c>
      <c r="P730" t="n">
        <v>0</v>
      </c>
      <c r="Q730" t="n">
        <v>0</v>
      </c>
      <c r="R730" s="2" t="inlineStr"/>
    </row>
    <row r="731" ht="15" customHeight="1">
      <c r="A731" t="inlineStr">
        <is>
          <t>A 49964-2023</t>
        </is>
      </c>
      <c r="B731" s="1" t="n">
        <v>45215</v>
      </c>
      <c r="C731" s="1" t="n">
        <v>45822</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49968-2023</t>
        </is>
      </c>
      <c r="B732" s="1" t="n">
        <v>45215</v>
      </c>
      <c r="C732" s="1" t="n">
        <v>45822</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50566-2023</t>
        </is>
      </c>
      <c r="B733" s="1" t="n">
        <v>45217</v>
      </c>
      <c r="C733" s="1" t="n">
        <v>45822</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51035-2023</t>
        </is>
      </c>
      <c r="B734" s="1" t="n">
        <v>45218</v>
      </c>
      <c r="C734" s="1" t="n">
        <v>45822</v>
      </c>
      <c r="D734" t="inlineStr">
        <is>
          <t>GOTLANDS LÄN</t>
        </is>
      </c>
      <c r="E734" t="inlineStr">
        <is>
          <t>GOTLAND</t>
        </is>
      </c>
      <c r="G734" t="n">
        <v>1.3</v>
      </c>
      <c r="H734" t="n">
        <v>0</v>
      </c>
      <c r="I734" t="n">
        <v>0</v>
      </c>
      <c r="J734" t="n">
        <v>0</v>
      </c>
      <c r="K734" t="n">
        <v>0</v>
      </c>
      <c r="L734" t="n">
        <v>0</v>
      </c>
      <c r="M734" t="n">
        <v>0</v>
      </c>
      <c r="N734" t="n">
        <v>0</v>
      </c>
      <c r="O734" t="n">
        <v>0</v>
      </c>
      <c r="P734" t="n">
        <v>0</v>
      </c>
      <c r="Q734" t="n">
        <v>0</v>
      </c>
      <c r="R734" s="2" t="inlineStr"/>
    </row>
    <row r="735" ht="15" customHeight="1">
      <c r="A735" t="inlineStr">
        <is>
          <t>A 51782-2023</t>
        </is>
      </c>
      <c r="B735" s="1" t="n">
        <v>45222</v>
      </c>
      <c r="C735" s="1" t="n">
        <v>45822</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52684-2023</t>
        </is>
      </c>
      <c r="B736" s="1" t="n">
        <v>45225</v>
      </c>
      <c r="C736" s="1" t="n">
        <v>45822</v>
      </c>
      <c r="D736" t="inlineStr">
        <is>
          <t>GOTLANDS LÄN</t>
        </is>
      </c>
      <c r="E736" t="inlineStr">
        <is>
          <t>GOTLAND</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53913-2023</t>
        </is>
      </c>
      <c r="B737" s="1" t="n">
        <v>45231</v>
      </c>
      <c r="C737" s="1" t="n">
        <v>45822</v>
      </c>
      <c r="D737" t="inlineStr">
        <is>
          <t>GOTLANDS LÄN</t>
        </is>
      </c>
      <c r="E737" t="inlineStr">
        <is>
          <t>GOTLAND</t>
        </is>
      </c>
      <c r="G737" t="n">
        <v>6.2</v>
      </c>
      <c r="H737" t="n">
        <v>0</v>
      </c>
      <c r="I737" t="n">
        <v>0</v>
      </c>
      <c r="J737" t="n">
        <v>0</v>
      </c>
      <c r="K737" t="n">
        <v>0</v>
      </c>
      <c r="L737" t="n">
        <v>0</v>
      </c>
      <c r="M737" t="n">
        <v>0</v>
      </c>
      <c r="N737" t="n">
        <v>0</v>
      </c>
      <c r="O737" t="n">
        <v>0</v>
      </c>
      <c r="P737" t="n">
        <v>0</v>
      </c>
      <c r="Q737" t="n">
        <v>0</v>
      </c>
      <c r="R737" s="2" t="inlineStr"/>
    </row>
    <row r="738" ht="15" customHeight="1">
      <c r="A738" t="inlineStr">
        <is>
          <t>A 56115-2023</t>
        </is>
      </c>
      <c r="B738" s="1" t="n">
        <v>45236</v>
      </c>
      <c r="C738" s="1" t="n">
        <v>45822</v>
      </c>
      <c r="D738" t="inlineStr">
        <is>
          <t>GOTLANDS LÄN</t>
        </is>
      </c>
      <c r="E738" t="inlineStr">
        <is>
          <t>GOTLAND</t>
        </is>
      </c>
      <c r="G738" t="n">
        <v>2</v>
      </c>
      <c r="H738" t="n">
        <v>0</v>
      </c>
      <c r="I738" t="n">
        <v>0</v>
      </c>
      <c r="J738" t="n">
        <v>0</v>
      </c>
      <c r="K738" t="n">
        <v>0</v>
      </c>
      <c r="L738" t="n">
        <v>0</v>
      </c>
      <c r="M738" t="n">
        <v>0</v>
      </c>
      <c r="N738" t="n">
        <v>0</v>
      </c>
      <c r="O738" t="n">
        <v>0</v>
      </c>
      <c r="P738" t="n">
        <v>0</v>
      </c>
      <c r="Q738" t="n">
        <v>0</v>
      </c>
      <c r="R738" s="2" t="inlineStr"/>
    </row>
    <row r="739" ht="15" customHeight="1">
      <c r="A739" t="inlineStr">
        <is>
          <t>A 57356-2023</t>
        </is>
      </c>
      <c r="B739" s="1" t="n">
        <v>45240</v>
      </c>
      <c r="C739" s="1" t="n">
        <v>45822</v>
      </c>
      <c r="D739" t="inlineStr">
        <is>
          <t>GOTLANDS LÄN</t>
        </is>
      </c>
      <c r="E739" t="inlineStr">
        <is>
          <t>GOTLAND</t>
        </is>
      </c>
      <c r="G739" t="n">
        <v>6.4</v>
      </c>
      <c r="H739" t="n">
        <v>0</v>
      </c>
      <c r="I739" t="n">
        <v>0</v>
      </c>
      <c r="J739" t="n">
        <v>0</v>
      </c>
      <c r="K739" t="n">
        <v>0</v>
      </c>
      <c r="L739" t="n">
        <v>0</v>
      </c>
      <c r="M739" t="n">
        <v>0</v>
      </c>
      <c r="N739" t="n">
        <v>0</v>
      </c>
      <c r="O739" t="n">
        <v>0</v>
      </c>
      <c r="P739" t="n">
        <v>0</v>
      </c>
      <c r="Q739" t="n">
        <v>0</v>
      </c>
      <c r="R739" s="2" t="inlineStr"/>
    </row>
    <row r="740" ht="15" customHeight="1">
      <c r="A740" t="inlineStr">
        <is>
          <t>A 56303-2023</t>
        </is>
      </c>
      <c r="B740" s="1" t="n">
        <v>45242</v>
      </c>
      <c r="C740" s="1" t="n">
        <v>45822</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56568-2023</t>
        </is>
      </c>
      <c r="B741" s="1" t="n">
        <v>45243</v>
      </c>
      <c r="C741" s="1" t="n">
        <v>45822</v>
      </c>
      <c r="D741" t="inlineStr">
        <is>
          <t>GOTLANDS LÄN</t>
        </is>
      </c>
      <c r="E741" t="inlineStr">
        <is>
          <t>GOTLAND</t>
        </is>
      </c>
      <c r="G741" t="n">
        <v>3.3</v>
      </c>
      <c r="H741" t="n">
        <v>0</v>
      </c>
      <c r="I741" t="n">
        <v>0</v>
      </c>
      <c r="J741" t="n">
        <v>0</v>
      </c>
      <c r="K741" t="n">
        <v>0</v>
      </c>
      <c r="L741" t="n">
        <v>0</v>
      </c>
      <c r="M741" t="n">
        <v>0</v>
      </c>
      <c r="N741" t="n">
        <v>0</v>
      </c>
      <c r="O741" t="n">
        <v>0</v>
      </c>
      <c r="P741" t="n">
        <v>0</v>
      </c>
      <c r="Q741" t="n">
        <v>0</v>
      </c>
      <c r="R741" s="2" t="inlineStr"/>
    </row>
    <row r="742" ht="15" customHeight="1">
      <c r="A742" t="inlineStr">
        <is>
          <t>A 56877-2023</t>
        </is>
      </c>
      <c r="B742" s="1" t="n">
        <v>45244</v>
      </c>
      <c r="C742" s="1" t="n">
        <v>45822</v>
      </c>
      <c r="D742" t="inlineStr">
        <is>
          <t>GOTLANDS LÄN</t>
        </is>
      </c>
      <c r="E742" t="inlineStr">
        <is>
          <t>GOTLAND</t>
        </is>
      </c>
      <c r="G742" t="n">
        <v>5.8</v>
      </c>
      <c r="H742" t="n">
        <v>0</v>
      </c>
      <c r="I742" t="n">
        <v>0</v>
      </c>
      <c r="J742" t="n">
        <v>0</v>
      </c>
      <c r="K742" t="n">
        <v>0</v>
      </c>
      <c r="L742" t="n">
        <v>0</v>
      </c>
      <c r="M742" t="n">
        <v>0</v>
      </c>
      <c r="N742" t="n">
        <v>0</v>
      </c>
      <c r="O742" t="n">
        <v>0</v>
      </c>
      <c r="P742" t="n">
        <v>0</v>
      </c>
      <c r="Q742" t="n">
        <v>0</v>
      </c>
      <c r="R742" s="2" t="inlineStr"/>
    </row>
    <row r="743" ht="15" customHeight="1">
      <c r="A743" t="inlineStr">
        <is>
          <t>A 57573-2023</t>
        </is>
      </c>
      <c r="B743" s="1" t="n">
        <v>45246</v>
      </c>
      <c r="C743" s="1" t="n">
        <v>45822</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57652-2023</t>
        </is>
      </c>
      <c r="B744" s="1" t="n">
        <v>45246</v>
      </c>
      <c r="C744" s="1" t="n">
        <v>45822</v>
      </c>
      <c r="D744" t="inlineStr">
        <is>
          <t>GOTLANDS LÄN</t>
        </is>
      </c>
      <c r="E744" t="inlineStr">
        <is>
          <t>GOTLAND</t>
        </is>
      </c>
      <c r="G744" t="n">
        <v>7.2</v>
      </c>
      <c r="H744" t="n">
        <v>0</v>
      </c>
      <c r="I744" t="n">
        <v>0</v>
      </c>
      <c r="J744" t="n">
        <v>0</v>
      </c>
      <c r="K744" t="n">
        <v>0</v>
      </c>
      <c r="L744" t="n">
        <v>0</v>
      </c>
      <c r="M744" t="n">
        <v>0</v>
      </c>
      <c r="N744" t="n">
        <v>0</v>
      </c>
      <c r="O744" t="n">
        <v>0</v>
      </c>
      <c r="P744" t="n">
        <v>0</v>
      </c>
      <c r="Q744" t="n">
        <v>0</v>
      </c>
      <c r="R744" s="2" t="inlineStr"/>
    </row>
    <row r="745" ht="15" customHeight="1">
      <c r="A745" t="inlineStr">
        <is>
          <t>A 57765-2023</t>
        </is>
      </c>
      <c r="B745" s="1" t="n">
        <v>45246</v>
      </c>
      <c r="C745" s="1" t="n">
        <v>45822</v>
      </c>
      <c r="D745" t="inlineStr">
        <is>
          <t>GOTLANDS LÄN</t>
        </is>
      </c>
      <c r="E745" t="inlineStr">
        <is>
          <t>GOTLAND</t>
        </is>
      </c>
      <c r="G745" t="n">
        <v>1.8</v>
      </c>
      <c r="H745" t="n">
        <v>0</v>
      </c>
      <c r="I745" t="n">
        <v>0</v>
      </c>
      <c r="J745" t="n">
        <v>0</v>
      </c>
      <c r="K745" t="n">
        <v>0</v>
      </c>
      <c r="L745" t="n">
        <v>0</v>
      </c>
      <c r="M745" t="n">
        <v>0</v>
      </c>
      <c r="N745" t="n">
        <v>0</v>
      </c>
      <c r="O745" t="n">
        <v>0</v>
      </c>
      <c r="P745" t="n">
        <v>0</v>
      </c>
      <c r="Q745" t="n">
        <v>0</v>
      </c>
      <c r="R745" s="2" t="inlineStr"/>
    </row>
    <row r="746" ht="15" customHeight="1">
      <c r="A746" t="inlineStr">
        <is>
          <t>A 58132-2023</t>
        </is>
      </c>
      <c r="B746" s="1" t="n">
        <v>45250</v>
      </c>
      <c r="C746" s="1" t="n">
        <v>45822</v>
      </c>
      <c r="D746" t="inlineStr">
        <is>
          <t>GOTLANDS LÄN</t>
        </is>
      </c>
      <c r="E746" t="inlineStr">
        <is>
          <t>GOTLAND</t>
        </is>
      </c>
      <c r="G746" t="n">
        <v>3.1</v>
      </c>
      <c r="H746" t="n">
        <v>0</v>
      </c>
      <c r="I746" t="n">
        <v>0</v>
      </c>
      <c r="J746" t="n">
        <v>0</v>
      </c>
      <c r="K746" t="n">
        <v>0</v>
      </c>
      <c r="L746" t="n">
        <v>0</v>
      </c>
      <c r="M746" t="n">
        <v>0</v>
      </c>
      <c r="N746" t="n">
        <v>0</v>
      </c>
      <c r="O746" t="n">
        <v>0</v>
      </c>
      <c r="P746" t="n">
        <v>0</v>
      </c>
      <c r="Q746" t="n">
        <v>0</v>
      </c>
      <c r="R746" s="2" t="inlineStr"/>
    </row>
    <row r="747" ht="15" customHeight="1">
      <c r="A747" t="inlineStr">
        <is>
          <t>A 59559-2023</t>
        </is>
      </c>
      <c r="B747" s="1" t="n">
        <v>45254</v>
      </c>
      <c r="C747" s="1" t="n">
        <v>45822</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59554-2023</t>
        </is>
      </c>
      <c r="B748" s="1" t="n">
        <v>45254</v>
      </c>
      <c r="C748" s="1" t="n">
        <v>45822</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60269-2023</t>
        </is>
      </c>
      <c r="B749" s="1" t="n">
        <v>45258</v>
      </c>
      <c r="C749" s="1" t="n">
        <v>45822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60273-2023</t>
        </is>
      </c>
      <c r="B750" s="1" t="n">
        <v>45258</v>
      </c>
      <c r="C750" s="1" t="n">
        <v>45822</v>
      </c>
      <c r="D750" t="inlineStr">
        <is>
          <t>GOTLANDS LÄN</t>
        </is>
      </c>
      <c r="E750" t="inlineStr">
        <is>
          <t>GOTLAND</t>
        </is>
      </c>
      <c r="G750" t="n">
        <v>1.6</v>
      </c>
      <c r="H750" t="n">
        <v>0</v>
      </c>
      <c r="I750" t="n">
        <v>0</v>
      </c>
      <c r="J750" t="n">
        <v>0</v>
      </c>
      <c r="K750" t="n">
        <v>0</v>
      </c>
      <c r="L750" t="n">
        <v>0</v>
      </c>
      <c r="M750" t="n">
        <v>0</v>
      </c>
      <c r="N750" t="n">
        <v>0</v>
      </c>
      <c r="O750" t="n">
        <v>0</v>
      </c>
      <c r="P750" t="n">
        <v>0</v>
      </c>
      <c r="Q750" t="n">
        <v>0</v>
      </c>
      <c r="R750" s="2" t="inlineStr"/>
    </row>
    <row r="751" ht="15" customHeight="1">
      <c r="A751" t="inlineStr">
        <is>
          <t>A 60709-2023</t>
        </is>
      </c>
      <c r="B751" s="1" t="n">
        <v>45260</v>
      </c>
      <c r="C751" s="1" t="n">
        <v>45822</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61175-2023</t>
        </is>
      </c>
      <c r="B752" s="1" t="n">
        <v>45263</v>
      </c>
      <c r="C752" s="1" t="n">
        <v>45822</v>
      </c>
      <c r="D752" t="inlineStr">
        <is>
          <t>GOTLANDS LÄN</t>
        </is>
      </c>
      <c r="E752" t="inlineStr">
        <is>
          <t>GOTLAND</t>
        </is>
      </c>
      <c r="G752" t="n">
        <v>0.9</v>
      </c>
      <c r="H752" t="n">
        <v>0</v>
      </c>
      <c r="I752" t="n">
        <v>0</v>
      </c>
      <c r="J752" t="n">
        <v>0</v>
      </c>
      <c r="K752" t="n">
        <v>0</v>
      </c>
      <c r="L752" t="n">
        <v>0</v>
      </c>
      <c r="M752" t="n">
        <v>0</v>
      </c>
      <c r="N752" t="n">
        <v>0</v>
      </c>
      <c r="O752" t="n">
        <v>0</v>
      </c>
      <c r="P752" t="n">
        <v>0</v>
      </c>
      <c r="Q752" t="n">
        <v>0</v>
      </c>
      <c r="R752" s="2" t="inlineStr"/>
    </row>
    <row r="753" ht="15" customHeight="1">
      <c r="A753" t="inlineStr">
        <is>
          <t>A 61386-2023</t>
        </is>
      </c>
      <c r="B753" s="1" t="n">
        <v>45264</v>
      </c>
      <c r="C753" s="1" t="n">
        <v>45822</v>
      </c>
      <c r="D753" t="inlineStr">
        <is>
          <t>GOTLANDS LÄN</t>
        </is>
      </c>
      <c r="E753" t="inlineStr">
        <is>
          <t>GOTLAND</t>
        </is>
      </c>
      <c r="G753" t="n">
        <v>0.7</v>
      </c>
      <c r="H753" t="n">
        <v>0</v>
      </c>
      <c r="I753" t="n">
        <v>0</v>
      </c>
      <c r="J753" t="n">
        <v>0</v>
      </c>
      <c r="K753" t="n">
        <v>0</v>
      </c>
      <c r="L753" t="n">
        <v>0</v>
      </c>
      <c r="M753" t="n">
        <v>0</v>
      </c>
      <c r="N753" t="n">
        <v>0</v>
      </c>
      <c r="O753" t="n">
        <v>0</v>
      </c>
      <c r="P753" t="n">
        <v>0</v>
      </c>
      <c r="Q753" t="n">
        <v>0</v>
      </c>
      <c r="R753" s="2" t="inlineStr"/>
    </row>
    <row r="754" ht="15" customHeight="1">
      <c r="A754" t="inlineStr">
        <is>
          <t>A 61694-2023</t>
        </is>
      </c>
      <c r="B754" s="1" t="n">
        <v>45264</v>
      </c>
      <c r="C754" s="1" t="n">
        <v>45822</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61596-2023</t>
        </is>
      </c>
      <c r="B755" s="1" t="n">
        <v>45265</v>
      </c>
      <c r="C755" s="1" t="n">
        <v>45822</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61634-2023</t>
        </is>
      </c>
      <c r="B756" s="1" t="n">
        <v>45265</v>
      </c>
      <c r="C756" s="1" t="n">
        <v>45822</v>
      </c>
      <c r="D756" t="inlineStr">
        <is>
          <t>GOTLANDS LÄN</t>
        </is>
      </c>
      <c r="E756" t="inlineStr">
        <is>
          <t>GOTLAND</t>
        </is>
      </c>
      <c r="G756" t="n">
        <v>7.4</v>
      </c>
      <c r="H756" t="n">
        <v>0</v>
      </c>
      <c r="I756" t="n">
        <v>0</v>
      </c>
      <c r="J756" t="n">
        <v>0</v>
      </c>
      <c r="K756" t="n">
        <v>0</v>
      </c>
      <c r="L756" t="n">
        <v>0</v>
      </c>
      <c r="M756" t="n">
        <v>0</v>
      </c>
      <c r="N756" t="n">
        <v>0</v>
      </c>
      <c r="O756" t="n">
        <v>0</v>
      </c>
      <c r="P756" t="n">
        <v>0</v>
      </c>
      <c r="Q756" t="n">
        <v>0</v>
      </c>
      <c r="R756" s="2" t="inlineStr"/>
    </row>
    <row r="757" ht="15" customHeight="1">
      <c r="A757" t="inlineStr">
        <is>
          <t>A 63246-2023</t>
        </is>
      </c>
      <c r="B757" s="1" t="n">
        <v>45273</v>
      </c>
      <c r="C757" s="1" t="n">
        <v>45822</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63303-2023</t>
        </is>
      </c>
      <c r="B758" s="1" t="n">
        <v>45274</v>
      </c>
      <c r="C758" s="1" t="n">
        <v>45822</v>
      </c>
      <c r="D758" t="inlineStr">
        <is>
          <t>GOTLANDS LÄN</t>
        </is>
      </c>
      <c r="E758" t="inlineStr">
        <is>
          <t>GOTLAND</t>
        </is>
      </c>
      <c r="G758" t="n">
        <v>1.1</v>
      </c>
      <c r="H758" t="n">
        <v>0</v>
      </c>
      <c r="I758" t="n">
        <v>0</v>
      </c>
      <c r="J758" t="n">
        <v>0</v>
      </c>
      <c r="K758" t="n">
        <v>0</v>
      </c>
      <c r="L758" t="n">
        <v>0</v>
      </c>
      <c r="M758" t="n">
        <v>0</v>
      </c>
      <c r="N758" t="n">
        <v>0</v>
      </c>
      <c r="O758" t="n">
        <v>0</v>
      </c>
      <c r="P758" t="n">
        <v>0</v>
      </c>
      <c r="Q758" t="n">
        <v>0</v>
      </c>
      <c r="R758" s="2" t="inlineStr"/>
    </row>
    <row r="759" ht="15" customHeight="1">
      <c r="A759" t="inlineStr">
        <is>
          <t>A 63516-2023</t>
        </is>
      </c>
      <c r="B759" s="1" t="n">
        <v>45274</v>
      </c>
      <c r="C759" s="1" t="n">
        <v>45822</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63773-2023</t>
        </is>
      </c>
      <c r="B760" s="1" t="n">
        <v>45278</v>
      </c>
      <c r="C760" s="1" t="n">
        <v>45822</v>
      </c>
      <c r="D760" t="inlineStr">
        <is>
          <t>GOTLANDS LÄN</t>
        </is>
      </c>
      <c r="E760" t="inlineStr">
        <is>
          <t>GOTLAND</t>
        </is>
      </c>
      <c r="G760" t="n">
        <v>8.5</v>
      </c>
      <c r="H760" t="n">
        <v>0</v>
      </c>
      <c r="I760" t="n">
        <v>0</v>
      </c>
      <c r="J760" t="n">
        <v>0</v>
      </c>
      <c r="K760" t="n">
        <v>0</v>
      </c>
      <c r="L760" t="n">
        <v>0</v>
      </c>
      <c r="M760" t="n">
        <v>0</v>
      </c>
      <c r="N760" t="n">
        <v>0</v>
      </c>
      <c r="O760" t="n">
        <v>0</v>
      </c>
      <c r="P760" t="n">
        <v>0</v>
      </c>
      <c r="Q760" t="n">
        <v>0</v>
      </c>
      <c r="R760" s="2" t="inlineStr"/>
    </row>
    <row r="761" ht="15" customHeight="1">
      <c r="A761" t="inlineStr">
        <is>
          <t>A 63763-2023</t>
        </is>
      </c>
      <c r="B761" s="1" t="n">
        <v>45278</v>
      </c>
      <c r="C761" s="1" t="n">
        <v>45822</v>
      </c>
      <c r="D761" t="inlineStr">
        <is>
          <t>GOTLANDS LÄN</t>
        </is>
      </c>
      <c r="E761" t="inlineStr">
        <is>
          <t>GOTLAND</t>
        </is>
      </c>
      <c r="G761" t="n">
        <v>0.5</v>
      </c>
      <c r="H761" t="n">
        <v>0</v>
      </c>
      <c r="I761" t="n">
        <v>0</v>
      </c>
      <c r="J761" t="n">
        <v>0</v>
      </c>
      <c r="K761" t="n">
        <v>0</v>
      </c>
      <c r="L761" t="n">
        <v>0</v>
      </c>
      <c r="M761" t="n">
        <v>0</v>
      </c>
      <c r="N761" t="n">
        <v>0</v>
      </c>
      <c r="O761" t="n">
        <v>0</v>
      </c>
      <c r="P761" t="n">
        <v>0</v>
      </c>
      <c r="Q761" t="n">
        <v>0</v>
      </c>
      <c r="R761" s="2" t="inlineStr"/>
    </row>
    <row r="762" ht="15" customHeight="1">
      <c r="A762" t="inlineStr">
        <is>
          <t>A 63996-2023</t>
        </is>
      </c>
      <c r="B762" s="1" t="n">
        <v>45278</v>
      </c>
      <c r="C762" s="1" t="n">
        <v>45822</v>
      </c>
      <c r="D762" t="inlineStr">
        <is>
          <t>GOTLANDS LÄN</t>
        </is>
      </c>
      <c r="E762" t="inlineStr">
        <is>
          <t>GOTLAND</t>
        </is>
      </c>
      <c r="G762" t="n">
        <v>3.8</v>
      </c>
      <c r="H762" t="n">
        <v>0</v>
      </c>
      <c r="I762" t="n">
        <v>0</v>
      </c>
      <c r="J762" t="n">
        <v>0</v>
      </c>
      <c r="K762" t="n">
        <v>0</v>
      </c>
      <c r="L762" t="n">
        <v>0</v>
      </c>
      <c r="M762" t="n">
        <v>0</v>
      </c>
      <c r="N762" t="n">
        <v>0</v>
      </c>
      <c r="O762" t="n">
        <v>0</v>
      </c>
      <c r="P762" t="n">
        <v>0</v>
      </c>
      <c r="Q762" t="n">
        <v>0</v>
      </c>
      <c r="R762" s="2" t="inlineStr"/>
    </row>
    <row r="763" ht="15" customHeight="1">
      <c r="A763" t="inlineStr">
        <is>
          <t>A 64555-2023</t>
        </is>
      </c>
      <c r="B763" s="1" t="n">
        <v>45281</v>
      </c>
      <c r="C763" s="1" t="n">
        <v>45822</v>
      </c>
      <c r="D763" t="inlineStr">
        <is>
          <t>GOTLANDS LÄN</t>
        </is>
      </c>
      <c r="E763" t="inlineStr">
        <is>
          <t>GOTLAND</t>
        </is>
      </c>
      <c r="G763" t="n">
        <v>3.5</v>
      </c>
      <c r="H763" t="n">
        <v>0</v>
      </c>
      <c r="I763" t="n">
        <v>0</v>
      </c>
      <c r="J763" t="n">
        <v>0</v>
      </c>
      <c r="K763" t="n">
        <v>0</v>
      </c>
      <c r="L763" t="n">
        <v>0</v>
      </c>
      <c r="M763" t="n">
        <v>0</v>
      </c>
      <c r="N763" t="n">
        <v>0</v>
      </c>
      <c r="O763" t="n">
        <v>0</v>
      </c>
      <c r="P763" t="n">
        <v>0</v>
      </c>
      <c r="Q763" t="n">
        <v>0</v>
      </c>
      <c r="R763" s="2" t="inlineStr"/>
    </row>
    <row r="764" ht="15" customHeight="1">
      <c r="A764" t="inlineStr">
        <is>
          <t>A 64660-2023</t>
        </is>
      </c>
      <c r="B764" s="1" t="n">
        <v>45281</v>
      </c>
      <c r="C764" s="1" t="n">
        <v>45822</v>
      </c>
      <c r="D764" t="inlineStr">
        <is>
          <t>GOTLANDS LÄN</t>
        </is>
      </c>
      <c r="E764" t="inlineStr">
        <is>
          <t>GOTLAND</t>
        </is>
      </c>
      <c r="G764" t="n">
        <v>6.3</v>
      </c>
      <c r="H764" t="n">
        <v>0</v>
      </c>
      <c r="I764" t="n">
        <v>0</v>
      </c>
      <c r="J764" t="n">
        <v>0</v>
      </c>
      <c r="K764" t="n">
        <v>0</v>
      </c>
      <c r="L764" t="n">
        <v>0</v>
      </c>
      <c r="M764" t="n">
        <v>0</v>
      </c>
      <c r="N764" t="n">
        <v>0</v>
      </c>
      <c r="O764" t="n">
        <v>0</v>
      </c>
      <c r="P764" t="n">
        <v>0</v>
      </c>
      <c r="Q764" t="n">
        <v>0</v>
      </c>
      <c r="R764" s="2" t="inlineStr"/>
    </row>
    <row r="765" ht="15" customHeight="1">
      <c r="A765" t="inlineStr">
        <is>
          <t>A 64831-2023</t>
        </is>
      </c>
      <c r="B765" s="1" t="n">
        <v>45282</v>
      </c>
      <c r="C765" s="1" t="n">
        <v>45822</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64838-2023</t>
        </is>
      </c>
      <c r="B766" s="1" t="n">
        <v>45282</v>
      </c>
      <c r="C766" s="1" t="n">
        <v>45822</v>
      </c>
      <c r="D766" t="inlineStr">
        <is>
          <t>GOTLANDS LÄN</t>
        </is>
      </c>
      <c r="E766" t="inlineStr">
        <is>
          <t>GOTLAND</t>
        </is>
      </c>
      <c r="G766" t="n">
        <v>7.5</v>
      </c>
      <c r="H766" t="n">
        <v>0</v>
      </c>
      <c r="I766" t="n">
        <v>0</v>
      </c>
      <c r="J766" t="n">
        <v>0</v>
      </c>
      <c r="K766" t="n">
        <v>0</v>
      </c>
      <c r="L766" t="n">
        <v>0</v>
      </c>
      <c r="M766" t="n">
        <v>0</v>
      </c>
      <c r="N766" t="n">
        <v>0</v>
      </c>
      <c r="O766" t="n">
        <v>0</v>
      </c>
      <c r="P766" t="n">
        <v>0</v>
      </c>
      <c r="Q766" t="n">
        <v>0</v>
      </c>
      <c r="R766" s="2" t="inlineStr"/>
    </row>
    <row r="767" ht="15" customHeight="1">
      <c r="A767" t="inlineStr">
        <is>
          <t>A 64969-2023</t>
        </is>
      </c>
      <c r="B767" s="1" t="n">
        <v>45284</v>
      </c>
      <c r="C767" s="1" t="n">
        <v>45822</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65088-2023</t>
        </is>
      </c>
      <c r="B768" s="1" t="n">
        <v>45287</v>
      </c>
      <c r="C768" s="1" t="n">
        <v>45822</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65097-2023</t>
        </is>
      </c>
      <c r="B769" s="1" t="n">
        <v>45287</v>
      </c>
      <c r="C769" s="1" t="n">
        <v>45822</v>
      </c>
      <c r="D769" t="inlineStr">
        <is>
          <t>GOTLANDS LÄN</t>
        </is>
      </c>
      <c r="E769" t="inlineStr">
        <is>
          <t>GOTLAND</t>
        </is>
      </c>
      <c r="G769" t="n">
        <v>15.4</v>
      </c>
      <c r="H769" t="n">
        <v>0</v>
      </c>
      <c r="I769" t="n">
        <v>0</v>
      </c>
      <c r="J769" t="n">
        <v>0</v>
      </c>
      <c r="K769" t="n">
        <v>0</v>
      </c>
      <c r="L769" t="n">
        <v>0</v>
      </c>
      <c r="M769" t="n">
        <v>0</v>
      </c>
      <c r="N769" t="n">
        <v>0</v>
      </c>
      <c r="O769" t="n">
        <v>0</v>
      </c>
      <c r="P769" t="n">
        <v>0</v>
      </c>
      <c r="Q769" t="n">
        <v>0</v>
      </c>
      <c r="R769" s="2" t="inlineStr"/>
    </row>
    <row r="770" ht="15" customHeight="1">
      <c r="A770" t="inlineStr">
        <is>
          <t>A 65249-2023</t>
        </is>
      </c>
      <c r="B770" s="1" t="n">
        <v>45290</v>
      </c>
      <c r="C770" s="1" t="n">
        <v>45822</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98-2024</t>
        </is>
      </c>
      <c r="B771" s="1" t="n">
        <v>45293</v>
      </c>
      <c r="C771" s="1" t="n">
        <v>45822</v>
      </c>
      <c r="D771" t="inlineStr">
        <is>
          <t>GOTLANDS LÄN</t>
        </is>
      </c>
      <c r="E771" t="inlineStr">
        <is>
          <t>GOTLAND</t>
        </is>
      </c>
      <c r="G771" t="n">
        <v>2</v>
      </c>
      <c r="H771" t="n">
        <v>0</v>
      </c>
      <c r="I771" t="n">
        <v>0</v>
      </c>
      <c r="J771" t="n">
        <v>0</v>
      </c>
      <c r="K771" t="n">
        <v>0</v>
      </c>
      <c r="L771" t="n">
        <v>0</v>
      </c>
      <c r="M771" t="n">
        <v>0</v>
      </c>
      <c r="N771" t="n">
        <v>0</v>
      </c>
      <c r="O771" t="n">
        <v>0</v>
      </c>
      <c r="P771" t="n">
        <v>0</v>
      </c>
      <c r="Q771" t="n">
        <v>0</v>
      </c>
      <c r="R771" s="2" t="inlineStr"/>
    </row>
    <row r="772" ht="15" customHeight="1">
      <c r="A772" t="inlineStr">
        <is>
          <t>A 450-2024</t>
        </is>
      </c>
      <c r="B772" s="1" t="n">
        <v>45296</v>
      </c>
      <c r="C772" s="1" t="n">
        <v>45822</v>
      </c>
      <c r="D772" t="inlineStr">
        <is>
          <t>GOTLANDS LÄN</t>
        </is>
      </c>
      <c r="E772" t="inlineStr">
        <is>
          <t>GOTLAND</t>
        </is>
      </c>
      <c r="G772" t="n">
        <v>10.1</v>
      </c>
      <c r="H772" t="n">
        <v>0</v>
      </c>
      <c r="I772" t="n">
        <v>0</v>
      </c>
      <c r="J772" t="n">
        <v>0</v>
      </c>
      <c r="K772" t="n">
        <v>0</v>
      </c>
      <c r="L772" t="n">
        <v>0</v>
      </c>
      <c r="M772" t="n">
        <v>0</v>
      </c>
      <c r="N772" t="n">
        <v>0</v>
      </c>
      <c r="O772" t="n">
        <v>0</v>
      </c>
      <c r="P772" t="n">
        <v>0</v>
      </c>
      <c r="Q772" t="n">
        <v>0</v>
      </c>
      <c r="R772" s="2" t="inlineStr"/>
    </row>
    <row r="773" ht="15" customHeight="1">
      <c r="A773" t="inlineStr">
        <is>
          <t>A 533-2024</t>
        </is>
      </c>
      <c r="B773" s="1" t="n">
        <v>45299</v>
      </c>
      <c r="C773" s="1" t="n">
        <v>45822</v>
      </c>
      <c r="D773" t="inlineStr">
        <is>
          <t>GOTLANDS LÄN</t>
        </is>
      </c>
      <c r="E773" t="inlineStr">
        <is>
          <t>GOTLAND</t>
        </is>
      </c>
      <c r="G773" t="n">
        <v>7.1</v>
      </c>
      <c r="H773" t="n">
        <v>0</v>
      </c>
      <c r="I773" t="n">
        <v>0</v>
      </c>
      <c r="J773" t="n">
        <v>0</v>
      </c>
      <c r="K773" t="n">
        <v>0</v>
      </c>
      <c r="L773" t="n">
        <v>0</v>
      </c>
      <c r="M773" t="n">
        <v>0</v>
      </c>
      <c r="N773" t="n">
        <v>0</v>
      </c>
      <c r="O773" t="n">
        <v>0</v>
      </c>
      <c r="P773" t="n">
        <v>0</v>
      </c>
      <c r="Q773" t="n">
        <v>0</v>
      </c>
      <c r="R773" s="2" t="inlineStr"/>
    </row>
    <row r="774" ht="15" customHeight="1">
      <c r="A774" t="inlineStr">
        <is>
          <t>A 796-2024</t>
        </is>
      </c>
      <c r="B774" s="1" t="n">
        <v>45300</v>
      </c>
      <c r="C774" s="1" t="n">
        <v>45822</v>
      </c>
      <c r="D774" t="inlineStr">
        <is>
          <t>GOTLANDS LÄN</t>
        </is>
      </c>
      <c r="E774" t="inlineStr">
        <is>
          <t>GOTLAND</t>
        </is>
      </c>
      <c r="G774" t="n">
        <v>0.8</v>
      </c>
      <c r="H774" t="n">
        <v>0</v>
      </c>
      <c r="I774" t="n">
        <v>0</v>
      </c>
      <c r="J774" t="n">
        <v>0</v>
      </c>
      <c r="K774" t="n">
        <v>0</v>
      </c>
      <c r="L774" t="n">
        <v>0</v>
      </c>
      <c r="M774" t="n">
        <v>0</v>
      </c>
      <c r="N774" t="n">
        <v>0</v>
      </c>
      <c r="O774" t="n">
        <v>0</v>
      </c>
      <c r="P774" t="n">
        <v>0</v>
      </c>
      <c r="Q774" t="n">
        <v>0</v>
      </c>
      <c r="R774" s="2" t="inlineStr"/>
    </row>
    <row r="775" ht="15" customHeight="1">
      <c r="A775" t="inlineStr">
        <is>
          <t>A 873-2024</t>
        </is>
      </c>
      <c r="B775" s="1" t="n">
        <v>45301</v>
      </c>
      <c r="C775" s="1" t="n">
        <v>45822</v>
      </c>
      <c r="D775" t="inlineStr">
        <is>
          <t>GOTLANDS LÄN</t>
        </is>
      </c>
      <c r="E775" t="inlineStr">
        <is>
          <t>GOTLAND</t>
        </is>
      </c>
      <c r="G775" t="n">
        <v>2.7</v>
      </c>
      <c r="H775" t="n">
        <v>0</v>
      </c>
      <c r="I775" t="n">
        <v>0</v>
      </c>
      <c r="J775" t="n">
        <v>0</v>
      </c>
      <c r="K775" t="n">
        <v>0</v>
      </c>
      <c r="L775" t="n">
        <v>0</v>
      </c>
      <c r="M775" t="n">
        <v>0</v>
      </c>
      <c r="N775" t="n">
        <v>0</v>
      </c>
      <c r="O775" t="n">
        <v>0</v>
      </c>
      <c r="P775" t="n">
        <v>0</v>
      </c>
      <c r="Q775" t="n">
        <v>0</v>
      </c>
      <c r="R775" s="2" t="inlineStr"/>
    </row>
    <row r="776" ht="15" customHeight="1">
      <c r="A776" t="inlineStr">
        <is>
          <t>A 876-2024</t>
        </is>
      </c>
      <c r="B776" s="1" t="n">
        <v>45301</v>
      </c>
      <c r="C776" s="1" t="n">
        <v>45822</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999-2024</t>
        </is>
      </c>
      <c r="B777" s="1" t="n">
        <v>45301</v>
      </c>
      <c r="C777" s="1" t="n">
        <v>45822</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1010-2024</t>
        </is>
      </c>
      <c r="B778" s="1" t="n">
        <v>45301</v>
      </c>
      <c r="C778" s="1" t="n">
        <v>45822</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1000-2024</t>
        </is>
      </c>
      <c r="B779" s="1" t="n">
        <v>45301</v>
      </c>
      <c r="C779" s="1" t="n">
        <v>45822</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1008-2024</t>
        </is>
      </c>
      <c r="B780" s="1" t="n">
        <v>45301</v>
      </c>
      <c r="C780" s="1" t="n">
        <v>45822</v>
      </c>
      <c r="D780" t="inlineStr">
        <is>
          <t>GOTLANDS LÄN</t>
        </is>
      </c>
      <c r="E780" t="inlineStr">
        <is>
          <t>GOTLAND</t>
        </is>
      </c>
      <c r="G780" t="n">
        <v>2.3</v>
      </c>
      <c r="H780" t="n">
        <v>0</v>
      </c>
      <c r="I780" t="n">
        <v>0</v>
      </c>
      <c r="J780" t="n">
        <v>0</v>
      </c>
      <c r="K780" t="n">
        <v>0</v>
      </c>
      <c r="L780" t="n">
        <v>0</v>
      </c>
      <c r="M780" t="n">
        <v>0</v>
      </c>
      <c r="N780" t="n">
        <v>0</v>
      </c>
      <c r="O780" t="n">
        <v>0</v>
      </c>
      <c r="P780" t="n">
        <v>0</v>
      </c>
      <c r="Q780" t="n">
        <v>0</v>
      </c>
      <c r="R780" s="2" t="inlineStr"/>
    </row>
    <row r="781" ht="15" customHeight="1">
      <c r="A781" t="inlineStr">
        <is>
          <t>A 1066-2024</t>
        </is>
      </c>
      <c r="B781" s="1" t="n">
        <v>45302</v>
      </c>
      <c r="C781" s="1" t="n">
        <v>45822</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1321-2024</t>
        </is>
      </c>
      <c r="B782" s="1" t="n">
        <v>45303</v>
      </c>
      <c r="C782" s="1" t="n">
        <v>45822</v>
      </c>
      <c r="D782" t="inlineStr">
        <is>
          <t>GOTLANDS LÄN</t>
        </is>
      </c>
      <c r="E782" t="inlineStr">
        <is>
          <t>GOTLAND</t>
        </is>
      </c>
      <c r="G782" t="n">
        <v>5.5</v>
      </c>
      <c r="H782" t="n">
        <v>0</v>
      </c>
      <c r="I782" t="n">
        <v>0</v>
      </c>
      <c r="J782" t="n">
        <v>0</v>
      </c>
      <c r="K782" t="n">
        <v>0</v>
      </c>
      <c r="L782" t="n">
        <v>0</v>
      </c>
      <c r="M782" t="n">
        <v>0</v>
      </c>
      <c r="N782" t="n">
        <v>0</v>
      </c>
      <c r="O782" t="n">
        <v>0</v>
      </c>
      <c r="P782" t="n">
        <v>0</v>
      </c>
      <c r="Q782" t="n">
        <v>0</v>
      </c>
      <c r="R782" s="2" t="inlineStr"/>
    </row>
    <row r="783" ht="15" customHeight="1">
      <c r="A783" t="inlineStr">
        <is>
          <t>A 1477-2024</t>
        </is>
      </c>
      <c r="B783" s="1" t="n">
        <v>45305</v>
      </c>
      <c r="C783" s="1" t="n">
        <v>45822</v>
      </c>
      <c r="D783" t="inlineStr">
        <is>
          <t>GOTLANDS LÄN</t>
        </is>
      </c>
      <c r="E783" t="inlineStr">
        <is>
          <t>GOTLAND</t>
        </is>
      </c>
      <c r="G783" t="n">
        <v>6.9</v>
      </c>
      <c r="H783" t="n">
        <v>0</v>
      </c>
      <c r="I783" t="n">
        <v>0</v>
      </c>
      <c r="J783" t="n">
        <v>0</v>
      </c>
      <c r="K783" t="n">
        <v>0</v>
      </c>
      <c r="L783" t="n">
        <v>0</v>
      </c>
      <c r="M783" t="n">
        <v>0</v>
      </c>
      <c r="N783" t="n">
        <v>0</v>
      </c>
      <c r="O783" t="n">
        <v>0</v>
      </c>
      <c r="P783" t="n">
        <v>0</v>
      </c>
      <c r="Q783" t="n">
        <v>0</v>
      </c>
      <c r="R783" s="2" t="inlineStr"/>
    </row>
    <row r="784" ht="15" customHeight="1">
      <c r="A784" t="inlineStr">
        <is>
          <t>A 2010-2024</t>
        </is>
      </c>
      <c r="B784" s="1" t="n">
        <v>45308</v>
      </c>
      <c r="C784" s="1" t="n">
        <v>45822</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2774-2024</t>
        </is>
      </c>
      <c r="B785" s="1" t="n">
        <v>45314</v>
      </c>
      <c r="C785" s="1" t="n">
        <v>45822</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2821-2024</t>
        </is>
      </c>
      <c r="B786" s="1" t="n">
        <v>45314</v>
      </c>
      <c r="C786" s="1" t="n">
        <v>45822</v>
      </c>
      <c r="D786" t="inlineStr">
        <is>
          <t>GOTLANDS LÄN</t>
        </is>
      </c>
      <c r="E786" t="inlineStr">
        <is>
          <t>GOTLAND</t>
        </is>
      </c>
      <c r="G786" t="n">
        <v>1.9</v>
      </c>
      <c r="H786" t="n">
        <v>0</v>
      </c>
      <c r="I786" t="n">
        <v>0</v>
      </c>
      <c r="J786" t="n">
        <v>0</v>
      </c>
      <c r="K786" t="n">
        <v>0</v>
      </c>
      <c r="L786" t="n">
        <v>0</v>
      </c>
      <c r="M786" t="n">
        <v>0</v>
      </c>
      <c r="N786" t="n">
        <v>0</v>
      </c>
      <c r="O786" t="n">
        <v>0</v>
      </c>
      <c r="P786" t="n">
        <v>0</v>
      </c>
      <c r="Q786" t="n">
        <v>0</v>
      </c>
      <c r="R786" s="2" t="inlineStr"/>
    </row>
    <row r="787" ht="15" customHeight="1">
      <c r="A787" t="inlineStr">
        <is>
          <t>A 2825-2024</t>
        </is>
      </c>
      <c r="B787" s="1" t="n">
        <v>45314</v>
      </c>
      <c r="C787" s="1" t="n">
        <v>45822</v>
      </c>
      <c r="D787" t="inlineStr">
        <is>
          <t>GOTLANDS LÄN</t>
        </is>
      </c>
      <c r="E787" t="inlineStr">
        <is>
          <t>GOTLAND</t>
        </is>
      </c>
      <c r="G787" t="n">
        <v>4.8</v>
      </c>
      <c r="H787" t="n">
        <v>0</v>
      </c>
      <c r="I787" t="n">
        <v>0</v>
      </c>
      <c r="J787" t="n">
        <v>0</v>
      </c>
      <c r="K787" t="n">
        <v>0</v>
      </c>
      <c r="L787" t="n">
        <v>0</v>
      </c>
      <c r="M787" t="n">
        <v>0</v>
      </c>
      <c r="N787" t="n">
        <v>0</v>
      </c>
      <c r="O787" t="n">
        <v>0</v>
      </c>
      <c r="P787" t="n">
        <v>0</v>
      </c>
      <c r="Q787" t="n">
        <v>0</v>
      </c>
      <c r="R787" s="2" t="inlineStr"/>
    </row>
    <row r="788" ht="15" customHeight="1">
      <c r="A788" t="inlineStr">
        <is>
          <t>A 2819-2024</t>
        </is>
      </c>
      <c r="B788" s="1" t="n">
        <v>45314</v>
      </c>
      <c r="C788" s="1" t="n">
        <v>45822</v>
      </c>
      <c r="D788" t="inlineStr">
        <is>
          <t>GOTLANDS LÄN</t>
        </is>
      </c>
      <c r="E788" t="inlineStr">
        <is>
          <t>GOTLAND</t>
        </is>
      </c>
      <c r="G788" t="n">
        <v>6.3</v>
      </c>
      <c r="H788" t="n">
        <v>0</v>
      </c>
      <c r="I788" t="n">
        <v>0</v>
      </c>
      <c r="J788" t="n">
        <v>0</v>
      </c>
      <c r="K788" t="n">
        <v>0</v>
      </c>
      <c r="L788" t="n">
        <v>0</v>
      </c>
      <c r="M788" t="n">
        <v>0</v>
      </c>
      <c r="N788" t="n">
        <v>0</v>
      </c>
      <c r="O788" t="n">
        <v>0</v>
      </c>
      <c r="P788" t="n">
        <v>0</v>
      </c>
      <c r="Q788" t="n">
        <v>0</v>
      </c>
      <c r="R788" s="2" t="inlineStr"/>
    </row>
    <row r="789" ht="15" customHeight="1">
      <c r="A789" t="inlineStr">
        <is>
          <t>A 3004-2024</t>
        </is>
      </c>
      <c r="B789" s="1" t="n">
        <v>45315</v>
      </c>
      <c r="C789" s="1" t="n">
        <v>45822</v>
      </c>
      <c r="D789" t="inlineStr">
        <is>
          <t>GOTLANDS LÄN</t>
        </is>
      </c>
      <c r="E789" t="inlineStr">
        <is>
          <t>GOTLAND</t>
        </is>
      </c>
      <c r="G789" t="n">
        <v>0.7</v>
      </c>
      <c r="H789" t="n">
        <v>0</v>
      </c>
      <c r="I789" t="n">
        <v>0</v>
      </c>
      <c r="J789" t="n">
        <v>0</v>
      </c>
      <c r="K789" t="n">
        <v>0</v>
      </c>
      <c r="L789" t="n">
        <v>0</v>
      </c>
      <c r="M789" t="n">
        <v>0</v>
      </c>
      <c r="N789" t="n">
        <v>0</v>
      </c>
      <c r="O789" t="n">
        <v>0</v>
      </c>
      <c r="P789" t="n">
        <v>0</v>
      </c>
      <c r="Q789" t="n">
        <v>0</v>
      </c>
      <c r="R789" s="2" t="inlineStr"/>
    </row>
    <row r="790" ht="15" customHeight="1">
      <c r="A790" t="inlineStr">
        <is>
          <t>A 3689-2024</t>
        </is>
      </c>
      <c r="B790" s="1" t="n">
        <v>45321</v>
      </c>
      <c r="C790" s="1" t="n">
        <v>45822</v>
      </c>
      <c r="D790" t="inlineStr">
        <is>
          <t>GOTLANDS LÄN</t>
        </is>
      </c>
      <c r="E790" t="inlineStr">
        <is>
          <t>GOTLAND</t>
        </is>
      </c>
      <c r="G790" t="n">
        <v>4.5</v>
      </c>
      <c r="H790" t="n">
        <v>0</v>
      </c>
      <c r="I790" t="n">
        <v>0</v>
      </c>
      <c r="J790" t="n">
        <v>0</v>
      </c>
      <c r="K790" t="n">
        <v>0</v>
      </c>
      <c r="L790" t="n">
        <v>0</v>
      </c>
      <c r="M790" t="n">
        <v>0</v>
      </c>
      <c r="N790" t="n">
        <v>0</v>
      </c>
      <c r="O790" t="n">
        <v>0</v>
      </c>
      <c r="P790" t="n">
        <v>0</v>
      </c>
      <c r="Q790" t="n">
        <v>0</v>
      </c>
      <c r="R790" s="2" t="inlineStr"/>
    </row>
    <row r="791" ht="15" customHeight="1">
      <c r="A791" t="inlineStr">
        <is>
          <t>A 3707-2024</t>
        </is>
      </c>
      <c r="B791" s="1" t="n">
        <v>45321</v>
      </c>
      <c r="C791" s="1" t="n">
        <v>45822</v>
      </c>
      <c r="D791" t="inlineStr">
        <is>
          <t>GOTLANDS LÄN</t>
        </is>
      </c>
      <c r="E791" t="inlineStr">
        <is>
          <t>GOTLAND</t>
        </is>
      </c>
      <c r="G791" t="n">
        <v>12.2</v>
      </c>
      <c r="H791" t="n">
        <v>0</v>
      </c>
      <c r="I791" t="n">
        <v>0</v>
      </c>
      <c r="J791" t="n">
        <v>0</v>
      </c>
      <c r="K791" t="n">
        <v>0</v>
      </c>
      <c r="L791" t="n">
        <v>0</v>
      </c>
      <c r="M791" t="n">
        <v>0</v>
      </c>
      <c r="N791" t="n">
        <v>0</v>
      </c>
      <c r="O791" t="n">
        <v>0</v>
      </c>
      <c r="P791" t="n">
        <v>0</v>
      </c>
      <c r="Q791" t="n">
        <v>0</v>
      </c>
      <c r="R791" s="2" t="inlineStr"/>
    </row>
    <row r="792" ht="15" customHeight="1">
      <c r="A792" t="inlineStr">
        <is>
          <t>A 3964-2024</t>
        </is>
      </c>
      <c r="B792" s="1" t="n">
        <v>45322</v>
      </c>
      <c r="C792" s="1" t="n">
        <v>45822</v>
      </c>
      <c r="D792" t="inlineStr">
        <is>
          <t>GOTLANDS LÄN</t>
        </is>
      </c>
      <c r="E792" t="inlineStr">
        <is>
          <t>GOTLAND</t>
        </is>
      </c>
      <c r="G792" t="n">
        <v>1.4</v>
      </c>
      <c r="H792" t="n">
        <v>0</v>
      </c>
      <c r="I792" t="n">
        <v>0</v>
      </c>
      <c r="J792" t="n">
        <v>0</v>
      </c>
      <c r="K792" t="n">
        <v>0</v>
      </c>
      <c r="L792" t="n">
        <v>0</v>
      </c>
      <c r="M792" t="n">
        <v>0</v>
      </c>
      <c r="N792" t="n">
        <v>0</v>
      </c>
      <c r="O792" t="n">
        <v>0</v>
      </c>
      <c r="P792" t="n">
        <v>0</v>
      </c>
      <c r="Q792" t="n">
        <v>0</v>
      </c>
      <c r="R792" s="2" t="inlineStr"/>
    </row>
    <row r="793" ht="15" customHeight="1">
      <c r="A793" t="inlineStr">
        <is>
          <t>A 4259-2024</t>
        </is>
      </c>
      <c r="B793" s="1" t="n">
        <v>45324</v>
      </c>
      <c r="C793" s="1" t="n">
        <v>45822</v>
      </c>
      <c r="D793" t="inlineStr">
        <is>
          <t>GOTLANDS LÄN</t>
        </is>
      </c>
      <c r="E793" t="inlineStr">
        <is>
          <t>GOTLAND</t>
        </is>
      </c>
      <c r="G793" t="n">
        <v>1.2</v>
      </c>
      <c r="H793" t="n">
        <v>0</v>
      </c>
      <c r="I793" t="n">
        <v>0</v>
      </c>
      <c r="J793" t="n">
        <v>0</v>
      </c>
      <c r="K793" t="n">
        <v>0</v>
      </c>
      <c r="L793" t="n">
        <v>0</v>
      </c>
      <c r="M793" t="n">
        <v>0</v>
      </c>
      <c r="N793" t="n">
        <v>0</v>
      </c>
      <c r="O793" t="n">
        <v>0</v>
      </c>
      <c r="P793" t="n">
        <v>0</v>
      </c>
      <c r="Q793" t="n">
        <v>0</v>
      </c>
      <c r="R793" s="2" t="inlineStr"/>
    </row>
    <row r="794" ht="15" customHeight="1">
      <c r="A794" t="inlineStr">
        <is>
          <t>A 4421-2024</t>
        </is>
      </c>
      <c r="B794" s="1" t="n">
        <v>45327</v>
      </c>
      <c r="C794" s="1" t="n">
        <v>45822</v>
      </c>
      <c r="D794" t="inlineStr">
        <is>
          <t>GOTLANDS LÄN</t>
        </is>
      </c>
      <c r="E794" t="inlineStr">
        <is>
          <t>GOTLAND</t>
        </is>
      </c>
      <c r="G794" t="n">
        <v>5.1</v>
      </c>
      <c r="H794" t="n">
        <v>0</v>
      </c>
      <c r="I794" t="n">
        <v>0</v>
      </c>
      <c r="J794" t="n">
        <v>0</v>
      </c>
      <c r="K794" t="n">
        <v>0</v>
      </c>
      <c r="L794" t="n">
        <v>0</v>
      </c>
      <c r="M794" t="n">
        <v>0</v>
      </c>
      <c r="N794" t="n">
        <v>0</v>
      </c>
      <c r="O794" t="n">
        <v>0</v>
      </c>
      <c r="P794" t="n">
        <v>0</v>
      </c>
      <c r="Q794" t="n">
        <v>0</v>
      </c>
      <c r="R794" s="2" t="inlineStr"/>
    </row>
    <row r="795" ht="15" customHeight="1">
      <c r="A795" t="inlineStr">
        <is>
          <t>A 4483-2024</t>
        </is>
      </c>
      <c r="B795" s="1" t="n">
        <v>45327</v>
      </c>
      <c r="C795" s="1" t="n">
        <v>45822</v>
      </c>
      <c r="D795" t="inlineStr">
        <is>
          <t>GOTLANDS LÄN</t>
        </is>
      </c>
      <c r="E795" t="inlineStr">
        <is>
          <t>GOTLAND</t>
        </is>
      </c>
      <c r="G795" t="n">
        <v>4.6</v>
      </c>
      <c r="H795" t="n">
        <v>0</v>
      </c>
      <c r="I795" t="n">
        <v>0</v>
      </c>
      <c r="J795" t="n">
        <v>0</v>
      </c>
      <c r="K795" t="n">
        <v>0</v>
      </c>
      <c r="L795" t="n">
        <v>0</v>
      </c>
      <c r="M795" t="n">
        <v>0</v>
      </c>
      <c r="N795" t="n">
        <v>0</v>
      </c>
      <c r="O795" t="n">
        <v>0</v>
      </c>
      <c r="P795" t="n">
        <v>0</v>
      </c>
      <c r="Q795" t="n">
        <v>0</v>
      </c>
      <c r="R795" s="2" t="inlineStr"/>
    </row>
    <row r="796" ht="15" customHeight="1">
      <c r="A796" t="inlineStr">
        <is>
          <t>A 4689-2024</t>
        </is>
      </c>
      <c r="B796" s="1" t="n">
        <v>45328</v>
      </c>
      <c r="C796" s="1" t="n">
        <v>45822</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4868-2024</t>
        </is>
      </c>
      <c r="B797" s="1" t="n">
        <v>45329</v>
      </c>
      <c r="C797" s="1" t="n">
        <v>45822</v>
      </c>
      <c r="D797" t="inlineStr">
        <is>
          <t>GOTLANDS LÄN</t>
        </is>
      </c>
      <c r="E797" t="inlineStr">
        <is>
          <t>GOTLAND</t>
        </is>
      </c>
      <c r="G797" t="n">
        <v>7.1</v>
      </c>
      <c r="H797" t="n">
        <v>0</v>
      </c>
      <c r="I797" t="n">
        <v>0</v>
      </c>
      <c r="J797" t="n">
        <v>0</v>
      </c>
      <c r="K797" t="n">
        <v>0</v>
      </c>
      <c r="L797" t="n">
        <v>0</v>
      </c>
      <c r="M797" t="n">
        <v>0</v>
      </c>
      <c r="N797" t="n">
        <v>0</v>
      </c>
      <c r="O797" t="n">
        <v>0</v>
      </c>
      <c r="P797" t="n">
        <v>0</v>
      </c>
      <c r="Q797" t="n">
        <v>0</v>
      </c>
      <c r="R797" s="2" t="inlineStr"/>
    </row>
    <row r="798" ht="15" customHeight="1">
      <c r="A798" t="inlineStr">
        <is>
          <t>A 5413-2024</t>
        </is>
      </c>
      <c r="B798" s="1" t="n">
        <v>45331</v>
      </c>
      <c r="C798" s="1" t="n">
        <v>45822</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5751-2024</t>
        </is>
      </c>
      <c r="B799" s="1" t="n">
        <v>45335</v>
      </c>
      <c r="C799" s="1" t="n">
        <v>45822</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5905-2024</t>
        </is>
      </c>
      <c r="B800" s="1" t="n">
        <v>45335</v>
      </c>
      <c r="C800" s="1" t="n">
        <v>45822</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5943-2024</t>
        </is>
      </c>
      <c r="B801" s="1" t="n">
        <v>45336</v>
      </c>
      <c r="C801" s="1" t="n">
        <v>45822</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6099-2024</t>
        </is>
      </c>
      <c r="B802" s="1" t="n">
        <v>45337</v>
      </c>
      <c r="C802" s="1" t="n">
        <v>45822</v>
      </c>
      <c r="D802" t="inlineStr">
        <is>
          <t>GOTLANDS LÄN</t>
        </is>
      </c>
      <c r="E802" t="inlineStr">
        <is>
          <t>GOTLAND</t>
        </is>
      </c>
      <c r="G802" t="n">
        <v>12.6</v>
      </c>
      <c r="H802" t="n">
        <v>0</v>
      </c>
      <c r="I802" t="n">
        <v>0</v>
      </c>
      <c r="J802" t="n">
        <v>0</v>
      </c>
      <c r="K802" t="n">
        <v>0</v>
      </c>
      <c r="L802" t="n">
        <v>0</v>
      </c>
      <c r="M802" t="n">
        <v>0</v>
      </c>
      <c r="N802" t="n">
        <v>0</v>
      </c>
      <c r="O802" t="n">
        <v>0</v>
      </c>
      <c r="P802" t="n">
        <v>0</v>
      </c>
      <c r="Q802" t="n">
        <v>0</v>
      </c>
      <c r="R802" s="2" t="inlineStr"/>
    </row>
    <row r="803" ht="15" customHeight="1">
      <c r="A803" t="inlineStr">
        <is>
          <t>A 6141-2024</t>
        </is>
      </c>
      <c r="B803" s="1" t="n">
        <v>45337</v>
      </c>
      <c r="C803" s="1" t="n">
        <v>45822</v>
      </c>
      <c r="D803" t="inlineStr">
        <is>
          <t>GOTLANDS LÄN</t>
        </is>
      </c>
      <c r="E803" t="inlineStr">
        <is>
          <t>GOTLAND</t>
        </is>
      </c>
      <c r="G803" t="n">
        <v>6.1</v>
      </c>
      <c r="H803" t="n">
        <v>0</v>
      </c>
      <c r="I803" t="n">
        <v>0</v>
      </c>
      <c r="J803" t="n">
        <v>0</v>
      </c>
      <c r="K803" t="n">
        <v>0</v>
      </c>
      <c r="L803" t="n">
        <v>0</v>
      </c>
      <c r="M803" t="n">
        <v>0</v>
      </c>
      <c r="N803" t="n">
        <v>0</v>
      </c>
      <c r="O803" t="n">
        <v>0</v>
      </c>
      <c r="P803" t="n">
        <v>0</v>
      </c>
      <c r="Q803" t="n">
        <v>0</v>
      </c>
      <c r="R803" s="2" t="inlineStr"/>
    </row>
    <row r="804" ht="15" customHeight="1">
      <c r="A804" t="inlineStr">
        <is>
          <t>A 6153-2024</t>
        </is>
      </c>
      <c r="B804" s="1" t="n">
        <v>45337</v>
      </c>
      <c r="C804" s="1" t="n">
        <v>45822</v>
      </c>
      <c r="D804" t="inlineStr">
        <is>
          <t>GOTLANDS LÄN</t>
        </is>
      </c>
      <c r="E804" t="inlineStr">
        <is>
          <t>GOTLAND</t>
        </is>
      </c>
      <c r="G804" t="n">
        <v>14.2</v>
      </c>
      <c r="H804" t="n">
        <v>0</v>
      </c>
      <c r="I804" t="n">
        <v>0</v>
      </c>
      <c r="J804" t="n">
        <v>0</v>
      </c>
      <c r="K804" t="n">
        <v>0</v>
      </c>
      <c r="L804" t="n">
        <v>0</v>
      </c>
      <c r="M804" t="n">
        <v>0</v>
      </c>
      <c r="N804" t="n">
        <v>0</v>
      </c>
      <c r="O804" t="n">
        <v>0</v>
      </c>
      <c r="P804" t="n">
        <v>0</v>
      </c>
      <c r="Q804" t="n">
        <v>0</v>
      </c>
      <c r="R804" s="2" t="inlineStr"/>
    </row>
    <row r="805" ht="15" customHeight="1">
      <c r="A805" t="inlineStr">
        <is>
          <t>A 6138-2024</t>
        </is>
      </c>
      <c r="B805" s="1" t="n">
        <v>45337</v>
      </c>
      <c r="C805" s="1" t="n">
        <v>45822</v>
      </c>
      <c r="D805" t="inlineStr">
        <is>
          <t>GOTLANDS LÄN</t>
        </is>
      </c>
      <c r="E805" t="inlineStr">
        <is>
          <t>GOTLAND</t>
        </is>
      </c>
      <c r="G805" t="n">
        <v>24.8</v>
      </c>
      <c r="H805" t="n">
        <v>0</v>
      </c>
      <c r="I805" t="n">
        <v>0</v>
      </c>
      <c r="J805" t="n">
        <v>0</v>
      </c>
      <c r="K805" t="n">
        <v>0</v>
      </c>
      <c r="L805" t="n">
        <v>0</v>
      </c>
      <c r="M805" t="n">
        <v>0</v>
      </c>
      <c r="N805" t="n">
        <v>0</v>
      </c>
      <c r="O805" t="n">
        <v>0</v>
      </c>
      <c r="P805" t="n">
        <v>0</v>
      </c>
      <c r="Q805" t="n">
        <v>0</v>
      </c>
      <c r="R805" s="2" t="inlineStr"/>
    </row>
    <row r="806" ht="15" customHeight="1">
      <c r="A806" t="inlineStr">
        <is>
          <t>A 7497-2024</t>
        </is>
      </c>
      <c r="B806" s="1" t="n">
        <v>45347</v>
      </c>
      <c r="C806" s="1" t="n">
        <v>45822</v>
      </c>
      <c r="D806" t="inlineStr">
        <is>
          <t>GOTLANDS LÄN</t>
        </is>
      </c>
      <c r="E806" t="inlineStr">
        <is>
          <t>GOTLAND</t>
        </is>
      </c>
      <c r="G806" t="n">
        <v>18.5</v>
      </c>
      <c r="H806" t="n">
        <v>0</v>
      </c>
      <c r="I806" t="n">
        <v>0</v>
      </c>
      <c r="J806" t="n">
        <v>0</v>
      </c>
      <c r="K806" t="n">
        <v>0</v>
      </c>
      <c r="L806" t="n">
        <v>0</v>
      </c>
      <c r="M806" t="n">
        <v>0</v>
      </c>
      <c r="N806" t="n">
        <v>0</v>
      </c>
      <c r="O806" t="n">
        <v>0</v>
      </c>
      <c r="P806" t="n">
        <v>0</v>
      </c>
      <c r="Q806" t="n">
        <v>0</v>
      </c>
      <c r="R806" s="2" t="inlineStr"/>
    </row>
    <row r="807" ht="15" customHeight="1">
      <c r="A807" t="inlineStr">
        <is>
          <t>A 7837-2024</t>
        </is>
      </c>
      <c r="B807" s="1" t="n">
        <v>45349</v>
      </c>
      <c r="C807" s="1" t="n">
        <v>45822</v>
      </c>
      <c r="D807" t="inlineStr">
        <is>
          <t>GOTLANDS LÄN</t>
        </is>
      </c>
      <c r="E807" t="inlineStr">
        <is>
          <t>GOTLAND</t>
        </is>
      </c>
      <c r="G807" t="n">
        <v>5</v>
      </c>
      <c r="H807" t="n">
        <v>0</v>
      </c>
      <c r="I807" t="n">
        <v>0</v>
      </c>
      <c r="J807" t="n">
        <v>0</v>
      </c>
      <c r="K807" t="n">
        <v>0</v>
      </c>
      <c r="L807" t="n">
        <v>0</v>
      </c>
      <c r="M807" t="n">
        <v>0</v>
      </c>
      <c r="N807" t="n">
        <v>0</v>
      </c>
      <c r="O807" t="n">
        <v>0</v>
      </c>
      <c r="P807" t="n">
        <v>0</v>
      </c>
      <c r="Q807" t="n">
        <v>0</v>
      </c>
      <c r="R807" s="2" t="inlineStr"/>
    </row>
    <row r="808" ht="15" customHeight="1">
      <c r="A808" t="inlineStr">
        <is>
          <t>A 7835-2024</t>
        </is>
      </c>
      <c r="B808" s="1" t="n">
        <v>45349</v>
      </c>
      <c r="C808" s="1" t="n">
        <v>45822</v>
      </c>
      <c r="D808" t="inlineStr">
        <is>
          <t>GOTLANDS LÄN</t>
        </is>
      </c>
      <c r="E808" t="inlineStr">
        <is>
          <t>GOTLAND</t>
        </is>
      </c>
      <c r="G808" t="n">
        <v>3.8</v>
      </c>
      <c r="H808" t="n">
        <v>0</v>
      </c>
      <c r="I808" t="n">
        <v>0</v>
      </c>
      <c r="J808" t="n">
        <v>0</v>
      </c>
      <c r="K808" t="n">
        <v>0</v>
      </c>
      <c r="L808" t="n">
        <v>0</v>
      </c>
      <c r="M808" t="n">
        <v>0</v>
      </c>
      <c r="N808" t="n">
        <v>0</v>
      </c>
      <c r="O808" t="n">
        <v>0</v>
      </c>
      <c r="P808" t="n">
        <v>0</v>
      </c>
      <c r="Q808" t="n">
        <v>0</v>
      </c>
      <c r="R808" s="2" t="inlineStr"/>
    </row>
    <row r="809" ht="15" customHeight="1">
      <c r="A809" t="inlineStr">
        <is>
          <t>A 8460-2024</t>
        </is>
      </c>
      <c r="B809" s="1" t="n">
        <v>45355</v>
      </c>
      <c r="C809" s="1" t="n">
        <v>45822</v>
      </c>
      <c r="D809" t="inlineStr">
        <is>
          <t>GOTLANDS LÄN</t>
        </is>
      </c>
      <c r="E809" t="inlineStr">
        <is>
          <t>GOTLAND</t>
        </is>
      </c>
      <c r="G809" t="n">
        <v>2.6</v>
      </c>
      <c r="H809" t="n">
        <v>0</v>
      </c>
      <c r="I809" t="n">
        <v>0</v>
      </c>
      <c r="J809" t="n">
        <v>0</v>
      </c>
      <c r="K809" t="n">
        <v>0</v>
      </c>
      <c r="L809" t="n">
        <v>0</v>
      </c>
      <c r="M809" t="n">
        <v>0</v>
      </c>
      <c r="N809" t="n">
        <v>0</v>
      </c>
      <c r="O809" t="n">
        <v>0</v>
      </c>
      <c r="P809" t="n">
        <v>0</v>
      </c>
      <c r="Q809" t="n">
        <v>0</v>
      </c>
      <c r="R809" s="2" t="inlineStr"/>
    </row>
    <row r="810" ht="15" customHeight="1">
      <c r="A810" t="inlineStr">
        <is>
          <t>A 9947-2024</t>
        </is>
      </c>
      <c r="B810" s="1" t="n">
        <v>45363</v>
      </c>
      <c r="C810" s="1" t="n">
        <v>45822</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10051-2024</t>
        </is>
      </c>
      <c r="B811" s="1" t="n">
        <v>45364</v>
      </c>
      <c r="C811" s="1" t="n">
        <v>45822</v>
      </c>
      <c r="D811" t="inlineStr">
        <is>
          <t>GOTLANDS LÄN</t>
        </is>
      </c>
      <c r="E811" t="inlineStr">
        <is>
          <t>GOTLAND</t>
        </is>
      </c>
      <c r="G811" t="n">
        <v>4.2</v>
      </c>
      <c r="H811" t="n">
        <v>0</v>
      </c>
      <c r="I811" t="n">
        <v>0</v>
      </c>
      <c r="J811" t="n">
        <v>0</v>
      </c>
      <c r="K811" t="n">
        <v>0</v>
      </c>
      <c r="L811" t="n">
        <v>0</v>
      </c>
      <c r="M811" t="n">
        <v>0</v>
      </c>
      <c r="N811" t="n">
        <v>0</v>
      </c>
      <c r="O811" t="n">
        <v>0</v>
      </c>
      <c r="P811" t="n">
        <v>0</v>
      </c>
      <c r="Q811" t="n">
        <v>0</v>
      </c>
      <c r="R811" s="2" t="inlineStr"/>
    </row>
    <row r="812" ht="15" customHeight="1">
      <c r="A812" t="inlineStr">
        <is>
          <t>A 10503-2024</t>
        </is>
      </c>
      <c r="B812" s="1" t="n">
        <v>45366</v>
      </c>
      <c r="C812" s="1" t="n">
        <v>45822</v>
      </c>
      <c r="D812" t="inlineStr">
        <is>
          <t>GOTLANDS LÄN</t>
        </is>
      </c>
      <c r="E812" t="inlineStr">
        <is>
          <t>GOTLAND</t>
        </is>
      </c>
      <c r="G812" t="n">
        <v>2.5</v>
      </c>
      <c r="H812" t="n">
        <v>0</v>
      </c>
      <c r="I812" t="n">
        <v>0</v>
      </c>
      <c r="J812" t="n">
        <v>0</v>
      </c>
      <c r="K812" t="n">
        <v>0</v>
      </c>
      <c r="L812" t="n">
        <v>0</v>
      </c>
      <c r="M812" t="n">
        <v>0</v>
      </c>
      <c r="N812" t="n">
        <v>0</v>
      </c>
      <c r="O812" t="n">
        <v>0</v>
      </c>
      <c r="P812" t="n">
        <v>0</v>
      </c>
      <c r="Q812" t="n">
        <v>0</v>
      </c>
      <c r="R812" s="2" t="inlineStr"/>
    </row>
    <row r="813" ht="15" customHeight="1">
      <c r="A813" t="inlineStr">
        <is>
          <t>A 10656-2024</t>
        </is>
      </c>
      <c r="B813" s="1" t="n">
        <v>45368</v>
      </c>
      <c r="C813" s="1" t="n">
        <v>45822</v>
      </c>
      <c r="D813" t="inlineStr">
        <is>
          <t>GOTLANDS LÄN</t>
        </is>
      </c>
      <c r="E813" t="inlineStr">
        <is>
          <t>GOTLAND</t>
        </is>
      </c>
      <c r="G813" t="n">
        <v>1.5</v>
      </c>
      <c r="H813" t="n">
        <v>0</v>
      </c>
      <c r="I813" t="n">
        <v>0</v>
      </c>
      <c r="J813" t="n">
        <v>0</v>
      </c>
      <c r="K813" t="n">
        <v>0</v>
      </c>
      <c r="L813" t="n">
        <v>0</v>
      </c>
      <c r="M813" t="n">
        <v>0</v>
      </c>
      <c r="N813" t="n">
        <v>0</v>
      </c>
      <c r="O813" t="n">
        <v>0</v>
      </c>
      <c r="P813" t="n">
        <v>0</v>
      </c>
      <c r="Q813" t="n">
        <v>0</v>
      </c>
      <c r="R813" s="2" t="inlineStr"/>
    </row>
    <row r="814" ht="15" customHeight="1">
      <c r="A814" t="inlineStr">
        <is>
          <t>A 11013-2024</t>
        </is>
      </c>
      <c r="B814" s="1" t="n">
        <v>45370</v>
      </c>
      <c r="C814" s="1" t="n">
        <v>45822</v>
      </c>
      <c r="D814" t="inlineStr">
        <is>
          <t>GOTLANDS LÄN</t>
        </is>
      </c>
      <c r="E814" t="inlineStr">
        <is>
          <t>GOTLAND</t>
        </is>
      </c>
      <c r="G814" t="n">
        <v>0.7</v>
      </c>
      <c r="H814" t="n">
        <v>0</v>
      </c>
      <c r="I814" t="n">
        <v>0</v>
      </c>
      <c r="J814" t="n">
        <v>0</v>
      </c>
      <c r="K814" t="n">
        <v>0</v>
      </c>
      <c r="L814" t="n">
        <v>0</v>
      </c>
      <c r="M814" t="n">
        <v>0</v>
      </c>
      <c r="N814" t="n">
        <v>0</v>
      </c>
      <c r="O814" t="n">
        <v>0</v>
      </c>
      <c r="P814" t="n">
        <v>0</v>
      </c>
      <c r="Q814" t="n">
        <v>0</v>
      </c>
      <c r="R814" s="2" t="inlineStr"/>
    </row>
    <row r="815" ht="15" customHeight="1">
      <c r="A815" t="inlineStr">
        <is>
          <t>A 11254-2024</t>
        </is>
      </c>
      <c r="B815" s="1" t="n">
        <v>45371</v>
      </c>
      <c r="C815" s="1" t="n">
        <v>45822</v>
      </c>
      <c r="D815" t="inlineStr">
        <is>
          <t>GOTLANDS LÄN</t>
        </is>
      </c>
      <c r="E815" t="inlineStr">
        <is>
          <t>GOTLAND</t>
        </is>
      </c>
      <c r="G815" t="n">
        <v>5.6</v>
      </c>
      <c r="H815" t="n">
        <v>0</v>
      </c>
      <c r="I815" t="n">
        <v>0</v>
      </c>
      <c r="J815" t="n">
        <v>0</v>
      </c>
      <c r="K815" t="n">
        <v>0</v>
      </c>
      <c r="L815" t="n">
        <v>0</v>
      </c>
      <c r="M815" t="n">
        <v>0</v>
      </c>
      <c r="N815" t="n">
        <v>0</v>
      </c>
      <c r="O815" t="n">
        <v>0</v>
      </c>
      <c r="P815" t="n">
        <v>0</v>
      </c>
      <c r="Q815" t="n">
        <v>0</v>
      </c>
      <c r="R815" s="2" t="inlineStr"/>
    </row>
    <row r="816" ht="15" customHeight="1">
      <c r="A816" t="inlineStr">
        <is>
          <t>A 11634-2024</t>
        </is>
      </c>
      <c r="B816" s="1" t="n">
        <v>45373</v>
      </c>
      <c r="C816" s="1" t="n">
        <v>45822</v>
      </c>
      <c r="D816" t="inlineStr">
        <is>
          <t>GOTLANDS LÄN</t>
        </is>
      </c>
      <c r="E816" t="inlineStr">
        <is>
          <t>GOTLAND</t>
        </is>
      </c>
      <c r="G816" t="n">
        <v>3</v>
      </c>
      <c r="H816" t="n">
        <v>0</v>
      </c>
      <c r="I816" t="n">
        <v>0</v>
      </c>
      <c r="J816" t="n">
        <v>0</v>
      </c>
      <c r="K816" t="n">
        <v>0</v>
      </c>
      <c r="L816" t="n">
        <v>0</v>
      </c>
      <c r="M816" t="n">
        <v>0</v>
      </c>
      <c r="N816" t="n">
        <v>0</v>
      </c>
      <c r="O816" t="n">
        <v>0</v>
      </c>
      <c r="P816" t="n">
        <v>0</v>
      </c>
      <c r="Q816" t="n">
        <v>0</v>
      </c>
      <c r="R816" s="2" t="inlineStr"/>
    </row>
    <row r="817" ht="15" customHeight="1">
      <c r="A817" t="inlineStr">
        <is>
          <t>A 11722-2024</t>
        </is>
      </c>
      <c r="B817" s="1" t="n">
        <v>45373</v>
      </c>
      <c r="C817" s="1" t="n">
        <v>45822</v>
      </c>
      <c r="D817" t="inlineStr">
        <is>
          <t>GOTLANDS LÄN</t>
        </is>
      </c>
      <c r="E817" t="inlineStr">
        <is>
          <t>GOTLAND</t>
        </is>
      </c>
      <c r="G817" t="n">
        <v>0.9</v>
      </c>
      <c r="H817" t="n">
        <v>0</v>
      </c>
      <c r="I817" t="n">
        <v>0</v>
      </c>
      <c r="J817" t="n">
        <v>0</v>
      </c>
      <c r="K817" t="n">
        <v>0</v>
      </c>
      <c r="L817" t="n">
        <v>0</v>
      </c>
      <c r="M817" t="n">
        <v>0</v>
      </c>
      <c r="N817" t="n">
        <v>0</v>
      </c>
      <c r="O817" t="n">
        <v>0</v>
      </c>
      <c r="P817" t="n">
        <v>0</v>
      </c>
      <c r="Q817" t="n">
        <v>0</v>
      </c>
      <c r="R817" s="2" t="inlineStr"/>
    </row>
    <row r="818" ht="15" customHeight="1">
      <c r="A818" t="inlineStr">
        <is>
          <t>A 11590-2024</t>
        </is>
      </c>
      <c r="B818" s="1" t="n">
        <v>45373</v>
      </c>
      <c r="C818" s="1" t="n">
        <v>45822</v>
      </c>
      <c r="D818" t="inlineStr">
        <is>
          <t>GOTLANDS LÄN</t>
        </is>
      </c>
      <c r="E818" t="inlineStr">
        <is>
          <t>GOTLAND</t>
        </is>
      </c>
      <c r="G818" t="n">
        <v>2.9</v>
      </c>
      <c r="H818" t="n">
        <v>0</v>
      </c>
      <c r="I818" t="n">
        <v>0</v>
      </c>
      <c r="J818" t="n">
        <v>0</v>
      </c>
      <c r="K818" t="n">
        <v>0</v>
      </c>
      <c r="L818" t="n">
        <v>0</v>
      </c>
      <c r="M818" t="n">
        <v>0</v>
      </c>
      <c r="N818" t="n">
        <v>0</v>
      </c>
      <c r="O818" t="n">
        <v>0</v>
      </c>
      <c r="P818" t="n">
        <v>0</v>
      </c>
      <c r="Q818" t="n">
        <v>0</v>
      </c>
      <c r="R818" s="2" t="inlineStr"/>
    </row>
    <row r="819" ht="15" customHeight="1">
      <c r="A819" t="inlineStr">
        <is>
          <t>A 11598-2024</t>
        </is>
      </c>
      <c r="B819" s="1" t="n">
        <v>45373</v>
      </c>
      <c r="C819" s="1" t="n">
        <v>45822</v>
      </c>
      <c r="D819" t="inlineStr">
        <is>
          <t>GOTLANDS LÄN</t>
        </is>
      </c>
      <c r="E819" t="inlineStr">
        <is>
          <t>GOTLAND</t>
        </is>
      </c>
      <c r="G819" t="n">
        <v>0.3</v>
      </c>
      <c r="H819" t="n">
        <v>0</v>
      </c>
      <c r="I819" t="n">
        <v>0</v>
      </c>
      <c r="J819" t="n">
        <v>0</v>
      </c>
      <c r="K819" t="n">
        <v>0</v>
      </c>
      <c r="L819" t="n">
        <v>0</v>
      </c>
      <c r="M819" t="n">
        <v>0</v>
      </c>
      <c r="N819" t="n">
        <v>0</v>
      </c>
      <c r="O819" t="n">
        <v>0</v>
      </c>
      <c r="P819" t="n">
        <v>0</v>
      </c>
      <c r="Q819" t="n">
        <v>0</v>
      </c>
      <c r="R819" s="2" t="inlineStr"/>
    </row>
    <row r="820" ht="15" customHeight="1">
      <c r="A820" t="inlineStr">
        <is>
          <t>A 11863-2024</t>
        </is>
      </c>
      <c r="B820" s="1" t="n">
        <v>45376</v>
      </c>
      <c r="C820" s="1" t="n">
        <v>45822</v>
      </c>
      <c r="D820" t="inlineStr">
        <is>
          <t>GOTLANDS LÄN</t>
        </is>
      </c>
      <c r="E820" t="inlineStr">
        <is>
          <t>GOTLAND</t>
        </is>
      </c>
      <c r="G820" t="n">
        <v>3.2</v>
      </c>
      <c r="H820" t="n">
        <v>0</v>
      </c>
      <c r="I820" t="n">
        <v>0</v>
      </c>
      <c r="J820" t="n">
        <v>0</v>
      </c>
      <c r="K820" t="n">
        <v>0</v>
      </c>
      <c r="L820" t="n">
        <v>0</v>
      </c>
      <c r="M820" t="n">
        <v>0</v>
      </c>
      <c r="N820" t="n">
        <v>0</v>
      </c>
      <c r="O820" t="n">
        <v>0</v>
      </c>
      <c r="P820" t="n">
        <v>0</v>
      </c>
      <c r="Q820" t="n">
        <v>0</v>
      </c>
      <c r="R820" s="2" t="inlineStr"/>
    </row>
    <row r="821" ht="15" customHeight="1">
      <c r="A821" t="inlineStr">
        <is>
          <t>A 11868-2024</t>
        </is>
      </c>
      <c r="B821" s="1" t="n">
        <v>45376</v>
      </c>
      <c r="C821" s="1" t="n">
        <v>45822</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11874-2024</t>
        </is>
      </c>
      <c r="B822" s="1" t="n">
        <v>45376</v>
      </c>
      <c r="C822" s="1" t="n">
        <v>45822</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12208-2024</t>
        </is>
      </c>
      <c r="B823" s="1" t="n">
        <v>45378</v>
      </c>
      <c r="C823" s="1" t="n">
        <v>45822</v>
      </c>
      <c r="D823" t="inlineStr">
        <is>
          <t>GOTLANDS LÄN</t>
        </is>
      </c>
      <c r="E823" t="inlineStr">
        <is>
          <t>GOTLAND</t>
        </is>
      </c>
      <c r="G823" t="n">
        <v>4.5</v>
      </c>
      <c r="H823" t="n">
        <v>0</v>
      </c>
      <c r="I823" t="n">
        <v>0</v>
      </c>
      <c r="J823" t="n">
        <v>0</v>
      </c>
      <c r="K823" t="n">
        <v>0</v>
      </c>
      <c r="L823" t="n">
        <v>0</v>
      </c>
      <c r="M823" t="n">
        <v>0</v>
      </c>
      <c r="N823" t="n">
        <v>0</v>
      </c>
      <c r="O823" t="n">
        <v>0</v>
      </c>
      <c r="P823" t="n">
        <v>0</v>
      </c>
      <c r="Q823" t="n">
        <v>0</v>
      </c>
      <c r="R823" s="2" t="inlineStr"/>
    </row>
    <row r="824" ht="15" customHeight="1">
      <c r="A824" t="inlineStr">
        <is>
          <t>A 12210-2024</t>
        </is>
      </c>
      <c r="B824" s="1" t="n">
        <v>45378</v>
      </c>
      <c r="C824" s="1" t="n">
        <v>45822</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12207-2024</t>
        </is>
      </c>
      <c r="B825" s="1" t="n">
        <v>45378</v>
      </c>
      <c r="C825" s="1" t="n">
        <v>45822</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12209-2024</t>
        </is>
      </c>
      <c r="B826" s="1" t="n">
        <v>45378</v>
      </c>
      <c r="C826" s="1" t="n">
        <v>45822</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12312-2024</t>
        </is>
      </c>
      <c r="B827" s="1" t="n">
        <v>45378</v>
      </c>
      <c r="C827" s="1" t="n">
        <v>45822</v>
      </c>
      <c r="D827" t="inlineStr">
        <is>
          <t>GOTLANDS LÄN</t>
        </is>
      </c>
      <c r="E827" t="inlineStr">
        <is>
          <t>GOTLAND</t>
        </is>
      </c>
      <c r="G827" t="n">
        <v>1.8</v>
      </c>
      <c r="H827" t="n">
        <v>0</v>
      </c>
      <c r="I827" t="n">
        <v>0</v>
      </c>
      <c r="J827" t="n">
        <v>0</v>
      </c>
      <c r="K827" t="n">
        <v>0</v>
      </c>
      <c r="L827" t="n">
        <v>0</v>
      </c>
      <c r="M827" t="n">
        <v>0</v>
      </c>
      <c r="N827" t="n">
        <v>0</v>
      </c>
      <c r="O827" t="n">
        <v>0</v>
      </c>
      <c r="P827" t="n">
        <v>0</v>
      </c>
      <c r="Q827" t="n">
        <v>0</v>
      </c>
      <c r="R827" s="2" t="inlineStr"/>
    </row>
    <row r="828" ht="15" customHeight="1">
      <c r="A828" t="inlineStr">
        <is>
          <t>A 12389-2024</t>
        </is>
      </c>
      <c r="B828" s="1" t="n">
        <v>45379</v>
      </c>
      <c r="C828" s="1" t="n">
        <v>45822</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12390-2024</t>
        </is>
      </c>
      <c r="B829" s="1" t="n">
        <v>45379</v>
      </c>
      <c r="C829" s="1" t="n">
        <v>45822</v>
      </c>
      <c r="D829" t="inlineStr">
        <is>
          <t>GOTLANDS LÄN</t>
        </is>
      </c>
      <c r="E829" t="inlineStr">
        <is>
          <t>GOTLAND</t>
        </is>
      </c>
      <c r="G829" t="n">
        <v>5.5</v>
      </c>
      <c r="H829" t="n">
        <v>0</v>
      </c>
      <c r="I829" t="n">
        <v>0</v>
      </c>
      <c r="J829" t="n">
        <v>0</v>
      </c>
      <c r="K829" t="n">
        <v>0</v>
      </c>
      <c r="L829" t="n">
        <v>0</v>
      </c>
      <c r="M829" t="n">
        <v>0</v>
      </c>
      <c r="N829" t="n">
        <v>0</v>
      </c>
      <c r="O829" t="n">
        <v>0</v>
      </c>
      <c r="P829" t="n">
        <v>0</v>
      </c>
      <c r="Q829" t="n">
        <v>0</v>
      </c>
      <c r="R829" s="2" t="inlineStr"/>
    </row>
    <row r="830" ht="15" customHeight="1">
      <c r="A830" t="inlineStr">
        <is>
          <t>A 13531-2024</t>
        </is>
      </c>
      <c r="B830" s="1" t="n">
        <v>45387</v>
      </c>
      <c r="C830" s="1" t="n">
        <v>45822</v>
      </c>
      <c r="D830" t="inlineStr">
        <is>
          <t>GOTLANDS LÄN</t>
        </is>
      </c>
      <c r="E830" t="inlineStr">
        <is>
          <t>GOTLAND</t>
        </is>
      </c>
      <c r="G830" t="n">
        <v>17.7</v>
      </c>
      <c r="H830" t="n">
        <v>0</v>
      </c>
      <c r="I830" t="n">
        <v>0</v>
      </c>
      <c r="J830" t="n">
        <v>0</v>
      </c>
      <c r="K830" t="n">
        <v>0</v>
      </c>
      <c r="L830" t="n">
        <v>0</v>
      </c>
      <c r="M830" t="n">
        <v>0</v>
      </c>
      <c r="N830" t="n">
        <v>0</v>
      </c>
      <c r="O830" t="n">
        <v>0</v>
      </c>
      <c r="P830" t="n">
        <v>0</v>
      </c>
      <c r="Q830" t="n">
        <v>0</v>
      </c>
      <c r="R830" s="2" t="inlineStr"/>
    </row>
    <row r="831" ht="15" customHeight="1">
      <c r="A831" t="inlineStr">
        <is>
          <t>A 13655-2024</t>
        </is>
      </c>
      <c r="B831" s="1" t="n">
        <v>45390</v>
      </c>
      <c r="C831" s="1" t="n">
        <v>45822</v>
      </c>
      <c r="D831" t="inlineStr">
        <is>
          <t>GOTLANDS LÄN</t>
        </is>
      </c>
      <c r="E831" t="inlineStr">
        <is>
          <t>GOTLAND</t>
        </is>
      </c>
      <c r="G831" t="n">
        <v>1.4</v>
      </c>
      <c r="H831" t="n">
        <v>0</v>
      </c>
      <c r="I831" t="n">
        <v>0</v>
      </c>
      <c r="J831" t="n">
        <v>0</v>
      </c>
      <c r="K831" t="n">
        <v>0</v>
      </c>
      <c r="L831" t="n">
        <v>0</v>
      </c>
      <c r="M831" t="n">
        <v>0</v>
      </c>
      <c r="N831" t="n">
        <v>0</v>
      </c>
      <c r="O831" t="n">
        <v>0</v>
      </c>
      <c r="P831" t="n">
        <v>0</v>
      </c>
      <c r="Q831" t="n">
        <v>0</v>
      </c>
      <c r="R831" s="2" t="inlineStr"/>
    </row>
    <row r="832" ht="15" customHeight="1">
      <c r="A832" t="inlineStr">
        <is>
          <t>A 14139-2024</t>
        </is>
      </c>
      <c r="B832" s="1" t="n">
        <v>45392</v>
      </c>
      <c r="C832" s="1" t="n">
        <v>45822</v>
      </c>
      <c r="D832" t="inlineStr">
        <is>
          <t>GOTLANDS LÄN</t>
        </is>
      </c>
      <c r="E832" t="inlineStr">
        <is>
          <t>GOTLAND</t>
        </is>
      </c>
      <c r="G832" t="n">
        <v>3.1</v>
      </c>
      <c r="H832" t="n">
        <v>0</v>
      </c>
      <c r="I832" t="n">
        <v>0</v>
      </c>
      <c r="J832" t="n">
        <v>0</v>
      </c>
      <c r="K832" t="n">
        <v>0</v>
      </c>
      <c r="L832" t="n">
        <v>0</v>
      </c>
      <c r="M832" t="n">
        <v>0</v>
      </c>
      <c r="N832" t="n">
        <v>0</v>
      </c>
      <c r="O832" t="n">
        <v>0</v>
      </c>
      <c r="P832" t="n">
        <v>0</v>
      </c>
      <c r="Q832" t="n">
        <v>0</v>
      </c>
      <c r="R832" s="2" t="inlineStr"/>
    </row>
    <row r="833" ht="15" customHeight="1">
      <c r="A833" t="inlineStr">
        <is>
          <t>A 14141-2024</t>
        </is>
      </c>
      <c r="B833" s="1" t="n">
        <v>45392</v>
      </c>
      <c r="C833" s="1" t="n">
        <v>45822</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14427-2024</t>
        </is>
      </c>
      <c r="B834" s="1" t="n">
        <v>45394</v>
      </c>
      <c r="C834" s="1" t="n">
        <v>45822</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14593-2024</t>
        </is>
      </c>
      <c r="B835" s="1" t="n">
        <v>45395</v>
      </c>
      <c r="C835" s="1" t="n">
        <v>45822</v>
      </c>
      <c r="D835" t="inlineStr">
        <is>
          <t>GOTLANDS LÄN</t>
        </is>
      </c>
      <c r="E835" t="inlineStr">
        <is>
          <t>GOTLAND</t>
        </is>
      </c>
      <c r="G835" t="n">
        <v>5.4</v>
      </c>
      <c r="H835" t="n">
        <v>0</v>
      </c>
      <c r="I835" t="n">
        <v>0</v>
      </c>
      <c r="J835" t="n">
        <v>0</v>
      </c>
      <c r="K835" t="n">
        <v>0</v>
      </c>
      <c r="L835" t="n">
        <v>0</v>
      </c>
      <c r="M835" t="n">
        <v>0</v>
      </c>
      <c r="N835" t="n">
        <v>0</v>
      </c>
      <c r="O835" t="n">
        <v>0</v>
      </c>
      <c r="P835" t="n">
        <v>0</v>
      </c>
      <c r="Q835" t="n">
        <v>0</v>
      </c>
      <c r="R835" s="2" t="inlineStr"/>
    </row>
    <row r="836" ht="15" customHeight="1">
      <c r="A836" t="inlineStr">
        <is>
          <t>A 14797-2024</t>
        </is>
      </c>
      <c r="B836" s="1" t="n">
        <v>45397</v>
      </c>
      <c r="C836" s="1" t="n">
        <v>45822</v>
      </c>
      <c r="D836" t="inlineStr">
        <is>
          <t>GOTLANDS LÄN</t>
        </is>
      </c>
      <c r="E836" t="inlineStr">
        <is>
          <t>GOTLAND</t>
        </is>
      </c>
      <c r="G836" t="n">
        <v>8.1</v>
      </c>
      <c r="H836" t="n">
        <v>0</v>
      </c>
      <c r="I836" t="n">
        <v>0</v>
      </c>
      <c r="J836" t="n">
        <v>0</v>
      </c>
      <c r="K836" t="n">
        <v>0</v>
      </c>
      <c r="L836" t="n">
        <v>0</v>
      </c>
      <c r="M836" t="n">
        <v>0</v>
      </c>
      <c r="N836" t="n">
        <v>0</v>
      </c>
      <c r="O836" t="n">
        <v>0</v>
      </c>
      <c r="P836" t="n">
        <v>0</v>
      </c>
      <c r="Q836" t="n">
        <v>0</v>
      </c>
      <c r="R836" s="2" t="inlineStr"/>
    </row>
    <row r="837" ht="15" customHeight="1">
      <c r="A837" t="inlineStr">
        <is>
          <t>A 15595-2024</t>
        </is>
      </c>
      <c r="B837" s="1" t="n">
        <v>45401</v>
      </c>
      <c r="C837" s="1" t="n">
        <v>45822</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15434-2024</t>
        </is>
      </c>
      <c r="B838" s="1" t="n">
        <v>45401</v>
      </c>
      <c r="C838" s="1" t="n">
        <v>45822</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15885-2024</t>
        </is>
      </c>
      <c r="B839" s="1" t="n">
        <v>45405</v>
      </c>
      <c r="C839" s="1" t="n">
        <v>45822</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16322-2024</t>
        </is>
      </c>
      <c r="B840" s="1" t="n">
        <v>45407</v>
      </c>
      <c r="C840" s="1" t="n">
        <v>45822</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16361-2024</t>
        </is>
      </c>
      <c r="B841" s="1" t="n">
        <v>45407</v>
      </c>
      <c r="C841" s="1" t="n">
        <v>45822</v>
      </c>
      <c r="D841" t="inlineStr">
        <is>
          <t>GOTLANDS LÄN</t>
        </is>
      </c>
      <c r="E841" t="inlineStr">
        <is>
          <t>GOTLAND</t>
        </is>
      </c>
      <c r="G841" t="n">
        <v>6</v>
      </c>
      <c r="H841" t="n">
        <v>0</v>
      </c>
      <c r="I841" t="n">
        <v>0</v>
      </c>
      <c r="J841" t="n">
        <v>0</v>
      </c>
      <c r="K841" t="n">
        <v>0</v>
      </c>
      <c r="L841" t="n">
        <v>0</v>
      </c>
      <c r="M841" t="n">
        <v>0</v>
      </c>
      <c r="N841" t="n">
        <v>0</v>
      </c>
      <c r="O841" t="n">
        <v>0</v>
      </c>
      <c r="P841" t="n">
        <v>0</v>
      </c>
      <c r="Q841" t="n">
        <v>0</v>
      </c>
      <c r="R841" s="2" t="inlineStr"/>
    </row>
    <row r="842" ht="15" customHeight="1">
      <c r="A842" t="inlineStr">
        <is>
          <t>A 16328-2024</t>
        </is>
      </c>
      <c r="B842" s="1" t="n">
        <v>45407</v>
      </c>
      <c r="C842" s="1" t="n">
        <v>45822</v>
      </c>
      <c r="D842" t="inlineStr">
        <is>
          <t>GOTLANDS LÄN</t>
        </is>
      </c>
      <c r="E842" t="inlineStr">
        <is>
          <t>GOTLAND</t>
        </is>
      </c>
      <c r="G842" t="n">
        <v>1.7</v>
      </c>
      <c r="H842" t="n">
        <v>0</v>
      </c>
      <c r="I842" t="n">
        <v>0</v>
      </c>
      <c r="J842" t="n">
        <v>0</v>
      </c>
      <c r="K842" t="n">
        <v>0</v>
      </c>
      <c r="L842" t="n">
        <v>0</v>
      </c>
      <c r="M842" t="n">
        <v>0</v>
      </c>
      <c r="N842" t="n">
        <v>0</v>
      </c>
      <c r="O842" t="n">
        <v>0</v>
      </c>
      <c r="P842" t="n">
        <v>0</v>
      </c>
      <c r="Q842" t="n">
        <v>0</v>
      </c>
      <c r="R842" s="2" t="inlineStr"/>
    </row>
    <row r="843" ht="15" customHeight="1">
      <c r="A843" t="inlineStr">
        <is>
          <t>A 17087-2024</t>
        </is>
      </c>
      <c r="B843" s="1" t="n">
        <v>45412</v>
      </c>
      <c r="C843" s="1" t="n">
        <v>45822</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17089-2024</t>
        </is>
      </c>
      <c r="B844" s="1" t="n">
        <v>45412</v>
      </c>
      <c r="C844" s="1" t="n">
        <v>45822</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17085-2024</t>
        </is>
      </c>
      <c r="B845" s="1" t="n">
        <v>45412</v>
      </c>
      <c r="C845" s="1" t="n">
        <v>45822</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17532-2024</t>
        </is>
      </c>
      <c r="B846" s="1" t="n">
        <v>45415</v>
      </c>
      <c r="C846" s="1" t="n">
        <v>45822</v>
      </c>
      <c r="D846" t="inlineStr">
        <is>
          <t>GOTLANDS LÄN</t>
        </is>
      </c>
      <c r="E846" t="inlineStr">
        <is>
          <t>GOTLAND</t>
        </is>
      </c>
      <c r="G846" t="n">
        <v>4.3</v>
      </c>
      <c r="H846" t="n">
        <v>0</v>
      </c>
      <c r="I846" t="n">
        <v>0</v>
      </c>
      <c r="J846" t="n">
        <v>0</v>
      </c>
      <c r="K846" t="n">
        <v>0</v>
      </c>
      <c r="L846" t="n">
        <v>0</v>
      </c>
      <c r="M846" t="n">
        <v>0</v>
      </c>
      <c r="N846" t="n">
        <v>0</v>
      </c>
      <c r="O846" t="n">
        <v>0</v>
      </c>
      <c r="P846" t="n">
        <v>0</v>
      </c>
      <c r="Q846" t="n">
        <v>0</v>
      </c>
      <c r="R846" s="2" t="inlineStr"/>
    </row>
    <row r="847" ht="15" customHeight="1">
      <c r="A847" t="inlineStr">
        <is>
          <t>A 17541-2024</t>
        </is>
      </c>
      <c r="B847" s="1" t="n">
        <v>45415</v>
      </c>
      <c r="C847" s="1" t="n">
        <v>45822</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17616-2024</t>
        </is>
      </c>
      <c r="B848" s="1" t="n">
        <v>45416</v>
      </c>
      <c r="C848" s="1" t="n">
        <v>45822</v>
      </c>
      <c r="D848" t="inlineStr">
        <is>
          <t>GOTLANDS LÄN</t>
        </is>
      </c>
      <c r="E848" t="inlineStr">
        <is>
          <t>GOTLAND</t>
        </is>
      </c>
      <c r="G848" t="n">
        <v>2.7</v>
      </c>
      <c r="H848" t="n">
        <v>0</v>
      </c>
      <c r="I848" t="n">
        <v>0</v>
      </c>
      <c r="J848" t="n">
        <v>0</v>
      </c>
      <c r="K848" t="n">
        <v>0</v>
      </c>
      <c r="L848" t="n">
        <v>0</v>
      </c>
      <c r="M848" t="n">
        <v>0</v>
      </c>
      <c r="N848" t="n">
        <v>0</v>
      </c>
      <c r="O848" t="n">
        <v>0</v>
      </c>
      <c r="P848" t="n">
        <v>0</v>
      </c>
      <c r="Q848" t="n">
        <v>0</v>
      </c>
      <c r="R848" s="2" t="inlineStr"/>
    </row>
    <row r="849" ht="15" customHeight="1">
      <c r="A849" t="inlineStr">
        <is>
          <t>A 17617-2024</t>
        </is>
      </c>
      <c r="B849" s="1" t="n">
        <v>45416</v>
      </c>
      <c r="C849" s="1" t="n">
        <v>45822</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17688-2024</t>
        </is>
      </c>
      <c r="B850" s="1" t="n">
        <v>45418</v>
      </c>
      <c r="C850" s="1" t="n">
        <v>45822</v>
      </c>
      <c r="D850" t="inlineStr">
        <is>
          <t>GOTLANDS LÄN</t>
        </is>
      </c>
      <c r="E850" t="inlineStr">
        <is>
          <t>GOTLAND</t>
        </is>
      </c>
      <c r="G850" t="n">
        <v>1.2</v>
      </c>
      <c r="H850" t="n">
        <v>0</v>
      </c>
      <c r="I850" t="n">
        <v>0</v>
      </c>
      <c r="J850" t="n">
        <v>0</v>
      </c>
      <c r="K850" t="n">
        <v>0</v>
      </c>
      <c r="L850" t="n">
        <v>0</v>
      </c>
      <c r="M850" t="n">
        <v>0</v>
      </c>
      <c r="N850" t="n">
        <v>0</v>
      </c>
      <c r="O850" t="n">
        <v>0</v>
      </c>
      <c r="P850" t="n">
        <v>0</v>
      </c>
      <c r="Q850" t="n">
        <v>0</v>
      </c>
      <c r="R850" s="2" t="inlineStr"/>
    </row>
    <row r="851" ht="15" customHeight="1">
      <c r="A851" t="inlineStr">
        <is>
          <t>A 17691-2024</t>
        </is>
      </c>
      <c r="B851" s="1" t="n">
        <v>45418</v>
      </c>
      <c r="C851" s="1" t="n">
        <v>45822</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17743-2024</t>
        </is>
      </c>
      <c r="B852" s="1" t="n">
        <v>45418</v>
      </c>
      <c r="C852" s="1" t="n">
        <v>45822</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17786-2024</t>
        </is>
      </c>
      <c r="B853" s="1" t="n">
        <v>45418</v>
      </c>
      <c r="C853" s="1" t="n">
        <v>45822</v>
      </c>
      <c r="D853" t="inlineStr">
        <is>
          <t>GOTLANDS LÄN</t>
        </is>
      </c>
      <c r="E853" t="inlineStr">
        <is>
          <t>GOTLAND</t>
        </is>
      </c>
      <c r="G853" t="n">
        <v>0.6</v>
      </c>
      <c r="H853" t="n">
        <v>0</v>
      </c>
      <c r="I853" t="n">
        <v>0</v>
      </c>
      <c r="J853" t="n">
        <v>0</v>
      </c>
      <c r="K853" t="n">
        <v>0</v>
      </c>
      <c r="L853" t="n">
        <v>0</v>
      </c>
      <c r="M853" t="n">
        <v>0</v>
      </c>
      <c r="N853" t="n">
        <v>0</v>
      </c>
      <c r="O853" t="n">
        <v>0</v>
      </c>
      <c r="P853" t="n">
        <v>0</v>
      </c>
      <c r="Q853" t="n">
        <v>0</v>
      </c>
      <c r="R853" s="2" t="inlineStr"/>
    </row>
    <row r="854" ht="15" customHeight="1">
      <c r="A854" t="inlineStr">
        <is>
          <t>A 17682-2024</t>
        </is>
      </c>
      <c r="B854" s="1" t="n">
        <v>45418</v>
      </c>
      <c r="C854" s="1" t="n">
        <v>45822</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17686-2024</t>
        </is>
      </c>
      <c r="B855" s="1" t="n">
        <v>45418</v>
      </c>
      <c r="C855" s="1" t="n">
        <v>45822</v>
      </c>
      <c r="D855" t="inlineStr">
        <is>
          <t>GOTLANDS LÄN</t>
        </is>
      </c>
      <c r="E855" t="inlineStr">
        <is>
          <t>GOTLAND</t>
        </is>
      </c>
      <c r="G855" t="n">
        <v>3.9</v>
      </c>
      <c r="H855" t="n">
        <v>0</v>
      </c>
      <c r="I855" t="n">
        <v>0</v>
      </c>
      <c r="J855" t="n">
        <v>0</v>
      </c>
      <c r="K855" t="n">
        <v>0</v>
      </c>
      <c r="L855" t="n">
        <v>0</v>
      </c>
      <c r="M855" t="n">
        <v>0</v>
      </c>
      <c r="N855" t="n">
        <v>0</v>
      </c>
      <c r="O855" t="n">
        <v>0</v>
      </c>
      <c r="P855" t="n">
        <v>0</v>
      </c>
      <c r="Q855" t="n">
        <v>0</v>
      </c>
      <c r="R855" s="2" t="inlineStr"/>
    </row>
    <row r="856" ht="15" customHeight="1">
      <c r="A856" t="inlineStr">
        <is>
          <t>A 17724-2024</t>
        </is>
      </c>
      <c r="B856" s="1" t="n">
        <v>45418</v>
      </c>
      <c r="C856" s="1" t="n">
        <v>45822</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17742-2024</t>
        </is>
      </c>
      <c r="B857" s="1" t="n">
        <v>45418</v>
      </c>
      <c r="C857" s="1" t="n">
        <v>45822</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18056-2024</t>
        </is>
      </c>
      <c r="B858" s="1" t="n">
        <v>45420</v>
      </c>
      <c r="C858" s="1" t="n">
        <v>45822</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18380-2024</t>
        </is>
      </c>
      <c r="B859" s="1" t="n">
        <v>45424</v>
      </c>
      <c r="C859" s="1" t="n">
        <v>45822</v>
      </c>
      <c r="D859" t="inlineStr">
        <is>
          <t>GOTLANDS LÄN</t>
        </is>
      </c>
      <c r="E859" t="inlineStr">
        <is>
          <t>GOTLAND</t>
        </is>
      </c>
      <c r="G859" t="n">
        <v>2.5</v>
      </c>
      <c r="H859" t="n">
        <v>0</v>
      </c>
      <c r="I859" t="n">
        <v>0</v>
      </c>
      <c r="J859" t="n">
        <v>0</v>
      </c>
      <c r="K859" t="n">
        <v>0</v>
      </c>
      <c r="L859" t="n">
        <v>0</v>
      </c>
      <c r="M859" t="n">
        <v>0</v>
      </c>
      <c r="N859" t="n">
        <v>0</v>
      </c>
      <c r="O859" t="n">
        <v>0</v>
      </c>
      <c r="P859" t="n">
        <v>0</v>
      </c>
      <c r="Q859" t="n">
        <v>0</v>
      </c>
      <c r="R859" s="2" t="inlineStr"/>
    </row>
    <row r="860" ht="15" customHeight="1">
      <c r="A860" t="inlineStr">
        <is>
          <t>A 18896-2024</t>
        </is>
      </c>
      <c r="B860" s="1" t="n">
        <v>45427</v>
      </c>
      <c r="C860" s="1" t="n">
        <v>45822</v>
      </c>
      <c r="D860" t="inlineStr">
        <is>
          <t>GOTLANDS LÄN</t>
        </is>
      </c>
      <c r="E860" t="inlineStr">
        <is>
          <t>GOTLAND</t>
        </is>
      </c>
      <c r="G860" t="n">
        <v>5.1</v>
      </c>
      <c r="H860" t="n">
        <v>0</v>
      </c>
      <c r="I860" t="n">
        <v>0</v>
      </c>
      <c r="J860" t="n">
        <v>0</v>
      </c>
      <c r="K860" t="n">
        <v>0</v>
      </c>
      <c r="L860" t="n">
        <v>0</v>
      </c>
      <c r="M860" t="n">
        <v>0</v>
      </c>
      <c r="N860" t="n">
        <v>0</v>
      </c>
      <c r="O860" t="n">
        <v>0</v>
      </c>
      <c r="P860" t="n">
        <v>0</v>
      </c>
      <c r="Q860" t="n">
        <v>0</v>
      </c>
      <c r="R860" s="2" t="inlineStr"/>
    </row>
    <row r="861" ht="15" customHeight="1">
      <c r="A861" t="inlineStr">
        <is>
          <t>A 20290-2024</t>
        </is>
      </c>
      <c r="B861" s="1" t="n">
        <v>45435</v>
      </c>
      <c r="C861" s="1" t="n">
        <v>45822</v>
      </c>
      <c r="D861" t="inlineStr">
        <is>
          <t>GOTLANDS LÄN</t>
        </is>
      </c>
      <c r="E861" t="inlineStr">
        <is>
          <t>GOTLAND</t>
        </is>
      </c>
      <c r="G861" t="n">
        <v>10.9</v>
      </c>
      <c r="H861" t="n">
        <v>0</v>
      </c>
      <c r="I861" t="n">
        <v>0</v>
      </c>
      <c r="J861" t="n">
        <v>0</v>
      </c>
      <c r="K861" t="n">
        <v>0</v>
      </c>
      <c r="L861" t="n">
        <v>0</v>
      </c>
      <c r="M861" t="n">
        <v>0</v>
      </c>
      <c r="N861" t="n">
        <v>0</v>
      </c>
      <c r="O861" t="n">
        <v>0</v>
      </c>
      <c r="P861" t="n">
        <v>0</v>
      </c>
      <c r="Q861" t="n">
        <v>0</v>
      </c>
      <c r="R861" s="2" t="inlineStr"/>
    </row>
    <row r="862" ht="15" customHeight="1">
      <c r="A862" t="inlineStr">
        <is>
          <t>A 20292-2024</t>
        </is>
      </c>
      <c r="B862" s="1" t="n">
        <v>45435</v>
      </c>
      <c r="C862" s="1" t="n">
        <v>45822</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21164-2024</t>
        </is>
      </c>
      <c r="B863" s="1" t="n">
        <v>45440</v>
      </c>
      <c r="C863" s="1" t="n">
        <v>45822</v>
      </c>
      <c r="D863" t="inlineStr">
        <is>
          <t>GOTLANDS LÄN</t>
        </is>
      </c>
      <c r="E863" t="inlineStr">
        <is>
          <t>GOTLAND</t>
        </is>
      </c>
      <c r="G863" t="n">
        <v>6.3</v>
      </c>
      <c r="H863" t="n">
        <v>0</v>
      </c>
      <c r="I863" t="n">
        <v>0</v>
      </c>
      <c r="J863" t="n">
        <v>0</v>
      </c>
      <c r="K863" t="n">
        <v>0</v>
      </c>
      <c r="L863" t="n">
        <v>0</v>
      </c>
      <c r="M863" t="n">
        <v>0</v>
      </c>
      <c r="N863" t="n">
        <v>0</v>
      </c>
      <c r="O863" t="n">
        <v>0</v>
      </c>
      <c r="P863" t="n">
        <v>0</v>
      </c>
      <c r="Q863" t="n">
        <v>0</v>
      </c>
      <c r="R863" s="2" t="inlineStr"/>
    </row>
    <row r="864" ht="15" customHeight="1">
      <c r="A864" t="inlineStr">
        <is>
          <t>A 21154-2024</t>
        </is>
      </c>
      <c r="B864" s="1" t="n">
        <v>45440</v>
      </c>
      <c r="C864" s="1" t="n">
        <v>45822</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21420-2024</t>
        </is>
      </c>
      <c r="B865" s="1" t="n">
        <v>45441</v>
      </c>
      <c r="C865" s="1" t="n">
        <v>45822</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21493-2024</t>
        </is>
      </c>
      <c r="B866" s="1" t="n">
        <v>45441</v>
      </c>
      <c r="C866" s="1" t="n">
        <v>45822</v>
      </c>
      <c r="D866" t="inlineStr">
        <is>
          <t>GOTLANDS LÄN</t>
        </is>
      </c>
      <c r="E866" t="inlineStr">
        <is>
          <t>GOTLAND</t>
        </is>
      </c>
      <c r="G866" t="n">
        <v>6.4</v>
      </c>
      <c r="H866" t="n">
        <v>0</v>
      </c>
      <c r="I866" t="n">
        <v>0</v>
      </c>
      <c r="J866" t="n">
        <v>0</v>
      </c>
      <c r="K866" t="n">
        <v>0</v>
      </c>
      <c r="L866" t="n">
        <v>0</v>
      </c>
      <c r="M866" t="n">
        <v>0</v>
      </c>
      <c r="N866" t="n">
        <v>0</v>
      </c>
      <c r="O866" t="n">
        <v>0</v>
      </c>
      <c r="P866" t="n">
        <v>0</v>
      </c>
      <c r="Q866" t="n">
        <v>0</v>
      </c>
      <c r="R866" s="2" t="inlineStr"/>
    </row>
    <row r="867" ht="15" customHeight="1">
      <c r="A867" t="inlineStr">
        <is>
          <t>A 21500-2024</t>
        </is>
      </c>
      <c r="B867" s="1" t="n">
        <v>45441</v>
      </c>
      <c r="C867" s="1" t="n">
        <v>45822</v>
      </c>
      <c r="D867" t="inlineStr">
        <is>
          <t>GOTLANDS LÄN</t>
        </is>
      </c>
      <c r="E867" t="inlineStr">
        <is>
          <t>GOTLAND</t>
        </is>
      </c>
      <c r="G867" t="n">
        <v>0.9</v>
      </c>
      <c r="H867" t="n">
        <v>0</v>
      </c>
      <c r="I867" t="n">
        <v>0</v>
      </c>
      <c r="J867" t="n">
        <v>0</v>
      </c>
      <c r="K867" t="n">
        <v>0</v>
      </c>
      <c r="L867" t="n">
        <v>0</v>
      </c>
      <c r="M867" t="n">
        <v>0</v>
      </c>
      <c r="N867" t="n">
        <v>0</v>
      </c>
      <c r="O867" t="n">
        <v>0</v>
      </c>
      <c r="P867" t="n">
        <v>0</v>
      </c>
      <c r="Q867" t="n">
        <v>0</v>
      </c>
      <c r="R867" s="2" t="inlineStr"/>
    </row>
    <row r="868" ht="15" customHeight="1">
      <c r="A868" t="inlineStr">
        <is>
          <t>A 21817-2024</t>
        </is>
      </c>
      <c r="B868" s="1" t="n">
        <v>45442</v>
      </c>
      <c r="C868" s="1" t="n">
        <v>45822</v>
      </c>
      <c r="D868" t="inlineStr">
        <is>
          <t>GOTLANDS LÄN</t>
        </is>
      </c>
      <c r="E868" t="inlineStr">
        <is>
          <t>GOTLAND</t>
        </is>
      </c>
      <c r="G868" t="n">
        <v>3.7</v>
      </c>
      <c r="H868" t="n">
        <v>0</v>
      </c>
      <c r="I868" t="n">
        <v>0</v>
      </c>
      <c r="J868" t="n">
        <v>0</v>
      </c>
      <c r="K868" t="n">
        <v>0</v>
      </c>
      <c r="L868" t="n">
        <v>0</v>
      </c>
      <c r="M868" t="n">
        <v>0</v>
      </c>
      <c r="N868" t="n">
        <v>0</v>
      </c>
      <c r="O868" t="n">
        <v>0</v>
      </c>
      <c r="P868" t="n">
        <v>0</v>
      </c>
      <c r="Q868" t="n">
        <v>0</v>
      </c>
      <c r="R868" s="2" t="inlineStr"/>
    </row>
    <row r="869" ht="15" customHeight="1">
      <c r="A869" t="inlineStr">
        <is>
          <t>A 21792-2024</t>
        </is>
      </c>
      <c r="B869" s="1" t="n">
        <v>45442</v>
      </c>
      <c r="C869" s="1" t="n">
        <v>45822</v>
      </c>
      <c r="D869" t="inlineStr">
        <is>
          <t>GOTLANDS LÄN</t>
        </is>
      </c>
      <c r="E869" t="inlineStr">
        <is>
          <t>GOTLAND</t>
        </is>
      </c>
      <c r="G869" t="n">
        <v>1</v>
      </c>
      <c r="H869" t="n">
        <v>0</v>
      </c>
      <c r="I869" t="n">
        <v>0</v>
      </c>
      <c r="J869" t="n">
        <v>0</v>
      </c>
      <c r="K869" t="n">
        <v>0</v>
      </c>
      <c r="L869" t="n">
        <v>0</v>
      </c>
      <c r="M869" t="n">
        <v>0</v>
      </c>
      <c r="N869" t="n">
        <v>0</v>
      </c>
      <c r="O869" t="n">
        <v>0</v>
      </c>
      <c r="P869" t="n">
        <v>0</v>
      </c>
      <c r="Q869" t="n">
        <v>0</v>
      </c>
      <c r="R869" s="2" t="inlineStr"/>
    </row>
    <row r="870" ht="15" customHeight="1">
      <c r="A870" t="inlineStr">
        <is>
          <t>A 22031-2024</t>
        </is>
      </c>
      <c r="B870" s="1" t="n">
        <v>45443</v>
      </c>
      <c r="C870" s="1" t="n">
        <v>45822</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22860-2024</t>
        </is>
      </c>
      <c r="B871" s="1" t="n">
        <v>45448</v>
      </c>
      <c r="C871" s="1" t="n">
        <v>45822</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22851-2024</t>
        </is>
      </c>
      <c r="B872" s="1" t="n">
        <v>45448</v>
      </c>
      <c r="C872" s="1" t="n">
        <v>45822</v>
      </c>
      <c r="D872" t="inlineStr">
        <is>
          <t>GOTLANDS LÄN</t>
        </is>
      </c>
      <c r="E872" t="inlineStr">
        <is>
          <t>GOTLAND</t>
        </is>
      </c>
      <c r="G872" t="n">
        <v>5.2</v>
      </c>
      <c r="H872" t="n">
        <v>0</v>
      </c>
      <c r="I872" t="n">
        <v>0</v>
      </c>
      <c r="J872" t="n">
        <v>0</v>
      </c>
      <c r="K872" t="n">
        <v>0</v>
      </c>
      <c r="L872" t="n">
        <v>0</v>
      </c>
      <c r="M872" t="n">
        <v>0</v>
      </c>
      <c r="N872" t="n">
        <v>0</v>
      </c>
      <c r="O872" t="n">
        <v>0</v>
      </c>
      <c r="P872" t="n">
        <v>0</v>
      </c>
      <c r="Q872" t="n">
        <v>0</v>
      </c>
      <c r="R872" s="2" t="inlineStr"/>
    </row>
    <row r="873" ht="15" customHeight="1">
      <c r="A873" t="inlineStr">
        <is>
          <t>A 22883-2024</t>
        </is>
      </c>
      <c r="B873" s="1" t="n">
        <v>45448</v>
      </c>
      <c r="C873" s="1" t="n">
        <v>45822</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23518-2024</t>
        </is>
      </c>
      <c r="B874" s="1" t="n">
        <v>45453</v>
      </c>
      <c r="C874" s="1" t="n">
        <v>45822</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23658-2024</t>
        </is>
      </c>
      <c r="B875" s="1" t="n">
        <v>45454</v>
      </c>
      <c r="C875" s="1" t="n">
        <v>45822</v>
      </c>
      <c r="D875" t="inlineStr">
        <is>
          <t>GOTLANDS LÄN</t>
        </is>
      </c>
      <c r="E875" t="inlineStr">
        <is>
          <t>GOTLAND</t>
        </is>
      </c>
      <c r="G875" t="n">
        <v>4.8</v>
      </c>
      <c r="H875" t="n">
        <v>0</v>
      </c>
      <c r="I875" t="n">
        <v>0</v>
      </c>
      <c r="J875" t="n">
        <v>0</v>
      </c>
      <c r="K875" t="n">
        <v>0</v>
      </c>
      <c r="L875" t="n">
        <v>0</v>
      </c>
      <c r="M875" t="n">
        <v>0</v>
      </c>
      <c r="N875" t="n">
        <v>0</v>
      </c>
      <c r="O875" t="n">
        <v>0</v>
      </c>
      <c r="P875" t="n">
        <v>0</v>
      </c>
      <c r="Q875" t="n">
        <v>0</v>
      </c>
      <c r="R875" s="2" t="inlineStr"/>
    </row>
    <row r="876" ht="15" customHeight="1">
      <c r="A876" t="inlineStr">
        <is>
          <t>A 23617-2024</t>
        </is>
      </c>
      <c r="B876" s="1" t="n">
        <v>45454</v>
      </c>
      <c r="C876" s="1" t="n">
        <v>45822</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24358-2024</t>
        </is>
      </c>
      <c r="B877" s="1" t="n">
        <v>45457</v>
      </c>
      <c r="C877" s="1" t="n">
        <v>45822</v>
      </c>
      <c r="D877" t="inlineStr">
        <is>
          <t>GOTLANDS LÄN</t>
        </is>
      </c>
      <c r="E877" t="inlineStr">
        <is>
          <t>GOTLAND</t>
        </is>
      </c>
      <c r="G877" t="n">
        <v>1.1</v>
      </c>
      <c r="H877" t="n">
        <v>0</v>
      </c>
      <c r="I877" t="n">
        <v>0</v>
      </c>
      <c r="J877" t="n">
        <v>0</v>
      </c>
      <c r="K877" t="n">
        <v>0</v>
      </c>
      <c r="L877" t="n">
        <v>0</v>
      </c>
      <c r="M877" t="n">
        <v>0</v>
      </c>
      <c r="N877" t="n">
        <v>0</v>
      </c>
      <c r="O877" t="n">
        <v>0</v>
      </c>
      <c r="P877" t="n">
        <v>0</v>
      </c>
      <c r="Q877" t="n">
        <v>0</v>
      </c>
      <c r="R877" s="2" t="inlineStr"/>
    </row>
    <row r="878" ht="15" customHeight="1">
      <c r="A878" t="inlineStr">
        <is>
          <t>A 24746-2024</t>
        </is>
      </c>
      <c r="B878" s="1" t="n">
        <v>45460</v>
      </c>
      <c r="C878" s="1" t="n">
        <v>45822</v>
      </c>
      <c r="D878" t="inlineStr">
        <is>
          <t>GOTLANDS LÄN</t>
        </is>
      </c>
      <c r="E878" t="inlineStr">
        <is>
          <t>GOTLAND</t>
        </is>
      </c>
      <c r="G878" t="n">
        <v>1.4</v>
      </c>
      <c r="H878" t="n">
        <v>0</v>
      </c>
      <c r="I878" t="n">
        <v>0</v>
      </c>
      <c r="J878" t="n">
        <v>0</v>
      </c>
      <c r="K878" t="n">
        <v>0</v>
      </c>
      <c r="L878" t="n">
        <v>0</v>
      </c>
      <c r="M878" t="n">
        <v>0</v>
      </c>
      <c r="N878" t="n">
        <v>0</v>
      </c>
      <c r="O878" t="n">
        <v>0</v>
      </c>
      <c r="P878" t="n">
        <v>0</v>
      </c>
      <c r="Q878" t="n">
        <v>0</v>
      </c>
      <c r="R878" s="2" t="inlineStr"/>
    </row>
    <row r="879" ht="15" customHeight="1">
      <c r="A879" t="inlineStr">
        <is>
          <t>A 24825-2024</t>
        </is>
      </c>
      <c r="B879" s="1" t="n">
        <v>45461</v>
      </c>
      <c r="C879" s="1" t="n">
        <v>45822</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25463-2024</t>
        </is>
      </c>
      <c r="B880" s="1" t="n">
        <v>45463</v>
      </c>
      <c r="C880" s="1" t="n">
        <v>45822</v>
      </c>
      <c r="D880" t="inlineStr">
        <is>
          <t>GOTLANDS LÄN</t>
        </is>
      </c>
      <c r="E880" t="inlineStr">
        <is>
          <t>GOTLAND</t>
        </is>
      </c>
      <c r="G880" t="n">
        <v>17.3</v>
      </c>
      <c r="H880" t="n">
        <v>0</v>
      </c>
      <c r="I880" t="n">
        <v>0</v>
      </c>
      <c r="J880" t="n">
        <v>0</v>
      </c>
      <c r="K880" t="n">
        <v>0</v>
      </c>
      <c r="L880" t="n">
        <v>0</v>
      </c>
      <c r="M880" t="n">
        <v>0</v>
      </c>
      <c r="N880" t="n">
        <v>0</v>
      </c>
      <c r="O880" t="n">
        <v>0</v>
      </c>
      <c r="P880" t="n">
        <v>0</v>
      </c>
      <c r="Q880" t="n">
        <v>0</v>
      </c>
      <c r="R880" s="2" t="inlineStr"/>
    </row>
    <row r="881" ht="15" customHeight="1">
      <c r="A881" t="inlineStr">
        <is>
          <t>A 25739-2024</t>
        </is>
      </c>
      <c r="B881" s="1" t="n">
        <v>45465</v>
      </c>
      <c r="C881" s="1" t="n">
        <v>45822</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25740-2024</t>
        </is>
      </c>
      <c r="B882" s="1" t="n">
        <v>45465</v>
      </c>
      <c r="C882" s="1" t="n">
        <v>45822</v>
      </c>
      <c r="D882" t="inlineStr">
        <is>
          <t>GOTLANDS LÄN</t>
        </is>
      </c>
      <c r="E882" t="inlineStr">
        <is>
          <t>GOTLAND</t>
        </is>
      </c>
      <c r="G882" t="n">
        <v>2.7</v>
      </c>
      <c r="H882" t="n">
        <v>0</v>
      </c>
      <c r="I882" t="n">
        <v>0</v>
      </c>
      <c r="J882" t="n">
        <v>0</v>
      </c>
      <c r="K882" t="n">
        <v>0</v>
      </c>
      <c r="L882" t="n">
        <v>0</v>
      </c>
      <c r="M882" t="n">
        <v>0</v>
      </c>
      <c r="N882" t="n">
        <v>0</v>
      </c>
      <c r="O882" t="n">
        <v>0</v>
      </c>
      <c r="P882" t="n">
        <v>0</v>
      </c>
      <c r="Q882" t="n">
        <v>0</v>
      </c>
      <c r="R882" s="2" t="inlineStr"/>
    </row>
    <row r="883" ht="15" customHeight="1">
      <c r="A883" t="inlineStr">
        <is>
          <t>A 26221-2024</t>
        </is>
      </c>
      <c r="B883" s="1" t="n">
        <v>45468</v>
      </c>
      <c r="C883" s="1" t="n">
        <v>45822</v>
      </c>
      <c r="D883" t="inlineStr">
        <is>
          <t>GOTLANDS LÄN</t>
        </is>
      </c>
      <c r="E883" t="inlineStr">
        <is>
          <t>GOTLAND</t>
        </is>
      </c>
      <c r="G883" t="n">
        <v>2.9</v>
      </c>
      <c r="H883" t="n">
        <v>0</v>
      </c>
      <c r="I883" t="n">
        <v>0</v>
      </c>
      <c r="J883" t="n">
        <v>0</v>
      </c>
      <c r="K883" t="n">
        <v>0</v>
      </c>
      <c r="L883" t="n">
        <v>0</v>
      </c>
      <c r="M883" t="n">
        <v>0</v>
      </c>
      <c r="N883" t="n">
        <v>0</v>
      </c>
      <c r="O883" t="n">
        <v>0</v>
      </c>
      <c r="P883" t="n">
        <v>0</v>
      </c>
      <c r="Q883" t="n">
        <v>0</v>
      </c>
      <c r="R883" s="2" t="inlineStr"/>
    </row>
    <row r="884" ht="15" customHeight="1">
      <c r="A884" t="inlineStr">
        <is>
          <t>A 26194-2024</t>
        </is>
      </c>
      <c r="B884" s="1" t="n">
        <v>45468</v>
      </c>
      <c r="C884" s="1" t="n">
        <v>45822</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26206-2024</t>
        </is>
      </c>
      <c r="B885" s="1" t="n">
        <v>45468</v>
      </c>
      <c r="C885" s="1" t="n">
        <v>45822</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26110-2024</t>
        </is>
      </c>
      <c r="B886" s="1" t="n">
        <v>45468</v>
      </c>
      <c r="C886" s="1" t="n">
        <v>45822</v>
      </c>
      <c r="D886" t="inlineStr">
        <is>
          <t>GOTLANDS LÄN</t>
        </is>
      </c>
      <c r="E886" t="inlineStr">
        <is>
          <t>GOTLAND</t>
        </is>
      </c>
      <c r="G886" t="n">
        <v>6.6</v>
      </c>
      <c r="H886" t="n">
        <v>0</v>
      </c>
      <c r="I886" t="n">
        <v>0</v>
      </c>
      <c r="J886" t="n">
        <v>0</v>
      </c>
      <c r="K886" t="n">
        <v>0</v>
      </c>
      <c r="L886" t="n">
        <v>0</v>
      </c>
      <c r="M886" t="n">
        <v>0</v>
      </c>
      <c r="N886" t="n">
        <v>0</v>
      </c>
      <c r="O886" t="n">
        <v>0</v>
      </c>
      <c r="P886" t="n">
        <v>0</v>
      </c>
      <c r="Q886" t="n">
        <v>0</v>
      </c>
      <c r="R886" s="2" t="inlineStr"/>
    </row>
    <row r="887" ht="15" customHeight="1">
      <c r="A887" t="inlineStr">
        <is>
          <t>A 26891-2024</t>
        </is>
      </c>
      <c r="B887" s="1" t="n">
        <v>45470</v>
      </c>
      <c r="C887" s="1" t="n">
        <v>45822</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27850-2024</t>
        </is>
      </c>
      <c r="B888" s="1" t="n">
        <v>45475</v>
      </c>
      <c r="C888" s="1" t="n">
        <v>45822</v>
      </c>
      <c r="D888" t="inlineStr">
        <is>
          <t>GOTLANDS LÄN</t>
        </is>
      </c>
      <c r="E888" t="inlineStr">
        <is>
          <t>GOTLAND</t>
        </is>
      </c>
      <c r="G888" t="n">
        <v>4.1</v>
      </c>
      <c r="H888" t="n">
        <v>0</v>
      </c>
      <c r="I888" t="n">
        <v>0</v>
      </c>
      <c r="J888" t="n">
        <v>0</v>
      </c>
      <c r="K888" t="n">
        <v>0</v>
      </c>
      <c r="L888" t="n">
        <v>0</v>
      </c>
      <c r="M888" t="n">
        <v>0</v>
      </c>
      <c r="N888" t="n">
        <v>0</v>
      </c>
      <c r="O888" t="n">
        <v>0</v>
      </c>
      <c r="P888" t="n">
        <v>0</v>
      </c>
      <c r="Q888" t="n">
        <v>0</v>
      </c>
      <c r="R888" s="2" t="inlineStr"/>
    </row>
    <row r="889" ht="15" customHeight="1">
      <c r="A889" t="inlineStr">
        <is>
          <t>A 27694-2024</t>
        </is>
      </c>
      <c r="B889" s="1" t="n">
        <v>45475</v>
      </c>
      <c r="C889" s="1" t="n">
        <v>45822</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27696-2024</t>
        </is>
      </c>
      <c r="B890" s="1" t="n">
        <v>45475</v>
      </c>
      <c r="C890" s="1" t="n">
        <v>45822</v>
      </c>
      <c r="D890" t="inlineStr">
        <is>
          <t>GOTLANDS LÄN</t>
        </is>
      </c>
      <c r="E890" t="inlineStr">
        <is>
          <t>GOTLAND</t>
        </is>
      </c>
      <c r="G890" t="n">
        <v>2.1</v>
      </c>
      <c r="H890" t="n">
        <v>0</v>
      </c>
      <c r="I890" t="n">
        <v>0</v>
      </c>
      <c r="J890" t="n">
        <v>0</v>
      </c>
      <c r="K890" t="n">
        <v>0</v>
      </c>
      <c r="L890" t="n">
        <v>0</v>
      </c>
      <c r="M890" t="n">
        <v>0</v>
      </c>
      <c r="N890" t="n">
        <v>0</v>
      </c>
      <c r="O890" t="n">
        <v>0</v>
      </c>
      <c r="P890" t="n">
        <v>0</v>
      </c>
      <c r="Q890" t="n">
        <v>0</v>
      </c>
      <c r="R890" s="2" t="inlineStr"/>
    </row>
    <row r="891" ht="15" customHeight="1">
      <c r="A891" t="inlineStr">
        <is>
          <t>A 28285-2024</t>
        </is>
      </c>
      <c r="B891" s="1" t="n">
        <v>45477</v>
      </c>
      <c r="C891" s="1" t="n">
        <v>45822</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28309-2024</t>
        </is>
      </c>
      <c r="B892" s="1" t="n">
        <v>45477</v>
      </c>
      <c r="C892" s="1" t="n">
        <v>45822</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28328-2024</t>
        </is>
      </c>
      <c r="B893" s="1" t="n">
        <v>45477</v>
      </c>
      <c r="C893" s="1" t="n">
        <v>45822</v>
      </c>
      <c r="D893" t="inlineStr">
        <is>
          <t>GOTLANDS LÄN</t>
        </is>
      </c>
      <c r="E893" t="inlineStr">
        <is>
          <t>GOTLAND</t>
        </is>
      </c>
      <c r="G893" t="n">
        <v>1.7</v>
      </c>
      <c r="H893" t="n">
        <v>0</v>
      </c>
      <c r="I893" t="n">
        <v>0</v>
      </c>
      <c r="J893" t="n">
        <v>0</v>
      </c>
      <c r="K893" t="n">
        <v>0</v>
      </c>
      <c r="L893" t="n">
        <v>0</v>
      </c>
      <c r="M893" t="n">
        <v>0</v>
      </c>
      <c r="N893" t="n">
        <v>0</v>
      </c>
      <c r="O893" t="n">
        <v>0</v>
      </c>
      <c r="P893" t="n">
        <v>0</v>
      </c>
      <c r="Q893" t="n">
        <v>0</v>
      </c>
      <c r="R893" s="2" t="inlineStr"/>
    </row>
    <row r="894" ht="15" customHeight="1">
      <c r="A894" t="inlineStr">
        <is>
          <t>A 30365-2024</t>
        </is>
      </c>
      <c r="B894" s="1" t="n">
        <v>45491</v>
      </c>
      <c r="C894" s="1" t="n">
        <v>45822</v>
      </c>
      <c r="D894" t="inlineStr">
        <is>
          <t>GOTLANDS LÄN</t>
        </is>
      </c>
      <c r="E894" t="inlineStr">
        <is>
          <t>GOTLAND</t>
        </is>
      </c>
      <c r="G894" t="n">
        <v>0.5</v>
      </c>
      <c r="H894" t="n">
        <v>0</v>
      </c>
      <c r="I894" t="n">
        <v>0</v>
      </c>
      <c r="J894" t="n">
        <v>0</v>
      </c>
      <c r="K894" t="n">
        <v>0</v>
      </c>
      <c r="L894" t="n">
        <v>0</v>
      </c>
      <c r="M894" t="n">
        <v>0</v>
      </c>
      <c r="N894" t="n">
        <v>0</v>
      </c>
      <c r="O894" t="n">
        <v>0</v>
      </c>
      <c r="P894" t="n">
        <v>0</v>
      </c>
      <c r="Q894" t="n">
        <v>0</v>
      </c>
      <c r="R894" s="2" t="inlineStr"/>
    </row>
    <row r="895" ht="15" customHeight="1">
      <c r="A895" t="inlineStr">
        <is>
          <t>A 30595-2024</t>
        </is>
      </c>
      <c r="B895" s="1" t="n">
        <v>45493</v>
      </c>
      <c r="C895" s="1" t="n">
        <v>45822</v>
      </c>
      <c r="D895" t="inlineStr">
        <is>
          <t>GOTLANDS LÄN</t>
        </is>
      </c>
      <c r="E895" t="inlineStr">
        <is>
          <t>GOTLAND</t>
        </is>
      </c>
      <c r="G895" t="n">
        <v>2.5</v>
      </c>
      <c r="H895" t="n">
        <v>0</v>
      </c>
      <c r="I895" t="n">
        <v>0</v>
      </c>
      <c r="J895" t="n">
        <v>0</v>
      </c>
      <c r="K895" t="n">
        <v>0</v>
      </c>
      <c r="L895" t="n">
        <v>0</v>
      </c>
      <c r="M895" t="n">
        <v>0</v>
      </c>
      <c r="N895" t="n">
        <v>0</v>
      </c>
      <c r="O895" t="n">
        <v>0</v>
      </c>
      <c r="P895" t="n">
        <v>0</v>
      </c>
      <c r="Q895" t="n">
        <v>0</v>
      </c>
      <c r="R895" s="2" t="inlineStr"/>
    </row>
    <row r="896" ht="15" customHeight="1">
      <c r="A896" t="inlineStr">
        <is>
          <t>A 30596-2024</t>
        </is>
      </c>
      <c r="B896" s="1" t="n">
        <v>45493</v>
      </c>
      <c r="C896" s="1" t="n">
        <v>45822</v>
      </c>
      <c r="D896" t="inlineStr">
        <is>
          <t>GOTLANDS LÄN</t>
        </is>
      </c>
      <c r="E896" t="inlineStr">
        <is>
          <t>GOTLAND</t>
        </is>
      </c>
      <c r="G896" t="n">
        <v>0.8</v>
      </c>
      <c r="H896" t="n">
        <v>0</v>
      </c>
      <c r="I896" t="n">
        <v>0</v>
      </c>
      <c r="J896" t="n">
        <v>0</v>
      </c>
      <c r="K896" t="n">
        <v>0</v>
      </c>
      <c r="L896" t="n">
        <v>0</v>
      </c>
      <c r="M896" t="n">
        <v>0</v>
      </c>
      <c r="N896" t="n">
        <v>0</v>
      </c>
      <c r="O896" t="n">
        <v>0</v>
      </c>
      <c r="P896" t="n">
        <v>0</v>
      </c>
      <c r="Q896" t="n">
        <v>0</v>
      </c>
      <c r="R896" s="2" t="inlineStr"/>
    </row>
    <row r="897" ht="15" customHeight="1">
      <c r="A897" t="inlineStr">
        <is>
          <t>A 30597-2024</t>
        </is>
      </c>
      <c r="B897" s="1" t="n">
        <v>45493</v>
      </c>
      <c r="C897" s="1" t="n">
        <v>45822</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30956-2024</t>
        </is>
      </c>
      <c r="B898" s="1" t="n">
        <v>45499</v>
      </c>
      <c r="C898" s="1" t="n">
        <v>45822</v>
      </c>
      <c r="D898" t="inlineStr">
        <is>
          <t>GOTLANDS LÄN</t>
        </is>
      </c>
      <c r="E898" t="inlineStr">
        <is>
          <t>GOTLAND</t>
        </is>
      </c>
      <c r="G898" t="n">
        <v>1.2</v>
      </c>
      <c r="H898" t="n">
        <v>0</v>
      </c>
      <c r="I898" t="n">
        <v>0</v>
      </c>
      <c r="J898" t="n">
        <v>0</v>
      </c>
      <c r="K898" t="n">
        <v>0</v>
      </c>
      <c r="L898" t="n">
        <v>0</v>
      </c>
      <c r="M898" t="n">
        <v>0</v>
      </c>
      <c r="N898" t="n">
        <v>0</v>
      </c>
      <c r="O898" t="n">
        <v>0</v>
      </c>
      <c r="P898" t="n">
        <v>0</v>
      </c>
      <c r="Q898" t="n">
        <v>0</v>
      </c>
      <c r="R898" s="2" t="inlineStr"/>
    </row>
    <row r="899" ht="15" customHeight="1">
      <c r="A899" t="inlineStr">
        <is>
          <t>A 30954-2024</t>
        </is>
      </c>
      <c r="B899" s="1" t="n">
        <v>45499</v>
      </c>
      <c r="C899" s="1" t="n">
        <v>45822</v>
      </c>
      <c r="D899" t="inlineStr">
        <is>
          <t>GOTLANDS LÄN</t>
        </is>
      </c>
      <c r="E899" t="inlineStr">
        <is>
          <t>GOTLAND</t>
        </is>
      </c>
      <c r="G899" t="n">
        <v>3.6</v>
      </c>
      <c r="H899" t="n">
        <v>0</v>
      </c>
      <c r="I899" t="n">
        <v>0</v>
      </c>
      <c r="J899" t="n">
        <v>0</v>
      </c>
      <c r="K899" t="n">
        <v>0</v>
      </c>
      <c r="L899" t="n">
        <v>0</v>
      </c>
      <c r="M899" t="n">
        <v>0</v>
      </c>
      <c r="N899" t="n">
        <v>0</v>
      </c>
      <c r="O899" t="n">
        <v>0</v>
      </c>
      <c r="P899" t="n">
        <v>0</v>
      </c>
      <c r="Q899" t="n">
        <v>0</v>
      </c>
      <c r="R899" s="2" t="inlineStr"/>
    </row>
    <row r="900" ht="15" customHeight="1">
      <c r="A900" t="inlineStr">
        <is>
          <t>A 31352-2024</t>
        </is>
      </c>
      <c r="B900" s="1" t="n">
        <v>45505</v>
      </c>
      <c r="C900" s="1" t="n">
        <v>45822</v>
      </c>
      <c r="D900" t="inlineStr">
        <is>
          <t>GOTLANDS LÄN</t>
        </is>
      </c>
      <c r="E900" t="inlineStr">
        <is>
          <t>GOTLAND</t>
        </is>
      </c>
      <c r="G900" t="n">
        <v>5.4</v>
      </c>
      <c r="H900" t="n">
        <v>0</v>
      </c>
      <c r="I900" t="n">
        <v>0</v>
      </c>
      <c r="J900" t="n">
        <v>0</v>
      </c>
      <c r="K900" t="n">
        <v>0</v>
      </c>
      <c r="L900" t="n">
        <v>0</v>
      </c>
      <c r="M900" t="n">
        <v>0</v>
      </c>
      <c r="N900" t="n">
        <v>0</v>
      </c>
      <c r="O900" t="n">
        <v>0</v>
      </c>
      <c r="P900" t="n">
        <v>0</v>
      </c>
      <c r="Q900" t="n">
        <v>0</v>
      </c>
      <c r="R900" s="2" t="inlineStr"/>
    </row>
    <row r="901" ht="15" customHeight="1">
      <c r="A901" t="inlineStr">
        <is>
          <t>A 31401-2024</t>
        </is>
      </c>
      <c r="B901" s="1" t="n">
        <v>45505</v>
      </c>
      <c r="C901" s="1" t="n">
        <v>45822</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31802-2024</t>
        </is>
      </c>
      <c r="B902" s="1" t="n">
        <v>45509</v>
      </c>
      <c r="C902" s="1" t="n">
        <v>45822</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32322-2024</t>
        </is>
      </c>
      <c r="B903" s="1" t="n">
        <v>45512</v>
      </c>
      <c r="C903" s="1" t="n">
        <v>45822</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32330-2024</t>
        </is>
      </c>
      <c r="B904" s="1" t="n">
        <v>45512</v>
      </c>
      <c r="C904" s="1" t="n">
        <v>45822</v>
      </c>
      <c r="D904" t="inlineStr">
        <is>
          <t>GOTLANDS LÄN</t>
        </is>
      </c>
      <c r="E904" t="inlineStr">
        <is>
          <t>GOTLAND</t>
        </is>
      </c>
      <c r="G904" t="n">
        <v>2.6</v>
      </c>
      <c r="H904" t="n">
        <v>0</v>
      </c>
      <c r="I904" t="n">
        <v>0</v>
      </c>
      <c r="J904" t="n">
        <v>0</v>
      </c>
      <c r="K904" t="n">
        <v>0</v>
      </c>
      <c r="L904" t="n">
        <v>0</v>
      </c>
      <c r="M904" t="n">
        <v>0</v>
      </c>
      <c r="N904" t="n">
        <v>0</v>
      </c>
      <c r="O904" t="n">
        <v>0</v>
      </c>
      <c r="P904" t="n">
        <v>0</v>
      </c>
      <c r="Q904" t="n">
        <v>0</v>
      </c>
      <c r="R904" s="2" t="inlineStr"/>
    </row>
    <row r="905" ht="15" customHeight="1">
      <c r="A905" t="inlineStr">
        <is>
          <t>A 32669-2024</t>
        </is>
      </c>
      <c r="B905" s="1" t="n">
        <v>45514</v>
      </c>
      <c r="C905" s="1" t="n">
        <v>45822</v>
      </c>
      <c r="D905" t="inlineStr">
        <is>
          <t>GOTLANDS LÄN</t>
        </is>
      </c>
      <c r="E905" t="inlineStr">
        <is>
          <t>GOTLAND</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33518-2024</t>
        </is>
      </c>
      <c r="B906" s="1" t="n">
        <v>45519</v>
      </c>
      <c r="C906" s="1" t="n">
        <v>45822</v>
      </c>
      <c r="D906" t="inlineStr">
        <is>
          <t>GOTLANDS LÄN</t>
        </is>
      </c>
      <c r="E906" t="inlineStr">
        <is>
          <t>GOTLAND</t>
        </is>
      </c>
      <c r="G906" t="n">
        <v>7.2</v>
      </c>
      <c r="H906" t="n">
        <v>0</v>
      </c>
      <c r="I906" t="n">
        <v>0</v>
      </c>
      <c r="J906" t="n">
        <v>0</v>
      </c>
      <c r="K906" t="n">
        <v>0</v>
      </c>
      <c r="L906" t="n">
        <v>0</v>
      </c>
      <c r="M906" t="n">
        <v>0</v>
      </c>
      <c r="N906" t="n">
        <v>0</v>
      </c>
      <c r="O906" t="n">
        <v>0</v>
      </c>
      <c r="P906" t="n">
        <v>0</v>
      </c>
      <c r="Q906" t="n">
        <v>0</v>
      </c>
      <c r="R906" s="2" t="inlineStr"/>
    </row>
    <row r="907" ht="15" customHeight="1">
      <c r="A907" t="inlineStr">
        <is>
          <t>A 33853-2024</t>
        </is>
      </c>
      <c r="B907" s="1" t="n">
        <v>45520</v>
      </c>
      <c r="C907" s="1" t="n">
        <v>45822</v>
      </c>
      <c r="D907" t="inlineStr">
        <is>
          <t>GOTLANDS LÄN</t>
        </is>
      </c>
      <c r="E907" t="inlineStr">
        <is>
          <t>GOTLAND</t>
        </is>
      </c>
      <c r="G907" t="n">
        <v>3.9</v>
      </c>
      <c r="H907" t="n">
        <v>0</v>
      </c>
      <c r="I907" t="n">
        <v>0</v>
      </c>
      <c r="J907" t="n">
        <v>0</v>
      </c>
      <c r="K907" t="n">
        <v>0</v>
      </c>
      <c r="L907" t="n">
        <v>0</v>
      </c>
      <c r="M907" t="n">
        <v>0</v>
      </c>
      <c r="N907" t="n">
        <v>0</v>
      </c>
      <c r="O907" t="n">
        <v>0</v>
      </c>
      <c r="P907" t="n">
        <v>0</v>
      </c>
      <c r="Q907" t="n">
        <v>0</v>
      </c>
      <c r="R907" s="2" t="inlineStr"/>
    </row>
    <row r="908" ht="15" customHeight="1">
      <c r="A908" t="inlineStr">
        <is>
          <t>A 33876-2024</t>
        </is>
      </c>
      <c r="B908" s="1" t="n">
        <v>45521</v>
      </c>
      <c r="C908" s="1" t="n">
        <v>45822</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33928-2024</t>
        </is>
      </c>
      <c r="B909" s="1" t="n">
        <v>45523</v>
      </c>
      <c r="C909" s="1" t="n">
        <v>45822</v>
      </c>
      <c r="D909" t="inlineStr">
        <is>
          <t>GOTLANDS LÄN</t>
        </is>
      </c>
      <c r="E909" t="inlineStr">
        <is>
          <t>GOTLAND</t>
        </is>
      </c>
      <c r="G909" t="n">
        <v>0.7</v>
      </c>
      <c r="H909" t="n">
        <v>0</v>
      </c>
      <c r="I909" t="n">
        <v>0</v>
      </c>
      <c r="J909" t="n">
        <v>0</v>
      </c>
      <c r="K909" t="n">
        <v>0</v>
      </c>
      <c r="L909" t="n">
        <v>0</v>
      </c>
      <c r="M909" t="n">
        <v>0</v>
      </c>
      <c r="N909" t="n">
        <v>0</v>
      </c>
      <c r="O909" t="n">
        <v>0</v>
      </c>
      <c r="P909" t="n">
        <v>0</v>
      </c>
      <c r="Q909" t="n">
        <v>0</v>
      </c>
      <c r="R909" s="2" t="inlineStr"/>
    </row>
    <row r="910" ht="15" customHeight="1">
      <c r="A910" t="inlineStr">
        <is>
          <t>A 34167-2024</t>
        </is>
      </c>
      <c r="B910" s="1" t="n">
        <v>45524</v>
      </c>
      <c r="C910" s="1" t="n">
        <v>45822</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34157-2024</t>
        </is>
      </c>
      <c r="B911" s="1" t="n">
        <v>45524</v>
      </c>
      <c r="C911" s="1" t="n">
        <v>45822</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34142-2024</t>
        </is>
      </c>
      <c r="B912" s="1" t="n">
        <v>45524</v>
      </c>
      <c r="C912" s="1" t="n">
        <v>45822</v>
      </c>
      <c r="D912" t="inlineStr">
        <is>
          <t>GOTLANDS LÄN</t>
        </is>
      </c>
      <c r="E912" t="inlineStr">
        <is>
          <t>GOTLAND</t>
        </is>
      </c>
      <c r="G912" t="n">
        <v>6</v>
      </c>
      <c r="H912" t="n">
        <v>0</v>
      </c>
      <c r="I912" t="n">
        <v>0</v>
      </c>
      <c r="J912" t="n">
        <v>0</v>
      </c>
      <c r="K912" t="n">
        <v>0</v>
      </c>
      <c r="L912" t="n">
        <v>0</v>
      </c>
      <c r="M912" t="n">
        <v>0</v>
      </c>
      <c r="N912" t="n">
        <v>0</v>
      </c>
      <c r="O912" t="n">
        <v>0</v>
      </c>
      <c r="P912" t="n">
        <v>0</v>
      </c>
      <c r="Q912" t="n">
        <v>0</v>
      </c>
      <c r="R912" s="2" t="inlineStr"/>
    </row>
    <row r="913" ht="15" customHeight="1">
      <c r="A913" t="inlineStr">
        <is>
          <t>A 34154-2024</t>
        </is>
      </c>
      <c r="B913" s="1" t="n">
        <v>45524</v>
      </c>
      <c r="C913" s="1" t="n">
        <v>45822</v>
      </c>
      <c r="D913" t="inlineStr">
        <is>
          <t>GOTLANDS LÄN</t>
        </is>
      </c>
      <c r="E913" t="inlineStr">
        <is>
          <t>GOTLAND</t>
        </is>
      </c>
      <c r="G913" t="n">
        <v>9.9</v>
      </c>
      <c r="H913" t="n">
        <v>0</v>
      </c>
      <c r="I913" t="n">
        <v>0</v>
      </c>
      <c r="J913" t="n">
        <v>0</v>
      </c>
      <c r="K913" t="n">
        <v>0</v>
      </c>
      <c r="L913" t="n">
        <v>0</v>
      </c>
      <c r="M913" t="n">
        <v>0</v>
      </c>
      <c r="N913" t="n">
        <v>0</v>
      </c>
      <c r="O913" t="n">
        <v>0</v>
      </c>
      <c r="P913" t="n">
        <v>0</v>
      </c>
      <c r="Q913" t="n">
        <v>0</v>
      </c>
      <c r="R913" s="2" t="inlineStr"/>
    </row>
    <row r="914" ht="15" customHeight="1">
      <c r="A914" t="inlineStr">
        <is>
          <t>A 34170-2024</t>
        </is>
      </c>
      <c r="B914" s="1" t="n">
        <v>45524</v>
      </c>
      <c r="C914" s="1" t="n">
        <v>45822</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34312-2024</t>
        </is>
      </c>
      <c r="B915" s="1" t="n">
        <v>45524</v>
      </c>
      <c r="C915" s="1" t="n">
        <v>45822</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35093-2024</t>
        </is>
      </c>
      <c r="B916" s="1" t="n">
        <v>45527</v>
      </c>
      <c r="C916" s="1" t="n">
        <v>45822</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36539-2024</t>
        </is>
      </c>
      <c r="B917" s="1" t="n">
        <v>45537</v>
      </c>
      <c r="C917" s="1" t="n">
        <v>45822</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row r="918" ht="15" customHeight="1">
      <c r="A918" t="inlineStr">
        <is>
          <t>A 37225-2024</t>
        </is>
      </c>
      <c r="B918" s="1" t="n">
        <v>45539</v>
      </c>
      <c r="C918" s="1" t="n">
        <v>45822</v>
      </c>
      <c r="D918" t="inlineStr">
        <is>
          <t>GOTLANDS LÄN</t>
        </is>
      </c>
      <c r="E918" t="inlineStr">
        <is>
          <t>GOTLAND</t>
        </is>
      </c>
      <c r="G918" t="n">
        <v>2.9</v>
      </c>
      <c r="H918" t="n">
        <v>0</v>
      </c>
      <c r="I918" t="n">
        <v>0</v>
      </c>
      <c r="J918" t="n">
        <v>0</v>
      </c>
      <c r="K918" t="n">
        <v>0</v>
      </c>
      <c r="L918" t="n">
        <v>0</v>
      </c>
      <c r="M918" t="n">
        <v>0</v>
      </c>
      <c r="N918" t="n">
        <v>0</v>
      </c>
      <c r="O918" t="n">
        <v>0</v>
      </c>
      <c r="P918" t="n">
        <v>0</v>
      </c>
      <c r="Q918" t="n">
        <v>0</v>
      </c>
      <c r="R918" s="2" t="inlineStr"/>
    </row>
    <row r="919" ht="15" customHeight="1">
      <c r="A919" t="inlineStr">
        <is>
          <t>A 37202-2024</t>
        </is>
      </c>
      <c r="B919" s="1" t="n">
        <v>45539</v>
      </c>
      <c r="C919" s="1" t="n">
        <v>45822</v>
      </c>
      <c r="D919" t="inlineStr">
        <is>
          <t>GOTLANDS LÄN</t>
        </is>
      </c>
      <c r="E919" t="inlineStr">
        <is>
          <t>GOTLAND</t>
        </is>
      </c>
      <c r="G919" t="n">
        <v>0.3</v>
      </c>
      <c r="H919" t="n">
        <v>0</v>
      </c>
      <c r="I919" t="n">
        <v>0</v>
      </c>
      <c r="J919" t="n">
        <v>0</v>
      </c>
      <c r="K919" t="n">
        <v>0</v>
      </c>
      <c r="L919" t="n">
        <v>0</v>
      </c>
      <c r="M919" t="n">
        <v>0</v>
      </c>
      <c r="N919" t="n">
        <v>0</v>
      </c>
      <c r="O919" t="n">
        <v>0</v>
      </c>
      <c r="P919" t="n">
        <v>0</v>
      </c>
      <c r="Q919" t="n">
        <v>0</v>
      </c>
      <c r="R919" s="2" t="inlineStr"/>
    </row>
    <row r="920" ht="15" customHeight="1">
      <c r="A920" t="inlineStr">
        <is>
          <t>A 37376-2024</t>
        </is>
      </c>
      <c r="B920" s="1" t="n">
        <v>45540</v>
      </c>
      <c r="C920" s="1" t="n">
        <v>45822</v>
      </c>
      <c r="D920" t="inlineStr">
        <is>
          <t>GOTLANDS LÄN</t>
        </is>
      </c>
      <c r="E920" t="inlineStr">
        <is>
          <t>GOTLAND</t>
        </is>
      </c>
      <c r="G920" t="n">
        <v>4.9</v>
      </c>
      <c r="H920" t="n">
        <v>0</v>
      </c>
      <c r="I920" t="n">
        <v>0</v>
      </c>
      <c r="J920" t="n">
        <v>0</v>
      </c>
      <c r="K920" t="n">
        <v>0</v>
      </c>
      <c r="L920" t="n">
        <v>0</v>
      </c>
      <c r="M920" t="n">
        <v>0</v>
      </c>
      <c r="N920" t="n">
        <v>0</v>
      </c>
      <c r="O920" t="n">
        <v>0</v>
      </c>
      <c r="P920" t="n">
        <v>0</v>
      </c>
      <c r="Q920" t="n">
        <v>0</v>
      </c>
      <c r="R920" s="2" t="inlineStr"/>
    </row>
    <row r="921" ht="15" customHeight="1">
      <c r="A921" t="inlineStr">
        <is>
          <t>A 37442-2024</t>
        </is>
      </c>
      <c r="B921" s="1" t="n">
        <v>45540</v>
      </c>
      <c r="C921" s="1" t="n">
        <v>45822</v>
      </c>
      <c r="D921" t="inlineStr">
        <is>
          <t>GOTLANDS LÄN</t>
        </is>
      </c>
      <c r="E921" t="inlineStr">
        <is>
          <t>GOTLAND</t>
        </is>
      </c>
      <c r="G921" t="n">
        <v>4.3</v>
      </c>
      <c r="H921" t="n">
        <v>0</v>
      </c>
      <c r="I921" t="n">
        <v>0</v>
      </c>
      <c r="J921" t="n">
        <v>0</v>
      </c>
      <c r="K921" t="n">
        <v>0</v>
      </c>
      <c r="L921" t="n">
        <v>0</v>
      </c>
      <c r="M921" t="n">
        <v>0</v>
      </c>
      <c r="N921" t="n">
        <v>0</v>
      </c>
      <c r="O921" t="n">
        <v>0</v>
      </c>
      <c r="P921" t="n">
        <v>0</v>
      </c>
      <c r="Q921" t="n">
        <v>0</v>
      </c>
      <c r="R921" s="2" t="inlineStr"/>
    </row>
    <row r="922" ht="15" customHeight="1">
      <c r="A922" t="inlineStr">
        <is>
          <t>A 37440-2024</t>
        </is>
      </c>
      <c r="B922" s="1" t="n">
        <v>45540</v>
      </c>
      <c r="C922" s="1" t="n">
        <v>45822</v>
      </c>
      <c r="D922" t="inlineStr">
        <is>
          <t>GOTLANDS LÄN</t>
        </is>
      </c>
      <c r="E922" t="inlineStr">
        <is>
          <t>GOTLAND</t>
        </is>
      </c>
      <c r="G922" t="n">
        <v>1</v>
      </c>
      <c r="H922" t="n">
        <v>0</v>
      </c>
      <c r="I922" t="n">
        <v>0</v>
      </c>
      <c r="J922" t="n">
        <v>0</v>
      </c>
      <c r="K922" t="n">
        <v>0</v>
      </c>
      <c r="L922" t="n">
        <v>0</v>
      </c>
      <c r="M922" t="n">
        <v>0</v>
      </c>
      <c r="N922" t="n">
        <v>0</v>
      </c>
      <c r="O922" t="n">
        <v>0</v>
      </c>
      <c r="P922" t="n">
        <v>0</v>
      </c>
      <c r="Q922" t="n">
        <v>0</v>
      </c>
      <c r="R922" s="2" t="inlineStr"/>
    </row>
    <row r="923" ht="15" customHeight="1">
      <c r="A923" t="inlineStr">
        <is>
          <t>A 37728-2024</t>
        </is>
      </c>
      <c r="B923" s="1" t="n">
        <v>45541</v>
      </c>
      <c r="C923" s="1" t="n">
        <v>45822</v>
      </c>
      <c r="D923" t="inlineStr">
        <is>
          <t>GOTLANDS LÄN</t>
        </is>
      </c>
      <c r="E923" t="inlineStr">
        <is>
          <t>GOTLAND</t>
        </is>
      </c>
      <c r="G923" t="n">
        <v>0.4</v>
      </c>
      <c r="H923" t="n">
        <v>0</v>
      </c>
      <c r="I923" t="n">
        <v>0</v>
      </c>
      <c r="J923" t="n">
        <v>0</v>
      </c>
      <c r="K923" t="n">
        <v>0</v>
      </c>
      <c r="L923" t="n">
        <v>0</v>
      </c>
      <c r="M923" t="n">
        <v>0</v>
      </c>
      <c r="N923" t="n">
        <v>0</v>
      </c>
      <c r="O923" t="n">
        <v>0</v>
      </c>
      <c r="P923" t="n">
        <v>0</v>
      </c>
      <c r="Q923" t="n">
        <v>0</v>
      </c>
      <c r="R923" s="2" t="inlineStr"/>
    </row>
    <row r="924" ht="15" customHeight="1">
      <c r="A924" t="inlineStr">
        <is>
          <t>A 37808-2024</t>
        </is>
      </c>
      <c r="B924" s="1" t="n">
        <v>45543</v>
      </c>
      <c r="C924" s="1" t="n">
        <v>45822</v>
      </c>
      <c r="D924" t="inlineStr">
        <is>
          <t>GOTLANDS LÄN</t>
        </is>
      </c>
      <c r="E924" t="inlineStr">
        <is>
          <t>GOTLAND</t>
        </is>
      </c>
      <c r="G924" t="n">
        <v>2.3</v>
      </c>
      <c r="H924" t="n">
        <v>0</v>
      </c>
      <c r="I924" t="n">
        <v>0</v>
      </c>
      <c r="J924" t="n">
        <v>0</v>
      </c>
      <c r="K924" t="n">
        <v>0</v>
      </c>
      <c r="L924" t="n">
        <v>0</v>
      </c>
      <c r="M924" t="n">
        <v>0</v>
      </c>
      <c r="N924" t="n">
        <v>0</v>
      </c>
      <c r="O924" t="n">
        <v>0</v>
      </c>
      <c r="P924" t="n">
        <v>0</v>
      </c>
      <c r="Q924" t="n">
        <v>0</v>
      </c>
      <c r="R924" s="2" t="inlineStr"/>
    </row>
    <row r="925" ht="15" customHeight="1">
      <c r="A925" t="inlineStr">
        <is>
          <t>A 39311-2024</t>
        </is>
      </c>
      <c r="B925" s="1" t="n">
        <v>45551</v>
      </c>
      <c r="C925" s="1" t="n">
        <v>45822</v>
      </c>
      <c r="D925" t="inlineStr">
        <is>
          <t>GOTLANDS LÄN</t>
        </is>
      </c>
      <c r="E925" t="inlineStr">
        <is>
          <t>GOTLAND</t>
        </is>
      </c>
      <c r="G925" t="n">
        <v>2.8</v>
      </c>
      <c r="H925" t="n">
        <v>0</v>
      </c>
      <c r="I925" t="n">
        <v>0</v>
      </c>
      <c r="J925" t="n">
        <v>0</v>
      </c>
      <c r="K925" t="n">
        <v>0</v>
      </c>
      <c r="L925" t="n">
        <v>0</v>
      </c>
      <c r="M925" t="n">
        <v>0</v>
      </c>
      <c r="N925" t="n">
        <v>0</v>
      </c>
      <c r="O925" t="n">
        <v>0</v>
      </c>
      <c r="P925" t="n">
        <v>0</v>
      </c>
      <c r="Q925" t="n">
        <v>0</v>
      </c>
      <c r="R925" s="2" t="inlineStr"/>
    </row>
    <row r="926" ht="15" customHeight="1">
      <c r="A926" t="inlineStr">
        <is>
          <t>A 41373-2024</t>
        </is>
      </c>
      <c r="B926" s="1" t="n">
        <v>45559</v>
      </c>
      <c r="C926" s="1" t="n">
        <v>45822</v>
      </c>
      <c r="D926" t="inlineStr">
        <is>
          <t>GOTLANDS LÄN</t>
        </is>
      </c>
      <c r="E926" t="inlineStr">
        <is>
          <t>GOTLAND</t>
        </is>
      </c>
      <c r="G926" t="n">
        <v>2</v>
      </c>
      <c r="H926" t="n">
        <v>0</v>
      </c>
      <c r="I926" t="n">
        <v>0</v>
      </c>
      <c r="J926" t="n">
        <v>0</v>
      </c>
      <c r="K926" t="n">
        <v>0</v>
      </c>
      <c r="L926" t="n">
        <v>0</v>
      </c>
      <c r="M926" t="n">
        <v>0</v>
      </c>
      <c r="N926" t="n">
        <v>0</v>
      </c>
      <c r="O926" t="n">
        <v>0</v>
      </c>
      <c r="P926" t="n">
        <v>0</v>
      </c>
      <c r="Q926" t="n">
        <v>0</v>
      </c>
      <c r="R926" s="2" t="inlineStr"/>
    </row>
    <row r="927" ht="15" customHeight="1">
      <c r="A927" t="inlineStr">
        <is>
          <t>A 41372-2024</t>
        </is>
      </c>
      <c r="B927" s="1" t="n">
        <v>45559</v>
      </c>
      <c r="C927" s="1" t="n">
        <v>45822</v>
      </c>
      <c r="D927" t="inlineStr">
        <is>
          <t>GOTLANDS LÄN</t>
        </is>
      </c>
      <c r="E927" t="inlineStr">
        <is>
          <t>GOTLAND</t>
        </is>
      </c>
      <c r="G927" t="n">
        <v>3.3</v>
      </c>
      <c r="H927" t="n">
        <v>0</v>
      </c>
      <c r="I927" t="n">
        <v>0</v>
      </c>
      <c r="J927" t="n">
        <v>0</v>
      </c>
      <c r="K927" t="n">
        <v>0</v>
      </c>
      <c r="L927" t="n">
        <v>0</v>
      </c>
      <c r="M927" t="n">
        <v>0</v>
      </c>
      <c r="N927" t="n">
        <v>0</v>
      </c>
      <c r="O927" t="n">
        <v>0</v>
      </c>
      <c r="P927" t="n">
        <v>0</v>
      </c>
      <c r="Q927" t="n">
        <v>0</v>
      </c>
      <c r="R927" s="2" t="inlineStr"/>
    </row>
    <row r="928" ht="15" customHeight="1">
      <c r="A928" t="inlineStr">
        <is>
          <t>A 41467-2024</t>
        </is>
      </c>
      <c r="B928" s="1" t="n">
        <v>45560</v>
      </c>
      <c r="C928" s="1" t="n">
        <v>45822</v>
      </c>
      <c r="D928" t="inlineStr">
        <is>
          <t>GOTLANDS LÄN</t>
        </is>
      </c>
      <c r="E928" t="inlineStr">
        <is>
          <t>GOTLAND</t>
        </is>
      </c>
      <c r="G928" t="n">
        <v>9</v>
      </c>
      <c r="H928" t="n">
        <v>0</v>
      </c>
      <c r="I928" t="n">
        <v>0</v>
      </c>
      <c r="J928" t="n">
        <v>0</v>
      </c>
      <c r="K928" t="n">
        <v>0</v>
      </c>
      <c r="L928" t="n">
        <v>0</v>
      </c>
      <c r="M928" t="n">
        <v>0</v>
      </c>
      <c r="N928" t="n">
        <v>0</v>
      </c>
      <c r="O928" t="n">
        <v>0</v>
      </c>
      <c r="P928" t="n">
        <v>0</v>
      </c>
      <c r="Q928" t="n">
        <v>0</v>
      </c>
      <c r="R928" s="2" t="inlineStr"/>
    </row>
    <row r="929" ht="15" customHeight="1">
      <c r="A929" t="inlineStr">
        <is>
          <t>A 42041-2024</t>
        </is>
      </c>
      <c r="B929" s="1" t="n">
        <v>45561</v>
      </c>
      <c r="C929" s="1" t="n">
        <v>45822</v>
      </c>
      <c r="D929" t="inlineStr">
        <is>
          <t>GOTLANDS LÄN</t>
        </is>
      </c>
      <c r="E929" t="inlineStr">
        <is>
          <t>GOTLAND</t>
        </is>
      </c>
      <c r="G929" t="n">
        <v>3.2</v>
      </c>
      <c r="H929" t="n">
        <v>0</v>
      </c>
      <c r="I929" t="n">
        <v>0</v>
      </c>
      <c r="J929" t="n">
        <v>0</v>
      </c>
      <c r="K929" t="n">
        <v>0</v>
      </c>
      <c r="L929" t="n">
        <v>0</v>
      </c>
      <c r="M929" t="n">
        <v>0</v>
      </c>
      <c r="N929" t="n">
        <v>0</v>
      </c>
      <c r="O929" t="n">
        <v>0</v>
      </c>
      <c r="P929" t="n">
        <v>0</v>
      </c>
      <c r="Q929" t="n">
        <v>0</v>
      </c>
      <c r="R929" s="2" t="inlineStr"/>
    </row>
    <row r="930" ht="15" customHeight="1">
      <c r="A930" t="inlineStr">
        <is>
          <t>A 42340-2024</t>
        </is>
      </c>
      <c r="B930" s="1" t="n">
        <v>45562</v>
      </c>
      <c r="C930" s="1" t="n">
        <v>45822</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42348-2024</t>
        </is>
      </c>
      <c r="B931" s="1" t="n">
        <v>45562</v>
      </c>
      <c r="C931" s="1" t="n">
        <v>45822</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42346-2024</t>
        </is>
      </c>
      <c r="B932" s="1" t="n">
        <v>45562</v>
      </c>
      <c r="C932" s="1" t="n">
        <v>45822</v>
      </c>
      <c r="D932" t="inlineStr">
        <is>
          <t>GOTLANDS LÄN</t>
        </is>
      </c>
      <c r="E932" t="inlineStr">
        <is>
          <t>GOTLAND</t>
        </is>
      </c>
      <c r="G932" t="n">
        <v>1.3</v>
      </c>
      <c r="H932" t="n">
        <v>0</v>
      </c>
      <c r="I932" t="n">
        <v>0</v>
      </c>
      <c r="J932" t="n">
        <v>0</v>
      </c>
      <c r="K932" t="n">
        <v>0</v>
      </c>
      <c r="L932" t="n">
        <v>0</v>
      </c>
      <c r="M932" t="n">
        <v>0</v>
      </c>
      <c r="N932" t="n">
        <v>0</v>
      </c>
      <c r="O932" t="n">
        <v>0</v>
      </c>
      <c r="P932" t="n">
        <v>0</v>
      </c>
      <c r="Q932" t="n">
        <v>0</v>
      </c>
      <c r="R932" s="2" t="inlineStr"/>
    </row>
    <row r="933" ht="15" customHeight="1">
      <c r="A933" t="inlineStr">
        <is>
          <t>A 43785-2024</t>
        </is>
      </c>
      <c r="B933" s="1" t="n">
        <v>45570</v>
      </c>
      <c r="C933" s="1" t="n">
        <v>45822</v>
      </c>
      <c r="D933" t="inlineStr">
        <is>
          <t>GOTLANDS LÄN</t>
        </is>
      </c>
      <c r="E933" t="inlineStr">
        <is>
          <t>GOTLAND</t>
        </is>
      </c>
      <c r="G933" t="n">
        <v>12.6</v>
      </c>
      <c r="H933" t="n">
        <v>0</v>
      </c>
      <c r="I933" t="n">
        <v>0</v>
      </c>
      <c r="J933" t="n">
        <v>0</v>
      </c>
      <c r="K933" t="n">
        <v>0</v>
      </c>
      <c r="L933" t="n">
        <v>0</v>
      </c>
      <c r="M933" t="n">
        <v>0</v>
      </c>
      <c r="N933" t="n">
        <v>0</v>
      </c>
      <c r="O933" t="n">
        <v>0</v>
      </c>
      <c r="P933" t="n">
        <v>0</v>
      </c>
      <c r="Q933" t="n">
        <v>0</v>
      </c>
      <c r="R933" s="2" t="inlineStr"/>
    </row>
    <row r="934" ht="15" customHeight="1">
      <c r="A934" t="inlineStr">
        <is>
          <t>A 43784-2024</t>
        </is>
      </c>
      <c r="B934" s="1" t="n">
        <v>45570</v>
      </c>
      <c r="C934" s="1" t="n">
        <v>45822</v>
      </c>
      <c r="D934" t="inlineStr">
        <is>
          <t>GOTLANDS LÄN</t>
        </is>
      </c>
      <c r="E934" t="inlineStr">
        <is>
          <t>GOTLAND</t>
        </is>
      </c>
      <c r="G934" t="n">
        <v>9.1</v>
      </c>
      <c r="H934" t="n">
        <v>0</v>
      </c>
      <c r="I934" t="n">
        <v>0</v>
      </c>
      <c r="J934" t="n">
        <v>0</v>
      </c>
      <c r="K934" t="n">
        <v>0</v>
      </c>
      <c r="L934" t="n">
        <v>0</v>
      </c>
      <c r="M934" t="n">
        <v>0</v>
      </c>
      <c r="N934" t="n">
        <v>0</v>
      </c>
      <c r="O934" t="n">
        <v>0</v>
      </c>
      <c r="P934" t="n">
        <v>0</v>
      </c>
      <c r="Q934" t="n">
        <v>0</v>
      </c>
      <c r="R934" s="2" t="inlineStr"/>
    </row>
    <row r="935" ht="15" customHeight="1">
      <c r="A935" t="inlineStr">
        <is>
          <t>A 43787-2024</t>
        </is>
      </c>
      <c r="B935" s="1" t="n">
        <v>45571</v>
      </c>
      <c r="C935" s="1" t="n">
        <v>45822</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43790-2024</t>
        </is>
      </c>
      <c r="B936" s="1" t="n">
        <v>45571</v>
      </c>
      <c r="C936" s="1" t="n">
        <v>45822</v>
      </c>
      <c r="D936" t="inlineStr">
        <is>
          <t>GOTLANDS LÄN</t>
        </is>
      </c>
      <c r="E936" t="inlineStr">
        <is>
          <t>GOTLAND</t>
        </is>
      </c>
      <c r="G936" t="n">
        <v>3.5</v>
      </c>
      <c r="H936" t="n">
        <v>0</v>
      </c>
      <c r="I936" t="n">
        <v>0</v>
      </c>
      <c r="J936" t="n">
        <v>0</v>
      </c>
      <c r="K936" t="n">
        <v>0</v>
      </c>
      <c r="L936" t="n">
        <v>0</v>
      </c>
      <c r="M936" t="n">
        <v>0</v>
      </c>
      <c r="N936" t="n">
        <v>0</v>
      </c>
      <c r="O936" t="n">
        <v>0</v>
      </c>
      <c r="P936" t="n">
        <v>0</v>
      </c>
      <c r="Q936" t="n">
        <v>0</v>
      </c>
      <c r="R936" s="2" t="inlineStr"/>
    </row>
    <row r="937" ht="15" customHeight="1">
      <c r="A937" t="inlineStr">
        <is>
          <t>A 43788-2024</t>
        </is>
      </c>
      <c r="B937" s="1" t="n">
        <v>45571</v>
      </c>
      <c r="C937" s="1" t="n">
        <v>45822</v>
      </c>
      <c r="D937" t="inlineStr">
        <is>
          <t>GOTLANDS LÄN</t>
        </is>
      </c>
      <c r="E937" t="inlineStr">
        <is>
          <t>GOTLAND</t>
        </is>
      </c>
      <c r="G937" t="n">
        <v>4.1</v>
      </c>
      <c r="H937" t="n">
        <v>0</v>
      </c>
      <c r="I937" t="n">
        <v>0</v>
      </c>
      <c r="J937" t="n">
        <v>0</v>
      </c>
      <c r="K937" t="n">
        <v>0</v>
      </c>
      <c r="L937" t="n">
        <v>0</v>
      </c>
      <c r="M937" t="n">
        <v>0</v>
      </c>
      <c r="N937" t="n">
        <v>0</v>
      </c>
      <c r="O937" t="n">
        <v>0</v>
      </c>
      <c r="P937" t="n">
        <v>0</v>
      </c>
      <c r="Q937" t="n">
        <v>0</v>
      </c>
      <c r="R937" s="2" t="inlineStr"/>
    </row>
    <row r="938" ht="15" customHeight="1">
      <c r="A938" t="inlineStr">
        <is>
          <t>A 44416-2024</t>
        </is>
      </c>
      <c r="B938" s="1" t="n">
        <v>45573</v>
      </c>
      <c r="C938" s="1" t="n">
        <v>45822</v>
      </c>
      <c r="D938" t="inlineStr">
        <is>
          <t>GOTLANDS LÄN</t>
        </is>
      </c>
      <c r="E938" t="inlineStr">
        <is>
          <t>GOTLAND</t>
        </is>
      </c>
      <c r="G938" t="n">
        <v>0.8</v>
      </c>
      <c r="H938" t="n">
        <v>0</v>
      </c>
      <c r="I938" t="n">
        <v>0</v>
      </c>
      <c r="J938" t="n">
        <v>0</v>
      </c>
      <c r="K938" t="n">
        <v>0</v>
      </c>
      <c r="L938" t="n">
        <v>0</v>
      </c>
      <c r="M938" t="n">
        <v>0</v>
      </c>
      <c r="N938" t="n">
        <v>0</v>
      </c>
      <c r="O938" t="n">
        <v>0</v>
      </c>
      <c r="P938" t="n">
        <v>0</v>
      </c>
      <c r="Q938" t="n">
        <v>0</v>
      </c>
      <c r="R938" s="2" t="inlineStr"/>
    </row>
    <row r="939" ht="15" customHeight="1">
      <c r="A939" t="inlineStr">
        <is>
          <t>A 44513-2024</t>
        </is>
      </c>
      <c r="B939" s="1" t="n">
        <v>45574</v>
      </c>
      <c r="C939" s="1" t="n">
        <v>45822</v>
      </c>
      <c r="D939" t="inlineStr">
        <is>
          <t>GOTLANDS LÄN</t>
        </is>
      </c>
      <c r="E939" t="inlineStr">
        <is>
          <t>GOTLAND</t>
        </is>
      </c>
      <c r="G939" t="n">
        <v>6.1</v>
      </c>
      <c r="H939" t="n">
        <v>0</v>
      </c>
      <c r="I939" t="n">
        <v>0</v>
      </c>
      <c r="J939" t="n">
        <v>0</v>
      </c>
      <c r="K939" t="n">
        <v>0</v>
      </c>
      <c r="L939" t="n">
        <v>0</v>
      </c>
      <c r="M939" t="n">
        <v>0</v>
      </c>
      <c r="N939" t="n">
        <v>0</v>
      </c>
      <c r="O939" t="n">
        <v>0</v>
      </c>
      <c r="P939" t="n">
        <v>0</v>
      </c>
      <c r="Q939" t="n">
        <v>0</v>
      </c>
      <c r="R939" s="2" t="inlineStr"/>
    </row>
    <row r="940" ht="15" customHeight="1">
      <c r="A940" t="inlineStr">
        <is>
          <t>A 45112-2024</t>
        </is>
      </c>
      <c r="B940" s="1" t="n">
        <v>45575</v>
      </c>
      <c r="C940" s="1" t="n">
        <v>45822</v>
      </c>
      <c r="D940" t="inlineStr">
        <is>
          <t>GOTLANDS LÄN</t>
        </is>
      </c>
      <c r="E940" t="inlineStr">
        <is>
          <t>GOTLAND</t>
        </is>
      </c>
      <c r="G940" t="n">
        <v>5.1</v>
      </c>
      <c r="H940" t="n">
        <v>0</v>
      </c>
      <c r="I940" t="n">
        <v>0</v>
      </c>
      <c r="J940" t="n">
        <v>0</v>
      </c>
      <c r="K940" t="n">
        <v>0</v>
      </c>
      <c r="L940" t="n">
        <v>0</v>
      </c>
      <c r="M940" t="n">
        <v>0</v>
      </c>
      <c r="N940" t="n">
        <v>0</v>
      </c>
      <c r="O940" t="n">
        <v>0</v>
      </c>
      <c r="P940" t="n">
        <v>0</v>
      </c>
      <c r="Q940" t="n">
        <v>0</v>
      </c>
      <c r="R940" s="2" t="inlineStr"/>
    </row>
    <row r="941" ht="15" customHeight="1">
      <c r="A941" t="inlineStr">
        <is>
          <t>A 45101-2024</t>
        </is>
      </c>
      <c r="B941" s="1" t="n">
        <v>45575</v>
      </c>
      <c r="C941" s="1" t="n">
        <v>45822</v>
      </c>
      <c r="D941" t="inlineStr">
        <is>
          <t>GOTLANDS LÄN</t>
        </is>
      </c>
      <c r="E941" t="inlineStr">
        <is>
          <t>GOTLAND</t>
        </is>
      </c>
      <c r="G941" t="n">
        <v>1.6</v>
      </c>
      <c r="H941" t="n">
        <v>0</v>
      </c>
      <c r="I941" t="n">
        <v>0</v>
      </c>
      <c r="J941" t="n">
        <v>0</v>
      </c>
      <c r="K941" t="n">
        <v>0</v>
      </c>
      <c r="L941" t="n">
        <v>0</v>
      </c>
      <c r="M941" t="n">
        <v>0</v>
      </c>
      <c r="N941" t="n">
        <v>0</v>
      </c>
      <c r="O941" t="n">
        <v>0</v>
      </c>
      <c r="P941" t="n">
        <v>0</v>
      </c>
      <c r="Q941" t="n">
        <v>0</v>
      </c>
      <c r="R941" s="2" t="inlineStr"/>
    </row>
    <row r="942" ht="15" customHeight="1">
      <c r="A942" t="inlineStr">
        <is>
          <t>A 45106-2024</t>
        </is>
      </c>
      <c r="B942" s="1" t="n">
        <v>45575</v>
      </c>
      <c r="C942" s="1" t="n">
        <v>45822</v>
      </c>
      <c r="D942" t="inlineStr">
        <is>
          <t>GOTLANDS LÄN</t>
        </is>
      </c>
      <c r="E942" t="inlineStr">
        <is>
          <t>GOTLAND</t>
        </is>
      </c>
      <c r="G942" t="n">
        <v>10</v>
      </c>
      <c r="H942" t="n">
        <v>0</v>
      </c>
      <c r="I942" t="n">
        <v>0</v>
      </c>
      <c r="J942" t="n">
        <v>0</v>
      </c>
      <c r="K942" t="n">
        <v>0</v>
      </c>
      <c r="L942" t="n">
        <v>0</v>
      </c>
      <c r="M942" t="n">
        <v>0</v>
      </c>
      <c r="N942" t="n">
        <v>0</v>
      </c>
      <c r="O942" t="n">
        <v>0</v>
      </c>
      <c r="P942" t="n">
        <v>0</v>
      </c>
      <c r="Q942" t="n">
        <v>0</v>
      </c>
      <c r="R942" s="2" t="inlineStr"/>
    </row>
    <row r="943" ht="15" customHeight="1">
      <c r="A943" t="inlineStr">
        <is>
          <t>A 44892-2024</t>
        </is>
      </c>
      <c r="B943" s="1" t="n">
        <v>45575</v>
      </c>
      <c r="C943" s="1" t="n">
        <v>45822</v>
      </c>
      <c r="D943" t="inlineStr">
        <is>
          <t>GOTLANDS LÄN</t>
        </is>
      </c>
      <c r="E943" t="inlineStr">
        <is>
          <t>GOTLAND</t>
        </is>
      </c>
      <c r="G943" t="n">
        <v>2.9</v>
      </c>
      <c r="H943" t="n">
        <v>0</v>
      </c>
      <c r="I943" t="n">
        <v>0</v>
      </c>
      <c r="J943" t="n">
        <v>0</v>
      </c>
      <c r="K943" t="n">
        <v>0</v>
      </c>
      <c r="L943" t="n">
        <v>0</v>
      </c>
      <c r="M943" t="n">
        <v>0</v>
      </c>
      <c r="N943" t="n">
        <v>0</v>
      </c>
      <c r="O943" t="n">
        <v>0</v>
      </c>
      <c r="P943" t="n">
        <v>0</v>
      </c>
      <c r="Q943" t="n">
        <v>0</v>
      </c>
      <c r="R943" s="2" t="inlineStr"/>
    </row>
    <row r="944" ht="15" customHeight="1">
      <c r="A944" t="inlineStr">
        <is>
          <t>A 45079-2024</t>
        </is>
      </c>
      <c r="B944" s="1" t="n">
        <v>45575</v>
      </c>
      <c r="C944" s="1" t="n">
        <v>45822</v>
      </c>
      <c r="D944" t="inlineStr">
        <is>
          <t>GOTLANDS LÄN</t>
        </is>
      </c>
      <c r="E944" t="inlineStr">
        <is>
          <t>GOTLAND</t>
        </is>
      </c>
      <c r="G944" t="n">
        <v>3.9</v>
      </c>
      <c r="H944" t="n">
        <v>0</v>
      </c>
      <c r="I944" t="n">
        <v>0</v>
      </c>
      <c r="J944" t="n">
        <v>0</v>
      </c>
      <c r="K944" t="n">
        <v>0</v>
      </c>
      <c r="L944" t="n">
        <v>0</v>
      </c>
      <c r="M944" t="n">
        <v>0</v>
      </c>
      <c r="N944" t="n">
        <v>0</v>
      </c>
      <c r="O944" t="n">
        <v>0</v>
      </c>
      <c r="P944" t="n">
        <v>0</v>
      </c>
      <c r="Q944" t="n">
        <v>0</v>
      </c>
      <c r="R944" s="2" t="inlineStr"/>
    </row>
    <row r="945" ht="15" customHeight="1">
      <c r="A945" t="inlineStr">
        <is>
          <t>A 45084-2024</t>
        </is>
      </c>
      <c r="B945" s="1" t="n">
        <v>45575</v>
      </c>
      <c r="C945" s="1" t="n">
        <v>45822</v>
      </c>
      <c r="D945" t="inlineStr">
        <is>
          <t>GOTLANDS LÄN</t>
        </is>
      </c>
      <c r="E945" t="inlineStr">
        <is>
          <t>GOTLAND</t>
        </is>
      </c>
      <c r="G945" t="n">
        <v>6.8</v>
      </c>
      <c r="H945" t="n">
        <v>0</v>
      </c>
      <c r="I945" t="n">
        <v>0</v>
      </c>
      <c r="J945" t="n">
        <v>0</v>
      </c>
      <c r="K945" t="n">
        <v>0</v>
      </c>
      <c r="L945" t="n">
        <v>0</v>
      </c>
      <c r="M945" t="n">
        <v>0</v>
      </c>
      <c r="N945" t="n">
        <v>0</v>
      </c>
      <c r="O945" t="n">
        <v>0</v>
      </c>
      <c r="P945" t="n">
        <v>0</v>
      </c>
      <c r="Q945" t="n">
        <v>0</v>
      </c>
      <c r="R945" s="2" t="inlineStr"/>
    </row>
    <row r="946" ht="15" customHeight="1">
      <c r="A946" t="inlineStr">
        <is>
          <t>A 44879-2024</t>
        </is>
      </c>
      <c r="B946" s="1" t="n">
        <v>45575</v>
      </c>
      <c r="C946" s="1" t="n">
        <v>45822</v>
      </c>
      <c r="D946" t="inlineStr">
        <is>
          <t>GOTLANDS LÄN</t>
        </is>
      </c>
      <c r="E946" t="inlineStr">
        <is>
          <t>GOTLAND</t>
        </is>
      </c>
      <c r="G946" t="n">
        <v>18.9</v>
      </c>
      <c r="H946" t="n">
        <v>0</v>
      </c>
      <c r="I946" t="n">
        <v>0</v>
      </c>
      <c r="J946" t="n">
        <v>0</v>
      </c>
      <c r="K946" t="n">
        <v>0</v>
      </c>
      <c r="L946" t="n">
        <v>0</v>
      </c>
      <c r="M946" t="n">
        <v>0</v>
      </c>
      <c r="N946" t="n">
        <v>0</v>
      </c>
      <c r="O946" t="n">
        <v>0</v>
      </c>
      <c r="P946" t="n">
        <v>0</v>
      </c>
      <c r="Q946" t="n">
        <v>0</v>
      </c>
      <c r="R946" s="2" t="inlineStr"/>
    </row>
    <row r="947" ht="15" customHeight="1">
      <c r="A947" t="inlineStr">
        <is>
          <t>A 45244-2024</t>
        </is>
      </c>
      <c r="B947" s="1" t="n">
        <v>45576</v>
      </c>
      <c r="C947" s="1" t="n">
        <v>45822</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46540-2024</t>
        </is>
      </c>
      <c r="B948" s="1" t="n">
        <v>45582</v>
      </c>
      <c r="C948" s="1" t="n">
        <v>45822</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46548-2024</t>
        </is>
      </c>
      <c r="B949" s="1" t="n">
        <v>45582</v>
      </c>
      <c r="C949" s="1" t="n">
        <v>45822</v>
      </c>
      <c r="D949" t="inlineStr">
        <is>
          <t>GOTLANDS LÄN</t>
        </is>
      </c>
      <c r="E949" t="inlineStr">
        <is>
          <t>GOTLAND</t>
        </is>
      </c>
      <c r="G949" t="n">
        <v>2.7</v>
      </c>
      <c r="H949" t="n">
        <v>0</v>
      </c>
      <c r="I949" t="n">
        <v>0</v>
      </c>
      <c r="J949" t="n">
        <v>0</v>
      </c>
      <c r="K949" t="n">
        <v>0</v>
      </c>
      <c r="L949" t="n">
        <v>0</v>
      </c>
      <c r="M949" t="n">
        <v>0</v>
      </c>
      <c r="N949" t="n">
        <v>0</v>
      </c>
      <c r="O949" t="n">
        <v>0</v>
      </c>
      <c r="P949" t="n">
        <v>0</v>
      </c>
      <c r="Q949" t="n">
        <v>0</v>
      </c>
      <c r="R949" s="2" t="inlineStr"/>
    </row>
    <row r="950" ht="15" customHeight="1">
      <c r="A950" t="inlineStr">
        <is>
          <t>A 46560-2024</t>
        </is>
      </c>
      <c r="B950" s="1" t="n">
        <v>45582</v>
      </c>
      <c r="C950" s="1" t="n">
        <v>45822</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46555-2024</t>
        </is>
      </c>
      <c r="B951" s="1" t="n">
        <v>45582</v>
      </c>
      <c r="C951" s="1" t="n">
        <v>45822</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46375-2024</t>
        </is>
      </c>
      <c r="B952" s="1" t="n">
        <v>45582</v>
      </c>
      <c r="C952" s="1" t="n">
        <v>45822</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46545-2024</t>
        </is>
      </c>
      <c r="B953" s="1" t="n">
        <v>45582</v>
      </c>
      <c r="C953" s="1" t="n">
        <v>45822</v>
      </c>
      <c r="D953" t="inlineStr">
        <is>
          <t>GOTLANDS LÄN</t>
        </is>
      </c>
      <c r="E953" t="inlineStr">
        <is>
          <t>GOTLAND</t>
        </is>
      </c>
      <c r="G953" t="n">
        <v>1.2</v>
      </c>
      <c r="H953" t="n">
        <v>0</v>
      </c>
      <c r="I953" t="n">
        <v>0</v>
      </c>
      <c r="J953" t="n">
        <v>0</v>
      </c>
      <c r="K953" t="n">
        <v>0</v>
      </c>
      <c r="L953" t="n">
        <v>0</v>
      </c>
      <c r="M953" t="n">
        <v>0</v>
      </c>
      <c r="N953" t="n">
        <v>0</v>
      </c>
      <c r="O953" t="n">
        <v>0</v>
      </c>
      <c r="P953" t="n">
        <v>0</v>
      </c>
      <c r="Q953" t="n">
        <v>0</v>
      </c>
      <c r="R953" s="2" t="inlineStr"/>
    </row>
    <row r="954" ht="15" customHeight="1">
      <c r="A954" t="inlineStr">
        <is>
          <t>A 46929-2024</t>
        </is>
      </c>
      <c r="B954" s="1" t="n">
        <v>45584</v>
      </c>
      <c r="C954" s="1" t="n">
        <v>45822</v>
      </c>
      <c r="D954" t="inlineStr">
        <is>
          <t>GOTLANDS LÄN</t>
        </is>
      </c>
      <c r="E954" t="inlineStr">
        <is>
          <t>GOTLAND</t>
        </is>
      </c>
      <c r="G954" t="n">
        <v>2.5</v>
      </c>
      <c r="H954" t="n">
        <v>0</v>
      </c>
      <c r="I954" t="n">
        <v>0</v>
      </c>
      <c r="J954" t="n">
        <v>0</v>
      </c>
      <c r="K954" t="n">
        <v>0</v>
      </c>
      <c r="L954" t="n">
        <v>0</v>
      </c>
      <c r="M954" t="n">
        <v>0</v>
      </c>
      <c r="N954" t="n">
        <v>0</v>
      </c>
      <c r="O954" t="n">
        <v>0</v>
      </c>
      <c r="P954" t="n">
        <v>0</v>
      </c>
      <c r="Q954" t="n">
        <v>0</v>
      </c>
      <c r="R954" s="2" t="inlineStr"/>
    </row>
    <row r="955" ht="15" customHeight="1">
      <c r="A955" t="inlineStr">
        <is>
          <t>A 46928-2024</t>
        </is>
      </c>
      <c r="B955" s="1" t="n">
        <v>45584</v>
      </c>
      <c r="C955" s="1" t="n">
        <v>45822</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46930-2024</t>
        </is>
      </c>
      <c r="B956" s="1" t="n">
        <v>45584</v>
      </c>
      <c r="C956" s="1" t="n">
        <v>45822</v>
      </c>
      <c r="D956" t="inlineStr">
        <is>
          <t>GOTLANDS LÄN</t>
        </is>
      </c>
      <c r="E956" t="inlineStr">
        <is>
          <t>GOTLAND</t>
        </is>
      </c>
      <c r="G956" t="n">
        <v>1.8</v>
      </c>
      <c r="H956" t="n">
        <v>0</v>
      </c>
      <c r="I956" t="n">
        <v>0</v>
      </c>
      <c r="J956" t="n">
        <v>0</v>
      </c>
      <c r="K956" t="n">
        <v>0</v>
      </c>
      <c r="L956" t="n">
        <v>0</v>
      </c>
      <c r="M956" t="n">
        <v>0</v>
      </c>
      <c r="N956" t="n">
        <v>0</v>
      </c>
      <c r="O956" t="n">
        <v>0</v>
      </c>
      <c r="P956" t="n">
        <v>0</v>
      </c>
      <c r="Q956" t="n">
        <v>0</v>
      </c>
      <c r="R956" s="2" t="inlineStr"/>
    </row>
    <row r="957" ht="15" customHeight="1">
      <c r="A957" t="inlineStr">
        <is>
          <t>A 46949-2024</t>
        </is>
      </c>
      <c r="B957" s="1" t="n">
        <v>45585</v>
      </c>
      <c r="C957" s="1" t="n">
        <v>45822</v>
      </c>
      <c r="D957" t="inlineStr">
        <is>
          <t>GOTLANDS LÄN</t>
        </is>
      </c>
      <c r="E957" t="inlineStr">
        <is>
          <t>GOTLAND</t>
        </is>
      </c>
      <c r="G957" t="n">
        <v>0.6</v>
      </c>
      <c r="H957" t="n">
        <v>0</v>
      </c>
      <c r="I957" t="n">
        <v>0</v>
      </c>
      <c r="J957" t="n">
        <v>0</v>
      </c>
      <c r="K957" t="n">
        <v>0</v>
      </c>
      <c r="L957" t="n">
        <v>0</v>
      </c>
      <c r="M957" t="n">
        <v>0</v>
      </c>
      <c r="N957" t="n">
        <v>0</v>
      </c>
      <c r="O957" t="n">
        <v>0</v>
      </c>
      <c r="P957" t="n">
        <v>0</v>
      </c>
      <c r="Q957" t="n">
        <v>0</v>
      </c>
      <c r="R957" s="2" t="inlineStr"/>
    </row>
    <row r="958" ht="15" customHeight="1">
      <c r="A958" t="inlineStr">
        <is>
          <t>A 47292-2024</t>
        </is>
      </c>
      <c r="B958" s="1" t="n">
        <v>45586</v>
      </c>
      <c r="C958" s="1" t="n">
        <v>45822</v>
      </c>
      <c r="D958" t="inlineStr">
        <is>
          <t>GOTLANDS LÄN</t>
        </is>
      </c>
      <c r="E958" t="inlineStr">
        <is>
          <t>GOTLAND</t>
        </is>
      </c>
      <c r="G958" t="n">
        <v>5.9</v>
      </c>
      <c r="H958" t="n">
        <v>0</v>
      </c>
      <c r="I958" t="n">
        <v>0</v>
      </c>
      <c r="J958" t="n">
        <v>0</v>
      </c>
      <c r="K958" t="n">
        <v>0</v>
      </c>
      <c r="L958" t="n">
        <v>0</v>
      </c>
      <c r="M958" t="n">
        <v>0</v>
      </c>
      <c r="N958" t="n">
        <v>0</v>
      </c>
      <c r="O958" t="n">
        <v>0</v>
      </c>
      <c r="P958" t="n">
        <v>0</v>
      </c>
      <c r="Q958" t="n">
        <v>0</v>
      </c>
      <c r="R958" s="2" t="inlineStr"/>
    </row>
    <row r="959" ht="15" customHeight="1">
      <c r="A959" t="inlineStr">
        <is>
          <t>A 48032-2024</t>
        </is>
      </c>
      <c r="B959" s="1" t="n">
        <v>45589</v>
      </c>
      <c r="C959" s="1" t="n">
        <v>45822</v>
      </c>
      <c r="D959" t="inlineStr">
        <is>
          <t>GOTLANDS LÄN</t>
        </is>
      </c>
      <c r="E959" t="inlineStr">
        <is>
          <t>GOTLAND</t>
        </is>
      </c>
      <c r="G959" t="n">
        <v>11.5</v>
      </c>
      <c r="H959" t="n">
        <v>0</v>
      </c>
      <c r="I959" t="n">
        <v>0</v>
      </c>
      <c r="J959" t="n">
        <v>0</v>
      </c>
      <c r="K959" t="n">
        <v>0</v>
      </c>
      <c r="L959" t="n">
        <v>0</v>
      </c>
      <c r="M959" t="n">
        <v>0</v>
      </c>
      <c r="N959" t="n">
        <v>0</v>
      </c>
      <c r="O959" t="n">
        <v>0</v>
      </c>
      <c r="P959" t="n">
        <v>0</v>
      </c>
      <c r="Q959" t="n">
        <v>0</v>
      </c>
      <c r="R959" s="2" t="inlineStr"/>
    </row>
    <row r="960" ht="15" customHeight="1">
      <c r="A960" t="inlineStr">
        <is>
          <t>A 48843-2024</t>
        </is>
      </c>
      <c r="B960" s="1" t="n">
        <v>45593</v>
      </c>
      <c r="C960" s="1" t="n">
        <v>45822</v>
      </c>
      <c r="D960" t="inlineStr">
        <is>
          <t>GOTLANDS LÄN</t>
        </is>
      </c>
      <c r="E960" t="inlineStr">
        <is>
          <t>GOTLAND</t>
        </is>
      </c>
      <c r="G960" t="n">
        <v>0.5</v>
      </c>
      <c r="H960" t="n">
        <v>0</v>
      </c>
      <c r="I960" t="n">
        <v>0</v>
      </c>
      <c r="J960" t="n">
        <v>0</v>
      </c>
      <c r="K960" t="n">
        <v>0</v>
      </c>
      <c r="L960" t="n">
        <v>0</v>
      </c>
      <c r="M960" t="n">
        <v>0</v>
      </c>
      <c r="N960" t="n">
        <v>0</v>
      </c>
      <c r="O960" t="n">
        <v>0</v>
      </c>
      <c r="P960" t="n">
        <v>0</v>
      </c>
      <c r="Q960" t="n">
        <v>0</v>
      </c>
      <c r="R960" s="2" t="inlineStr"/>
    </row>
    <row r="961" ht="15" customHeight="1">
      <c r="A961" t="inlineStr">
        <is>
          <t>A 49201-2024</t>
        </is>
      </c>
      <c r="B961" s="1" t="n">
        <v>45595</v>
      </c>
      <c r="C961" s="1" t="n">
        <v>45822</v>
      </c>
      <c r="D961" t="inlineStr">
        <is>
          <t>GOTLANDS LÄN</t>
        </is>
      </c>
      <c r="E961" t="inlineStr">
        <is>
          <t>GOTLAND</t>
        </is>
      </c>
      <c r="G961" t="n">
        <v>5.8</v>
      </c>
      <c r="H961" t="n">
        <v>0</v>
      </c>
      <c r="I961" t="n">
        <v>0</v>
      </c>
      <c r="J961" t="n">
        <v>0</v>
      </c>
      <c r="K961" t="n">
        <v>0</v>
      </c>
      <c r="L961" t="n">
        <v>0</v>
      </c>
      <c r="M961" t="n">
        <v>0</v>
      </c>
      <c r="N961" t="n">
        <v>0</v>
      </c>
      <c r="O961" t="n">
        <v>0</v>
      </c>
      <c r="P961" t="n">
        <v>0</v>
      </c>
      <c r="Q961" t="n">
        <v>0</v>
      </c>
      <c r="R961" s="2" t="inlineStr"/>
    </row>
    <row r="962" ht="15" customHeight="1">
      <c r="A962" t="inlineStr">
        <is>
          <t>A 49314-2024</t>
        </is>
      </c>
      <c r="B962" s="1" t="n">
        <v>45595</v>
      </c>
      <c r="C962" s="1" t="n">
        <v>45822</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49167-2024</t>
        </is>
      </c>
      <c r="B963" s="1" t="n">
        <v>45595</v>
      </c>
      <c r="C963" s="1" t="n">
        <v>45822</v>
      </c>
      <c r="D963" t="inlineStr">
        <is>
          <t>GOTLANDS LÄN</t>
        </is>
      </c>
      <c r="E963" t="inlineStr">
        <is>
          <t>GOTLAND</t>
        </is>
      </c>
      <c r="G963" t="n">
        <v>3</v>
      </c>
      <c r="H963" t="n">
        <v>0</v>
      </c>
      <c r="I963" t="n">
        <v>0</v>
      </c>
      <c r="J963" t="n">
        <v>0</v>
      </c>
      <c r="K963" t="n">
        <v>0</v>
      </c>
      <c r="L963" t="n">
        <v>0</v>
      </c>
      <c r="M963" t="n">
        <v>0</v>
      </c>
      <c r="N963" t="n">
        <v>0</v>
      </c>
      <c r="O963" t="n">
        <v>0</v>
      </c>
      <c r="P963" t="n">
        <v>0</v>
      </c>
      <c r="Q963" t="n">
        <v>0</v>
      </c>
      <c r="R963" s="2" t="inlineStr"/>
    </row>
    <row r="964" ht="15" customHeight="1">
      <c r="A964" t="inlineStr">
        <is>
          <t>A 49315-2024</t>
        </is>
      </c>
      <c r="B964" s="1" t="n">
        <v>45595</v>
      </c>
      <c r="C964" s="1" t="n">
        <v>45822</v>
      </c>
      <c r="D964" t="inlineStr">
        <is>
          <t>GOTLANDS LÄN</t>
        </is>
      </c>
      <c r="E964" t="inlineStr">
        <is>
          <t>GOTLAND</t>
        </is>
      </c>
      <c r="G964" t="n">
        <v>1.5</v>
      </c>
      <c r="H964" t="n">
        <v>0</v>
      </c>
      <c r="I964" t="n">
        <v>0</v>
      </c>
      <c r="J964" t="n">
        <v>0</v>
      </c>
      <c r="K964" t="n">
        <v>0</v>
      </c>
      <c r="L964" t="n">
        <v>0</v>
      </c>
      <c r="M964" t="n">
        <v>0</v>
      </c>
      <c r="N964" t="n">
        <v>0</v>
      </c>
      <c r="O964" t="n">
        <v>0</v>
      </c>
      <c r="P964" t="n">
        <v>0</v>
      </c>
      <c r="Q964" t="n">
        <v>0</v>
      </c>
      <c r="R964" s="2" t="inlineStr"/>
    </row>
    <row r="965" ht="15" customHeight="1">
      <c r="A965" t="inlineStr">
        <is>
          <t>A 49257-2024</t>
        </is>
      </c>
      <c r="B965" s="1" t="n">
        <v>45595</v>
      </c>
      <c r="C965" s="1" t="n">
        <v>45822</v>
      </c>
      <c r="D965" t="inlineStr">
        <is>
          <t>GOTLANDS LÄN</t>
        </is>
      </c>
      <c r="E965" t="inlineStr">
        <is>
          <t>GOTLAND</t>
        </is>
      </c>
      <c r="G965" t="n">
        <v>6.3</v>
      </c>
      <c r="H965" t="n">
        <v>0</v>
      </c>
      <c r="I965" t="n">
        <v>0</v>
      </c>
      <c r="J965" t="n">
        <v>0</v>
      </c>
      <c r="K965" t="n">
        <v>0</v>
      </c>
      <c r="L965" t="n">
        <v>0</v>
      </c>
      <c r="M965" t="n">
        <v>0</v>
      </c>
      <c r="N965" t="n">
        <v>0</v>
      </c>
      <c r="O965" t="n">
        <v>0</v>
      </c>
      <c r="P965" t="n">
        <v>0</v>
      </c>
      <c r="Q965" t="n">
        <v>0</v>
      </c>
      <c r="R965" s="2" t="inlineStr"/>
    </row>
    <row r="966" ht="15" customHeight="1">
      <c r="A966" t="inlineStr">
        <is>
          <t>A 49874-2024</t>
        </is>
      </c>
      <c r="B966" s="1" t="n">
        <v>45597</v>
      </c>
      <c r="C966" s="1" t="n">
        <v>45822</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50021-2024</t>
        </is>
      </c>
      <c r="B967" s="1" t="n">
        <v>45599</v>
      </c>
      <c r="C967" s="1" t="n">
        <v>45822</v>
      </c>
      <c r="D967" t="inlineStr">
        <is>
          <t>GOTLANDS LÄN</t>
        </is>
      </c>
      <c r="E967" t="inlineStr">
        <is>
          <t>GOTLAND</t>
        </is>
      </c>
      <c r="G967" t="n">
        <v>2.1</v>
      </c>
      <c r="H967" t="n">
        <v>0</v>
      </c>
      <c r="I967" t="n">
        <v>0</v>
      </c>
      <c r="J967" t="n">
        <v>0</v>
      </c>
      <c r="K967" t="n">
        <v>0</v>
      </c>
      <c r="L967" t="n">
        <v>0</v>
      </c>
      <c r="M967" t="n">
        <v>0</v>
      </c>
      <c r="N967" t="n">
        <v>0</v>
      </c>
      <c r="O967" t="n">
        <v>0</v>
      </c>
      <c r="P967" t="n">
        <v>0</v>
      </c>
      <c r="Q967" t="n">
        <v>0</v>
      </c>
      <c r="R967" s="2" t="inlineStr"/>
    </row>
    <row r="968" ht="15" customHeight="1">
      <c r="A968" t="inlineStr">
        <is>
          <t>A 50023-2024</t>
        </is>
      </c>
      <c r="B968" s="1" t="n">
        <v>45599</v>
      </c>
      <c r="C968" s="1" t="n">
        <v>45822</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50022-2024</t>
        </is>
      </c>
      <c r="B969" s="1" t="n">
        <v>45599</v>
      </c>
      <c r="C969" s="1" t="n">
        <v>45822</v>
      </c>
      <c r="D969" t="inlineStr">
        <is>
          <t>GOTLANDS LÄN</t>
        </is>
      </c>
      <c r="E969" t="inlineStr">
        <is>
          <t>GOTLAND</t>
        </is>
      </c>
      <c r="G969" t="n">
        <v>4</v>
      </c>
      <c r="H969" t="n">
        <v>0</v>
      </c>
      <c r="I969" t="n">
        <v>0</v>
      </c>
      <c r="J969" t="n">
        <v>0</v>
      </c>
      <c r="K969" t="n">
        <v>0</v>
      </c>
      <c r="L969" t="n">
        <v>0</v>
      </c>
      <c r="M969" t="n">
        <v>0</v>
      </c>
      <c r="N969" t="n">
        <v>0</v>
      </c>
      <c r="O969" t="n">
        <v>0</v>
      </c>
      <c r="P969" t="n">
        <v>0</v>
      </c>
      <c r="Q969" t="n">
        <v>0</v>
      </c>
      <c r="R969" s="2" t="inlineStr"/>
    </row>
    <row r="970" ht="15" customHeight="1">
      <c r="A970" t="inlineStr">
        <is>
          <t>A 50482-2024</t>
        </is>
      </c>
      <c r="B970" s="1" t="n">
        <v>45601</v>
      </c>
      <c r="C970" s="1" t="n">
        <v>45822</v>
      </c>
      <c r="D970" t="inlineStr">
        <is>
          <t>GOTLANDS LÄN</t>
        </is>
      </c>
      <c r="E970" t="inlineStr">
        <is>
          <t>GOTLAND</t>
        </is>
      </c>
      <c r="G970" t="n">
        <v>2.3</v>
      </c>
      <c r="H970" t="n">
        <v>0</v>
      </c>
      <c r="I970" t="n">
        <v>0</v>
      </c>
      <c r="J970" t="n">
        <v>0</v>
      </c>
      <c r="K970" t="n">
        <v>0</v>
      </c>
      <c r="L970" t="n">
        <v>0</v>
      </c>
      <c r="M970" t="n">
        <v>0</v>
      </c>
      <c r="N970" t="n">
        <v>0</v>
      </c>
      <c r="O970" t="n">
        <v>0</v>
      </c>
      <c r="P970" t="n">
        <v>0</v>
      </c>
      <c r="Q970" t="n">
        <v>0</v>
      </c>
      <c r="R970" s="2" t="inlineStr"/>
    </row>
    <row r="971" ht="15" customHeight="1">
      <c r="A971" t="inlineStr">
        <is>
          <t>A 50470-2024</t>
        </is>
      </c>
      <c r="B971" s="1" t="n">
        <v>45601</v>
      </c>
      <c r="C971" s="1" t="n">
        <v>45822</v>
      </c>
      <c r="D971" t="inlineStr">
        <is>
          <t>GOTLANDS LÄN</t>
        </is>
      </c>
      <c r="E971" t="inlineStr">
        <is>
          <t>GOTLAND</t>
        </is>
      </c>
      <c r="G971" t="n">
        <v>3.4</v>
      </c>
      <c r="H971" t="n">
        <v>0</v>
      </c>
      <c r="I971" t="n">
        <v>0</v>
      </c>
      <c r="J971" t="n">
        <v>0</v>
      </c>
      <c r="K971" t="n">
        <v>0</v>
      </c>
      <c r="L971" t="n">
        <v>0</v>
      </c>
      <c r="M971" t="n">
        <v>0</v>
      </c>
      <c r="N971" t="n">
        <v>0</v>
      </c>
      <c r="O971" t="n">
        <v>0</v>
      </c>
      <c r="P971" t="n">
        <v>0</v>
      </c>
      <c r="Q971" t="n">
        <v>0</v>
      </c>
      <c r="R971" s="2" t="inlineStr"/>
    </row>
    <row r="972" ht="15" customHeight="1">
      <c r="A972" t="inlineStr">
        <is>
          <t>A 50744-2024</t>
        </is>
      </c>
      <c r="B972" s="1" t="n">
        <v>45602</v>
      </c>
      <c r="C972" s="1" t="n">
        <v>45822</v>
      </c>
      <c r="D972" t="inlineStr">
        <is>
          <t>GOTLANDS LÄN</t>
        </is>
      </c>
      <c r="E972" t="inlineStr">
        <is>
          <t>GOTLAND</t>
        </is>
      </c>
      <c r="G972" t="n">
        <v>3.2</v>
      </c>
      <c r="H972" t="n">
        <v>0</v>
      </c>
      <c r="I972" t="n">
        <v>0</v>
      </c>
      <c r="J972" t="n">
        <v>0</v>
      </c>
      <c r="K972" t="n">
        <v>0</v>
      </c>
      <c r="L972" t="n">
        <v>0</v>
      </c>
      <c r="M972" t="n">
        <v>0</v>
      </c>
      <c r="N972" t="n">
        <v>0</v>
      </c>
      <c r="O972" t="n">
        <v>0</v>
      </c>
      <c r="P972" t="n">
        <v>0</v>
      </c>
      <c r="Q972" t="n">
        <v>0</v>
      </c>
      <c r="R972" s="2" t="inlineStr"/>
    </row>
    <row r="973" ht="15" customHeight="1">
      <c r="A973" t="inlineStr">
        <is>
          <t>A 50958-2024</t>
        </is>
      </c>
      <c r="B973" s="1" t="n">
        <v>45603</v>
      </c>
      <c r="C973" s="1" t="n">
        <v>45822</v>
      </c>
      <c r="D973" t="inlineStr">
        <is>
          <t>GOTLANDS LÄN</t>
        </is>
      </c>
      <c r="E973" t="inlineStr">
        <is>
          <t>GOTLAND</t>
        </is>
      </c>
      <c r="G973" t="n">
        <v>1.7</v>
      </c>
      <c r="H973" t="n">
        <v>0</v>
      </c>
      <c r="I973" t="n">
        <v>0</v>
      </c>
      <c r="J973" t="n">
        <v>0</v>
      </c>
      <c r="K973" t="n">
        <v>0</v>
      </c>
      <c r="L973" t="n">
        <v>0</v>
      </c>
      <c r="M973" t="n">
        <v>0</v>
      </c>
      <c r="N973" t="n">
        <v>0</v>
      </c>
      <c r="O973" t="n">
        <v>0</v>
      </c>
      <c r="P973" t="n">
        <v>0</v>
      </c>
      <c r="Q973" t="n">
        <v>0</v>
      </c>
      <c r="R973" s="2" t="inlineStr"/>
    </row>
    <row r="974" ht="15" customHeight="1">
      <c r="A974" t="inlineStr">
        <is>
          <t>A 50962-2024</t>
        </is>
      </c>
      <c r="B974" s="1" t="n">
        <v>45603</v>
      </c>
      <c r="C974" s="1" t="n">
        <v>45822</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51321-2024</t>
        </is>
      </c>
      <c r="B975" s="1" t="n">
        <v>45604</v>
      </c>
      <c r="C975" s="1" t="n">
        <v>45822</v>
      </c>
      <c r="D975" t="inlineStr">
        <is>
          <t>GOTLANDS LÄN</t>
        </is>
      </c>
      <c r="E975" t="inlineStr">
        <is>
          <t>GOTLAND</t>
        </is>
      </c>
      <c r="G975" t="n">
        <v>1.4</v>
      </c>
      <c r="H975" t="n">
        <v>0</v>
      </c>
      <c r="I975" t="n">
        <v>0</v>
      </c>
      <c r="J975" t="n">
        <v>0</v>
      </c>
      <c r="K975" t="n">
        <v>0</v>
      </c>
      <c r="L975" t="n">
        <v>0</v>
      </c>
      <c r="M975" t="n">
        <v>0</v>
      </c>
      <c r="N975" t="n">
        <v>0</v>
      </c>
      <c r="O975" t="n">
        <v>0</v>
      </c>
      <c r="P975" t="n">
        <v>0</v>
      </c>
      <c r="Q975" t="n">
        <v>0</v>
      </c>
      <c r="R975" s="2" t="inlineStr"/>
    </row>
    <row r="976" ht="15" customHeight="1">
      <c r="A976" t="inlineStr">
        <is>
          <t>A 51963-2024</t>
        </is>
      </c>
      <c r="B976" s="1" t="n">
        <v>45607</v>
      </c>
      <c r="C976" s="1" t="n">
        <v>45822</v>
      </c>
      <c r="D976" t="inlineStr">
        <is>
          <t>GOTLANDS LÄN</t>
        </is>
      </c>
      <c r="E976" t="inlineStr">
        <is>
          <t>GOTLAND</t>
        </is>
      </c>
      <c r="G976" t="n">
        <v>2.4</v>
      </c>
      <c r="H976" t="n">
        <v>0</v>
      </c>
      <c r="I976" t="n">
        <v>0</v>
      </c>
      <c r="J976" t="n">
        <v>0</v>
      </c>
      <c r="K976" t="n">
        <v>0</v>
      </c>
      <c r="L976" t="n">
        <v>0</v>
      </c>
      <c r="M976" t="n">
        <v>0</v>
      </c>
      <c r="N976" t="n">
        <v>0</v>
      </c>
      <c r="O976" t="n">
        <v>0</v>
      </c>
      <c r="P976" t="n">
        <v>0</v>
      </c>
      <c r="Q976" t="n">
        <v>0</v>
      </c>
      <c r="R976" s="2" t="inlineStr"/>
    </row>
    <row r="977" ht="15" customHeight="1">
      <c r="A977" t="inlineStr">
        <is>
          <t>A 52831-2024</t>
        </is>
      </c>
      <c r="B977" s="1" t="n">
        <v>45610</v>
      </c>
      <c r="C977" s="1" t="n">
        <v>45822</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53129-2024</t>
        </is>
      </c>
      <c r="B978" s="1" t="n">
        <v>45611</v>
      </c>
      <c r="C978" s="1" t="n">
        <v>45822</v>
      </c>
      <c r="D978" t="inlineStr">
        <is>
          <t>GOTLANDS LÄN</t>
        </is>
      </c>
      <c r="E978" t="inlineStr">
        <is>
          <t>GOTLAND</t>
        </is>
      </c>
      <c r="G978" t="n">
        <v>4.2</v>
      </c>
      <c r="H978" t="n">
        <v>0</v>
      </c>
      <c r="I978" t="n">
        <v>0</v>
      </c>
      <c r="J978" t="n">
        <v>0</v>
      </c>
      <c r="K978" t="n">
        <v>0</v>
      </c>
      <c r="L978" t="n">
        <v>0</v>
      </c>
      <c r="M978" t="n">
        <v>0</v>
      </c>
      <c r="N978" t="n">
        <v>0</v>
      </c>
      <c r="O978" t="n">
        <v>0</v>
      </c>
      <c r="P978" t="n">
        <v>0</v>
      </c>
      <c r="Q978" t="n">
        <v>0</v>
      </c>
      <c r="R978" s="2" t="inlineStr"/>
    </row>
    <row r="979" ht="15" customHeight="1">
      <c r="A979" t="inlineStr">
        <is>
          <t>A 53935-2024</t>
        </is>
      </c>
      <c r="B979" s="1" t="n">
        <v>45615</v>
      </c>
      <c r="C979" s="1" t="n">
        <v>45822</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53934-2024</t>
        </is>
      </c>
      <c r="B980" s="1" t="n">
        <v>45615</v>
      </c>
      <c r="C980" s="1" t="n">
        <v>45822</v>
      </c>
      <c r="D980" t="inlineStr">
        <is>
          <t>GOTLANDS LÄN</t>
        </is>
      </c>
      <c r="E980" t="inlineStr">
        <is>
          <t>GOTLAND</t>
        </is>
      </c>
      <c r="G980" t="n">
        <v>5</v>
      </c>
      <c r="H980" t="n">
        <v>0</v>
      </c>
      <c r="I980" t="n">
        <v>0</v>
      </c>
      <c r="J980" t="n">
        <v>0</v>
      </c>
      <c r="K980" t="n">
        <v>0</v>
      </c>
      <c r="L980" t="n">
        <v>0</v>
      </c>
      <c r="M980" t="n">
        <v>0</v>
      </c>
      <c r="N980" t="n">
        <v>0</v>
      </c>
      <c r="O980" t="n">
        <v>0</v>
      </c>
      <c r="P980" t="n">
        <v>0</v>
      </c>
      <c r="Q980" t="n">
        <v>0</v>
      </c>
      <c r="R980" s="2" t="inlineStr"/>
    </row>
    <row r="981" ht="15" customHeight="1">
      <c r="A981" t="inlineStr">
        <is>
          <t>A 54081-2024</t>
        </is>
      </c>
      <c r="B981" s="1" t="n">
        <v>45616</v>
      </c>
      <c r="C981" s="1" t="n">
        <v>45822</v>
      </c>
      <c r="D981" t="inlineStr">
        <is>
          <t>GOTLANDS LÄN</t>
        </is>
      </c>
      <c r="E981" t="inlineStr">
        <is>
          <t>GOTLAND</t>
        </is>
      </c>
      <c r="G981" t="n">
        <v>3.5</v>
      </c>
      <c r="H981" t="n">
        <v>0</v>
      </c>
      <c r="I981" t="n">
        <v>0</v>
      </c>
      <c r="J981" t="n">
        <v>0</v>
      </c>
      <c r="K981" t="n">
        <v>0</v>
      </c>
      <c r="L981" t="n">
        <v>0</v>
      </c>
      <c r="M981" t="n">
        <v>0</v>
      </c>
      <c r="N981" t="n">
        <v>0</v>
      </c>
      <c r="O981" t="n">
        <v>0</v>
      </c>
      <c r="P981" t="n">
        <v>0</v>
      </c>
      <c r="Q981" t="n">
        <v>0</v>
      </c>
      <c r="R981" s="2" t="inlineStr"/>
    </row>
    <row r="982" ht="15" customHeight="1">
      <c r="A982" t="inlineStr">
        <is>
          <t>A 54438-2024</t>
        </is>
      </c>
      <c r="B982" s="1" t="n">
        <v>45617</v>
      </c>
      <c r="C982" s="1" t="n">
        <v>45822</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54355-2024</t>
        </is>
      </c>
      <c r="B983" s="1" t="n">
        <v>45617</v>
      </c>
      <c r="C983" s="1" t="n">
        <v>45822</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54645-2024</t>
        </is>
      </c>
      <c r="B984" s="1" t="n">
        <v>45617</v>
      </c>
      <c r="C984" s="1" t="n">
        <v>45822</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55102-2024</t>
        </is>
      </c>
      <c r="B985" s="1" t="n">
        <v>45621</v>
      </c>
      <c r="C985" s="1" t="n">
        <v>45822</v>
      </c>
      <c r="D985" t="inlineStr">
        <is>
          <t>GOTLANDS LÄN</t>
        </is>
      </c>
      <c r="E985" t="inlineStr">
        <is>
          <t>GOTLAND</t>
        </is>
      </c>
      <c r="G985" t="n">
        <v>0.8</v>
      </c>
      <c r="H985" t="n">
        <v>0</v>
      </c>
      <c r="I985" t="n">
        <v>0</v>
      </c>
      <c r="J985" t="n">
        <v>0</v>
      </c>
      <c r="K985" t="n">
        <v>0</v>
      </c>
      <c r="L985" t="n">
        <v>0</v>
      </c>
      <c r="M985" t="n">
        <v>0</v>
      </c>
      <c r="N985" t="n">
        <v>0</v>
      </c>
      <c r="O985" t="n">
        <v>0</v>
      </c>
      <c r="P985" t="n">
        <v>0</v>
      </c>
      <c r="Q985" t="n">
        <v>0</v>
      </c>
      <c r="R985" s="2" t="inlineStr"/>
    </row>
    <row r="986" ht="15" customHeight="1">
      <c r="A986" t="inlineStr">
        <is>
          <t>A 55334-2024</t>
        </is>
      </c>
      <c r="B986" s="1" t="n">
        <v>45621</v>
      </c>
      <c r="C986" s="1" t="n">
        <v>45822</v>
      </c>
      <c r="D986" t="inlineStr">
        <is>
          <t>GOTLANDS LÄN</t>
        </is>
      </c>
      <c r="E986" t="inlineStr">
        <is>
          <t>GOTLAND</t>
        </is>
      </c>
      <c r="G986" t="n">
        <v>21.7</v>
      </c>
      <c r="H986" t="n">
        <v>0</v>
      </c>
      <c r="I986" t="n">
        <v>0</v>
      </c>
      <c r="J986" t="n">
        <v>0</v>
      </c>
      <c r="K986" t="n">
        <v>0</v>
      </c>
      <c r="L986" t="n">
        <v>0</v>
      </c>
      <c r="M986" t="n">
        <v>0</v>
      </c>
      <c r="N986" t="n">
        <v>0</v>
      </c>
      <c r="O986" t="n">
        <v>0</v>
      </c>
      <c r="P986" t="n">
        <v>0</v>
      </c>
      <c r="Q986" t="n">
        <v>0</v>
      </c>
      <c r="R986" s="2" t="inlineStr"/>
    </row>
    <row r="987" ht="15" customHeight="1">
      <c r="A987" t="inlineStr">
        <is>
          <t>A 55438-2024</t>
        </is>
      </c>
      <c r="B987" s="1" t="n">
        <v>45621</v>
      </c>
      <c r="C987" s="1" t="n">
        <v>45822</v>
      </c>
      <c r="D987" t="inlineStr">
        <is>
          <t>GOTLANDS LÄN</t>
        </is>
      </c>
      <c r="E987" t="inlineStr">
        <is>
          <t>GOTLAND</t>
        </is>
      </c>
      <c r="G987" t="n">
        <v>1.1</v>
      </c>
      <c r="H987" t="n">
        <v>0</v>
      </c>
      <c r="I987" t="n">
        <v>0</v>
      </c>
      <c r="J987" t="n">
        <v>0</v>
      </c>
      <c r="K987" t="n">
        <v>0</v>
      </c>
      <c r="L987" t="n">
        <v>0</v>
      </c>
      <c r="M987" t="n">
        <v>0</v>
      </c>
      <c r="N987" t="n">
        <v>0</v>
      </c>
      <c r="O987" t="n">
        <v>0</v>
      </c>
      <c r="P987" t="n">
        <v>0</v>
      </c>
      <c r="Q987" t="n">
        <v>0</v>
      </c>
      <c r="R987" s="2" t="inlineStr"/>
    </row>
    <row r="988" ht="15" customHeight="1">
      <c r="A988" t="inlineStr">
        <is>
          <t>A 55435-2024</t>
        </is>
      </c>
      <c r="B988" s="1" t="n">
        <v>45621</v>
      </c>
      <c r="C988" s="1" t="n">
        <v>45822</v>
      </c>
      <c r="D988" t="inlineStr">
        <is>
          <t>GOTLANDS LÄN</t>
        </is>
      </c>
      <c r="E988" t="inlineStr">
        <is>
          <t>GOTLAND</t>
        </is>
      </c>
      <c r="G988" t="n">
        <v>3.1</v>
      </c>
      <c r="H988" t="n">
        <v>0</v>
      </c>
      <c r="I988" t="n">
        <v>0</v>
      </c>
      <c r="J988" t="n">
        <v>0</v>
      </c>
      <c r="K988" t="n">
        <v>0</v>
      </c>
      <c r="L988" t="n">
        <v>0</v>
      </c>
      <c r="M988" t="n">
        <v>0</v>
      </c>
      <c r="N988" t="n">
        <v>0</v>
      </c>
      <c r="O988" t="n">
        <v>0</v>
      </c>
      <c r="P988" t="n">
        <v>0</v>
      </c>
      <c r="Q988" t="n">
        <v>0</v>
      </c>
      <c r="R988" s="2" t="inlineStr"/>
    </row>
    <row r="989" ht="15" customHeight="1">
      <c r="A989" t="inlineStr">
        <is>
          <t>A 55653-2024</t>
        </is>
      </c>
      <c r="B989" s="1" t="n">
        <v>45622</v>
      </c>
      <c r="C989" s="1" t="n">
        <v>45822</v>
      </c>
      <c r="D989" t="inlineStr">
        <is>
          <t>GOTLANDS LÄN</t>
        </is>
      </c>
      <c r="E989" t="inlineStr">
        <is>
          <t>GOTLAND</t>
        </is>
      </c>
      <c r="G989" t="n">
        <v>2</v>
      </c>
      <c r="H989" t="n">
        <v>0</v>
      </c>
      <c r="I989" t="n">
        <v>0</v>
      </c>
      <c r="J989" t="n">
        <v>0</v>
      </c>
      <c r="K989" t="n">
        <v>0</v>
      </c>
      <c r="L989" t="n">
        <v>0</v>
      </c>
      <c r="M989" t="n">
        <v>0</v>
      </c>
      <c r="N989" t="n">
        <v>0</v>
      </c>
      <c r="O989" t="n">
        <v>0</v>
      </c>
      <c r="P989" t="n">
        <v>0</v>
      </c>
      <c r="Q989" t="n">
        <v>0</v>
      </c>
      <c r="R989" s="2" t="inlineStr"/>
    </row>
    <row r="990" ht="15" customHeight="1">
      <c r="A990" t="inlineStr">
        <is>
          <t>A 56009-2024</t>
        </is>
      </c>
      <c r="B990" s="1" t="n">
        <v>45623</v>
      </c>
      <c r="C990" s="1" t="n">
        <v>45822</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57374-2024</t>
        </is>
      </c>
      <c r="B991" s="1" t="n">
        <v>45629</v>
      </c>
      <c r="C991" s="1" t="n">
        <v>45822</v>
      </c>
      <c r="D991" t="inlineStr">
        <is>
          <t>GOTLANDS LÄN</t>
        </is>
      </c>
      <c r="E991" t="inlineStr">
        <is>
          <t>GOTLAND</t>
        </is>
      </c>
      <c r="G991" t="n">
        <v>2.8</v>
      </c>
      <c r="H991" t="n">
        <v>0</v>
      </c>
      <c r="I991" t="n">
        <v>0</v>
      </c>
      <c r="J991" t="n">
        <v>0</v>
      </c>
      <c r="K991" t="n">
        <v>0</v>
      </c>
      <c r="L991" t="n">
        <v>0</v>
      </c>
      <c r="M991" t="n">
        <v>0</v>
      </c>
      <c r="N991" t="n">
        <v>0</v>
      </c>
      <c r="O991" t="n">
        <v>0</v>
      </c>
      <c r="P991" t="n">
        <v>0</v>
      </c>
      <c r="Q991" t="n">
        <v>0</v>
      </c>
      <c r="R991" s="2" t="inlineStr"/>
    </row>
    <row r="992" ht="15" customHeight="1">
      <c r="A992" t="inlineStr">
        <is>
          <t>A 58230-2024</t>
        </is>
      </c>
      <c r="B992" s="1" t="n">
        <v>45632</v>
      </c>
      <c r="C992" s="1" t="n">
        <v>45822</v>
      </c>
      <c r="D992" t="inlineStr">
        <is>
          <t>GOTLANDS LÄN</t>
        </is>
      </c>
      <c r="E992" t="inlineStr">
        <is>
          <t>GOTLAND</t>
        </is>
      </c>
      <c r="G992" t="n">
        <v>7.3</v>
      </c>
      <c r="H992" t="n">
        <v>0</v>
      </c>
      <c r="I992" t="n">
        <v>0</v>
      </c>
      <c r="J992" t="n">
        <v>0</v>
      </c>
      <c r="K992" t="n">
        <v>0</v>
      </c>
      <c r="L992" t="n">
        <v>0</v>
      </c>
      <c r="M992" t="n">
        <v>0</v>
      </c>
      <c r="N992" t="n">
        <v>0</v>
      </c>
      <c r="O992" t="n">
        <v>0</v>
      </c>
      <c r="P992" t="n">
        <v>0</v>
      </c>
      <c r="Q992" t="n">
        <v>0</v>
      </c>
      <c r="R992" s="2" t="inlineStr"/>
    </row>
    <row r="993" ht="15" customHeight="1">
      <c r="A993" t="inlineStr">
        <is>
          <t>A 58211-2024</t>
        </is>
      </c>
      <c r="B993" s="1" t="n">
        <v>45632</v>
      </c>
      <c r="C993" s="1" t="n">
        <v>45822</v>
      </c>
      <c r="D993" t="inlineStr">
        <is>
          <t>GOTLANDS LÄN</t>
        </is>
      </c>
      <c r="E993" t="inlineStr">
        <is>
          <t>GOTLAND</t>
        </is>
      </c>
      <c r="G993" t="n">
        <v>5.4</v>
      </c>
      <c r="H993" t="n">
        <v>0</v>
      </c>
      <c r="I993" t="n">
        <v>0</v>
      </c>
      <c r="J993" t="n">
        <v>0</v>
      </c>
      <c r="K993" t="n">
        <v>0</v>
      </c>
      <c r="L993" t="n">
        <v>0</v>
      </c>
      <c r="M993" t="n">
        <v>0</v>
      </c>
      <c r="N993" t="n">
        <v>0</v>
      </c>
      <c r="O993" t="n">
        <v>0</v>
      </c>
      <c r="P993" t="n">
        <v>0</v>
      </c>
      <c r="Q993" t="n">
        <v>0</v>
      </c>
      <c r="R993" s="2" t="inlineStr"/>
    </row>
    <row r="994" ht="15" customHeight="1">
      <c r="A994" t="inlineStr">
        <is>
          <t>A 58160-2024</t>
        </is>
      </c>
      <c r="B994" s="1" t="n">
        <v>45632</v>
      </c>
      <c r="C994" s="1" t="n">
        <v>45822</v>
      </c>
      <c r="D994" t="inlineStr">
        <is>
          <t>GOTLANDS LÄN</t>
        </is>
      </c>
      <c r="E994" t="inlineStr">
        <is>
          <t>GOTLAND</t>
        </is>
      </c>
      <c r="G994" t="n">
        <v>5.6</v>
      </c>
      <c r="H994" t="n">
        <v>0</v>
      </c>
      <c r="I994" t="n">
        <v>0</v>
      </c>
      <c r="J994" t="n">
        <v>0</v>
      </c>
      <c r="K994" t="n">
        <v>0</v>
      </c>
      <c r="L994" t="n">
        <v>0</v>
      </c>
      <c r="M994" t="n">
        <v>0</v>
      </c>
      <c r="N994" t="n">
        <v>0</v>
      </c>
      <c r="O994" t="n">
        <v>0</v>
      </c>
      <c r="P994" t="n">
        <v>0</v>
      </c>
      <c r="Q994" t="n">
        <v>0</v>
      </c>
      <c r="R994" s="2" t="inlineStr"/>
    </row>
    <row r="995" ht="15" customHeight="1">
      <c r="A995" t="inlineStr">
        <is>
          <t>A 58780-2024</t>
        </is>
      </c>
      <c r="B995" s="1" t="n">
        <v>45635</v>
      </c>
      <c r="C995" s="1" t="n">
        <v>45822</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59469-2024</t>
        </is>
      </c>
      <c r="B996" s="1" t="n">
        <v>45638</v>
      </c>
      <c r="C996" s="1" t="n">
        <v>45822</v>
      </c>
      <c r="D996" t="inlineStr">
        <is>
          <t>GOTLANDS LÄN</t>
        </is>
      </c>
      <c r="E996" t="inlineStr">
        <is>
          <t>GOTLAND</t>
        </is>
      </c>
      <c r="G996" t="n">
        <v>0.4</v>
      </c>
      <c r="H996" t="n">
        <v>0</v>
      </c>
      <c r="I996" t="n">
        <v>0</v>
      </c>
      <c r="J996" t="n">
        <v>0</v>
      </c>
      <c r="K996" t="n">
        <v>0</v>
      </c>
      <c r="L996" t="n">
        <v>0</v>
      </c>
      <c r="M996" t="n">
        <v>0</v>
      </c>
      <c r="N996" t="n">
        <v>0</v>
      </c>
      <c r="O996" t="n">
        <v>0</v>
      </c>
      <c r="P996" t="n">
        <v>0</v>
      </c>
      <c r="Q996" t="n">
        <v>0</v>
      </c>
      <c r="R996" s="2" t="inlineStr"/>
    </row>
    <row r="997" ht="15" customHeight="1">
      <c r="A997" t="inlineStr">
        <is>
          <t>A 60910-2024</t>
        </is>
      </c>
      <c r="B997" s="1" t="n">
        <v>45645</v>
      </c>
      <c r="C997" s="1" t="n">
        <v>45822</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60903-2024</t>
        </is>
      </c>
      <c r="B998" s="1" t="n">
        <v>45645</v>
      </c>
      <c r="C998" s="1" t="n">
        <v>45822</v>
      </c>
      <c r="D998" t="inlineStr">
        <is>
          <t>GOTLANDS LÄN</t>
        </is>
      </c>
      <c r="E998" t="inlineStr">
        <is>
          <t>GOTLAND</t>
        </is>
      </c>
      <c r="G998" t="n">
        <v>2.7</v>
      </c>
      <c r="H998" t="n">
        <v>0</v>
      </c>
      <c r="I998" t="n">
        <v>0</v>
      </c>
      <c r="J998" t="n">
        <v>0</v>
      </c>
      <c r="K998" t="n">
        <v>0</v>
      </c>
      <c r="L998" t="n">
        <v>0</v>
      </c>
      <c r="M998" t="n">
        <v>0</v>
      </c>
      <c r="N998" t="n">
        <v>0</v>
      </c>
      <c r="O998" t="n">
        <v>0</v>
      </c>
      <c r="P998" t="n">
        <v>0</v>
      </c>
      <c r="Q998" t="n">
        <v>0</v>
      </c>
      <c r="R998" s="2" t="inlineStr"/>
    </row>
    <row r="999" ht="15" customHeight="1">
      <c r="A999" t="inlineStr">
        <is>
          <t>A 60908-2024</t>
        </is>
      </c>
      <c r="B999" s="1" t="n">
        <v>45645</v>
      </c>
      <c r="C999" s="1" t="n">
        <v>45822</v>
      </c>
      <c r="D999" t="inlineStr">
        <is>
          <t>GOTLANDS LÄN</t>
        </is>
      </c>
      <c r="E999" t="inlineStr">
        <is>
          <t>GOTLAND</t>
        </is>
      </c>
      <c r="G999" t="n">
        <v>7.1</v>
      </c>
      <c r="H999" t="n">
        <v>0</v>
      </c>
      <c r="I999" t="n">
        <v>0</v>
      </c>
      <c r="J999" t="n">
        <v>0</v>
      </c>
      <c r="K999" t="n">
        <v>0</v>
      </c>
      <c r="L999" t="n">
        <v>0</v>
      </c>
      <c r="M999" t="n">
        <v>0</v>
      </c>
      <c r="N999" t="n">
        <v>0</v>
      </c>
      <c r="O999" t="n">
        <v>0</v>
      </c>
      <c r="P999" t="n">
        <v>0</v>
      </c>
      <c r="Q999" t="n">
        <v>0</v>
      </c>
      <c r="R999" s="2" t="inlineStr"/>
    </row>
    <row r="1000" ht="15" customHeight="1">
      <c r="A1000" t="inlineStr">
        <is>
          <t>A 61664-2024</t>
        </is>
      </c>
      <c r="B1000" s="1" t="n">
        <v>45646</v>
      </c>
      <c r="C1000" s="1" t="n">
        <v>45822</v>
      </c>
      <c r="D1000" t="inlineStr">
        <is>
          <t>GOTLANDS LÄN</t>
        </is>
      </c>
      <c r="E1000" t="inlineStr">
        <is>
          <t>GOTLAND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61682-2024</t>
        </is>
      </c>
      <c r="B1001" s="1" t="n">
        <v>45647</v>
      </c>
      <c r="C1001" s="1" t="n">
        <v>45822</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61897-2024</t>
        </is>
      </c>
      <c r="B1002" s="1" t="n">
        <v>45652</v>
      </c>
      <c r="C1002" s="1" t="n">
        <v>45822</v>
      </c>
      <c r="D1002" t="inlineStr">
        <is>
          <t>GOTLANDS LÄN</t>
        </is>
      </c>
      <c r="E1002" t="inlineStr">
        <is>
          <t>GOTLAND</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251-2025</t>
        </is>
      </c>
      <c r="B1003" s="1" t="n">
        <v>45653</v>
      </c>
      <c r="C1003" s="1" t="n">
        <v>45822</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61964-2024</t>
        </is>
      </c>
      <c r="B1004" s="1" t="n">
        <v>45653</v>
      </c>
      <c r="C1004" s="1" t="n">
        <v>45822</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61962-2024</t>
        </is>
      </c>
      <c r="B1005" s="1" t="n">
        <v>45653</v>
      </c>
      <c r="C1005" s="1" t="n">
        <v>45822</v>
      </c>
      <c r="D1005" t="inlineStr">
        <is>
          <t>GOTLANDS LÄN</t>
        </is>
      </c>
      <c r="E1005" t="inlineStr">
        <is>
          <t>GOTLAND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62127-2024</t>
        </is>
      </c>
      <c r="B1006" s="1" t="n">
        <v>45656</v>
      </c>
      <c r="C1006" s="1" t="n">
        <v>45822</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883-2025</t>
        </is>
      </c>
      <c r="B1007" s="1" t="n">
        <v>45665</v>
      </c>
      <c r="C1007" s="1" t="n">
        <v>45822</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717-2025</t>
        </is>
      </c>
      <c r="B1008" s="1" t="n">
        <v>45665</v>
      </c>
      <c r="C1008" s="1" t="n">
        <v>45822</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1175-2025</t>
        </is>
      </c>
      <c r="B1009" s="1" t="n">
        <v>45667</v>
      </c>
      <c r="C1009" s="1" t="n">
        <v>45822</v>
      </c>
      <c r="D1009" t="inlineStr">
        <is>
          <t>GOTLANDS LÄN</t>
        </is>
      </c>
      <c r="E1009" t="inlineStr">
        <is>
          <t>GOTLAND</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1364-2025</t>
        </is>
      </c>
      <c r="B1010" s="1" t="n">
        <v>45667</v>
      </c>
      <c r="C1010" s="1" t="n">
        <v>45822</v>
      </c>
      <c r="D1010" t="inlineStr">
        <is>
          <t>GOTLANDS LÄN</t>
        </is>
      </c>
      <c r="E1010" t="inlineStr">
        <is>
          <t>GOTLAND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1351-2025</t>
        </is>
      </c>
      <c r="B1011" s="1" t="n">
        <v>45667</v>
      </c>
      <c r="C1011" s="1" t="n">
        <v>45822</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1345-2025</t>
        </is>
      </c>
      <c r="B1012" s="1" t="n">
        <v>45667</v>
      </c>
      <c r="C1012" s="1" t="n">
        <v>45822</v>
      </c>
      <c r="D1012" t="inlineStr">
        <is>
          <t>GOTLANDS LÄN</t>
        </is>
      </c>
      <c r="E1012" t="inlineStr">
        <is>
          <t>GOTLAND</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1446-2025</t>
        </is>
      </c>
      <c r="B1013" s="1" t="n">
        <v>45669</v>
      </c>
      <c r="C1013" s="1" t="n">
        <v>45822</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1803-2025</t>
        </is>
      </c>
      <c r="B1014" s="1" t="n">
        <v>45670</v>
      </c>
      <c r="C1014" s="1" t="n">
        <v>45822</v>
      </c>
      <c r="D1014" t="inlineStr">
        <is>
          <t>GOTLANDS LÄN</t>
        </is>
      </c>
      <c r="E1014" t="inlineStr">
        <is>
          <t>GOTLAND</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1462-2025</t>
        </is>
      </c>
      <c r="B1015" s="1" t="n">
        <v>45670</v>
      </c>
      <c r="C1015" s="1" t="n">
        <v>45822</v>
      </c>
      <c r="D1015" t="inlineStr">
        <is>
          <t>GOTLANDS LÄN</t>
        </is>
      </c>
      <c r="E1015" t="inlineStr">
        <is>
          <t>GOTLAND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1731-2025</t>
        </is>
      </c>
      <c r="B1016" s="1" t="n">
        <v>45671</v>
      </c>
      <c r="C1016" s="1" t="n">
        <v>45822</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1734-2025</t>
        </is>
      </c>
      <c r="B1017" s="1" t="n">
        <v>45671</v>
      </c>
      <c r="C1017" s="1" t="n">
        <v>45822</v>
      </c>
      <c r="D1017" t="inlineStr">
        <is>
          <t>GOTLANDS LÄN</t>
        </is>
      </c>
      <c r="E1017" t="inlineStr">
        <is>
          <t>GOTLAND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1729-2025</t>
        </is>
      </c>
      <c r="B1018" s="1" t="n">
        <v>45671</v>
      </c>
      <c r="C1018" s="1" t="n">
        <v>45822</v>
      </c>
      <c r="D1018" t="inlineStr">
        <is>
          <t>GOTLANDS LÄN</t>
        </is>
      </c>
      <c r="E1018" t="inlineStr">
        <is>
          <t>GOTLAND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1713-2025</t>
        </is>
      </c>
      <c r="B1019" s="1" t="n">
        <v>45671</v>
      </c>
      <c r="C1019" s="1" t="n">
        <v>45822</v>
      </c>
      <c r="D1019" t="inlineStr">
        <is>
          <t>GOTLANDS LÄN</t>
        </is>
      </c>
      <c r="E1019" t="inlineStr">
        <is>
          <t>GOTLAND</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1728-2025</t>
        </is>
      </c>
      <c r="B1020" s="1" t="n">
        <v>45671</v>
      </c>
      <c r="C1020" s="1" t="n">
        <v>45822</v>
      </c>
      <c r="D1020" t="inlineStr">
        <is>
          <t>GOTLANDS LÄN</t>
        </is>
      </c>
      <c r="E1020" t="inlineStr">
        <is>
          <t>GOTLAND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2125-2025</t>
        </is>
      </c>
      <c r="B1021" s="1" t="n">
        <v>45672</v>
      </c>
      <c r="C1021" s="1" t="n">
        <v>45822</v>
      </c>
      <c r="D1021" t="inlineStr">
        <is>
          <t>GOTLANDS LÄN</t>
        </is>
      </c>
      <c r="E1021" t="inlineStr">
        <is>
          <t>GOTLAND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2161-2025</t>
        </is>
      </c>
      <c r="B1022" s="1" t="n">
        <v>45672</v>
      </c>
      <c r="C1022" s="1" t="n">
        <v>45822</v>
      </c>
      <c r="D1022" t="inlineStr">
        <is>
          <t>GOTLANDS LÄN</t>
        </is>
      </c>
      <c r="E1022" t="inlineStr">
        <is>
          <t>GOTLAND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2050-2025</t>
        </is>
      </c>
      <c r="B1023" s="1" t="n">
        <v>45672</v>
      </c>
      <c r="C1023" s="1" t="n">
        <v>45822</v>
      </c>
      <c r="D1023" t="inlineStr">
        <is>
          <t>GOTLANDS LÄN</t>
        </is>
      </c>
      <c r="E1023" t="inlineStr">
        <is>
          <t>GOTLAND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2052-2025</t>
        </is>
      </c>
      <c r="B1024" s="1" t="n">
        <v>45672</v>
      </c>
      <c r="C1024" s="1" t="n">
        <v>45822</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2054-2025</t>
        </is>
      </c>
      <c r="B1025" s="1" t="n">
        <v>45672</v>
      </c>
      <c r="C1025" s="1" t="n">
        <v>45822</v>
      </c>
      <c r="D1025" t="inlineStr">
        <is>
          <t>GOTLANDS LÄN</t>
        </is>
      </c>
      <c r="E1025" t="inlineStr">
        <is>
          <t>GOTLAND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2035-2025</t>
        </is>
      </c>
      <c r="B1026" s="1" t="n">
        <v>45672</v>
      </c>
      <c r="C1026" s="1" t="n">
        <v>45822</v>
      </c>
      <c r="D1026" t="inlineStr">
        <is>
          <t>GOTLANDS LÄN</t>
        </is>
      </c>
      <c r="E1026" t="inlineStr">
        <is>
          <t>GOTLAND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2120-2025</t>
        </is>
      </c>
      <c r="B1027" s="1" t="n">
        <v>45672</v>
      </c>
      <c r="C1027" s="1" t="n">
        <v>45822</v>
      </c>
      <c r="D1027" t="inlineStr">
        <is>
          <t>GOTLANDS LÄN</t>
        </is>
      </c>
      <c r="E1027" t="inlineStr">
        <is>
          <t>GOTLAND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2033-2025</t>
        </is>
      </c>
      <c r="B1028" s="1" t="n">
        <v>45672</v>
      </c>
      <c r="C1028" s="1" t="n">
        <v>45822</v>
      </c>
      <c r="D1028" t="inlineStr">
        <is>
          <t>GOTLANDS LÄN</t>
        </is>
      </c>
      <c r="E1028" t="inlineStr">
        <is>
          <t>GOTLAND</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2180-2025</t>
        </is>
      </c>
      <c r="B1029" s="1" t="n">
        <v>45673</v>
      </c>
      <c r="C1029" s="1" t="n">
        <v>45822</v>
      </c>
      <c r="D1029" t="inlineStr">
        <is>
          <t>GOTLANDS LÄN</t>
        </is>
      </c>
      <c r="E1029" t="inlineStr">
        <is>
          <t>GOTLAND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2241-2025</t>
        </is>
      </c>
      <c r="B1030" s="1" t="n">
        <v>45673</v>
      </c>
      <c r="C1030" s="1" t="n">
        <v>45822</v>
      </c>
      <c r="D1030" t="inlineStr">
        <is>
          <t>GOTLANDS LÄN</t>
        </is>
      </c>
      <c r="E1030" t="inlineStr">
        <is>
          <t>GOTLAND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2772-2025</t>
        </is>
      </c>
      <c r="B1031" s="1" t="n">
        <v>45677</v>
      </c>
      <c r="C1031" s="1" t="n">
        <v>45822</v>
      </c>
      <c r="D1031" t="inlineStr">
        <is>
          <t>GOTLANDS LÄN</t>
        </is>
      </c>
      <c r="E1031" t="inlineStr">
        <is>
          <t>GOTLAND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2721-2025</t>
        </is>
      </c>
      <c r="B1032" s="1" t="n">
        <v>45677</v>
      </c>
      <c r="C1032" s="1" t="n">
        <v>45822</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3061-2025</t>
        </is>
      </c>
      <c r="B1033" s="1" t="n">
        <v>45678</v>
      </c>
      <c r="C1033" s="1" t="n">
        <v>45822</v>
      </c>
      <c r="D1033" t="inlineStr">
        <is>
          <t>GOTLANDS LÄN</t>
        </is>
      </c>
      <c r="E1033" t="inlineStr">
        <is>
          <t>GOTLAND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3274-2025</t>
        </is>
      </c>
      <c r="B1034" s="1" t="n">
        <v>45679</v>
      </c>
      <c r="C1034" s="1" t="n">
        <v>45822</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3150-2025</t>
        </is>
      </c>
      <c r="B1035" s="1" t="n">
        <v>45679</v>
      </c>
      <c r="C1035" s="1" t="n">
        <v>45822</v>
      </c>
      <c r="D1035" t="inlineStr">
        <is>
          <t>GOTLANDS LÄN</t>
        </is>
      </c>
      <c r="E1035" t="inlineStr">
        <is>
          <t>GOTLAND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3431-2025</t>
        </is>
      </c>
      <c r="B1036" s="1" t="n">
        <v>45680</v>
      </c>
      <c r="C1036" s="1" t="n">
        <v>45822</v>
      </c>
      <c r="D1036" t="inlineStr">
        <is>
          <t>GOTLANDS LÄN</t>
        </is>
      </c>
      <c r="E1036" t="inlineStr">
        <is>
          <t>GOTLAND</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3416-2025</t>
        </is>
      </c>
      <c r="B1037" s="1" t="n">
        <v>45680</v>
      </c>
      <c r="C1037" s="1" t="n">
        <v>45822</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3935-2025</t>
        </is>
      </c>
      <c r="B1038" s="1" t="n">
        <v>45684</v>
      </c>
      <c r="C1038" s="1" t="n">
        <v>45822</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3930-2025</t>
        </is>
      </c>
      <c r="B1039" s="1" t="n">
        <v>45684</v>
      </c>
      <c r="C1039" s="1" t="n">
        <v>45822</v>
      </c>
      <c r="D1039" t="inlineStr">
        <is>
          <t>GOTLANDS LÄN</t>
        </is>
      </c>
      <c r="E1039" t="inlineStr">
        <is>
          <t>GOTLAND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4191-2025</t>
        </is>
      </c>
      <c r="B1040" s="1" t="n">
        <v>45685</v>
      </c>
      <c r="C1040" s="1" t="n">
        <v>45822</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4420-2025</t>
        </is>
      </c>
      <c r="B1041" s="1" t="n">
        <v>45686</v>
      </c>
      <c r="C1041" s="1" t="n">
        <v>45822</v>
      </c>
      <c r="D1041" t="inlineStr">
        <is>
          <t>GOTLANDS LÄN</t>
        </is>
      </c>
      <c r="E1041" t="inlineStr">
        <is>
          <t>GOTLAND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4568-2025</t>
        </is>
      </c>
      <c r="B1042" s="1" t="n">
        <v>45687</v>
      </c>
      <c r="C1042" s="1" t="n">
        <v>45822</v>
      </c>
      <c r="D1042" t="inlineStr">
        <is>
          <t>GOTLANDS LÄN</t>
        </is>
      </c>
      <c r="E1042" t="inlineStr">
        <is>
          <t>GOTLAND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4677-2025</t>
        </is>
      </c>
      <c r="B1043" s="1" t="n">
        <v>45687</v>
      </c>
      <c r="C1043" s="1" t="n">
        <v>45822</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4990-2025</t>
        </is>
      </c>
      <c r="B1044" s="1" t="n">
        <v>45691</v>
      </c>
      <c r="C1044" s="1" t="n">
        <v>45822</v>
      </c>
      <c r="D1044" t="inlineStr">
        <is>
          <t>GOTLANDS LÄN</t>
        </is>
      </c>
      <c r="E1044" t="inlineStr">
        <is>
          <t>GOTLAND</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5270-2025</t>
        </is>
      </c>
      <c r="B1045" s="1" t="n">
        <v>45692</v>
      </c>
      <c r="C1045" s="1" t="n">
        <v>45822</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45822</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45822</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45822</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45822</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45822</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45822</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45822</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45822</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45822</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45822</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45822</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45822</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45822</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45822</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45822</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45822</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45822</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45822</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45822</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45822</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45822</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45822</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45822</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45822</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45822</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45822</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45822</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45822</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45822</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45822</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45822</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45822</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45822</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45822</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45822</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45822</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45822</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45822</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45822</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45822</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45822</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45822</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45822</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45822</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45822</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45822</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45822</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45822</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45822</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45822</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45822</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45822</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45822</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45822</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45822</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45822</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45822</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45822</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45822</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45822</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45822</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45822</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45822</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45822</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45822</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45822</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45822</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45822</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45822</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45822</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45822</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45822</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45822</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45822</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45822</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45822</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45822</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45822</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45822</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45822</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45822</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45822</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45822</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45822</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45822</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45822</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45822</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45822</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45822</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45822</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45822</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45822</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45822</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45822</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45822</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45822</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45822</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45822</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45822</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c r="A1146" t="inlineStr">
        <is>
          <t>A 27355-2025</t>
        </is>
      </c>
      <c r="B1146" s="1" t="n">
        <v>45812</v>
      </c>
      <c r="C1146" s="1" t="n">
        <v>45822</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2025-06-15T00:16:40Z</dcterms:created>
  <dcterms:modified xmlns:dcterms="http://purl.org/dc/terms/" xmlns:xsi="http://www.w3.org/2001/XMLSchema-instance" xsi:type="dcterms:W3CDTF">2025-06-15T00:16:49Z</dcterms:modified>
</cp:coreProperties>
</file>