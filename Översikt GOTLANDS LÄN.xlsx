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46059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46059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46059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46059</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46059</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46059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445-2023</t>
        </is>
      </c>
      <c r="B18" s="1" t="n">
        <v>44929</v>
      </c>
      <c r="C18" s="1" t="n">
        <v>46059</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40235-2025</t>
        </is>
      </c>
      <c r="B19" s="1" t="n">
        <v>45894</v>
      </c>
      <c r="C19" s="1" t="n">
        <v>46059</v>
      </c>
      <c r="D19" t="inlineStr">
        <is>
          <t>GOTLANDS LÄN</t>
        </is>
      </c>
      <c r="E19" t="inlineStr">
        <is>
          <t>GOTLAND</t>
        </is>
      </c>
      <c r="G19" t="n">
        <v>10.6</v>
      </c>
      <c r="H19" t="n">
        <v>1</v>
      </c>
      <c r="I19" t="n">
        <v>8</v>
      </c>
      <c r="J19" t="n">
        <v>6</v>
      </c>
      <c r="K19" t="n">
        <v>6</v>
      </c>
      <c r="L19" t="n">
        <v>0</v>
      </c>
      <c r="M19" t="n">
        <v>0</v>
      </c>
      <c r="N19" t="n">
        <v>0</v>
      </c>
      <c r="O19" t="n">
        <v>12</v>
      </c>
      <c r="P19" t="n">
        <v>6</v>
      </c>
      <c r="Q19" t="n">
        <v>21</v>
      </c>
      <c r="R19"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569-2023</t>
        </is>
      </c>
      <c r="B20" s="1" t="n">
        <v>44930</v>
      </c>
      <c r="C20" s="1" t="n">
        <v>46059</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46059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46059</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46059</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46059</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6153-2024</t>
        </is>
      </c>
      <c r="B25" s="1" t="n">
        <v>45337</v>
      </c>
      <c r="C25" s="1" t="n">
        <v>46059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46059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46059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24575-2025</t>
        </is>
      </c>
      <c r="B28" s="1" t="n">
        <v>45798</v>
      </c>
      <c r="C28" s="1" t="n">
        <v>46059</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61697-2023</t>
        </is>
      </c>
      <c r="B29" s="1" t="n">
        <v>45265</v>
      </c>
      <c r="C29" s="1" t="n">
        <v>46059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15629-2024</t>
        </is>
      </c>
      <c r="B30" s="1" t="n">
        <v>45402.78372685185</v>
      </c>
      <c r="C30" s="1" t="n">
        <v>46059</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62132-2023</t>
        </is>
      </c>
      <c r="B31" s="1" t="n">
        <v>45267</v>
      </c>
      <c r="C31" s="1" t="n">
        <v>46059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46059</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46059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46059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46059</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46059</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46059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46059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46059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46059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46059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46059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46059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46059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46059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46059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46059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46059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46059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46059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46059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46059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46059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46059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46059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46059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46059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46059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46059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46059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46059</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46059</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27280-2023</t>
        </is>
      </c>
      <c r="B65" s="1" t="n">
        <v>45096</v>
      </c>
      <c r="C65" s="1" t="n">
        <v>46059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46059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44944-2022</t>
        </is>
      </c>
      <c r="B67" s="1" t="n">
        <v>44841</v>
      </c>
      <c r="C67" s="1" t="n">
        <v>46059</v>
      </c>
      <c r="D67" t="inlineStr">
        <is>
          <t>GOTLANDS LÄN</t>
        </is>
      </c>
      <c r="E67" t="inlineStr">
        <is>
          <t>GOTLAND</t>
        </is>
      </c>
      <c r="G67" t="n">
        <v>2.8</v>
      </c>
      <c r="H67" t="n">
        <v>0</v>
      </c>
      <c r="I67" t="n">
        <v>3</v>
      </c>
      <c r="J67" t="n">
        <v>4</v>
      </c>
      <c r="K67" t="n">
        <v>0</v>
      </c>
      <c r="L67" t="n">
        <v>0</v>
      </c>
      <c r="M67" t="n">
        <v>0</v>
      </c>
      <c r="N67" t="n">
        <v>0</v>
      </c>
      <c r="O67" t="n">
        <v>4</v>
      </c>
      <c r="P67" t="n">
        <v>0</v>
      </c>
      <c r="Q67" t="n">
        <v>7</v>
      </c>
      <c r="R67" s="2" t="inlineStr">
        <is>
          <t>Axveronika
Bredbrämad bastardsvärmare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27168-2022</t>
        </is>
      </c>
      <c r="B68" s="1" t="n">
        <v>44741</v>
      </c>
      <c r="C68" s="1" t="n">
        <v>46059</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46059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46059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46059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46059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46059</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2085-2023</t>
        </is>
      </c>
      <c r="B74" s="1" t="n">
        <v>44939</v>
      </c>
      <c r="C74" s="1" t="n">
        <v>46059</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446-2023</t>
        </is>
      </c>
      <c r="B75" s="1" t="n">
        <v>44929</v>
      </c>
      <c r="C75" s="1" t="n">
        <v>46059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46059</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46059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16823-2024</t>
        </is>
      </c>
      <c r="B78" s="1" t="n">
        <v>45411</v>
      </c>
      <c r="C78" s="1" t="n">
        <v>46059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46059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46059</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54055-2022</t>
        </is>
      </c>
      <c r="B81" s="1" t="n">
        <v>44881</v>
      </c>
      <c r="C81" s="1" t="n">
        <v>46059</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46059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39425-2023</t>
        </is>
      </c>
      <c r="B83" s="1" t="n">
        <v>45166</v>
      </c>
      <c r="C83" s="1" t="n">
        <v>46059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46059</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2213-2023</t>
        </is>
      </c>
      <c r="B85" s="1" t="n">
        <v>44942</v>
      </c>
      <c r="C85" s="1" t="n">
        <v>46059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46059</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16375-2025</t>
        </is>
      </c>
      <c r="B87" s="1" t="n">
        <v>45751.41064814815</v>
      </c>
      <c r="C87" s="1" t="n">
        <v>46059</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35293-2025</t>
        </is>
      </c>
      <c r="B88" s="1" t="n">
        <v>45854.39438657407</v>
      </c>
      <c r="C88" s="1" t="n">
        <v>46059</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46059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20833-2024</t>
        </is>
      </c>
      <c r="B90" s="1" t="n">
        <v>45439</v>
      </c>
      <c r="C90" s="1" t="n">
        <v>46059</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5904-2024</t>
        </is>
      </c>
      <c r="B91" s="1" t="n">
        <v>45335</v>
      </c>
      <c r="C91" s="1" t="n">
        <v>46059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46059</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52250-2025</t>
        </is>
      </c>
      <c r="B93" s="1" t="n">
        <v>45953.48998842593</v>
      </c>
      <c r="C93" s="1" t="n">
        <v>46059</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6159-2023</t>
        </is>
      </c>
      <c r="B94" s="1" t="n">
        <v>44964</v>
      </c>
      <c r="C94" s="1" t="n">
        <v>46059</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57463-2025</t>
        </is>
      </c>
      <c r="B95" s="1" t="n">
        <v>45980.54174768519</v>
      </c>
      <c r="C95" s="1" t="n">
        <v>46059</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54523-2023</t>
        </is>
      </c>
      <c r="B96" s="1" t="n">
        <v>45233</v>
      </c>
      <c r="C96" s="1" t="n">
        <v>46059</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43197-2023</t>
        </is>
      </c>
      <c r="B97" s="1" t="n">
        <v>45183</v>
      </c>
      <c r="C97" s="1" t="n">
        <v>46059</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46059</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46059</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44933-2022</t>
        </is>
      </c>
      <c r="B100" s="1" t="n">
        <v>44841</v>
      </c>
      <c r="C100" s="1" t="n">
        <v>46059</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2485-2025</t>
        </is>
      </c>
      <c r="B101" s="1" t="n">
        <v>45673</v>
      </c>
      <c r="C101" s="1" t="n">
        <v>46059</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46059</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46059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46059</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46059</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46059</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46059</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46059</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20831-2024</t>
        </is>
      </c>
      <c r="B109" s="1" t="n">
        <v>45439</v>
      </c>
      <c r="C109" s="1" t="n">
        <v>46059</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53552-2021</t>
        </is>
      </c>
      <c r="B110" s="1" t="n">
        <v>44468</v>
      </c>
      <c r="C110" s="1" t="n">
        <v>46059</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48126-2022</t>
        </is>
      </c>
      <c r="B111" s="1" t="n">
        <v>44857</v>
      </c>
      <c r="C111" s="1" t="n">
        <v>46059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46059</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55334-2024</t>
        </is>
      </c>
      <c r="B113" s="1" t="n">
        <v>45621</v>
      </c>
      <c r="C113" s="1" t="n">
        <v>46059</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46059</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17982-2023</t>
        </is>
      </c>
      <c r="B115" s="1" t="n">
        <v>45040</v>
      </c>
      <c r="C115" s="1" t="n">
        <v>46059</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46059</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43013-2022</t>
        </is>
      </c>
      <c r="B117" s="1" t="n">
        <v>44833</v>
      </c>
      <c r="C117" s="1" t="n">
        <v>46059</v>
      </c>
      <c r="D117" t="inlineStr">
        <is>
          <t>GOTLANDS LÄN</t>
        </is>
      </c>
      <c r="E117" t="inlineStr">
        <is>
          <t>GOTLAND</t>
        </is>
      </c>
      <c r="G117" t="n">
        <v>9.300000000000001</v>
      </c>
      <c r="H117" t="n">
        <v>0</v>
      </c>
      <c r="I117" t="n">
        <v>2</v>
      </c>
      <c r="J117" t="n">
        <v>0</v>
      </c>
      <c r="K117" t="n">
        <v>1</v>
      </c>
      <c r="L117" t="n">
        <v>0</v>
      </c>
      <c r="M117" t="n">
        <v>0</v>
      </c>
      <c r="N117" t="n">
        <v>0</v>
      </c>
      <c r="O117" t="n">
        <v>1</v>
      </c>
      <c r="P117" t="n">
        <v>1</v>
      </c>
      <c r="Q117" t="n">
        <v>3</v>
      </c>
      <c r="R117" s="2" t="inlineStr">
        <is>
          <t>Violettfläckig spindling
Anisspindling
Blå slemspindling</t>
        </is>
      </c>
      <c r="S117">
        <f>HYPERLINK("https://klasma.github.io/Logging_0980/artfynd/A 43013-2022 artfynd.xlsx", "A 43013-2022")</f>
        <v/>
      </c>
      <c r="T117">
        <f>HYPERLINK("https://klasma.github.io/Logging_0980/kartor/A 43013-2022 karta.png", "A 43013-2022")</f>
        <v/>
      </c>
      <c r="V117">
        <f>HYPERLINK("https://klasma.github.io/Logging_0980/klagomål/A 43013-2022 FSC-klagomål.docx", "A 43013-2022")</f>
        <v/>
      </c>
      <c r="W117">
        <f>HYPERLINK("https://klasma.github.io/Logging_0980/klagomålsmail/A 43013-2022 FSC-klagomål mail.docx", "A 43013-2022")</f>
        <v/>
      </c>
      <c r="X117">
        <f>HYPERLINK("https://klasma.github.io/Logging_0980/tillsyn/A 43013-2022 tillsynsbegäran.docx", "A 43013-2022")</f>
        <v/>
      </c>
      <c r="Y117">
        <f>HYPERLINK("https://klasma.github.io/Logging_0980/tillsynsmail/A 43013-2022 tillsynsbegäran mail.docx", "A 43013-2022")</f>
        <v/>
      </c>
    </row>
    <row r="118" ht="15" customHeight="1">
      <c r="A118" t="inlineStr">
        <is>
          <t>A 13499-2022</t>
        </is>
      </c>
      <c r="B118" s="1" t="n">
        <v>44647.79203703703</v>
      </c>
      <c r="C118" s="1" t="n">
        <v>46059</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5235-2025</t>
        </is>
      </c>
      <c r="B119" s="1" t="n">
        <v>45692.26797453704</v>
      </c>
      <c r="C119" s="1" t="n">
        <v>46059</v>
      </c>
      <c r="D119" t="inlineStr">
        <is>
          <t>GOTLANDS LÄN</t>
        </is>
      </c>
      <c r="E119" t="inlineStr">
        <is>
          <t>GOTLAND</t>
        </is>
      </c>
      <c r="G119" t="n">
        <v>7.6</v>
      </c>
      <c r="H119" t="n">
        <v>1</v>
      </c>
      <c r="I119" t="n">
        <v>2</v>
      </c>
      <c r="J119" t="n">
        <v>1</v>
      </c>
      <c r="K119" t="n">
        <v>0</v>
      </c>
      <c r="L119" t="n">
        <v>0</v>
      </c>
      <c r="M119" t="n">
        <v>0</v>
      </c>
      <c r="N119" t="n">
        <v>0</v>
      </c>
      <c r="O119" t="n">
        <v>1</v>
      </c>
      <c r="P119" t="n">
        <v>0</v>
      </c>
      <c r="Q119" t="n">
        <v>3</v>
      </c>
      <c r="R119" s="2" t="inlineStr">
        <is>
          <t>Svinrot
Blåmossa
Tvåblad</t>
        </is>
      </c>
      <c r="S119">
        <f>HYPERLINK("https://klasma.github.io/Logging_0980/artfynd/A 5235-2025 artfynd.xlsx", "A 5235-2025")</f>
        <v/>
      </c>
      <c r="T119">
        <f>HYPERLINK("https://klasma.github.io/Logging_0980/kartor/A 5235-2025 karta.png", "A 5235-2025")</f>
        <v/>
      </c>
      <c r="V119">
        <f>HYPERLINK("https://klasma.github.io/Logging_0980/klagomål/A 5235-2025 FSC-klagomål.docx", "A 5235-2025")</f>
        <v/>
      </c>
      <c r="W119">
        <f>HYPERLINK("https://klasma.github.io/Logging_0980/klagomålsmail/A 5235-2025 FSC-klagomål mail.docx", "A 5235-2025")</f>
        <v/>
      </c>
      <c r="X119">
        <f>HYPERLINK("https://klasma.github.io/Logging_0980/tillsyn/A 5235-2025 tillsynsbegäran.docx", "A 5235-2025")</f>
        <v/>
      </c>
      <c r="Y119">
        <f>HYPERLINK("https://klasma.github.io/Logging_0980/tillsynsmail/A 5235-2025 tillsynsbegäran mail.docx", "A 5235-2025")</f>
        <v/>
      </c>
    </row>
    <row r="120" ht="15" customHeight="1">
      <c r="A120" t="inlineStr">
        <is>
          <t>A 12315-2024</t>
        </is>
      </c>
      <c r="B120" s="1" t="n">
        <v>45378.6434837963</v>
      </c>
      <c r="C120" s="1" t="n">
        <v>46059</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46059</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30490-2025</t>
        </is>
      </c>
      <c r="B122" s="1" t="n">
        <v>45830</v>
      </c>
      <c r="C122" s="1" t="n">
        <v>46059</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46059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46059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46059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46059</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46059</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46059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46059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46059</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62760-2025</t>
        </is>
      </c>
      <c r="B131" s="1" t="n">
        <v>46008</v>
      </c>
      <c r="C131" s="1" t="n">
        <v>46059</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63162-2025</t>
        </is>
      </c>
      <c r="B132" s="1" t="n">
        <v>46010.37629629629</v>
      </c>
      <c r="C132" s="1" t="n">
        <v>46059</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54357-2024</t>
        </is>
      </c>
      <c r="B133" s="1" t="n">
        <v>45617.40662037037</v>
      </c>
      <c r="C133" s="1" t="n">
        <v>46059</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46059</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46059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46059</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46059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46059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46059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46059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46059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46059</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46059</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46059</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12924-2025</t>
        </is>
      </c>
      <c r="B145" s="1" t="n">
        <v>45734</v>
      </c>
      <c r="C145" s="1" t="n">
        <v>46059</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44308-2021</t>
        </is>
      </c>
      <c r="B146" s="1" t="n">
        <v>44434</v>
      </c>
      <c r="C146" s="1" t="n">
        <v>46059</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447-2023</t>
        </is>
      </c>
      <c r="B147" s="1" t="n">
        <v>44929</v>
      </c>
      <c r="C147" s="1" t="n">
        <v>46059</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947-2023</t>
        </is>
      </c>
      <c r="B148" s="1" t="n">
        <v>44934</v>
      </c>
      <c r="C148" s="1" t="n">
        <v>46059</v>
      </c>
      <c r="D148" t="inlineStr">
        <is>
          <t>GOTLANDS LÄN</t>
        </is>
      </c>
      <c r="E148" t="inlineStr">
        <is>
          <t>GOTLAND</t>
        </is>
      </c>
      <c r="G148" t="n">
        <v>0.7</v>
      </c>
      <c r="H148" t="n">
        <v>1</v>
      </c>
      <c r="I148" t="n">
        <v>0</v>
      </c>
      <c r="J148" t="n">
        <v>0</v>
      </c>
      <c r="K148" t="n">
        <v>1</v>
      </c>
      <c r="L148" t="n">
        <v>0</v>
      </c>
      <c r="M148" t="n">
        <v>0</v>
      </c>
      <c r="N148" t="n">
        <v>0</v>
      </c>
      <c r="O148" t="n">
        <v>1</v>
      </c>
      <c r="P148" t="n">
        <v>1</v>
      </c>
      <c r="Q148" t="n">
        <v>1</v>
      </c>
      <c r="R148" s="2" t="inlineStr">
        <is>
          <t>Garderönn</t>
        </is>
      </c>
      <c r="S148">
        <f>HYPERLINK("https://klasma.github.io/Logging_0980/artfynd/A 947-2023 artfynd.xlsx", "A 947-2023")</f>
        <v/>
      </c>
      <c r="T148">
        <f>HYPERLINK("https://klasma.github.io/Logging_0980/kartor/A 947-2023 karta.png", "A 947-2023")</f>
        <v/>
      </c>
      <c r="V148">
        <f>HYPERLINK("https://klasma.github.io/Logging_0980/klagomål/A 947-2023 FSC-klagomål.docx", "A 947-2023")</f>
        <v/>
      </c>
      <c r="W148">
        <f>HYPERLINK("https://klasma.github.io/Logging_0980/klagomålsmail/A 947-2023 FSC-klagomål mail.docx", "A 947-2023")</f>
        <v/>
      </c>
      <c r="X148">
        <f>HYPERLINK("https://klasma.github.io/Logging_0980/tillsyn/A 947-2023 tillsynsbegäran.docx", "A 947-2023")</f>
        <v/>
      </c>
      <c r="Y148">
        <f>HYPERLINK("https://klasma.github.io/Logging_0980/tillsynsmail/A 947-2023 tillsynsbegäran mail.docx", "A 947-2023")</f>
        <v/>
      </c>
    </row>
    <row r="149" ht="15" customHeight="1">
      <c r="A149" t="inlineStr">
        <is>
          <t>A 13939-2021</t>
        </is>
      </c>
      <c r="B149" s="1" t="n">
        <v>44277</v>
      </c>
      <c r="C149" s="1" t="n">
        <v>46059</v>
      </c>
      <c r="D149" t="inlineStr">
        <is>
          <t>GOTLANDS LÄN</t>
        </is>
      </c>
      <c r="E149" t="inlineStr">
        <is>
          <t>GOTLAND</t>
        </is>
      </c>
      <c r="G149" t="n">
        <v>1</v>
      </c>
      <c r="H149" t="n">
        <v>0</v>
      </c>
      <c r="I149" t="n">
        <v>0</v>
      </c>
      <c r="J149" t="n">
        <v>1</v>
      </c>
      <c r="K149" t="n">
        <v>0</v>
      </c>
      <c r="L149" t="n">
        <v>0</v>
      </c>
      <c r="M149" t="n">
        <v>0</v>
      </c>
      <c r="N149" t="n">
        <v>0</v>
      </c>
      <c r="O149" t="n">
        <v>1</v>
      </c>
      <c r="P149" t="n">
        <v>0</v>
      </c>
      <c r="Q149" t="n">
        <v>1</v>
      </c>
      <c r="R149" s="2" t="inlineStr">
        <is>
          <t>Axveronika</t>
        </is>
      </c>
      <c r="S149">
        <f>HYPERLINK("https://klasma.github.io/Logging_0980/artfynd/A 13939-2021 artfynd.xlsx", "A 13939-2021")</f>
        <v/>
      </c>
      <c r="T149">
        <f>HYPERLINK("https://klasma.github.io/Logging_0980/kartor/A 13939-2021 karta.png", "A 13939-2021")</f>
        <v/>
      </c>
      <c r="V149">
        <f>HYPERLINK("https://klasma.github.io/Logging_0980/klagomål/A 13939-2021 FSC-klagomål.docx", "A 13939-2021")</f>
        <v/>
      </c>
      <c r="W149">
        <f>HYPERLINK("https://klasma.github.io/Logging_0980/klagomålsmail/A 13939-2021 FSC-klagomål mail.docx", "A 13939-2021")</f>
        <v/>
      </c>
      <c r="X149">
        <f>HYPERLINK("https://klasma.github.io/Logging_0980/tillsyn/A 13939-2021 tillsynsbegäran.docx", "A 13939-2021")</f>
        <v/>
      </c>
      <c r="Y149">
        <f>HYPERLINK("https://klasma.github.io/Logging_0980/tillsynsmail/A 13939-2021 tillsynsbegäran mail.docx", "A 13939-2021")</f>
        <v/>
      </c>
    </row>
    <row r="150" ht="15" customHeight="1">
      <c r="A150" t="inlineStr">
        <is>
          <t>A 12379-2024</t>
        </is>
      </c>
      <c r="B150" s="1" t="n">
        <v>45379.28155092592</v>
      </c>
      <c r="C150" s="1" t="n">
        <v>46059</v>
      </c>
      <c r="D150" t="inlineStr">
        <is>
          <t>GOTLANDS LÄN</t>
        </is>
      </c>
      <c r="E150" t="inlineStr">
        <is>
          <t>GOTLAND</t>
        </is>
      </c>
      <c r="G150" t="n">
        <v>4.4</v>
      </c>
      <c r="H150" t="n">
        <v>0</v>
      </c>
      <c r="I150" t="n">
        <v>0</v>
      </c>
      <c r="J150" t="n">
        <v>1</v>
      </c>
      <c r="K150" t="n">
        <v>0</v>
      </c>
      <c r="L150" t="n">
        <v>0</v>
      </c>
      <c r="M150" t="n">
        <v>0</v>
      </c>
      <c r="N150" t="n">
        <v>0</v>
      </c>
      <c r="O150" t="n">
        <v>1</v>
      </c>
      <c r="P150" t="n">
        <v>0</v>
      </c>
      <c r="Q150" t="n">
        <v>1</v>
      </c>
      <c r="R150" s="2" t="inlineStr">
        <is>
          <t>Svinrot</t>
        </is>
      </c>
      <c r="S150">
        <f>HYPERLINK("https://klasma.github.io/Logging_0980/artfynd/A 12379-2024 artfynd.xlsx", "A 12379-2024")</f>
        <v/>
      </c>
      <c r="T150">
        <f>HYPERLINK("https://klasma.github.io/Logging_0980/kartor/A 12379-2024 karta.png", "A 12379-2024")</f>
        <v/>
      </c>
      <c r="V150">
        <f>HYPERLINK("https://klasma.github.io/Logging_0980/klagomål/A 12379-2024 FSC-klagomål.docx", "A 12379-2024")</f>
        <v/>
      </c>
      <c r="W150">
        <f>HYPERLINK("https://klasma.github.io/Logging_0980/klagomålsmail/A 12379-2024 FSC-klagomål mail.docx", "A 12379-2024")</f>
        <v/>
      </c>
      <c r="X150">
        <f>HYPERLINK("https://klasma.github.io/Logging_0980/tillsyn/A 12379-2024 tillsynsbegäran.docx", "A 12379-2024")</f>
        <v/>
      </c>
      <c r="Y150">
        <f>HYPERLINK("https://klasma.github.io/Logging_0980/tillsynsmail/A 12379-2024 tillsynsbegäran mail.docx", "A 12379-2024")</f>
        <v/>
      </c>
    </row>
    <row r="151" ht="15" customHeight="1">
      <c r="A151" t="inlineStr">
        <is>
          <t>A 39812-2025</t>
        </is>
      </c>
      <c r="B151" s="1" t="n">
        <v>45891</v>
      </c>
      <c r="C151" s="1" t="n">
        <v>46059</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46059</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49304-2024</t>
        </is>
      </c>
      <c r="B153" s="1" t="n">
        <v>45595.54996527778</v>
      </c>
      <c r="C153" s="1" t="n">
        <v>46059</v>
      </c>
      <c r="D153" t="inlineStr">
        <is>
          <t>GOTLANDS LÄN</t>
        </is>
      </c>
      <c r="E153" t="inlineStr">
        <is>
          <t>GOTLAND</t>
        </is>
      </c>
      <c r="G153" t="n">
        <v>10.8</v>
      </c>
      <c r="H153" t="n">
        <v>0</v>
      </c>
      <c r="I153" t="n">
        <v>0</v>
      </c>
      <c r="J153" t="n">
        <v>1</v>
      </c>
      <c r="K153" t="n">
        <v>0</v>
      </c>
      <c r="L153" t="n">
        <v>0</v>
      </c>
      <c r="M153" t="n">
        <v>0</v>
      </c>
      <c r="N153" t="n">
        <v>0</v>
      </c>
      <c r="O153" t="n">
        <v>1</v>
      </c>
      <c r="P153" t="n">
        <v>0</v>
      </c>
      <c r="Q153" t="n">
        <v>1</v>
      </c>
      <c r="R153" s="2" t="inlineStr">
        <is>
          <t>Åkerranunkel</t>
        </is>
      </c>
      <c r="S153">
        <f>HYPERLINK("https://klasma.github.io/Logging_0980/artfynd/A 49304-2024 artfynd.xlsx", "A 49304-2024")</f>
        <v/>
      </c>
      <c r="T153">
        <f>HYPERLINK("https://klasma.github.io/Logging_0980/kartor/A 49304-2024 karta.png", "A 49304-2024")</f>
        <v/>
      </c>
      <c r="V153">
        <f>HYPERLINK("https://klasma.github.io/Logging_0980/klagomål/A 49304-2024 FSC-klagomål.docx", "A 49304-2024")</f>
        <v/>
      </c>
      <c r="W153">
        <f>HYPERLINK("https://klasma.github.io/Logging_0980/klagomålsmail/A 49304-2024 FSC-klagomål mail.docx", "A 49304-2024")</f>
        <v/>
      </c>
      <c r="X153">
        <f>HYPERLINK("https://klasma.github.io/Logging_0980/tillsyn/A 49304-2024 tillsynsbegäran.docx", "A 49304-2024")</f>
        <v/>
      </c>
      <c r="Y153">
        <f>HYPERLINK("https://klasma.github.io/Logging_0980/tillsynsmail/A 49304-2024 tillsynsbegäran mail.docx", "A 49304-2024")</f>
        <v/>
      </c>
    </row>
    <row r="154" ht="15" customHeight="1">
      <c r="A154" t="inlineStr">
        <is>
          <t>A 63576-2021</t>
        </is>
      </c>
      <c r="B154" s="1" t="n">
        <v>44508</v>
      </c>
      <c r="C154" s="1" t="n">
        <v>46059</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64700-2021</t>
        </is>
      </c>
      <c r="B155" s="1" t="n">
        <v>44511</v>
      </c>
      <c r="C155" s="1" t="n">
        <v>46059</v>
      </c>
      <c r="D155" t="inlineStr">
        <is>
          <t>GOTLANDS LÄN</t>
        </is>
      </c>
      <c r="E155" t="inlineStr">
        <is>
          <t>GOTLAND</t>
        </is>
      </c>
      <c r="F155" t="inlineStr">
        <is>
          <t>Naturvårdsverket</t>
        </is>
      </c>
      <c r="G155" t="n">
        <v>2.4</v>
      </c>
      <c r="H155" t="n">
        <v>1</v>
      </c>
      <c r="I155" t="n">
        <v>0</v>
      </c>
      <c r="J155" t="n">
        <v>0</v>
      </c>
      <c r="K155" t="n">
        <v>1</v>
      </c>
      <c r="L155" t="n">
        <v>0</v>
      </c>
      <c r="M155" t="n">
        <v>0</v>
      </c>
      <c r="N155" t="n">
        <v>0</v>
      </c>
      <c r="O155" t="n">
        <v>1</v>
      </c>
      <c r="P155" t="n">
        <v>1</v>
      </c>
      <c r="Q155" t="n">
        <v>1</v>
      </c>
      <c r="R155" s="2" t="inlineStr">
        <is>
          <t>Kalkdån</t>
        </is>
      </c>
      <c r="S155">
        <f>HYPERLINK("https://klasma.github.io/Logging_0980/artfynd/A 64700-2021 artfynd.xlsx", "A 64700-2021")</f>
        <v/>
      </c>
      <c r="T155">
        <f>HYPERLINK("https://klasma.github.io/Logging_0980/kartor/A 64700-2021 karta.png", "A 64700-2021")</f>
        <v/>
      </c>
      <c r="V155">
        <f>HYPERLINK("https://klasma.github.io/Logging_0980/klagomål/A 64700-2021 FSC-klagomål.docx", "A 64700-2021")</f>
        <v/>
      </c>
      <c r="W155">
        <f>HYPERLINK("https://klasma.github.io/Logging_0980/klagomålsmail/A 64700-2021 FSC-klagomål mail.docx", "A 64700-2021")</f>
        <v/>
      </c>
      <c r="X155">
        <f>HYPERLINK("https://klasma.github.io/Logging_0980/tillsyn/A 64700-2021 tillsynsbegäran.docx", "A 64700-2021")</f>
        <v/>
      </c>
      <c r="Y155">
        <f>HYPERLINK("https://klasma.github.io/Logging_0980/tillsynsmail/A 64700-2021 tillsynsbegäran mail.docx", "A 64700-2021")</f>
        <v/>
      </c>
    </row>
    <row r="156" ht="15" customHeight="1">
      <c r="A156" t="inlineStr">
        <is>
          <t>A 44304-2021</t>
        </is>
      </c>
      <c r="B156" s="1" t="n">
        <v>44434</v>
      </c>
      <c r="C156" s="1" t="n">
        <v>46059</v>
      </c>
      <c r="D156" t="inlineStr">
        <is>
          <t>GOTLANDS LÄN</t>
        </is>
      </c>
      <c r="E156" t="inlineStr">
        <is>
          <t>GOTLAND</t>
        </is>
      </c>
      <c r="G156" t="n">
        <v>5.8</v>
      </c>
      <c r="H156" t="n">
        <v>0</v>
      </c>
      <c r="I156" t="n">
        <v>0</v>
      </c>
      <c r="J156" t="n">
        <v>1</v>
      </c>
      <c r="K156" t="n">
        <v>0</v>
      </c>
      <c r="L156" t="n">
        <v>0</v>
      </c>
      <c r="M156" t="n">
        <v>0</v>
      </c>
      <c r="N156" t="n">
        <v>0</v>
      </c>
      <c r="O156" t="n">
        <v>1</v>
      </c>
      <c r="P156" t="n">
        <v>0</v>
      </c>
      <c r="Q156" t="n">
        <v>1</v>
      </c>
      <c r="R156" s="2" t="inlineStr">
        <is>
          <t>Svinrot</t>
        </is>
      </c>
      <c r="S156">
        <f>HYPERLINK("https://klasma.github.io/Logging_0980/artfynd/A 44304-2021 artfynd.xlsx", "A 44304-2021")</f>
        <v/>
      </c>
      <c r="T156">
        <f>HYPERLINK("https://klasma.github.io/Logging_0980/kartor/A 44304-2021 karta.png", "A 44304-2021")</f>
        <v/>
      </c>
      <c r="V156">
        <f>HYPERLINK("https://klasma.github.io/Logging_0980/klagomål/A 44304-2021 FSC-klagomål.docx", "A 44304-2021")</f>
        <v/>
      </c>
      <c r="W156">
        <f>HYPERLINK("https://klasma.github.io/Logging_0980/klagomålsmail/A 44304-2021 FSC-klagomål mail.docx", "A 44304-2021")</f>
        <v/>
      </c>
      <c r="X156">
        <f>HYPERLINK("https://klasma.github.io/Logging_0980/tillsyn/A 44304-2021 tillsynsbegäran.docx", "A 44304-2021")</f>
        <v/>
      </c>
      <c r="Y156">
        <f>HYPERLINK("https://klasma.github.io/Logging_0980/tillsynsmail/A 44304-2021 tillsynsbegäran mail.docx", "A 44304-2021")</f>
        <v/>
      </c>
    </row>
    <row r="157" ht="15" customHeight="1">
      <c r="A157" t="inlineStr">
        <is>
          <t>A 35467-2021</t>
        </is>
      </c>
      <c r="B157" s="1" t="n">
        <v>44385</v>
      </c>
      <c r="C157" s="1" t="n">
        <v>46059</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46059</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25977-2024</t>
        </is>
      </c>
      <c r="B159" s="1" t="n">
        <v>45467.69356481481</v>
      </c>
      <c r="C159" s="1" t="n">
        <v>46059</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65927-2021</t>
        </is>
      </c>
      <c r="B160" s="1" t="n">
        <v>44516</v>
      </c>
      <c r="C160" s="1" t="n">
        <v>46059</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49726-2025</t>
        </is>
      </c>
      <c r="B161" s="1" t="n">
        <v>45939.84466435185</v>
      </c>
      <c r="C161" s="1" t="n">
        <v>46059</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20429-2025</t>
        </is>
      </c>
      <c r="B162" s="1" t="n">
        <v>45775.47728009259</v>
      </c>
      <c r="C162" s="1" t="n">
        <v>46059</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61796-2022</t>
        </is>
      </c>
      <c r="B163" s="1" t="n">
        <v>44917</v>
      </c>
      <c r="C163" s="1" t="n">
        <v>46059</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15637-2024</t>
        </is>
      </c>
      <c r="B164" s="1" t="n">
        <v>45403.6684837963</v>
      </c>
      <c r="C164" s="1" t="n">
        <v>46059</v>
      </c>
      <c r="D164" t="inlineStr">
        <is>
          <t>GOTLANDS LÄN</t>
        </is>
      </c>
      <c r="E164" t="inlineStr">
        <is>
          <t>GOTLAND</t>
        </is>
      </c>
      <c r="G164" t="n">
        <v>4.1</v>
      </c>
      <c r="H164" t="n">
        <v>1</v>
      </c>
      <c r="I164" t="n">
        <v>0</v>
      </c>
      <c r="J164" t="n">
        <v>0</v>
      </c>
      <c r="K164" t="n">
        <v>0</v>
      </c>
      <c r="L164" t="n">
        <v>0</v>
      </c>
      <c r="M164" t="n">
        <v>0</v>
      </c>
      <c r="N164" t="n">
        <v>0</v>
      </c>
      <c r="O164" t="n">
        <v>0</v>
      </c>
      <c r="P164" t="n">
        <v>0</v>
      </c>
      <c r="Q164" t="n">
        <v>1</v>
      </c>
      <c r="R164" s="2" t="inlineStr">
        <is>
          <t>Blåsippa</t>
        </is>
      </c>
      <c r="S164">
        <f>HYPERLINK("https://klasma.github.io/Logging_0980/artfynd/A 15637-2024 artfynd.xlsx", "A 15637-2024")</f>
        <v/>
      </c>
      <c r="T164">
        <f>HYPERLINK("https://klasma.github.io/Logging_0980/kartor/A 15637-2024 karta.png", "A 15637-2024")</f>
        <v/>
      </c>
      <c r="V164">
        <f>HYPERLINK("https://klasma.github.io/Logging_0980/klagomål/A 15637-2024 FSC-klagomål.docx", "A 15637-2024")</f>
        <v/>
      </c>
      <c r="W164">
        <f>HYPERLINK("https://klasma.github.io/Logging_0980/klagomålsmail/A 15637-2024 FSC-klagomål mail.docx", "A 15637-2024")</f>
        <v/>
      </c>
      <c r="X164">
        <f>HYPERLINK("https://klasma.github.io/Logging_0980/tillsyn/A 15637-2024 tillsynsbegäran.docx", "A 15637-2024")</f>
        <v/>
      </c>
      <c r="Y164">
        <f>HYPERLINK("https://klasma.github.io/Logging_0980/tillsynsmail/A 15637-2024 tillsynsbegäran mail.docx", "A 15637-2024")</f>
        <v/>
      </c>
    </row>
    <row r="165" ht="15" customHeight="1">
      <c r="A165" t="inlineStr">
        <is>
          <t>A 27589-2023</t>
        </is>
      </c>
      <c r="B165" s="1" t="n">
        <v>45097</v>
      </c>
      <c r="C165" s="1" t="n">
        <v>46059</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63149-2025</t>
        </is>
      </c>
      <c r="B166" s="1" t="n">
        <v>46010</v>
      </c>
      <c r="C166" s="1" t="n">
        <v>46059</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Anisspindling</t>
        </is>
      </c>
      <c r="S166">
        <f>HYPERLINK("https://klasma.github.io/Logging_0980/artfynd/A 63149-2025 artfynd.xlsx", "A 63149-2025")</f>
        <v/>
      </c>
      <c r="T166">
        <f>HYPERLINK("https://klasma.github.io/Logging_0980/kartor/A 63149-2025 karta.png", "A 63149-2025")</f>
        <v/>
      </c>
      <c r="V166">
        <f>HYPERLINK("https://klasma.github.io/Logging_0980/klagomål/A 63149-2025 FSC-klagomål.docx", "A 63149-2025")</f>
        <v/>
      </c>
      <c r="W166">
        <f>HYPERLINK("https://klasma.github.io/Logging_0980/klagomålsmail/A 63149-2025 FSC-klagomål mail.docx", "A 63149-2025")</f>
        <v/>
      </c>
      <c r="X166">
        <f>HYPERLINK("https://klasma.github.io/Logging_0980/tillsyn/A 63149-2025 tillsynsbegäran.docx", "A 63149-2025")</f>
        <v/>
      </c>
      <c r="Y166">
        <f>HYPERLINK("https://klasma.github.io/Logging_0980/tillsynsmail/A 63149-2025 tillsynsbegäran mail.docx", "A 63149-2025")</f>
        <v/>
      </c>
    </row>
    <row r="167" ht="15" customHeight="1">
      <c r="A167" t="inlineStr">
        <is>
          <t>A 1477-2024</t>
        </is>
      </c>
      <c r="B167" s="1" t="n">
        <v>45305.37987268518</v>
      </c>
      <c r="C167" s="1" t="n">
        <v>46059</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35574-2024</t>
        </is>
      </c>
      <c r="B168" s="1" t="n">
        <v>45531</v>
      </c>
      <c r="C168" s="1" t="n">
        <v>46059</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7637-2025</t>
        </is>
      </c>
      <c r="B169" s="1" t="n">
        <v>45705.77181712963</v>
      </c>
      <c r="C169" s="1" t="n">
        <v>46059</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2476-2025</t>
        </is>
      </c>
      <c r="B170" s="1" t="n">
        <v>45673</v>
      </c>
      <c r="C170" s="1" t="n">
        <v>46059</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10995-2023</t>
        </is>
      </c>
      <c r="B171" s="1" t="n">
        <v>44986</v>
      </c>
      <c r="C171" s="1" t="n">
        <v>46059</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62552-2022</t>
        </is>
      </c>
      <c r="B172" s="1" t="n">
        <v>44924</v>
      </c>
      <c r="C172" s="1" t="n">
        <v>46059</v>
      </c>
      <c r="D172" t="inlineStr">
        <is>
          <t>GOTLANDS LÄN</t>
        </is>
      </c>
      <c r="E172" t="inlineStr">
        <is>
          <t>GOTLAND</t>
        </is>
      </c>
      <c r="G172" t="n">
        <v>1.6</v>
      </c>
      <c r="H172" t="n">
        <v>0</v>
      </c>
      <c r="I172" t="n">
        <v>0</v>
      </c>
      <c r="J172" t="n">
        <v>1</v>
      </c>
      <c r="K172" t="n">
        <v>0</v>
      </c>
      <c r="L172" t="n">
        <v>0</v>
      </c>
      <c r="M172" t="n">
        <v>0</v>
      </c>
      <c r="N172" t="n">
        <v>0</v>
      </c>
      <c r="O172" t="n">
        <v>1</v>
      </c>
      <c r="P172" t="n">
        <v>0</v>
      </c>
      <c r="Q172" t="n">
        <v>1</v>
      </c>
      <c r="R172" s="2" t="inlineStr">
        <is>
          <t>Äggspindling</t>
        </is>
      </c>
      <c r="S172">
        <f>HYPERLINK("https://klasma.github.io/Logging_0980/artfynd/A 62552-2022 artfynd.xlsx", "A 62552-2022")</f>
        <v/>
      </c>
      <c r="T172">
        <f>HYPERLINK("https://klasma.github.io/Logging_0980/kartor/A 62552-2022 karta.png", "A 62552-2022")</f>
        <v/>
      </c>
      <c r="V172">
        <f>HYPERLINK("https://klasma.github.io/Logging_0980/klagomål/A 62552-2022 FSC-klagomål.docx", "A 62552-2022")</f>
        <v/>
      </c>
      <c r="W172">
        <f>HYPERLINK("https://klasma.github.io/Logging_0980/klagomålsmail/A 62552-2022 FSC-klagomål mail.docx", "A 62552-2022")</f>
        <v/>
      </c>
      <c r="X172">
        <f>HYPERLINK("https://klasma.github.io/Logging_0980/tillsyn/A 62552-2022 tillsynsbegäran.docx", "A 62552-2022")</f>
        <v/>
      </c>
      <c r="Y172">
        <f>HYPERLINK("https://klasma.github.io/Logging_0980/tillsynsmail/A 62552-2022 tillsynsbegäran mail.docx", "A 62552-2022")</f>
        <v/>
      </c>
    </row>
    <row r="173" ht="15" customHeight="1">
      <c r="A173" t="inlineStr">
        <is>
          <t>A 6303-2024</t>
        </is>
      </c>
      <c r="B173" s="1" t="n">
        <v>45338.35376157407</v>
      </c>
      <c r="C173" s="1" t="n">
        <v>46059</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44088-2022</t>
        </is>
      </c>
      <c r="B174" s="1" t="n">
        <v>44839</v>
      </c>
      <c r="C174" s="1" t="n">
        <v>46059</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34809-2024</t>
        </is>
      </c>
      <c r="B175" s="1" t="n">
        <v>45526</v>
      </c>
      <c r="C175" s="1" t="n">
        <v>46059</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61561-2023</t>
        </is>
      </c>
      <c r="B176" s="1" t="n">
        <v>45265</v>
      </c>
      <c r="C176" s="1" t="n">
        <v>46059</v>
      </c>
      <c r="D176" t="inlineStr">
        <is>
          <t>GOTLANDS LÄN</t>
        </is>
      </c>
      <c r="E176" t="inlineStr">
        <is>
          <t>GOTLAND</t>
        </is>
      </c>
      <c r="G176" t="n">
        <v>7.4</v>
      </c>
      <c r="H176" t="n">
        <v>0</v>
      </c>
      <c r="I176" t="n">
        <v>0</v>
      </c>
      <c r="J176" t="n">
        <v>1</v>
      </c>
      <c r="K176" t="n">
        <v>0</v>
      </c>
      <c r="L176" t="n">
        <v>0</v>
      </c>
      <c r="M176" t="n">
        <v>0</v>
      </c>
      <c r="N176" t="n">
        <v>0</v>
      </c>
      <c r="O176" t="n">
        <v>1</v>
      </c>
      <c r="P176" t="n">
        <v>0</v>
      </c>
      <c r="Q176" t="n">
        <v>1</v>
      </c>
      <c r="R176" s="2" t="inlineStr">
        <is>
          <t>Loppstarr</t>
        </is>
      </c>
      <c r="S176">
        <f>HYPERLINK("https://klasma.github.io/Logging_0980/artfynd/A 61561-2023 artfynd.xlsx", "A 61561-2023")</f>
        <v/>
      </c>
      <c r="T176">
        <f>HYPERLINK("https://klasma.github.io/Logging_0980/kartor/A 61561-2023 karta.png", "A 61561-2023")</f>
        <v/>
      </c>
      <c r="V176">
        <f>HYPERLINK("https://klasma.github.io/Logging_0980/klagomål/A 61561-2023 FSC-klagomål.docx", "A 61561-2023")</f>
        <v/>
      </c>
      <c r="W176">
        <f>HYPERLINK("https://klasma.github.io/Logging_0980/klagomålsmail/A 61561-2023 FSC-klagomål mail.docx", "A 61561-2023")</f>
        <v/>
      </c>
      <c r="X176">
        <f>HYPERLINK("https://klasma.github.io/Logging_0980/tillsyn/A 61561-2023 tillsynsbegäran.docx", "A 61561-2023")</f>
        <v/>
      </c>
      <c r="Y176">
        <f>HYPERLINK("https://klasma.github.io/Logging_0980/tillsynsmail/A 61561-2023 tillsynsbegäran mail.docx", "A 61561-2023")</f>
        <v/>
      </c>
    </row>
    <row r="177" ht="15" customHeight="1">
      <c r="A177" t="inlineStr">
        <is>
          <t>A 22782-2023</t>
        </is>
      </c>
      <c r="B177" s="1" t="n">
        <v>45072</v>
      </c>
      <c r="C177" s="1" t="n">
        <v>46059</v>
      </c>
      <c r="D177" t="inlineStr">
        <is>
          <t>GOTLANDS LÄN</t>
        </is>
      </c>
      <c r="E177" t="inlineStr">
        <is>
          <t>GOTLAND</t>
        </is>
      </c>
      <c r="F177" t="inlineStr">
        <is>
          <t>Kyrkan</t>
        </is>
      </c>
      <c r="G177" t="n">
        <v>3.1</v>
      </c>
      <c r="H177" t="n">
        <v>1</v>
      </c>
      <c r="I177" t="n">
        <v>0</v>
      </c>
      <c r="J177" t="n">
        <v>0</v>
      </c>
      <c r="K177" t="n">
        <v>0</v>
      </c>
      <c r="L177" t="n">
        <v>0</v>
      </c>
      <c r="M177" t="n">
        <v>0</v>
      </c>
      <c r="N177" t="n">
        <v>0</v>
      </c>
      <c r="O177" t="n">
        <v>0</v>
      </c>
      <c r="P177" t="n">
        <v>0</v>
      </c>
      <c r="Q177" t="n">
        <v>1</v>
      </c>
      <c r="R177" s="2" t="inlineStr">
        <is>
          <t>Ängsnycklar × skogsnycklar</t>
        </is>
      </c>
      <c r="S177">
        <f>HYPERLINK("https://klasma.github.io/Logging_0980/artfynd/A 22782-2023 artfynd.xlsx", "A 22782-2023")</f>
        <v/>
      </c>
      <c r="T177">
        <f>HYPERLINK("https://klasma.github.io/Logging_0980/kartor/A 22782-2023 karta.png", "A 22782-2023")</f>
        <v/>
      </c>
      <c r="V177">
        <f>HYPERLINK("https://klasma.github.io/Logging_0980/klagomål/A 22782-2023 FSC-klagomål.docx", "A 22782-2023")</f>
        <v/>
      </c>
      <c r="W177">
        <f>HYPERLINK("https://klasma.github.io/Logging_0980/klagomålsmail/A 22782-2023 FSC-klagomål mail.docx", "A 22782-2023")</f>
        <v/>
      </c>
      <c r="X177">
        <f>HYPERLINK("https://klasma.github.io/Logging_0980/tillsyn/A 22782-2023 tillsynsbegäran.docx", "A 22782-2023")</f>
        <v/>
      </c>
      <c r="Y177">
        <f>HYPERLINK("https://klasma.github.io/Logging_0980/tillsynsmail/A 22782-2023 tillsynsbegäran mail.docx", "A 22782-2023")</f>
        <v/>
      </c>
    </row>
    <row r="178" ht="15" customHeight="1">
      <c r="A178" t="inlineStr">
        <is>
          <t>A 22883-2024</t>
        </is>
      </c>
      <c r="B178" s="1" t="n">
        <v>45448.66368055555</v>
      </c>
      <c r="C178" s="1" t="n">
        <v>46059</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24245-2022</t>
        </is>
      </c>
      <c r="B179" s="1" t="n">
        <v>44725</v>
      </c>
      <c r="C179" s="1" t="n">
        <v>46059</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46059</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46059</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46059</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46059</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46059</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46059</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46059</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46059</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46059</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46059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46059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46059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46059</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46059</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46059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46059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46059</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46059</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46059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46059</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46059</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46059</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46059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46059</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46059</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46059</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46059</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46059</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46059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46059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46059</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46059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46059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46059</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46059</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46059</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46059</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46059</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46059</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46059</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46059</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46059</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46059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46059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46059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46059</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46059</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46059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46059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46059</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46059</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46059</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46059</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20356-2022</t>
        </is>
      </c>
      <c r="B233" s="1" t="n">
        <v>44699</v>
      </c>
      <c r="C233" s="1" t="n">
        <v>46059</v>
      </c>
      <c r="D233" t="inlineStr">
        <is>
          <t>GOTLANDS LÄN</t>
        </is>
      </c>
      <c r="E233" t="inlineStr">
        <is>
          <t>GOTLAND</t>
        </is>
      </c>
      <c r="F233" t="inlineStr">
        <is>
          <t>Övriga Aktiebolag</t>
        </is>
      </c>
      <c r="G233" t="n">
        <v>4.4</v>
      </c>
      <c r="H233" t="n">
        <v>0</v>
      </c>
      <c r="I233" t="n">
        <v>0</v>
      </c>
      <c r="J233" t="n">
        <v>0</v>
      </c>
      <c r="K233" t="n">
        <v>0</v>
      </c>
      <c r="L233" t="n">
        <v>0</v>
      </c>
      <c r="M233" t="n">
        <v>0</v>
      </c>
      <c r="N233" t="n">
        <v>0</v>
      </c>
      <c r="O233" t="n">
        <v>0</v>
      </c>
      <c r="P233" t="n">
        <v>0</v>
      </c>
      <c r="Q233" t="n">
        <v>0</v>
      </c>
      <c r="R233" s="2" t="inlineStr"/>
    </row>
    <row r="234" ht="15" customHeight="1">
      <c r="A234" t="inlineStr">
        <is>
          <t>A 18742-2025</t>
        </is>
      </c>
      <c r="B234" s="1" t="n">
        <v>45763</v>
      </c>
      <c r="C234" s="1" t="n">
        <v>46059</v>
      </c>
      <c r="D234" t="inlineStr">
        <is>
          <t>GOTLANDS LÄN</t>
        </is>
      </c>
      <c r="E234" t="inlineStr">
        <is>
          <t>GOTLAND</t>
        </is>
      </c>
      <c r="G234" t="n">
        <v>3.4</v>
      </c>
      <c r="H234" t="n">
        <v>0</v>
      </c>
      <c r="I234" t="n">
        <v>0</v>
      </c>
      <c r="J234" t="n">
        <v>0</v>
      </c>
      <c r="K234" t="n">
        <v>0</v>
      </c>
      <c r="L234" t="n">
        <v>0</v>
      </c>
      <c r="M234" t="n">
        <v>0</v>
      </c>
      <c r="N234" t="n">
        <v>0</v>
      </c>
      <c r="O234" t="n">
        <v>0</v>
      </c>
      <c r="P234" t="n">
        <v>0</v>
      </c>
      <c r="Q234" t="n">
        <v>0</v>
      </c>
      <c r="R234" s="2" t="inlineStr"/>
    </row>
    <row r="235" ht="15" customHeight="1">
      <c r="A235" t="inlineStr">
        <is>
          <t>A 35129-2025</t>
        </is>
      </c>
      <c r="B235" s="1" t="n">
        <v>45852.63224537037</v>
      </c>
      <c r="C235" s="1" t="n">
        <v>46059</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46059</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13498-2022</t>
        </is>
      </c>
      <c r="B237" s="1" t="n">
        <v>44647.78866898148</v>
      </c>
      <c r="C237" s="1" t="n">
        <v>46059</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13500-2022</t>
        </is>
      </c>
      <c r="B238" s="1" t="n">
        <v>44647.79513888889</v>
      </c>
      <c r="C238" s="1" t="n">
        <v>46059</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46059</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46059</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46059</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18993-2025</t>
        </is>
      </c>
      <c r="B242" s="1" t="n">
        <v>45764</v>
      </c>
      <c r="C242" s="1" t="n">
        <v>46059</v>
      </c>
      <c r="D242" t="inlineStr">
        <is>
          <t>GOTLANDS LÄN</t>
        </is>
      </c>
      <c r="E242" t="inlineStr">
        <is>
          <t>GOTLAND</t>
        </is>
      </c>
      <c r="G242" t="n">
        <v>3</v>
      </c>
      <c r="H242" t="n">
        <v>0</v>
      </c>
      <c r="I242" t="n">
        <v>0</v>
      </c>
      <c r="J242" t="n">
        <v>0</v>
      </c>
      <c r="K242" t="n">
        <v>0</v>
      </c>
      <c r="L242" t="n">
        <v>0</v>
      </c>
      <c r="M242" t="n">
        <v>0</v>
      </c>
      <c r="N242" t="n">
        <v>0</v>
      </c>
      <c r="O242" t="n">
        <v>0</v>
      </c>
      <c r="P242" t="n">
        <v>0</v>
      </c>
      <c r="Q242" t="n">
        <v>0</v>
      </c>
      <c r="R242" s="2" t="inlineStr"/>
    </row>
    <row r="243" ht="15" customHeight="1">
      <c r="A243" t="inlineStr">
        <is>
          <t>A 6108-2025</t>
        </is>
      </c>
      <c r="B243" s="1" t="n">
        <v>45698.29880787037</v>
      </c>
      <c r="C243" s="1" t="n">
        <v>46059</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21142-2025</t>
        </is>
      </c>
      <c r="B244" s="1" t="n">
        <v>45779</v>
      </c>
      <c r="C244" s="1" t="n">
        <v>46059</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46396-2023</t>
        </is>
      </c>
      <c r="B245" s="1" t="n">
        <v>45197</v>
      </c>
      <c r="C245" s="1" t="n">
        <v>46059</v>
      </c>
      <c r="D245" t="inlineStr">
        <is>
          <t>GOTLANDS LÄN</t>
        </is>
      </c>
      <c r="E245" t="inlineStr">
        <is>
          <t>GOTLAND</t>
        </is>
      </c>
      <c r="G245" t="n">
        <v>1.4</v>
      </c>
      <c r="H245" t="n">
        <v>0</v>
      </c>
      <c r="I245" t="n">
        <v>0</v>
      </c>
      <c r="J245" t="n">
        <v>0</v>
      </c>
      <c r="K245" t="n">
        <v>0</v>
      </c>
      <c r="L245" t="n">
        <v>0</v>
      </c>
      <c r="M245" t="n">
        <v>0</v>
      </c>
      <c r="N245" t="n">
        <v>0</v>
      </c>
      <c r="O245" t="n">
        <v>0</v>
      </c>
      <c r="P245" t="n">
        <v>0</v>
      </c>
      <c r="Q245" t="n">
        <v>0</v>
      </c>
      <c r="R245" s="2" t="inlineStr"/>
    </row>
    <row r="246" ht="15" customHeight="1">
      <c r="A246" t="inlineStr">
        <is>
          <t>A 17343-2025</t>
        </is>
      </c>
      <c r="B246" s="1" t="n">
        <v>45756.6687037037</v>
      </c>
      <c r="C246" s="1" t="n">
        <v>46059</v>
      </c>
      <c r="D246" t="inlineStr">
        <is>
          <t>GOTLANDS LÄN</t>
        </is>
      </c>
      <c r="E246" t="inlineStr">
        <is>
          <t>GOTLAND</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30135-2025</t>
        </is>
      </c>
      <c r="B247" s="1" t="n">
        <v>45826</v>
      </c>
      <c r="C247" s="1" t="n">
        <v>46059</v>
      </c>
      <c r="D247" t="inlineStr">
        <is>
          <t>GOTLANDS LÄN</t>
        </is>
      </c>
      <c r="E247" t="inlineStr">
        <is>
          <t>GOTLAND</t>
        </is>
      </c>
      <c r="G247" t="n">
        <v>2.7</v>
      </c>
      <c r="H247" t="n">
        <v>0</v>
      </c>
      <c r="I247" t="n">
        <v>0</v>
      </c>
      <c r="J247" t="n">
        <v>0</v>
      </c>
      <c r="K247" t="n">
        <v>0</v>
      </c>
      <c r="L247" t="n">
        <v>0</v>
      </c>
      <c r="M247" t="n">
        <v>0</v>
      </c>
      <c r="N247" t="n">
        <v>0</v>
      </c>
      <c r="O247" t="n">
        <v>0</v>
      </c>
      <c r="P247" t="n">
        <v>0</v>
      </c>
      <c r="Q247" t="n">
        <v>0</v>
      </c>
      <c r="R247" s="2" t="inlineStr"/>
    </row>
    <row r="248" ht="15" customHeight="1">
      <c r="A248" t="inlineStr">
        <is>
          <t>A 30282-2022</t>
        </is>
      </c>
      <c r="B248" s="1" t="n">
        <v>44760</v>
      </c>
      <c r="C248" s="1" t="n">
        <v>46059</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17724-2024</t>
        </is>
      </c>
      <c r="B249" s="1" t="n">
        <v>45418.55096064815</v>
      </c>
      <c r="C249" s="1" t="n">
        <v>46059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12599-2025</t>
        </is>
      </c>
      <c r="B250" s="1" t="n">
        <v>45733.29546296296</v>
      </c>
      <c r="C250" s="1" t="n">
        <v>46059</v>
      </c>
      <c r="D250" t="inlineStr">
        <is>
          <t>GOTLANDS LÄN</t>
        </is>
      </c>
      <c r="E250" t="inlineStr">
        <is>
          <t>GOTLAND</t>
        </is>
      </c>
      <c r="G250" t="n">
        <v>4.7</v>
      </c>
      <c r="H250" t="n">
        <v>0</v>
      </c>
      <c r="I250" t="n">
        <v>0</v>
      </c>
      <c r="J250" t="n">
        <v>0</v>
      </c>
      <c r="K250" t="n">
        <v>0</v>
      </c>
      <c r="L250" t="n">
        <v>0</v>
      </c>
      <c r="M250" t="n">
        <v>0</v>
      </c>
      <c r="N250" t="n">
        <v>0</v>
      </c>
      <c r="O250" t="n">
        <v>0</v>
      </c>
      <c r="P250" t="n">
        <v>0</v>
      </c>
      <c r="Q250" t="n">
        <v>0</v>
      </c>
      <c r="R250" s="2" t="inlineStr"/>
    </row>
    <row r="251" ht="15" customHeight="1">
      <c r="A251" t="inlineStr">
        <is>
          <t>A 34312-2024</t>
        </is>
      </c>
      <c r="B251" s="1" t="n">
        <v>45524.69703703704</v>
      </c>
      <c r="C251" s="1" t="n">
        <v>46059</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18938-2025</t>
        </is>
      </c>
      <c r="B252" s="1" t="n">
        <v>45764.49172453704</v>
      </c>
      <c r="C252" s="1" t="n">
        <v>46059</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35141-2025</t>
        </is>
      </c>
      <c r="B253" s="1" t="n">
        <v>45852.65206018519</v>
      </c>
      <c r="C253" s="1" t="n">
        <v>46059</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46059</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4868-2024</t>
        </is>
      </c>
      <c r="B255" s="1" t="n">
        <v>45329</v>
      </c>
      <c r="C255" s="1" t="n">
        <v>46059</v>
      </c>
      <c r="D255" t="inlineStr">
        <is>
          <t>GOTLANDS LÄN</t>
        </is>
      </c>
      <c r="E255" t="inlineStr">
        <is>
          <t>GOTLAND</t>
        </is>
      </c>
      <c r="G255" t="n">
        <v>7.1</v>
      </c>
      <c r="H255" t="n">
        <v>0</v>
      </c>
      <c r="I255" t="n">
        <v>0</v>
      </c>
      <c r="J255" t="n">
        <v>0</v>
      </c>
      <c r="K255" t="n">
        <v>0</v>
      </c>
      <c r="L255" t="n">
        <v>0</v>
      </c>
      <c r="M255" t="n">
        <v>0</v>
      </c>
      <c r="N255" t="n">
        <v>0</v>
      </c>
      <c r="O255" t="n">
        <v>0</v>
      </c>
      <c r="P255" t="n">
        <v>0</v>
      </c>
      <c r="Q255" t="n">
        <v>0</v>
      </c>
      <c r="R255" s="2" t="inlineStr"/>
    </row>
    <row r="256" ht="15" customHeight="1">
      <c r="A256" t="inlineStr">
        <is>
          <t>A 30489-2025</t>
        </is>
      </c>
      <c r="B256" s="1" t="n">
        <v>45830</v>
      </c>
      <c r="C256" s="1" t="n">
        <v>46059</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69112-2021</t>
        </is>
      </c>
      <c r="B257" s="1" t="n">
        <v>44530</v>
      </c>
      <c r="C257" s="1" t="n">
        <v>46059</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7638-2025</t>
        </is>
      </c>
      <c r="B258" s="1" t="n">
        <v>45705.77306712963</v>
      </c>
      <c r="C258" s="1" t="n">
        <v>46059</v>
      </c>
      <c r="D258" t="inlineStr">
        <is>
          <t>GOTLANDS LÄN</t>
        </is>
      </c>
      <c r="E258" t="inlineStr">
        <is>
          <t>GOTLAND</t>
        </is>
      </c>
      <c r="G258" t="n">
        <v>2.2</v>
      </c>
      <c r="H258" t="n">
        <v>0</v>
      </c>
      <c r="I258" t="n">
        <v>0</v>
      </c>
      <c r="J258" t="n">
        <v>0</v>
      </c>
      <c r="K258" t="n">
        <v>0</v>
      </c>
      <c r="L258" t="n">
        <v>0</v>
      </c>
      <c r="M258" t="n">
        <v>0</v>
      </c>
      <c r="N258" t="n">
        <v>0</v>
      </c>
      <c r="O258" t="n">
        <v>0</v>
      </c>
      <c r="P258" t="n">
        <v>0</v>
      </c>
      <c r="Q258" t="n">
        <v>0</v>
      </c>
      <c r="R258" s="2" t="inlineStr"/>
    </row>
    <row r="259" ht="15" customHeight="1">
      <c r="A259" t="inlineStr">
        <is>
          <t>A 50482-2024</t>
        </is>
      </c>
      <c r="B259" s="1" t="n">
        <v>45601.48114583334</v>
      </c>
      <c r="C259" s="1" t="n">
        <v>46059</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1394-2023</t>
        </is>
      </c>
      <c r="B260" s="1" t="n">
        <v>44936.72997685185</v>
      </c>
      <c r="C260" s="1" t="n">
        <v>46059</v>
      </c>
      <c r="D260" t="inlineStr">
        <is>
          <t>GOTLANDS LÄN</t>
        </is>
      </c>
      <c r="E260" t="inlineStr">
        <is>
          <t>GOTLAND</t>
        </is>
      </c>
      <c r="G260" t="n">
        <v>2.1</v>
      </c>
      <c r="H260" t="n">
        <v>0</v>
      </c>
      <c r="I260" t="n">
        <v>0</v>
      </c>
      <c r="J260" t="n">
        <v>0</v>
      </c>
      <c r="K260" t="n">
        <v>0</v>
      </c>
      <c r="L260" t="n">
        <v>0</v>
      </c>
      <c r="M260" t="n">
        <v>0</v>
      </c>
      <c r="N260" t="n">
        <v>0</v>
      </c>
      <c r="O260" t="n">
        <v>0</v>
      </c>
      <c r="P260" t="n">
        <v>0</v>
      </c>
      <c r="Q260" t="n">
        <v>0</v>
      </c>
      <c r="R260" s="2" t="inlineStr"/>
    </row>
    <row r="261" ht="15" customHeight="1">
      <c r="A261" t="inlineStr">
        <is>
          <t>A 20307-2025</t>
        </is>
      </c>
      <c r="B261" s="1" t="n">
        <v>45774.95546296296</v>
      </c>
      <c r="C261" s="1" t="n">
        <v>46059</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46059</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46059</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32330-2024</t>
        </is>
      </c>
      <c r="B264" s="1" t="n">
        <v>45512</v>
      </c>
      <c r="C264" s="1" t="n">
        <v>46059</v>
      </c>
      <c r="D264" t="inlineStr">
        <is>
          <t>GOTLANDS LÄN</t>
        </is>
      </c>
      <c r="E264" t="inlineStr">
        <is>
          <t>GOTLAND</t>
        </is>
      </c>
      <c r="G264" t="n">
        <v>2.6</v>
      </c>
      <c r="H264" t="n">
        <v>0</v>
      </c>
      <c r="I264" t="n">
        <v>0</v>
      </c>
      <c r="J264" t="n">
        <v>0</v>
      </c>
      <c r="K264" t="n">
        <v>0</v>
      </c>
      <c r="L264" t="n">
        <v>0</v>
      </c>
      <c r="M264" t="n">
        <v>0</v>
      </c>
      <c r="N264" t="n">
        <v>0</v>
      </c>
      <c r="O264" t="n">
        <v>0</v>
      </c>
      <c r="P264" t="n">
        <v>0</v>
      </c>
      <c r="Q264" t="n">
        <v>0</v>
      </c>
      <c r="R264" s="2" t="inlineStr"/>
    </row>
    <row r="265" ht="15" customHeight="1">
      <c r="A265" t="inlineStr">
        <is>
          <t>A 25129-2023</t>
        </is>
      </c>
      <c r="B265" s="1" t="n">
        <v>45086.44261574074</v>
      </c>
      <c r="C265" s="1" t="n">
        <v>46059</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24192-2023</t>
        </is>
      </c>
      <c r="B266" s="1" t="n">
        <v>45079</v>
      </c>
      <c r="C266" s="1" t="n">
        <v>46059</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9613-2025</t>
        </is>
      </c>
      <c r="B267" s="1" t="n">
        <v>45715</v>
      </c>
      <c r="C267" s="1" t="n">
        <v>46059</v>
      </c>
      <c r="D267" t="inlineStr">
        <is>
          <t>GOTLANDS LÄN</t>
        </is>
      </c>
      <c r="E267" t="inlineStr">
        <is>
          <t>GOTLAND</t>
        </is>
      </c>
      <c r="G267" t="n">
        <v>3.5</v>
      </c>
      <c r="H267" t="n">
        <v>0</v>
      </c>
      <c r="I267" t="n">
        <v>0</v>
      </c>
      <c r="J267" t="n">
        <v>0</v>
      </c>
      <c r="K267" t="n">
        <v>0</v>
      </c>
      <c r="L267" t="n">
        <v>0</v>
      </c>
      <c r="M267" t="n">
        <v>0</v>
      </c>
      <c r="N267" t="n">
        <v>0</v>
      </c>
      <c r="O267" t="n">
        <v>0</v>
      </c>
      <c r="P267" t="n">
        <v>0</v>
      </c>
      <c r="Q267" t="n">
        <v>0</v>
      </c>
      <c r="R267" s="2" t="inlineStr"/>
    </row>
    <row r="268" ht="15" customHeight="1">
      <c r="A268" t="inlineStr">
        <is>
          <t>A 5386-2023</t>
        </is>
      </c>
      <c r="B268" s="1" t="n">
        <v>44959</v>
      </c>
      <c r="C268" s="1" t="n">
        <v>46059</v>
      </c>
      <c r="D268" t="inlineStr">
        <is>
          <t>GOTLANDS LÄN</t>
        </is>
      </c>
      <c r="E268" t="inlineStr">
        <is>
          <t>GOTLAND</t>
        </is>
      </c>
      <c r="G268" t="n">
        <v>5.4</v>
      </c>
      <c r="H268" t="n">
        <v>0</v>
      </c>
      <c r="I268" t="n">
        <v>0</v>
      </c>
      <c r="J268" t="n">
        <v>0</v>
      </c>
      <c r="K268" t="n">
        <v>0</v>
      </c>
      <c r="L268" t="n">
        <v>0</v>
      </c>
      <c r="M268" t="n">
        <v>0</v>
      </c>
      <c r="N268" t="n">
        <v>0</v>
      </c>
      <c r="O268" t="n">
        <v>0</v>
      </c>
      <c r="P268" t="n">
        <v>0</v>
      </c>
      <c r="Q268" t="n">
        <v>0</v>
      </c>
      <c r="R268" s="2" t="inlineStr"/>
    </row>
    <row r="269" ht="15" customHeight="1">
      <c r="A269" t="inlineStr">
        <is>
          <t>A 7026-2023</t>
        </is>
      </c>
      <c r="B269" s="1" t="n">
        <v>44968.30340277778</v>
      </c>
      <c r="C269" s="1" t="n">
        <v>46059</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20855-2023</t>
        </is>
      </c>
      <c r="B270" s="1" t="n">
        <v>45058.82172453704</v>
      </c>
      <c r="C270" s="1" t="n">
        <v>46059</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1000-2024</t>
        </is>
      </c>
      <c r="B271" s="1" t="n">
        <v>45301.63371527778</v>
      </c>
      <c r="C271" s="1" t="n">
        <v>46059</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1010-2024</t>
        </is>
      </c>
      <c r="B272" s="1" t="n">
        <v>45301</v>
      </c>
      <c r="C272" s="1" t="n">
        <v>46059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15595-2024</t>
        </is>
      </c>
      <c r="B273" s="1" t="n">
        <v>45401.81480324074</v>
      </c>
      <c r="C273" s="1" t="n">
        <v>46059</v>
      </c>
      <c r="D273" t="inlineStr">
        <is>
          <t>GOTLANDS LÄN</t>
        </is>
      </c>
      <c r="E273" t="inlineStr">
        <is>
          <t>GOTLAND</t>
        </is>
      </c>
      <c r="G273" t="n">
        <v>6.4</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46059</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5751-2024</t>
        </is>
      </c>
      <c r="B275" s="1" t="n">
        <v>45335.32702546296</v>
      </c>
      <c r="C275" s="1" t="n">
        <v>46059</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39814-2025</t>
        </is>
      </c>
      <c r="B276" s="1" t="n">
        <v>45891.52694444444</v>
      </c>
      <c r="C276" s="1" t="n">
        <v>46059</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46059</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39752-2025</t>
        </is>
      </c>
      <c r="B278" s="1" t="n">
        <v>45891</v>
      </c>
      <c r="C278" s="1" t="n">
        <v>46059</v>
      </c>
      <c r="D278" t="inlineStr">
        <is>
          <t>GOTLANDS LÄN</t>
        </is>
      </c>
      <c r="E278" t="inlineStr">
        <is>
          <t>GOTLAND</t>
        </is>
      </c>
      <c r="G278" t="n">
        <v>5.3</v>
      </c>
      <c r="H278" t="n">
        <v>0</v>
      </c>
      <c r="I278" t="n">
        <v>0</v>
      </c>
      <c r="J278" t="n">
        <v>0</v>
      </c>
      <c r="K278" t="n">
        <v>0</v>
      </c>
      <c r="L278" t="n">
        <v>0</v>
      </c>
      <c r="M278" t="n">
        <v>0</v>
      </c>
      <c r="N278" t="n">
        <v>0</v>
      </c>
      <c r="O278" t="n">
        <v>0</v>
      </c>
      <c r="P278" t="n">
        <v>0</v>
      </c>
      <c r="Q278" t="n">
        <v>0</v>
      </c>
      <c r="R278" s="2" t="inlineStr"/>
    </row>
    <row r="279" ht="15" customHeight="1">
      <c r="A279" t="inlineStr">
        <is>
          <t>A 39816-2025</t>
        </is>
      </c>
      <c r="B279" s="1" t="n">
        <v>45891</v>
      </c>
      <c r="C279" s="1" t="n">
        <v>46059</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40103-2025</t>
        </is>
      </c>
      <c r="B280" s="1" t="n">
        <v>45894.4880324074</v>
      </c>
      <c r="C280" s="1" t="n">
        <v>46059</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47762-2023</t>
        </is>
      </c>
      <c r="B281" s="1" t="n">
        <v>45203.86256944444</v>
      </c>
      <c r="C281" s="1" t="n">
        <v>46059</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40373-2025</t>
        </is>
      </c>
      <c r="B282" s="1" t="n">
        <v>45895.51821759259</v>
      </c>
      <c r="C282" s="1" t="n">
        <v>46059</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46059</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40372-2025</t>
        </is>
      </c>
      <c r="B284" s="1" t="n">
        <v>45895.5162037037</v>
      </c>
      <c r="C284" s="1" t="n">
        <v>46059</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46545-2024</t>
        </is>
      </c>
      <c r="B285" s="1" t="n">
        <v>45582.65831018519</v>
      </c>
      <c r="C285" s="1" t="n">
        <v>46059</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24966-2023</t>
        </is>
      </c>
      <c r="B286" s="1" t="n">
        <v>45085</v>
      </c>
      <c r="C286" s="1" t="n">
        <v>46059</v>
      </c>
      <c r="D286" t="inlineStr">
        <is>
          <t>GOTLANDS LÄN</t>
        </is>
      </c>
      <c r="E286" t="inlineStr">
        <is>
          <t>GOTLAND</t>
        </is>
      </c>
      <c r="G286" t="n">
        <v>7</v>
      </c>
      <c r="H286" t="n">
        <v>0</v>
      </c>
      <c r="I286" t="n">
        <v>0</v>
      </c>
      <c r="J286" t="n">
        <v>0</v>
      </c>
      <c r="K286" t="n">
        <v>0</v>
      </c>
      <c r="L286" t="n">
        <v>0</v>
      </c>
      <c r="M286" t="n">
        <v>0</v>
      </c>
      <c r="N286" t="n">
        <v>0</v>
      </c>
      <c r="O286" t="n">
        <v>0</v>
      </c>
      <c r="P286" t="n">
        <v>0</v>
      </c>
      <c r="Q286" t="n">
        <v>0</v>
      </c>
      <c r="R286" s="2" t="inlineStr"/>
    </row>
    <row r="287" ht="15" customHeight="1">
      <c r="A287" t="inlineStr">
        <is>
          <t>A 46189-2022</t>
        </is>
      </c>
      <c r="B287" s="1" t="n">
        <v>44847</v>
      </c>
      <c r="C287" s="1" t="n">
        <v>46059</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60086-2022</t>
        </is>
      </c>
      <c r="B288" s="1" t="n">
        <v>44909</v>
      </c>
      <c r="C288" s="1" t="n">
        <v>46059</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46059</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56688-2025</t>
        </is>
      </c>
      <c r="B290" s="1" t="n">
        <v>45975.84331018518</v>
      </c>
      <c r="C290" s="1" t="n">
        <v>46059</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28480-2023</t>
        </is>
      </c>
      <c r="B291" s="1" t="n">
        <v>45103</v>
      </c>
      <c r="C291" s="1" t="n">
        <v>46059</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28485-2023</t>
        </is>
      </c>
      <c r="B292" s="1" t="n">
        <v>45103.43731481482</v>
      </c>
      <c r="C292" s="1" t="n">
        <v>46059</v>
      </c>
      <c r="D292" t="inlineStr">
        <is>
          <t>GOTLANDS LÄN</t>
        </is>
      </c>
      <c r="E292" t="inlineStr">
        <is>
          <t>GOTLAND</t>
        </is>
      </c>
      <c r="G292" t="n">
        <v>2.3</v>
      </c>
      <c r="H292" t="n">
        <v>0</v>
      </c>
      <c r="I292" t="n">
        <v>0</v>
      </c>
      <c r="J292" t="n">
        <v>0</v>
      </c>
      <c r="K292" t="n">
        <v>0</v>
      </c>
      <c r="L292" t="n">
        <v>0</v>
      </c>
      <c r="M292" t="n">
        <v>0</v>
      </c>
      <c r="N292" t="n">
        <v>0</v>
      </c>
      <c r="O292" t="n">
        <v>0</v>
      </c>
      <c r="P292" t="n">
        <v>0</v>
      </c>
      <c r="Q292" t="n">
        <v>0</v>
      </c>
      <c r="R292" s="2" t="inlineStr"/>
    </row>
    <row r="293" ht="15" customHeight="1">
      <c r="A293" t="inlineStr">
        <is>
          <t>A 22031-2024</t>
        </is>
      </c>
      <c r="B293" s="1" t="n">
        <v>45443.60075231481</v>
      </c>
      <c r="C293" s="1" t="n">
        <v>46059</v>
      </c>
      <c r="D293" t="inlineStr">
        <is>
          <t>GOTLANDS LÄN</t>
        </is>
      </c>
      <c r="E293" t="inlineStr">
        <is>
          <t>GOTLAND</t>
        </is>
      </c>
      <c r="G293" t="n">
        <v>2.3</v>
      </c>
      <c r="H293" t="n">
        <v>0</v>
      </c>
      <c r="I293" t="n">
        <v>0</v>
      </c>
      <c r="J293" t="n">
        <v>0</v>
      </c>
      <c r="K293" t="n">
        <v>0</v>
      </c>
      <c r="L293" t="n">
        <v>0</v>
      </c>
      <c r="M293" t="n">
        <v>0</v>
      </c>
      <c r="N293" t="n">
        <v>0</v>
      </c>
      <c r="O293" t="n">
        <v>0</v>
      </c>
      <c r="P293" t="n">
        <v>0</v>
      </c>
      <c r="Q293" t="n">
        <v>0</v>
      </c>
      <c r="R293" s="2" t="inlineStr"/>
    </row>
    <row r="294" ht="15" customHeight="1">
      <c r="A294" t="inlineStr">
        <is>
          <t>A 49314-2024</t>
        </is>
      </c>
      <c r="B294" s="1" t="n">
        <v>45595.55893518519</v>
      </c>
      <c r="C294" s="1" t="n">
        <v>46059</v>
      </c>
      <c r="D294" t="inlineStr">
        <is>
          <t>GOTLANDS LÄN</t>
        </is>
      </c>
      <c r="E294" t="inlineStr">
        <is>
          <t>GOTLAND</t>
        </is>
      </c>
      <c r="G294" t="n">
        <v>1.1</v>
      </c>
      <c r="H294" t="n">
        <v>0</v>
      </c>
      <c r="I294" t="n">
        <v>0</v>
      </c>
      <c r="J294" t="n">
        <v>0</v>
      </c>
      <c r="K294" t="n">
        <v>0</v>
      </c>
      <c r="L294" t="n">
        <v>0</v>
      </c>
      <c r="M294" t="n">
        <v>0</v>
      </c>
      <c r="N294" t="n">
        <v>0</v>
      </c>
      <c r="O294" t="n">
        <v>0</v>
      </c>
      <c r="P294" t="n">
        <v>0</v>
      </c>
      <c r="Q294" t="n">
        <v>0</v>
      </c>
      <c r="R294" s="2" t="inlineStr"/>
    </row>
    <row r="295" ht="15" customHeight="1">
      <c r="A295" t="inlineStr">
        <is>
          <t>A 44919-2022</t>
        </is>
      </c>
      <c r="B295" s="1" t="n">
        <v>44841</v>
      </c>
      <c r="C295" s="1" t="n">
        <v>46059</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46059</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62915-2021</t>
        </is>
      </c>
      <c r="B297" s="1" t="n">
        <v>44504</v>
      </c>
      <c r="C297" s="1" t="n">
        <v>46059</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36-2026</t>
        </is>
      </c>
      <c r="B298" s="1" t="n">
        <v>46024.38886574074</v>
      </c>
      <c r="C298" s="1" t="n">
        <v>46059</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46059</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48503-2023</t>
        </is>
      </c>
      <c r="B300" s="1" t="n">
        <v>45207</v>
      </c>
      <c r="C300" s="1" t="n">
        <v>46059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65901-2021</t>
        </is>
      </c>
      <c r="B301" s="1" t="n">
        <v>44516</v>
      </c>
      <c r="C301" s="1" t="n">
        <v>46059</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44649-2021</t>
        </is>
      </c>
      <c r="B302" s="1" t="n">
        <v>44437</v>
      </c>
      <c r="C302" s="1" t="n">
        <v>46059</v>
      </c>
      <c r="D302" t="inlineStr">
        <is>
          <t>GOTLANDS LÄN</t>
        </is>
      </c>
      <c r="E302" t="inlineStr">
        <is>
          <t>GOTLAND</t>
        </is>
      </c>
      <c r="G302" t="n">
        <v>8.1</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46059</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9947-2024</t>
        </is>
      </c>
      <c r="B304" s="1" t="n">
        <v>45363</v>
      </c>
      <c r="C304" s="1" t="n">
        <v>46059</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16373-2025</t>
        </is>
      </c>
      <c r="B305" s="1" t="n">
        <v>45751</v>
      </c>
      <c r="C305" s="1" t="n">
        <v>46059</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17682-2024</t>
        </is>
      </c>
      <c r="B306" s="1" t="n">
        <v>45418.42966435185</v>
      </c>
      <c r="C306" s="1" t="n">
        <v>46059</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57522-2022</t>
        </is>
      </c>
      <c r="B307" s="1" t="n">
        <v>44896</v>
      </c>
      <c r="C307" s="1" t="n">
        <v>46059</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46059</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59197-2025</t>
        </is>
      </c>
      <c r="B309" s="1" t="n">
        <v>45988.59846064815</v>
      </c>
      <c r="C309" s="1" t="n">
        <v>46059</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27593-2023</t>
        </is>
      </c>
      <c r="B310" s="1" t="n">
        <v>45097</v>
      </c>
      <c r="C310" s="1" t="n">
        <v>46059</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10158-2025</t>
        </is>
      </c>
      <c r="B311" s="1" t="n">
        <v>45719</v>
      </c>
      <c r="C311" s="1" t="n">
        <v>46059</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1355-2026</t>
        </is>
      </c>
      <c r="B312" s="1" t="n">
        <v>46031.59909722222</v>
      </c>
      <c r="C312" s="1" t="n">
        <v>46059</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46059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44410-2025</t>
        </is>
      </c>
      <c r="B314" s="1" t="n">
        <v>45916.53699074074</v>
      </c>
      <c r="C314" s="1" t="n">
        <v>46059</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46059</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46059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46059</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24001-2021</t>
        </is>
      </c>
      <c r="B318" s="1" t="n">
        <v>44335</v>
      </c>
      <c r="C318" s="1" t="n">
        <v>46059</v>
      </c>
      <c r="D318" t="inlineStr">
        <is>
          <t>GOTLANDS LÄN</t>
        </is>
      </c>
      <c r="E318" t="inlineStr">
        <is>
          <t>GOTLAND</t>
        </is>
      </c>
      <c r="G318" t="n">
        <v>3.4</v>
      </c>
      <c r="H318" t="n">
        <v>0</v>
      </c>
      <c r="I318" t="n">
        <v>0</v>
      </c>
      <c r="J318" t="n">
        <v>0</v>
      </c>
      <c r="K318" t="n">
        <v>0</v>
      </c>
      <c r="L318" t="n">
        <v>0</v>
      </c>
      <c r="M318" t="n">
        <v>0</v>
      </c>
      <c r="N318" t="n">
        <v>0</v>
      </c>
      <c r="O318" t="n">
        <v>0</v>
      </c>
      <c r="P318" t="n">
        <v>0</v>
      </c>
      <c r="Q318" t="n">
        <v>0</v>
      </c>
      <c r="R318" s="2" t="inlineStr"/>
    </row>
    <row r="319" ht="15" customHeight="1">
      <c r="A319" t="inlineStr">
        <is>
          <t>A 2415-2026</t>
        </is>
      </c>
      <c r="B319" s="1" t="n">
        <v>46036.76203703704</v>
      </c>
      <c r="C319" s="1" t="n">
        <v>46059</v>
      </c>
      <c r="D319" t="inlineStr">
        <is>
          <t>GOTLANDS LÄN</t>
        </is>
      </c>
      <c r="E319" t="inlineStr">
        <is>
          <t>GOTLAND</t>
        </is>
      </c>
      <c r="G319" t="n">
        <v>6.9</v>
      </c>
      <c r="H319" t="n">
        <v>0</v>
      </c>
      <c r="I319" t="n">
        <v>0</v>
      </c>
      <c r="J319" t="n">
        <v>0</v>
      </c>
      <c r="K319" t="n">
        <v>0</v>
      </c>
      <c r="L319" t="n">
        <v>0</v>
      </c>
      <c r="M319" t="n">
        <v>0</v>
      </c>
      <c r="N319" t="n">
        <v>0</v>
      </c>
      <c r="O319" t="n">
        <v>0</v>
      </c>
      <c r="P319" t="n">
        <v>0</v>
      </c>
      <c r="Q319" t="n">
        <v>0</v>
      </c>
      <c r="R319" s="2" t="inlineStr"/>
    </row>
    <row r="320" ht="15" customHeight="1">
      <c r="A320" t="inlineStr">
        <is>
          <t>A 36319-2025</t>
        </is>
      </c>
      <c r="B320" s="1" t="n">
        <v>45868</v>
      </c>
      <c r="C320" s="1" t="n">
        <v>46059</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1839-2026</t>
        </is>
      </c>
      <c r="B321" s="1" t="n">
        <v>46035.3942824074</v>
      </c>
      <c r="C321" s="1" t="n">
        <v>46059</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1854-2026</t>
        </is>
      </c>
      <c r="B322" s="1" t="n">
        <v>46035.4171875</v>
      </c>
      <c r="C322" s="1" t="n">
        <v>46059</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30365-2024</t>
        </is>
      </c>
      <c r="B323" s="1" t="n">
        <v>45491.3716087963</v>
      </c>
      <c r="C323" s="1" t="n">
        <v>46059</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1681-2023</t>
        </is>
      </c>
      <c r="B324" s="1" t="n">
        <v>44938.39715277778</v>
      </c>
      <c r="C324" s="1" t="n">
        <v>46059</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2135-2026</t>
        </is>
      </c>
      <c r="B325" s="1" t="n">
        <v>46036</v>
      </c>
      <c r="C325" s="1" t="n">
        <v>46059</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37222-2021</t>
        </is>
      </c>
      <c r="B326" s="1" t="n">
        <v>44396</v>
      </c>
      <c r="C326" s="1" t="n">
        <v>46059</v>
      </c>
      <c r="D326" t="inlineStr">
        <is>
          <t>GOTLANDS LÄN</t>
        </is>
      </c>
      <c r="E326" t="inlineStr">
        <is>
          <t>GOTLAND</t>
        </is>
      </c>
      <c r="G326" t="n">
        <v>3</v>
      </c>
      <c r="H326" t="n">
        <v>0</v>
      </c>
      <c r="I326" t="n">
        <v>0</v>
      </c>
      <c r="J326" t="n">
        <v>0</v>
      </c>
      <c r="K326" t="n">
        <v>0</v>
      </c>
      <c r="L326" t="n">
        <v>0</v>
      </c>
      <c r="M326" t="n">
        <v>0</v>
      </c>
      <c r="N326" t="n">
        <v>0</v>
      </c>
      <c r="O326" t="n">
        <v>0</v>
      </c>
      <c r="P326" t="n">
        <v>0</v>
      </c>
      <c r="Q326" t="n">
        <v>0</v>
      </c>
      <c r="R326" s="2" t="inlineStr"/>
    </row>
    <row r="327" ht="15" customHeight="1">
      <c r="A327" t="inlineStr">
        <is>
          <t>A 2134-2026</t>
        </is>
      </c>
      <c r="B327" s="1" t="n">
        <v>46036</v>
      </c>
      <c r="C327" s="1" t="n">
        <v>46059</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1898-2026</t>
        </is>
      </c>
      <c r="B328" s="1" t="n">
        <v>46035.52024305556</v>
      </c>
      <c r="C328" s="1" t="n">
        <v>46059</v>
      </c>
      <c r="D328" t="inlineStr">
        <is>
          <t>GOTLANDS LÄN</t>
        </is>
      </c>
      <c r="E328" t="inlineStr">
        <is>
          <t>GOTLAND</t>
        </is>
      </c>
      <c r="G328" t="n">
        <v>3.7</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46059</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1273-2023</t>
        </is>
      </c>
      <c r="B330" s="1" t="n">
        <v>44936</v>
      </c>
      <c r="C330" s="1" t="n">
        <v>46059</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58780-2024</t>
        </is>
      </c>
      <c r="B331" s="1" t="n">
        <v>45635.84113425926</v>
      </c>
      <c r="C331" s="1" t="n">
        <v>46059</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26391-2025</t>
        </is>
      </c>
      <c r="B332" s="1" t="n">
        <v>45806</v>
      </c>
      <c r="C332" s="1" t="n">
        <v>46059</v>
      </c>
      <c r="D332" t="inlineStr">
        <is>
          <t>GOTLANDS LÄN</t>
        </is>
      </c>
      <c r="E332" t="inlineStr">
        <is>
          <t>GOTLAND</t>
        </is>
      </c>
      <c r="G332" t="n">
        <v>2</v>
      </c>
      <c r="H332" t="n">
        <v>0</v>
      </c>
      <c r="I332" t="n">
        <v>0</v>
      </c>
      <c r="J332" t="n">
        <v>0</v>
      </c>
      <c r="K332" t="n">
        <v>0</v>
      </c>
      <c r="L332" t="n">
        <v>0</v>
      </c>
      <c r="M332" t="n">
        <v>0</v>
      </c>
      <c r="N332" t="n">
        <v>0</v>
      </c>
      <c r="O332" t="n">
        <v>0</v>
      </c>
      <c r="P332" t="n">
        <v>0</v>
      </c>
      <c r="Q332" t="n">
        <v>0</v>
      </c>
      <c r="R332" s="2" t="inlineStr"/>
    </row>
    <row r="333" ht="15" customHeight="1">
      <c r="A333" t="inlineStr">
        <is>
          <t>A 45692-2023</t>
        </is>
      </c>
      <c r="B333" s="1" t="n">
        <v>45195</v>
      </c>
      <c r="C333" s="1" t="n">
        <v>46059</v>
      </c>
      <c r="D333" t="inlineStr">
        <is>
          <t>GOTLANDS LÄN</t>
        </is>
      </c>
      <c r="E333" t="inlineStr">
        <is>
          <t>GOTLAND</t>
        </is>
      </c>
      <c r="G333" t="n">
        <v>5.3</v>
      </c>
      <c r="H333" t="n">
        <v>0</v>
      </c>
      <c r="I333" t="n">
        <v>0</v>
      </c>
      <c r="J333" t="n">
        <v>0</v>
      </c>
      <c r="K333" t="n">
        <v>0</v>
      </c>
      <c r="L333" t="n">
        <v>0</v>
      </c>
      <c r="M333" t="n">
        <v>0</v>
      </c>
      <c r="N333" t="n">
        <v>0</v>
      </c>
      <c r="O333" t="n">
        <v>0</v>
      </c>
      <c r="P333" t="n">
        <v>0</v>
      </c>
      <c r="Q333" t="n">
        <v>0</v>
      </c>
      <c r="R333" s="2" t="inlineStr"/>
    </row>
    <row r="334" ht="15" customHeight="1">
      <c r="A334" t="inlineStr">
        <is>
          <t>A 33876-2024</t>
        </is>
      </c>
      <c r="B334" s="1" t="n">
        <v>45521.87988425926</v>
      </c>
      <c r="C334" s="1" t="n">
        <v>46059</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46059</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28285-2024</t>
        </is>
      </c>
      <c r="B336" s="1" t="n">
        <v>45477</v>
      </c>
      <c r="C336" s="1" t="n">
        <v>46059</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61100-2022</t>
        </is>
      </c>
      <c r="B337" s="1" t="n">
        <v>44915</v>
      </c>
      <c r="C337" s="1" t="n">
        <v>46059</v>
      </c>
      <c r="D337" t="inlineStr">
        <is>
          <t>GOTLANDS LÄN</t>
        </is>
      </c>
      <c r="E337" t="inlineStr">
        <is>
          <t>GOTLAND</t>
        </is>
      </c>
      <c r="G337" t="n">
        <v>1.4</v>
      </c>
      <c r="H337" t="n">
        <v>0</v>
      </c>
      <c r="I337" t="n">
        <v>0</v>
      </c>
      <c r="J337" t="n">
        <v>0</v>
      </c>
      <c r="K337" t="n">
        <v>0</v>
      </c>
      <c r="L337" t="n">
        <v>0</v>
      </c>
      <c r="M337" t="n">
        <v>0</v>
      </c>
      <c r="N337" t="n">
        <v>0</v>
      </c>
      <c r="O337" t="n">
        <v>0</v>
      </c>
      <c r="P337" t="n">
        <v>0</v>
      </c>
      <c r="Q337" t="n">
        <v>0</v>
      </c>
      <c r="R337" s="2" t="inlineStr"/>
    </row>
    <row r="338" ht="15" customHeight="1">
      <c r="A338" t="inlineStr">
        <is>
          <t>A 61682-2024</t>
        </is>
      </c>
      <c r="B338" s="1" t="n">
        <v>45647.48824074074</v>
      </c>
      <c r="C338" s="1" t="n">
        <v>46059</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3067-2026</t>
        </is>
      </c>
      <c r="B339" s="1" t="n">
        <v>46040.59025462963</v>
      </c>
      <c r="C339" s="1" t="n">
        <v>46059</v>
      </c>
      <c r="D339" t="inlineStr">
        <is>
          <t>GOTLANDS LÄN</t>
        </is>
      </c>
      <c r="E339" t="inlineStr">
        <is>
          <t>GOTLAND</t>
        </is>
      </c>
      <c r="G339" t="n">
        <v>7.8</v>
      </c>
      <c r="H339" t="n">
        <v>0</v>
      </c>
      <c r="I339" t="n">
        <v>0</v>
      </c>
      <c r="J339" t="n">
        <v>0</v>
      </c>
      <c r="K339" t="n">
        <v>0</v>
      </c>
      <c r="L339" t="n">
        <v>0</v>
      </c>
      <c r="M339" t="n">
        <v>0</v>
      </c>
      <c r="N339" t="n">
        <v>0</v>
      </c>
      <c r="O339" t="n">
        <v>0</v>
      </c>
      <c r="P339" t="n">
        <v>0</v>
      </c>
      <c r="Q339" t="n">
        <v>0</v>
      </c>
      <c r="R339" s="2" t="inlineStr"/>
    </row>
    <row r="340" ht="15" customHeight="1">
      <c r="A340" t="inlineStr">
        <is>
          <t>A 3253-2026</t>
        </is>
      </c>
      <c r="B340" s="1" t="n">
        <v>46041.58902777778</v>
      </c>
      <c r="C340" s="1" t="n">
        <v>46059</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3964-2024</t>
        </is>
      </c>
      <c r="B341" s="1" t="n">
        <v>45322</v>
      </c>
      <c r="C341" s="1" t="n">
        <v>46059</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45084-2024</t>
        </is>
      </c>
      <c r="B342" s="1" t="n">
        <v>45575</v>
      </c>
      <c r="C342" s="1" t="n">
        <v>46059</v>
      </c>
      <c r="D342" t="inlineStr">
        <is>
          <t>GOTLANDS LÄN</t>
        </is>
      </c>
      <c r="E342" t="inlineStr">
        <is>
          <t>GOTLAND</t>
        </is>
      </c>
      <c r="G342" t="n">
        <v>6.8</v>
      </c>
      <c r="H342" t="n">
        <v>0</v>
      </c>
      <c r="I342" t="n">
        <v>0</v>
      </c>
      <c r="J342" t="n">
        <v>0</v>
      </c>
      <c r="K342" t="n">
        <v>0</v>
      </c>
      <c r="L342" t="n">
        <v>0</v>
      </c>
      <c r="M342" t="n">
        <v>0</v>
      </c>
      <c r="N342" t="n">
        <v>0</v>
      </c>
      <c r="O342" t="n">
        <v>0</v>
      </c>
      <c r="P342" t="n">
        <v>0</v>
      </c>
      <c r="Q342" t="n">
        <v>0</v>
      </c>
      <c r="R342" s="2" t="inlineStr"/>
    </row>
    <row r="343" ht="15" customHeight="1">
      <c r="A343" t="inlineStr">
        <is>
          <t>A 47637-2025</t>
        </is>
      </c>
      <c r="B343" s="1" t="n">
        <v>45931.49753472222</v>
      </c>
      <c r="C343" s="1" t="n">
        <v>46059</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58388-2022</t>
        </is>
      </c>
      <c r="B344" s="1" t="n">
        <v>44894</v>
      </c>
      <c r="C344" s="1" t="n">
        <v>46059</v>
      </c>
      <c r="D344" t="inlineStr">
        <is>
          <t>GOTLANDS LÄN</t>
        </is>
      </c>
      <c r="E344" t="inlineStr">
        <is>
          <t>GOTLAND</t>
        </is>
      </c>
      <c r="F344" t="inlineStr">
        <is>
          <t>Övriga statliga verk och myndigheter</t>
        </is>
      </c>
      <c r="G344" t="n">
        <v>3.1</v>
      </c>
      <c r="H344" t="n">
        <v>0</v>
      </c>
      <c r="I344" t="n">
        <v>0</v>
      </c>
      <c r="J344" t="n">
        <v>0</v>
      </c>
      <c r="K344" t="n">
        <v>0</v>
      </c>
      <c r="L344" t="n">
        <v>0</v>
      </c>
      <c r="M344" t="n">
        <v>0</v>
      </c>
      <c r="N344" t="n">
        <v>0</v>
      </c>
      <c r="O344" t="n">
        <v>0</v>
      </c>
      <c r="P344" t="n">
        <v>0</v>
      </c>
      <c r="Q344" t="n">
        <v>0</v>
      </c>
      <c r="R344" s="2" t="inlineStr"/>
    </row>
    <row r="345" ht="15" customHeight="1">
      <c r="A345" t="inlineStr">
        <is>
          <t>A 21792-2024</t>
        </is>
      </c>
      <c r="B345" s="1" t="n">
        <v>45442.64326388889</v>
      </c>
      <c r="C345" s="1" t="n">
        <v>46059</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46059</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46059</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4662-2026</t>
        </is>
      </c>
      <c r="B348" s="1" t="n">
        <v>46048.40949074074</v>
      </c>
      <c r="C348" s="1" t="n">
        <v>46059</v>
      </c>
      <c r="D348" t="inlineStr">
        <is>
          <t>GOTLANDS LÄN</t>
        </is>
      </c>
      <c r="E348" t="inlineStr">
        <is>
          <t>GOTLAND</t>
        </is>
      </c>
      <c r="G348" t="n">
        <v>7.6</v>
      </c>
      <c r="H348" t="n">
        <v>0</v>
      </c>
      <c r="I348" t="n">
        <v>0</v>
      </c>
      <c r="J348" t="n">
        <v>0</v>
      </c>
      <c r="K348" t="n">
        <v>0</v>
      </c>
      <c r="L348" t="n">
        <v>0</v>
      </c>
      <c r="M348" t="n">
        <v>0</v>
      </c>
      <c r="N348" t="n">
        <v>0</v>
      </c>
      <c r="O348" t="n">
        <v>0</v>
      </c>
      <c r="P348" t="n">
        <v>0</v>
      </c>
      <c r="Q348" t="n">
        <v>0</v>
      </c>
      <c r="R348" s="2" t="inlineStr"/>
    </row>
    <row r="349" ht="15" customHeight="1">
      <c r="A349" t="inlineStr">
        <is>
          <t>A 4634-2026</t>
        </is>
      </c>
      <c r="B349" s="1" t="n">
        <v>46048.39304398148</v>
      </c>
      <c r="C349" s="1" t="n">
        <v>46059</v>
      </c>
      <c r="D349" t="inlineStr">
        <is>
          <t>GOTLANDS LÄN</t>
        </is>
      </c>
      <c r="E349" t="inlineStr">
        <is>
          <t>GOTLAND</t>
        </is>
      </c>
      <c r="G349" t="n">
        <v>7.8</v>
      </c>
      <c r="H349" t="n">
        <v>0</v>
      </c>
      <c r="I349" t="n">
        <v>0</v>
      </c>
      <c r="J349" t="n">
        <v>0</v>
      </c>
      <c r="K349" t="n">
        <v>0</v>
      </c>
      <c r="L349" t="n">
        <v>0</v>
      </c>
      <c r="M349" t="n">
        <v>0</v>
      </c>
      <c r="N349" t="n">
        <v>0</v>
      </c>
      <c r="O349" t="n">
        <v>0</v>
      </c>
      <c r="P349" t="n">
        <v>0</v>
      </c>
      <c r="Q349" t="n">
        <v>0</v>
      </c>
      <c r="R349" s="2" t="inlineStr"/>
    </row>
    <row r="350" ht="15" customHeight="1">
      <c r="A350" t="inlineStr">
        <is>
          <t>A 4646-2026</t>
        </is>
      </c>
      <c r="B350" s="1" t="n">
        <v>46048.40357638889</v>
      </c>
      <c r="C350" s="1" t="n">
        <v>46059</v>
      </c>
      <c r="D350" t="inlineStr">
        <is>
          <t>GOTLANDS LÄN</t>
        </is>
      </c>
      <c r="E350" t="inlineStr">
        <is>
          <t>GOTLAND</t>
        </is>
      </c>
      <c r="G350" t="n">
        <v>2.7</v>
      </c>
      <c r="H350" t="n">
        <v>0</v>
      </c>
      <c r="I350" t="n">
        <v>0</v>
      </c>
      <c r="J350" t="n">
        <v>0</v>
      </c>
      <c r="K350" t="n">
        <v>0</v>
      </c>
      <c r="L350" t="n">
        <v>0</v>
      </c>
      <c r="M350" t="n">
        <v>0</v>
      </c>
      <c r="N350" t="n">
        <v>0</v>
      </c>
      <c r="O350" t="n">
        <v>0</v>
      </c>
      <c r="P350" t="n">
        <v>0</v>
      </c>
      <c r="Q350" t="n">
        <v>0</v>
      </c>
      <c r="R350" s="2" t="inlineStr"/>
    </row>
    <row r="351" ht="15" customHeight="1">
      <c r="A351" t="inlineStr">
        <is>
          <t>A 17688-2024</t>
        </is>
      </c>
      <c r="B351" s="1" t="n">
        <v>45418.43575231481</v>
      </c>
      <c r="C351" s="1" t="n">
        <v>46059</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46059</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7837-2024</t>
        </is>
      </c>
      <c r="B353" s="1" t="n">
        <v>45349.83787037037</v>
      </c>
      <c r="C353" s="1" t="n">
        <v>46059</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4670-2026</t>
        </is>
      </c>
      <c r="B354" s="1" t="n">
        <v>46048.41733796296</v>
      </c>
      <c r="C354" s="1" t="n">
        <v>46059</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49724-2025</t>
        </is>
      </c>
      <c r="B355" s="1" t="n">
        <v>45939.83730324074</v>
      </c>
      <c r="C355" s="1" t="n">
        <v>46059</v>
      </c>
      <c r="D355" t="inlineStr">
        <is>
          <t>GOTLANDS LÄN</t>
        </is>
      </c>
      <c r="E355" t="inlineStr">
        <is>
          <t>GOTLAND</t>
        </is>
      </c>
      <c r="F355" t="inlineStr">
        <is>
          <t>Kyrkan</t>
        </is>
      </c>
      <c r="G355" t="n">
        <v>3.1</v>
      </c>
      <c r="H355" t="n">
        <v>0</v>
      </c>
      <c r="I355" t="n">
        <v>0</v>
      </c>
      <c r="J355" t="n">
        <v>0</v>
      </c>
      <c r="K355" t="n">
        <v>0</v>
      </c>
      <c r="L355" t="n">
        <v>0</v>
      </c>
      <c r="M355" t="n">
        <v>0</v>
      </c>
      <c r="N355" t="n">
        <v>0</v>
      </c>
      <c r="O355" t="n">
        <v>0</v>
      </c>
      <c r="P355" t="n">
        <v>0</v>
      </c>
      <c r="Q355" t="n">
        <v>0</v>
      </c>
      <c r="R355" s="2" t="inlineStr"/>
    </row>
    <row r="356" ht="15" customHeight="1">
      <c r="A356" t="inlineStr">
        <is>
          <t>A 49730-2025</t>
        </is>
      </c>
      <c r="B356" s="1" t="n">
        <v>45939.87613425926</v>
      </c>
      <c r="C356" s="1" t="n">
        <v>46059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62066-2025</t>
        </is>
      </c>
      <c r="B357" s="1" t="n">
        <v>46006.34738425926</v>
      </c>
      <c r="C357" s="1" t="n">
        <v>46059</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4639-2026</t>
        </is>
      </c>
      <c r="B358" s="1" t="n">
        <v>46048.39880787037</v>
      </c>
      <c r="C358" s="1" t="n">
        <v>46059</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46059</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33011-2025</t>
        </is>
      </c>
      <c r="B360" s="1" t="n">
        <v>45840</v>
      </c>
      <c r="C360" s="1" t="n">
        <v>46059</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46059</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62103-2025</t>
        </is>
      </c>
      <c r="B362" s="1" t="n">
        <v>46006</v>
      </c>
      <c r="C362" s="1" t="n">
        <v>46059</v>
      </c>
      <c r="D362" t="inlineStr">
        <is>
          <t>GOTLANDS LÄN</t>
        </is>
      </c>
      <c r="E362" t="inlineStr">
        <is>
          <t>GOTLAND</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50421-2025</t>
        </is>
      </c>
      <c r="B363" s="1" t="n">
        <v>45944.66049768519</v>
      </c>
      <c r="C363" s="1" t="n">
        <v>46059</v>
      </c>
      <c r="D363" t="inlineStr">
        <is>
          <t>GOTLANDS LÄN</t>
        </is>
      </c>
      <c r="E363" t="inlineStr">
        <is>
          <t>GOTLAND</t>
        </is>
      </c>
      <c r="G363" t="n">
        <v>3.9</v>
      </c>
      <c r="H363" t="n">
        <v>0</v>
      </c>
      <c r="I363" t="n">
        <v>0</v>
      </c>
      <c r="J363" t="n">
        <v>0</v>
      </c>
      <c r="K363" t="n">
        <v>0</v>
      </c>
      <c r="L363" t="n">
        <v>0</v>
      </c>
      <c r="M363" t="n">
        <v>0</v>
      </c>
      <c r="N363" t="n">
        <v>0</v>
      </c>
      <c r="O363" t="n">
        <v>0</v>
      </c>
      <c r="P363" t="n">
        <v>0</v>
      </c>
      <c r="Q363" t="n">
        <v>0</v>
      </c>
      <c r="R363" s="2" t="inlineStr"/>
    </row>
    <row r="364" ht="15" customHeight="1">
      <c r="A364" t="inlineStr">
        <is>
          <t>A 62751-2025</t>
        </is>
      </c>
      <c r="B364" s="1" t="n">
        <v>46008</v>
      </c>
      <c r="C364" s="1" t="n">
        <v>46059</v>
      </c>
      <c r="D364" t="inlineStr">
        <is>
          <t>GOTLANDS LÄN</t>
        </is>
      </c>
      <c r="E364" t="inlineStr">
        <is>
          <t>GOTLAND</t>
        </is>
      </c>
      <c r="F364" t="inlineStr">
        <is>
          <t>Övriga Aktiebolag</t>
        </is>
      </c>
      <c r="G364" t="n">
        <v>7.8</v>
      </c>
      <c r="H364" t="n">
        <v>0</v>
      </c>
      <c r="I364" t="n">
        <v>0</v>
      </c>
      <c r="J364" t="n">
        <v>0</v>
      </c>
      <c r="K364" t="n">
        <v>0</v>
      </c>
      <c r="L364" t="n">
        <v>0</v>
      </c>
      <c r="M364" t="n">
        <v>0</v>
      </c>
      <c r="N364" t="n">
        <v>0</v>
      </c>
      <c r="O364" t="n">
        <v>0</v>
      </c>
      <c r="P364" t="n">
        <v>0</v>
      </c>
      <c r="Q364" t="n">
        <v>0</v>
      </c>
      <c r="R364" s="2" t="inlineStr"/>
    </row>
    <row r="365" ht="15" customHeight="1">
      <c r="A365" t="inlineStr">
        <is>
          <t>A 50431-2025</t>
        </is>
      </c>
      <c r="B365" s="1" t="n">
        <v>45944.68453703704</v>
      </c>
      <c r="C365" s="1" t="n">
        <v>46059</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62754-2025</t>
        </is>
      </c>
      <c r="B366" s="1" t="n">
        <v>46008</v>
      </c>
      <c r="C366" s="1" t="n">
        <v>46059</v>
      </c>
      <c r="D366" t="inlineStr">
        <is>
          <t>GOTLANDS LÄN</t>
        </is>
      </c>
      <c r="E366" t="inlineStr">
        <is>
          <t>GOTLAND</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35512-2023</t>
        </is>
      </c>
      <c r="B367" s="1" t="n">
        <v>45147.25623842593</v>
      </c>
      <c r="C367" s="1" t="n">
        <v>46059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46059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46059</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1291-2023</t>
        </is>
      </c>
      <c r="B370" s="1" t="n">
        <v>44936.47561342592</v>
      </c>
      <c r="C370" s="1" t="n">
        <v>46059</v>
      </c>
      <c r="D370" t="inlineStr">
        <is>
          <t>GOTLANDS LÄN</t>
        </is>
      </c>
      <c r="E370" t="inlineStr">
        <is>
          <t>GOTLAND</t>
        </is>
      </c>
      <c r="G370" t="n">
        <v>7.4</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46059</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46059</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47147-2025</t>
        </is>
      </c>
      <c r="B373" s="1" t="n">
        <v>45929</v>
      </c>
      <c r="C373" s="1" t="n">
        <v>46059</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51262-2025</t>
        </is>
      </c>
      <c r="B374" s="1" t="n">
        <v>45949.49872685185</v>
      </c>
      <c r="C374" s="1" t="n">
        <v>46059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46059</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46059</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46059</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2676-2023</t>
        </is>
      </c>
      <c r="B378" s="1" t="n">
        <v>44944</v>
      </c>
      <c r="C378" s="1" t="n">
        <v>46059</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52249-2025</t>
        </is>
      </c>
      <c r="B379" s="1" t="n">
        <v>45953.48637731482</v>
      </c>
      <c r="C379" s="1" t="n">
        <v>46059</v>
      </c>
      <c r="D379" t="inlineStr">
        <is>
          <t>GOTLANDS LÄN</t>
        </is>
      </c>
      <c r="E379" t="inlineStr">
        <is>
          <t>GOTLAND</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3150-2025</t>
        </is>
      </c>
      <c r="B380" s="1" t="n">
        <v>45679.28974537037</v>
      </c>
      <c r="C380" s="1" t="n">
        <v>46059</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5863-2026</t>
        </is>
      </c>
      <c r="B381" s="1" t="n">
        <v>46052.36697916667</v>
      </c>
      <c r="C381" s="1" t="n">
        <v>46059</v>
      </c>
      <c r="D381" t="inlineStr">
        <is>
          <t>GOTLANDS LÄN</t>
        </is>
      </c>
      <c r="E381" t="inlineStr">
        <is>
          <t>GOTLAND</t>
        </is>
      </c>
      <c r="G381" t="n">
        <v>1.8</v>
      </c>
      <c r="H381" t="n">
        <v>0</v>
      </c>
      <c r="I381" t="n">
        <v>0</v>
      </c>
      <c r="J381" t="n">
        <v>0</v>
      </c>
      <c r="K381" t="n">
        <v>0</v>
      </c>
      <c r="L381" t="n">
        <v>0</v>
      </c>
      <c r="M381" t="n">
        <v>0</v>
      </c>
      <c r="N381" t="n">
        <v>0</v>
      </c>
      <c r="O381" t="n">
        <v>0</v>
      </c>
      <c r="P381" t="n">
        <v>0</v>
      </c>
      <c r="Q381" t="n">
        <v>0</v>
      </c>
      <c r="R381" s="2" t="inlineStr"/>
    </row>
    <row r="382" ht="15" customHeight="1">
      <c r="A382" t="inlineStr">
        <is>
          <t>A 8484-2025</t>
        </is>
      </c>
      <c r="B382" s="1" t="n">
        <v>45709</v>
      </c>
      <c r="C382" s="1" t="n">
        <v>46059</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63002-2025</t>
        </is>
      </c>
      <c r="B383" s="1" t="n">
        <v>46009.56564814815</v>
      </c>
      <c r="C383" s="1" t="n">
        <v>46059</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7635-2025</t>
        </is>
      </c>
      <c r="B384" s="1" t="n">
        <v>45705</v>
      </c>
      <c r="C384" s="1" t="n">
        <v>46059</v>
      </c>
      <c r="D384" t="inlineStr">
        <is>
          <t>GOTLANDS LÄN</t>
        </is>
      </c>
      <c r="E384" t="inlineStr">
        <is>
          <t>GOTLAND</t>
        </is>
      </c>
      <c r="G384" t="n">
        <v>0.9</v>
      </c>
      <c r="H384" t="n">
        <v>0</v>
      </c>
      <c r="I384" t="n">
        <v>0</v>
      </c>
      <c r="J384" t="n">
        <v>0</v>
      </c>
      <c r="K384" t="n">
        <v>0</v>
      </c>
      <c r="L384" t="n">
        <v>0</v>
      </c>
      <c r="M384" t="n">
        <v>0</v>
      </c>
      <c r="N384" t="n">
        <v>0</v>
      </c>
      <c r="O384" t="n">
        <v>0</v>
      </c>
      <c r="P384" t="n">
        <v>0</v>
      </c>
      <c r="Q384" t="n">
        <v>0</v>
      </c>
      <c r="R384" s="2" t="inlineStr"/>
    </row>
    <row r="385" ht="15" customHeight="1">
      <c r="A385" t="inlineStr">
        <is>
          <t>A 7636-2025</t>
        </is>
      </c>
      <c r="B385" s="1" t="n">
        <v>45705.7687962963</v>
      </c>
      <c r="C385" s="1" t="n">
        <v>46059</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7639-2025</t>
        </is>
      </c>
      <c r="B386" s="1" t="n">
        <v>45705.77465277778</v>
      </c>
      <c r="C386" s="1" t="n">
        <v>46059</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6218-2026</t>
        </is>
      </c>
      <c r="B387" s="1" t="n">
        <v>46055.42859953704</v>
      </c>
      <c r="C387" s="1" t="n">
        <v>46059</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20356-2022</t>
        </is>
      </c>
      <c r="B388" s="1" t="n">
        <v>44699</v>
      </c>
      <c r="C388" s="1" t="n">
        <v>46059</v>
      </c>
      <c r="D388" t="inlineStr">
        <is>
          <t>GOTLANDS LÄN</t>
        </is>
      </c>
      <c r="E388" t="inlineStr">
        <is>
          <t>GOTLAND</t>
        </is>
      </c>
      <c r="F388" t="inlineStr">
        <is>
          <t>Övriga Aktiebolag</t>
        </is>
      </c>
      <c r="G388" t="n">
        <v>4.4</v>
      </c>
      <c r="H388" t="n">
        <v>0</v>
      </c>
      <c r="I388" t="n">
        <v>0</v>
      </c>
      <c r="J388" t="n">
        <v>0</v>
      </c>
      <c r="K388" t="n">
        <v>0</v>
      </c>
      <c r="L388" t="n">
        <v>0</v>
      </c>
      <c r="M388" t="n">
        <v>0</v>
      </c>
      <c r="N388" t="n">
        <v>0</v>
      </c>
      <c r="O388" t="n">
        <v>0</v>
      </c>
      <c r="P388" t="n">
        <v>0</v>
      </c>
      <c r="Q388" t="n">
        <v>0</v>
      </c>
      <c r="R388" s="2" t="inlineStr"/>
    </row>
    <row r="389" ht="15" customHeight="1">
      <c r="A389" t="inlineStr">
        <is>
          <t>A 48734-2022</t>
        </is>
      </c>
      <c r="B389" s="1" t="n">
        <v>44855</v>
      </c>
      <c r="C389" s="1" t="n">
        <v>46059</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52637-2025</t>
        </is>
      </c>
      <c r="B390" s="1" t="n">
        <v>45954.75099537037</v>
      </c>
      <c r="C390" s="1" t="n">
        <v>46059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14141-2024</t>
        </is>
      </c>
      <c r="B391" s="1" t="n">
        <v>45392.85193287037</v>
      </c>
      <c r="C391" s="1" t="n">
        <v>46059</v>
      </c>
      <c r="D391" t="inlineStr">
        <is>
          <t>GOTLANDS LÄN</t>
        </is>
      </c>
      <c r="E391" t="inlineStr">
        <is>
          <t>GOTLAND</t>
        </is>
      </c>
      <c r="G391" t="n">
        <v>5.3</v>
      </c>
      <c r="H391" t="n">
        <v>0</v>
      </c>
      <c r="I391" t="n">
        <v>0</v>
      </c>
      <c r="J391" t="n">
        <v>0</v>
      </c>
      <c r="K391" t="n">
        <v>0</v>
      </c>
      <c r="L391" t="n">
        <v>0</v>
      </c>
      <c r="M391" t="n">
        <v>0</v>
      </c>
      <c r="N391" t="n">
        <v>0</v>
      </c>
      <c r="O391" t="n">
        <v>0</v>
      </c>
      <c r="P391" t="n">
        <v>0</v>
      </c>
      <c r="Q391" t="n">
        <v>0</v>
      </c>
      <c r="R391" s="2" t="inlineStr"/>
    </row>
    <row r="392" ht="15" customHeight="1">
      <c r="A392" t="inlineStr">
        <is>
          <t>A 29809-2022</t>
        </is>
      </c>
      <c r="B392" s="1" t="n">
        <v>44755.8713425926</v>
      </c>
      <c r="C392" s="1" t="n">
        <v>46059</v>
      </c>
      <c r="D392" t="inlineStr">
        <is>
          <t>GOTLANDS LÄN</t>
        </is>
      </c>
      <c r="E392" t="inlineStr">
        <is>
          <t>GOTLAND</t>
        </is>
      </c>
      <c r="G392" t="n">
        <v>11.5</v>
      </c>
      <c r="H392" t="n">
        <v>0</v>
      </c>
      <c r="I392" t="n">
        <v>0</v>
      </c>
      <c r="J392" t="n">
        <v>0</v>
      </c>
      <c r="K392" t="n">
        <v>0</v>
      </c>
      <c r="L392" t="n">
        <v>0</v>
      </c>
      <c r="M392" t="n">
        <v>0</v>
      </c>
      <c r="N392" t="n">
        <v>0</v>
      </c>
      <c r="O392" t="n">
        <v>0</v>
      </c>
      <c r="P392" t="n">
        <v>0</v>
      </c>
      <c r="Q392" t="n">
        <v>0</v>
      </c>
      <c r="R392" s="2" t="inlineStr"/>
    </row>
    <row r="393" ht="15" customHeight="1">
      <c r="A393" t="inlineStr">
        <is>
          <t>A 5217-2023</t>
        </is>
      </c>
      <c r="B393" s="1" t="n">
        <v>44959.39582175926</v>
      </c>
      <c r="C393" s="1" t="n">
        <v>46059</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54584-2025</t>
        </is>
      </c>
      <c r="B394" s="1" t="n">
        <v>45965.71788194445</v>
      </c>
      <c r="C394" s="1" t="n">
        <v>46059</v>
      </c>
      <c r="D394" t="inlineStr">
        <is>
          <t>GOTLANDS LÄN</t>
        </is>
      </c>
      <c r="E394" t="inlineStr">
        <is>
          <t>GOTLAND</t>
        </is>
      </c>
      <c r="G394" t="n">
        <v>3.5</v>
      </c>
      <c r="H394" t="n">
        <v>0</v>
      </c>
      <c r="I394" t="n">
        <v>0</v>
      </c>
      <c r="J394" t="n">
        <v>0</v>
      </c>
      <c r="K394" t="n">
        <v>0</v>
      </c>
      <c r="L394" t="n">
        <v>0</v>
      </c>
      <c r="M394" t="n">
        <v>0</v>
      </c>
      <c r="N394" t="n">
        <v>0</v>
      </c>
      <c r="O394" t="n">
        <v>0</v>
      </c>
      <c r="P394" t="n">
        <v>0</v>
      </c>
      <c r="Q394" t="n">
        <v>0</v>
      </c>
      <c r="R394" s="2" t="inlineStr"/>
    </row>
    <row r="395" ht="15" customHeight="1">
      <c r="A395" t="inlineStr">
        <is>
          <t>A 6207-2026</t>
        </is>
      </c>
      <c r="B395" s="1" t="n">
        <v>46055.42083333333</v>
      </c>
      <c r="C395" s="1" t="n">
        <v>46059</v>
      </c>
      <c r="D395" t="inlineStr">
        <is>
          <t>GOTLANDS LÄN</t>
        </is>
      </c>
      <c r="E395" t="inlineStr">
        <is>
          <t>GOTLAND</t>
        </is>
      </c>
      <c r="G395" t="n">
        <v>7.6</v>
      </c>
      <c r="H395" t="n">
        <v>0</v>
      </c>
      <c r="I395" t="n">
        <v>0</v>
      </c>
      <c r="J395" t="n">
        <v>0</v>
      </c>
      <c r="K395" t="n">
        <v>0</v>
      </c>
      <c r="L395" t="n">
        <v>0</v>
      </c>
      <c r="M395" t="n">
        <v>0</v>
      </c>
      <c r="N395" t="n">
        <v>0</v>
      </c>
      <c r="O395" t="n">
        <v>0</v>
      </c>
      <c r="P395" t="n">
        <v>0</v>
      </c>
      <c r="Q395" t="n">
        <v>0</v>
      </c>
      <c r="R395" s="2" t="inlineStr"/>
    </row>
    <row r="396" ht="15" customHeight="1">
      <c r="A396" t="inlineStr">
        <is>
          <t>A 53569-2025</t>
        </is>
      </c>
      <c r="B396" s="1" t="n">
        <v>45960.41155092593</v>
      </c>
      <c r="C396" s="1" t="n">
        <v>46059</v>
      </c>
      <c r="D396" t="inlineStr">
        <is>
          <t>GOTLANDS LÄN</t>
        </is>
      </c>
      <c r="E396" t="inlineStr">
        <is>
          <t>GOTLAND</t>
        </is>
      </c>
      <c r="F396" t="inlineStr">
        <is>
          <t>Övriga Aktiebolag</t>
        </is>
      </c>
      <c r="G396" t="n">
        <v>11.3</v>
      </c>
      <c r="H396" t="n">
        <v>0</v>
      </c>
      <c r="I396" t="n">
        <v>0</v>
      </c>
      <c r="J396" t="n">
        <v>0</v>
      </c>
      <c r="K396" t="n">
        <v>0</v>
      </c>
      <c r="L396" t="n">
        <v>0</v>
      </c>
      <c r="M396" t="n">
        <v>0</v>
      </c>
      <c r="N396" t="n">
        <v>0</v>
      </c>
      <c r="O396" t="n">
        <v>0</v>
      </c>
      <c r="P396" t="n">
        <v>0</v>
      </c>
      <c r="Q396" t="n">
        <v>0</v>
      </c>
      <c r="R396" s="2" t="inlineStr"/>
    </row>
    <row r="397" ht="15" customHeight="1">
      <c r="A397" t="inlineStr">
        <is>
          <t>A 60384-2025</t>
        </is>
      </c>
      <c r="B397" s="1" t="n">
        <v>45995</v>
      </c>
      <c r="C397" s="1" t="n">
        <v>46059</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46059</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6960-2026</t>
        </is>
      </c>
      <c r="B399" s="1" t="n">
        <v>46057.58105324074</v>
      </c>
      <c r="C399" s="1" t="n">
        <v>46059</v>
      </c>
      <c r="D399" t="inlineStr">
        <is>
          <t>GOTLANDS LÄN</t>
        </is>
      </c>
      <c r="E399" t="inlineStr">
        <is>
          <t>GOTLAND</t>
        </is>
      </c>
      <c r="F399" t="inlineStr">
        <is>
          <t>Kyrkan</t>
        </is>
      </c>
      <c r="G399" t="n">
        <v>2.4</v>
      </c>
      <c r="H399" t="n">
        <v>0</v>
      </c>
      <c r="I399" t="n">
        <v>0</v>
      </c>
      <c r="J399" t="n">
        <v>0</v>
      </c>
      <c r="K399" t="n">
        <v>0</v>
      </c>
      <c r="L399" t="n">
        <v>0</v>
      </c>
      <c r="M399" t="n">
        <v>0</v>
      </c>
      <c r="N399" t="n">
        <v>0</v>
      </c>
      <c r="O399" t="n">
        <v>0</v>
      </c>
      <c r="P399" t="n">
        <v>0</v>
      </c>
      <c r="Q399" t="n">
        <v>0</v>
      </c>
      <c r="R399" s="2" t="inlineStr"/>
    </row>
    <row r="400" ht="15" customHeight="1">
      <c r="A400" t="inlineStr">
        <is>
          <t>A 57685-2022</t>
        </is>
      </c>
      <c r="B400" s="1" t="n">
        <v>44897.4777662037</v>
      </c>
      <c r="C400" s="1" t="n">
        <v>46059</v>
      </c>
      <c r="D400" t="inlineStr">
        <is>
          <t>GOTLANDS LÄN</t>
        </is>
      </c>
      <c r="E400" t="inlineStr">
        <is>
          <t>GOTLAND</t>
        </is>
      </c>
      <c r="G400" t="n">
        <v>3.7</v>
      </c>
      <c r="H400" t="n">
        <v>0</v>
      </c>
      <c r="I400" t="n">
        <v>0</v>
      </c>
      <c r="J400" t="n">
        <v>0</v>
      </c>
      <c r="K400" t="n">
        <v>0</v>
      </c>
      <c r="L400" t="n">
        <v>0</v>
      </c>
      <c r="M400" t="n">
        <v>0</v>
      </c>
      <c r="N400" t="n">
        <v>0</v>
      </c>
      <c r="O400" t="n">
        <v>0</v>
      </c>
      <c r="P400" t="n">
        <v>0</v>
      </c>
      <c r="Q400" t="n">
        <v>0</v>
      </c>
      <c r="R400" s="2" t="inlineStr"/>
    </row>
    <row r="401" ht="15" customHeight="1">
      <c r="A401" t="inlineStr">
        <is>
          <t>A 61078-2025</t>
        </is>
      </c>
      <c r="B401" s="1" t="n">
        <v>46000</v>
      </c>
      <c r="C401" s="1" t="n">
        <v>46059</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6959-2026</t>
        </is>
      </c>
      <c r="B402" s="1" t="n">
        <v>46057.580625</v>
      </c>
      <c r="C402" s="1" t="n">
        <v>46059</v>
      </c>
      <c r="D402" t="inlineStr">
        <is>
          <t>GOTLANDS LÄN</t>
        </is>
      </c>
      <c r="E402" t="inlineStr">
        <is>
          <t>GOTLAND</t>
        </is>
      </c>
      <c r="F402" t="inlineStr">
        <is>
          <t>Kyrkan</t>
        </is>
      </c>
      <c r="G402" t="n">
        <v>1.2</v>
      </c>
      <c r="H402" t="n">
        <v>0</v>
      </c>
      <c r="I402" t="n">
        <v>0</v>
      </c>
      <c r="J402" t="n">
        <v>0</v>
      </c>
      <c r="K402" t="n">
        <v>0</v>
      </c>
      <c r="L402" t="n">
        <v>0</v>
      </c>
      <c r="M402" t="n">
        <v>0</v>
      </c>
      <c r="N402" t="n">
        <v>0</v>
      </c>
      <c r="O402" t="n">
        <v>0</v>
      </c>
      <c r="P402" t="n">
        <v>0</v>
      </c>
      <c r="Q402" t="n">
        <v>0</v>
      </c>
      <c r="R402" s="2" t="inlineStr"/>
    </row>
    <row r="403" ht="15" customHeight="1">
      <c r="A403" t="inlineStr">
        <is>
          <t>A 38649-2025</t>
        </is>
      </c>
      <c r="B403" s="1" t="n">
        <v>45884</v>
      </c>
      <c r="C403" s="1" t="n">
        <v>46059</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30815-2023</t>
        </is>
      </c>
      <c r="B404" s="1" t="n">
        <v>45112</v>
      </c>
      <c r="C404" s="1" t="n">
        <v>46059</v>
      </c>
      <c r="D404" t="inlineStr">
        <is>
          <t>GOTLANDS LÄN</t>
        </is>
      </c>
      <c r="E404" t="inlineStr">
        <is>
          <t>GOTLAND</t>
        </is>
      </c>
      <c r="G404" t="n">
        <v>6</v>
      </c>
      <c r="H404" t="n">
        <v>0</v>
      </c>
      <c r="I404" t="n">
        <v>0</v>
      </c>
      <c r="J404" t="n">
        <v>0</v>
      </c>
      <c r="K404" t="n">
        <v>0</v>
      </c>
      <c r="L404" t="n">
        <v>0</v>
      </c>
      <c r="M404" t="n">
        <v>0</v>
      </c>
      <c r="N404" t="n">
        <v>0</v>
      </c>
      <c r="O404" t="n">
        <v>0</v>
      </c>
      <c r="P404" t="n">
        <v>0</v>
      </c>
      <c r="Q404" t="n">
        <v>0</v>
      </c>
      <c r="R404" s="2" t="inlineStr"/>
    </row>
    <row r="405" ht="15" customHeight="1">
      <c r="A405" t="inlineStr">
        <is>
          <t>A 62836-2025</t>
        </is>
      </c>
      <c r="B405" s="1" t="n">
        <v>46008</v>
      </c>
      <c r="C405" s="1" t="n">
        <v>46059</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61080-2025</t>
        </is>
      </c>
      <c r="B406" s="1" t="n">
        <v>46000</v>
      </c>
      <c r="C406" s="1" t="n">
        <v>46059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62674-2025</t>
        </is>
      </c>
      <c r="B407" s="1" t="n">
        <v>46008</v>
      </c>
      <c r="C407" s="1" t="n">
        <v>46059</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53561-2025</t>
        </is>
      </c>
      <c r="B408" s="1" t="n">
        <v>45960.4059375</v>
      </c>
      <c r="C408" s="1" t="n">
        <v>46059</v>
      </c>
      <c r="D408" t="inlineStr">
        <is>
          <t>GOTLANDS LÄN</t>
        </is>
      </c>
      <c r="E408" t="inlineStr">
        <is>
          <t>GOTLAND</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7034-2023</t>
        </is>
      </c>
      <c r="B409" s="1" t="n">
        <v>44968.32108796296</v>
      </c>
      <c r="C409" s="1" t="n">
        <v>46059</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7042-2023</t>
        </is>
      </c>
      <c r="B410" s="1" t="n">
        <v>44968</v>
      </c>
      <c r="C410" s="1" t="n">
        <v>46059</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23516-2023</t>
        </is>
      </c>
      <c r="B411" s="1" t="n">
        <v>45076.93391203704</v>
      </c>
      <c r="C411" s="1" t="n">
        <v>46059</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53587-2025</t>
        </is>
      </c>
      <c r="B412" s="1" t="n">
        <v>45960.43681712963</v>
      </c>
      <c r="C412" s="1" t="n">
        <v>46059</v>
      </c>
      <c r="D412" t="inlineStr">
        <is>
          <t>GOTLANDS LÄN</t>
        </is>
      </c>
      <c r="E412" t="inlineStr">
        <is>
          <t>GOTLAND</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63105-2025</t>
        </is>
      </c>
      <c r="B413" s="1" t="n">
        <v>46009</v>
      </c>
      <c r="C413" s="1" t="n">
        <v>46059</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63152-2025</t>
        </is>
      </c>
      <c r="B414" s="1" t="n">
        <v>46010</v>
      </c>
      <c r="C414" s="1" t="n">
        <v>46059</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64660-2023</t>
        </is>
      </c>
      <c r="B415" s="1" t="n">
        <v>45281.60122685185</v>
      </c>
      <c r="C415" s="1" t="n">
        <v>46059</v>
      </c>
      <c r="D415" t="inlineStr">
        <is>
          <t>GOTLANDS LÄN</t>
        </is>
      </c>
      <c r="E415" t="inlineStr">
        <is>
          <t>GOTLAND</t>
        </is>
      </c>
      <c r="G415" t="n">
        <v>6.3</v>
      </c>
      <c r="H415" t="n">
        <v>0</v>
      </c>
      <c r="I415" t="n">
        <v>0</v>
      </c>
      <c r="J415" t="n">
        <v>0</v>
      </c>
      <c r="K415" t="n">
        <v>0</v>
      </c>
      <c r="L415" t="n">
        <v>0</v>
      </c>
      <c r="M415" t="n">
        <v>0</v>
      </c>
      <c r="N415" t="n">
        <v>0</v>
      </c>
      <c r="O415" t="n">
        <v>0</v>
      </c>
      <c r="P415" t="n">
        <v>0</v>
      </c>
      <c r="Q415" t="n">
        <v>0</v>
      </c>
      <c r="R415" s="2" t="inlineStr"/>
    </row>
    <row r="416" ht="15" customHeight="1">
      <c r="A416" t="inlineStr">
        <is>
          <t>A 63763-2023</t>
        </is>
      </c>
      <c r="B416" s="1" t="n">
        <v>45278.33944444444</v>
      </c>
      <c r="C416" s="1" t="n">
        <v>46059</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1677-2023</t>
        </is>
      </c>
      <c r="B417" s="1" t="n">
        <v>44938</v>
      </c>
      <c r="C417" s="1" t="n">
        <v>46059</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44508.34518518519</v>
      </c>
      <c r="C418" s="1" t="n">
        <v>46059</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46375-2024</t>
        </is>
      </c>
      <c r="B419" s="1" t="n">
        <v>45582</v>
      </c>
      <c r="C419" s="1" t="n">
        <v>46059</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45244-2024</t>
        </is>
      </c>
      <c r="B420" s="1" t="n">
        <v>45576</v>
      </c>
      <c r="C420" s="1" t="n">
        <v>46059</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8260-2023</t>
        </is>
      </c>
      <c r="B421" s="1" t="n">
        <v>44974.61608796296</v>
      </c>
      <c r="C421" s="1" t="n">
        <v>46059</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64969-2023</t>
        </is>
      </c>
      <c r="B422" s="1" t="n">
        <v>45284.54009259259</v>
      </c>
      <c r="C422" s="1" t="n">
        <v>46059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1734-2025</t>
        </is>
      </c>
      <c r="B423" s="1" t="n">
        <v>45671.3840625</v>
      </c>
      <c r="C423" s="1" t="n">
        <v>46059</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48843-2024</t>
        </is>
      </c>
      <c r="B424" s="1" t="n">
        <v>45593</v>
      </c>
      <c r="C424" s="1" t="n">
        <v>46059</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17541-2024</t>
        </is>
      </c>
      <c r="B425" s="1" t="n">
        <v>45415</v>
      </c>
      <c r="C425" s="1" t="n">
        <v>46059</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20993-2023</t>
        </is>
      </c>
      <c r="B426" s="1" t="n">
        <v>45056</v>
      </c>
      <c r="C426" s="1" t="n">
        <v>46059</v>
      </c>
      <c r="D426" t="inlineStr">
        <is>
          <t>GOTLANDS LÄN</t>
        </is>
      </c>
      <c r="E426" t="inlineStr">
        <is>
          <t>GOTLAND</t>
        </is>
      </c>
      <c r="G426" t="n">
        <v>7.1</v>
      </c>
      <c r="H426" t="n">
        <v>0</v>
      </c>
      <c r="I426" t="n">
        <v>0</v>
      </c>
      <c r="J426" t="n">
        <v>0</v>
      </c>
      <c r="K426" t="n">
        <v>0</v>
      </c>
      <c r="L426" t="n">
        <v>0</v>
      </c>
      <c r="M426" t="n">
        <v>0</v>
      </c>
      <c r="N426" t="n">
        <v>0</v>
      </c>
      <c r="O426" t="n">
        <v>0</v>
      </c>
      <c r="P426" t="n">
        <v>0</v>
      </c>
      <c r="Q426" t="n">
        <v>0</v>
      </c>
      <c r="R426" s="2" t="inlineStr"/>
    </row>
    <row r="427" ht="15" customHeight="1">
      <c r="A427" t="inlineStr">
        <is>
          <t>A 12596-2023</t>
        </is>
      </c>
      <c r="B427" s="1" t="n">
        <v>45000.43310185185</v>
      </c>
      <c r="C427" s="1" t="n">
        <v>46059</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2125-2025</t>
        </is>
      </c>
      <c r="B428" s="1" t="n">
        <v>45672.64940972222</v>
      </c>
      <c r="C428" s="1" t="n">
        <v>46059</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2241-2025</t>
        </is>
      </c>
      <c r="B429" s="1" t="n">
        <v>45673.48710648148</v>
      </c>
      <c r="C429" s="1" t="n">
        <v>46059</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12155-2023</t>
        </is>
      </c>
      <c r="B430" s="1" t="n">
        <v>44998.49106481481</v>
      </c>
      <c r="C430" s="1" t="n">
        <v>46059</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457-2023</t>
        </is>
      </c>
      <c r="B431" s="1" t="n">
        <v>44929.87238425926</v>
      </c>
      <c r="C431" s="1" t="n">
        <v>46059</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459-2023</t>
        </is>
      </c>
      <c r="B432" s="1" t="n">
        <v>44929.87423611111</v>
      </c>
      <c r="C432" s="1" t="n">
        <v>46059</v>
      </c>
      <c r="D432" t="inlineStr">
        <is>
          <t>GOTLANDS LÄN</t>
        </is>
      </c>
      <c r="E432" t="inlineStr">
        <is>
          <t>GOTLAND</t>
        </is>
      </c>
      <c r="G432" t="n">
        <v>4.2</v>
      </c>
      <c r="H432" t="n">
        <v>0</v>
      </c>
      <c r="I432" t="n">
        <v>0</v>
      </c>
      <c r="J432" t="n">
        <v>0</v>
      </c>
      <c r="K432" t="n">
        <v>0</v>
      </c>
      <c r="L432" t="n">
        <v>0</v>
      </c>
      <c r="M432" t="n">
        <v>0</v>
      </c>
      <c r="N432" t="n">
        <v>0</v>
      </c>
      <c r="O432" t="n">
        <v>0</v>
      </c>
      <c r="P432" t="n">
        <v>0</v>
      </c>
      <c r="Q432" t="n">
        <v>0</v>
      </c>
      <c r="R432" s="2" t="inlineStr"/>
    </row>
    <row r="433" ht="15" customHeight="1">
      <c r="A433" t="inlineStr">
        <is>
          <t>A 38234-2023</t>
        </is>
      </c>
      <c r="B433" s="1" t="n">
        <v>45161.56663194444</v>
      </c>
      <c r="C433" s="1" t="n">
        <v>46059</v>
      </c>
      <c r="D433" t="inlineStr">
        <is>
          <t>GOTLANDS LÄN</t>
        </is>
      </c>
      <c r="E433" t="inlineStr">
        <is>
          <t>GOTLAND</t>
        </is>
      </c>
      <c r="G433" t="n">
        <v>1.3</v>
      </c>
      <c r="H433" t="n">
        <v>0</v>
      </c>
      <c r="I433" t="n">
        <v>0</v>
      </c>
      <c r="J433" t="n">
        <v>0</v>
      </c>
      <c r="K433" t="n">
        <v>0</v>
      </c>
      <c r="L433" t="n">
        <v>0</v>
      </c>
      <c r="M433" t="n">
        <v>0</v>
      </c>
      <c r="N433" t="n">
        <v>0</v>
      </c>
      <c r="O433" t="n">
        <v>0</v>
      </c>
      <c r="P433" t="n">
        <v>0</v>
      </c>
      <c r="Q433" t="n">
        <v>0</v>
      </c>
      <c r="R433" s="2" t="inlineStr"/>
    </row>
    <row r="434" ht="15" customHeight="1">
      <c r="A434" t="inlineStr">
        <is>
          <t>A 50744-2024</t>
        </is>
      </c>
      <c r="B434" s="1" t="n">
        <v>45602.4187037037</v>
      </c>
      <c r="C434" s="1" t="n">
        <v>46059</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56799-2025</t>
        </is>
      </c>
      <c r="B435" s="1" t="n">
        <v>45978.43392361111</v>
      </c>
      <c r="C435" s="1" t="n">
        <v>46059</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53934-2024</t>
        </is>
      </c>
      <c r="B436" s="1" t="n">
        <v>45615</v>
      </c>
      <c r="C436" s="1" t="n">
        <v>46059</v>
      </c>
      <c r="D436" t="inlineStr">
        <is>
          <t>GOTLANDS LÄN</t>
        </is>
      </c>
      <c r="E436" t="inlineStr">
        <is>
          <t>GOTLAND</t>
        </is>
      </c>
      <c r="G436" t="n">
        <v>5</v>
      </c>
      <c r="H436" t="n">
        <v>0</v>
      </c>
      <c r="I436" t="n">
        <v>0</v>
      </c>
      <c r="J436" t="n">
        <v>0</v>
      </c>
      <c r="K436" t="n">
        <v>0</v>
      </c>
      <c r="L436" t="n">
        <v>0</v>
      </c>
      <c r="M436" t="n">
        <v>0</v>
      </c>
      <c r="N436" t="n">
        <v>0</v>
      </c>
      <c r="O436" t="n">
        <v>0</v>
      </c>
      <c r="P436" t="n">
        <v>0</v>
      </c>
      <c r="Q436" t="n">
        <v>0</v>
      </c>
      <c r="R436" s="2" t="inlineStr"/>
    </row>
    <row r="437" ht="15" customHeight="1">
      <c r="A437" t="inlineStr">
        <is>
          <t>A 15434-2024</t>
        </is>
      </c>
      <c r="B437" s="1" t="n">
        <v>45401.38836805556</v>
      </c>
      <c r="C437" s="1" t="n">
        <v>46059</v>
      </c>
      <c r="D437" t="inlineStr">
        <is>
          <t>GOTLANDS LÄN</t>
        </is>
      </c>
      <c r="E437" t="inlineStr">
        <is>
          <t>GOTLAND</t>
        </is>
      </c>
      <c r="G437" t="n">
        <v>2.5</v>
      </c>
      <c r="H437" t="n">
        <v>0</v>
      </c>
      <c r="I437" t="n">
        <v>0</v>
      </c>
      <c r="J437" t="n">
        <v>0</v>
      </c>
      <c r="K437" t="n">
        <v>0</v>
      </c>
      <c r="L437" t="n">
        <v>0</v>
      </c>
      <c r="M437" t="n">
        <v>0</v>
      </c>
      <c r="N437" t="n">
        <v>0</v>
      </c>
      <c r="O437" t="n">
        <v>0</v>
      </c>
      <c r="P437" t="n">
        <v>0</v>
      </c>
      <c r="Q437" t="n">
        <v>0</v>
      </c>
      <c r="R437" s="2" t="inlineStr"/>
    </row>
    <row r="438" ht="15" customHeight="1">
      <c r="A438" t="inlineStr">
        <is>
          <t>A 5943-2024</t>
        </is>
      </c>
      <c r="B438" s="1" t="n">
        <v>45336</v>
      </c>
      <c r="C438" s="1" t="n">
        <v>46059</v>
      </c>
      <c r="D438" t="inlineStr">
        <is>
          <t>GOTLANDS LÄN</t>
        </is>
      </c>
      <c r="E438" t="inlineStr">
        <is>
          <t>GOTLAND</t>
        </is>
      </c>
      <c r="G438" t="n">
        <v>4.3</v>
      </c>
      <c r="H438" t="n">
        <v>0</v>
      </c>
      <c r="I438" t="n">
        <v>0</v>
      </c>
      <c r="J438" t="n">
        <v>0</v>
      </c>
      <c r="K438" t="n">
        <v>0</v>
      </c>
      <c r="L438" t="n">
        <v>0</v>
      </c>
      <c r="M438" t="n">
        <v>0</v>
      </c>
      <c r="N438" t="n">
        <v>0</v>
      </c>
      <c r="O438" t="n">
        <v>0</v>
      </c>
      <c r="P438" t="n">
        <v>0</v>
      </c>
      <c r="Q438" t="n">
        <v>0</v>
      </c>
      <c r="R438" s="2" t="inlineStr"/>
    </row>
    <row r="439" ht="15" customHeight="1">
      <c r="A439" t="inlineStr">
        <is>
          <t>A 54073-2022</t>
        </is>
      </c>
      <c r="B439" s="1" t="n">
        <v>44881.50380787037</v>
      </c>
      <c r="C439" s="1" t="n">
        <v>46059</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16361-2024</t>
        </is>
      </c>
      <c r="B440" s="1" t="n">
        <v>45407</v>
      </c>
      <c r="C440" s="1" t="n">
        <v>46059</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41038-2023</t>
        </is>
      </c>
      <c r="B441" s="1" t="n">
        <v>45173.60959490741</v>
      </c>
      <c r="C441" s="1" t="n">
        <v>46059</v>
      </c>
      <c r="D441" t="inlineStr">
        <is>
          <t>GOTLANDS LÄN</t>
        </is>
      </c>
      <c r="E441" t="inlineStr">
        <is>
          <t>GOTLAND</t>
        </is>
      </c>
      <c r="G441" t="n">
        <v>2.7</v>
      </c>
      <c r="H441" t="n">
        <v>0</v>
      </c>
      <c r="I441" t="n">
        <v>0</v>
      </c>
      <c r="J441" t="n">
        <v>0</v>
      </c>
      <c r="K441" t="n">
        <v>0</v>
      </c>
      <c r="L441" t="n">
        <v>0</v>
      </c>
      <c r="M441" t="n">
        <v>0</v>
      </c>
      <c r="N441" t="n">
        <v>0</v>
      </c>
      <c r="O441" t="n">
        <v>0</v>
      </c>
      <c r="P441" t="n">
        <v>0</v>
      </c>
      <c r="Q441" t="n">
        <v>0</v>
      </c>
      <c r="R441" s="2" t="inlineStr"/>
    </row>
    <row r="442" ht="15" customHeight="1">
      <c r="A442" t="inlineStr">
        <is>
          <t>A 1446-2025</t>
        </is>
      </c>
      <c r="B442" s="1" t="n">
        <v>45669.86035879629</v>
      </c>
      <c r="C442" s="1" t="n">
        <v>46059</v>
      </c>
      <c r="D442" t="inlineStr">
        <is>
          <t>GOTLANDS LÄN</t>
        </is>
      </c>
      <c r="E442" t="inlineStr">
        <is>
          <t>GOTLAND</t>
        </is>
      </c>
      <c r="G442" t="n">
        <v>3.1</v>
      </c>
      <c r="H442" t="n">
        <v>0</v>
      </c>
      <c r="I442" t="n">
        <v>0</v>
      </c>
      <c r="J442" t="n">
        <v>0</v>
      </c>
      <c r="K442" t="n">
        <v>0</v>
      </c>
      <c r="L442" t="n">
        <v>0</v>
      </c>
      <c r="M442" t="n">
        <v>0</v>
      </c>
      <c r="N442" t="n">
        <v>0</v>
      </c>
      <c r="O442" t="n">
        <v>0</v>
      </c>
      <c r="P442" t="n">
        <v>0</v>
      </c>
      <c r="Q442" t="n">
        <v>0</v>
      </c>
      <c r="R442" s="2" t="inlineStr"/>
    </row>
    <row r="443" ht="15" customHeight="1">
      <c r="A443" t="inlineStr">
        <is>
          <t>A 31264-2021</t>
        </is>
      </c>
      <c r="B443" s="1" t="n">
        <v>44368</v>
      </c>
      <c r="C443" s="1" t="n">
        <v>46059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43901-2023</t>
        </is>
      </c>
      <c r="B444" s="1" t="n">
        <v>45187</v>
      </c>
      <c r="C444" s="1" t="n">
        <v>46059</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14427-2024</t>
        </is>
      </c>
      <c r="B445" s="1" t="n">
        <v>45394</v>
      </c>
      <c r="C445" s="1" t="n">
        <v>46059</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10746-2025</t>
        </is>
      </c>
      <c r="B446" s="1" t="n">
        <v>45722.42766203704</v>
      </c>
      <c r="C446" s="1" t="n">
        <v>46059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46059</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31802-2024</t>
        </is>
      </c>
      <c r="B448" s="1" t="n">
        <v>45509</v>
      </c>
      <c r="C448" s="1" t="n">
        <v>46059</v>
      </c>
      <c r="D448" t="inlineStr">
        <is>
          <t>GOTLANDS LÄN</t>
        </is>
      </c>
      <c r="E448" t="inlineStr">
        <is>
          <t>GOTLAND</t>
        </is>
      </c>
      <c r="G448" t="n">
        <v>2.8</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46059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61962-2024</t>
        </is>
      </c>
      <c r="B450" s="1" t="n">
        <v>45653.54340277778</v>
      </c>
      <c r="C450" s="1" t="n">
        <v>46059</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8036-2022</t>
        </is>
      </c>
      <c r="B451" s="1" t="n">
        <v>44609.44362268518</v>
      </c>
      <c r="C451" s="1" t="n">
        <v>46059</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12846-2025</t>
        </is>
      </c>
      <c r="B452" s="1" t="n">
        <v>45733.65049768519</v>
      </c>
      <c r="C452" s="1" t="n">
        <v>46059</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46059</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46949-2024</t>
        </is>
      </c>
      <c r="B454" s="1" t="n">
        <v>45585</v>
      </c>
      <c r="C454" s="1" t="n">
        <v>46059</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10650-2022</t>
        </is>
      </c>
      <c r="B455" s="1" t="n">
        <v>44624.57945601852</v>
      </c>
      <c r="C455" s="1" t="n">
        <v>46059</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5909-2025</t>
        </is>
      </c>
      <c r="B456" s="1" t="n">
        <v>45695.40634259259</v>
      </c>
      <c r="C456" s="1" t="n">
        <v>46059</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10653-2023</t>
        </is>
      </c>
      <c r="B457" s="1" t="n">
        <v>44988.48859953704</v>
      </c>
      <c r="C457" s="1" t="n">
        <v>46059</v>
      </c>
      <c r="D457" t="inlineStr">
        <is>
          <t>GOTLANDS LÄN</t>
        </is>
      </c>
      <c r="E457" t="inlineStr">
        <is>
          <t>GOTLAND</t>
        </is>
      </c>
      <c r="F457" t="inlineStr">
        <is>
          <t>Kyrkan</t>
        </is>
      </c>
      <c r="G457" t="n">
        <v>3</v>
      </c>
      <c r="H457" t="n">
        <v>0</v>
      </c>
      <c r="I457" t="n">
        <v>0</v>
      </c>
      <c r="J457" t="n">
        <v>0</v>
      </c>
      <c r="K457" t="n">
        <v>0</v>
      </c>
      <c r="L457" t="n">
        <v>0</v>
      </c>
      <c r="M457" t="n">
        <v>0</v>
      </c>
      <c r="N457" t="n">
        <v>0</v>
      </c>
      <c r="O457" t="n">
        <v>0</v>
      </c>
      <c r="P457" t="n">
        <v>0</v>
      </c>
      <c r="Q457" t="n">
        <v>0</v>
      </c>
      <c r="R457" s="2" t="inlineStr"/>
    </row>
    <row r="458" ht="15" customHeight="1">
      <c r="A458" t="inlineStr">
        <is>
          <t>A 4990-2025</t>
        </is>
      </c>
      <c r="B458" s="1" t="n">
        <v>45691</v>
      </c>
      <c r="C458" s="1" t="n">
        <v>46059</v>
      </c>
      <c r="D458" t="inlineStr">
        <is>
          <t>GOTLANDS LÄN</t>
        </is>
      </c>
      <c r="E458" t="inlineStr">
        <is>
          <t>GOTLAND</t>
        </is>
      </c>
      <c r="G458" t="n">
        <v>7.7</v>
      </c>
      <c r="H458" t="n">
        <v>0</v>
      </c>
      <c r="I458" t="n">
        <v>0</v>
      </c>
      <c r="J458" t="n">
        <v>0</v>
      </c>
      <c r="K458" t="n">
        <v>0</v>
      </c>
      <c r="L458" t="n">
        <v>0</v>
      </c>
      <c r="M458" t="n">
        <v>0</v>
      </c>
      <c r="N458" t="n">
        <v>0</v>
      </c>
      <c r="O458" t="n">
        <v>0</v>
      </c>
      <c r="P458" t="n">
        <v>0</v>
      </c>
      <c r="Q458" t="n">
        <v>0</v>
      </c>
      <c r="R458" s="2" t="inlineStr"/>
    </row>
    <row r="459" ht="15" customHeight="1">
      <c r="A459" t="inlineStr">
        <is>
          <t>A 11634-2024</t>
        </is>
      </c>
      <c r="B459" s="1" t="n">
        <v>45373</v>
      </c>
      <c r="C459" s="1" t="n">
        <v>46059</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46059</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1351-2025</t>
        </is>
      </c>
      <c r="B461" s="1" t="n">
        <v>45667.62246527777</v>
      </c>
      <c r="C461" s="1" t="n">
        <v>46059</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46059</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32958-2021</t>
        </is>
      </c>
      <c r="B463" s="1" t="n">
        <v>44376</v>
      </c>
      <c r="C463" s="1" t="n">
        <v>46059</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5884-2025</t>
        </is>
      </c>
      <c r="B464" s="1" t="n">
        <v>45695.37482638889</v>
      </c>
      <c r="C464" s="1" t="n">
        <v>46059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5897-2025</t>
        </is>
      </c>
      <c r="B465" s="1" t="n">
        <v>45695.39273148148</v>
      </c>
      <c r="C465" s="1" t="n">
        <v>46059</v>
      </c>
      <c r="D465" t="inlineStr">
        <is>
          <t>GOTLANDS LÄN</t>
        </is>
      </c>
      <c r="E465" t="inlineStr">
        <is>
          <t>GOTLAND</t>
        </is>
      </c>
      <c r="G465" t="n">
        <v>3.7</v>
      </c>
      <c r="H465" t="n">
        <v>0</v>
      </c>
      <c r="I465" t="n">
        <v>0</v>
      </c>
      <c r="J465" t="n">
        <v>0</v>
      </c>
      <c r="K465" t="n">
        <v>0</v>
      </c>
      <c r="L465" t="n">
        <v>0</v>
      </c>
      <c r="M465" t="n">
        <v>0</v>
      </c>
      <c r="N465" t="n">
        <v>0</v>
      </c>
      <c r="O465" t="n">
        <v>0</v>
      </c>
      <c r="P465" t="n">
        <v>0</v>
      </c>
      <c r="Q465" t="n">
        <v>0</v>
      </c>
      <c r="R465" s="2" t="inlineStr"/>
    </row>
    <row r="466" ht="15" customHeight="1">
      <c r="A466" t="inlineStr">
        <is>
          <t>A 49874-2024</t>
        </is>
      </c>
      <c r="B466" s="1" t="n">
        <v>45597.49274305555</v>
      </c>
      <c r="C466" s="1" t="n">
        <v>46059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49693-2023</t>
        </is>
      </c>
      <c r="B467" s="1" t="n">
        <v>45212.38138888889</v>
      </c>
      <c r="C467" s="1" t="n">
        <v>46059</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49697-2023</t>
        </is>
      </c>
      <c r="B468" s="1" t="n">
        <v>45212.38909722222</v>
      </c>
      <c r="C468" s="1" t="n">
        <v>46059</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42201-2023</t>
        </is>
      </c>
      <c r="B469" s="1" t="n">
        <v>45179</v>
      </c>
      <c r="C469" s="1" t="n">
        <v>46059</v>
      </c>
      <c r="D469" t="inlineStr">
        <is>
          <t>GOTLANDS LÄN</t>
        </is>
      </c>
      <c r="E469" t="inlineStr">
        <is>
          <t>GOTLAND</t>
        </is>
      </c>
      <c r="G469" t="n">
        <v>11.9</v>
      </c>
      <c r="H469" t="n">
        <v>0</v>
      </c>
      <c r="I469" t="n">
        <v>0</v>
      </c>
      <c r="J469" t="n">
        <v>0</v>
      </c>
      <c r="K469" t="n">
        <v>0</v>
      </c>
      <c r="L469" t="n">
        <v>0</v>
      </c>
      <c r="M469" t="n">
        <v>0</v>
      </c>
      <c r="N469" t="n">
        <v>0</v>
      </c>
      <c r="O469" t="n">
        <v>0</v>
      </c>
      <c r="P469" t="n">
        <v>0</v>
      </c>
      <c r="Q469" t="n">
        <v>0</v>
      </c>
      <c r="R469" s="2" t="inlineStr"/>
    </row>
    <row r="470" ht="15" customHeight="1">
      <c r="A470" t="inlineStr">
        <is>
          <t>A 46400-2023</t>
        </is>
      </c>
      <c r="B470" s="1" t="n">
        <v>45197.49290509259</v>
      </c>
      <c r="C470" s="1" t="n">
        <v>46059</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46059</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21164-2024</t>
        </is>
      </c>
      <c r="B472" s="1" t="n">
        <v>45440</v>
      </c>
      <c r="C472" s="1" t="n">
        <v>46059</v>
      </c>
      <c r="D472" t="inlineStr">
        <is>
          <t>GOTLANDS LÄN</t>
        </is>
      </c>
      <c r="E472" t="inlineStr">
        <is>
          <t>GOTLAND</t>
        </is>
      </c>
      <c r="G472" t="n">
        <v>6.3</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46059</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22897-2023</t>
        </is>
      </c>
      <c r="B474" s="1" t="n">
        <v>45072.55239583334</v>
      </c>
      <c r="C474" s="1" t="n">
        <v>46059</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61897-2024</t>
        </is>
      </c>
      <c r="B475" s="1" t="n">
        <v>45652.75685185185</v>
      </c>
      <c r="C475" s="1" t="n">
        <v>46059</v>
      </c>
      <c r="D475" t="inlineStr">
        <is>
          <t>GOTLANDS LÄN</t>
        </is>
      </c>
      <c r="E475" t="inlineStr">
        <is>
          <t>GOTLAND</t>
        </is>
      </c>
      <c r="G475" t="n">
        <v>6.4</v>
      </c>
      <c r="H475" t="n">
        <v>0</v>
      </c>
      <c r="I475" t="n">
        <v>0</v>
      </c>
      <c r="J475" t="n">
        <v>0</v>
      </c>
      <c r="K475" t="n">
        <v>0</v>
      </c>
      <c r="L475" t="n">
        <v>0</v>
      </c>
      <c r="M475" t="n">
        <v>0</v>
      </c>
      <c r="N475" t="n">
        <v>0</v>
      </c>
      <c r="O475" t="n">
        <v>0</v>
      </c>
      <c r="P475" t="n">
        <v>0</v>
      </c>
      <c r="Q475" t="n">
        <v>0</v>
      </c>
      <c r="R475" s="2" t="inlineStr"/>
    </row>
    <row r="476" ht="15" customHeight="1">
      <c r="A476" t="inlineStr">
        <is>
          <t>A 49962-2023</t>
        </is>
      </c>
      <c r="B476" s="1" t="n">
        <v>45215.38775462963</v>
      </c>
      <c r="C476" s="1" t="n">
        <v>46059</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44698.49854166667</v>
      </c>
      <c r="C477" s="1" t="n">
        <v>46059</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40294-2022</t>
        </is>
      </c>
      <c r="B478" s="1" t="n">
        <v>44821</v>
      </c>
      <c r="C478" s="1" t="n">
        <v>46059</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12032-2025</t>
        </is>
      </c>
      <c r="B479" s="1" t="n">
        <v>45728.64472222222</v>
      </c>
      <c r="C479" s="1" t="n">
        <v>46059</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38787-2023</t>
        </is>
      </c>
      <c r="B480" s="1" t="n">
        <v>45163</v>
      </c>
      <c r="C480" s="1" t="n">
        <v>46059</v>
      </c>
      <c r="D480" t="inlineStr">
        <is>
          <t>GOTLANDS LÄN</t>
        </is>
      </c>
      <c r="E480" t="inlineStr">
        <is>
          <t>GOTLAND</t>
        </is>
      </c>
      <c r="G480" t="n">
        <v>0.4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46059</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17532-2024</t>
        </is>
      </c>
      <c r="B482" s="1" t="n">
        <v>45415</v>
      </c>
      <c r="C482" s="1" t="n">
        <v>46059</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3935-2025</t>
        </is>
      </c>
      <c r="B483" s="1" t="n">
        <v>45684.46070601852</v>
      </c>
      <c r="C483" s="1" t="n">
        <v>46059</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20225-2025</t>
        </is>
      </c>
      <c r="B484" s="1" t="n">
        <v>45772.65802083333</v>
      </c>
      <c r="C484" s="1" t="n">
        <v>46059</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883-2025</t>
        </is>
      </c>
      <c r="B485" s="1" t="n">
        <v>45665</v>
      </c>
      <c r="C485" s="1" t="n">
        <v>46059</v>
      </c>
      <c r="D485" t="inlineStr">
        <is>
          <t>GOTLANDS LÄN</t>
        </is>
      </c>
      <c r="E485" t="inlineStr">
        <is>
          <t>GOTLAND</t>
        </is>
      </c>
      <c r="G485" t="n">
        <v>1.3</v>
      </c>
      <c r="H485" t="n">
        <v>0</v>
      </c>
      <c r="I485" t="n">
        <v>0</v>
      </c>
      <c r="J485" t="n">
        <v>0</v>
      </c>
      <c r="K485" t="n">
        <v>0</v>
      </c>
      <c r="L485" t="n">
        <v>0</v>
      </c>
      <c r="M485" t="n">
        <v>0</v>
      </c>
      <c r="N485" t="n">
        <v>0</v>
      </c>
      <c r="O485" t="n">
        <v>0</v>
      </c>
      <c r="P485" t="n">
        <v>0</v>
      </c>
      <c r="Q485" t="n">
        <v>0</v>
      </c>
      <c r="R485" s="2" t="inlineStr"/>
    </row>
    <row r="486" ht="15" customHeight="1">
      <c r="A486" t="inlineStr">
        <is>
          <t>A 1066-2024</t>
        </is>
      </c>
      <c r="B486" s="1" t="n">
        <v>45302.285</v>
      </c>
      <c r="C486" s="1" t="n">
        <v>46059</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46059</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56009-2024</t>
        </is>
      </c>
      <c r="B488" s="1" t="n">
        <v>45623.80864583333</v>
      </c>
      <c r="C488" s="1" t="n">
        <v>46059</v>
      </c>
      <c r="D488" t="inlineStr">
        <is>
          <t>GOTLANDS LÄN</t>
        </is>
      </c>
      <c r="E488" t="inlineStr">
        <is>
          <t>GOTLAND</t>
        </is>
      </c>
      <c r="G488" t="n">
        <v>2.8</v>
      </c>
      <c r="H488" t="n">
        <v>0</v>
      </c>
      <c r="I488" t="n">
        <v>0</v>
      </c>
      <c r="J488" t="n">
        <v>0</v>
      </c>
      <c r="K488" t="n">
        <v>0</v>
      </c>
      <c r="L488" t="n">
        <v>0</v>
      </c>
      <c r="M488" t="n">
        <v>0</v>
      </c>
      <c r="N488" t="n">
        <v>0</v>
      </c>
      <c r="O488" t="n">
        <v>0</v>
      </c>
      <c r="P488" t="n">
        <v>0</v>
      </c>
      <c r="Q488" t="n">
        <v>0</v>
      </c>
      <c r="R488" s="2" t="inlineStr"/>
    </row>
    <row r="489" ht="15" customHeight="1">
      <c r="A489" t="inlineStr">
        <is>
          <t>A 42338-2023</t>
        </is>
      </c>
      <c r="B489" s="1" t="n">
        <v>45180</v>
      </c>
      <c r="C489" s="1" t="n">
        <v>46059</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581-2023</t>
        </is>
      </c>
      <c r="B490" s="1" t="n">
        <v>44930</v>
      </c>
      <c r="C490" s="1" t="n">
        <v>46059</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61386-2023</t>
        </is>
      </c>
      <c r="B491" s="1" t="n">
        <v>45264</v>
      </c>
      <c r="C491" s="1" t="n">
        <v>46059</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873-2024</t>
        </is>
      </c>
      <c r="B492" s="1" t="n">
        <v>45301</v>
      </c>
      <c r="C492" s="1" t="n">
        <v>46059</v>
      </c>
      <c r="D492" t="inlineStr">
        <is>
          <t>GOTLANDS LÄN</t>
        </is>
      </c>
      <c r="E492" t="inlineStr">
        <is>
          <t>GOTLAND</t>
        </is>
      </c>
      <c r="G492" t="n">
        <v>2.7</v>
      </c>
      <c r="H492" t="n">
        <v>0</v>
      </c>
      <c r="I492" t="n">
        <v>0</v>
      </c>
      <c r="J492" t="n">
        <v>0</v>
      </c>
      <c r="K492" t="n">
        <v>0</v>
      </c>
      <c r="L492" t="n">
        <v>0</v>
      </c>
      <c r="M492" t="n">
        <v>0</v>
      </c>
      <c r="N492" t="n">
        <v>0</v>
      </c>
      <c r="O492" t="n">
        <v>0</v>
      </c>
      <c r="P492" t="n">
        <v>0</v>
      </c>
      <c r="Q492" t="n">
        <v>0</v>
      </c>
      <c r="R492" s="2" t="inlineStr"/>
    </row>
    <row r="493" ht="15" customHeight="1">
      <c r="A493" t="inlineStr">
        <is>
          <t>A 49411-2023</t>
        </is>
      </c>
      <c r="B493" s="1" t="n">
        <v>45205</v>
      </c>
      <c r="C493" s="1" t="n">
        <v>46059</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22275-2023</t>
        </is>
      </c>
      <c r="B494" s="1" t="n">
        <v>45070.39875</v>
      </c>
      <c r="C494" s="1" t="n">
        <v>46059</v>
      </c>
      <c r="D494" t="inlineStr">
        <is>
          <t>GOTLANDS LÄN</t>
        </is>
      </c>
      <c r="E494" t="inlineStr">
        <is>
          <t>GOTLAND</t>
        </is>
      </c>
      <c r="G494" t="n">
        <v>7.2</v>
      </c>
      <c r="H494" t="n">
        <v>0</v>
      </c>
      <c r="I494" t="n">
        <v>0</v>
      </c>
      <c r="J494" t="n">
        <v>0</v>
      </c>
      <c r="K494" t="n">
        <v>0</v>
      </c>
      <c r="L494" t="n">
        <v>0</v>
      </c>
      <c r="M494" t="n">
        <v>0</v>
      </c>
      <c r="N494" t="n">
        <v>0</v>
      </c>
      <c r="O494" t="n">
        <v>0</v>
      </c>
      <c r="P494" t="n">
        <v>0</v>
      </c>
      <c r="Q494" t="n">
        <v>0</v>
      </c>
      <c r="R494" s="2" t="inlineStr"/>
    </row>
    <row r="495" ht="15" customHeight="1">
      <c r="A495" t="inlineStr">
        <is>
          <t>A 12322-2025</t>
        </is>
      </c>
      <c r="B495" s="1" t="n">
        <v>45730</v>
      </c>
      <c r="C495" s="1" t="n">
        <v>46059</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14797-2024</t>
        </is>
      </c>
      <c r="B496" s="1" t="n">
        <v>45397.87030092593</v>
      </c>
      <c r="C496" s="1" t="n">
        <v>46059</v>
      </c>
      <c r="D496" t="inlineStr">
        <is>
          <t>GOTLANDS LÄN</t>
        </is>
      </c>
      <c r="E496" t="inlineStr">
        <is>
          <t>GOTLAND</t>
        </is>
      </c>
      <c r="G496" t="n">
        <v>8.1</v>
      </c>
      <c r="H496" t="n">
        <v>0</v>
      </c>
      <c r="I496" t="n">
        <v>0</v>
      </c>
      <c r="J496" t="n">
        <v>0</v>
      </c>
      <c r="K496" t="n">
        <v>0</v>
      </c>
      <c r="L496" t="n">
        <v>0</v>
      </c>
      <c r="M496" t="n">
        <v>0</v>
      </c>
      <c r="N496" t="n">
        <v>0</v>
      </c>
      <c r="O496" t="n">
        <v>0</v>
      </c>
      <c r="P496" t="n">
        <v>0</v>
      </c>
      <c r="Q496" t="n">
        <v>0</v>
      </c>
      <c r="R496" s="2" t="inlineStr"/>
    </row>
    <row r="497" ht="15" customHeight="1">
      <c r="A497" t="inlineStr">
        <is>
          <t>A 999-2024</t>
        </is>
      </c>
      <c r="B497" s="1" t="n">
        <v>45301</v>
      </c>
      <c r="C497" s="1" t="n">
        <v>46059</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61596-2023</t>
        </is>
      </c>
      <c r="B498" s="1" t="n">
        <v>45265</v>
      </c>
      <c r="C498" s="1" t="n">
        <v>46059</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14638-2025</t>
        </is>
      </c>
      <c r="B499" s="1" t="n">
        <v>45742</v>
      </c>
      <c r="C499" s="1" t="n">
        <v>46059</v>
      </c>
      <c r="D499" t="inlineStr">
        <is>
          <t>GOTLANDS LÄN</t>
        </is>
      </c>
      <c r="E499" t="inlineStr">
        <is>
          <t>GOTLAND</t>
        </is>
      </c>
      <c r="G499" t="n">
        <v>13.4</v>
      </c>
      <c r="H499" t="n">
        <v>0</v>
      </c>
      <c r="I499" t="n">
        <v>0</v>
      </c>
      <c r="J499" t="n">
        <v>0</v>
      </c>
      <c r="K499" t="n">
        <v>0</v>
      </c>
      <c r="L499" t="n">
        <v>0</v>
      </c>
      <c r="M499" t="n">
        <v>0</v>
      </c>
      <c r="N499" t="n">
        <v>0</v>
      </c>
      <c r="O499" t="n">
        <v>0</v>
      </c>
      <c r="P499" t="n">
        <v>0</v>
      </c>
      <c r="Q499" t="n">
        <v>0</v>
      </c>
      <c r="R499" s="2" t="inlineStr"/>
    </row>
    <row r="500" ht="15" customHeight="1">
      <c r="A500" t="inlineStr">
        <is>
          <t>A 60675-2021</t>
        </is>
      </c>
      <c r="B500" s="1" t="n">
        <v>44496.64855324074</v>
      </c>
      <c r="C500" s="1" t="n">
        <v>46059</v>
      </c>
      <c r="D500" t="inlineStr">
        <is>
          <t>GOTLANDS LÄN</t>
        </is>
      </c>
      <c r="E500" t="inlineStr">
        <is>
          <t>GOTLAND</t>
        </is>
      </c>
      <c r="G500" t="n">
        <v>4.6</v>
      </c>
      <c r="H500" t="n">
        <v>0</v>
      </c>
      <c r="I500" t="n">
        <v>0</v>
      </c>
      <c r="J500" t="n">
        <v>0</v>
      </c>
      <c r="K500" t="n">
        <v>0</v>
      </c>
      <c r="L500" t="n">
        <v>0</v>
      </c>
      <c r="M500" t="n">
        <v>0</v>
      </c>
      <c r="N500" t="n">
        <v>0</v>
      </c>
      <c r="O500" t="n">
        <v>0</v>
      </c>
      <c r="P500" t="n">
        <v>0</v>
      </c>
      <c r="Q500" t="n">
        <v>0</v>
      </c>
      <c r="R500" s="2" t="inlineStr"/>
    </row>
    <row r="501" ht="15" customHeight="1">
      <c r="A501" t="inlineStr">
        <is>
          <t>A 37728-2024</t>
        </is>
      </c>
      <c r="B501" s="1" t="n">
        <v>45541</v>
      </c>
      <c r="C501" s="1" t="n">
        <v>46059</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46059</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46059</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65249-2023</t>
        </is>
      </c>
      <c r="B504" s="1" t="n">
        <v>45290</v>
      </c>
      <c r="C504" s="1" t="n">
        <v>46059</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13910-2025</t>
        </is>
      </c>
      <c r="B505" s="1" t="n">
        <v>45737</v>
      </c>
      <c r="C505" s="1" t="n">
        <v>46059</v>
      </c>
      <c r="D505" t="inlineStr">
        <is>
          <t>GOTLANDS LÄN</t>
        </is>
      </c>
      <c r="E505" t="inlineStr">
        <is>
          <t>GOTLAND</t>
        </is>
      </c>
      <c r="F505" t="inlineStr">
        <is>
          <t>Kommuner</t>
        </is>
      </c>
      <c r="G505" t="n">
        <v>3.2</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44682.82622685185</v>
      </c>
      <c r="C506" s="1" t="n">
        <v>46059</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59986-2022</t>
        </is>
      </c>
      <c r="B507" s="1" t="n">
        <v>44909</v>
      </c>
      <c r="C507" s="1" t="n">
        <v>46059</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14536-2021</t>
        </is>
      </c>
      <c r="B508" s="1" t="n">
        <v>44279.66168981481</v>
      </c>
      <c r="C508" s="1" t="n">
        <v>46059</v>
      </c>
      <c r="D508" t="inlineStr">
        <is>
          <t>GOTLANDS LÄN</t>
        </is>
      </c>
      <c r="E508" t="inlineStr">
        <is>
          <t>GOTLAND</t>
        </is>
      </c>
      <c r="G508" t="n">
        <v>8.5</v>
      </c>
      <c r="H508" t="n">
        <v>0</v>
      </c>
      <c r="I508" t="n">
        <v>0</v>
      </c>
      <c r="J508" t="n">
        <v>0</v>
      </c>
      <c r="K508" t="n">
        <v>0</v>
      </c>
      <c r="L508" t="n">
        <v>0</v>
      </c>
      <c r="M508" t="n">
        <v>0</v>
      </c>
      <c r="N508" t="n">
        <v>0</v>
      </c>
      <c r="O508" t="n">
        <v>0</v>
      </c>
      <c r="P508" t="n">
        <v>0</v>
      </c>
      <c r="Q508" t="n">
        <v>0</v>
      </c>
      <c r="R508" s="2" t="inlineStr"/>
    </row>
    <row r="509" ht="15" customHeight="1">
      <c r="A509" t="inlineStr">
        <is>
          <t>A 11874-2024</t>
        </is>
      </c>
      <c r="B509" s="1" t="n">
        <v>45376.46956018519</v>
      </c>
      <c r="C509" s="1" t="n">
        <v>46059</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46059</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61694-2023</t>
        </is>
      </c>
      <c r="B511" s="1" t="n">
        <v>45264</v>
      </c>
      <c r="C511" s="1" t="n">
        <v>46059</v>
      </c>
      <c r="D511" t="inlineStr">
        <is>
          <t>GOTLANDS LÄN</t>
        </is>
      </c>
      <c r="E511" t="inlineStr">
        <is>
          <t>GOTLAND</t>
        </is>
      </c>
      <c r="G511" t="n">
        <v>4.6</v>
      </c>
      <c r="H511" t="n">
        <v>0</v>
      </c>
      <c r="I511" t="n">
        <v>0</v>
      </c>
      <c r="J511" t="n">
        <v>0</v>
      </c>
      <c r="K511" t="n">
        <v>0</v>
      </c>
      <c r="L511" t="n">
        <v>0</v>
      </c>
      <c r="M511" t="n">
        <v>0</v>
      </c>
      <c r="N511" t="n">
        <v>0</v>
      </c>
      <c r="O511" t="n">
        <v>0</v>
      </c>
      <c r="P511" t="n">
        <v>0</v>
      </c>
      <c r="Q511" t="n">
        <v>0</v>
      </c>
      <c r="R511" s="2" t="inlineStr"/>
    </row>
    <row r="512" ht="15" customHeight="1">
      <c r="A512" t="inlineStr">
        <is>
          <t>A 64555-2023</t>
        </is>
      </c>
      <c r="B512" s="1" t="n">
        <v>45281</v>
      </c>
      <c r="C512" s="1" t="n">
        <v>46059</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64831-2023</t>
        </is>
      </c>
      <c r="B513" s="1" t="n">
        <v>45282.44924768519</v>
      </c>
      <c r="C513" s="1" t="n">
        <v>46059</v>
      </c>
      <c r="D513" t="inlineStr">
        <is>
          <t>GOTLANDS LÄN</t>
        </is>
      </c>
      <c r="E513" t="inlineStr">
        <is>
          <t>GOTLAND</t>
        </is>
      </c>
      <c r="G513" t="n">
        <v>1.9</v>
      </c>
      <c r="H513" t="n">
        <v>0</v>
      </c>
      <c r="I513" t="n">
        <v>0</v>
      </c>
      <c r="J513" t="n">
        <v>0</v>
      </c>
      <c r="K513" t="n">
        <v>0</v>
      </c>
      <c r="L513" t="n">
        <v>0</v>
      </c>
      <c r="M513" t="n">
        <v>0</v>
      </c>
      <c r="N513" t="n">
        <v>0</v>
      </c>
      <c r="O513" t="n">
        <v>0</v>
      </c>
      <c r="P513" t="n">
        <v>0</v>
      </c>
      <c r="Q513" t="n">
        <v>0</v>
      </c>
      <c r="R513" s="2" t="inlineStr"/>
    </row>
    <row r="514" ht="15" customHeight="1">
      <c r="A514" t="inlineStr">
        <is>
          <t>A 14804-2021</t>
        </is>
      </c>
      <c r="B514" s="1" t="n">
        <v>44280</v>
      </c>
      <c r="C514" s="1" t="n">
        <v>46059</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46059</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27602-2023</t>
        </is>
      </c>
      <c r="B516" s="1" t="n">
        <v>45097</v>
      </c>
      <c r="C516" s="1" t="n">
        <v>46059</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4377-2023</t>
        </is>
      </c>
      <c r="B517" s="1" t="n">
        <v>44955.5502662037</v>
      </c>
      <c r="C517" s="1" t="n">
        <v>46059</v>
      </c>
      <c r="D517" t="inlineStr">
        <is>
          <t>GOTLANDS LÄN</t>
        </is>
      </c>
      <c r="E517" t="inlineStr">
        <is>
          <t>GOTLAND</t>
        </is>
      </c>
      <c r="F517" t="inlineStr">
        <is>
          <t>Kyrkan</t>
        </is>
      </c>
      <c r="G517" t="n">
        <v>0.6</v>
      </c>
      <c r="H517" t="n">
        <v>0</v>
      </c>
      <c r="I517" t="n">
        <v>0</v>
      </c>
      <c r="J517" t="n">
        <v>0</v>
      </c>
      <c r="K517" t="n">
        <v>0</v>
      </c>
      <c r="L517" t="n">
        <v>0</v>
      </c>
      <c r="M517" t="n">
        <v>0</v>
      </c>
      <c r="N517" t="n">
        <v>0</v>
      </c>
      <c r="O517" t="n">
        <v>0</v>
      </c>
      <c r="P517" t="n">
        <v>0</v>
      </c>
      <c r="Q517" t="n">
        <v>0</v>
      </c>
      <c r="R517" s="2" t="inlineStr"/>
    </row>
    <row r="518" ht="15" customHeight="1">
      <c r="A518" t="inlineStr">
        <is>
          <t>A 4387-2023</t>
        </is>
      </c>
      <c r="B518" s="1" t="n">
        <v>44955.73359953704</v>
      </c>
      <c r="C518" s="1" t="n">
        <v>46059</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39479-2022</t>
        </is>
      </c>
      <c r="B519" s="1" t="n">
        <v>44818</v>
      </c>
      <c r="C519" s="1" t="n">
        <v>46059</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51963-2024</t>
        </is>
      </c>
      <c r="B520" s="1" t="n">
        <v>45607.64833333333</v>
      </c>
      <c r="C520" s="1" t="n">
        <v>46059</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811-2023</t>
        </is>
      </c>
      <c r="B521" s="1" t="n">
        <v>44931</v>
      </c>
      <c r="C521" s="1" t="n">
        <v>46059</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46389-2021</t>
        </is>
      </c>
      <c r="B522" s="1" t="n">
        <v>44443</v>
      </c>
      <c r="C522" s="1" t="n">
        <v>46059</v>
      </c>
      <c r="D522" t="inlineStr">
        <is>
          <t>GOTLANDS LÄN</t>
        </is>
      </c>
      <c r="E522" t="inlineStr">
        <is>
          <t>GOTLAND</t>
        </is>
      </c>
      <c r="F522" t="inlineStr">
        <is>
          <t>Kyrkan</t>
        </is>
      </c>
      <c r="G522" t="n">
        <v>2.1</v>
      </c>
      <c r="H522" t="n">
        <v>0</v>
      </c>
      <c r="I522" t="n">
        <v>0</v>
      </c>
      <c r="J522" t="n">
        <v>0</v>
      </c>
      <c r="K522" t="n">
        <v>0</v>
      </c>
      <c r="L522" t="n">
        <v>0</v>
      </c>
      <c r="M522" t="n">
        <v>0</v>
      </c>
      <c r="N522" t="n">
        <v>0</v>
      </c>
      <c r="O522" t="n">
        <v>0</v>
      </c>
      <c r="P522" t="n">
        <v>0</v>
      </c>
      <c r="Q522" t="n">
        <v>0</v>
      </c>
      <c r="R522" s="2" t="inlineStr"/>
    </row>
    <row r="523" ht="15" customHeight="1">
      <c r="A523" t="inlineStr">
        <is>
          <t>A 26810-2021</t>
        </is>
      </c>
      <c r="B523" s="1" t="n">
        <v>44349.55087962963</v>
      </c>
      <c r="C523" s="1" t="n">
        <v>46059</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46059</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33853-2024</t>
        </is>
      </c>
      <c r="B525" s="1" t="n">
        <v>45520.64298611111</v>
      </c>
      <c r="C525" s="1" t="n">
        <v>46059</v>
      </c>
      <c r="D525" t="inlineStr">
        <is>
          <t>GOTLANDS LÄN</t>
        </is>
      </c>
      <c r="E525" t="inlineStr">
        <is>
          <t>GOTLAND</t>
        </is>
      </c>
      <c r="G525" t="n">
        <v>3.9</v>
      </c>
      <c r="H525" t="n">
        <v>0</v>
      </c>
      <c r="I525" t="n">
        <v>0</v>
      </c>
      <c r="J525" t="n">
        <v>0</v>
      </c>
      <c r="K525" t="n">
        <v>0</v>
      </c>
      <c r="L525" t="n">
        <v>0</v>
      </c>
      <c r="M525" t="n">
        <v>0</v>
      </c>
      <c r="N525" t="n">
        <v>0</v>
      </c>
      <c r="O525" t="n">
        <v>0</v>
      </c>
      <c r="P525" t="n">
        <v>0</v>
      </c>
      <c r="Q525" t="n">
        <v>0</v>
      </c>
      <c r="R525" s="2" t="inlineStr"/>
    </row>
    <row r="526" ht="15" customHeight="1">
      <c r="A526" t="inlineStr">
        <is>
          <t>A 18918-2025</t>
        </is>
      </c>
      <c r="B526" s="1" t="n">
        <v>45764</v>
      </c>
      <c r="C526" s="1" t="n">
        <v>46059</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46059</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46059</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2719-2023</t>
        </is>
      </c>
      <c r="B529" s="1" t="n">
        <v>44944.55361111111</v>
      </c>
      <c r="C529" s="1" t="n">
        <v>46059</v>
      </c>
      <c r="D529" t="inlineStr">
        <is>
          <t>GOTLANDS LÄN</t>
        </is>
      </c>
      <c r="E529" t="inlineStr">
        <is>
          <t>GOTLAND</t>
        </is>
      </c>
      <c r="G529" t="n">
        <v>0.5</v>
      </c>
      <c r="H529" t="n">
        <v>0</v>
      </c>
      <c r="I529" t="n">
        <v>0</v>
      </c>
      <c r="J529" t="n">
        <v>0</v>
      </c>
      <c r="K529" t="n">
        <v>0</v>
      </c>
      <c r="L529" t="n">
        <v>0</v>
      </c>
      <c r="M529" t="n">
        <v>0</v>
      </c>
      <c r="N529" t="n">
        <v>0</v>
      </c>
      <c r="O529" t="n">
        <v>0</v>
      </c>
      <c r="P529" t="n">
        <v>0</v>
      </c>
      <c r="Q529" t="n">
        <v>0</v>
      </c>
      <c r="R529" s="2" t="inlineStr"/>
    </row>
    <row r="530" ht="15" customHeight="1">
      <c r="A530" t="inlineStr">
        <is>
          <t>A 26891-2024</t>
        </is>
      </c>
      <c r="B530" s="1" t="n">
        <v>45470.65540509259</v>
      </c>
      <c r="C530" s="1" t="n">
        <v>46059</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42007-2023</t>
        </is>
      </c>
      <c r="B531" s="1" t="n">
        <v>45177</v>
      </c>
      <c r="C531" s="1" t="n">
        <v>46059</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9887-2025</t>
        </is>
      </c>
      <c r="B532" s="1" t="n">
        <v>45716</v>
      </c>
      <c r="C532" s="1" t="n">
        <v>46059</v>
      </c>
      <c r="D532" t="inlineStr">
        <is>
          <t>GOTLANDS LÄN</t>
        </is>
      </c>
      <c r="E532" t="inlineStr">
        <is>
          <t>GOTLAND</t>
        </is>
      </c>
      <c r="G532" t="n">
        <v>7.5</v>
      </c>
      <c r="H532" t="n">
        <v>0</v>
      </c>
      <c r="I532" t="n">
        <v>0</v>
      </c>
      <c r="J532" t="n">
        <v>0</v>
      </c>
      <c r="K532" t="n">
        <v>0</v>
      </c>
      <c r="L532" t="n">
        <v>0</v>
      </c>
      <c r="M532" t="n">
        <v>0</v>
      </c>
      <c r="N532" t="n">
        <v>0</v>
      </c>
      <c r="O532" t="n">
        <v>0</v>
      </c>
      <c r="P532" t="n">
        <v>0</v>
      </c>
      <c r="Q532" t="n">
        <v>0</v>
      </c>
      <c r="R532" s="2" t="inlineStr"/>
    </row>
    <row r="533" ht="15" customHeight="1">
      <c r="A533" t="inlineStr">
        <is>
          <t>A 38165-2023</t>
        </is>
      </c>
      <c r="B533" s="1" t="n">
        <v>45161</v>
      </c>
      <c r="C533" s="1" t="n">
        <v>46059</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27596-2023</t>
        </is>
      </c>
      <c r="B534" s="1" t="n">
        <v>45097</v>
      </c>
      <c r="C534" s="1" t="n">
        <v>46059</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24825-2024</t>
        </is>
      </c>
      <c r="B535" s="1" t="n">
        <v>45461</v>
      </c>
      <c r="C535" s="1" t="n">
        <v>46059</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6696-2023</t>
        </is>
      </c>
      <c r="B536" s="1" t="n">
        <v>44966.66425925926</v>
      </c>
      <c r="C536" s="1" t="n">
        <v>46059</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21247-2022</t>
        </is>
      </c>
      <c r="B537" s="1" t="n">
        <v>44705.38832175926</v>
      </c>
      <c r="C537" s="1" t="n">
        <v>46059</v>
      </c>
      <c r="D537" t="inlineStr">
        <is>
          <t>GOTLANDS LÄN</t>
        </is>
      </c>
      <c r="E537" t="inlineStr">
        <is>
          <t>GOTLAND</t>
        </is>
      </c>
      <c r="G537" t="n">
        <v>16.2</v>
      </c>
      <c r="H537" t="n">
        <v>0</v>
      </c>
      <c r="I537" t="n">
        <v>0</v>
      </c>
      <c r="J537" t="n">
        <v>0</v>
      </c>
      <c r="K537" t="n">
        <v>0</v>
      </c>
      <c r="L537" t="n">
        <v>0</v>
      </c>
      <c r="M537" t="n">
        <v>0</v>
      </c>
      <c r="N537" t="n">
        <v>0</v>
      </c>
      <c r="O537" t="n">
        <v>0</v>
      </c>
      <c r="P537" t="n">
        <v>0</v>
      </c>
      <c r="Q537" t="n">
        <v>0</v>
      </c>
      <c r="R537" s="2" t="inlineStr"/>
    </row>
    <row r="538" ht="15" customHeight="1">
      <c r="A538" t="inlineStr">
        <is>
          <t>A 456-2023</t>
        </is>
      </c>
      <c r="B538" s="1" t="n">
        <v>44929.87122685185</v>
      </c>
      <c r="C538" s="1" t="n">
        <v>46059</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2714-2023</t>
        </is>
      </c>
      <c r="B539" s="1" t="n">
        <v>44944.54896990741</v>
      </c>
      <c r="C539" s="1" t="n">
        <v>46059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4421-2024</t>
        </is>
      </c>
      <c r="B540" s="1" t="n">
        <v>45327.45173611111</v>
      </c>
      <c r="C540" s="1" t="n">
        <v>46059</v>
      </c>
      <c r="D540" t="inlineStr">
        <is>
          <t>GOTLANDS LÄN</t>
        </is>
      </c>
      <c r="E540" t="inlineStr">
        <is>
          <t>GOTLAND</t>
        </is>
      </c>
      <c r="G540" t="n">
        <v>5.1</v>
      </c>
      <c r="H540" t="n">
        <v>0</v>
      </c>
      <c r="I540" t="n">
        <v>0</v>
      </c>
      <c r="J540" t="n">
        <v>0</v>
      </c>
      <c r="K540" t="n">
        <v>0</v>
      </c>
      <c r="L540" t="n">
        <v>0</v>
      </c>
      <c r="M540" t="n">
        <v>0</v>
      </c>
      <c r="N540" t="n">
        <v>0</v>
      </c>
      <c r="O540" t="n">
        <v>0</v>
      </c>
      <c r="P540" t="n">
        <v>0</v>
      </c>
      <c r="Q540" t="n">
        <v>0</v>
      </c>
      <c r="R540" s="2" t="inlineStr"/>
    </row>
    <row r="541" ht="15" customHeight="1">
      <c r="A541" t="inlineStr">
        <is>
          <t>A 51782-2023</t>
        </is>
      </c>
      <c r="B541" s="1" t="n">
        <v>45222.80952546297</v>
      </c>
      <c r="C541" s="1" t="n">
        <v>46059</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54268-2022</t>
        </is>
      </c>
      <c r="B542" s="1" t="n">
        <v>44882</v>
      </c>
      <c r="C542" s="1" t="n">
        <v>46059</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57534-2022</t>
        </is>
      </c>
      <c r="B543" s="1" t="n">
        <v>44896</v>
      </c>
      <c r="C543" s="1" t="n">
        <v>46059</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25866-2022</t>
        </is>
      </c>
      <c r="B544" s="1" t="n">
        <v>44733</v>
      </c>
      <c r="C544" s="1" t="n">
        <v>46059</v>
      </c>
      <c r="D544" t="inlineStr">
        <is>
          <t>GOTLANDS LÄN</t>
        </is>
      </c>
      <c r="E544" t="inlineStr">
        <is>
          <t>GOTLAND</t>
        </is>
      </c>
      <c r="G544" t="n">
        <v>2.9</v>
      </c>
      <c r="H544" t="n">
        <v>0</v>
      </c>
      <c r="I544" t="n">
        <v>0</v>
      </c>
      <c r="J544" t="n">
        <v>0</v>
      </c>
      <c r="K544" t="n">
        <v>0</v>
      </c>
      <c r="L544" t="n">
        <v>0</v>
      </c>
      <c r="M544" t="n">
        <v>0</v>
      </c>
      <c r="N544" t="n">
        <v>0</v>
      </c>
      <c r="O544" t="n">
        <v>0</v>
      </c>
      <c r="P544" t="n">
        <v>0</v>
      </c>
      <c r="Q544" t="n">
        <v>0</v>
      </c>
      <c r="R544" s="2" t="inlineStr"/>
    </row>
    <row r="545" ht="15" customHeight="1">
      <c r="A545" t="inlineStr">
        <is>
          <t>A 43229-2023</t>
        </is>
      </c>
      <c r="B545" s="1" t="n">
        <v>45183.46704861111</v>
      </c>
      <c r="C545" s="1" t="n">
        <v>46059</v>
      </c>
      <c r="D545" t="inlineStr">
        <is>
          <t>GOTLANDS LÄN</t>
        </is>
      </c>
      <c r="E545" t="inlineStr">
        <is>
          <t>GOTLAND</t>
        </is>
      </c>
      <c r="G545" t="n">
        <v>7.1</v>
      </c>
      <c r="H545" t="n">
        <v>0</v>
      </c>
      <c r="I545" t="n">
        <v>0</v>
      </c>
      <c r="J545" t="n">
        <v>0</v>
      </c>
      <c r="K545" t="n">
        <v>0</v>
      </c>
      <c r="L545" t="n">
        <v>0</v>
      </c>
      <c r="M545" t="n">
        <v>0</v>
      </c>
      <c r="N545" t="n">
        <v>0</v>
      </c>
      <c r="O545" t="n">
        <v>0</v>
      </c>
      <c r="P545" t="n">
        <v>0</v>
      </c>
      <c r="Q545" t="n">
        <v>0</v>
      </c>
      <c r="R545" s="2" t="inlineStr"/>
    </row>
    <row r="546" ht="15" customHeight="1">
      <c r="A546" t="inlineStr">
        <is>
          <t>A 1175-2025</t>
        </is>
      </c>
      <c r="B546" s="1" t="n">
        <v>45667.34449074074</v>
      </c>
      <c r="C546" s="1" t="n">
        <v>46059</v>
      </c>
      <c r="D546" t="inlineStr">
        <is>
          <t>GOTLANDS LÄN</t>
        </is>
      </c>
      <c r="E546" t="inlineStr">
        <is>
          <t>GOTLAND</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27095-2022</t>
        </is>
      </c>
      <c r="B547" s="1" t="n">
        <v>44741</v>
      </c>
      <c r="C547" s="1" t="n">
        <v>46059</v>
      </c>
      <c r="D547" t="inlineStr">
        <is>
          <t>GOTLANDS LÄN</t>
        </is>
      </c>
      <c r="E547" t="inlineStr">
        <is>
          <t>GOTLAND</t>
        </is>
      </c>
      <c r="F547" t="inlineStr">
        <is>
          <t>Övriga Aktiebolag</t>
        </is>
      </c>
      <c r="G547" t="n">
        <v>2.9</v>
      </c>
      <c r="H547" t="n">
        <v>0</v>
      </c>
      <c r="I547" t="n">
        <v>0</v>
      </c>
      <c r="J547" t="n">
        <v>0</v>
      </c>
      <c r="K547" t="n">
        <v>0</v>
      </c>
      <c r="L547" t="n">
        <v>0</v>
      </c>
      <c r="M547" t="n">
        <v>0</v>
      </c>
      <c r="N547" t="n">
        <v>0</v>
      </c>
      <c r="O547" t="n">
        <v>0</v>
      </c>
      <c r="P547" t="n">
        <v>0</v>
      </c>
      <c r="Q547" t="n">
        <v>0</v>
      </c>
      <c r="R547" s="2" t="inlineStr"/>
    </row>
    <row r="548" ht="15" customHeight="1">
      <c r="A548" t="inlineStr">
        <is>
          <t>A 22899-2023</t>
        </is>
      </c>
      <c r="B548" s="1" t="n">
        <v>45072</v>
      </c>
      <c r="C548" s="1" t="n">
        <v>46059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23978-2023</t>
        </is>
      </c>
      <c r="B549" s="1" t="n">
        <v>45078</v>
      </c>
      <c r="C549" s="1" t="n">
        <v>46059</v>
      </c>
      <c r="D549" t="inlineStr">
        <is>
          <t>GOTLANDS LÄN</t>
        </is>
      </c>
      <c r="E549" t="inlineStr">
        <is>
          <t>GOTLAND</t>
        </is>
      </c>
      <c r="F549" t="inlineStr">
        <is>
          <t>Naturvårdsverket</t>
        </is>
      </c>
      <c r="G549" t="n">
        <v>1.7</v>
      </c>
      <c r="H549" t="n">
        <v>0</v>
      </c>
      <c r="I549" t="n">
        <v>0</v>
      </c>
      <c r="J549" t="n">
        <v>0</v>
      </c>
      <c r="K549" t="n">
        <v>0</v>
      </c>
      <c r="L549" t="n">
        <v>0</v>
      </c>
      <c r="M549" t="n">
        <v>0</v>
      </c>
      <c r="N549" t="n">
        <v>0</v>
      </c>
      <c r="O549" t="n">
        <v>0</v>
      </c>
      <c r="P549" t="n">
        <v>0</v>
      </c>
      <c r="Q549" t="n">
        <v>0</v>
      </c>
      <c r="R549" s="2" t="inlineStr"/>
    </row>
    <row r="550" ht="15" customHeight="1">
      <c r="A550" t="inlineStr">
        <is>
          <t>A 34407-2023</t>
        </is>
      </c>
      <c r="B550" s="1" t="n">
        <v>45132</v>
      </c>
      <c r="C550" s="1" t="n">
        <v>46059</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11013-2024</t>
        </is>
      </c>
      <c r="B551" s="1" t="n">
        <v>45370</v>
      </c>
      <c r="C551" s="1" t="n">
        <v>46059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27694-2024</t>
        </is>
      </c>
      <c r="B552" s="1" t="n">
        <v>45475</v>
      </c>
      <c r="C552" s="1" t="n">
        <v>46059</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15083-2025</t>
        </is>
      </c>
      <c r="B553" s="1" t="n">
        <v>45743</v>
      </c>
      <c r="C553" s="1" t="n">
        <v>46059</v>
      </c>
      <c r="D553" t="inlineStr">
        <is>
          <t>GOTLANDS LÄN</t>
        </is>
      </c>
      <c r="E553" t="inlineStr">
        <is>
          <t>GOTLAND</t>
        </is>
      </c>
      <c r="G553" t="n">
        <v>2.3</v>
      </c>
      <c r="H553" t="n">
        <v>0</v>
      </c>
      <c r="I553" t="n">
        <v>0</v>
      </c>
      <c r="J553" t="n">
        <v>0</v>
      </c>
      <c r="K553" t="n">
        <v>0</v>
      </c>
      <c r="L553" t="n">
        <v>0</v>
      </c>
      <c r="M553" t="n">
        <v>0</v>
      </c>
      <c r="N553" t="n">
        <v>0</v>
      </c>
      <c r="O553" t="n">
        <v>0</v>
      </c>
      <c r="P553" t="n">
        <v>0</v>
      </c>
      <c r="Q553" t="n">
        <v>0</v>
      </c>
      <c r="R553" s="2" t="inlineStr"/>
    </row>
    <row r="554" ht="15" customHeight="1">
      <c r="A554" t="inlineStr">
        <is>
          <t>A 13037-2025</t>
        </is>
      </c>
      <c r="B554" s="1" t="n">
        <v>45734</v>
      </c>
      <c r="C554" s="1" t="n">
        <v>46059</v>
      </c>
      <c r="D554" t="inlineStr">
        <is>
          <t>GOTLANDS LÄN</t>
        </is>
      </c>
      <c r="E554" t="inlineStr">
        <is>
          <t>GOTLAND</t>
        </is>
      </c>
      <c r="G554" t="n">
        <v>9.5</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46059</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44228-2022</t>
        </is>
      </c>
      <c r="B556" s="1" t="n">
        <v>44839.51599537037</v>
      </c>
      <c r="C556" s="1" t="n">
        <v>46059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46059</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49884-2023</t>
        </is>
      </c>
      <c r="B558" s="1" t="n">
        <v>45213</v>
      </c>
      <c r="C558" s="1" t="n">
        <v>46059</v>
      </c>
      <c r="D558" t="inlineStr">
        <is>
          <t>GOTLANDS LÄN</t>
        </is>
      </c>
      <c r="E558" t="inlineStr">
        <is>
          <t>GOTLAND</t>
        </is>
      </c>
      <c r="G558" t="n">
        <v>8.9</v>
      </c>
      <c r="H558" t="n">
        <v>0</v>
      </c>
      <c r="I558" t="n">
        <v>0</v>
      </c>
      <c r="J558" t="n">
        <v>0</v>
      </c>
      <c r="K558" t="n">
        <v>0</v>
      </c>
      <c r="L558" t="n">
        <v>0</v>
      </c>
      <c r="M558" t="n">
        <v>0</v>
      </c>
      <c r="N558" t="n">
        <v>0</v>
      </c>
      <c r="O558" t="n">
        <v>0</v>
      </c>
      <c r="P558" t="n">
        <v>0</v>
      </c>
      <c r="Q558" t="n">
        <v>0</v>
      </c>
      <c r="R558" s="2" t="inlineStr"/>
    </row>
    <row r="559" ht="15" customHeight="1">
      <c r="A559" t="inlineStr">
        <is>
          <t>A 876-2024</t>
        </is>
      </c>
      <c r="B559" s="1" t="n">
        <v>45301</v>
      </c>
      <c r="C559" s="1" t="n">
        <v>46059</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46059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46059</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46059</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43200-2023</t>
        </is>
      </c>
      <c r="B563" s="1" t="n">
        <v>45183</v>
      </c>
      <c r="C563" s="1" t="n">
        <v>46059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43223-2023</t>
        </is>
      </c>
      <c r="B564" s="1" t="n">
        <v>45183.45642361111</v>
      </c>
      <c r="C564" s="1" t="n">
        <v>46059</v>
      </c>
      <c r="D564" t="inlineStr">
        <is>
          <t>GOTLANDS LÄN</t>
        </is>
      </c>
      <c r="E564" t="inlineStr">
        <is>
          <t>GOTLAND</t>
        </is>
      </c>
      <c r="G564" t="n">
        <v>1.8</v>
      </c>
      <c r="H564" t="n">
        <v>0</v>
      </c>
      <c r="I564" t="n">
        <v>0</v>
      </c>
      <c r="J564" t="n">
        <v>0</v>
      </c>
      <c r="K564" t="n">
        <v>0</v>
      </c>
      <c r="L564" t="n">
        <v>0</v>
      </c>
      <c r="M564" t="n">
        <v>0</v>
      </c>
      <c r="N564" t="n">
        <v>0</v>
      </c>
      <c r="O564" t="n">
        <v>0</v>
      </c>
      <c r="P564" t="n">
        <v>0</v>
      </c>
      <c r="Q564" t="n">
        <v>0</v>
      </c>
      <c r="R564" s="2" t="inlineStr"/>
    </row>
    <row r="565" ht="15" customHeight="1">
      <c r="A565" t="inlineStr">
        <is>
          <t>A 12327-2025</t>
        </is>
      </c>
      <c r="B565" s="1" t="n">
        <v>45730</v>
      </c>
      <c r="C565" s="1" t="n">
        <v>46059</v>
      </c>
      <c r="D565" t="inlineStr">
        <is>
          <t>GOTLANDS LÄN</t>
        </is>
      </c>
      <c r="E565" t="inlineStr">
        <is>
          <t>GOTLAND</t>
        </is>
      </c>
      <c r="G565" t="n">
        <v>1.8</v>
      </c>
      <c r="H565" t="n">
        <v>0</v>
      </c>
      <c r="I565" t="n">
        <v>0</v>
      </c>
      <c r="J565" t="n">
        <v>0</v>
      </c>
      <c r="K565" t="n">
        <v>0</v>
      </c>
      <c r="L565" t="n">
        <v>0</v>
      </c>
      <c r="M565" t="n">
        <v>0</v>
      </c>
      <c r="N565" t="n">
        <v>0</v>
      </c>
      <c r="O565" t="n">
        <v>0</v>
      </c>
      <c r="P565" t="n">
        <v>0</v>
      </c>
      <c r="Q565" t="n">
        <v>0</v>
      </c>
      <c r="R565" s="2" t="inlineStr"/>
    </row>
    <row r="566" ht="15" customHeight="1">
      <c r="A566" t="inlineStr">
        <is>
          <t>A 3431-2025</t>
        </is>
      </c>
      <c r="B566" s="1" t="n">
        <v>45680.42935185185</v>
      </c>
      <c r="C566" s="1" t="n">
        <v>46059</v>
      </c>
      <c r="D566" t="inlineStr">
        <is>
          <t>GOTLANDS LÄN</t>
        </is>
      </c>
      <c r="E566" t="inlineStr">
        <is>
          <t>GOTLAND</t>
        </is>
      </c>
      <c r="G566" t="n">
        <v>4.8</v>
      </c>
      <c r="H566" t="n">
        <v>0</v>
      </c>
      <c r="I566" t="n">
        <v>0</v>
      </c>
      <c r="J566" t="n">
        <v>0</v>
      </c>
      <c r="K566" t="n">
        <v>0</v>
      </c>
      <c r="L566" t="n">
        <v>0</v>
      </c>
      <c r="M566" t="n">
        <v>0</v>
      </c>
      <c r="N566" t="n">
        <v>0</v>
      </c>
      <c r="O566" t="n">
        <v>0</v>
      </c>
      <c r="P566" t="n">
        <v>0</v>
      </c>
      <c r="Q566" t="n">
        <v>0</v>
      </c>
      <c r="R566" s="2" t="inlineStr"/>
    </row>
    <row r="567" ht="15" customHeight="1">
      <c r="A567" t="inlineStr">
        <is>
          <t>A 12209-2024</t>
        </is>
      </c>
      <c r="B567" s="1" t="n">
        <v>45378</v>
      </c>
      <c r="C567" s="1" t="n">
        <v>46059</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12210-2024</t>
        </is>
      </c>
      <c r="B568" s="1" t="n">
        <v>45378</v>
      </c>
      <c r="C568" s="1" t="n">
        <v>46059</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1364-2025</t>
        </is>
      </c>
      <c r="B569" s="1" t="n">
        <v>45667.63929398148</v>
      </c>
      <c r="C569" s="1" t="n">
        <v>46059</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15042-2025</t>
        </is>
      </c>
      <c r="B570" s="1" t="n">
        <v>45743</v>
      </c>
      <c r="C570" s="1" t="n">
        <v>46059</v>
      </c>
      <c r="D570" t="inlineStr">
        <is>
          <t>GOTLANDS LÄN</t>
        </is>
      </c>
      <c r="E570" t="inlineStr">
        <is>
          <t>GOTLAND</t>
        </is>
      </c>
      <c r="G570" t="n">
        <v>8.5</v>
      </c>
      <c r="H570" t="n">
        <v>0</v>
      </c>
      <c r="I570" t="n">
        <v>0</v>
      </c>
      <c r="J570" t="n">
        <v>0</v>
      </c>
      <c r="K570" t="n">
        <v>0</v>
      </c>
      <c r="L570" t="n">
        <v>0</v>
      </c>
      <c r="M570" t="n">
        <v>0</v>
      </c>
      <c r="N570" t="n">
        <v>0</v>
      </c>
      <c r="O570" t="n">
        <v>0</v>
      </c>
      <c r="P570" t="n">
        <v>0</v>
      </c>
      <c r="Q570" t="n">
        <v>0</v>
      </c>
      <c r="R570" s="2" t="inlineStr"/>
    </row>
    <row r="571" ht="15" customHeight="1">
      <c r="A571" t="inlineStr">
        <is>
          <t>A 2180-2025</t>
        </is>
      </c>
      <c r="B571" s="1" t="n">
        <v>45673</v>
      </c>
      <c r="C571" s="1" t="n">
        <v>46059</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15436-2025</t>
        </is>
      </c>
      <c r="B572" s="1" t="n">
        <v>45747.47462962963</v>
      </c>
      <c r="C572" s="1" t="n">
        <v>46059</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49257-2024</t>
        </is>
      </c>
      <c r="B573" s="1" t="n">
        <v>45595.47627314815</v>
      </c>
      <c r="C573" s="1" t="n">
        <v>46059</v>
      </c>
      <c r="D573" t="inlineStr">
        <is>
          <t>GOTLANDS LÄN</t>
        </is>
      </c>
      <c r="E573" t="inlineStr">
        <is>
          <t>GOTLAND</t>
        </is>
      </c>
      <c r="G573" t="n">
        <v>6.3</v>
      </c>
      <c r="H573" t="n">
        <v>0</v>
      </c>
      <c r="I573" t="n">
        <v>0</v>
      </c>
      <c r="J573" t="n">
        <v>0</v>
      </c>
      <c r="K573" t="n">
        <v>0</v>
      </c>
      <c r="L573" t="n">
        <v>0</v>
      </c>
      <c r="M573" t="n">
        <v>0</v>
      </c>
      <c r="N573" t="n">
        <v>0</v>
      </c>
      <c r="O573" t="n">
        <v>0</v>
      </c>
      <c r="P573" t="n">
        <v>0</v>
      </c>
      <c r="Q573" t="n">
        <v>0</v>
      </c>
      <c r="R573" s="2" t="inlineStr"/>
    </row>
    <row r="574" ht="15" customHeight="1">
      <c r="A574" t="inlineStr">
        <is>
          <t>A 37202-2024</t>
        </is>
      </c>
      <c r="B574" s="1" t="n">
        <v>45539.67310185185</v>
      </c>
      <c r="C574" s="1" t="n">
        <v>46059</v>
      </c>
      <c r="D574" t="inlineStr">
        <is>
          <t>GOTLANDS LÄN</t>
        </is>
      </c>
      <c r="E574" t="inlineStr">
        <is>
          <t>GOTLAND</t>
        </is>
      </c>
      <c r="G574" t="n">
        <v>0.3</v>
      </c>
      <c r="H574" t="n">
        <v>0</v>
      </c>
      <c r="I574" t="n">
        <v>0</v>
      </c>
      <c r="J574" t="n">
        <v>0</v>
      </c>
      <c r="K574" t="n">
        <v>0</v>
      </c>
      <c r="L574" t="n">
        <v>0</v>
      </c>
      <c r="M574" t="n">
        <v>0</v>
      </c>
      <c r="N574" t="n">
        <v>0</v>
      </c>
      <c r="O574" t="n">
        <v>0</v>
      </c>
      <c r="P574" t="n">
        <v>0</v>
      </c>
      <c r="Q574" t="n">
        <v>0</v>
      </c>
      <c r="R574" s="2" t="inlineStr"/>
    </row>
    <row r="575" ht="15" customHeight="1">
      <c r="A575" t="inlineStr">
        <is>
          <t>A 56115-2023</t>
        </is>
      </c>
      <c r="B575" s="1" t="n">
        <v>45236</v>
      </c>
      <c r="C575" s="1" t="n">
        <v>46059</v>
      </c>
      <c r="D575" t="inlineStr">
        <is>
          <t>GOTLANDS LÄN</t>
        </is>
      </c>
      <c r="E575" t="inlineStr">
        <is>
          <t>GOTLAND</t>
        </is>
      </c>
      <c r="G575" t="n">
        <v>2</v>
      </c>
      <c r="H575" t="n">
        <v>0</v>
      </c>
      <c r="I575" t="n">
        <v>0</v>
      </c>
      <c r="J575" t="n">
        <v>0</v>
      </c>
      <c r="K575" t="n">
        <v>0</v>
      </c>
      <c r="L575" t="n">
        <v>0</v>
      </c>
      <c r="M575" t="n">
        <v>0</v>
      </c>
      <c r="N575" t="n">
        <v>0</v>
      </c>
      <c r="O575" t="n">
        <v>0</v>
      </c>
      <c r="P575" t="n">
        <v>0</v>
      </c>
      <c r="Q575" t="n">
        <v>0</v>
      </c>
      <c r="R575" s="2" t="inlineStr"/>
    </row>
    <row r="576" ht="15" customHeight="1">
      <c r="A576" t="inlineStr">
        <is>
          <t>A 2774-2024</t>
        </is>
      </c>
      <c r="B576" s="1" t="n">
        <v>45314.62375</v>
      </c>
      <c r="C576" s="1" t="n">
        <v>46059</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60709-2023</t>
        </is>
      </c>
      <c r="B577" s="1" t="n">
        <v>45260</v>
      </c>
      <c r="C577" s="1" t="n">
        <v>46059</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64208-2021</t>
        </is>
      </c>
      <c r="B578" s="1" t="n">
        <v>44510</v>
      </c>
      <c r="C578" s="1" t="n">
        <v>46059</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39764-2022</t>
        </is>
      </c>
      <c r="B579" s="1" t="n">
        <v>44819</v>
      </c>
      <c r="C579" s="1" t="n">
        <v>46059</v>
      </c>
      <c r="D579" t="inlineStr">
        <is>
          <t>GOTLANDS LÄN</t>
        </is>
      </c>
      <c r="E579" t="inlineStr">
        <is>
          <t>GOTLAND</t>
        </is>
      </c>
      <c r="F579" t="inlineStr">
        <is>
          <t>Kyrkan</t>
        </is>
      </c>
      <c r="G579" t="n">
        <v>3.7</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46059</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30956-2024</t>
        </is>
      </c>
      <c r="B581" s="1" t="n">
        <v>45499.42527777778</v>
      </c>
      <c r="C581" s="1" t="n">
        <v>46059</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30892-2024</t>
        </is>
      </c>
      <c r="B582" s="1" t="n">
        <v>45491</v>
      </c>
      <c r="C582" s="1" t="n">
        <v>46059</v>
      </c>
      <c r="D582" t="inlineStr">
        <is>
          <t>GOTLANDS LÄN</t>
        </is>
      </c>
      <c r="E582" t="inlineStr">
        <is>
          <t>GOTLAND</t>
        </is>
      </c>
      <c r="G582" t="n">
        <v>6.1</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45013.69365740741</v>
      </c>
      <c r="C583" s="1" t="n">
        <v>46059</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59469-2024</t>
        </is>
      </c>
      <c r="B584" s="1" t="n">
        <v>45638</v>
      </c>
      <c r="C584" s="1" t="n">
        <v>46059</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7858-2025</t>
        </is>
      </c>
      <c r="B585" s="1" t="n">
        <v>45706.68633101852</v>
      </c>
      <c r="C585" s="1" t="n">
        <v>46059</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53935-2024</t>
        </is>
      </c>
      <c r="B586" s="1" t="n">
        <v>45615</v>
      </c>
      <c r="C586" s="1" t="n">
        <v>46059</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18223-2025</t>
        </is>
      </c>
      <c r="B587" s="1" t="n">
        <v>45761</v>
      </c>
      <c r="C587" s="1" t="n">
        <v>46059</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4420-2025</t>
        </is>
      </c>
      <c r="B588" s="1" t="n">
        <v>45686.47157407407</v>
      </c>
      <c r="C588" s="1" t="n">
        <v>46059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5891-2025</t>
        </is>
      </c>
      <c r="B589" s="1" t="n">
        <v>45695.38327546296</v>
      </c>
      <c r="C589" s="1" t="n">
        <v>46059</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7835-2024</t>
        </is>
      </c>
      <c r="B590" s="1" t="n">
        <v>45349.83138888889</v>
      </c>
      <c r="C590" s="1" t="n">
        <v>46059</v>
      </c>
      <c r="D590" t="inlineStr">
        <is>
          <t>GOTLANDS LÄN</t>
        </is>
      </c>
      <c r="E590" t="inlineStr">
        <is>
          <t>GOTLAND</t>
        </is>
      </c>
      <c r="G590" t="n">
        <v>3.8</v>
      </c>
      <c r="H590" t="n">
        <v>0</v>
      </c>
      <c r="I590" t="n">
        <v>0</v>
      </c>
      <c r="J590" t="n">
        <v>0</v>
      </c>
      <c r="K590" t="n">
        <v>0</v>
      </c>
      <c r="L590" t="n">
        <v>0</v>
      </c>
      <c r="M590" t="n">
        <v>0</v>
      </c>
      <c r="N590" t="n">
        <v>0</v>
      </c>
      <c r="O590" t="n">
        <v>0</v>
      </c>
      <c r="P590" t="n">
        <v>0</v>
      </c>
      <c r="Q590" t="n">
        <v>0</v>
      </c>
      <c r="R590" s="2" t="inlineStr"/>
    </row>
    <row r="591" ht="15" customHeight="1">
      <c r="A591" t="inlineStr">
        <is>
          <t>A 20794-2025</t>
        </is>
      </c>
      <c r="B591" s="1" t="n">
        <v>45776</v>
      </c>
      <c r="C591" s="1" t="n">
        <v>46059</v>
      </c>
      <c r="D591" t="inlineStr">
        <is>
          <t>GOTLANDS LÄN</t>
        </is>
      </c>
      <c r="E591" t="inlineStr">
        <is>
          <t>GOTLAND</t>
        </is>
      </c>
      <c r="G591" t="n">
        <v>6</v>
      </c>
      <c r="H591" t="n">
        <v>0</v>
      </c>
      <c r="I591" t="n">
        <v>0</v>
      </c>
      <c r="J591" t="n">
        <v>0</v>
      </c>
      <c r="K591" t="n">
        <v>0</v>
      </c>
      <c r="L591" t="n">
        <v>0</v>
      </c>
      <c r="M591" t="n">
        <v>0</v>
      </c>
      <c r="N591" t="n">
        <v>0</v>
      </c>
      <c r="O591" t="n">
        <v>0</v>
      </c>
      <c r="P591" t="n">
        <v>0</v>
      </c>
      <c r="Q591" t="n">
        <v>0</v>
      </c>
      <c r="R591" s="2" t="inlineStr"/>
    </row>
    <row r="592" ht="15" customHeight="1">
      <c r="A592" t="inlineStr">
        <is>
          <t>A 20805-2025</t>
        </is>
      </c>
      <c r="B592" s="1" t="n">
        <v>45776</v>
      </c>
      <c r="C592" s="1" t="n">
        <v>46059</v>
      </c>
      <c r="D592" t="inlineStr">
        <is>
          <t>GOTLANDS LÄN</t>
        </is>
      </c>
      <c r="E592" t="inlineStr">
        <is>
          <t>GOTLAND</t>
        </is>
      </c>
      <c r="G592" t="n">
        <v>3.1</v>
      </c>
      <c r="H592" t="n">
        <v>0</v>
      </c>
      <c r="I592" t="n">
        <v>0</v>
      </c>
      <c r="J592" t="n">
        <v>0</v>
      </c>
      <c r="K592" t="n">
        <v>0</v>
      </c>
      <c r="L592" t="n">
        <v>0</v>
      </c>
      <c r="M592" t="n">
        <v>0</v>
      </c>
      <c r="N592" t="n">
        <v>0</v>
      </c>
      <c r="O592" t="n">
        <v>0</v>
      </c>
      <c r="P592" t="n">
        <v>0</v>
      </c>
      <c r="Q592" t="n">
        <v>0</v>
      </c>
      <c r="R592" s="2" t="inlineStr"/>
    </row>
    <row r="593" ht="15" customHeight="1">
      <c r="A593" t="inlineStr">
        <is>
          <t>A 21389-2025</t>
        </is>
      </c>
      <c r="B593" s="1" t="n">
        <v>45782</v>
      </c>
      <c r="C593" s="1" t="n">
        <v>46059</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21651-2025</t>
        </is>
      </c>
      <c r="B594" s="1" t="n">
        <v>45783</v>
      </c>
      <c r="C594" s="1" t="n">
        <v>46059</v>
      </c>
      <c r="D594" t="inlineStr">
        <is>
          <t>GOTLANDS LÄN</t>
        </is>
      </c>
      <c r="E594" t="inlineStr">
        <is>
          <t>GOTLAND</t>
        </is>
      </c>
      <c r="G594" t="n">
        <v>4.2</v>
      </c>
      <c r="H594" t="n">
        <v>0</v>
      </c>
      <c r="I594" t="n">
        <v>0</v>
      </c>
      <c r="J594" t="n">
        <v>0</v>
      </c>
      <c r="K594" t="n">
        <v>0</v>
      </c>
      <c r="L594" t="n">
        <v>0</v>
      </c>
      <c r="M594" t="n">
        <v>0</v>
      </c>
      <c r="N594" t="n">
        <v>0</v>
      </c>
      <c r="O594" t="n">
        <v>0</v>
      </c>
      <c r="P594" t="n">
        <v>0</v>
      </c>
      <c r="Q594" t="n">
        <v>0</v>
      </c>
      <c r="R594" s="2" t="inlineStr"/>
    </row>
    <row r="595" ht="15" customHeight="1">
      <c r="A595" t="inlineStr">
        <is>
          <t>A 57356-2023</t>
        </is>
      </c>
      <c r="B595" s="1" t="n">
        <v>45240</v>
      </c>
      <c r="C595" s="1" t="n">
        <v>46059</v>
      </c>
      <c r="D595" t="inlineStr">
        <is>
          <t>GOTLANDS LÄN</t>
        </is>
      </c>
      <c r="E595" t="inlineStr">
        <is>
          <t>GOTLAND</t>
        </is>
      </c>
      <c r="G595" t="n">
        <v>6.4</v>
      </c>
      <c r="H595" t="n">
        <v>0</v>
      </c>
      <c r="I595" t="n">
        <v>0</v>
      </c>
      <c r="J595" t="n">
        <v>0</v>
      </c>
      <c r="K595" t="n">
        <v>0</v>
      </c>
      <c r="L595" t="n">
        <v>0</v>
      </c>
      <c r="M595" t="n">
        <v>0</v>
      </c>
      <c r="N595" t="n">
        <v>0</v>
      </c>
      <c r="O595" t="n">
        <v>0</v>
      </c>
      <c r="P595" t="n">
        <v>0</v>
      </c>
      <c r="Q595" t="n">
        <v>0</v>
      </c>
      <c r="R595" s="2" t="inlineStr"/>
    </row>
    <row r="596" ht="15" customHeight="1">
      <c r="A596" t="inlineStr">
        <is>
          <t>A 10656-2024</t>
        </is>
      </c>
      <c r="B596" s="1" t="n">
        <v>45368</v>
      </c>
      <c r="C596" s="1" t="n">
        <v>46059</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28506-2023</t>
        </is>
      </c>
      <c r="B597" s="1" t="n">
        <v>45103</v>
      </c>
      <c r="C597" s="1" t="n">
        <v>46059</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21420-2024</t>
        </is>
      </c>
      <c r="B598" s="1" t="n">
        <v>45441.38293981482</v>
      </c>
      <c r="C598" s="1" t="n">
        <v>46059</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23188-2025</t>
        </is>
      </c>
      <c r="B599" s="1" t="n">
        <v>45791</v>
      </c>
      <c r="C599" s="1" t="n">
        <v>46059</v>
      </c>
      <c r="D599" t="inlineStr">
        <is>
          <t>GOTLANDS LÄN</t>
        </is>
      </c>
      <c r="E599" t="inlineStr">
        <is>
          <t>GOTLAND</t>
        </is>
      </c>
      <c r="G599" t="n">
        <v>6.2</v>
      </c>
      <c r="H599" t="n">
        <v>0</v>
      </c>
      <c r="I599" t="n">
        <v>0</v>
      </c>
      <c r="J599" t="n">
        <v>0</v>
      </c>
      <c r="K599" t="n">
        <v>0</v>
      </c>
      <c r="L599" t="n">
        <v>0</v>
      </c>
      <c r="M599" t="n">
        <v>0</v>
      </c>
      <c r="N599" t="n">
        <v>0</v>
      </c>
      <c r="O599" t="n">
        <v>0</v>
      </c>
      <c r="P599" t="n">
        <v>0</v>
      </c>
      <c r="Q599" t="n">
        <v>0</v>
      </c>
      <c r="R599" s="2" t="inlineStr"/>
    </row>
    <row r="600" ht="15" customHeight="1">
      <c r="A600" t="inlineStr">
        <is>
          <t>A 23473-2025</t>
        </is>
      </c>
      <c r="B600" s="1" t="n">
        <v>45792</v>
      </c>
      <c r="C600" s="1" t="n">
        <v>46059</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23856-2025</t>
        </is>
      </c>
      <c r="B601" s="1" t="n">
        <v>45793</v>
      </c>
      <c r="C601" s="1" t="n">
        <v>46059</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15073-2025</t>
        </is>
      </c>
      <c r="B602" s="1" t="n">
        <v>45743</v>
      </c>
      <c r="C602" s="1" t="n">
        <v>46059</v>
      </c>
      <c r="D602" t="inlineStr">
        <is>
          <t>GOTLANDS LÄN</t>
        </is>
      </c>
      <c r="E602" t="inlineStr">
        <is>
          <t>GOTLAND</t>
        </is>
      </c>
      <c r="G602" t="n">
        <v>12.1</v>
      </c>
      <c r="H602" t="n">
        <v>0</v>
      </c>
      <c r="I602" t="n">
        <v>0</v>
      </c>
      <c r="J602" t="n">
        <v>0</v>
      </c>
      <c r="K602" t="n">
        <v>0</v>
      </c>
      <c r="L602" t="n">
        <v>0</v>
      </c>
      <c r="M602" t="n">
        <v>0</v>
      </c>
      <c r="N602" t="n">
        <v>0</v>
      </c>
      <c r="O602" t="n">
        <v>0</v>
      </c>
      <c r="P602" t="n">
        <v>0</v>
      </c>
      <c r="Q602" t="n">
        <v>0</v>
      </c>
      <c r="R602" s="2" t="inlineStr"/>
    </row>
    <row r="603" ht="15" customHeight="1">
      <c r="A603" t="inlineStr">
        <is>
          <t>A 6749-2025</t>
        </is>
      </c>
      <c r="B603" s="1" t="n">
        <v>45700</v>
      </c>
      <c r="C603" s="1" t="n">
        <v>46059</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23698-2025</t>
        </is>
      </c>
      <c r="B604" s="1" t="n">
        <v>45793</v>
      </c>
      <c r="C604" s="1" t="n">
        <v>46059</v>
      </c>
      <c r="D604" t="inlineStr">
        <is>
          <t>GOTLANDS LÄN</t>
        </is>
      </c>
      <c r="E604" t="inlineStr">
        <is>
          <t>GOTLAND</t>
        </is>
      </c>
      <c r="G604" t="n">
        <v>0.8</v>
      </c>
      <c r="H604" t="n">
        <v>0</v>
      </c>
      <c r="I604" t="n">
        <v>0</v>
      </c>
      <c r="J604" t="n">
        <v>0</v>
      </c>
      <c r="K604" t="n">
        <v>0</v>
      </c>
      <c r="L604" t="n">
        <v>0</v>
      </c>
      <c r="M604" t="n">
        <v>0</v>
      </c>
      <c r="N604" t="n">
        <v>0</v>
      </c>
      <c r="O604" t="n">
        <v>0</v>
      </c>
      <c r="P604" t="n">
        <v>0</v>
      </c>
      <c r="Q604" t="n">
        <v>0</v>
      </c>
      <c r="R604" s="2" t="inlineStr"/>
    </row>
    <row r="605" ht="15" customHeight="1">
      <c r="A605" t="inlineStr">
        <is>
          <t>A 5462-2025</t>
        </is>
      </c>
      <c r="B605" s="1" t="n">
        <v>45693.29331018519</v>
      </c>
      <c r="C605" s="1" t="n">
        <v>46059</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25796-2025</t>
        </is>
      </c>
      <c r="B606" s="1" t="n">
        <v>45804.39543981481</v>
      </c>
      <c r="C606" s="1" t="n">
        <v>46059</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26457-2025</t>
        </is>
      </c>
      <c r="B607" s="1" t="n">
        <v>45807.42773148148</v>
      </c>
      <c r="C607" s="1" t="n">
        <v>46059</v>
      </c>
      <c r="D607" t="inlineStr">
        <is>
          <t>GOTLANDS LÄN</t>
        </is>
      </c>
      <c r="E607" t="inlineStr">
        <is>
          <t>GOTLAND</t>
        </is>
      </c>
      <c r="G607" t="n">
        <v>5.7</v>
      </c>
      <c r="H607" t="n">
        <v>0</v>
      </c>
      <c r="I607" t="n">
        <v>0</v>
      </c>
      <c r="J607" t="n">
        <v>0</v>
      </c>
      <c r="K607" t="n">
        <v>0</v>
      </c>
      <c r="L607" t="n">
        <v>0</v>
      </c>
      <c r="M607" t="n">
        <v>0</v>
      </c>
      <c r="N607" t="n">
        <v>0</v>
      </c>
      <c r="O607" t="n">
        <v>0</v>
      </c>
      <c r="P607" t="n">
        <v>0</v>
      </c>
      <c r="Q607" t="n">
        <v>0</v>
      </c>
      <c r="R607" s="2" t="inlineStr"/>
    </row>
    <row r="608" ht="15" customHeight="1">
      <c r="A608" t="inlineStr">
        <is>
          <t>A 26467-2025</t>
        </is>
      </c>
      <c r="B608" s="1" t="n">
        <v>45807.44640046296</v>
      </c>
      <c r="C608" s="1" t="n">
        <v>46059</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26465-2025</t>
        </is>
      </c>
      <c r="B609" s="1" t="n">
        <v>45807.44377314814</v>
      </c>
      <c r="C609" s="1" t="n">
        <v>46059</v>
      </c>
      <c r="D609" t="inlineStr">
        <is>
          <t>GOTLANDS LÄN</t>
        </is>
      </c>
      <c r="E609" t="inlineStr">
        <is>
          <t>GOTLAND</t>
        </is>
      </c>
      <c r="G609" t="n">
        <v>4.5</v>
      </c>
      <c r="H609" t="n">
        <v>0</v>
      </c>
      <c r="I609" t="n">
        <v>0</v>
      </c>
      <c r="J609" t="n">
        <v>0</v>
      </c>
      <c r="K609" t="n">
        <v>0</v>
      </c>
      <c r="L609" t="n">
        <v>0</v>
      </c>
      <c r="M609" t="n">
        <v>0</v>
      </c>
      <c r="N609" t="n">
        <v>0</v>
      </c>
      <c r="O609" t="n">
        <v>0</v>
      </c>
      <c r="P609" t="n">
        <v>0</v>
      </c>
      <c r="Q609" t="n">
        <v>0</v>
      </c>
      <c r="R609" s="2" t="inlineStr"/>
    </row>
    <row r="610" ht="15" customHeight="1">
      <c r="A610" t="inlineStr">
        <is>
          <t>A 26660-2025</t>
        </is>
      </c>
      <c r="B610" s="1" t="n">
        <v>45810.39737268518</v>
      </c>
      <c r="C610" s="1" t="n">
        <v>46059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27371-2025</t>
        </is>
      </c>
      <c r="B611" s="1" t="n">
        <v>45812</v>
      </c>
      <c r="C611" s="1" t="n">
        <v>46059</v>
      </c>
      <c r="D611" t="inlineStr">
        <is>
          <t>GOTLANDS LÄN</t>
        </is>
      </c>
      <c r="E611" t="inlineStr">
        <is>
          <t>GOTLAND</t>
        </is>
      </c>
      <c r="G611" t="n">
        <v>8</v>
      </c>
      <c r="H611" t="n">
        <v>0</v>
      </c>
      <c r="I611" t="n">
        <v>0</v>
      </c>
      <c r="J611" t="n">
        <v>0</v>
      </c>
      <c r="K611" t="n">
        <v>0</v>
      </c>
      <c r="L611" t="n">
        <v>0</v>
      </c>
      <c r="M611" t="n">
        <v>0</v>
      </c>
      <c r="N611" t="n">
        <v>0</v>
      </c>
      <c r="O611" t="n">
        <v>0</v>
      </c>
      <c r="P611" t="n">
        <v>0</v>
      </c>
      <c r="Q611" t="n">
        <v>0</v>
      </c>
      <c r="R611" s="2" t="inlineStr"/>
    </row>
    <row r="612" ht="15" customHeight="1">
      <c r="A612" t="inlineStr">
        <is>
          <t>A 27355-2025</t>
        </is>
      </c>
      <c r="B612" s="1" t="n">
        <v>45812</v>
      </c>
      <c r="C612" s="1" t="n">
        <v>46059</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6739-2025</t>
        </is>
      </c>
      <c r="B613" s="1" t="n">
        <v>45700</v>
      </c>
      <c r="C613" s="1" t="n">
        <v>46059</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7850-2025</t>
        </is>
      </c>
      <c r="B614" s="1" t="n">
        <v>45706</v>
      </c>
      <c r="C614" s="1" t="n">
        <v>46059</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8444-2025</t>
        </is>
      </c>
      <c r="B615" s="1" t="n">
        <v>45709</v>
      </c>
      <c r="C615" s="1" t="n">
        <v>46059</v>
      </c>
      <c r="D615" t="inlineStr">
        <is>
          <t>GOTLANDS LÄN</t>
        </is>
      </c>
      <c r="E615" t="inlineStr">
        <is>
          <t>GOTLAND</t>
        </is>
      </c>
      <c r="G615" t="n">
        <v>5.2</v>
      </c>
      <c r="H615" t="n">
        <v>0</v>
      </c>
      <c r="I615" t="n">
        <v>0</v>
      </c>
      <c r="J615" t="n">
        <v>0</v>
      </c>
      <c r="K615" t="n">
        <v>0</v>
      </c>
      <c r="L615" t="n">
        <v>0</v>
      </c>
      <c r="M615" t="n">
        <v>0</v>
      </c>
      <c r="N615" t="n">
        <v>0</v>
      </c>
      <c r="O615" t="n">
        <v>0</v>
      </c>
      <c r="P615" t="n">
        <v>0</v>
      </c>
      <c r="Q615" t="n">
        <v>0</v>
      </c>
      <c r="R615" s="2" t="inlineStr"/>
    </row>
    <row r="616" ht="15" customHeight="1">
      <c r="A616" t="inlineStr">
        <is>
          <t>A 19905-2025</t>
        </is>
      </c>
      <c r="B616" s="1" t="n">
        <v>45771</v>
      </c>
      <c r="C616" s="1" t="n">
        <v>46059</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29196-2025</t>
        </is>
      </c>
      <c r="B617" s="1" t="n">
        <v>45822</v>
      </c>
      <c r="C617" s="1" t="n">
        <v>46059</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29207-2025</t>
        </is>
      </c>
      <c r="B618" s="1" t="n">
        <v>45823</v>
      </c>
      <c r="C618" s="1" t="n">
        <v>46059</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30061-2025</t>
        </is>
      </c>
      <c r="B619" s="1" t="n">
        <v>45826.61488425926</v>
      </c>
      <c r="C619" s="1" t="n">
        <v>46059</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58160-2024</t>
        </is>
      </c>
      <c r="B620" s="1" t="n">
        <v>45632.44927083333</v>
      </c>
      <c r="C620" s="1" t="n">
        <v>46059</v>
      </c>
      <c r="D620" t="inlineStr">
        <is>
          <t>GOTLANDS LÄN</t>
        </is>
      </c>
      <c r="E620" t="inlineStr">
        <is>
          <t>GOTLAND</t>
        </is>
      </c>
      <c r="G620" t="n">
        <v>5.6</v>
      </c>
      <c r="H620" t="n">
        <v>0</v>
      </c>
      <c r="I620" t="n">
        <v>0</v>
      </c>
      <c r="J620" t="n">
        <v>0</v>
      </c>
      <c r="K620" t="n">
        <v>0</v>
      </c>
      <c r="L620" t="n">
        <v>0</v>
      </c>
      <c r="M620" t="n">
        <v>0</v>
      </c>
      <c r="N620" t="n">
        <v>0</v>
      </c>
      <c r="O620" t="n">
        <v>0</v>
      </c>
      <c r="P620" t="n">
        <v>0</v>
      </c>
      <c r="Q620" t="n">
        <v>0</v>
      </c>
      <c r="R620" s="2" t="inlineStr"/>
    </row>
    <row r="621" ht="15" customHeight="1">
      <c r="A621" t="inlineStr">
        <is>
          <t>A 32379-2025</t>
        </is>
      </c>
      <c r="B621" s="1" t="n">
        <v>45837</v>
      </c>
      <c r="C621" s="1" t="n">
        <v>46059</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32467-2025</t>
        </is>
      </c>
      <c r="B622" s="1" t="n">
        <v>45838.42111111111</v>
      </c>
      <c r="C622" s="1" t="n">
        <v>46059</v>
      </c>
      <c r="D622" t="inlineStr">
        <is>
          <t>GOTLANDS LÄN</t>
        </is>
      </c>
      <c r="E622" t="inlineStr">
        <is>
          <t>GOTLAND</t>
        </is>
      </c>
      <c r="G622" t="n">
        <v>4.3</v>
      </c>
      <c r="H622" t="n">
        <v>0</v>
      </c>
      <c r="I622" t="n">
        <v>0</v>
      </c>
      <c r="J622" t="n">
        <v>0</v>
      </c>
      <c r="K622" t="n">
        <v>0</v>
      </c>
      <c r="L622" t="n">
        <v>0</v>
      </c>
      <c r="M622" t="n">
        <v>0</v>
      </c>
      <c r="N622" t="n">
        <v>0</v>
      </c>
      <c r="O622" t="n">
        <v>0</v>
      </c>
      <c r="P622" t="n">
        <v>0</v>
      </c>
      <c r="Q622" t="n">
        <v>0</v>
      </c>
      <c r="R622" s="2" t="inlineStr"/>
    </row>
    <row r="623" ht="15" customHeight="1">
      <c r="A623" t="inlineStr">
        <is>
          <t>A 16109-2025</t>
        </is>
      </c>
      <c r="B623" s="1" t="n">
        <v>45750</v>
      </c>
      <c r="C623" s="1" t="n">
        <v>46059</v>
      </c>
      <c r="D623" t="inlineStr">
        <is>
          <t>GOTLANDS LÄN</t>
        </is>
      </c>
      <c r="E623" t="inlineStr">
        <is>
          <t>GOTLAND</t>
        </is>
      </c>
      <c r="G623" t="n">
        <v>4.9</v>
      </c>
      <c r="H623" t="n">
        <v>0</v>
      </c>
      <c r="I623" t="n">
        <v>0</v>
      </c>
      <c r="J623" t="n">
        <v>0</v>
      </c>
      <c r="K623" t="n">
        <v>0</v>
      </c>
      <c r="L623" t="n">
        <v>0</v>
      </c>
      <c r="M623" t="n">
        <v>0</v>
      </c>
      <c r="N623" t="n">
        <v>0</v>
      </c>
      <c r="O623" t="n">
        <v>0</v>
      </c>
      <c r="P623" t="n">
        <v>0</v>
      </c>
      <c r="Q623" t="n">
        <v>0</v>
      </c>
      <c r="R623" s="2" t="inlineStr"/>
    </row>
    <row r="624" ht="15" customHeight="1">
      <c r="A624" t="inlineStr">
        <is>
          <t>A 33007-2025</t>
        </is>
      </c>
      <c r="B624" s="1" t="n">
        <v>45840</v>
      </c>
      <c r="C624" s="1" t="n">
        <v>46059</v>
      </c>
      <c r="D624" t="inlineStr">
        <is>
          <t>GOTLANDS LÄN</t>
        </is>
      </c>
      <c r="E624" t="inlineStr">
        <is>
          <t>GOTLAND</t>
        </is>
      </c>
      <c r="G624" t="n">
        <v>4.9</v>
      </c>
      <c r="H624" t="n">
        <v>0</v>
      </c>
      <c r="I624" t="n">
        <v>0</v>
      </c>
      <c r="J624" t="n">
        <v>0</v>
      </c>
      <c r="K624" t="n">
        <v>0</v>
      </c>
      <c r="L624" t="n">
        <v>0</v>
      </c>
      <c r="M624" t="n">
        <v>0</v>
      </c>
      <c r="N624" t="n">
        <v>0</v>
      </c>
      <c r="O624" t="n">
        <v>0</v>
      </c>
      <c r="P624" t="n">
        <v>0</v>
      </c>
      <c r="Q624" t="n">
        <v>0</v>
      </c>
      <c r="R624" s="2" t="inlineStr"/>
    </row>
    <row r="625" ht="15" customHeight="1">
      <c r="A625" t="inlineStr">
        <is>
          <t>A 15413-2025</t>
        </is>
      </c>
      <c r="B625" s="1" t="n">
        <v>45747.451875</v>
      </c>
      <c r="C625" s="1" t="n">
        <v>46059</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35123-2025</t>
        </is>
      </c>
      <c r="B626" s="1" t="n">
        <v>45852.614375</v>
      </c>
      <c r="C626" s="1" t="n">
        <v>46059</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35096-2025</t>
        </is>
      </c>
      <c r="B627" s="1" t="n">
        <v>45852.54356481481</v>
      </c>
      <c r="C627" s="1" t="n">
        <v>46059</v>
      </c>
      <c r="D627" t="inlineStr">
        <is>
          <t>GOTLANDS LÄN</t>
        </is>
      </c>
      <c r="E627" t="inlineStr">
        <is>
          <t>GOTLAND</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30104-2025</t>
        </is>
      </c>
      <c r="B628" s="1" t="n">
        <v>45826.68806712963</v>
      </c>
      <c r="C628" s="1" t="n">
        <v>46059</v>
      </c>
      <c r="D628" t="inlineStr">
        <is>
          <t>GOTLANDS LÄN</t>
        </is>
      </c>
      <c r="E628" t="inlineStr">
        <is>
          <t>GOTLAND</t>
        </is>
      </c>
      <c r="G628" t="n">
        <v>15.4</v>
      </c>
      <c r="H628" t="n">
        <v>0</v>
      </c>
      <c r="I628" t="n">
        <v>0</v>
      </c>
      <c r="J628" t="n">
        <v>0</v>
      </c>
      <c r="K628" t="n">
        <v>0</v>
      </c>
      <c r="L628" t="n">
        <v>0</v>
      </c>
      <c r="M628" t="n">
        <v>0</v>
      </c>
      <c r="N628" t="n">
        <v>0</v>
      </c>
      <c r="O628" t="n">
        <v>0</v>
      </c>
      <c r="P628" t="n">
        <v>0</v>
      </c>
      <c r="Q628" t="n">
        <v>0</v>
      </c>
      <c r="R628" s="2" t="inlineStr"/>
    </row>
    <row r="629" ht="15" customHeight="1">
      <c r="A629" t="inlineStr">
        <is>
          <t>A 35290-2025</t>
        </is>
      </c>
      <c r="B629" s="1" t="n">
        <v>45854.38502314815</v>
      </c>
      <c r="C629" s="1" t="n">
        <v>46059</v>
      </c>
      <c r="D629" t="inlineStr">
        <is>
          <t>GOTLANDS LÄN</t>
        </is>
      </c>
      <c r="E629" t="inlineStr">
        <is>
          <t>GOTLAND</t>
        </is>
      </c>
      <c r="G629" t="n">
        <v>5.4</v>
      </c>
      <c r="H629" t="n">
        <v>0</v>
      </c>
      <c r="I629" t="n">
        <v>0</v>
      </c>
      <c r="J629" t="n">
        <v>0</v>
      </c>
      <c r="K629" t="n">
        <v>0</v>
      </c>
      <c r="L629" t="n">
        <v>0</v>
      </c>
      <c r="M629" t="n">
        <v>0</v>
      </c>
      <c r="N629" t="n">
        <v>0</v>
      </c>
      <c r="O629" t="n">
        <v>0</v>
      </c>
      <c r="P629" t="n">
        <v>0</v>
      </c>
      <c r="Q629" t="n">
        <v>0</v>
      </c>
      <c r="R629" s="2" t="inlineStr"/>
    </row>
    <row r="630" ht="15" customHeight="1">
      <c r="A630" t="inlineStr">
        <is>
          <t>A 32669-2024</t>
        </is>
      </c>
      <c r="B630" s="1" t="n">
        <v>45514</v>
      </c>
      <c r="C630" s="1" t="n">
        <v>46059</v>
      </c>
      <c r="D630" t="inlineStr">
        <is>
          <t>GOTLANDS LÄN</t>
        </is>
      </c>
      <c r="E630" t="inlineStr">
        <is>
          <t>GOTLAND</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35537-2025</t>
        </is>
      </c>
      <c r="B631" s="1" t="n">
        <v>45856</v>
      </c>
      <c r="C631" s="1" t="n">
        <v>46059</v>
      </c>
      <c r="D631" t="inlineStr">
        <is>
          <t>GOTLANDS LÄN</t>
        </is>
      </c>
      <c r="E631" t="inlineStr">
        <is>
          <t>GOTLAND</t>
        </is>
      </c>
      <c r="G631" t="n">
        <v>16.8</v>
      </c>
      <c r="H631" t="n">
        <v>0</v>
      </c>
      <c r="I631" t="n">
        <v>0</v>
      </c>
      <c r="J631" t="n">
        <v>0</v>
      </c>
      <c r="K631" t="n">
        <v>0</v>
      </c>
      <c r="L631" t="n">
        <v>0</v>
      </c>
      <c r="M631" t="n">
        <v>0</v>
      </c>
      <c r="N631" t="n">
        <v>0</v>
      </c>
      <c r="O631" t="n">
        <v>0</v>
      </c>
      <c r="P631" t="n">
        <v>0</v>
      </c>
      <c r="Q631" t="n">
        <v>0</v>
      </c>
      <c r="R631" s="2" t="inlineStr"/>
    </row>
    <row r="632" ht="15" customHeight="1">
      <c r="A632" t="inlineStr">
        <is>
          <t>A 15216-2025</t>
        </is>
      </c>
      <c r="B632" s="1" t="n">
        <v>45744</v>
      </c>
      <c r="C632" s="1" t="n">
        <v>46059</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43790-2024</t>
        </is>
      </c>
      <c r="B633" s="1" t="n">
        <v>45571</v>
      </c>
      <c r="C633" s="1" t="n">
        <v>46059</v>
      </c>
      <c r="D633" t="inlineStr">
        <is>
          <t>GOTLANDS LÄN</t>
        </is>
      </c>
      <c r="E633" t="inlineStr">
        <is>
          <t>GOTLAND</t>
        </is>
      </c>
      <c r="G633" t="n">
        <v>3.5</v>
      </c>
      <c r="H633" t="n">
        <v>0</v>
      </c>
      <c r="I633" t="n">
        <v>0</v>
      </c>
      <c r="J633" t="n">
        <v>0</v>
      </c>
      <c r="K633" t="n">
        <v>0</v>
      </c>
      <c r="L633" t="n">
        <v>0</v>
      </c>
      <c r="M633" t="n">
        <v>0</v>
      </c>
      <c r="N633" t="n">
        <v>0</v>
      </c>
      <c r="O633" t="n">
        <v>0</v>
      </c>
      <c r="P633" t="n">
        <v>0</v>
      </c>
      <c r="Q633" t="n">
        <v>0</v>
      </c>
      <c r="R633" s="2" t="inlineStr"/>
    </row>
    <row r="634" ht="15" customHeight="1">
      <c r="A634" t="inlineStr">
        <is>
          <t>A 15001-2025</t>
        </is>
      </c>
      <c r="B634" s="1" t="n">
        <v>45743</v>
      </c>
      <c r="C634" s="1" t="n">
        <v>46059</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30488-2025</t>
        </is>
      </c>
      <c r="B635" s="1" t="n">
        <v>45830</v>
      </c>
      <c r="C635" s="1" t="n">
        <v>46059</v>
      </c>
      <c r="D635" t="inlineStr">
        <is>
          <t>GOTLANDS LÄN</t>
        </is>
      </c>
      <c r="E635" t="inlineStr">
        <is>
          <t>GOTLAND</t>
        </is>
      </c>
      <c r="F635" t="inlineStr">
        <is>
          <t>Kyrkan</t>
        </is>
      </c>
      <c r="G635" t="n">
        <v>3.9</v>
      </c>
      <c r="H635" t="n">
        <v>0</v>
      </c>
      <c r="I635" t="n">
        <v>0</v>
      </c>
      <c r="J635" t="n">
        <v>0</v>
      </c>
      <c r="K635" t="n">
        <v>0</v>
      </c>
      <c r="L635" t="n">
        <v>0</v>
      </c>
      <c r="M635" t="n">
        <v>0</v>
      </c>
      <c r="N635" t="n">
        <v>0</v>
      </c>
      <c r="O635" t="n">
        <v>0</v>
      </c>
      <c r="P635" t="n">
        <v>0</v>
      </c>
      <c r="Q635" t="n">
        <v>0</v>
      </c>
      <c r="R635" s="2" t="inlineStr"/>
    </row>
    <row r="636">
      <c r="A636" t="inlineStr">
        <is>
          <t>A 17847-2025</t>
        </is>
      </c>
      <c r="B636" s="1" t="n">
        <v>45758</v>
      </c>
      <c r="C636" s="1" t="n">
        <v>46059</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2026-02-06T11:07:51Z</dcterms:created>
  <dcterms:modified xmlns:dcterms="http://purl.org/dc/terms/" xmlns:xsi="http://www.w3.org/2001/XMLSchema-instance" xsi:type="dcterms:W3CDTF">2026-02-06T11:07:51Z</dcterms:modified>
</cp:coreProperties>
</file>