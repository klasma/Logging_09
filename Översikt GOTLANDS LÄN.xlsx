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46126</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46126</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46126</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46126</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46126</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46126</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46126</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46126</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46126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46126</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46126</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46126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46126</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46126</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46126</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46126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46126</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46126</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46126</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46126</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43201-2023</t>
        </is>
      </c>
      <c r="B42" s="1" t="n">
        <v>45183</v>
      </c>
      <c r="C42" s="1" t="n">
        <v>46126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6052-2024</t>
        </is>
      </c>
      <c r="B43" s="1" t="n">
        <v>45336</v>
      </c>
      <c r="C43" s="1" t="n">
        <v>46126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46126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46126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46126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46126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14354-2024</t>
        </is>
      </c>
      <c r="B48" s="1" t="n">
        <v>45393</v>
      </c>
      <c r="C48" s="1" t="n">
        <v>46126</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46126</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1719-2025</t>
        </is>
      </c>
      <c r="B50" s="1" t="n">
        <v>45671</v>
      </c>
      <c r="C50" s="1" t="n">
        <v>46126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46126</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27280-2023</t>
        </is>
      </c>
      <c r="B52" s="1" t="n">
        <v>45096</v>
      </c>
      <c r="C52" s="1" t="n">
        <v>46126</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45248-2024</t>
        </is>
      </c>
      <c r="B53" s="1" t="n">
        <v>45576</v>
      </c>
      <c r="C53" s="1" t="n">
        <v>46126</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46126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46126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46126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46126</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46126</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46126</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44944-2022</t>
        </is>
      </c>
      <c r="B63" s="1" t="n">
        <v>44841</v>
      </c>
      <c r="C63" s="1" t="n">
        <v>46126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46126</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46126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56687-2025</t>
        </is>
      </c>
      <c r="B66" s="1" t="n">
        <v>45975.84065972222</v>
      </c>
      <c r="C66" s="1" t="n">
        <v>46126</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46126</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46126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46126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46126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46126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46126</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46126</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46126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57773-2025</t>
        </is>
      </c>
      <c r="B75" s="1" t="n">
        <v>45981.56349537037</v>
      </c>
      <c r="C75" s="1" t="n">
        <v>46126</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46126</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46126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2213-2023</t>
        </is>
      </c>
      <c r="B78" s="1" t="n">
        <v>44942</v>
      </c>
      <c r="C78" s="1" t="n">
        <v>46126</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46126</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54055-2022</t>
        </is>
      </c>
      <c r="B80" s="1" t="n">
        <v>44881</v>
      </c>
      <c r="C80" s="1" t="n">
        <v>46126</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46126</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46126</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46126</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46126</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46126</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6839-2026</t>
        </is>
      </c>
      <c r="B86" s="1" t="n">
        <v>46057.41193287037</v>
      </c>
      <c r="C86" s="1" t="n">
        <v>46126</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10274-2026</t>
        </is>
      </c>
      <c r="B87" s="1" t="n">
        <v>46076.58261574074</v>
      </c>
      <c r="C87" s="1" t="n">
        <v>46126</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8265-2023</t>
        </is>
      </c>
      <c r="B89" s="1" t="n">
        <v>44974</v>
      </c>
      <c r="C89" s="1" t="n">
        <v>46126</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46126</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46126</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46126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46126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6159-2023</t>
        </is>
      </c>
      <c r="B94" s="1" t="n">
        <v>44964</v>
      </c>
      <c r="C94" s="1" t="n">
        <v>46126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46126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46126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20833-2024</t>
        </is>
      </c>
      <c r="B97" s="1" t="n">
        <v>45439</v>
      </c>
      <c r="C97" s="1" t="n">
        <v>46126</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54523-2023</t>
        </is>
      </c>
      <c r="B98" s="1" t="n">
        <v>45233</v>
      </c>
      <c r="C98" s="1" t="n">
        <v>46126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44933-2022</t>
        </is>
      </c>
      <c r="B99" s="1" t="n">
        <v>44841</v>
      </c>
      <c r="C99" s="1" t="n">
        <v>46126</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57463-2025</t>
        </is>
      </c>
      <c r="B100" s="1" t="n">
        <v>45980.54174768519</v>
      </c>
      <c r="C100" s="1" t="n">
        <v>46126</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46126</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13203-2026</t>
        </is>
      </c>
      <c r="B102" s="1" t="n">
        <v>46093</v>
      </c>
      <c r="C102" s="1" t="n">
        <v>46126</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2485-2025</t>
        </is>
      </c>
      <c r="B103" s="1" t="n">
        <v>45673</v>
      </c>
      <c r="C103" s="1" t="n">
        <v>46126</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6836-2026</t>
        </is>
      </c>
      <c r="B104" s="1" t="n">
        <v>46057.40902777778</v>
      </c>
      <c r="C104" s="1" t="n">
        <v>46126</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46126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46126</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46126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46126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55334-2024</t>
        </is>
      </c>
      <c r="B111" s="1" t="n">
        <v>45621</v>
      </c>
      <c r="C111" s="1" t="n">
        <v>46126</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5235-2025</t>
        </is>
      </c>
      <c r="B112" s="1" t="n">
        <v>45692.26797453704</v>
      </c>
      <c r="C112" s="1" t="n">
        <v>46126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46126</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46126</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30490-2025</t>
        </is>
      </c>
      <c r="B115" s="1" t="n">
        <v>45830</v>
      </c>
      <c r="C115" s="1" t="n">
        <v>46126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46126</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1520-2026</t>
        </is>
      </c>
      <c r="B117" s="1" t="n">
        <v>46034.35891203704</v>
      </c>
      <c r="C117" s="1" t="n">
        <v>46126</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46126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46126</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46126</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46126</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20218-2022</t>
        </is>
      </c>
      <c r="B124" s="1" t="n">
        <v>44698</v>
      </c>
      <c r="C124" s="1" t="n">
        <v>46126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46126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28276-2024</t>
        </is>
      </c>
      <c r="B126" s="1" t="n">
        <v>45477</v>
      </c>
      <c r="C126" s="1" t="n">
        <v>46126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26077-2024</t>
        </is>
      </c>
      <c r="B127" s="1" t="n">
        <v>45467</v>
      </c>
      <c r="C127" s="1" t="n">
        <v>46126</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21879-2025</t>
        </is>
      </c>
      <c r="B128" s="1" t="n">
        <v>45784.40533564815</v>
      </c>
      <c r="C128" s="1" t="n">
        <v>46126</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20429-2025</t>
        </is>
      </c>
      <c r="B129" s="1" t="n">
        <v>45775.47728009259</v>
      </c>
      <c r="C129" s="1" t="n">
        <v>46126</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20838-2024</t>
        </is>
      </c>
      <c r="B130" s="1" t="n">
        <v>45439</v>
      </c>
      <c r="C130" s="1" t="n">
        <v>46126</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46126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46126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62760-2025</t>
        </is>
      </c>
      <c r="B133" s="1" t="n">
        <v>46008</v>
      </c>
      <c r="C133" s="1" t="n">
        <v>46126</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43219-2023</t>
        </is>
      </c>
      <c r="B134" s="1" t="n">
        <v>45183</v>
      </c>
      <c r="C134" s="1" t="n">
        <v>46126</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63162-2025</t>
        </is>
      </c>
      <c r="B135" s="1" t="n">
        <v>46010.37629629629</v>
      </c>
      <c r="C135" s="1" t="n">
        <v>46126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46126</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12914-2025</t>
        </is>
      </c>
      <c r="B137" s="1" t="n">
        <v>45733</v>
      </c>
      <c r="C137" s="1" t="n">
        <v>46126</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46126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46126</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46362-2021</t>
        </is>
      </c>
      <c r="B140" s="1" t="n">
        <v>44442</v>
      </c>
      <c r="C140" s="1" t="n">
        <v>46126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46126</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2476-2025</t>
        </is>
      </c>
      <c r="B142" s="1" t="n">
        <v>45673</v>
      </c>
      <c r="C142" s="1" t="n">
        <v>46126</v>
      </c>
      <c r="D142" t="inlineStr">
        <is>
          <t>GOTLANDS LÄN</t>
        </is>
      </c>
      <c r="E142" t="inlineStr">
        <is>
          <t>GOTLAND</t>
        </is>
      </c>
      <c r="G142" t="n">
        <v>3.1</v>
      </c>
      <c r="H142" t="n">
        <v>0</v>
      </c>
      <c r="I142" t="n">
        <v>1</v>
      </c>
      <c r="J142" t="n">
        <v>0</v>
      </c>
      <c r="K142" t="n">
        <v>0</v>
      </c>
      <c r="L142" t="n">
        <v>0</v>
      </c>
      <c r="M142" t="n">
        <v>0</v>
      </c>
      <c r="N142" t="n">
        <v>0</v>
      </c>
      <c r="O142" t="n">
        <v>0</v>
      </c>
      <c r="P142" t="n">
        <v>0</v>
      </c>
      <c r="Q142" t="n">
        <v>1</v>
      </c>
      <c r="R142" s="2" t="inlineStr">
        <is>
          <t>Kryddspindling</t>
        </is>
      </c>
      <c r="S142">
        <f>HYPERLINK("https://klasma.github.io/Logging_0980/artfynd/A 2476-2025 artfynd.xlsx", "A 2476-2025")</f>
        <v/>
      </c>
      <c r="T142">
        <f>HYPERLINK("https://klasma.github.io/Logging_0980/kartor/A 2476-2025 karta.png", "A 2476-2025")</f>
        <v/>
      </c>
      <c r="V142">
        <f>HYPERLINK("https://klasma.github.io/Logging_0980/klagomål/A 2476-2025 FSC-klagomål.docx", "A 2476-2025")</f>
        <v/>
      </c>
      <c r="W142">
        <f>HYPERLINK("https://klasma.github.io/Logging_0980/klagomålsmail/A 2476-2025 FSC-klagomål mail.docx", "A 2476-2025")</f>
        <v/>
      </c>
      <c r="X142">
        <f>HYPERLINK("https://klasma.github.io/Logging_0980/tillsyn/A 2476-2025 tillsynsbegäran.docx", "A 2476-2025")</f>
        <v/>
      </c>
      <c r="Y142">
        <f>HYPERLINK("https://klasma.github.io/Logging_0980/tillsynsmail/A 2476-2025 tillsynsbegäran mail.docx", "A 2476-2025")</f>
        <v/>
      </c>
    </row>
    <row r="143" ht="15" customHeight="1">
      <c r="A143" t="inlineStr">
        <is>
          <t>A 12379-2024</t>
        </is>
      </c>
      <c r="B143" s="1" t="n">
        <v>45379.28155092592</v>
      </c>
      <c r="C143" s="1" t="n">
        <v>46126</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24245-2022</t>
        </is>
      </c>
      <c r="B144" s="1" t="n">
        <v>44725</v>
      </c>
      <c r="C144" s="1" t="n">
        <v>46126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17723-2021</t>
        </is>
      </c>
      <c r="B145" s="1" t="n">
        <v>44300</v>
      </c>
      <c r="C145" s="1" t="n">
        <v>46126</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10995-2023</t>
        </is>
      </c>
      <c r="B146" s="1" t="n">
        <v>44986</v>
      </c>
      <c r="C146" s="1" t="n">
        <v>46126</v>
      </c>
      <c r="D146" t="inlineStr">
        <is>
          <t>GOTLANDS LÄN</t>
        </is>
      </c>
      <c r="E146" t="inlineStr">
        <is>
          <t>GOTLAND</t>
        </is>
      </c>
      <c r="G146" t="n">
        <v>2.8</v>
      </c>
      <c r="H146" t="n">
        <v>0</v>
      </c>
      <c r="I146" t="n">
        <v>0</v>
      </c>
      <c r="J146" t="n">
        <v>0</v>
      </c>
      <c r="K146" t="n">
        <v>1</v>
      </c>
      <c r="L146" t="n">
        <v>0</v>
      </c>
      <c r="M146" t="n">
        <v>0</v>
      </c>
      <c r="N146" t="n">
        <v>0</v>
      </c>
      <c r="O146" t="n">
        <v>1</v>
      </c>
      <c r="P146" t="n">
        <v>1</v>
      </c>
      <c r="Q146" t="n">
        <v>1</v>
      </c>
      <c r="R146" s="2" t="inlineStr">
        <is>
          <t>Violettfläckig spindling</t>
        </is>
      </c>
      <c r="S146">
        <f>HYPERLINK("https://klasma.github.io/Logging_0980/artfynd/A 10995-2023 artfynd.xlsx", "A 10995-2023")</f>
        <v/>
      </c>
      <c r="T146">
        <f>HYPERLINK("https://klasma.github.io/Logging_0980/kartor/A 10995-2023 karta.png", "A 10995-2023")</f>
        <v/>
      </c>
      <c r="V146">
        <f>HYPERLINK("https://klasma.github.io/Logging_0980/klagomål/A 10995-2023 FSC-klagomål.docx", "A 10995-2023")</f>
        <v/>
      </c>
      <c r="W146">
        <f>HYPERLINK("https://klasma.github.io/Logging_0980/klagomålsmail/A 10995-2023 FSC-klagomål mail.docx", "A 10995-2023")</f>
        <v/>
      </c>
      <c r="X146">
        <f>HYPERLINK("https://klasma.github.io/Logging_0980/tillsyn/A 10995-2023 tillsynsbegäran.docx", "A 10995-2023")</f>
        <v/>
      </c>
      <c r="Y146">
        <f>HYPERLINK("https://klasma.github.io/Logging_0980/tillsynsmail/A 10995-2023 tillsynsbegäran mail.docx", "A 10995-2023")</f>
        <v/>
      </c>
    </row>
    <row r="147" ht="15" customHeight="1">
      <c r="A147" t="inlineStr">
        <is>
          <t>A 49847-2023</t>
        </is>
      </c>
      <c r="B147" s="1" t="n">
        <v>45212</v>
      </c>
      <c r="C147" s="1" t="n">
        <v>46126</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46527-2023</t>
        </is>
      </c>
      <c r="B148" s="1" t="n">
        <v>45197</v>
      </c>
      <c r="C148" s="1" t="n">
        <v>46126</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44304-2021</t>
        </is>
      </c>
      <c r="B149" s="1" t="n">
        <v>44434</v>
      </c>
      <c r="C149" s="1" t="n">
        <v>46126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39812-2025</t>
        </is>
      </c>
      <c r="B150" s="1" t="n">
        <v>45891</v>
      </c>
      <c r="C150" s="1" t="n">
        <v>46126</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12324-2025</t>
        </is>
      </c>
      <c r="B151" s="1" t="n">
        <v>45730</v>
      </c>
      <c r="C151" s="1" t="n">
        <v>46126</v>
      </c>
      <c r="D151" t="inlineStr">
        <is>
          <t>GOTLANDS LÄN</t>
        </is>
      </c>
      <c r="E151" t="inlineStr">
        <is>
          <t>GOTLAND</t>
        </is>
      </c>
      <c r="G151" t="n">
        <v>5</v>
      </c>
      <c r="H151" t="n">
        <v>0</v>
      </c>
      <c r="I151" t="n">
        <v>0</v>
      </c>
      <c r="J151" t="n">
        <v>0</v>
      </c>
      <c r="K151" t="n">
        <v>1</v>
      </c>
      <c r="L151" t="n">
        <v>0</v>
      </c>
      <c r="M151" t="n">
        <v>0</v>
      </c>
      <c r="N151" t="n">
        <v>0</v>
      </c>
      <c r="O151" t="n">
        <v>1</v>
      </c>
      <c r="P151" t="n">
        <v>1</v>
      </c>
      <c r="Q151" t="n">
        <v>1</v>
      </c>
      <c r="R151" s="2" t="inlineStr">
        <is>
          <t>Sommarklynne</t>
        </is>
      </c>
      <c r="S151">
        <f>HYPERLINK("https://klasma.github.io/Logging_0980/artfynd/A 12324-2025 artfynd.xlsx", "A 12324-2025")</f>
        <v/>
      </c>
      <c r="T151">
        <f>HYPERLINK("https://klasma.github.io/Logging_0980/kartor/A 12324-2025 karta.png", "A 12324-2025")</f>
        <v/>
      </c>
      <c r="V151">
        <f>HYPERLINK("https://klasma.github.io/Logging_0980/klagomål/A 12324-2025 FSC-klagomål.docx", "A 12324-2025")</f>
        <v/>
      </c>
      <c r="W151">
        <f>HYPERLINK("https://klasma.github.io/Logging_0980/klagomålsmail/A 12324-2025 FSC-klagomål mail.docx", "A 12324-2025")</f>
        <v/>
      </c>
      <c r="X151">
        <f>HYPERLINK("https://klasma.github.io/Logging_0980/tillsyn/A 12324-2025 tillsynsbegäran.docx", "A 12324-2025")</f>
        <v/>
      </c>
      <c r="Y151">
        <f>HYPERLINK("https://klasma.github.io/Logging_0980/tillsynsmail/A 12324-2025 tillsynsbegäran mail.docx", "A 12324-2025")</f>
        <v/>
      </c>
    </row>
    <row r="152" ht="15" customHeight="1">
      <c r="A152" t="inlineStr">
        <is>
          <t>A 37591-2023</t>
        </is>
      </c>
      <c r="B152" s="1" t="n">
        <v>45159</v>
      </c>
      <c r="C152" s="1" t="n">
        <v>46126</v>
      </c>
      <c r="D152" t="inlineStr">
        <is>
          <t>GOTLANDS LÄN</t>
        </is>
      </c>
      <c r="E152" t="inlineStr">
        <is>
          <t>GOTLAND</t>
        </is>
      </c>
      <c r="G152" t="n">
        <v>8.300000000000001</v>
      </c>
      <c r="H152" t="n">
        <v>0</v>
      </c>
      <c r="I152" t="n">
        <v>0</v>
      </c>
      <c r="J152" t="n">
        <v>1</v>
      </c>
      <c r="K152" t="n">
        <v>0</v>
      </c>
      <c r="L152" t="n">
        <v>0</v>
      </c>
      <c r="M152" t="n">
        <v>0</v>
      </c>
      <c r="N152" t="n">
        <v>0</v>
      </c>
      <c r="O152" t="n">
        <v>1</v>
      </c>
      <c r="P152" t="n">
        <v>0</v>
      </c>
      <c r="Q152" t="n">
        <v>1</v>
      </c>
      <c r="R152" s="2" t="inlineStr">
        <is>
          <t>Ängsstarr</t>
        </is>
      </c>
      <c r="S152">
        <f>HYPERLINK("https://klasma.github.io/Logging_0980/artfynd/A 37591-2023 artfynd.xlsx", "A 37591-2023")</f>
        <v/>
      </c>
      <c r="T152">
        <f>HYPERLINK("https://klasma.github.io/Logging_0980/kartor/A 37591-2023 karta.png", "A 37591-2023")</f>
        <v/>
      </c>
      <c r="V152">
        <f>HYPERLINK("https://klasma.github.io/Logging_0980/klagomål/A 37591-2023 FSC-klagomål.docx", "A 37591-2023")</f>
        <v/>
      </c>
      <c r="W152">
        <f>HYPERLINK("https://klasma.github.io/Logging_0980/klagomålsmail/A 37591-2023 FSC-klagomål mail.docx", "A 37591-2023")</f>
        <v/>
      </c>
      <c r="X152">
        <f>HYPERLINK("https://klasma.github.io/Logging_0980/tillsyn/A 37591-2023 tillsynsbegäran.docx", "A 37591-2023")</f>
        <v/>
      </c>
      <c r="Y152">
        <f>HYPERLINK("https://klasma.github.io/Logging_0980/tillsynsmail/A 37591-2023 tillsynsbegäran mail.docx", "A 37591-2023")</f>
        <v/>
      </c>
    </row>
    <row r="153" ht="15" customHeight="1">
      <c r="A153" t="inlineStr">
        <is>
          <t>A 25977-2024</t>
        </is>
      </c>
      <c r="B153" s="1" t="n">
        <v>45467.69356481481</v>
      </c>
      <c r="C153" s="1" t="n">
        <v>46126</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62552-2022</t>
        </is>
      </c>
      <c r="B154" s="1" t="n">
        <v>44924</v>
      </c>
      <c r="C154" s="1" t="n">
        <v>46126</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21466-2025</t>
        </is>
      </c>
      <c r="B155" s="1" t="n">
        <v>45782</v>
      </c>
      <c r="C155" s="1" t="n">
        <v>46126</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35467-2021</t>
        </is>
      </c>
      <c r="B156" s="1" t="n">
        <v>44385</v>
      </c>
      <c r="C156" s="1" t="n">
        <v>46126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65927-2021</t>
        </is>
      </c>
      <c r="B157" s="1" t="n">
        <v>44516</v>
      </c>
      <c r="C157" s="1" t="n">
        <v>46126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44619-2025</t>
        </is>
      </c>
      <c r="B158" s="1" t="n">
        <v>45917</v>
      </c>
      <c r="C158" s="1" t="n">
        <v>46126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10440-2024</t>
        </is>
      </c>
      <c r="B159" s="1" t="n">
        <v>45366.32818287037</v>
      </c>
      <c r="C159" s="1" t="n">
        <v>46126</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61796-2022</t>
        </is>
      </c>
      <c r="B160" s="1" t="n">
        <v>44917</v>
      </c>
      <c r="C160" s="1" t="n">
        <v>46126</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c r="Z160">
        <f>HYPERLINK("https://klasma.github.io/Logging_0980/fåglar/A 61796-2022 prioriterade fågelarter.docx", "A 61796-2022")</f>
        <v/>
      </c>
    </row>
    <row r="161" ht="15" customHeight="1">
      <c r="A161" t="inlineStr">
        <is>
          <t>A 44088-2022</t>
        </is>
      </c>
      <c r="B161" s="1" t="n">
        <v>44839</v>
      </c>
      <c r="C161" s="1" t="n">
        <v>46126</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15637-2024</t>
        </is>
      </c>
      <c r="B162" s="1" t="n">
        <v>45403.6684837963</v>
      </c>
      <c r="C162" s="1" t="n">
        <v>46126</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49726-2025</t>
        </is>
      </c>
      <c r="B163" s="1" t="n">
        <v>45939.84466435185</v>
      </c>
      <c r="C163" s="1" t="n">
        <v>46126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26461-2025</t>
        </is>
      </c>
      <c r="B164" s="1" t="n">
        <v>45807.43337962963</v>
      </c>
      <c r="C164" s="1" t="n">
        <v>46126</v>
      </c>
      <c r="D164" t="inlineStr">
        <is>
          <t>GOTLANDS LÄN</t>
        </is>
      </c>
      <c r="E164" t="inlineStr">
        <is>
          <t>GOTLAND</t>
        </is>
      </c>
      <c r="G164" t="n">
        <v>4.1</v>
      </c>
      <c r="H164" t="n">
        <v>0</v>
      </c>
      <c r="I164" t="n">
        <v>0</v>
      </c>
      <c r="J164" t="n">
        <v>0</v>
      </c>
      <c r="K164" t="n">
        <v>1</v>
      </c>
      <c r="L164" t="n">
        <v>0</v>
      </c>
      <c r="M164" t="n">
        <v>0</v>
      </c>
      <c r="N164" t="n">
        <v>0</v>
      </c>
      <c r="O164" t="n">
        <v>1</v>
      </c>
      <c r="P164" t="n">
        <v>1</v>
      </c>
      <c r="Q164" t="n">
        <v>1</v>
      </c>
      <c r="R164" s="2" t="inlineStr">
        <is>
          <t>Gotlandsmåra</t>
        </is>
      </c>
      <c r="S164">
        <f>HYPERLINK("https://klasma.github.io/Logging_0980/artfynd/A 26461-2025 artfynd.xlsx", "A 26461-2025")</f>
        <v/>
      </c>
      <c r="T164">
        <f>HYPERLINK("https://klasma.github.io/Logging_0980/kartor/A 26461-2025 karta.png", "A 26461-2025")</f>
        <v/>
      </c>
      <c r="V164">
        <f>HYPERLINK("https://klasma.github.io/Logging_0980/klagomål/A 26461-2025 FSC-klagomål.docx", "A 26461-2025")</f>
        <v/>
      </c>
      <c r="W164">
        <f>HYPERLINK("https://klasma.github.io/Logging_0980/klagomålsmail/A 26461-2025 FSC-klagomål mail.docx", "A 26461-2025")</f>
        <v/>
      </c>
      <c r="X164">
        <f>HYPERLINK("https://klasma.github.io/Logging_0980/tillsyn/A 26461-2025 tillsynsbegäran.docx", "A 26461-2025")</f>
        <v/>
      </c>
      <c r="Y164">
        <f>HYPERLINK("https://klasma.github.io/Logging_0980/tillsynsmail/A 26461-2025 tillsynsbegäran mail.docx", "A 26461-2025")</f>
        <v/>
      </c>
    </row>
    <row r="165" ht="15" customHeight="1">
      <c r="A165" t="inlineStr">
        <is>
          <t>A 44308-2021</t>
        </is>
      </c>
      <c r="B165" s="1" t="n">
        <v>44434</v>
      </c>
      <c r="C165" s="1" t="n">
        <v>46126</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34141-2024</t>
        </is>
      </c>
      <c r="B166" s="1" t="n">
        <v>45524.36229166666</v>
      </c>
      <c r="C166" s="1" t="n">
        <v>46126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9862-2024</t>
        </is>
      </c>
      <c r="B167" s="1" t="n">
        <v>45363</v>
      </c>
      <c r="C167" s="1" t="n">
        <v>46126</v>
      </c>
      <c r="D167" t="inlineStr">
        <is>
          <t>GOTLANDS LÄN</t>
        </is>
      </c>
      <c r="E167" t="inlineStr">
        <is>
          <t>GOTLAND</t>
        </is>
      </c>
      <c r="G167" t="n">
        <v>3.5</v>
      </c>
      <c r="H167" t="n">
        <v>1</v>
      </c>
      <c r="I167" t="n">
        <v>0</v>
      </c>
      <c r="J167" t="n">
        <v>0</v>
      </c>
      <c r="K167" t="n">
        <v>0</v>
      </c>
      <c r="L167" t="n">
        <v>0</v>
      </c>
      <c r="M167" t="n">
        <v>0</v>
      </c>
      <c r="N167" t="n">
        <v>0</v>
      </c>
      <c r="O167" t="n">
        <v>0</v>
      </c>
      <c r="P167" t="n">
        <v>0</v>
      </c>
      <c r="Q167" t="n">
        <v>1</v>
      </c>
      <c r="R167" s="2" t="inlineStr">
        <is>
          <t>Nattviol</t>
        </is>
      </c>
      <c r="S167">
        <f>HYPERLINK("https://klasma.github.io/Logging_0980/artfynd/A 9862-2024 artfynd.xlsx", "A 9862-2024")</f>
        <v/>
      </c>
      <c r="T167">
        <f>HYPERLINK("https://klasma.github.io/Logging_0980/kartor/A 9862-2024 karta.png", "A 9862-2024")</f>
        <v/>
      </c>
      <c r="V167">
        <f>HYPERLINK("https://klasma.github.io/Logging_0980/klagomål/A 9862-2024 FSC-klagomål.docx", "A 9862-2024")</f>
        <v/>
      </c>
      <c r="W167">
        <f>HYPERLINK("https://klasma.github.io/Logging_0980/klagomålsmail/A 9862-2024 FSC-klagomål mail.docx", "A 9862-2024")</f>
        <v/>
      </c>
      <c r="X167">
        <f>HYPERLINK("https://klasma.github.io/Logging_0980/tillsyn/A 9862-2024 tillsynsbegäran.docx", "A 9862-2024")</f>
        <v/>
      </c>
      <c r="Y167">
        <f>HYPERLINK("https://klasma.github.io/Logging_0980/tillsynsmail/A 9862-2024 tillsynsbegäran mail.docx", "A 9862-2024")</f>
        <v/>
      </c>
    </row>
    <row r="168" ht="15" customHeight="1">
      <c r="A168" t="inlineStr">
        <is>
          <t>A 447-2023</t>
        </is>
      </c>
      <c r="B168" s="1" t="n">
        <v>44929</v>
      </c>
      <c r="C168" s="1" t="n">
        <v>46126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947-2023</t>
        </is>
      </c>
      <c r="B169" s="1" t="n">
        <v>44934</v>
      </c>
      <c r="C169" s="1" t="n">
        <v>46126</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46126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46126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12924-2025</t>
        </is>
      </c>
      <c r="B172" s="1" t="n">
        <v>45734</v>
      </c>
      <c r="C172" s="1" t="n">
        <v>46126</v>
      </c>
      <c r="D172" t="inlineStr">
        <is>
          <t>GOTLANDS LÄN</t>
        </is>
      </c>
      <c r="E172" t="inlineStr">
        <is>
          <t>GOTLAND</t>
        </is>
      </c>
      <c r="G172" t="n">
        <v>11.7</v>
      </c>
      <c r="H172" t="n">
        <v>0</v>
      </c>
      <c r="I172" t="n">
        <v>0</v>
      </c>
      <c r="J172" t="n">
        <v>0</v>
      </c>
      <c r="K172" t="n">
        <v>1</v>
      </c>
      <c r="L172" t="n">
        <v>0</v>
      </c>
      <c r="M172" t="n">
        <v>0</v>
      </c>
      <c r="N172" t="n">
        <v>0</v>
      </c>
      <c r="O172" t="n">
        <v>1</v>
      </c>
      <c r="P172" t="n">
        <v>1</v>
      </c>
      <c r="Q172" t="n">
        <v>1</v>
      </c>
      <c r="R172" s="2" t="inlineStr">
        <is>
          <t>Gotlandsmåra</t>
        </is>
      </c>
      <c r="S172">
        <f>HYPERLINK("https://klasma.github.io/Logging_0980/artfynd/A 12924-2025 artfynd.xlsx", "A 12924-2025")</f>
        <v/>
      </c>
      <c r="T172">
        <f>HYPERLINK("https://klasma.github.io/Logging_0980/kartor/A 12924-2025 karta.png", "A 12924-2025")</f>
        <v/>
      </c>
      <c r="V172">
        <f>HYPERLINK("https://klasma.github.io/Logging_0980/klagomål/A 12924-2025 FSC-klagomål.docx", "A 12924-2025")</f>
        <v/>
      </c>
      <c r="W172">
        <f>HYPERLINK("https://klasma.github.io/Logging_0980/klagomålsmail/A 12924-2025 FSC-klagomål mail.docx", "A 12924-2025")</f>
        <v/>
      </c>
      <c r="X172">
        <f>HYPERLINK("https://klasma.github.io/Logging_0980/tillsyn/A 12924-2025 tillsynsbegäran.docx", "A 12924-2025")</f>
        <v/>
      </c>
      <c r="Y172">
        <f>HYPERLINK("https://klasma.github.io/Logging_0980/tillsynsmail/A 12924-2025 tillsynsbegäran mail.docx", "A 12924-2025")</f>
        <v/>
      </c>
    </row>
    <row r="173" ht="15" customHeight="1">
      <c r="A173" t="inlineStr">
        <is>
          <t>A 64700-2021</t>
        </is>
      </c>
      <c r="B173" s="1" t="n">
        <v>44511</v>
      </c>
      <c r="C173" s="1" t="n">
        <v>46126</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46126</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46126</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46126</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46126</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11708-2026</t>
        </is>
      </c>
      <c r="B178" s="1" t="n">
        <v>46084</v>
      </c>
      <c r="C178" s="1" t="n">
        <v>46126</v>
      </c>
      <c r="D178" t="inlineStr">
        <is>
          <t>GOTLANDS LÄN</t>
        </is>
      </c>
      <c r="E178" t="inlineStr">
        <is>
          <t>GOTLAND</t>
        </is>
      </c>
      <c r="G178" t="n">
        <v>8.4</v>
      </c>
      <c r="H178" t="n">
        <v>1</v>
      </c>
      <c r="I178" t="n">
        <v>0</v>
      </c>
      <c r="J178" t="n">
        <v>1</v>
      </c>
      <c r="K178" t="n">
        <v>0</v>
      </c>
      <c r="L178" t="n">
        <v>0</v>
      </c>
      <c r="M178" t="n">
        <v>0</v>
      </c>
      <c r="N178" t="n">
        <v>0</v>
      </c>
      <c r="O178" t="n">
        <v>1</v>
      </c>
      <c r="P178" t="n">
        <v>0</v>
      </c>
      <c r="Q178" t="n">
        <v>1</v>
      </c>
      <c r="R178" s="2" t="inlineStr">
        <is>
          <t>Bredarun</t>
        </is>
      </c>
      <c r="S178">
        <f>HYPERLINK("https://klasma.github.io/Logging_0980/artfynd/A 11708-2026 artfynd.xlsx", "A 11708-2026")</f>
        <v/>
      </c>
      <c r="T178">
        <f>HYPERLINK("https://klasma.github.io/Logging_0980/kartor/A 11708-2026 karta.png", "A 11708-2026")</f>
        <v/>
      </c>
      <c r="V178">
        <f>HYPERLINK("https://klasma.github.io/Logging_0980/klagomål/A 11708-2026 FSC-klagomål.docx", "A 11708-2026")</f>
        <v/>
      </c>
      <c r="W178">
        <f>HYPERLINK("https://klasma.github.io/Logging_0980/klagomålsmail/A 11708-2026 FSC-klagomål mail.docx", "A 11708-2026")</f>
        <v/>
      </c>
      <c r="X178">
        <f>HYPERLINK("https://klasma.github.io/Logging_0980/tillsyn/A 11708-2026 tillsynsbegäran.docx", "A 11708-2026")</f>
        <v/>
      </c>
      <c r="Y178">
        <f>HYPERLINK("https://klasma.github.io/Logging_0980/tillsynsmail/A 11708-2026 tillsynsbegäran mail.docx", "A 11708-2026")</f>
        <v/>
      </c>
    </row>
    <row r="179" ht="15" customHeight="1">
      <c r="A179" t="inlineStr">
        <is>
          <t>A 13482-2026</t>
        </is>
      </c>
      <c r="B179" s="1" t="n">
        <v>46094</v>
      </c>
      <c r="C179" s="1" t="n">
        <v>46126</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6303-2024</t>
        </is>
      </c>
      <c r="B180" s="1" t="n">
        <v>45338.35376157407</v>
      </c>
      <c r="C180" s="1" t="n">
        <v>46126</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34809-2024</t>
        </is>
      </c>
      <c r="B181" s="1" t="n">
        <v>45526</v>
      </c>
      <c r="C181" s="1" t="n">
        <v>46126</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63149-2025</t>
        </is>
      </c>
      <c r="B182" s="1" t="n">
        <v>46010</v>
      </c>
      <c r="C182" s="1" t="n">
        <v>46126</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Anisspindling</t>
        </is>
      </c>
      <c r="S182">
        <f>HYPERLINK("https://klasma.github.io/Logging_0980/artfynd/A 63149-2025 artfynd.xlsx", "A 63149-2025")</f>
        <v/>
      </c>
      <c r="T182">
        <f>HYPERLINK("https://klasma.github.io/Logging_0980/kartor/A 63149-2025 karta.png", "A 63149-2025")</f>
        <v/>
      </c>
      <c r="V182">
        <f>HYPERLINK("https://klasma.github.io/Logging_0980/klagomål/A 63149-2025 FSC-klagomål.docx", "A 63149-2025")</f>
        <v/>
      </c>
      <c r="W182">
        <f>HYPERLINK("https://klasma.github.io/Logging_0980/klagomålsmail/A 63149-2025 FSC-klagomål mail.docx", "A 63149-2025")</f>
        <v/>
      </c>
      <c r="X182">
        <f>HYPERLINK("https://klasma.github.io/Logging_0980/tillsyn/A 63149-2025 tillsynsbegäran.docx", "A 63149-2025")</f>
        <v/>
      </c>
      <c r="Y182">
        <f>HYPERLINK("https://klasma.github.io/Logging_0980/tillsynsmail/A 63149-2025 tillsynsbegäran mail.docx", "A 63149-2025")</f>
        <v/>
      </c>
    </row>
    <row r="183" ht="15" customHeight="1">
      <c r="A183" t="inlineStr">
        <is>
          <t>A 10013-2026</t>
        </is>
      </c>
      <c r="B183" s="1" t="n">
        <v>46073</v>
      </c>
      <c r="C183" s="1" t="n">
        <v>46126</v>
      </c>
      <c r="D183" t="inlineStr">
        <is>
          <t>GOTLANDS LÄN</t>
        </is>
      </c>
      <c r="E183" t="inlineStr">
        <is>
          <t>GOTLAND</t>
        </is>
      </c>
      <c r="G183" t="n">
        <v>10.5</v>
      </c>
      <c r="H183" t="n">
        <v>0</v>
      </c>
      <c r="I183" t="n">
        <v>0</v>
      </c>
      <c r="J183" t="n">
        <v>0</v>
      </c>
      <c r="K183" t="n">
        <v>1</v>
      </c>
      <c r="L183" t="n">
        <v>0</v>
      </c>
      <c r="M183" t="n">
        <v>0</v>
      </c>
      <c r="N183" t="n">
        <v>0</v>
      </c>
      <c r="O183" t="n">
        <v>1</v>
      </c>
      <c r="P183" t="n">
        <v>1</v>
      </c>
      <c r="Q183" t="n">
        <v>1</v>
      </c>
      <c r="R183" s="2" t="inlineStr">
        <is>
          <t>Skogskorn</t>
        </is>
      </c>
      <c r="S183">
        <f>HYPERLINK("https://klasma.github.io/Logging_0980/artfynd/A 10013-2026 artfynd.xlsx", "A 10013-2026")</f>
        <v/>
      </c>
      <c r="T183">
        <f>HYPERLINK("https://klasma.github.io/Logging_0980/kartor/A 10013-2026 karta.png", "A 10013-2026")</f>
        <v/>
      </c>
      <c r="V183">
        <f>HYPERLINK("https://klasma.github.io/Logging_0980/klagomål/A 10013-2026 FSC-klagomål.docx", "A 10013-2026")</f>
        <v/>
      </c>
      <c r="W183">
        <f>HYPERLINK("https://klasma.github.io/Logging_0980/klagomålsmail/A 10013-2026 FSC-klagomål mail.docx", "A 10013-2026")</f>
        <v/>
      </c>
      <c r="X183">
        <f>HYPERLINK("https://klasma.github.io/Logging_0980/tillsyn/A 10013-2026 tillsynsbegäran.docx", "A 10013-2026")</f>
        <v/>
      </c>
      <c r="Y183">
        <f>HYPERLINK("https://klasma.github.io/Logging_0980/tillsynsmail/A 10013-2026 tillsynsbegäran mail.docx", "A 10013-2026")</f>
        <v/>
      </c>
    </row>
    <row r="184" ht="15" customHeight="1">
      <c r="A184" t="inlineStr">
        <is>
          <t>A 61561-2023</t>
        </is>
      </c>
      <c r="B184" s="1" t="n">
        <v>45265</v>
      </c>
      <c r="C184" s="1" t="n">
        <v>46126</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17854-2026</t>
        </is>
      </c>
      <c r="B185" s="1" t="n">
        <v>46121</v>
      </c>
      <c r="C185" s="1" t="n">
        <v>46126</v>
      </c>
      <c r="D185" t="inlineStr">
        <is>
          <t>GOTLANDS LÄN</t>
        </is>
      </c>
      <c r="E185" t="inlineStr">
        <is>
          <t>GOTLAND</t>
        </is>
      </c>
      <c r="G185" t="n">
        <v>6.6</v>
      </c>
      <c r="H185" t="n">
        <v>0</v>
      </c>
      <c r="I185" t="n">
        <v>1</v>
      </c>
      <c r="J185" t="n">
        <v>0</v>
      </c>
      <c r="K185" t="n">
        <v>0</v>
      </c>
      <c r="L185" t="n">
        <v>0</v>
      </c>
      <c r="M185" t="n">
        <v>0</v>
      </c>
      <c r="N185" t="n">
        <v>0</v>
      </c>
      <c r="O185" t="n">
        <v>0</v>
      </c>
      <c r="P185" t="n">
        <v>0</v>
      </c>
      <c r="Q185" t="n">
        <v>1</v>
      </c>
      <c r="R185" s="2" t="inlineStr">
        <is>
          <t>Blå slemspindling</t>
        </is>
      </c>
      <c r="S185">
        <f>HYPERLINK("https://klasma.github.io/Logging_0980/artfynd/A 17854-2026 artfynd.xlsx", "A 17854-2026")</f>
        <v/>
      </c>
      <c r="T185">
        <f>HYPERLINK("https://klasma.github.io/Logging_0980/kartor/A 17854-2026 karta.png", "A 17854-2026")</f>
        <v/>
      </c>
      <c r="V185">
        <f>HYPERLINK("https://klasma.github.io/Logging_0980/klagomål/A 17854-2026 FSC-klagomål.docx", "A 17854-2026")</f>
        <v/>
      </c>
      <c r="W185">
        <f>HYPERLINK("https://klasma.github.io/Logging_0980/klagomålsmail/A 17854-2026 FSC-klagomål mail.docx", "A 17854-2026")</f>
        <v/>
      </c>
      <c r="X185">
        <f>HYPERLINK("https://klasma.github.io/Logging_0980/tillsyn/A 17854-2026 tillsynsbegäran.docx", "A 17854-2026")</f>
        <v/>
      </c>
      <c r="Y185">
        <f>HYPERLINK("https://klasma.github.io/Logging_0980/tillsynsmail/A 17854-2026 tillsynsbegäran mail.docx", "A 17854-2026")</f>
        <v/>
      </c>
    </row>
    <row r="186" ht="15" customHeight="1">
      <c r="A186" t="inlineStr">
        <is>
          <t>A 18036-2026</t>
        </is>
      </c>
      <c r="B186" s="1" t="n">
        <v>46125.39576388889</v>
      </c>
      <c r="C186" s="1" t="n">
        <v>46126</v>
      </c>
      <c r="D186" t="inlineStr">
        <is>
          <t>GOTLANDS LÄN</t>
        </is>
      </c>
      <c r="E186" t="inlineStr">
        <is>
          <t>GOTLAND</t>
        </is>
      </c>
      <c r="G186" t="n">
        <v>1.8</v>
      </c>
      <c r="H186" t="n">
        <v>0</v>
      </c>
      <c r="I186" t="n">
        <v>0</v>
      </c>
      <c r="J186" t="n">
        <v>1</v>
      </c>
      <c r="K186" t="n">
        <v>0</v>
      </c>
      <c r="L186" t="n">
        <v>0</v>
      </c>
      <c r="M186" t="n">
        <v>0</v>
      </c>
      <c r="N186" t="n">
        <v>0</v>
      </c>
      <c r="O186" t="n">
        <v>1</v>
      </c>
      <c r="P186" t="n">
        <v>0</v>
      </c>
      <c r="Q186" t="n">
        <v>1</v>
      </c>
      <c r="R186" s="2" t="inlineStr">
        <is>
          <t>Sommarfibbla</t>
        </is>
      </c>
      <c r="S186">
        <f>HYPERLINK("https://klasma.github.io/Logging_0980/artfynd/A 18036-2026 artfynd.xlsx", "A 18036-2026")</f>
        <v/>
      </c>
      <c r="T186">
        <f>HYPERLINK("https://klasma.github.io/Logging_0980/kartor/A 18036-2026 karta.png", "A 18036-2026")</f>
        <v/>
      </c>
      <c r="V186">
        <f>HYPERLINK("https://klasma.github.io/Logging_0980/klagomål/A 18036-2026 FSC-klagomål.docx", "A 18036-2026")</f>
        <v/>
      </c>
      <c r="W186">
        <f>HYPERLINK("https://klasma.github.io/Logging_0980/klagomålsmail/A 18036-2026 FSC-klagomål mail.docx", "A 18036-2026")</f>
        <v/>
      </c>
      <c r="X186">
        <f>HYPERLINK("https://klasma.github.io/Logging_0980/tillsyn/A 18036-2026 tillsynsbegäran.docx", "A 18036-2026")</f>
        <v/>
      </c>
      <c r="Y186">
        <f>HYPERLINK("https://klasma.github.io/Logging_0980/tillsynsmail/A 18036-2026 tillsynsbegäran mail.docx", "A 18036-2026")</f>
        <v/>
      </c>
    </row>
    <row r="187" ht="15" customHeight="1">
      <c r="A187" t="inlineStr">
        <is>
          <t>A 22782-2023</t>
        </is>
      </c>
      <c r="B187" s="1" t="n">
        <v>45072</v>
      </c>
      <c r="C187" s="1" t="n">
        <v>46126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22883-2024</t>
        </is>
      </c>
      <c r="B188" s="1" t="n">
        <v>45448.66368055555</v>
      </c>
      <c r="C188" s="1" t="n">
        <v>46126</v>
      </c>
      <c r="D188" t="inlineStr">
        <is>
          <t>GOTLANDS LÄN</t>
        </is>
      </c>
      <c r="E188" t="inlineStr">
        <is>
          <t>GOTLAND</t>
        </is>
      </c>
      <c r="G188" t="n">
        <v>0.5</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22883-2024 artfynd.xlsx", "A 22883-2024")</f>
        <v/>
      </c>
      <c r="T188">
        <f>HYPERLINK("https://klasma.github.io/Logging_0980/kartor/A 22883-2024 karta.png", "A 22883-2024")</f>
        <v/>
      </c>
      <c r="V188">
        <f>HYPERLINK("https://klasma.github.io/Logging_0980/klagomål/A 22883-2024 FSC-klagomål.docx", "A 22883-2024")</f>
        <v/>
      </c>
      <c r="W188">
        <f>HYPERLINK("https://klasma.github.io/Logging_0980/klagomålsmail/A 22883-2024 FSC-klagomål mail.docx", "A 22883-2024")</f>
        <v/>
      </c>
      <c r="X188">
        <f>HYPERLINK("https://klasma.github.io/Logging_0980/tillsyn/A 22883-2024 tillsynsbegäran.docx", "A 22883-2024")</f>
        <v/>
      </c>
      <c r="Y188">
        <f>HYPERLINK("https://klasma.github.io/Logging_0980/tillsynsmail/A 22883-2024 tillsynsbegäran mail.docx", "A 22883-2024")</f>
        <v/>
      </c>
    </row>
    <row r="189" ht="15" customHeight="1">
      <c r="A189" t="inlineStr">
        <is>
          <t>A 19901-2021</t>
        </is>
      </c>
      <c r="B189" s="1" t="n">
        <v>44312</v>
      </c>
      <c r="C189" s="1" t="n">
        <v>46126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46126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46126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46126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46126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46126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46126</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46126</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46126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46126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46126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46126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46126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46126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46126</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46126</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46126</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46126</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46126</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46126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46126</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46126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46126</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46126</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46126</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46126</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46126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46126</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46126</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46126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46126</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30055-2021</t>
        </is>
      </c>
      <c r="B221" s="1" t="n">
        <v>44363</v>
      </c>
      <c r="C221" s="1" t="n">
        <v>46126</v>
      </c>
      <c r="D221" t="inlineStr">
        <is>
          <t>GOTLANDS LÄN</t>
        </is>
      </c>
      <c r="E221" t="inlineStr">
        <is>
          <t>GOTLAND</t>
        </is>
      </c>
      <c r="G221" t="n">
        <v>1.8</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46126</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1734-2025</t>
        </is>
      </c>
      <c r="B223" s="1" t="n">
        <v>45671.3840625</v>
      </c>
      <c r="C223" s="1" t="n">
        <v>46126</v>
      </c>
      <c r="D223" t="inlineStr">
        <is>
          <t>GOTLANDS LÄN</t>
        </is>
      </c>
      <c r="E223" t="inlineStr">
        <is>
          <t>GOTLAND</t>
        </is>
      </c>
      <c r="G223" t="n">
        <v>1.9</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46126</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46126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20993-2023</t>
        </is>
      </c>
      <c r="B226" s="1" t="n">
        <v>45056</v>
      </c>
      <c r="C226" s="1" t="n">
        <v>46126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46126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46126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46126</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46126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25866-2022</t>
        </is>
      </c>
      <c r="B231" s="1" t="n">
        <v>44733</v>
      </c>
      <c r="C231" s="1" t="n">
        <v>46126</v>
      </c>
      <c r="D231" t="inlineStr">
        <is>
          <t>GOTLANDS LÄN</t>
        </is>
      </c>
      <c r="E231" t="inlineStr">
        <is>
          <t>GOTLAND</t>
        </is>
      </c>
      <c r="G231" t="n">
        <v>2.9</v>
      </c>
      <c r="H231" t="n">
        <v>0</v>
      </c>
      <c r="I231" t="n">
        <v>0</v>
      </c>
      <c r="J231" t="n">
        <v>0</v>
      </c>
      <c r="K231" t="n">
        <v>0</v>
      </c>
      <c r="L231" t="n">
        <v>0</v>
      </c>
      <c r="M231" t="n">
        <v>0</v>
      </c>
      <c r="N231" t="n">
        <v>0</v>
      </c>
      <c r="O231" t="n">
        <v>0</v>
      </c>
      <c r="P231" t="n">
        <v>0</v>
      </c>
      <c r="Q231" t="n">
        <v>0</v>
      </c>
      <c r="R231" s="2" t="inlineStr"/>
    </row>
    <row r="232" ht="15" customHeight="1">
      <c r="A232" t="inlineStr">
        <is>
          <t>A 12596-2023</t>
        </is>
      </c>
      <c r="B232" s="1" t="n">
        <v>45000.43310185185</v>
      </c>
      <c r="C232" s="1" t="n">
        <v>46126</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43229-2023</t>
        </is>
      </c>
      <c r="B233" s="1" t="n">
        <v>45183.46704861111</v>
      </c>
      <c r="C233" s="1" t="n">
        <v>46126</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1175-2025</t>
        </is>
      </c>
      <c r="B234" s="1" t="n">
        <v>45667.34449074074</v>
      </c>
      <c r="C234" s="1" t="n">
        <v>46126</v>
      </c>
      <c r="D234" t="inlineStr">
        <is>
          <t>GOTLANDS LÄN</t>
        </is>
      </c>
      <c r="E234" t="inlineStr">
        <is>
          <t>GOTLAND</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46126</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2125-2025</t>
        </is>
      </c>
      <c r="B236" s="1" t="n">
        <v>45672.64940972222</v>
      </c>
      <c r="C236" s="1" t="n">
        <v>46126</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27095-2022</t>
        </is>
      </c>
      <c r="B237" s="1" t="n">
        <v>44741</v>
      </c>
      <c r="C237" s="1" t="n">
        <v>46126</v>
      </c>
      <c r="D237" t="inlineStr">
        <is>
          <t>GOTLANDS LÄN</t>
        </is>
      </c>
      <c r="E237" t="inlineStr">
        <is>
          <t>GOTLAND</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22899-2023</t>
        </is>
      </c>
      <c r="B238" s="1" t="n">
        <v>45072</v>
      </c>
      <c r="C238" s="1" t="n">
        <v>46126</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46126</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12155-2023</t>
        </is>
      </c>
      <c r="B240" s="1" t="n">
        <v>44998.49106481481</v>
      </c>
      <c r="C240" s="1" t="n">
        <v>46126</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23978-2023</t>
        </is>
      </c>
      <c r="B241" s="1" t="n">
        <v>45078</v>
      </c>
      <c r="C241" s="1" t="n">
        <v>46126</v>
      </c>
      <c r="D241" t="inlineStr">
        <is>
          <t>GOTLANDS LÄN</t>
        </is>
      </c>
      <c r="E241" t="inlineStr">
        <is>
          <t>GOTLAND</t>
        </is>
      </c>
      <c r="F241" t="inlineStr">
        <is>
          <t>Naturvårdsverket</t>
        </is>
      </c>
      <c r="G241" t="n">
        <v>1.7</v>
      </c>
      <c r="H241" t="n">
        <v>0</v>
      </c>
      <c r="I241" t="n">
        <v>0</v>
      </c>
      <c r="J241" t="n">
        <v>0</v>
      </c>
      <c r="K241" t="n">
        <v>0</v>
      </c>
      <c r="L241" t="n">
        <v>0</v>
      </c>
      <c r="M241" t="n">
        <v>0</v>
      </c>
      <c r="N241" t="n">
        <v>0</v>
      </c>
      <c r="O241" t="n">
        <v>0</v>
      </c>
      <c r="P241" t="n">
        <v>0</v>
      </c>
      <c r="Q241" t="n">
        <v>0</v>
      </c>
      <c r="R241" s="2" t="inlineStr"/>
    </row>
    <row r="242" ht="15" customHeight="1">
      <c r="A242" t="inlineStr">
        <is>
          <t>A 34407-2023</t>
        </is>
      </c>
      <c r="B242" s="1" t="n">
        <v>45132</v>
      </c>
      <c r="C242" s="1" t="n">
        <v>46126</v>
      </c>
      <c r="D242" t="inlineStr">
        <is>
          <t>GOTLANDS LÄN</t>
        </is>
      </c>
      <c r="E242" t="inlineStr">
        <is>
          <t>GOTLAND</t>
        </is>
      </c>
      <c r="G242" t="n">
        <v>4.4</v>
      </c>
      <c r="H242" t="n">
        <v>0</v>
      </c>
      <c r="I242" t="n">
        <v>0</v>
      </c>
      <c r="J242" t="n">
        <v>0</v>
      </c>
      <c r="K242" t="n">
        <v>0</v>
      </c>
      <c r="L242" t="n">
        <v>0</v>
      </c>
      <c r="M242" t="n">
        <v>0</v>
      </c>
      <c r="N242" t="n">
        <v>0</v>
      </c>
      <c r="O242" t="n">
        <v>0</v>
      </c>
      <c r="P242" t="n">
        <v>0</v>
      </c>
      <c r="Q242" t="n">
        <v>0</v>
      </c>
      <c r="R242" s="2" t="inlineStr"/>
    </row>
    <row r="243" ht="15" customHeight="1">
      <c r="A243" t="inlineStr">
        <is>
          <t>A 11013-2024</t>
        </is>
      </c>
      <c r="B243" s="1" t="n">
        <v>45370</v>
      </c>
      <c r="C243" s="1" t="n">
        <v>46126</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27694-2024</t>
        </is>
      </c>
      <c r="B244" s="1" t="n">
        <v>45475</v>
      </c>
      <c r="C244" s="1" t="n">
        <v>46126</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457-2023</t>
        </is>
      </c>
      <c r="B245" s="1" t="n">
        <v>44929.87238425926</v>
      </c>
      <c r="C245" s="1" t="n">
        <v>46126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459-2023</t>
        </is>
      </c>
      <c r="B246" s="1" t="n">
        <v>44929.87423611111</v>
      </c>
      <c r="C246" s="1" t="n">
        <v>46126</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38234-2023</t>
        </is>
      </c>
      <c r="B247" s="1" t="n">
        <v>45161.56663194444</v>
      </c>
      <c r="C247" s="1" t="n">
        <v>46126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50744-2024</t>
        </is>
      </c>
      <c r="B248" s="1" t="n">
        <v>45602.4187037037</v>
      </c>
      <c r="C248" s="1" t="n">
        <v>46126</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15083-2025</t>
        </is>
      </c>
      <c r="B249" s="1" t="n">
        <v>45743</v>
      </c>
      <c r="C249" s="1" t="n">
        <v>46126</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32330-2024</t>
        </is>
      </c>
      <c r="B250" s="1" t="n">
        <v>45512</v>
      </c>
      <c r="C250" s="1" t="n">
        <v>46126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13037-2025</t>
        </is>
      </c>
      <c r="B251" s="1" t="n">
        <v>45734</v>
      </c>
      <c r="C251" s="1" t="n">
        <v>46126</v>
      </c>
      <c r="D251" t="inlineStr">
        <is>
          <t>GOTLANDS LÄN</t>
        </is>
      </c>
      <c r="E251" t="inlineStr">
        <is>
          <t>GOTLAND</t>
        </is>
      </c>
      <c r="G251" t="n">
        <v>9.5</v>
      </c>
      <c r="H251" t="n">
        <v>0</v>
      </c>
      <c r="I251" t="n">
        <v>0</v>
      </c>
      <c r="J251" t="n">
        <v>0</v>
      </c>
      <c r="K251" t="n">
        <v>0</v>
      </c>
      <c r="L251" t="n">
        <v>0</v>
      </c>
      <c r="M251" t="n">
        <v>0</v>
      </c>
      <c r="N251" t="n">
        <v>0</v>
      </c>
      <c r="O251" t="n">
        <v>0</v>
      </c>
      <c r="P251" t="n">
        <v>0</v>
      </c>
      <c r="Q251" t="n">
        <v>0</v>
      </c>
      <c r="R251" s="2" t="inlineStr"/>
    </row>
    <row r="252" ht="15" customHeight="1">
      <c r="A252" t="inlineStr">
        <is>
          <t>A 9613-2025</t>
        </is>
      </c>
      <c r="B252" s="1" t="n">
        <v>45715</v>
      </c>
      <c r="C252" s="1" t="n">
        <v>46126</v>
      </c>
      <c r="D252" t="inlineStr">
        <is>
          <t>GOTLANDS LÄN</t>
        </is>
      </c>
      <c r="E252" t="inlineStr">
        <is>
          <t>GOTLAND</t>
        </is>
      </c>
      <c r="G252" t="n">
        <v>3.5</v>
      </c>
      <c r="H252" t="n">
        <v>0</v>
      </c>
      <c r="I252" t="n">
        <v>0</v>
      </c>
      <c r="J252" t="n">
        <v>0</v>
      </c>
      <c r="K252" t="n">
        <v>0</v>
      </c>
      <c r="L252" t="n">
        <v>0</v>
      </c>
      <c r="M252" t="n">
        <v>0</v>
      </c>
      <c r="N252" t="n">
        <v>0</v>
      </c>
      <c r="O252" t="n">
        <v>0</v>
      </c>
      <c r="P252" t="n">
        <v>0</v>
      </c>
      <c r="Q252" t="n">
        <v>0</v>
      </c>
      <c r="R252" s="2" t="inlineStr"/>
    </row>
    <row r="253" ht="15" customHeight="1">
      <c r="A253" t="inlineStr">
        <is>
          <t>A 458-2023</t>
        </is>
      </c>
      <c r="B253" s="1" t="n">
        <v>44929</v>
      </c>
      <c r="C253" s="1" t="n">
        <v>46126</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53934-2024</t>
        </is>
      </c>
      <c r="B254" s="1" t="n">
        <v>45615</v>
      </c>
      <c r="C254" s="1" t="n">
        <v>46126</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15595-2024</t>
        </is>
      </c>
      <c r="B255" s="1" t="n">
        <v>45401.81480324074</v>
      </c>
      <c r="C255" s="1" t="n">
        <v>46126</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46126</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46126</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58132-2023</t>
        </is>
      </c>
      <c r="B258" s="1" t="n">
        <v>45250</v>
      </c>
      <c r="C258" s="1" t="n">
        <v>46126</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46126</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49884-2023</t>
        </is>
      </c>
      <c r="B260" s="1" t="n">
        <v>45213</v>
      </c>
      <c r="C260" s="1" t="n">
        <v>46126</v>
      </c>
      <c r="D260" t="inlineStr">
        <is>
          <t>GOTLANDS LÄN</t>
        </is>
      </c>
      <c r="E260" t="inlineStr">
        <is>
          <t>GOTLAND</t>
        </is>
      </c>
      <c r="G260" t="n">
        <v>8.9</v>
      </c>
      <c r="H260" t="n">
        <v>0</v>
      </c>
      <c r="I260" t="n">
        <v>0</v>
      </c>
      <c r="J260" t="n">
        <v>0</v>
      </c>
      <c r="K260" t="n">
        <v>0</v>
      </c>
      <c r="L260" t="n">
        <v>0</v>
      </c>
      <c r="M260" t="n">
        <v>0</v>
      </c>
      <c r="N260" t="n">
        <v>0</v>
      </c>
      <c r="O260" t="n">
        <v>0</v>
      </c>
      <c r="P260" t="n">
        <v>0</v>
      </c>
      <c r="Q260" t="n">
        <v>0</v>
      </c>
      <c r="R260" s="2" t="inlineStr"/>
    </row>
    <row r="261" ht="15" customHeight="1">
      <c r="A261" t="inlineStr">
        <is>
          <t>A 24966-2023</t>
        </is>
      </c>
      <c r="B261" s="1" t="n">
        <v>45085</v>
      </c>
      <c r="C261" s="1" t="n">
        <v>46126</v>
      </c>
      <c r="D261" t="inlineStr">
        <is>
          <t>GOTLANDS LÄN</t>
        </is>
      </c>
      <c r="E261" t="inlineStr">
        <is>
          <t>GOTLAND</t>
        </is>
      </c>
      <c r="G261" t="n">
        <v>7</v>
      </c>
      <c r="H261" t="n">
        <v>0</v>
      </c>
      <c r="I261" t="n">
        <v>0</v>
      </c>
      <c r="J261" t="n">
        <v>0</v>
      </c>
      <c r="K261" t="n">
        <v>0</v>
      </c>
      <c r="L261" t="n">
        <v>0</v>
      </c>
      <c r="M261" t="n">
        <v>0</v>
      </c>
      <c r="N261" t="n">
        <v>0</v>
      </c>
      <c r="O261" t="n">
        <v>0</v>
      </c>
      <c r="P261" t="n">
        <v>0</v>
      </c>
      <c r="Q261" t="n">
        <v>0</v>
      </c>
      <c r="R261" s="2" t="inlineStr"/>
    </row>
    <row r="262" ht="15" customHeight="1">
      <c r="A262" t="inlineStr">
        <is>
          <t>A 876-2024</t>
        </is>
      </c>
      <c r="B262" s="1" t="n">
        <v>45301</v>
      </c>
      <c r="C262" s="1" t="n">
        <v>46126</v>
      </c>
      <c r="D262" t="inlineStr">
        <is>
          <t>GOTLANDS LÄN</t>
        </is>
      </c>
      <c r="E262" t="inlineStr">
        <is>
          <t>GOTLAND</t>
        </is>
      </c>
      <c r="G262" t="n">
        <v>5.3</v>
      </c>
      <c r="H262" t="n">
        <v>0</v>
      </c>
      <c r="I262" t="n">
        <v>0</v>
      </c>
      <c r="J262" t="n">
        <v>0</v>
      </c>
      <c r="K262" t="n">
        <v>0</v>
      </c>
      <c r="L262" t="n">
        <v>0</v>
      </c>
      <c r="M262" t="n">
        <v>0</v>
      </c>
      <c r="N262" t="n">
        <v>0</v>
      </c>
      <c r="O262" t="n">
        <v>0</v>
      </c>
      <c r="P262" t="n">
        <v>0</v>
      </c>
      <c r="Q262" t="n">
        <v>0</v>
      </c>
      <c r="R262" s="2" t="inlineStr"/>
    </row>
    <row r="263" ht="15" customHeight="1">
      <c r="A263" t="inlineStr">
        <is>
          <t>A 46189-2022</t>
        </is>
      </c>
      <c r="B263" s="1" t="n">
        <v>44847</v>
      </c>
      <c r="C263" s="1" t="n">
        <v>46126</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22704-2023</t>
        </is>
      </c>
      <c r="B264" s="1" t="n">
        <v>45071</v>
      </c>
      <c r="C264" s="1" t="n">
        <v>46126</v>
      </c>
      <c r="D264" t="inlineStr">
        <is>
          <t>GOTLANDS LÄN</t>
        </is>
      </c>
      <c r="E264" t="inlineStr">
        <is>
          <t>GOTLAND</t>
        </is>
      </c>
      <c r="G264" t="n">
        <v>1.9</v>
      </c>
      <c r="H264" t="n">
        <v>0</v>
      </c>
      <c r="I264" t="n">
        <v>0</v>
      </c>
      <c r="J264" t="n">
        <v>0</v>
      </c>
      <c r="K264" t="n">
        <v>0</v>
      </c>
      <c r="L264" t="n">
        <v>0</v>
      </c>
      <c r="M264" t="n">
        <v>0</v>
      </c>
      <c r="N264" t="n">
        <v>0</v>
      </c>
      <c r="O264" t="n">
        <v>0</v>
      </c>
      <c r="P264" t="n">
        <v>0</v>
      </c>
      <c r="Q264" t="n">
        <v>0</v>
      </c>
      <c r="R264" s="2" t="inlineStr"/>
    </row>
    <row r="265" ht="15" customHeight="1">
      <c r="A265" t="inlineStr">
        <is>
          <t>A 28425-2023</t>
        </is>
      </c>
      <c r="B265" s="1" t="n">
        <v>45102</v>
      </c>
      <c r="C265" s="1" t="n">
        <v>46126</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58476-2022</t>
        </is>
      </c>
      <c r="B266" s="1" t="n">
        <v>44902</v>
      </c>
      <c r="C266" s="1" t="n">
        <v>46126</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43200-2023</t>
        </is>
      </c>
      <c r="B267" s="1" t="n">
        <v>45183</v>
      </c>
      <c r="C267" s="1" t="n">
        <v>46126</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43223-2023</t>
        </is>
      </c>
      <c r="B268" s="1" t="n">
        <v>45183.45642361111</v>
      </c>
      <c r="C268" s="1" t="n">
        <v>46126</v>
      </c>
      <c r="D268" t="inlineStr">
        <is>
          <t>GOTLANDS LÄN</t>
        </is>
      </c>
      <c r="E268" t="inlineStr">
        <is>
          <t>GOTLAND</t>
        </is>
      </c>
      <c r="G268" t="n">
        <v>1.8</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46126</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12327-2025</t>
        </is>
      </c>
      <c r="B270" s="1" t="n">
        <v>45730</v>
      </c>
      <c r="C270" s="1" t="n">
        <v>46126</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46126</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1446-2025</t>
        </is>
      </c>
      <c r="B272" s="1" t="n">
        <v>45669.86035879629</v>
      </c>
      <c r="C272" s="1" t="n">
        <v>46126</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3431-2025</t>
        </is>
      </c>
      <c r="B273" s="1" t="n">
        <v>45680.42935185185</v>
      </c>
      <c r="C273" s="1" t="n">
        <v>46126</v>
      </c>
      <c r="D273" t="inlineStr">
        <is>
          <t>GOTLANDS LÄN</t>
        </is>
      </c>
      <c r="E273" t="inlineStr">
        <is>
          <t>GOTLAND</t>
        </is>
      </c>
      <c r="G273" t="n">
        <v>4.8</v>
      </c>
      <c r="H273" t="n">
        <v>0</v>
      </c>
      <c r="I273" t="n">
        <v>0</v>
      </c>
      <c r="J273" t="n">
        <v>0</v>
      </c>
      <c r="K273" t="n">
        <v>0</v>
      </c>
      <c r="L273" t="n">
        <v>0</v>
      </c>
      <c r="M273" t="n">
        <v>0</v>
      </c>
      <c r="N273" t="n">
        <v>0</v>
      </c>
      <c r="O273" t="n">
        <v>0</v>
      </c>
      <c r="P273" t="n">
        <v>0</v>
      </c>
      <c r="Q273" t="n">
        <v>0</v>
      </c>
      <c r="R273" s="2" t="inlineStr"/>
    </row>
    <row r="274" ht="15" customHeight="1">
      <c r="A274" t="inlineStr">
        <is>
          <t>A 12209-2024</t>
        </is>
      </c>
      <c r="B274" s="1" t="n">
        <v>45378</v>
      </c>
      <c r="C274" s="1" t="n">
        <v>46126</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12210-2024</t>
        </is>
      </c>
      <c r="B275" s="1" t="n">
        <v>45378</v>
      </c>
      <c r="C275" s="1" t="n">
        <v>46126</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44919-2022</t>
        </is>
      </c>
      <c r="B276" s="1" t="n">
        <v>44841</v>
      </c>
      <c r="C276" s="1" t="n">
        <v>46126</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46126</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1364-2025</t>
        </is>
      </c>
      <c r="B278" s="1" t="n">
        <v>45667.63929398148</v>
      </c>
      <c r="C278" s="1" t="n">
        <v>46126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15042-2025</t>
        </is>
      </c>
      <c r="B279" s="1" t="n">
        <v>45743</v>
      </c>
      <c r="C279" s="1" t="n">
        <v>46126</v>
      </c>
      <c r="D279" t="inlineStr">
        <is>
          <t>GOTLANDS LÄN</t>
        </is>
      </c>
      <c r="E279" t="inlineStr">
        <is>
          <t>GOTLAND</t>
        </is>
      </c>
      <c r="G279" t="n">
        <v>8.5</v>
      </c>
      <c r="H279" t="n">
        <v>0</v>
      </c>
      <c r="I279" t="n">
        <v>0</v>
      </c>
      <c r="J279" t="n">
        <v>0</v>
      </c>
      <c r="K279" t="n">
        <v>0</v>
      </c>
      <c r="L279" t="n">
        <v>0</v>
      </c>
      <c r="M279" t="n">
        <v>0</v>
      </c>
      <c r="N279" t="n">
        <v>0</v>
      </c>
      <c r="O279" t="n">
        <v>0</v>
      </c>
      <c r="P279" t="n">
        <v>0</v>
      </c>
      <c r="Q279" t="n">
        <v>0</v>
      </c>
      <c r="R279" s="2" t="inlineStr"/>
    </row>
    <row r="280" ht="15" customHeight="1">
      <c r="A280" t="inlineStr">
        <is>
          <t>A 30135-2025</t>
        </is>
      </c>
      <c r="B280" s="1" t="n">
        <v>45826</v>
      </c>
      <c r="C280" s="1" t="n">
        <v>46126</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12599-2025</t>
        </is>
      </c>
      <c r="B281" s="1" t="n">
        <v>45733.29546296296</v>
      </c>
      <c r="C281" s="1" t="n">
        <v>46126</v>
      </c>
      <c r="D281" t="inlineStr">
        <is>
          <t>GOTLANDS LÄN</t>
        </is>
      </c>
      <c r="E281" t="inlineStr">
        <is>
          <t>GOTLAND</t>
        </is>
      </c>
      <c r="G281" t="n">
        <v>4.7</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46126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15436-2025</t>
        </is>
      </c>
      <c r="B283" s="1" t="n">
        <v>45747.47462962963</v>
      </c>
      <c r="C283" s="1" t="n">
        <v>46126</v>
      </c>
      <c r="D283" t="inlineStr">
        <is>
          <t>GOTLANDS LÄN</t>
        </is>
      </c>
      <c r="E283" t="inlineStr">
        <is>
          <t>GOTLAND</t>
        </is>
      </c>
      <c r="G283" t="n">
        <v>4.1</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46126</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48503-2023</t>
        </is>
      </c>
      <c r="B285" s="1" t="n">
        <v>45207</v>
      </c>
      <c r="C285" s="1" t="n">
        <v>46126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35142-2025</t>
        </is>
      </c>
      <c r="B286" s="1" t="n">
        <v>45852.65532407408</v>
      </c>
      <c r="C286" s="1" t="n">
        <v>46126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49257-2024</t>
        </is>
      </c>
      <c r="B287" s="1" t="n">
        <v>45595.47627314815</v>
      </c>
      <c r="C287" s="1" t="n">
        <v>46126</v>
      </c>
      <c r="D287" t="inlineStr">
        <is>
          <t>GOTLANDS LÄN</t>
        </is>
      </c>
      <c r="E287" t="inlineStr">
        <is>
          <t>GOTLAND</t>
        </is>
      </c>
      <c r="G287" t="n">
        <v>6.3</v>
      </c>
      <c r="H287" t="n">
        <v>0</v>
      </c>
      <c r="I287" t="n">
        <v>0</v>
      </c>
      <c r="J287" t="n">
        <v>0</v>
      </c>
      <c r="K287" t="n">
        <v>0</v>
      </c>
      <c r="L287" t="n">
        <v>0</v>
      </c>
      <c r="M287" t="n">
        <v>0</v>
      </c>
      <c r="N287" t="n">
        <v>0</v>
      </c>
      <c r="O287" t="n">
        <v>0</v>
      </c>
      <c r="P287" t="n">
        <v>0</v>
      </c>
      <c r="Q287" t="n">
        <v>0</v>
      </c>
      <c r="R287" s="2" t="inlineStr"/>
    </row>
    <row r="288" ht="15" customHeight="1">
      <c r="A288" t="inlineStr">
        <is>
          <t>A 65901-2021</t>
        </is>
      </c>
      <c r="B288" s="1" t="n">
        <v>44516</v>
      </c>
      <c r="C288" s="1" t="n">
        <v>46126</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37202-2024</t>
        </is>
      </c>
      <c r="B289" s="1" t="n">
        <v>45539.67310185185</v>
      </c>
      <c r="C289" s="1" t="n">
        <v>46126</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56115-2023</t>
        </is>
      </c>
      <c r="B290" s="1" t="n">
        <v>45236</v>
      </c>
      <c r="C290" s="1" t="n">
        <v>46126</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44649-2021</t>
        </is>
      </c>
      <c r="B291" s="1" t="n">
        <v>44437</v>
      </c>
      <c r="C291" s="1" t="n">
        <v>46126</v>
      </c>
      <c r="D291" t="inlineStr">
        <is>
          <t>GOTLANDS LÄN</t>
        </is>
      </c>
      <c r="E291" t="inlineStr">
        <is>
          <t>GOTLAND</t>
        </is>
      </c>
      <c r="G291" t="n">
        <v>8.1</v>
      </c>
      <c r="H291" t="n">
        <v>0</v>
      </c>
      <c r="I291" t="n">
        <v>0</v>
      </c>
      <c r="J291" t="n">
        <v>0</v>
      </c>
      <c r="K291" t="n">
        <v>0</v>
      </c>
      <c r="L291" t="n">
        <v>0</v>
      </c>
      <c r="M291" t="n">
        <v>0</v>
      </c>
      <c r="N291" t="n">
        <v>0</v>
      </c>
      <c r="O291" t="n">
        <v>0</v>
      </c>
      <c r="P291" t="n">
        <v>0</v>
      </c>
      <c r="Q291" t="n">
        <v>0</v>
      </c>
      <c r="R291" s="2" t="inlineStr"/>
    </row>
    <row r="292" ht="15" customHeight="1">
      <c r="A292" t="inlineStr">
        <is>
          <t>A 39819-2025</t>
        </is>
      </c>
      <c r="B292" s="1" t="n">
        <v>45891.53418981482</v>
      </c>
      <c r="C292" s="1" t="n">
        <v>46126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46126</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31264-2021</t>
        </is>
      </c>
      <c r="B294" s="1" t="n">
        <v>44368</v>
      </c>
      <c r="C294" s="1" t="n">
        <v>46126</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39849-2025</t>
        </is>
      </c>
      <c r="B295" s="1" t="n">
        <v>45891.58502314815</v>
      </c>
      <c r="C295" s="1" t="n">
        <v>46126</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9947-2024</t>
        </is>
      </c>
      <c r="B296" s="1" t="n">
        <v>45363</v>
      </c>
      <c r="C296" s="1" t="n">
        <v>46126</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46126</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46126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40103-2025</t>
        </is>
      </c>
      <c r="B299" s="1" t="n">
        <v>45894.4880324074</v>
      </c>
      <c r="C299" s="1" t="n">
        <v>46126</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46126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43901-2023</t>
        </is>
      </c>
      <c r="B301" s="1" t="n">
        <v>45187</v>
      </c>
      <c r="C301" s="1" t="n">
        <v>46126</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40499-2025</t>
        </is>
      </c>
      <c r="B302" s="1" t="n">
        <v>45896.32517361111</v>
      </c>
      <c r="C302" s="1" t="n">
        <v>46126</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40372-2025</t>
        </is>
      </c>
      <c r="B303" s="1" t="n">
        <v>45895.5162037037</v>
      </c>
      <c r="C303" s="1" t="n">
        <v>46126</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17682-2024</t>
        </is>
      </c>
      <c r="B304" s="1" t="n">
        <v>45418.42966435185</v>
      </c>
      <c r="C304" s="1" t="n">
        <v>46126</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57522-2022</t>
        </is>
      </c>
      <c r="B305" s="1" t="n">
        <v>44896</v>
      </c>
      <c r="C305" s="1" t="n">
        <v>46126</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2774-2024</t>
        </is>
      </c>
      <c r="B306" s="1" t="n">
        <v>45314.62375</v>
      </c>
      <c r="C306" s="1" t="n">
        <v>46126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10746-2025</t>
        </is>
      </c>
      <c r="B307" s="1" t="n">
        <v>45722.42766203704</v>
      </c>
      <c r="C307" s="1" t="n">
        <v>46126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27593-2023</t>
        </is>
      </c>
      <c r="B308" s="1" t="n">
        <v>45097</v>
      </c>
      <c r="C308" s="1" t="n">
        <v>46126</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39278-2025</t>
        </is>
      </c>
      <c r="B309" s="1" t="n">
        <v>45889</v>
      </c>
      <c r="C309" s="1" t="n">
        <v>46126</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60709-2023</t>
        </is>
      </c>
      <c r="B310" s="1" t="n">
        <v>45260</v>
      </c>
      <c r="C310" s="1" t="n">
        <v>46126</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16501-2023</t>
        </is>
      </c>
      <c r="B311" s="1" t="n">
        <v>45029</v>
      </c>
      <c r="C311" s="1" t="n">
        <v>46126</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46126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64208-2021</t>
        </is>
      </c>
      <c r="B313" s="1" t="n">
        <v>44510</v>
      </c>
      <c r="C313" s="1" t="n">
        <v>46126</v>
      </c>
      <c r="D313" t="inlineStr">
        <is>
          <t>GOTLANDS LÄN</t>
        </is>
      </c>
      <c r="E313" t="inlineStr">
        <is>
          <t>GOTLAND</t>
        </is>
      </c>
      <c r="G313" t="n">
        <v>4.7</v>
      </c>
      <c r="H313" t="n">
        <v>0</v>
      </c>
      <c r="I313" t="n">
        <v>0</v>
      </c>
      <c r="J313" t="n">
        <v>0</v>
      </c>
      <c r="K313" t="n">
        <v>0</v>
      </c>
      <c r="L313" t="n">
        <v>0</v>
      </c>
      <c r="M313" t="n">
        <v>0</v>
      </c>
      <c r="N313" t="n">
        <v>0</v>
      </c>
      <c r="O313" t="n">
        <v>0</v>
      </c>
      <c r="P313" t="n">
        <v>0</v>
      </c>
      <c r="Q313" t="n">
        <v>0</v>
      </c>
      <c r="R313" s="2" t="inlineStr"/>
    </row>
    <row r="314" ht="15" customHeight="1">
      <c r="A314" t="inlineStr">
        <is>
          <t>A 39764-2022</t>
        </is>
      </c>
      <c r="B314" s="1" t="n">
        <v>44819</v>
      </c>
      <c r="C314" s="1" t="n">
        <v>46126</v>
      </c>
      <c r="D314" t="inlineStr">
        <is>
          <t>GOTLANDS LÄN</t>
        </is>
      </c>
      <c r="E314" t="inlineStr">
        <is>
          <t>GOTLAND</t>
        </is>
      </c>
      <c r="F314" t="inlineStr">
        <is>
          <t>Kyrkan</t>
        </is>
      </c>
      <c r="G314" t="n">
        <v>3.7</v>
      </c>
      <c r="H314" t="n">
        <v>0</v>
      </c>
      <c r="I314" t="n">
        <v>0</v>
      </c>
      <c r="J314" t="n">
        <v>0</v>
      </c>
      <c r="K314" t="n">
        <v>0</v>
      </c>
      <c r="L314" t="n">
        <v>0</v>
      </c>
      <c r="M314" t="n">
        <v>0</v>
      </c>
      <c r="N314" t="n">
        <v>0</v>
      </c>
      <c r="O314" t="n">
        <v>0</v>
      </c>
      <c r="P314" t="n">
        <v>0</v>
      </c>
      <c r="Q314" t="n">
        <v>0</v>
      </c>
      <c r="R314" s="2" t="inlineStr"/>
    </row>
    <row r="315" ht="15" customHeight="1">
      <c r="A315" t="inlineStr">
        <is>
          <t>A 24001-2021</t>
        </is>
      </c>
      <c r="B315" s="1" t="n">
        <v>44335</v>
      </c>
      <c r="C315" s="1" t="n">
        <v>46126</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58211-2024</t>
        </is>
      </c>
      <c r="B316" s="1" t="n">
        <v>45632.49292824074</v>
      </c>
      <c r="C316" s="1" t="n">
        <v>46126</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30956-2024</t>
        </is>
      </c>
      <c r="B317" s="1" t="n">
        <v>45499.42527777778</v>
      </c>
      <c r="C317" s="1" t="n">
        <v>46126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41435-2025</t>
        </is>
      </c>
      <c r="B318" s="1" t="n">
        <v>45901.39974537037</v>
      </c>
      <c r="C318" s="1" t="n">
        <v>46126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30892-2024</t>
        </is>
      </c>
      <c r="B319" s="1" t="n">
        <v>45491</v>
      </c>
      <c r="C319" s="1" t="n">
        <v>46126</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14635-2023</t>
        </is>
      </c>
      <c r="B320" s="1" t="n">
        <v>45013.69365740741</v>
      </c>
      <c r="C320" s="1" t="n">
        <v>46126</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59469-2024</t>
        </is>
      </c>
      <c r="B321" s="1" t="n">
        <v>45638</v>
      </c>
      <c r="C321" s="1" t="n">
        <v>46126</v>
      </c>
      <c r="D321" t="inlineStr">
        <is>
          <t>GOTLANDS LÄN</t>
        </is>
      </c>
      <c r="E321" t="inlineStr">
        <is>
          <t>GOTLAND</t>
        </is>
      </c>
      <c r="G321" t="n">
        <v>0.4</v>
      </c>
      <c r="H321" t="n">
        <v>0</v>
      </c>
      <c r="I321" t="n">
        <v>0</v>
      </c>
      <c r="J321" t="n">
        <v>0</v>
      </c>
      <c r="K321" t="n">
        <v>0</v>
      </c>
      <c r="L321" t="n">
        <v>0</v>
      </c>
      <c r="M321" t="n">
        <v>0</v>
      </c>
      <c r="N321" t="n">
        <v>0</v>
      </c>
      <c r="O321" t="n">
        <v>0</v>
      </c>
      <c r="P321" t="n">
        <v>0</v>
      </c>
      <c r="Q321" t="n">
        <v>0</v>
      </c>
      <c r="R321" s="2" t="inlineStr"/>
    </row>
    <row r="322" ht="15" customHeight="1">
      <c r="A322" t="inlineStr">
        <is>
          <t>A 7858-2025</t>
        </is>
      </c>
      <c r="B322" s="1" t="n">
        <v>45706.68633101852</v>
      </c>
      <c r="C322" s="1" t="n">
        <v>46126</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41551-2025</t>
        </is>
      </c>
      <c r="B323" s="1" t="n">
        <v>45901.58854166666</v>
      </c>
      <c r="C323" s="1" t="n">
        <v>46126</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30365-2024</t>
        </is>
      </c>
      <c r="B324" s="1" t="n">
        <v>45491.3716087963</v>
      </c>
      <c r="C324" s="1" t="n">
        <v>46126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53935-2024</t>
        </is>
      </c>
      <c r="B325" s="1" t="n">
        <v>45615</v>
      </c>
      <c r="C325" s="1" t="n">
        <v>46126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18223-2025</t>
        </is>
      </c>
      <c r="B326" s="1" t="n">
        <v>45761</v>
      </c>
      <c r="C326" s="1" t="n">
        <v>46126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4420-2025</t>
        </is>
      </c>
      <c r="B327" s="1" t="n">
        <v>45686.47157407407</v>
      </c>
      <c r="C327" s="1" t="n">
        <v>46126</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5891-2025</t>
        </is>
      </c>
      <c r="B328" s="1" t="n">
        <v>45695.38327546296</v>
      </c>
      <c r="C328" s="1" t="n">
        <v>46126</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46126</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1681-2023</t>
        </is>
      </c>
      <c r="B330" s="1" t="n">
        <v>44938.39715277778</v>
      </c>
      <c r="C330" s="1" t="n">
        <v>46126</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7835-2024</t>
        </is>
      </c>
      <c r="B331" s="1" t="n">
        <v>45349.83138888889</v>
      </c>
      <c r="C331" s="1" t="n">
        <v>46126</v>
      </c>
      <c r="D331" t="inlineStr">
        <is>
          <t>GOTLANDS LÄN</t>
        </is>
      </c>
      <c r="E331" t="inlineStr">
        <is>
          <t>GOTLAND</t>
        </is>
      </c>
      <c r="G331" t="n">
        <v>3.8</v>
      </c>
      <c r="H331" t="n">
        <v>0</v>
      </c>
      <c r="I331" t="n">
        <v>0</v>
      </c>
      <c r="J331" t="n">
        <v>0</v>
      </c>
      <c r="K331" t="n">
        <v>0</v>
      </c>
      <c r="L331" t="n">
        <v>0</v>
      </c>
      <c r="M331" t="n">
        <v>0</v>
      </c>
      <c r="N331" t="n">
        <v>0</v>
      </c>
      <c r="O331" t="n">
        <v>0</v>
      </c>
      <c r="P331" t="n">
        <v>0</v>
      </c>
      <c r="Q331" t="n">
        <v>0</v>
      </c>
      <c r="R331" s="2" t="inlineStr"/>
    </row>
    <row r="332" ht="15" customHeight="1">
      <c r="A332" t="inlineStr">
        <is>
          <t>A 6099-2024</t>
        </is>
      </c>
      <c r="B332" s="1" t="n">
        <v>45337</v>
      </c>
      <c r="C332" s="1" t="n">
        <v>46126</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61962-2024</t>
        </is>
      </c>
      <c r="B333" s="1" t="n">
        <v>45653.54340277778</v>
      </c>
      <c r="C333" s="1" t="n">
        <v>46126</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20794-2025</t>
        </is>
      </c>
      <c r="B334" s="1" t="n">
        <v>45776</v>
      </c>
      <c r="C334" s="1" t="n">
        <v>46126</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1273-2023</t>
        </is>
      </c>
      <c r="B335" s="1" t="n">
        <v>44936</v>
      </c>
      <c r="C335" s="1" t="n">
        <v>46126</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42608-2025</t>
        </is>
      </c>
      <c r="B336" s="1" t="n">
        <v>45905</v>
      </c>
      <c r="C336" s="1" t="n">
        <v>46126</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20805-2025</t>
        </is>
      </c>
      <c r="B337" s="1" t="n">
        <v>45776</v>
      </c>
      <c r="C337" s="1" t="n">
        <v>46126</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46126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46126</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45692-2023</t>
        </is>
      </c>
      <c r="B340" s="1" t="n">
        <v>45195</v>
      </c>
      <c r="C340" s="1" t="n">
        <v>46126</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46126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33876-2024</t>
        </is>
      </c>
      <c r="B342" s="1" t="n">
        <v>45521.87988425926</v>
      </c>
      <c r="C342" s="1" t="n">
        <v>46126</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21389-2025</t>
        </is>
      </c>
      <c r="B343" s="1" t="n">
        <v>45782</v>
      </c>
      <c r="C343" s="1" t="n">
        <v>46126</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46126</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61100-2022</t>
        </is>
      </c>
      <c r="B345" s="1" t="n">
        <v>44915</v>
      </c>
      <c r="C345" s="1" t="n">
        <v>46126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21651-2025</t>
        </is>
      </c>
      <c r="B346" s="1" t="n">
        <v>45783</v>
      </c>
      <c r="C346" s="1" t="n">
        <v>46126</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46126</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10158-2025</t>
        </is>
      </c>
      <c r="B348" s="1" t="n">
        <v>45719</v>
      </c>
      <c r="C348" s="1" t="n">
        <v>46126</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5909-2025</t>
        </is>
      </c>
      <c r="B349" s="1" t="n">
        <v>45695.40634259259</v>
      </c>
      <c r="C349" s="1" t="n">
        <v>46126</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43911-2025</t>
        </is>
      </c>
      <c r="B350" s="1" t="n">
        <v>45914.3881712963</v>
      </c>
      <c r="C350" s="1" t="n">
        <v>46126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46126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43951-2025</t>
        </is>
      </c>
      <c r="B352" s="1" t="n">
        <v>45915.38119212963</v>
      </c>
      <c r="C352" s="1" t="n">
        <v>46126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46126</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46126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58388-2022</t>
        </is>
      </c>
      <c r="B355" s="1" t="n">
        <v>44894</v>
      </c>
      <c r="C355" s="1" t="n">
        <v>46126</v>
      </c>
      <c r="D355" t="inlineStr">
        <is>
          <t>GOTLANDS LÄN</t>
        </is>
      </c>
      <c r="E355" t="inlineStr">
        <is>
          <t>GOTLAND</t>
        </is>
      </c>
      <c r="F355" t="inlineStr">
        <is>
          <t>Övriga statliga verk och myndigheter</t>
        </is>
      </c>
      <c r="G355" t="n">
        <v>3.1</v>
      </c>
      <c r="H355" t="n">
        <v>0</v>
      </c>
      <c r="I355" t="n">
        <v>0</v>
      </c>
      <c r="J355" t="n">
        <v>0</v>
      </c>
      <c r="K355" t="n">
        <v>0</v>
      </c>
      <c r="L355" t="n">
        <v>0</v>
      </c>
      <c r="M355" t="n">
        <v>0</v>
      </c>
      <c r="N355" t="n">
        <v>0</v>
      </c>
      <c r="O355" t="n">
        <v>0</v>
      </c>
      <c r="P355" t="n">
        <v>0</v>
      </c>
      <c r="Q355" t="n">
        <v>0</v>
      </c>
      <c r="R355" s="2" t="inlineStr"/>
    </row>
    <row r="356" ht="15" customHeight="1">
      <c r="A356" t="inlineStr">
        <is>
          <t>A 21792-2024</t>
        </is>
      </c>
      <c r="B356" s="1" t="n">
        <v>45442.64326388889</v>
      </c>
      <c r="C356" s="1" t="n">
        <v>46126</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57356-2023</t>
        </is>
      </c>
      <c r="B357" s="1" t="n">
        <v>45240</v>
      </c>
      <c r="C357" s="1" t="n">
        <v>46126</v>
      </c>
      <c r="D357" t="inlineStr">
        <is>
          <t>GOTLANDS LÄN</t>
        </is>
      </c>
      <c r="E357" t="inlineStr">
        <is>
          <t>GOTLAND</t>
        </is>
      </c>
      <c r="G357" t="n">
        <v>6.4</v>
      </c>
      <c r="H357" t="n">
        <v>0</v>
      </c>
      <c r="I357" t="n">
        <v>0</v>
      </c>
      <c r="J357" t="n">
        <v>0</v>
      </c>
      <c r="K357" t="n">
        <v>0</v>
      </c>
      <c r="L357" t="n">
        <v>0</v>
      </c>
      <c r="M357" t="n">
        <v>0</v>
      </c>
      <c r="N357" t="n">
        <v>0</v>
      </c>
      <c r="O357" t="n">
        <v>0</v>
      </c>
      <c r="P357" t="n">
        <v>0</v>
      </c>
      <c r="Q357" t="n">
        <v>0</v>
      </c>
      <c r="R357" s="2" t="inlineStr"/>
    </row>
    <row r="358" ht="15" customHeight="1">
      <c r="A358" t="inlineStr">
        <is>
          <t>A 10656-2024</t>
        </is>
      </c>
      <c r="B358" s="1" t="n">
        <v>45368</v>
      </c>
      <c r="C358" s="1" t="n">
        <v>46126</v>
      </c>
      <c r="D358" t="inlineStr">
        <is>
          <t>GOTLANDS LÄN</t>
        </is>
      </c>
      <c r="E358" t="inlineStr">
        <is>
          <t>GOTLAND</t>
        </is>
      </c>
      <c r="G358" t="n">
        <v>1.5</v>
      </c>
      <c r="H358" t="n">
        <v>0</v>
      </c>
      <c r="I358" t="n">
        <v>0</v>
      </c>
      <c r="J358" t="n">
        <v>0</v>
      </c>
      <c r="K358" t="n">
        <v>0</v>
      </c>
      <c r="L358" t="n">
        <v>0</v>
      </c>
      <c r="M358" t="n">
        <v>0</v>
      </c>
      <c r="N358" t="n">
        <v>0</v>
      </c>
      <c r="O358" t="n">
        <v>0</v>
      </c>
      <c r="P358" t="n">
        <v>0</v>
      </c>
      <c r="Q358" t="n">
        <v>0</v>
      </c>
      <c r="R358" s="2" t="inlineStr"/>
    </row>
    <row r="359" ht="15" customHeight="1">
      <c r="A359" t="inlineStr">
        <is>
          <t>A 17688-2024</t>
        </is>
      </c>
      <c r="B359" s="1" t="n">
        <v>45418.43575231481</v>
      </c>
      <c r="C359" s="1" t="n">
        <v>46126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28506-2023</t>
        </is>
      </c>
      <c r="B360" s="1" t="n">
        <v>45103</v>
      </c>
      <c r="C360" s="1" t="n">
        <v>46126</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21420-2024</t>
        </is>
      </c>
      <c r="B361" s="1" t="n">
        <v>45441.38293981482</v>
      </c>
      <c r="C361" s="1" t="n">
        <v>46126</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4990-2025</t>
        </is>
      </c>
      <c r="B362" s="1" t="n">
        <v>45691</v>
      </c>
      <c r="C362" s="1" t="n">
        <v>46126</v>
      </c>
      <c r="D362" t="inlineStr">
        <is>
          <t>GOTLANDS LÄN</t>
        </is>
      </c>
      <c r="E362" t="inlineStr">
        <is>
          <t>GOTLAND</t>
        </is>
      </c>
      <c r="G362" t="n">
        <v>7.7</v>
      </c>
      <c r="H362" t="n">
        <v>0</v>
      </c>
      <c r="I362" t="n">
        <v>0</v>
      </c>
      <c r="J362" t="n">
        <v>0</v>
      </c>
      <c r="K362" t="n">
        <v>0</v>
      </c>
      <c r="L362" t="n">
        <v>0</v>
      </c>
      <c r="M362" t="n">
        <v>0</v>
      </c>
      <c r="N362" t="n">
        <v>0</v>
      </c>
      <c r="O362" t="n">
        <v>0</v>
      </c>
      <c r="P362" t="n">
        <v>0</v>
      </c>
      <c r="Q362" t="n">
        <v>0</v>
      </c>
      <c r="R362" s="2" t="inlineStr"/>
    </row>
    <row r="363" ht="15" customHeight="1">
      <c r="A363" t="inlineStr">
        <is>
          <t>A 7837-2024</t>
        </is>
      </c>
      <c r="B363" s="1" t="n">
        <v>45349.83787037037</v>
      </c>
      <c r="C363" s="1" t="n">
        <v>46126</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23188-2025</t>
        </is>
      </c>
      <c r="B364" s="1" t="n">
        <v>45791</v>
      </c>
      <c r="C364" s="1" t="n">
        <v>46126</v>
      </c>
      <c r="D364" t="inlineStr">
        <is>
          <t>GOTLANDS LÄN</t>
        </is>
      </c>
      <c r="E364" t="inlineStr">
        <is>
          <t>GOTLAND</t>
        </is>
      </c>
      <c r="G364" t="n">
        <v>6.2</v>
      </c>
      <c r="H364" t="n">
        <v>0</v>
      </c>
      <c r="I364" t="n">
        <v>0</v>
      </c>
      <c r="J364" t="n">
        <v>0</v>
      </c>
      <c r="K364" t="n">
        <v>0</v>
      </c>
      <c r="L364" t="n">
        <v>0</v>
      </c>
      <c r="M364" t="n">
        <v>0</v>
      </c>
      <c r="N364" t="n">
        <v>0</v>
      </c>
      <c r="O364" t="n">
        <v>0</v>
      </c>
      <c r="P364" t="n">
        <v>0</v>
      </c>
      <c r="Q364" t="n">
        <v>0</v>
      </c>
      <c r="R364" s="2" t="inlineStr"/>
    </row>
    <row r="365" ht="15" customHeight="1">
      <c r="A365" t="inlineStr">
        <is>
          <t>A 23473-2025</t>
        </is>
      </c>
      <c r="B365" s="1" t="n">
        <v>45792</v>
      </c>
      <c r="C365" s="1" t="n">
        <v>46126</v>
      </c>
      <c r="D365" t="inlineStr">
        <is>
          <t>GOTLANDS LÄN</t>
        </is>
      </c>
      <c r="E365" t="inlineStr">
        <is>
          <t>GOTLAND</t>
        </is>
      </c>
      <c r="G365" t="n">
        <v>3.6</v>
      </c>
      <c r="H365" t="n">
        <v>0</v>
      </c>
      <c r="I365" t="n">
        <v>0</v>
      </c>
      <c r="J365" t="n">
        <v>0</v>
      </c>
      <c r="K365" t="n">
        <v>0</v>
      </c>
      <c r="L365" t="n">
        <v>0</v>
      </c>
      <c r="M365" t="n">
        <v>0</v>
      </c>
      <c r="N365" t="n">
        <v>0</v>
      </c>
      <c r="O365" t="n">
        <v>0</v>
      </c>
      <c r="P365" t="n">
        <v>0</v>
      </c>
      <c r="Q365" t="n">
        <v>0</v>
      </c>
      <c r="R365" s="2" t="inlineStr"/>
    </row>
    <row r="366" ht="15" customHeight="1">
      <c r="A366" t="inlineStr">
        <is>
          <t>A 4568-2025</t>
        </is>
      </c>
      <c r="B366" s="1" t="n">
        <v>45687</v>
      </c>
      <c r="C366" s="1" t="n">
        <v>46126</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26391-2025</t>
        </is>
      </c>
      <c r="B367" s="1" t="n">
        <v>45806</v>
      </c>
      <c r="C367" s="1" t="n">
        <v>46126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23856-2025</t>
        </is>
      </c>
      <c r="B368" s="1" t="n">
        <v>45793</v>
      </c>
      <c r="C368" s="1" t="n">
        <v>46126</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15073-2025</t>
        </is>
      </c>
      <c r="B369" s="1" t="n">
        <v>45743</v>
      </c>
      <c r="C369" s="1" t="n">
        <v>46126</v>
      </c>
      <c r="D369" t="inlineStr">
        <is>
          <t>GOTLANDS LÄN</t>
        </is>
      </c>
      <c r="E369" t="inlineStr">
        <is>
          <t>GOTLAND</t>
        </is>
      </c>
      <c r="G369" t="n">
        <v>12.1</v>
      </c>
      <c r="H369" t="n">
        <v>0</v>
      </c>
      <c r="I369" t="n">
        <v>0</v>
      </c>
      <c r="J369" t="n">
        <v>0</v>
      </c>
      <c r="K369" t="n">
        <v>0</v>
      </c>
      <c r="L369" t="n">
        <v>0</v>
      </c>
      <c r="M369" t="n">
        <v>0</v>
      </c>
      <c r="N369" t="n">
        <v>0</v>
      </c>
      <c r="O369" t="n">
        <v>0</v>
      </c>
      <c r="P369" t="n">
        <v>0</v>
      </c>
      <c r="Q369" t="n">
        <v>0</v>
      </c>
      <c r="R369" s="2" t="inlineStr"/>
    </row>
    <row r="370" ht="15" customHeight="1">
      <c r="A370" t="inlineStr">
        <is>
          <t>A 35512-2023</t>
        </is>
      </c>
      <c r="B370" s="1" t="n">
        <v>45147.25623842593</v>
      </c>
      <c r="C370" s="1" t="n">
        <v>46126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5905-2024</t>
        </is>
      </c>
      <c r="B371" s="1" t="n">
        <v>45335.88993055555</v>
      </c>
      <c r="C371" s="1" t="n">
        <v>46126</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46836-2025</t>
        </is>
      </c>
      <c r="B372" s="1" t="n">
        <v>45928.31511574074</v>
      </c>
      <c r="C372" s="1" t="n">
        <v>46126</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6749-2025</t>
        </is>
      </c>
      <c r="B373" s="1" t="n">
        <v>45700</v>
      </c>
      <c r="C373" s="1" t="n">
        <v>46126</v>
      </c>
      <c r="D373" t="inlineStr">
        <is>
          <t>GOTLANDS LÄN</t>
        </is>
      </c>
      <c r="E373" t="inlineStr">
        <is>
          <t>GOTLAND</t>
        </is>
      </c>
      <c r="G373" t="n">
        <v>4.5</v>
      </c>
      <c r="H373" t="n">
        <v>0</v>
      </c>
      <c r="I373" t="n">
        <v>0</v>
      </c>
      <c r="J373" t="n">
        <v>0</v>
      </c>
      <c r="K373" t="n">
        <v>0</v>
      </c>
      <c r="L373" t="n">
        <v>0</v>
      </c>
      <c r="M373" t="n">
        <v>0</v>
      </c>
      <c r="N373" t="n">
        <v>0</v>
      </c>
      <c r="O373" t="n">
        <v>0</v>
      </c>
      <c r="P373" t="n">
        <v>0</v>
      </c>
      <c r="Q373" t="n">
        <v>0</v>
      </c>
      <c r="R373" s="2" t="inlineStr"/>
    </row>
    <row r="374" ht="15" customHeight="1">
      <c r="A374" t="inlineStr">
        <is>
          <t>A 1291-2023</t>
        </is>
      </c>
      <c r="B374" s="1" t="n">
        <v>44936.47561342592</v>
      </c>
      <c r="C374" s="1" t="n">
        <v>46126</v>
      </c>
      <c r="D374" t="inlineStr">
        <is>
          <t>GOTLANDS LÄN</t>
        </is>
      </c>
      <c r="E374" t="inlineStr">
        <is>
          <t>GOTLAND</t>
        </is>
      </c>
      <c r="G374" t="n">
        <v>7.4</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46126</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57652-2023</t>
        </is>
      </c>
      <c r="B376" s="1" t="n">
        <v>45246</v>
      </c>
      <c r="C376" s="1" t="n">
        <v>46126</v>
      </c>
      <c r="D376" t="inlineStr">
        <is>
          <t>GOTLANDS LÄN</t>
        </is>
      </c>
      <c r="E376" t="inlineStr">
        <is>
          <t>GOTLAND</t>
        </is>
      </c>
      <c r="G376" t="n">
        <v>7.2</v>
      </c>
      <c r="H376" t="n">
        <v>0</v>
      </c>
      <c r="I376" t="n">
        <v>0</v>
      </c>
      <c r="J376" t="n">
        <v>0</v>
      </c>
      <c r="K376" t="n">
        <v>0</v>
      </c>
      <c r="L376" t="n">
        <v>0</v>
      </c>
      <c r="M376" t="n">
        <v>0</v>
      </c>
      <c r="N376" t="n">
        <v>0</v>
      </c>
      <c r="O376" t="n">
        <v>0</v>
      </c>
      <c r="P376" t="n">
        <v>0</v>
      </c>
      <c r="Q376" t="n">
        <v>0</v>
      </c>
      <c r="R376" s="2" t="inlineStr"/>
    </row>
    <row r="377" ht="15" customHeight="1">
      <c r="A377" t="inlineStr">
        <is>
          <t>A 49315-2024</t>
        </is>
      </c>
      <c r="B377" s="1" t="n">
        <v>45595</v>
      </c>
      <c r="C377" s="1" t="n">
        <v>46126</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46126</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45106-2024</t>
        </is>
      </c>
      <c r="B379" s="1" t="n">
        <v>45575</v>
      </c>
      <c r="C379" s="1" t="n">
        <v>46126</v>
      </c>
      <c r="D379" t="inlineStr">
        <is>
          <t>GOTLANDS LÄN</t>
        </is>
      </c>
      <c r="E379" t="inlineStr">
        <is>
          <t>GOTLAND</t>
        </is>
      </c>
      <c r="G379" t="n">
        <v>10</v>
      </c>
      <c r="H379" t="n">
        <v>0</v>
      </c>
      <c r="I379" t="n">
        <v>0</v>
      </c>
      <c r="J379" t="n">
        <v>0</v>
      </c>
      <c r="K379" t="n">
        <v>0</v>
      </c>
      <c r="L379" t="n">
        <v>0</v>
      </c>
      <c r="M379" t="n">
        <v>0</v>
      </c>
      <c r="N379" t="n">
        <v>0</v>
      </c>
      <c r="O379" t="n">
        <v>0</v>
      </c>
      <c r="P379" t="n">
        <v>0</v>
      </c>
      <c r="Q379" t="n">
        <v>0</v>
      </c>
      <c r="R379" s="2" t="inlineStr"/>
    </row>
    <row r="380" ht="15" customHeight="1">
      <c r="A380" t="inlineStr">
        <is>
          <t>A 45112-2024</t>
        </is>
      </c>
      <c r="B380" s="1" t="n">
        <v>45575</v>
      </c>
      <c r="C380" s="1" t="n">
        <v>46126</v>
      </c>
      <c r="D380" t="inlineStr">
        <is>
          <t>GOTLANDS LÄN</t>
        </is>
      </c>
      <c r="E380" t="inlineStr">
        <is>
          <t>GOTLAND</t>
        </is>
      </c>
      <c r="G380" t="n">
        <v>5.1</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46126</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32378-2025</t>
        </is>
      </c>
      <c r="B382" s="1" t="n">
        <v>45837</v>
      </c>
      <c r="C382" s="1" t="n">
        <v>46126</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46126</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8484-2025</t>
        </is>
      </c>
      <c r="B384" s="1" t="n">
        <v>45709</v>
      </c>
      <c r="C384" s="1" t="n">
        <v>46126</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7635-2025</t>
        </is>
      </c>
      <c r="B385" s="1" t="n">
        <v>45705</v>
      </c>
      <c r="C385" s="1" t="n">
        <v>46126</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7636-2025</t>
        </is>
      </c>
      <c r="B386" s="1" t="n">
        <v>45705.7687962963</v>
      </c>
      <c r="C386" s="1" t="n">
        <v>46126</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7639-2025</t>
        </is>
      </c>
      <c r="B387" s="1" t="n">
        <v>45705.77465277778</v>
      </c>
      <c r="C387" s="1" t="n">
        <v>46126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5462-2025</t>
        </is>
      </c>
      <c r="B388" s="1" t="n">
        <v>45693.29331018519</v>
      </c>
      <c r="C388" s="1" t="n">
        <v>46126</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35550-2025</t>
        </is>
      </c>
      <c r="B389" s="1" t="n">
        <v>45856.49324074074</v>
      </c>
      <c r="C389" s="1" t="n">
        <v>46126</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46126</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46126</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46126</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46126</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25796-2025</t>
        </is>
      </c>
      <c r="B394" s="1" t="n">
        <v>45804.39543981481</v>
      </c>
      <c r="C394" s="1" t="n">
        <v>46126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47578-2025</t>
        </is>
      </c>
      <c r="B395" s="1" t="n">
        <v>45931</v>
      </c>
      <c r="C395" s="1" t="n">
        <v>46126</v>
      </c>
      <c r="D395" t="inlineStr">
        <is>
          <t>GOTLANDS LÄN</t>
        </is>
      </c>
      <c r="E395" t="inlineStr">
        <is>
          <t>GOTLAND</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43081-2022</t>
        </is>
      </c>
      <c r="B396" s="1" t="n">
        <v>44833</v>
      </c>
      <c r="C396" s="1" t="n">
        <v>46126</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49724-2025</t>
        </is>
      </c>
      <c r="B397" s="1" t="n">
        <v>45939.83730324074</v>
      </c>
      <c r="C397" s="1" t="n">
        <v>46126</v>
      </c>
      <c r="D397" t="inlineStr">
        <is>
          <t>GOTLANDS LÄN</t>
        </is>
      </c>
      <c r="E397" t="inlineStr">
        <is>
          <t>GOTLAND</t>
        </is>
      </c>
      <c r="F397" t="inlineStr">
        <is>
          <t>Kyrkan</t>
        </is>
      </c>
      <c r="G397" t="n">
        <v>3.1</v>
      </c>
      <c r="H397" t="n">
        <v>0</v>
      </c>
      <c r="I397" t="n">
        <v>0</v>
      </c>
      <c r="J397" t="n">
        <v>0</v>
      </c>
      <c r="K397" t="n">
        <v>0</v>
      </c>
      <c r="L397" t="n">
        <v>0</v>
      </c>
      <c r="M397" t="n">
        <v>0</v>
      </c>
      <c r="N397" t="n">
        <v>0</v>
      </c>
      <c r="O397" t="n">
        <v>0</v>
      </c>
      <c r="P397" t="n">
        <v>0</v>
      </c>
      <c r="Q397" t="n">
        <v>0</v>
      </c>
      <c r="R397" s="2" t="inlineStr"/>
    </row>
    <row r="398" ht="15" customHeight="1">
      <c r="A398" t="inlineStr">
        <is>
          <t>A 49730-2025</t>
        </is>
      </c>
      <c r="B398" s="1" t="n">
        <v>45939.87613425926</v>
      </c>
      <c r="C398" s="1" t="n">
        <v>46126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49690-2025</t>
        </is>
      </c>
      <c r="B399" s="1" t="n">
        <v>45939.66730324074</v>
      </c>
      <c r="C399" s="1" t="n">
        <v>46126</v>
      </c>
      <c r="D399" t="inlineStr">
        <is>
          <t>GOTLANDS LÄN</t>
        </is>
      </c>
      <c r="E399" t="inlineStr">
        <is>
          <t>GOTLAND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33011-2025</t>
        </is>
      </c>
      <c r="B400" s="1" t="n">
        <v>45840</v>
      </c>
      <c r="C400" s="1" t="n">
        <v>46126</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57685-2022</t>
        </is>
      </c>
      <c r="B401" s="1" t="n">
        <v>44897.4777662037</v>
      </c>
      <c r="C401" s="1" t="n">
        <v>46126</v>
      </c>
      <c r="D401" t="inlineStr">
        <is>
          <t>GOTLANDS LÄN</t>
        </is>
      </c>
      <c r="E401" t="inlineStr">
        <is>
          <t>GOTLAND</t>
        </is>
      </c>
      <c r="G401" t="n">
        <v>3.7</v>
      </c>
      <c r="H401" t="n">
        <v>0</v>
      </c>
      <c r="I401" t="n">
        <v>0</v>
      </c>
      <c r="J401" t="n">
        <v>0</v>
      </c>
      <c r="K401" t="n">
        <v>0</v>
      </c>
      <c r="L401" t="n">
        <v>0</v>
      </c>
      <c r="M401" t="n">
        <v>0</v>
      </c>
      <c r="N401" t="n">
        <v>0</v>
      </c>
      <c r="O401" t="n">
        <v>0</v>
      </c>
      <c r="P401" t="n">
        <v>0</v>
      </c>
      <c r="Q401" t="n">
        <v>0</v>
      </c>
      <c r="R401" s="2" t="inlineStr"/>
    </row>
    <row r="402" ht="15" customHeight="1">
      <c r="A402" t="inlineStr">
        <is>
          <t>A 50421-2025</t>
        </is>
      </c>
      <c r="B402" s="1" t="n">
        <v>45944.66049768519</v>
      </c>
      <c r="C402" s="1" t="n">
        <v>46126</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32958-2021</t>
        </is>
      </c>
      <c r="B403" s="1" t="n">
        <v>44376</v>
      </c>
      <c r="C403" s="1" t="n">
        <v>46126</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30815-2023</t>
        </is>
      </c>
      <c r="B404" s="1" t="n">
        <v>45112</v>
      </c>
      <c r="C404" s="1" t="n">
        <v>46126</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26457-2025</t>
        </is>
      </c>
      <c r="B405" s="1" t="n">
        <v>45807.42773148148</v>
      </c>
      <c r="C405" s="1" t="n">
        <v>46126</v>
      </c>
      <c r="D405" t="inlineStr">
        <is>
          <t>GOTLANDS LÄN</t>
        </is>
      </c>
      <c r="E405" t="inlineStr">
        <is>
          <t>GOTLAND</t>
        </is>
      </c>
      <c r="G405" t="n">
        <v>5.7</v>
      </c>
      <c r="H405" t="n">
        <v>0</v>
      </c>
      <c r="I405" t="n">
        <v>0</v>
      </c>
      <c r="J405" t="n">
        <v>0</v>
      </c>
      <c r="K405" t="n">
        <v>0</v>
      </c>
      <c r="L405" t="n">
        <v>0</v>
      </c>
      <c r="M405" t="n">
        <v>0</v>
      </c>
      <c r="N405" t="n">
        <v>0</v>
      </c>
      <c r="O405" t="n">
        <v>0</v>
      </c>
      <c r="P405" t="n">
        <v>0</v>
      </c>
      <c r="Q405" t="n">
        <v>0</v>
      </c>
      <c r="R405" s="2" t="inlineStr"/>
    </row>
    <row r="406" ht="15" customHeight="1">
      <c r="A406" t="inlineStr">
        <is>
          <t>A 26467-2025</t>
        </is>
      </c>
      <c r="B406" s="1" t="n">
        <v>45807.44640046296</v>
      </c>
      <c r="C406" s="1" t="n">
        <v>46126</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50431-2025</t>
        </is>
      </c>
      <c r="B407" s="1" t="n">
        <v>45944.68453703704</v>
      </c>
      <c r="C407" s="1" t="n">
        <v>46126</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26465-2025</t>
        </is>
      </c>
      <c r="B408" s="1" t="n">
        <v>45807.44377314814</v>
      </c>
      <c r="C408" s="1" t="n">
        <v>46126</v>
      </c>
      <c r="D408" t="inlineStr">
        <is>
          <t>GOTLANDS LÄN</t>
        </is>
      </c>
      <c r="E408" t="inlineStr">
        <is>
          <t>GOTLAND</t>
        </is>
      </c>
      <c r="G408" t="n">
        <v>4.5</v>
      </c>
      <c r="H408" t="n">
        <v>0</v>
      </c>
      <c r="I408" t="n">
        <v>0</v>
      </c>
      <c r="J408" t="n">
        <v>0</v>
      </c>
      <c r="K408" t="n">
        <v>0</v>
      </c>
      <c r="L408" t="n">
        <v>0</v>
      </c>
      <c r="M408" t="n">
        <v>0</v>
      </c>
      <c r="N408" t="n">
        <v>0</v>
      </c>
      <c r="O408" t="n">
        <v>0</v>
      </c>
      <c r="P408" t="n">
        <v>0</v>
      </c>
      <c r="Q408" t="n">
        <v>0</v>
      </c>
      <c r="R408" s="2" t="inlineStr"/>
    </row>
    <row r="409" ht="15" customHeight="1">
      <c r="A409" t="inlineStr">
        <is>
          <t>A 50928-2025</t>
        </is>
      </c>
      <c r="B409" s="1" t="n">
        <v>45946.67896990741</v>
      </c>
      <c r="C409" s="1" t="n">
        <v>46126</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26660-2025</t>
        </is>
      </c>
      <c r="B410" s="1" t="n">
        <v>45810.39737268518</v>
      </c>
      <c r="C410" s="1" t="n">
        <v>46126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46126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46126</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23516-2023</t>
        </is>
      </c>
      <c r="B413" s="1" t="n">
        <v>45076.93391203704</v>
      </c>
      <c r="C413" s="1" t="n">
        <v>46126</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64660-2023</t>
        </is>
      </c>
      <c r="B414" s="1" t="n">
        <v>45281.60122685185</v>
      </c>
      <c r="C414" s="1" t="n">
        <v>46126</v>
      </c>
      <c r="D414" t="inlineStr">
        <is>
          <t>GOTLANDS LÄN</t>
        </is>
      </c>
      <c r="E414" t="inlineStr">
        <is>
          <t>GOTLAND</t>
        </is>
      </c>
      <c r="G414" t="n">
        <v>6.3</v>
      </c>
      <c r="H414" t="n">
        <v>0</v>
      </c>
      <c r="I414" t="n">
        <v>0</v>
      </c>
      <c r="J414" t="n">
        <v>0</v>
      </c>
      <c r="K414" t="n">
        <v>0</v>
      </c>
      <c r="L414" t="n">
        <v>0</v>
      </c>
      <c r="M414" t="n">
        <v>0</v>
      </c>
      <c r="N414" t="n">
        <v>0</v>
      </c>
      <c r="O414" t="n">
        <v>0</v>
      </c>
      <c r="P414" t="n">
        <v>0</v>
      </c>
      <c r="Q414" t="n">
        <v>0</v>
      </c>
      <c r="R414" s="2" t="inlineStr"/>
    </row>
    <row r="415" ht="15" customHeight="1">
      <c r="A415" t="inlineStr">
        <is>
          <t>A 63763-2023</t>
        </is>
      </c>
      <c r="B415" s="1" t="n">
        <v>45278.33944444444</v>
      </c>
      <c r="C415" s="1" t="n">
        <v>46126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5884-2025</t>
        </is>
      </c>
      <c r="B416" s="1" t="n">
        <v>45695.37482638889</v>
      </c>
      <c r="C416" s="1" t="n">
        <v>46126</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5897-2025</t>
        </is>
      </c>
      <c r="B417" s="1" t="n">
        <v>45695.39273148148</v>
      </c>
      <c r="C417" s="1" t="n">
        <v>46126</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44508.34518518519</v>
      </c>
      <c r="C418" s="1" t="n">
        <v>46126</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46375-2024</t>
        </is>
      </c>
      <c r="B419" s="1" t="n">
        <v>45582</v>
      </c>
      <c r="C419" s="1" t="n">
        <v>46126</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27371-2025</t>
        </is>
      </c>
      <c r="B420" s="1" t="n">
        <v>45812</v>
      </c>
      <c r="C420" s="1" t="n">
        <v>46126</v>
      </c>
      <c r="D420" t="inlineStr">
        <is>
          <t>GOTLANDS LÄN</t>
        </is>
      </c>
      <c r="E420" t="inlineStr">
        <is>
          <t>GOTLAND</t>
        </is>
      </c>
      <c r="G420" t="n">
        <v>8</v>
      </c>
      <c r="H420" t="n">
        <v>0</v>
      </c>
      <c r="I420" t="n">
        <v>0</v>
      </c>
      <c r="J420" t="n">
        <v>0</v>
      </c>
      <c r="K420" t="n">
        <v>0</v>
      </c>
      <c r="L420" t="n">
        <v>0</v>
      </c>
      <c r="M420" t="n">
        <v>0</v>
      </c>
      <c r="N420" t="n">
        <v>0</v>
      </c>
      <c r="O420" t="n">
        <v>0</v>
      </c>
      <c r="P420" t="n">
        <v>0</v>
      </c>
      <c r="Q420" t="n">
        <v>0</v>
      </c>
      <c r="R420" s="2" t="inlineStr"/>
    </row>
    <row r="421" ht="15" customHeight="1">
      <c r="A421" t="inlineStr">
        <is>
          <t>A 27355-2025</t>
        </is>
      </c>
      <c r="B421" s="1" t="n">
        <v>45812</v>
      </c>
      <c r="C421" s="1" t="n">
        <v>46126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6739-2025</t>
        </is>
      </c>
      <c r="B422" s="1" t="n">
        <v>45700</v>
      </c>
      <c r="C422" s="1" t="n">
        <v>46126</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7850-2025</t>
        </is>
      </c>
      <c r="B423" s="1" t="n">
        <v>45706</v>
      </c>
      <c r="C423" s="1" t="n">
        <v>46126</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51262-2025</t>
        </is>
      </c>
      <c r="B424" s="1" t="n">
        <v>45949.49872685185</v>
      </c>
      <c r="C424" s="1" t="n">
        <v>46126</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8444-2025</t>
        </is>
      </c>
      <c r="B425" s="1" t="n">
        <v>45709</v>
      </c>
      <c r="C425" s="1" t="n">
        <v>46126</v>
      </c>
      <c r="D425" t="inlineStr">
        <is>
          <t>GOTLANDS LÄN</t>
        </is>
      </c>
      <c r="E425" t="inlineStr">
        <is>
          <t>GOTLAND</t>
        </is>
      </c>
      <c r="G425" t="n">
        <v>5.2</v>
      </c>
      <c r="H425" t="n">
        <v>0</v>
      </c>
      <c r="I425" t="n">
        <v>0</v>
      </c>
      <c r="J425" t="n">
        <v>0</v>
      </c>
      <c r="K425" t="n">
        <v>0</v>
      </c>
      <c r="L425" t="n">
        <v>0</v>
      </c>
      <c r="M425" t="n">
        <v>0</v>
      </c>
      <c r="N425" t="n">
        <v>0</v>
      </c>
      <c r="O425" t="n">
        <v>0</v>
      </c>
      <c r="P425" t="n">
        <v>0</v>
      </c>
      <c r="Q425" t="n">
        <v>0</v>
      </c>
      <c r="R425" s="2" t="inlineStr"/>
    </row>
    <row r="426" ht="15" customHeight="1">
      <c r="A426" t="inlineStr">
        <is>
          <t>A 49693-2023</t>
        </is>
      </c>
      <c r="B426" s="1" t="n">
        <v>45212.38138888889</v>
      </c>
      <c r="C426" s="1" t="n">
        <v>46126</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49697-2023</t>
        </is>
      </c>
      <c r="B427" s="1" t="n">
        <v>45212.38909722222</v>
      </c>
      <c r="C427" s="1" t="n">
        <v>46126</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52249-2025</t>
        </is>
      </c>
      <c r="B428" s="1" t="n">
        <v>45953.48637731482</v>
      </c>
      <c r="C428" s="1" t="n">
        <v>46126</v>
      </c>
      <c r="D428" t="inlineStr">
        <is>
          <t>GOTLANDS LÄN</t>
        </is>
      </c>
      <c r="E428" t="inlineStr">
        <is>
          <t>GOTLAND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17901-2023</t>
        </is>
      </c>
      <c r="B429" s="1" t="n">
        <v>45039</v>
      </c>
      <c r="C429" s="1" t="n">
        <v>46126</v>
      </c>
      <c r="D429" t="inlineStr">
        <is>
          <t>GOTLANDS LÄN</t>
        </is>
      </c>
      <c r="E429" t="inlineStr">
        <is>
          <t>GOTLAND</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19905-2025</t>
        </is>
      </c>
      <c r="B430" s="1" t="n">
        <v>45771</v>
      </c>
      <c r="C430" s="1" t="n">
        <v>46126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29196-2025</t>
        </is>
      </c>
      <c r="B431" s="1" t="n">
        <v>45822</v>
      </c>
      <c r="C431" s="1" t="n">
        <v>46126</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52637-2025</t>
        </is>
      </c>
      <c r="B432" s="1" t="n">
        <v>45954.75099537037</v>
      </c>
      <c r="C432" s="1" t="n">
        <v>46126</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29207-2025</t>
        </is>
      </c>
      <c r="B433" s="1" t="n">
        <v>45823</v>
      </c>
      <c r="C433" s="1" t="n">
        <v>46126</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52892-2021</t>
        </is>
      </c>
      <c r="B434" s="1" t="n">
        <v>44467.49048611111</v>
      </c>
      <c r="C434" s="1" t="n">
        <v>46126</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46126</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46126</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30061-2025</t>
        </is>
      </c>
      <c r="B437" s="1" t="n">
        <v>45826.61488425926</v>
      </c>
      <c r="C437" s="1" t="n">
        <v>46126</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46396-2023</t>
        </is>
      </c>
      <c r="B438" s="1" t="n">
        <v>45197</v>
      </c>
      <c r="C438" s="1" t="n">
        <v>46126</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46126</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17724-2024</t>
        </is>
      </c>
      <c r="B440" s="1" t="n">
        <v>45418.55096064815</v>
      </c>
      <c r="C440" s="1" t="n">
        <v>46126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34312-2024</t>
        </is>
      </c>
      <c r="B441" s="1" t="n">
        <v>45524.69703703704</v>
      </c>
      <c r="C441" s="1" t="n">
        <v>46126</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32379-2025</t>
        </is>
      </c>
      <c r="B442" s="1" t="n">
        <v>45837</v>
      </c>
      <c r="C442" s="1" t="n">
        <v>46126</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32467-2025</t>
        </is>
      </c>
      <c r="B443" s="1" t="n">
        <v>45838.42111111111</v>
      </c>
      <c r="C443" s="1" t="n">
        <v>46126</v>
      </c>
      <c r="D443" t="inlineStr">
        <is>
          <t>GOTLANDS LÄN</t>
        </is>
      </c>
      <c r="E443" t="inlineStr">
        <is>
          <t>GOTLAND</t>
        </is>
      </c>
      <c r="G443" t="n">
        <v>4.3</v>
      </c>
      <c r="H443" t="n">
        <v>0</v>
      </c>
      <c r="I443" t="n">
        <v>0</v>
      </c>
      <c r="J443" t="n">
        <v>0</v>
      </c>
      <c r="K443" t="n">
        <v>0</v>
      </c>
      <c r="L443" t="n">
        <v>0</v>
      </c>
      <c r="M443" t="n">
        <v>0</v>
      </c>
      <c r="N443" t="n">
        <v>0</v>
      </c>
      <c r="O443" t="n">
        <v>0</v>
      </c>
      <c r="P443" t="n">
        <v>0</v>
      </c>
      <c r="Q443" t="n">
        <v>0</v>
      </c>
      <c r="R443" s="2" t="inlineStr"/>
    </row>
    <row r="444" ht="15" customHeight="1">
      <c r="A444" t="inlineStr">
        <is>
          <t>A 16109-2025</t>
        </is>
      </c>
      <c r="B444" s="1" t="n">
        <v>45750</v>
      </c>
      <c r="C444" s="1" t="n">
        <v>46126</v>
      </c>
      <c r="D444" t="inlineStr">
        <is>
          <t>GOTLANDS LÄN</t>
        </is>
      </c>
      <c r="E444" t="inlineStr">
        <is>
          <t>GOTLAND</t>
        </is>
      </c>
      <c r="G444" t="n">
        <v>4.9</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46126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56688-2025</t>
        </is>
      </c>
      <c r="B446" s="1" t="n">
        <v>45975.84331018518</v>
      </c>
      <c r="C446" s="1" t="n">
        <v>46126</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46126</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69112-2021</t>
        </is>
      </c>
      <c r="B448" s="1" t="n">
        <v>44530</v>
      </c>
      <c r="C448" s="1" t="n">
        <v>46126</v>
      </c>
      <c r="D448" t="inlineStr">
        <is>
          <t>GOTLANDS LÄN</t>
        </is>
      </c>
      <c r="E448" t="inlineStr">
        <is>
          <t>GOTLAND</t>
        </is>
      </c>
      <c r="G448" t="n">
        <v>4.2</v>
      </c>
      <c r="H448" t="n">
        <v>0</v>
      </c>
      <c r="I448" t="n">
        <v>0</v>
      </c>
      <c r="J448" t="n">
        <v>0</v>
      </c>
      <c r="K448" t="n">
        <v>0</v>
      </c>
      <c r="L448" t="n">
        <v>0</v>
      </c>
      <c r="M448" t="n">
        <v>0</v>
      </c>
      <c r="N448" t="n">
        <v>0</v>
      </c>
      <c r="O448" t="n">
        <v>0</v>
      </c>
      <c r="P448" t="n">
        <v>0</v>
      </c>
      <c r="Q448" t="n">
        <v>0</v>
      </c>
      <c r="R448" s="2" t="inlineStr"/>
    </row>
    <row r="449" ht="15" customHeight="1">
      <c r="A449" t="inlineStr">
        <is>
          <t>A 7638-2025</t>
        </is>
      </c>
      <c r="B449" s="1" t="n">
        <v>45705.77306712963</v>
      </c>
      <c r="C449" s="1" t="n">
        <v>46126</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46126</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1394-2023</t>
        </is>
      </c>
      <c r="B451" s="1" t="n">
        <v>44936.72997685185</v>
      </c>
      <c r="C451" s="1" t="n">
        <v>46126</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58230-2024</t>
        </is>
      </c>
      <c r="B452" s="1" t="n">
        <v>45632.51625</v>
      </c>
      <c r="C452" s="1" t="n">
        <v>46126</v>
      </c>
      <c r="D452" t="inlineStr">
        <is>
          <t>GOTLANDS LÄN</t>
        </is>
      </c>
      <c r="E452" t="inlineStr">
        <is>
          <t>GOTLAND</t>
        </is>
      </c>
      <c r="G452" t="n">
        <v>7.3</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46126</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15413-2025</t>
        </is>
      </c>
      <c r="B454" s="1" t="n">
        <v>45747.451875</v>
      </c>
      <c r="C454" s="1" t="n">
        <v>46126</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35123-2025</t>
        </is>
      </c>
      <c r="B455" s="1" t="n">
        <v>45852.614375</v>
      </c>
      <c r="C455" s="1" t="n">
        <v>46126</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35096-2025</t>
        </is>
      </c>
      <c r="B456" s="1" t="n">
        <v>45852.54356481481</v>
      </c>
      <c r="C456" s="1" t="n">
        <v>46126</v>
      </c>
      <c r="D456" t="inlineStr">
        <is>
          <t>GOTLANDS LÄN</t>
        </is>
      </c>
      <c r="E456" t="inlineStr">
        <is>
          <t>GOTLAND</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46126</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59197-2025</t>
        </is>
      </c>
      <c r="B458" s="1" t="n">
        <v>45988.59846064815</v>
      </c>
      <c r="C458" s="1" t="n">
        <v>46126</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25129-2023</t>
        </is>
      </c>
      <c r="B459" s="1" t="n">
        <v>45086.44261574074</v>
      </c>
      <c r="C459" s="1" t="n">
        <v>46126</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24192-2023</t>
        </is>
      </c>
      <c r="B460" s="1" t="n">
        <v>45079</v>
      </c>
      <c r="C460" s="1" t="n">
        <v>46126</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35290-2025</t>
        </is>
      </c>
      <c r="B461" s="1" t="n">
        <v>45854.38502314815</v>
      </c>
      <c r="C461" s="1" t="n">
        <v>46126</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32669-2024</t>
        </is>
      </c>
      <c r="B462" s="1" t="n">
        <v>45514</v>
      </c>
      <c r="C462" s="1" t="n">
        <v>46126</v>
      </c>
      <c r="D462" t="inlineStr">
        <is>
          <t>GOTLANDS LÄN</t>
        </is>
      </c>
      <c r="E462" t="inlineStr">
        <is>
          <t>GOTLAND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46126</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5386-2023</t>
        </is>
      </c>
      <c r="B464" s="1" t="n">
        <v>44959</v>
      </c>
      <c r="C464" s="1" t="n">
        <v>46126</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15216-2025</t>
        </is>
      </c>
      <c r="B465" s="1" t="n">
        <v>45744</v>
      </c>
      <c r="C465" s="1" t="n">
        <v>46126</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43790-2024</t>
        </is>
      </c>
      <c r="B466" s="1" t="n">
        <v>45571</v>
      </c>
      <c r="C466" s="1" t="n">
        <v>46126</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15001-2025</t>
        </is>
      </c>
      <c r="B467" s="1" t="n">
        <v>45743</v>
      </c>
      <c r="C467" s="1" t="n">
        <v>46126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36319-2025</t>
        </is>
      </c>
      <c r="B468" s="1" t="n">
        <v>45868</v>
      </c>
      <c r="C468" s="1" t="n">
        <v>46126</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30488-2025</t>
        </is>
      </c>
      <c r="B469" s="1" t="n">
        <v>45830</v>
      </c>
      <c r="C469" s="1" t="n">
        <v>46126</v>
      </c>
      <c r="D469" t="inlineStr">
        <is>
          <t>GOTLANDS LÄN</t>
        </is>
      </c>
      <c r="E469" t="inlineStr">
        <is>
          <t>GOTLAND</t>
        </is>
      </c>
      <c r="F469" t="inlineStr">
        <is>
          <t>Kyrkan</t>
        </is>
      </c>
      <c r="G469" t="n">
        <v>3.9</v>
      </c>
      <c r="H469" t="n">
        <v>0</v>
      </c>
      <c r="I469" t="n">
        <v>0</v>
      </c>
      <c r="J469" t="n">
        <v>0</v>
      </c>
      <c r="K469" t="n">
        <v>0</v>
      </c>
      <c r="L469" t="n">
        <v>0</v>
      </c>
      <c r="M469" t="n">
        <v>0</v>
      </c>
      <c r="N469" t="n">
        <v>0</v>
      </c>
      <c r="O469" t="n">
        <v>0</v>
      </c>
      <c r="P469" t="n">
        <v>0</v>
      </c>
      <c r="Q469" t="n">
        <v>0</v>
      </c>
      <c r="R469" s="2" t="inlineStr"/>
    </row>
    <row r="470" ht="15" customHeight="1">
      <c r="A470" t="inlineStr">
        <is>
          <t>A 7026-2023</t>
        </is>
      </c>
      <c r="B470" s="1" t="n">
        <v>44968.30340277778</v>
      </c>
      <c r="C470" s="1" t="n">
        <v>46126</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17847-2025</t>
        </is>
      </c>
      <c r="B471" s="1" t="n">
        <v>45758</v>
      </c>
      <c r="C471" s="1" t="n">
        <v>46126</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20855-2023</t>
        </is>
      </c>
      <c r="B472" s="1" t="n">
        <v>45058.82172453704</v>
      </c>
      <c r="C472" s="1" t="n">
        <v>46126</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18742-2025</t>
        </is>
      </c>
      <c r="B473" s="1" t="n">
        <v>45763</v>
      </c>
      <c r="C473" s="1" t="n">
        <v>46126</v>
      </c>
      <c r="D473" t="inlineStr">
        <is>
          <t>GOTLANDS LÄN</t>
        </is>
      </c>
      <c r="E473" t="inlineStr">
        <is>
          <t>GOTLAND</t>
        </is>
      </c>
      <c r="G473" t="n">
        <v>3.4</v>
      </c>
      <c r="H473" t="n">
        <v>0</v>
      </c>
      <c r="I473" t="n">
        <v>0</v>
      </c>
      <c r="J473" t="n">
        <v>0</v>
      </c>
      <c r="K473" t="n">
        <v>0</v>
      </c>
      <c r="L473" t="n">
        <v>0</v>
      </c>
      <c r="M473" t="n">
        <v>0</v>
      </c>
      <c r="N473" t="n">
        <v>0</v>
      </c>
      <c r="O473" t="n">
        <v>0</v>
      </c>
      <c r="P473" t="n">
        <v>0</v>
      </c>
      <c r="Q473" t="n">
        <v>0</v>
      </c>
      <c r="R473" s="2" t="inlineStr"/>
    </row>
    <row r="474" ht="15" customHeight="1">
      <c r="A474" t="inlineStr">
        <is>
          <t>A 35129-2025</t>
        </is>
      </c>
      <c r="B474" s="1" t="n">
        <v>45852.63224537037</v>
      </c>
      <c r="C474" s="1" t="n">
        <v>46126</v>
      </c>
      <c r="D474" t="inlineStr">
        <is>
          <t>GOTLANDS LÄN</t>
        </is>
      </c>
      <c r="E474" t="inlineStr">
        <is>
          <t>GOTLAND</t>
        </is>
      </c>
      <c r="G474" t="n">
        <v>3.2</v>
      </c>
      <c r="H474" t="n">
        <v>0</v>
      </c>
      <c r="I474" t="n">
        <v>0</v>
      </c>
      <c r="J474" t="n">
        <v>0</v>
      </c>
      <c r="K474" t="n">
        <v>0</v>
      </c>
      <c r="L474" t="n">
        <v>0</v>
      </c>
      <c r="M474" t="n">
        <v>0</v>
      </c>
      <c r="N474" t="n">
        <v>0</v>
      </c>
      <c r="O474" t="n">
        <v>0</v>
      </c>
      <c r="P474" t="n">
        <v>0</v>
      </c>
      <c r="Q474" t="n">
        <v>0</v>
      </c>
      <c r="R474" s="2" t="inlineStr"/>
    </row>
    <row r="475" ht="15" customHeight="1">
      <c r="A475" t="inlineStr">
        <is>
          <t>A 1000-2024</t>
        </is>
      </c>
      <c r="B475" s="1" t="n">
        <v>45301.63371527778</v>
      </c>
      <c r="C475" s="1" t="n">
        <v>46126</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1010-2024</t>
        </is>
      </c>
      <c r="B476" s="1" t="n">
        <v>45301</v>
      </c>
      <c r="C476" s="1" t="n">
        <v>46126</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47762-2023</t>
        </is>
      </c>
      <c r="B477" s="1" t="n">
        <v>45203.86256944444</v>
      </c>
      <c r="C477" s="1" t="n">
        <v>46126</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62066-2025</t>
        </is>
      </c>
      <c r="B478" s="1" t="n">
        <v>46006.34738425926</v>
      </c>
      <c r="C478" s="1" t="n">
        <v>46126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6108-2025</t>
        </is>
      </c>
      <c r="B479" s="1" t="n">
        <v>45698.29880787037</v>
      </c>
      <c r="C479" s="1" t="n">
        <v>46126</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21142-2025</t>
        </is>
      </c>
      <c r="B480" s="1" t="n">
        <v>45779</v>
      </c>
      <c r="C480" s="1" t="n">
        <v>46126</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62103-2025</t>
        </is>
      </c>
      <c r="B481" s="1" t="n">
        <v>46006</v>
      </c>
      <c r="C481" s="1" t="n">
        <v>46126</v>
      </c>
      <c r="D481" t="inlineStr">
        <is>
          <t>GOTLANDS LÄN</t>
        </is>
      </c>
      <c r="E481" t="inlineStr">
        <is>
          <t>GOTLAND</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46545-2024</t>
        </is>
      </c>
      <c r="B482" s="1" t="n">
        <v>45582.65831018519</v>
      </c>
      <c r="C482" s="1" t="n">
        <v>46126</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17343-2025</t>
        </is>
      </c>
      <c r="B483" s="1" t="n">
        <v>45756.6687037037</v>
      </c>
      <c r="C483" s="1" t="n">
        <v>46126</v>
      </c>
      <c r="D483" t="inlineStr">
        <is>
          <t>GOTLANDS LÄN</t>
        </is>
      </c>
      <c r="E483" t="inlineStr">
        <is>
          <t>GOTLAND</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18938-2025</t>
        </is>
      </c>
      <c r="B484" s="1" t="n">
        <v>45764.49172453704</v>
      </c>
      <c r="C484" s="1" t="n">
        <v>46126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30489-2025</t>
        </is>
      </c>
      <c r="B485" s="1" t="n">
        <v>45830</v>
      </c>
      <c r="C485" s="1" t="n">
        <v>46126</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60086-2022</t>
        </is>
      </c>
      <c r="B486" s="1" t="n">
        <v>44909</v>
      </c>
      <c r="C486" s="1" t="n">
        <v>46126</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20307-2025</t>
        </is>
      </c>
      <c r="B487" s="1" t="n">
        <v>45774.95546296296</v>
      </c>
      <c r="C487" s="1" t="n">
        <v>46126</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28480-2023</t>
        </is>
      </c>
      <c r="B488" s="1" t="n">
        <v>45103</v>
      </c>
      <c r="C488" s="1" t="n">
        <v>46126</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28485-2023</t>
        </is>
      </c>
      <c r="B489" s="1" t="n">
        <v>45103.43731481482</v>
      </c>
      <c r="C489" s="1" t="n">
        <v>46126</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62915-2021</t>
        </is>
      </c>
      <c r="B490" s="1" t="n">
        <v>44504</v>
      </c>
      <c r="C490" s="1" t="n">
        <v>46126</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63002-2025</t>
        </is>
      </c>
      <c r="B491" s="1" t="n">
        <v>46009.56564814815</v>
      </c>
      <c r="C491" s="1" t="n">
        <v>46126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44949-2023</t>
        </is>
      </c>
      <c r="B492" s="1" t="n">
        <v>45190.69520833333</v>
      </c>
      <c r="C492" s="1" t="n">
        <v>46126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54584-2025</t>
        </is>
      </c>
      <c r="B493" s="1" t="n">
        <v>45965.71788194445</v>
      </c>
      <c r="C493" s="1" t="n">
        <v>46126</v>
      </c>
      <c r="D493" t="inlineStr">
        <is>
          <t>GOTLANDS LÄN</t>
        </is>
      </c>
      <c r="E493" t="inlineStr">
        <is>
          <t>GOTLAND</t>
        </is>
      </c>
      <c r="G493" t="n">
        <v>3.5</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46126</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38649-2025</t>
        </is>
      </c>
      <c r="B495" s="1" t="n">
        <v>45884</v>
      </c>
      <c r="C495" s="1" t="n">
        <v>46126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61078-2025</t>
        </is>
      </c>
      <c r="B496" s="1" t="n">
        <v>46000</v>
      </c>
      <c r="C496" s="1" t="n">
        <v>46126</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3964-2024</t>
        </is>
      </c>
      <c r="B497" s="1" t="n">
        <v>45322</v>
      </c>
      <c r="C497" s="1" t="n">
        <v>46126</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45084-2024</t>
        </is>
      </c>
      <c r="B498" s="1" t="n">
        <v>45575</v>
      </c>
      <c r="C498" s="1" t="n">
        <v>46126</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36-2026</t>
        </is>
      </c>
      <c r="B499" s="1" t="n">
        <v>46024.38886574074</v>
      </c>
      <c r="C499" s="1" t="n">
        <v>46126</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62674-2025</t>
        </is>
      </c>
      <c r="B500" s="1" t="n">
        <v>46008</v>
      </c>
      <c r="C500" s="1" t="n">
        <v>46126</v>
      </c>
      <c r="D500" t="inlineStr">
        <is>
          <t>GOTLANDS LÄN</t>
        </is>
      </c>
      <c r="E500" t="inlineStr">
        <is>
          <t>GOTLAND</t>
        </is>
      </c>
      <c r="G500" t="n">
        <v>5</v>
      </c>
      <c r="H500" t="n">
        <v>0</v>
      </c>
      <c r="I500" t="n">
        <v>0</v>
      </c>
      <c r="J500" t="n">
        <v>0</v>
      </c>
      <c r="K500" t="n">
        <v>0</v>
      </c>
      <c r="L500" t="n">
        <v>0</v>
      </c>
      <c r="M500" t="n">
        <v>0</v>
      </c>
      <c r="N500" t="n">
        <v>0</v>
      </c>
      <c r="O500" t="n">
        <v>0</v>
      </c>
      <c r="P500" t="n">
        <v>0</v>
      </c>
      <c r="Q500" t="n">
        <v>0</v>
      </c>
      <c r="R500" s="2" t="inlineStr"/>
    </row>
    <row r="501" ht="15" customHeight="1">
      <c r="A501" t="inlineStr">
        <is>
          <t>A 5217-2023</t>
        </is>
      </c>
      <c r="B501" s="1" t="n">
        <v>44959.39582175926</v>
      </c>
      <c r="C501" s="1" t="n">
        <v>46126</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1677-2023</t>
        </is>
      </c>
      <c r="B502" s="1" t="n">
        <v>44938</v>
      </c>
      <c r="C502" s="1" t="n">
        <v>46126</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1355-2026</t>
        </is>
      </c>
      <c r="B503" s="1" t="n">
        <v>46031.59909722222</v>
      </c>
      <c r="C503" s="1" t="n">
        <v>46126</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45244-2024</t>
        </is>
      </c>
      <c r="B504" s="1" t="n">
        <v>45576</v>
      </c>
      <c r="C504" s="1" t="n">
        <v>46126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1898-2026</t>
        </is>
      </c>
      <c r="B505" s="1" t="n">
        <v>46035.52024305556</v>
      </c>
      <c r="C505" s="1" t="n">
        <v>46126</v>
      </c>
      <c r="D505" t="inlineStr">
        <is>
          <t>GOTLANDS LÄN</t>
        </is>
      </c>
      <c r="E505" t="inlineStr">
        <is>
          <t>GOTLAND</t>
        </is>
      </c>
      <c r="G505" t="n">
        <v>3.7</v>
      </c>
      <c r="H505" t="n">
        <v>0</v>
      </c>
      <c r="I505" t="n">
        <v>0</v>
      </c>
      <c r="J505" t="n">
        <v>0</v>
      </c>
      <c r="K505" t="n">
        <v>0</v>
      </c>
      <c r="L505" t="n">
        <v>0</v>
      </c>
      <c r="M505" t="n">
        <v>0</v>
      </c>
      <c r="N505" t="n">
        <v>0</v>
      </c>
      <c r="O505" t="n">
        <v>0</v>
      </c>
      <c r="P505" t="n">
        <v>0</v>
      </c>
      <c r="Q505" t="n">
        <v>0</v>
      </c>
      <c r="R505" s="2" t="inlineStr"/>
    </row>
    <row r="506" ht="15" customHeight="1">
      <c r="A506" t="inlineStr">
        <is>
          <t>A 8260-2023</t>
        </is>
      </c>
      <c r="B506" s="1" t="n">
        <v>44974.61608796296</v>
      </c>
      <c r="C506" s="1" t="n">
        <v>46126</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64969-2023</t>
        </is>
      </c>
      <c r="B507" s="1" t="n">
        <v>45284.54009259259</v>
      </c>
      <c r="C507" s="1" t="n">
        <v>46126</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48843-2024</t>
        </is>
      </c>
      <c r="B508" s="1" t="n">
        <v>45593</v>
      </c>
      <c r="C508" s="1" t="n">
        <v>46126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17541-2024</t>
        </is>
      </c>
      <c r="B509" s="1" t="n">
        <v>45415</v>
      </c>
      <c r="C509" s="1" t="n">
        <v>46126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2415-2026</t>
        </is>
      </c>
      <c r="B510" s="1" t="n">
        <v>46036.76203703704</v>
      </c>
      <c r="C510" s="1" t="n">
        <v>46126</v>
      </c>
      <c r="D510" t="inlineStr">
        <is>
          <t>GOTLANDS LÄN</t>
        </is>
      </c>
      <c r="E510" t="inlineStr">
        <is>
          <t>GOTLAND</t>
        </is>
      </c>
      <c r="G510" t="n">
        <v>6.9</v>
      </c>
      <c r="H510" t="n">
        <v>0</v>
      </c>
      <c r="I510" t="n">
        <v>0</v>
      </c>
      <c r="J510" t="n">
        <v>0</v>
      </c>
      <c r="K510" t="n">
        <v>0</v>
      </c>
      <c r="L510" t="n">
        <v>0</v>
      </c>
      <c r="M510" t="n">
        <v>0</v>
      </c>
      <c r="N510" t="n">
        <v>0</v>
      </c>
      <c r="O510" t="n">
        <v>0</v>
      </c>
      <c r="P510" t="n">
        <v>0</v>
      </c>
      <c r="Q510" t="n">
        <v>0</v>
      </c>
      <c r="R510" s="2" t="inlineStr"/>
    </row>
    <row r="511" ht="15" customHeight="1">
      <c r="A511" t="inlineStr">
        <is>
          <t>A 2241-2025</t>
        </is>
      </c>
      <c r="B511" s="1" t="n">
        <v>45673.48710648148</v>
      </c>
      <c r="C511" s="1" t="n">
        <v>46126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15434-2024</t>
        </is>
      </c>
      <c r="B512" s="1" t="n">
        <v>45401.38836805556</v>
      </c>
      <c r="C512" s="1" t="n">
        <v>46126</v>
      </c>
      <c r="D512" t="inlineStr">
        <is>
          <t>GOTLANDS LÄN</t>
        </is>
      </c>
      <c r="E512" t="inlineStr">
        <is>
          <t>GOTLAND</t>
        </is>
      </c>
      <c r="G512" t="n">
        <v>2.5</v>
      </c>
      <c r="H512" t="n">
        <v>0</v>
      </c>
      <c r="I512" t="n">
        <v>0</v>
      </c>
      <c r="J512" t="n">
        <v>0</v>
      </c>
      <c r="K512" t="n">
        <v>0</v>
      </c>
      <c r="L512" t="n">
        <v>0</v>
      </c>
      <c r="M512" t="n">
        <v>0</v>
      </c>
      <c r="N512" t="n">
        <v>0</v>
      </c>
      <c r="O512" t="n">
        <v>0</v>
      </c>
      <c r="P512" t="n">
        <v>0</v>
      </c>
      <c r="Q512" t="n">
        <v>0</v>
      </c>
      <c r="R512" s="2" t="inlineStr"/>
    </row>
    <row r="513" ht="15" customHeight="1">
      <c r="A513" t="inlineStr">
        <is>
          <t>A 3253-2026</t>
        </is>
      </c>
      <c r="B513" s="1" t="n">
        <v>46041.58902777778</v>
      </c>
      <c r="C513" s="1" t="n">
        <v>46126</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11982-2026</t>
        </is>
      </c>
      <c r="B514" s="1" t="n">
        <v>46085.6434375</v>
      </c>
      <c r="C514" s="1" t="n">
        <v>46126</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5943-2024</t>
        </is>
      </c>
      <c r="B515" s="1" t="n">
        <v>45336</v>
      </c>
      <c r="C515" s="1" t="n">
        <v>46126</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54073-2022</t>
        </is>
      </c>
      <c r="B516" s="1" t="n">
        <v>44881.50380787037</v>
      </c>
      <c r="C516" s="1" t="n">
        <v>46126</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46126</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41038-2023</t>
        </is>
      </c>
      <c r="B518" s="1" t="n">
        <v>45173.60959490741</v>
      </c>
      <c r="C518" s="1" t="n">
        <v>46126</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12135-2026</t>
        </is>
      </c>
      <c r="B519" s="1" t="n">
        <v>46086</v>
      </c>
      <c r="C519" s="1" t="n">
        <v>46126</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4646-2026</t>
        </is>
      </c>
      <c r="B520" s="1" t="n">
        <v>46048.40357638889</v>
      </c>
      <c r="C520" s="1" t="n">
        <v>46126</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4662-2026</t>
        </is>
      </c>
      <c r="B521" s="1" t="n">
        <v>46048.40949074074</v>
      </c>
      <c r="C521" s="1" t="n">
        <v>46126</v>
      </c>
      <c r="D521" t="inlineStr">
        <is>
          <t>GOTLANDS LÄN</t>
        </is>
      </c>
      <c r="E521" t="inlineStr">
        <is>
          <t>GOTLAND</t>
        </is>
      </c>
      <c r="G521" t="n">
        <v>7.6</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46126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1839-2026</t>
        </is>
      </c>
      <c r="B523" s="1" t="n">
        <v>46035.3942824074</v>
      </c>
      <c r="C523" s="1" t="n">
        <v>46126</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4634-2026</t>
        </is>
      </c>
      <c r="B524" s="1" t="n">
        <v>46048.39304398148</v>
      </c>
      <c r="C524" s="1" t="n">
        <v>46126</v>
      </c>
      <c r="D524" t="inlineStr">
        <is>
          <t>GOTLANDS LÄN</t>
        </is>
      </c>
      <c r="E524" t="inlineStr">
        <is>
          <t>GOTLAND</t>
        </is>
      </c>
      <c r="G524" t="n">
        <v>7.8</v>
      </c>
      <c r="H524" t="n">
        <v>0</v>
      </c>
      <c r="I524" t="n">
        <v>0</v>
      </c>
      <c r="J524" t="n">
        <v>0</v>
      </c>
      <c r="K524" t="n">
        <v>0</v>
      </c>
      <c r="L524" t="n">
        <v>0</v>
      </c>
      <c r="M524" t="n">
        <v>0</v>
      </c>
      <c r="N524" t="n">
        <v>0</v>
      </c>
      <c r="O524" t="n">
        <v>0</v>
      </c>
      <c r="P524" t="n">
        <v>0</v>
      </c>
      <c r="Q524" t="n">
        <v>0</v>
      </c>
      <c r="R524" s="2" t="inlineStr"/>
    </row>
    <row r="525" ht="15" customHeight="1">
      <c r="A525" t="inlineStr">
        <is>
          <t>A 14427-2024</t>
        </is>
      </c>
      <c r="B525" s="1" t="n">
        <v>45394</v>
      </c>
      <c r="C525" s="1" t="n">
        <v>46126</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4670-2026</t>
        </is>
      </c>
      <c r="B526" s="1" t="n">
        <v>46048.41733796296</v>
      </c>
      <c r="C526" s="1" t="n">
        <v>46126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31802-2024</t>
        </is>
      </c>
      <c r="B527" s="1" t="n">
        <v>45509</v>
      </c>
      <c r="C527" s="1" t="n">
        <v>46126</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8036-2022</t>
        </is>
      </c>
      <c r="B528" s="1" t="n">
        <v>44609.44362268518</v>
      </c>
      <c r="C528" s="1" t="n">
        <v>46126</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46126</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1854-2026</t>
        </is>
      </c>
      <c r="B530" s="1" t="n">
        <v>46035.4171875</v>
      </c>
      <c r="C530" s="1" t="n">
        <v>46126</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46949-2024</t>
        </is>
      </c>
      <c r="B531" s="1" t="n">
        <v>45585</v>
      </c>
      <c r="C531" s="1" t="n">
        <v>46126</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10650-2022</t>
        </is>
      </c>
      <c r="B532" s="1" t="n">
        <v>44624.57945601852</v>
      </c>
      <c r="C532" s="1" t="n">
        <v>46126</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13486-2026</t>
        </is>
      </c>
      <c r="B533" s="1" t="n">
        <v>46094</v>
      </c>
      <c r="C533" s="1" t="n">
        <v>46126</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3067-2026</t>
        </is>
      </c>
      <c r="B534" s="1" t="n">
        <v>46040.59025462963</v>
      </c>
      <c r="C534" s="1" t="n">
        <v>46126</v>
      </c>
      <c r="D534" t="inlineStr">
        <is>
          <t>GOTLANDS LÄN</t>
        </is>
      </c>
      <c r="E534" t="inlineStr">
        <is>
          <t>GOTLAND</t>
        </is>
      </c>
      <c r="G534" t="n">
        <v>7.8</v>
      </c>
      <c r="H534" t="n">
        <v>0</v>
      </c>
      <c r="I534" t="n">
        <v>0</v>
      </c>
      <c r="J534" t="n">
        <v>0</v>
      </c>
      <c r="K534" t="n">
        <v>0</v>
      </c>
      <c r="L534" t="n">
        <v>0</v>
      </c>
      <c r="M534" t="n">
        <v>0</v>
      </c>
      <c r="N534" t="n">
        <v>0</v>
      </c>
      <c r="O534" t="n">
        <v>0</v>
      </c>
      <c r="P534" t="n">
        <v>0</v>
      </c>
      <c r="Q534" t="n">
        <v>0</v>
      </c>
      <c r="R534" s="2" t="inlineStr"/>
    </row>
    <row r="535" ht="15" customHeight="1">
      <c r="A535" t="inlineStr">
        <is>
          <t>A 6218-2026</t>
        </is>
      </c>
      <c r="B535" s="1" t="n">
        <v>46055.42859953704</v>
      </c>
      <c r="C535" s="1" t="n">
        <v>46126</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11634-2024</t>
        </is>
      </c>
      <c r="B536" s="1" t="n">
        <v>45373</v>
      </c>
      <c r="C536" s="1" t="n">
        <v>46126</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6207-2026</t>
        </is>
      </c>
      <c r="B537" s="1" t="n">
        <v>46055.42083333333</v>
      </c>
      <c r="C537" s="1" t="n">
        <v>46126</v>
      </c>
      <c r="D537" t="inlineStr">
        <is>
          <t>GOTLANDS LÄN</t>
        </is>
      </c>
      <c r="E537" t="inlineStr">
        <is>
          <t>GOTLAND</t>
        </is>
      </c>
      <c r="G537" t="n">
        <v>7.6</v>
      </c>
      <c r="H537" t="n">
        <v>0</v>
      </c>
      <c r="I537" t="n">
        <v>0</v>
      </c>
      <c r="J537" t="n">
        <v>0</v>
      </c>
      <c r="K537" t="n">
        <v>0</v>
      </c>
      <c r="L537" t="n">
        <v>0</v>
      </c>
      <c r="M537" t="n">
        <v>0</v>
      </c>
      <c r="N537" t="n">
        <v>0</v>
      </c>
      <c r="O537" t="n">
        <v>0</v>
      </c>
      <c r="P537" t="n">
        <v>0</v>
      </c>
      <c r="Q537" t="n">
        <v>0</v>
      </c>
      <c r="R537" s="2" t="inlineStr"/>
    </row>
    <row r="538" ht="15" customHeight="1">
      <c r="A538" t="inlineStr">
        <is>
          <t>A 1351-2025</t>
        </is>
      </c>
      <c r="B538" s="1" t="n">
        <v>45667.62246527777</v>
      </c>
      <c r="C538" s="1" t="n">
        <v>46126</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39496-2022</t>
        </is>
      </c>
      <c r="B539" s="1" t="n">
        <v>44818</v>
      </c>
      <c r="C539" s="1" t="n">
        <v>46126</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6959-2026</t>
        </is>
      </c>
      <c r="B540" s="1" t="n">
        <v>46057.580625</v>
      </c>
      <c r="C540" s="1" t="n">
        <v>46126</v>
      </c>
      <c r="D540" t="inlineStr">
        <is>
          <t>GOTLANDS LÄN</t>
        </is>
      </c>
      <c r="E540" t="inlineStr">
        <is>
          <t>GOTLAND</t>
        </is>
      </c>
      <c r="F540" t="inlineStr">
        <is>
          <t>Kyrkan</t>
        </is>
      </c>
      <c r="G540" t="n">
        <v>1.2</v>
      </c>
      <c r="H540" t="n">
        <v>0</v>
      </c>
      <c r="I540" t="n">
        <v>0</v>
      </c>
      <c r="J540" t="n">
        <v>0</v>
      </c>
      <c r="K540" t="n">
        <v>0</v>
      </c>
      <c r="L540" t="n">
        <v>0</v>
      </c>
      <c r="M540" t="n">
        <v>0</v>
      </c>
      <c r="N540" t="n">
        <v>0</v>
      </c>
      <c r="O540" t="n">
        <v>0</v>
      </c>
      <c r="P540" t="n">
        <v>0</v>
      </c>
      <c r="Q540" t="n">
        <v>0</v>
      </c>
      <c r="R540" s="2" t="inlineStr"/>
    </row>
    <row r="541" ht="15" customHeight="1">
      <c r="A541" t="inlineStr">
        <is>
          <t>A 49874-2024</t>
        </is>
      </c>
      <c r="B541" s="1" t="n">
        <v>45597.49274305555</v>
      </c>
      <c r="C541" s="1" t="n">
        <v>46126</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42201-2023</t>
        </is>
      </c>
      <c r="B542" s="1" t="n">
        <v>45179</v>
      </c>
      <c r="C542" s="1" t="n">
        <v>46126</v>
      </c>
      <c r="D542" t="inlineStr">
        <is>
          <t>GOTLANDS LÄN</t>
        </is>
      </c>
      <c r="E542" t="inlineStr">
        <is>
          <t>GOTLAND</t>
        </is>
      </c>
      <c r="G542" t="n">
        <v>11.9</v>
      </c>
      <c r="H542" t="n">
        <v>0</v>
      </c>
      <c r="I542" t="n">
        <v>0</v>
      </c>
      <c r="J542" t="n">
        <v>0</v>
      </c>
      <c r="K542" t="n">
        <v>0</v>
      </c>
      <c r="L542" t="n">
        <v>0</v>
      </c>
      <c r="M542" t="n">
        <v>0</v>
      </c>
      <c r="N542" t="n">
        <v>0</v>
      </c>
      <c r="O542" t="n">
        <v>0</v>
      </c>
      <c r="P542" t="n">
        <v>0</v>
      </c>
      <c r="Q542" t="n">
        <v>0</v>
      </c>
      <c r="R542" s="2" t="inlineStr"/>
    </row>
    <row r="543" ht="15" customHeight="1">
      <c r="A543" t="inlineStr">
        <is>
          <t>A 46400-2023</t>
        </is>
      </c>
      <c r="B543" s="1" t="n">
        <v>45197.49290509259</v>
      </c>
      <c r="C543" s="1" t="n">
        <v>46126</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9875-2025</t>
        </is>
      </c>
      <c r="B544" s="1" t="n">
        <v>45716</v>
      </c>
      <c r="C544" s="1" t="n">
        <v>46126</v>
      </c>
      <c r="D544" t="inlineStr">
        <is>
          <t>GOTLANDS LÄN</t>
        </is>
      </c>
      <c r="E544" t="inlineStr">
        <is>
          <t>GOTLAND</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6960-2026</t>
        </is>
      </c>
      <c r="B545" s="1" t="n">
        <v>46057.58105324074</v>
      </c>
      <c r="C545" s="1" t="n">
        <v>46126</v>
      </c>
      <c r="D545" t="inlineStr">
        <is>
          <t>GOTLANDS LÄN</t>
        </is>
      </c>
      <c r="E545" t="inlineStr">
        <is>
          <t>GOTLAND</t>
        </is>
      </c>
      <c r="F545" t="inlineStr">
        <is>
          <t>Kyrkan</t>
        </is>
      </c>
      <c r="G545" t="n">
        <v>2.4</v>
      </c>
      <c r="H545" t="n">
        <v>0</v>
      </c>
      <c r="I545" t="n">
        <v>0</v>
      </c>
      <c r="J545" t="n">
        <v>0</v>
      </c>
      <c r="K545" t="n">
        <v>0</v>
      </c>
      <c r="L545" t="n">
        <v>0</v>
      </c>
      <c r="M545" t="n">
        <v>0</v>
      </c>
      <c r="N545" t="n">
        <v>0</v>
      </c>
      <c r="O545" t="n">
        <v>0</v>
      </c>
      <c r="P545" t="n">
        <v>0</v>
      </c>
      <c r="Q545" t="n">
        <v>0</v>
      </c>
      <c r="R545" s="2" t="inlineStr"/>
    </row>
    <row r="546" ht="15" customHeight="1">
      <c r="A546" t="inlineStr">
        <is>
          <t>A 21164-2024</t>
        </is>
      </c>
      <c r="B546" s="1" t="n">
        <v>45440</v>
      </c>
      <c r="C546" s="1" t="n">
        <v>46126</v>
      </c>
      <c r="D546" t="inlineStr">
        <is>
          <t>GOTLANDS LÄN</t>
        </is>
      </c>
      <c r="E546" t="inlineStr">
        <is>
          <t>GOTLAND</t>
        </is>
      </c>
      <c r="G546" t="n">
        <v>6.3</v>
      </c>
      <c r="H546" t="n">
        <v>0</v>
      </c>
      <c r="I546" t="n">
        <v>0</v>
      </c>
      <c r="J546" t="n">
        <v>0</v>
      </c>
      <c r="K546" t="n">
        <v>0</v>
      </c>
      <c r="L546" t="n">
        <v>0</v>
      </c>
      <c r="M546" t="n">
        <v>0</v>
      </c>
      <c r="N546" t="n">
        <v>0</v>
      </c>
      <c r="O546" t="n">
        <v>0</v>
      </c>
      <c r="P546" t="n">
        <v>0</v>
      </c>
      <c r="Q546" t="n">
        <v>0</v>
      </c>
      <c r="R546" s="2" t="inlineStr"/>
    </row>
    <row r="547" ht="15" customHeight="1">
      <c r="A547" t="inlineStr">
        <is>
          <t>A 8045-2022</t>
        </is>
      </c>
      <c r="B547" s="1" t="n">
        <v>44609</v>
      </c>
      <c r="C547" s="1" t="n">
        <v>46126</v>
      </c>
      <c r="D547" t="inlineStr">
        <is>
          <t>GOTLANDS LÄN</t>
        </is>
      </c>
      <c r="E547" t="inlineStr">
        <is>
          <t>GOTLAND</t>
        </is>
      </c>
      <c r="G547" t="n">
        <v>7</v>
      </c>
      <c r="H547" t="n">
        <v>0</v>
      </c>
      <c r="I547" t="n">
        <v>0</v>
      </c>
      <c r="J547" t="n">
        <v>0</v>
      </c>
      <c r="K547" t="n">
        <v>0</v>
      </c>
      <c r="L547" t="n">
        <v>0</v>
      </c>
      <c r="M547" t="n">
        <v>0</v>
      </c>
      <c r="N547" t="n">
        <v>0</v>
      </c>
      <c r="O547" t="n">
        <v>0</v>
      </c>
      <c r="P547" t="n">
        <v>0</v>
      </c>
      <c r="Q547" t="n">
        <v>0</v>
      </c>
      <c r="R547" s="2" t="inlineStr"/>
    </row>
    <row r="548" ht="15" customHeight="1">
      <c r="A548" t="inlineStr">
        <is>
          <t>A 14840-2026</t>
        </is>
      </c>
      <c r="B548" s="1" t="n">
        <v>46104.39498842593</v>
      </c>
      <c r="C548" s="1" t="n">
        <v>46126</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7625-2026</t>
        </is>
      </c>
      <c r="B549" s="1" t="n">
        <v>46062.35135416667</v>
      </c>
      <c r="C549" s="1" t="n">
        <v>46126</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22897-2023</t>
        </is>
      </c>
      <c r="B550" s="1" t="n">
        <v>45072.55239583334</v>
      </c>
      <c r="C550" s="1" t="n">
        <v>46126</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7627-2026</t>
        </is>
      </c>
      <c r="B551" s="1" t="n">
        <v>46062.35465277778</v>
      </c>
      <c r="C551" s="1" t="n">
        <v>46126</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46126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63105-2025</t>
        </is>
      </c>
      <c r="B553" s="1" t="n">
        <v>46009</v>
      </c>
      <c r="C553" s="1" t="n">
        <v>46126</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61897-2024</t>
        </is>
      </c>
      <c r="B554" s="1" t="n">
        <v>45652.75685185185</v>
      </c>
      <c r="C554" s="1" t="n">
        <v>46126</v>
      </c>
      <c r="D554" t="inlineStr">
        <is>
          <t>GOTLANDS LÄN</t>
        </is>
      </c>
      <c r="E554" t="inlineStr">
        <is>
          <t>GOTLAND</t>
        </is>
      </c>
      <c r="G554" t="n">
        <v>6.4</v>
      </c>
      <c r="H554" t="n">
        <v>0</v>
      </c>
      <c r="I554" t="n">
        <v>0</v>
      </c>
      <c r="J554" t="n">
        <v>0</v>
      </c>
      <c r="K554" t="n">
        <v>0</v>
      </c>
      <c r="L554" t="n">
        <v>0</v>
      </c>
      <c r="M554" t="n">
        <v>0</v>
      </c>
      <c r="N554" t="n">
        <v>0</v>
      </c>
      <c r="O554" t="n">
        <v>0</v>
      </c>
      <c r="P554" t="n">
        <v>0</v>
      </c>
      <c r="Q554" t="n">
        <v>0</v>
      </c>
      <c r="R554" s="2" t="inlineStr"/>
    </row>
    <row r="555" ht="15" customHeight="1">
      <c r="A555" t="inlineStr">
        <is>
          <t>A 49962-2023</t>
        </is>
      </c>
      <c r="B555" s="1" t="n">
        <v>45215.38775462963</v>
      </c>
      <c r="C555" s="1" t="n">
        <v>46126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5863-2026</t>
        </is>
      </c>
      <c r="B556" s="1" t="n">
        <v>46052.36697916667</v>
      </c>
      <c r="C556" s="1" t="n">
        <v>46126</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2135-2026</t>
        </is>
      </c>
      <c r="B557" s="1" t="n">
        <v>46036</v>
      </c>
      <c r="C557" s="1" t="n">
        <v>46126</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20165-2022</t>
        </is>
      </c>
      <c r="B558" s="1" t="n">
        <v>44698.49854166667</v>
      </c>
      <c r="C558" s="1" t="n">
        <v>46126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2134-2026</t>
        </is>
      </c>
      <c r="B559" s="1" t="n">
        <v>46036</v>
      </c>
      <c r="C559" s="1" t="n">
        <v>46126</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40294-2022</t>
        </is>
      </c>
      <c r="B560" s="1" t="n">
        <v>44821</v>
      </c>
      <c r="C560" s="1" t="n">
        <v>46126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12032-2025</t>
        </is>
      </c>
      <c r="B561" s="1" t="n">
        <v>45728.64472222222</v>
      </c>
      <c r="C561" s="1" t="n">
        <v>46126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46126</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43231-2023</t>
        </is>
      </c>
      <c r="B563" s="1" t="n">
        <v>45183.47025462963</v>
      </c>
      <c r="C563" s="1" t="n">
        <v>46126</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46126</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3935-2025</t>
        </is>
      </c>
      <c r="B565" s="1" t="n">
        <v>45684.46070601852</v>
      </c>
      <c r="C565" s="1" t="n">
        <v>46126</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63000-2025</t>
        </is>
      </c>
      <c r="B566" s="1" t="n">
        <v>46009</v>
      </c>
      <c r="C566" s="1" t="n">
        <v>46126</v>
      </c>
      <c r="D566" t="inlineStr">
        <is>
          <t>GOTLANDS LÄN</t>
        </is>
      </c>
      <c r="E566" t="inlineStr">
        <is>
          <t>GOTLAND</t>
        </is>
      </c>
      <c r="F566" t="inlineStr">
        <is>
          <t>Övriga Aktiebolag</t>
        </is>
      </c>
      <c r="G566" t="n">
        <v>1.7</v>
      </c>
      <c r="H566" t="n">
        <v>0</v>
      </c>
      <c r="I566" t="n">
        <v>0</v>
      </c>
      <c r="J566" t="n">
        <v>0</v>
      </c>
      <c r="K566" t="n">
        <v>0</v>
      </c>
      <c r="L566" t="n">
        <v>0</v>
      </c>
      <c r="M566" t="n">
        <v>0</v>
      </c>
      <c r="N566" t="n">
        <v>0</v>
      </c>
      <c r="O566" t="n">
        <v>0</v>
      </c>
      <c r="P566" t="n">
        <v>0</v>
      </c>
      <c r="Q566" t="n">
        <v>0</v>
      </c>
      <c r="R566" s="2" t="inlineStr"/>
    </row>
    <row r="567" ht="15" customHeight="1">
      <c r="A567" t="inlineStr">
        <is>
          <t>A 53561-2025</t>
        </is>
      </c>
      <c r="B567" s="1" t="n">
        <v>45960.4059375</v>
      </c>
      <c r="C567" s="1" t="n">
        <v>46126</v>
      </c>
      <c r="D567" t="inlineStr">
        <is>
          <t>GOTLANDS LÄN</t>
        </is>
      </c>
      <c r="E567" t="inlineStr">
        <is>
          <t>GOTLAND</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20225-2025</t>
        </is>
      </c>
      <c r="B568" s="1" t="n">
        <v>45772.65802083333</v>
      </c>
      <c r="C568" s="1" t="n">
        <v>46126</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883-2025</t>
        </is>
      </c>
      <c r="B569" s="1" t="n">
        <v>45665</v>
      </c>
      <c r="C569" s="1" t="n">
        <v>46126</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46126</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62754-2025</t>
        </is>
      </c>
      <c r="B571" s="1" t="n">
        <v>46008</v>
      </c>
      <c r="C571" s="1" t="n">
        <v>46126</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53587-2025</t>
        </is>
      </c>
      <c r="B572" s="1" t="n">
        <v>45960.43681712963</v>
      </c>
      <c r="C572" s="1" t="n">
        <v>46126</v>
      </c>
      <c r="D572" t="inlineStr">
        <is>
          <t>GOTLANDS LÄN</t>
        </is>
      </c>
      <c r="E572" t="inlineStr">
        <is>
          <t>GOTLAND</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9504-2026</t>
        </is>
      </c>
      <c r="B573" s="1" t="n">
        <v>46071.57730324074</v>
      </c>
      <c r="C573" s="1" t="n">
        <v>46126</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9518-2026</t>
        </is>
      </c>
      <c r="B574" s="1" t="n">
        <v>46071.59653935185</v>
      </c>
      <c r="C574" s="1" t="n">
        <v>46126</v>
      </c>
      <c r="D574" t="inlineStr">
        <is>
          <t>GOTLANDS LÄN</t>
        </is>
      </c>
      <c r="E574" t="inlineStr">
        <is>
          <t>GOTLAND</t>
        </is>
      </c>
      <c r="G574" t="n">
        <v>6.2</v>
      </c>
      <c r="H574" t="n">
        <v>0</v>
      </c>
      <c r="I574" t="n">
        <v>0</v>
      </c>
      <c r="J574" t="n">
        <v>0</v>
      </c>
      <c r="K574" t="n">
        <v>0</v>
      </c>
      <c r="L574" t="n">
        <v>0</v>
      </c>
      <c r="M574" t="n">
        <v>0</v>
      </c>
      <c r="N574" t="n">
        <v>0</v>
      </c>
      <c r="O574" t="n">
        <v>0</v>
      </c>
      <c r="P574" t="n">
        <v>0</v>
      </c>
      <c r="Q574" t="n">
        <v>0</v>
      </c>
      <c r="R574" s="2" t="inlineStr"/>
    </row>
    <row r="575" ht="15" customHeight="1">
      <c r="A575" t="inlineStr">
        <is>
          <t>A 9519-2026</t>
        </is>
      </c>
      <c r="B575" s="1" t="n">
        <v>46071.59820601852</v>
      </c>
      <c r="C575" s="1" t="n">
        <v>46126</v>
      </c>
      <c r="D575" t="inlineStr">
        <is>
          <t>GOTLANDS LÄN</t>
        </is>
      </c>
      <c r="E575" t="inlineStr">
        <is>
          <t>GOTLAND</t>
        </is>
      </c>
      <c r="G575" t="n">
        <v>4</v>
      </c>
      <c r="H575" t="n">
        <v>0</v>
      </c>
      <c r="I575" t="n">
        <v>0</v>
      </c>
      <c r="J575" t="n">
        <v>0</v>
      </c>
      <c r="K575" t="n">
        <v>0</v>
      </c>
      <c r="L575" t="n">
        <v>0</v>
      </c>
      <c r="M575" t="n">
        <v>0</v>
      </c>
      <c r="N575" t="n">
        <v>0</v>
      </c>
      <c r="O575" t="n">
        <v>0</v>
      </c>
      <c r="P575" t="n">
        <v>0</v>
      </c>
      <c r="Q575" t="n">
        <v>0</v>
      </c>
      <c r="R575" s="2" t="inlineStr"/>
    </row>
    <row r="576" ht="15" customHeight="1">
      <c r="A576" t="inlineStr">
        <is>
          <t>A 9540-2026</t>
        </is>
      </c>
      <c r="B576" s="1" t="n">
        <v>46071.61961805556</v>
      </c>
      <c r="C576" s="1" t="n">
        <v>46126</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9521-2026</t>
        </is>
      </c>
      <c r="B577" s="1" t="n">
        <v>46071.59969907408</v>
      </c>
      <c r="C577" s="1" t="n">
        <v>46126</v>
      </c>
      <c r="D577" t="inlineStr">
        <is>
          <t>GOTLANDS LÄN</t>
        </is>
      </c>
      <c r="E577" t="inlineStr">
        <is>
          <t>GOTLAND</t>
        </is>
      </c>
      <c r="G577" t="n">
        <v>3.9</v>
      </c>
      <c r="H577" t="n">
        <v>0</v>
      </c>
      <c r="I577" t="n">
        <v>0</v>
      </c>
      <c r="J577" t="n">
        <v>0</v>
      </c>
      <c r="K577" t="n">
        <v>0</v>
      </c>
      <c r="L577" t="n">
        <v>0</v>
      </c>
      <c r="M577" t="n">
        <v>0</v>
      </c>
      <c r="N577" t="n">
        <v>0</v>
      </c>
      <c r="O577" t="n">
        <v>0</v>
      </c>
      <c r="P577" t="n">
        <v>0</v>
      </c>
      <c r="Q577" t="n">
        <v>0</v>
      </c>
      <c r="R577" s="2" t="inlineStr"/>
    </row>
    <row r="578" ht="15" customHeight="1">
      <c r="A578" t="inlineStr">
        <is>
          <t>A 9524-2026</t>
        </is>
      </c>
      <c r="B578" s="1" t="n">
        <v>46071.60108796296</v>
      </c>
      <c r="C578" s="1" t="n">
        <v>46126</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9543-2026</t>
        </is>
      </c>
      <c r="B579" s="1" t="n">
        <v>46071.62486111111</v>
      </c>
      <c r="C579" s="1" t="n">
        <v>46126</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1066-2024</t>
        </is>
      </c>
      <c r="B580" s="1" t="n">
        <v>45302.285</v>
      </c>
      <c r="C580" s="1" t="n">
        <v>46126</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17144-2025</t>
        </is>
      </c>
      <c r="B581" s="1" t="n">
        <v>45755.9499537037</v>
      </c>
      <c r="C581" s="1" t="n">
        <v>46126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16993-2026</t>
        </is>
      </c>
      <c r="B582" s="1" t="n">
        <v>46114.41918981481</v>
      </c>
      <c r="C582" s="1" t="n">
        <v>46126</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46126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63152-2025</t>
        </is>
      </c>
      <c r="B584" s="1" t="n">
        <v>46010</v>
      </c>
      <c r="C584" s="1" t="n">
        <v>46126</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56009-2024</t>
        </is>
      </c>
      <c r="B585" s="1" t="n">
        <v>45623.80864583333</v>
      </c>
      <c r="C585" s="1" t="n">
        <v>46126</v>
      </c>
      <c r="D585" t="inlineStr">
        <is>
          <t>GOTLANDS LÄN</t>
        </is>
      </c>
      <c r="E585" t="inlineStr">
        <is>
          <t>GOTLAND</t>
        </is>
      </c>
      <c r="G585" t="n">
        <v>2.8</v>
      </c>
      <c r="H585" t="n">
        <v>0</v>
      </c>
      <c r="I585" t="n">
        <v>0</v>
      </c>
      <c r="J585" t="n">
        <v>0</v>
      </c>
      <c r="K585" t="n">
        <v>0</v>
      </c>
      <c r="L585" t="n">
        <v>0</v>
      </c>
      <c r="M585" t="n">
        <v>0</v>
      </c>
      <c r="N585" t="n">
        <v>0</v>
      </c>
      <c r="O585" t="n">
        <v>0</v>
      </c>
      <c r="P585" t="n">
        <v>0</v>
      </c>
      <c r="Q585" t="n">
        <v>0</v>
      </c>
      <c r="R585" s="2" t="inlineStr"/>
    </row>
    <row r="586" ht="15" customHeight="1">
      <c r="A586" t="inlineStr">
        <is>
          <t>A 10486-2026</t>
        </is>
      </c>
      <c r="B586" s="1" t="n">
        <v>46077.51425925926</v>
      </c>
      <c r="C586" s="1" t="n">
        <v>46126</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46126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9901-2026</t>
        </is>
      </c>
      <c r="B588" s="1" t="n">
        <v>46073.40391203704</v>
      </c>
      <c r="C588" s="1" t="n">
        <v>46126</v>
      </c>
      <c r="D588" t="inlineStr">
        <is>
          <t>GOTLANDS LÄN</t>
        </is>
      </c>
      <c r="E588" t="inlineStr">
        <is>
          <t>GOTLAND</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17328-2026</t>
        </is>
      </c>
      <c r="B589" s="1" t="n">
        <v>46119.61216435185</v>
      </c>
      <c r="C589" s="1" t="n">
        <v>46126</v>
      </c>
      <c r="D589" t="inlineStr">
        <is>
          <t>GOTLANDS LÄN</t>
        </is>
      </c>
      <c r="E589" t="inlineStr">
        <is>
          <t>GOTLAND</t>
        </is>
      </c>
      <c r="F589" t="inlineStr">
        <is>
          <t>Kyrkan</t>
        </is>
      </c>
      <c r="G589" t="n">
        <v>4</v>
      </c>
      <c r="H589" t="n">
        <v>0</v>
      </c>
      <c r="I589" t="n">
        <v>0</v>
      </c>
      <c r="J589" t="n">
        <v>0</v>
      </c>
      <c r="K589" t="n">
        <v>0</v>
      </c>
      <c r="L589" t="n">
        <v>0</v>
      </c>
      <c r="M589" t="n">
        <v>0</v>
      </c>
      <c r="N589" t="n">
        <v>0</v>
      </c>
      <c r="O589" t="n">
        <v>0</v>
      </c>
      <c r="P589" t="n">
        <v>0</v>
      </c>
      <c r="Q589" t="n">
        <v>0</v>
      </c>
      <c r="R589" s="2" t="inlineStr"/>
    </row>
    <row r="590" ht="15" customHeight="1">
      <c r="A590" t="inlineStr">
        <is>
          <t>A 10284-2026</t>
        </is>
      </c>
      <c r="B590" s="1" t="n">
        <v>46076</v>
      </c>
      <c r="C590" s="1" t="n">
        <v>46126</v>
      </c>
      <c r="D590" t="inlineStr">
        <is>
          <t>GOTLANDS LÄN</t>
        </is>
      </c>
      <c r="E590" t="inlineStr">
        <is>
          <t>GOTLAND</t>
        </is>
      </c>
      <c r="G590" t="n">
        <v>5.2</v>
      </c>
      <c r="H590" t="n">
        <v>0</v>
      </c>
      <c r="I590" t="n">
        <v>0</v>
      </c>
      <c r="J590" t="n">
        <v>0</v>
      </c>
      <c r="K590" t="n">
        <v>0</v>
      </c>
      <c r="L590" t="n">
        <v>0</v>
      </c>
      <c r="M590" t="n">
        <v>0</v>
      </c>
      <c r="N590" t="n">
        <v>0</v>
      </c>
      <c r="O590" t="n">
        <v>0</v>
      </c>
      <c r="P590" t="n">
        <v>0</v>
      </c>
      <c r="Q590" t="n">
        <v>0</v>
      </c>
      <c r="R590" s="2" t="inlineStr"/>
    </row>
    <row r="591" ht="15" customHeight="1">
      <c r="A591" t="inlineStr">
        <is>
          <t>A 60384-2025</t>
        </is>
      </c>
      <c r="B591" s="1" t="n">
        <v>45995</v>
      </c>
      <c r="C591" s="1" t="n">
        <v>46126</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46126</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46126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46126</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46126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46126</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46126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46126</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14797-2024</t>
        </is>
      </c>
      <c r="B599" s="1" t="n">
        <v>45397.87030092593</v>
      </c>
      <c r="C599" s="1" t="n">
        <v>46126</v>
      </c>
      <c r="D599" t="inlineStr">
        <is>
          <t>GOTLANDS LÄN</t>
        </is>
      </c>
      <c r="E599" t="inlineStr">
        <is>
          <t>GOTLAND</t>
        </is>
      </c>
      <c r="G599" t="n">
        <v>8.1</v>
      </c>
      <c r="H599" t="n">
        <v>0</v>
      </c>
      <c r="I599" t="n">
        <v>0</v>
      </c>
      <c r="J599" t="n">
        <v>0</v>
      </c>
      <c r="K599" t="n">
        <v>0</v>
      </c>
      <c r="L599" t="n">
        <v>0</v>
      </c>
      <c r="M599" t="n">
        <v>0</v>
      </c>
      <c r="N599" t="n">
        <v>0</v>
      </c>
      <c r="O599" t="n">
        <v>0</v>
      </c>
      <c r="P599" t="n">
        <v>0</v>
      </c>
      <c r="Q599" t="n">
        <v>0</v>
      </c>
      <c r="R599" s="2" t="inlineStr"/>
    </row>
    <row r="600" ht="15" customHeight="1">
      <c r="A600" t="inlineStr">
        <is>
          <t>A 999-2024</t>
        </is>
      </c>
      <c r="B600" s="1" t="n">
        <v>45301</v>
      </c>
      <c r="C600" s="1" t="n">
        <v>46126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61596-2023</t>
        </is>
      </c>
      <c r="B601" s="1" t="n">
        <v>45265</v>
      </c>
      <c r="C601" s="1" t="n">
        <v>46126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11424-2026</t>
        </is>
      </c>
      <c r="B602" s="1" t="n">
        <v>46083.48068287037</v>
      </c>
      <c r="C602" s="1" t="n">
        <v>46126</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14638-2025</t>
        </is>
      </c>
      <c r="B603" s="1" t="n">
        <v>45742</v>
      </c>
      <c r="C603" s="1" t="n">
        <v>46126</v>
      </c>
      <c r="D603" t="inlineStr">
        <is>
          <t>GOTLANDS LÄN</t>
        </is>
      </c>
      <c r="E603" t="inlineStr">
        <is>
          <t>GOTLAND</t>
        </is>
      </c>
      <c r="G603" t="n">
        <v>13.4</v>
      </c>
      <c r="H603" t="n">
        <v>0</v>
      </c>
      <c r="I603" t="n">
        <v>0</v>
      </c>
      <c r="J603" t="n">
        <v>0</v>
      </c>
      <c r="K603" t="n">
        <v>0</v>
      </c>
      <c r="L603" t="n">
        <v>0</v>
      </c>
      <c r="M603" t="n">
        <v>0</v>
      </c>
      <c r="N603" t="n">
        <v>0</v>
      </c>
      <c r="O603" t="n">
        <v>0</v>
      </c>
      <c r="P603" t="n">
        <v>0</v>
      </c>
      <c r="Q603" t="n">
        <v>0</v>
      </c>
      <c r="R603" s="2" t="inlineStr"/>
    </row>
    <row r="604" ht="15" customHeight="1">
      <c r="A604" t="inlineStr">
        <is>
          <t>A 11414-2026</t>
        </is>
      </c>
      <c r="B604" s="1" t="n">
        <v>46083.46336805556</v>
      </c>
      <c r="C604" s="1" t="n">
        <v>46126</v>
      </c>
      <c r="D604" t="inlineStr">
        <is>
          <t>GOTLANDS LÄN</t>
        </is>
      </c>
      <c r="E604" t="inlineStr">
        <is>
          <t>GOTLAND</t>
        </is>
      </c>
      <c r="G604" t="n">
        <v>4.9</v>
      </c>
      <c r="H604" t="n">
        <v>0</v>
      </c>
      <c r="I604" t="n">
        <v>0</v>
      </c>
      <c r="J604" t="n">
        <v>0</v>
      </c>
      <c r="K604" t="n">
        <v>0</v>
      </c>
      <c r="L604" t="n">
        <v>0</v>
      </c>
      <c r="M604" t="n">
        <v>0</v>
      </c>
      <c r="N604" t="n">
        <v>0</v>
      </c>
      <c r="O604" t="n">
        <v>0</v>
      </c>
      <c r="P604" t="n">
        <v>0</v>
      </c>
      <c r="Q604" t="n">
        <v>0</v>
      </c>
      <c r="R604" s="2" t="inlineStr"/>
    </row>
    <row r="605" ht="15" customHeight="1">
      <c r="A605" t="inlineStr">
        <is>
          <t>A 17943-2026</t>
        </is>
      </c>
      <c r="B605" s="1" t="n">
        <v>46122</v>
      </c>
      <c r="C605" s="1" t="n">
        <v>46126</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60675-2021</t>
        </is>
      </c>
      <c r="B606" s="1" t="n">
        <v>44496.64855324074</v>
      </c>
      <c r="C606" s="1" t="n">
        <v>46126</v>
      </c>
      <c r="D606" t="inlineStr">
        <is>
          <t>GOTLANDS LÄN</t>
        </is>
      </c>
      <c r="E606" t="inlineStr">
        <is>
          <t>GOTLAND</t>
        </is>
      </c>
      <c r="G606" t="n">
        <v>4.6</v>
      </c>
      <c r="H606" t="n">
        <v>0</v>
      </c>
      <c r="I606" t="n">
        <v>0</v>
      </c>
      <c r="J606" t="n">
        <v>0</v>
      </c>
      <c r="K606" t="n">
        <v>0</v>
      </c>
      <c r="L606" t="n">
        <v>0</v>
      </c>
      <c r="M606" t="n">
        <v>0</v>
      </c>
      <c r="N606" t="n">
        <v>0</v>
      </c>
      <c r="O606" t="n">
        <v>0</v>
      </c>
      <c r="P606" t="n">
        <v>0</v>
      </c>
      <c r="Q606" t="n">
        <v>0</v>
      </c>
      <c r="R606" s="2" t="inlineStr"/>
    </row>
    <row r="607" ht="15" customHeight="1">
      <c r="A607" t="inlineStr">
        <is>
          <t>A 37728-2024</t>
        </is>
      </c>
      <c r="B607" s="1" t="n">
        <v>45541</v>
      </c>
      <c r="C607" s="1" t="n">
        <v>46126</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22287-2022</t>
        </is>
      </c>
      <c r="B608" s="1" t="n">
        <v>44712</v>
      </c>
      <c r="C608" s="1" t="n">
        <v>46126</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54074-2022</t>
        </is>
      </c>
      <c r="B609" s="1" t="n">
        <v>44881</v>
      </c>
      <c r="C609" s="1" t="n">
        <v>46126</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65249-2023</t>
        </is>
      </c>
      <c r="B610" s="1" t="n">
        <v>45290</v>
      </c>
      <c r="C610" s="1" t="n">
        <v>46126</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46126</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17780-2022</t>
        </is>
      </c>
      <c r="B612" s="1" t="n">
        <v>44682.82622685185</v>
      </c>
      <c r="C612" s="1" t="n">
        <v>46126</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46126</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11874-2024</t>
        </is>
      </c>
      <c r="B614" s="1" t="n">
        <v>45376.46956018519</v>
      </c>
      <c r="C614" s="1" t="n">
        <v>46126</v>
      </c>
      <c r="D614" t="inlineStr">
        <is>
          <t>GOTLANDS LÄN</t>
        </is>
      </c>
      <c r="E614" t="inlineStr">
        <is>
          <t>GOTLAND</t>
        </is>
      </c>
      <c r="G614" t="n">
        <v>0.8</v>
      </c>
      <c r="H614" t="n">
        <v>0</v>
      </c>
      <c r="I614" t="n">
        <v>0</v>
      </c>
      <c r="J614" t="n">
        <v>0</v>
      </c>
      <c r="K614" t="n">
        <v>0</v>
      </c>
      <c r="L614" t="n">
        <v>0</v>
      </c>
      <c r="M614" t="n">
        <v>0</v>
      </c>
      <c r="N614" t="n">
        <v>0</v>
      </c>
      <c r="O614" t="n">
        <v>0</v>
      </c>
      <c r="P614" t="n">
        <v>0</v>
      </c>
      <c r="Q614" t="n">
        <v>0</v>
      </c>
      <c r="R614" s="2" t="inlineStr"/>
    </row>
    <row r="615" ht="15" customHeight="1">
      <c r="A615" t="inlineStr">
        <is>
          <t>A 42041-2024</t>
        </is>
      </c>
      <c r="B615" s="1" t="n">
        <v>45561</v>
      </c>
      <c r="C615" s="1" t="n">
        <v>46126</v>
      </c>
      <c r="D615" t="inlineStr">
        <is>
          <t>GOTLANDS LÄN</t>
        </is>
      </c>
      <c r="E615" t="inlineStr">
        <is>
          <t>GOTLAND</t>
        </is>
      </c>
      <c r="G615" t="n">
        <v>3.2</v>
      </c>
      <c r="H615" t="n">
        <v>0</v>
      </c>
      <c r="I615" t="n">
        <v>0</v>
      </c>
      <c r="J615" t="n">
        <v>0</v>
      </c>
      <c r="K615" t="n">
        <v>0</v>
      </c>
      <c r="L615" t="n">
        <v>0</v>
      </c>
      <c r="M615" t="n">
        <v>0</v>
      </c>
      <c r="N615" t="n">
        <v>0</v>
      </c>
      <c r="O615" t="n">
        <v>0</v>
      </c>
      <c r="P615" t="n">
        <v>0</v>
      </c>
      <c r="Q615" t="n">
        <v>0</v>
      </c>
      <c r="R615" s="2" t="inlineStr"/>
    </row>
    <row r="616" ht="15" customHeight="1">
      <c r="A616" t="inlineStr">
        <is>
          <t>A 61694-2023</t>
        </is>
      </c>
      <c r="B616" s="1" t="n">
        <v>45264</v>
      </c>
      <c r="C616" s="1" t="n">
        <v>46126</v>
      </c>
      <c r="D616" t="inlineStr">
        <is>
          <t>GOTLANDS LÄN</t>
        </is>
      </c>
      <c r="E616" t="inlineStr">
        <is>
          <t>GOTLAND</t>
        </is>
      </c>
      <c r="G616" t="n">
        <v>4.6</v>
      </c>
      <c r="H616" t="n">
        <v>0</v>
      </c>
      <c r="I616" t="n">
        <v>0</v>
      </c>
      <c r="J616" t="n">
        <v>0</v>
      </c>
      <c r="K616" t="n">
        <v>0</v>
      </c>
      <c r="L616" t="n">
        <v>0</v>
      </c>
      <c r="M616" t="n">
        <v>0</v>
      </c>
      <c r="N616" t="n">
        <v>0</v>
      </c>
      <c r="O616" t="n">
        <v>0</v>
      </c>
      <c r="P616" t="n">
        <v>0</v>
      </c>
      <c r="Q616" t="n">
        <v>0</v>
      </c>
      <c r="R616" s="2" t="inlineStr"/>
    </row>
    <row r="617" ht="15" customHeight="1">
      <c r="A617" t="inlineStr">
        <is>
          <t>A 64555-2023</t>
        </is>
      </c>
      <c r="B617" s="1" t="n">
        <v>45281</v>
      </c>
      <c r="C617" s="1" t="n">
        <v>46126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64831-2023</t>
        </is>
      </c>
      <c r="B618" s="1" t="n">
        <v>45282.44924768519</v>
      </c>
      <c r="C618" s="1" t="n">
        <v>46126</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999-2023</t>
        </is>
      </c>
      <c r="B619" s="1" t="n">
        <v>44935</v>
      </c>
      <c r="C619" s="1" t="n">
        <v>46126</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46126</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4377-2023</t>
        </is>
      </c>
      <c r="B621" s="1" t="n">
        <v>44955.5502662037</v>
      </c>
      <c r="C621" s="1" t="n">
        <v>46126</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4387-2023</t>
        </is>
      </c>
      <c r="B622" s="1" t="n">
        <v>44955.73359953704</v>
      </c>
      <c r="C622" s="1" t="n">
        <v>46126</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39479-2022</t>
        </is>
      </c>
      <c r="B623" s="1" t="n">
        <v>44818</v>
      </c>
      <c r="C623" s="1" t="n">
        <v>46126</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51963-2024</t>
        </is>
      </c>
      <c r="B624" s="1" t="n">
        <v>45607.64833333333</v>
      </c>
      <c r="C624" s="1" t="n">
        <v>46126</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811-2023</t>
        </is>
      </c>
      <c r="B625" s="1" t="n">
        <v>44931</v>
      </c>
      <c r="C625" s="1" t="n">
        <v>46126</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46389-2021</t>
        </is>
      </c>
      <c r="B626" s="1" t="n">
        <v>44443</v>
      </c>
      <c r="C626" s="1" t="n">
        <v>46126</v>
      </c>
      <c r="D626" t="inlineStr">
        <is>
          <t>GOTLANDS LÄN</t>
        </is>
      </c>
      <c r="E626" t="inlineStr">
        <is>
          <t>GOTLAND</t>
        </is>
      </c>
      <c r="F626" t="inlineStr">
        <is>
          <t>Kyrkan</t>
        </is>
      </c>
      <c r="G626" t="n">
        <v>2.1</v>
      </c>
      <c r="H626" t="n">
        <v>0</v>
      </c>
      <c r="I626" t="n">
        <v>0</v>
      </c>
      <c r="J626" t="n">
        <v>0</v>
      </c>
      <c r="K626" t="n">
        <v>0</v>
      </c>
      <c r="L626" t="n">
        <v>0</v>
      </c>
      <c r="M626" t="n">
        <v>0</v>
      </c>
      <c r="N626" t="n">
        <v>0</v>
      </c>
      <c r="O626" t="n">
        <v>0</v>
      </c>
      <c r="P626" t="n">
        <v>0</v>
      </c>
      <c r="Q626" t="n">
        <v>0</v>
      </c>
      <c r="R626" s="2" t="inlineStr"/>
    </row>
    <row r="627" ht="15" customHeight="1">
      <c r="A627" t="inlineStr">
        <is>
          <t>A 26810-2021</t>
        </is>
      </c>
      <c r="B627" s="1" t="n">
        <v>44349.55087962963</v>
      </c>
      <c r="C627" s="1" t="n">
        <v>46126</v>
      </c>
      <c r="D627" t="inlineStr">
        <is>
          <t>GOTLANDS LÄN</t>
        </is>
      </c>
      <c r="E627" t="inlineStr">
        <is>
          <t>GOTLAND</t>
        </is>
      </c>
      <c r="G627" t="n">
        <v>3.5</v>
      </c>
      <c r="H627" t="n">
        <v>0</v>
      </c>
      <c r="I627" t="n">
        <v>0</v>
      </c>
      <c r="J627" t="n">
        <v>0</v>
      </c>
      <c r="K627" t="n">
        <v>0</v>
      </c>
      <c r="L627" t="n">
        <v>0</v>
      </c>
      <c r="M627" t="n">
        <v>0</v>
      </c>
      <c r="N627" t="n">
        <v>0</v>
      </c>
      <c r="O627" t="n">
        <v>0</v>
      </c>
      <c r="P627" t="n">
        <v>0</v>
      </c>
      <c r="Q627" t="n">
        <v>0</v>
      </c>
      <c r="R627" s="2" t="inlineStr"/>
    </row>
    <row r="628" ht="15" customHeight="1">
      <c r="A628" t="inlineStr">
        <is>
          <t>A 5923-2023</t>
        </is>
      </c>
      <c r="B628" s="1" t="n">
        <v>44963.69503472222</v>
      </c>
      <c r="C628" s="1" t="n">
        <v>46126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46126</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18918-2025</t>
        </is>
      </c>
      <c r="B630" s="1" t="n">
        <v>45764</v>
      </c>
      <c r="C630" s="1" t="n">
        <v>46126</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2674-2023</t>
        </is>
      </c>
      <c r="B631" s="1" t="n">
        <v>44944</v>
      </c>
      <c r="C631" s="1" t="n">
        <v>46126</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10655-2023</t>
        </is>
      </c>
      <c r="B632" s="1" t="n">
        <v>44988.49543981482</v>
      </c>
      <c r="C632" s="1" t="n">
        <v>46126</v>
      </c>
      <c r="D632" t="inlineStr">
        <is>
          <t>GOTLANDS LÄN</t>
        </is>
      </c>
      <c r="E632" t="inlineStr">
        <is>
          <t>GOTLAND</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2719-2023</t>
        </is>
      </c>
      <c r="B633" s="1" t="n">
        <v>44944.55361111111</v>
      </c>
      <c r="C633" s="1" t="n">
        <v>46126</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26891-2024</t>
        </is>
      </c>
      <c r="B634" s="1" t="n">
        <v>45470.65540509259</v>
      </c>
      <c r="C634" s="1" t="n">
        <v>46126</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42007-2023</t>
        </is>
      </c>
      <c r="B635" s="1" t="n">
        <v>45177</v>
      </c>
      <c r="C635" s="1" t="n">
        <v>46126</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9887-2025</t>
        </is>
      </c>
      <c r="B636" s="1" t="n">
        <v>45716</v>
      </c>
      <c r="C636" s="1" t="n">
        <v>46126</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46126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46126</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24825-2024</t>
        </is>
      </c>
      <c r="B639" s="1" t="n">
        <v>45461</v>
      </c>
      <c r="C639" s="1" t="n">
        <v>46126</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6696-2023</t>
        </is>
      </c>
      <c r="B640" s="1" t="n">
        <v>44966.66425925926</v>
      </c>
      <c r="C640" s="1" t="n">
        <v>46126</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21247-2022</t>
        </is>
      </c>
      <c r="B641" s="1" t="n">
        <v>44705.38832175926</v>
      </c>
      <c r="C641" s="1" t="n">
        <v>46126</v>
      </c>
      <c r="D641" t="inlineStr">
        <is>
          <t>GOTLANDS LÄN</t>
        </is>
      </c>
      <c r="E641" t="inlineStr">
        <is>
          <t>GOTLAND</t>
        </is>
      </c>
      <c r="G641" t="n">
        <v>16.2</v>
      </c>
      <c r="H641" t="n">
        <v>0</v>
      </c>
      <c r="I641" t="n">
        <v>0</v>
      </c>
      <c r="J641" t="n">
        <v>0</v>
      </c>
      <c r="K641" t="n">
        <v>0</v>
      </c>
      <c r="L641" t="n">
        <v>0</v>
      </c>
      <c r="M641" t="n">
        <v>0</v>
      </c>
      <c r="N641" t="n">
        <v>0</v>
      </c>
      <c r="O641" t="n">
        <v>0</v>
      </c>
      <c r="P641" t="n">
        <v>0</v>
      </c>
      <c r="Q641" t="n">
        <v>0</v>
      </c>
      <c r="R641" s="2" t="inlineStr"/>
    </row>
    <row r="642" ht="15" customHeight="1">
      <c r="A642" t="inlineStr">
        <is>
          <t>A 456-2023</t>
        </is>
      </c>
      <c r="B642" s="1" t="n">
        <v>44929.87122685185</v>
      </c>
      <c r="C642" s="1" t="n">
        <v>46126</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row r="643" ht="15" customHeight="1">
      <c r="A643" t="inlineStr">
        <is>
          <t>A 2714-2023</t>
        </is>
      </c>
      <c r="B643" s="1" t="n">
        <v>44944.54896990741</v>
      </c>
      <c r="C643" s="1" t="n">
        <v>46126</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4421-2024</t>
        </is>
      </c>
      <c r="B644" s="1" t="n">
        <v>45327.45173611111</v>
      </c>
      <c r="C644" s="1" t="n">
        <v>46126</v>
      </c>
      <c r="D644" t="inlineStr">
        <is>
          <t>GOTLANDS LÄN</t>
        </is>
      </c>
      <c r="E644" t="inlineStr">
        <is>
          <t>GOTLAND</t>
        </is>
      </c>
      <c r="G644" t="n">
        <v>5.1</v>
      </c>
      <c r="H644" t="n">
        <v>0</v>
      </c>
      <c r="I644" t="n">
        <v>0</v>
      </c>
      <c r="J644" t="n">
        <v>0</v>
      </c>
      <c r="K644" t="n">
        <v>0</v>
      </c>
      <c r="L644" t="n">
        <v>0</v>
      </c>
      <c r="M644" t="n">
        <v>0</v>
      </c>
      <c r="N644" t="n">
        <v>0</v>
      </c>
      <c r="O644" t="n">
        <v>0</v>
      </c>
      <c r="P644" t="n">
        <v>0</v>
      </c>
      <c r="Q644" t="n">
        <v>0</v>
      </c>
      <c r="R644" s="2" t="inlineStr"/>
    </row>
    <row r="645" ht="15" customHeight="1">
      <c r="A645" t="inlineStr">
        <is>
          <t>A 51782-2023</t>
        </is>
      </c>
      <c r="B645" s="1" t="n">
        <v>45222.80952546297</v>
      </c>
      <c r="C645" s="1" t="n">
        <v>46126</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54268-2022</t>
        </is>
      </c>
      <c r="B646" s="1" t="n">
        <v>44882</v>
      </c>
      <c r="C646" s="1" t="n">
        <v>46126</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c r="A647" t="inlineStr">
        <is>
          <t>A 57534-2022</t>
        </is>
      </c>
      <c r="B647" s="1" t="n">
        <v>44896</v>
      </c>
      <c r="C647" s="1" t="n">
        <v>46126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2026-04-14T10:31:44Z</dcterms:created>
  <dcterms:modified xmlns:dcterms="http://purl.org/dc/terms/" xmlns:xsi="http://www.w3.org/2001/XMLSchema-instance" xsi:type="dcterms:W3CDTF">2026-04-14T10:31:45Z</dcterms:modified>
</cp:coreProperties>
</file>