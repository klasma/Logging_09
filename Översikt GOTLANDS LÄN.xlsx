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45916</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45916</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45916</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4572-2025</t>
        </is>
      </c>
      <c r="B10" s="1" t="n">
        <v>45687</v>
      </c>
      <c r="C10" s="1" t="n">
        <v>45916</v>
      </c>
      <c r="D10" t="inlineStr">
        <is>
          <t>GOTLANDS LÄN</t>
        </is>
      </c>
      <c r="E10" t="inlineStr">
        <is>
          <t>GOTLAND</t>
        </is>
      </c>
      <c r="G10" t="n">
        <v>6.2</v>
      </c>
      <c r="H10" t="n">
        <v>13</v>
      </c>
      <c r="I10" t="n">
        <v>3</v>
      </c>
      <c r="J10" t="n">
        <v>10</v>
      </c>
      <c r="K10" t="n">
        <v>1</v>
      </c>
      <c r="L10" t="n">
        <v>1</v>
      </c>
      <c r="M10" t="n">
        <v>0</v>
      </c>
      <c r="N10" t="n">
        <v>0</v>
      </c>
      <c r="O10" t="n">
        <v>12</v>
      </c>
      <c r="P10" t="n">
        <v>2</v>
      </c>
      <c r="Q10" t="n">
        <v>20</v>
      </c>
      <c r="R10" s="2" t="inlineStr">
        <is>
          <t>Brun glada
Granrotsspindling
Apollofjäril
Axveronika
Backtimjan
Havsörn
Jordtistel
Mindre hackspett
Reliktbock
Solvända
Spillkråka
Svartfläckig blåvinge
Anisspindling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569-2023</t>
        </is>
      </c>
      <c r="B11" s="1" t="n">
        <v>44930</v>
      </c>
      <c r="C11" s="1" t="n">
        <v>45916</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45916</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45916</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45916</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45916</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45916</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45916</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45916</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25779-2022</t>
        </is>
      </c>
      <c r="B22" s="1" t="n">
        <v>44733</v>
      </c>
      <c r="C22" s="1" t="n">
        <v>45916</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45916</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45916</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45916</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30236-2025</t>
        </is>
      </c>
      <c r="B26" s="1" t="n">
        <v>45827</v>
      </c>
      <c r="C26" s="1" t="n">
        <v>45916</v>
      </c>
      <c r="D26" t="inlineStr">
        <is>
          <t>GOTLANDS LÄN</t>
        </is>
      </c>
      <c r="E26" t="inlineStr">
        <is>
          <t>GOTLAND</t>
        </is>
      </c>
      <c r="G26" t="n">
        <v>13.6</v>
      </c>
      <c r="H26" t="n">
        <v>8</v>
      </c>
      <c r="I26" t="n">
        <v>6</v>
      </c>
      <c r="J26" t="n">
        <v>4</v>
      </c>
      <c r="K26" t="n">
        <v>0</v>
      </c>
      <c r="L26" t="n">
        <v>0</v>
      </c>
      <c r="M26" t="n">
        <v>0</v>
      </c>
      <c r="N26" t="n">
        <v>0</v>
      </c>
      <c r="O26" t="n">
        <v>4</v>
      </c>
      <c r="P26" t="n">
        <v>0</v>
      </c>
      <c r="Q26" t="n">
        <v>13</v>
      </c>
      <c r="R26" s="2" t="inlineStr">
        <is>
          <t>Jordtistel
Reliktbock
Spillkråka
Svinrot
Blåmossa
Grönpyrola
Nästrot
Purpurknipprot
Tvåblad
Vit skogslilja
Grönvit nattviol
Nattviol
Sankt pers nycklar</t>
        </is>
      </c>
      <c r="S26">
        <f>HYPERLINK("https://klasma.github.io/Logging_0980/artfynd/A 30236-2025 artfynd.xlsx", "A 30236-2025")</f>
        <v/>
      </c>
      <c r="T26">
        <f>HYPERLINK("https://klasma.github.io/Logging_0980/kartor/A 30236-2025 karta.png", "A 30236-2025")</f>
        <v/>
      </c>
      <c r="V26">
        <f>HYPERLINK("https://klasma.github.io/Logging_0980/klagomål/A 30236-2025 FSC-klagomål.docx", "A 30236-2025")</f>
        <v/>
      </c>
      <c r="W26">
        <f>HYPERLINK("https://klasma.github.io/Logging_0980/klagomålsmail/A 30236-2025 FSC-klagomål mail.docx", "A 30236-2025")</f>
        <v/>
      </c>
      <c r="X26">
        <f>HYPERLINK("https://klasma.github.io/Logging_0980/tillsyn/A 30236-2025 tillsynsbegäran.docx", "A 30236-2025")</f>
        <v/>
      </c>
      <c r="Y26">
        <f>HYPERLINK("https://klasma.github.io/Logging_0980/tillsynsmail/A 30236-2025 tillsynsbegäran mail.docx", "A 30236-2025")</f>
        <v/>
      </c>
      <c r="Z26">
        <f>HYPERLINK("https://klasma.github.io/Logging_0980/fåglar/A 30236-2025 prioriterade fågelarter.docx", "A 30236-2025")</f>
        <v/>
      </c>
    </row>
    <row r="27" ht="15" customHeight="1">
      <c r="A27" t="inlineStr">
        <is>
          <t>A 445-2023</t>
        </is>
      </c>
      <c r="B27" s="1" t="n">
        <v>44929</v>
      </c>
      <c r="C27" s="1" t="n">
        <v>45916</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2804-2023</t>
        </is>
      </c>
      <c r="B28" s="1" t="n">
        <v>44944</v>
      </c>
      <c r="C28" s="1" t="n">
        <v>45916</v>
      </c>
      <c r="D28" t="inlineStr">
        <is>
          <t>GOTLANDS LÄN</t>
        </is>
      </c>
      <c r="E28" t="inlineStr">
        <is>
          <t>GOTLAND</t>
        </is>
      </c>
      <c r="G28" t="n">
        <v>7.6</v>
      </c>
      <c r="H28" t="n">
        <v>2</v>
      </c>
      <c r="I28" t="n">
        <v>4</v>
      </c>
      <c r="J28" t="n">
        <v>4</v>
      </c>
      <c r="K28" t="n">
        <v>3</v>
      </c>
      <c r="L28" t="n">
        <v>0</v>
      </c>
      <c r="M28" t="n">
        <v>0</v>
      </c>
      <c r="N28" t="n">
        <v>0</v>
      </c>
      <c r="O28" t="n">
        <v>7</v>
      </c>
      <c r="P28" t="n">
        <v>3</v>
      </c>
      <c r="Q28" t="n">
        <v>13</v>
      </c>
      <c r="R28" s="2" t="inlineStr">
        <is>
          <t>Granrotsspindling
Narrspindling
Violettfläckig spindling
Ekticka
Granticka
Oxtungssvamp
Svinrot
Blå slemspindling
Fransig jordstjärna
Rödgul trumpetsvamp
Svavelriska
Sankt pers nycklar
Blåsippa</t>
        </is>
      </c>
      <c r="S28">
        <f>HYPERLINK("https://klasma.github.io/Logging_0980/artfynd/A 2804-2023 artfynd.xlsx", "A 2804-2023")</f>
        <v/>
      </c>
      <c r="T28">
        <f>HYPERLINK("https://klasma.github.io/Logging_0980/kartor/A 2804-2023 karta.png", "A 2804-2023")</f>
        <v/>
      </c>
      <c r="V28">
        <f>HYPERLINK("https://klasma.github.io/Logging_0980/klagomål/A 2804-2023 FSC-klagomål.docx", "A 2804-2023")</f>
        <v/>
      </c>
      <c r="W28">
        <f>HYPERLINK("https://klasma.github.io/Logging_0980/klagomålsmail/A 2804-2023 FSC-klagomål mail.docx", "A 2804-2023")</f>
        <v/>
      </c>
      <c r="X28">
        <f>HYPERLINK("https://klasma.github.io/Logging_0980/tillsyn/A 2804-2023 tillsynsbegäran.docx", "A 2804-2023")</f>
        <v/>
      </c>
      <c r="Y28">
        <f>HYPERLINK("https://klasma.github.io/Logging_0980/tillsynsmail/A 2804-2023 tillsynsbegäran mail.docx", "A 2804-2023")</f>
        <v/>
      </c>
    </row>
    <row r="29" ht="15" customHeight="1">
      <c r="A29" t="inlineStr">
        <is>
          <t>A 35141-2022</t>
        </is>
      </c>
      <c r="B29" s="1" t="n">
        <v>44797.53318287037</v>
      </c>
      <c r="C29" s="1" t="n">
        <v>45916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45916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3324-2023</t>
        </is>
      </c>
      <c r="B31" s="1" t="n">
        <v>44949</v>
      </c>
      <c r="C31" s="1" t="n">
        <v>45916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45916</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45916</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30542-2025</t>
        </is>
      </c>
      <c r="B34" s="1" t="n">
        <v>45831</v>
      </c>
      <c r="C34" s="1" t="n">
        <v>45916</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45916</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6052-2024</t>
        </is>
      </c>
      <c r="B36" s="1" t="n">
        <v>45336</v>
      </c>
      <c r="C36" s="1" t="n">
        <v>45916</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45916</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45916</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45916</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45916</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1719-2025</t>
        </is>
      </c>
      <c r="B41" s="1" t="n">
        <v>45671</v>
      </c>
      <c r="C41" s="1" t="n">
        <v>45916</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45916</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33153-2024</t>
        </is>
      </c>
      <c r="B43" s="1" t="n">
        <v>45518</v>
      </c>
      <c r="C43" s="1" t="n">
        <v>45916</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45916</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22404-2024</t>
        </is>
      </c>
      <c r="B45" s="1" t="n">
        <v>45446</v>
      </c>
      <c r="C45" s="1" t="n">
        <v>45916</v>
      </c>
      <c r="D45" t="inlineStr">
        <is>
          <t>GOTLANDS LÄN</t>
        </is>
      </c>
      <c r="E45" t="inlineStr">
        <is>
          <t>GOTLAND</t>
        </is>
      </c>
      <c r="G45" t="n">
        <v>11.4</v>
      </c>
      <c r="H45" t="n">
        <v>3</v>
      </c>
      <c r="I45" t="n">
        <v>7</v>
      </c>
      <c r="J45" t="n">
        <v>0</v>
      </c>
      <c r="K45" t="n">
        <v>3</v>
      </c>
      <c r="L45" t="n">
        <v>0</v>
      </c>
      <c r="M45" t="n">
        <v>0</v>
      </c>
      <c r="N45" t="n">
        <v>0</v>
      </c>
      <c r="O45" t="n">
        <v>3</v>
      </c>
      <c r="P45" t="n">
        <v>3</v>
      </c>
      <c r="Q45" t="n">
        <v>10</v>
      </c>
      <c r="R45" s="2" t="inlineStr">
        <is>
          <t>Blåfotad fagerspindling
Bullspindling
Vit taggsvamp
Barrfagerspindling
Blå slemspindling
Flugblomster
Purpurknipprot
Rödgul trumpetsvamp
Svavelriska
Tvåblad</t>
        </is>
      </c>
      <c r="S45">
        <f>HYPERLINK("https://klasma.github.io/Logging_0980/artfynd/A 22404-2024 artfynd.xlsx", "A 22404-2024")</f>
        <v/>
      </c>
      <c r="T45">
        <f>HYPERLINK("https://klasma.github.io/Logging_0980/kartor/A 22404-2024 karta.png", "A 22404-2024")</f>
        <v/>
      </c>
      <c r="V45">
        <f>HYPERLINK("https://klasma.github.io/Logging_0980/klagomål/A 22404-2024 FSC-klagomål.docx", "A 22404-2024")</f>
        <v/>
      </c>
      <c r="W45">
        <f>HYPERLINK("https://klasma.github.io/Logging_0980/klagomålsmail/A 22404-2024 FSC-klagomål mail.docx", "A 22404-2024")</f>
        <v/>
      </c>
      <c r="X45">
        <f>HYPERLINK("https://klasma.github.io/Logging_0980/tillsyn/A 22404-2024 tillsynsbegäran.docx", "A 22404-2024")</f>
        <v/>
      </c>
      <c r="Y45">
        <f>HYPERLINK("https://klasma.github.io/Logging_0980/tillsynsmail/A 22404-2024 tillsynsbegäran mail.docx", "A 22404-2024")</f>
        <v/>
      </c>
    </row>
    <row r="46" ht="15" customHeight="1">
      <c r="A46" t="inlineStr">
        <is>
          <t>A 59132-2024</t>
        </is>
      </c>
      <c r="B46" s="1" t="n">
        <v>45637</v>
      </c>
      <c r="C46" s="1" t="n">
        <v>45916</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45916</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45916</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45916</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45916</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45916</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27280-2023</t>
        </is>
      </c>
      <c r="B52" s="1" t="n">
        <v>45096</v>
      </c>
      <c r="C52" s="1" t="n">
        <v>45916</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6960-2025</t>
        </is>
      </c>
      <c r="B53" s="1" t="n">
        <v>45701.49409722222</v>
      </c>
      <c r="C53" s="1" t="n">
        <v>45916</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45248-2024</t>
        </is>
      </c>
      <c r="B54" s="1" t="n">
        <v>45576</v>
      </c>
      <c r="C54" s="1" t="n">
        <v>45916</v>
      </c>
      <c r="D54" t="inlineStr">
        <is>
          <t>GOTLANDS LÄN</t>
        </is>
      </c>
      <c r="E54" t="inlineStr">
        <is>
          <t>GOTLAND</t>
        </is>
      </c>
      <c r="G54" t="n">
        <v>9.4</v>
      </c>
      <c r="H54" t="n">
        <v>0</v>
      </c>
      <c r="I54" t="n">
        <v>3</v>
      </c>
      <c r="J54" t="n">
        <v>1</v>
      </c>
      <c r="K54" t="n">
        <v>1</v>
      </c>
      <c r="L54" t="n">
        <v>1</v>
      </c>
      <c r="M54" t="n">
        <v>1</v>
      </c>
      <c r="N54" t="n">
        <v>0</v>
      </c>
      <c r="O54" t="n">
        <v>4</v>
      </c>
      <c r="P54" t="n">
        <v>3</v>
      </c>
      <c r="Q54" t="n">
        <v>7</v>
      </c>
      <c r="R54" s="2" t="inlineStr">
        <is>
          <t>Lundalm
Ask
Mjölspindling
Oxtungssvamp
Myskmadra
Stinkbrosking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18541-2024</t>
        </is>
      </c>
      <c r="B55" s="1" t="n">
        <v>45425</v>
      </c>
      <c r="C55" s="1" t="n">
        <v>45916</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4984-2025</t>
        </is>
      </c>
      <c r="B56" s="1" t="n">
        <v>45691.29891203704</v>
      </c>
      <c r="C56" s="1" t="n">
        <v>45916</v>
      </c>
      <c r="D56" t="inlineStr">
        <is>
          <t>GOTLANDS LÄN</t>
        </is>
      </c>
      <c r="E56" t="inlineStr">
        <is>
          <t>GOTLAND</t>
        </is>
      </c>
      <c r="G56" t="n">
        <v>1.3</v>
      </c>
      <c r="H56" t="n">
        <v>4</v>
      </c>
      <c r="I56" t="n">
        <v>2</v>
      </c>
      <c r="J56" t="n">
        <v>3</v>
      </c>
      <c r="K56" t="n">
        <v>0</v>
      </c>
      <c r="L56" t="n">
        <v>0</v>
      </c>
      <c r="M56" t="n">
        <v>0</v>
      </c>
      <c r="N56" t="n">
        <v>0</v>
      </c>
      <c r="O56" t="n">
        <v>3</v>
      </c>
      <c r="P56" t="n">
        <v>0</v>
      </c>
      <c r="Q56" t="n">
        <v>7</v>
      </c>
      <c r="R56" s="2" t="inlineStr">
        <is>
          <t>Gulsparv
Jordtistel
Svinrot
Grönpyrola
Tvåblad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10419-2025</t>
        </is>
      </c>
      <c r="B57" s="1" t="n">
        <v>45720</v>
      </c>
      <c r="C57" s="1" t="n">
        <v>45916</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45916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45916</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54527-2023</t>
        </is>
      </c>
      <c r="B60" s="1" t="n">
        <v>45233</v>
      </c>
      <c r="C60" s="1" t="n">
        <v>45916</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16823-2024</t>
        </is>
      </c>
      <c r="B61" s="1" t="n">
        <v>45411</v>
      </c>
      <c r="C61" s="1" t="n">
        <v>45916</v>
      </c>
      <c r="D61" t="inlineStr">
        <is>
          <t>GOTLANDS LÄN</t>
        </is>
      </c>
      <c r="E61" t="inlineStr">
        <is>
          <t>GOTLAND</t>
        </is>
      </c>
      <c r="G61" t="n">
        <v>25.4</v>
      </c>
      <c r="H61" t="n">
        <v>5</v>
      </c>
      <c r="I61" t="n">
        <v>1</v>
      </c>
      <c r="J61" t="n">
        <v>2</v>
      </c>
      <c r="K61" t="n">
        <v>0</v>
      </c>
      <c r="L61" t="n">
        <v>0</v>
      </c>
      <c r="M61" t="n">
        <v>0</v>
      </c>
      <c r="N61" t="n">
        <v>0</v>
      </c>
      <c r="O61" t="n">
        <v>2</v>
      </c>
      <c r="P61" t="n">
        <v>0</v>
      </c>
      <c r="Q61" t="n">
        <v>6</v>
      </c>
      <c r="R61" s="2" t="inlineStr">
        <is>
          <t>Gulsparv
Jordtistel
Flugblomster
Brudsporre
Johannesnycklar
Sankt pers nycklar</t>
        </is>
      </c>
      <c r="S61">
        <f>HYPERLINK("https://klasma.github.io/Logging_0980/artfynd/A 16823-2024 artfynd.xlsx", "A 16823-2024")</f>
        <v/>
      </c>
      <c r="T61">
        <f>HYPERLINK("https://klasma.github.io/Logging_0980/kartor/A 16823-2024 karta.png", "A 16823-2024")</f>
        <v/>
      </c>
      <c r="V61">
        <f>HYPERLINK("https://klasma.github.io/Logging_0980/klagomål/A 16823-2024 FSC-klagomål.docx", "A 16823-2024")</f>
        <v/>
      </c>
      <c r="W61">
        <f>HYPERLINK("https://klasma.github.io/Logging_0980/klagomålsmail/A 16823-2024 FSC-klagomål mail.docx", "A 16823-2024")</f>
        <v/>
      </c>
      <c r="X61">
        <f>HYPERLINK("https://klasma.github.io/Logging_0980/tillsyn/A 16823-2024 tillsynsbegäran.docx", "A 16823-2024")</f>
        <v/>
      </c>
      <c r="Y61">
        <f>HYPERLINK("https://klasma.github.io/Logging_0980/tillsynsmail/A 16823-2024 tillsynsbegäran mail.docx", "A 16823-2024")</f>
        <v/>
      </c>
      <c r="Z61">
        <f>HYPERLINK("https://klasma.github.io/Logging_0980/fåglar/A 16823-2024 prioriterade fågelarter.docx", "A 16823-2024")</f>
        <v/>
      </c>
    </row>
    <row r="62" ht="15" customHeight="1">
      <c r="A62" t="inlineStr">
        <is>
          <t>A 65819-2020</t>
        </is>
      </c>
      <c r="B62" s="1" t="n">
        <v>44174</v>
      </c>
      <c r="C62" s="1" t="n">
        <v>45916</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7038-2023</t>
        </is>
      </c>
      <c r="B63" s="1" t="n">
        <v>44968</v>
      </c>
      <c r="C63" s="1" t="n">
        <v>45916</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446-2023</t>
        </is>
      </c>
      <c r="B64" s="1" t="n">
        <v>44929</v>
      </c>
      <c r="C64" s="1" t="n">
        <v>45916</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45916</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16375-2025</t>
        </is>
      </c>
      <c r="B66" s="1" t="n">
        <v>45751.41064814815</v>
      </c>
      <c r="C66" s="1" t="n">
        <v>45916</v>
      </c>
      <c r="D66" t="inlineStr">
        <is>
          <t>GOTLANDS LÄN</t>
        </is>
      </c>
      <c r="E66" t="inlineStr">
        <is>
          <t>GOTLAND</t>
        </is>
      </c>
      <c r="G66" t="n">
        <v>1.9</v>
      </c>
      <c r="H66" t="n">
        <v>3</v>
      </c>
      <c r="I66" t="n">
        <v>3</v>
      </c>
      <c r="J66" t="n">
        <v>1</v>
      </c>
      <c r="K66" t="n">
        <v>0</v>
      </c>
      <c r="L66" t="n">
        <v>1</v>
      </c>
      <c r="M66" t="n">
        <v>0</v>
      </c>
      <c r="N66" t="n">
        <v>0</v>
      </c>
      <c r="O66" t="n">
        <v>2</v>
      </c>
      <c r="P66" t="n">
        <v>1</v>
      </c>
      <c r="Q66" t="n">
        <v>5</v>
      </c>
      <c r="R66" s="2" t="inlineStr">
        <is>
          <t>Ask
Spillkråka
Blåmossa
Nästrot
Tvåblad</t>
        </is>
      </c>
      <c r="S66">
        <f>HYPERLINK("https://klasma.github.io/Logging_0980/artfynd/A 16375-2025 artfynd.xlsx", "A 16375-2025")</f>
        <v/>
      </c>
      <c r="T66">
        <f>HYPERLINK("https://klasma.github.io/Logging_0980/kartor/A 16375-2025 karta.png", "A 16375-2025")</f>
        <v/>
      </c>
      <c r="V66">
        <f>HYPERLINK("https://klasma.github.io/Logging_0980/klagomål/A 16375-2025 FSC-klagomål.docx", "A 16375-2025")</f>
        <v/>
      </c>
      <c r="W66">
        <f>HYPERLINK("https://klasma.github.io/Logging_0980/klagomålsmail/A 16375-2025 FSC-klagomål mail.docx", "A 16375-2025")</f>
        <v/>
      </c>
      <c r="X66">
        <f>HYPERLINK("https://klasma.github.io/Logging_0980/tillsyn/A 16375-2025 tillsynsbegäran.docx", "A 16375-2025")</f>
        <v/>
      </c>
      <c r="Y66">
        <f>HYPERLINK("https://klasma.github.io/Logging_0980/tillsynsmail/A 16375-2025 tillsynsbegäran mail.docx", "A 16375-2025")</f>
        <v/>
      </c>
      <c r="Z66">
        <f>HYPERLINK("https://klasma.github.io/Logging_0980/fåglar/A 16375-2025 prioriterade fågelarter.docx", "A 16375-2025")</f>
        <v/>
      </c>
    </row>
    <row r="67" ht="15" customHeight="1">
      <c r="A67" t="inlineStr">
        <is>
          <t>A 42936-2024</t>
        </is>
      </c>
      <c r="B67" s="1" t="n">
        <v>45567</v>
      </c>
      <c r="C67" s="1" t="n">
        <v>45916</v>
      </c>
      <c r="D67" t="inlineStr">
        <is>
          <t>GOTLANDS LÄN</t>
        </is>
      </c>
      <c r="E67" t="inlineStr">
        <is>
          <t>GOTLAND</t>
        </is>
      </c>
      <c r="G67" t="n">
        <v>3.4</v>
      </c>
      <c r="H67" t="n">
        <v>0</v>
      </c>
      <c r="I67" t="n">
        <v>3</v>
      </c>
      <c r="J67" t="n">
        <v>1</v>
      </c>
      <c r="K67" t="n">
        <v>1</v>
      </c>
      <c r="L67" t="n">
        <v>0</v>
      </c>
      <c r="M67" t="n">
        <v>0</v>
      </c>
      <c r="N67" t="n">
        <v>0</v>
      </c>
      <c r="O67" t="n">
        <v>2</v>
      </c>
      <c r="P67" t="n">
        <v>1</v>
      </c>
      <c r="Q67" t="n">
        <v>5</v>
      </c>
      <c r="R67" s="2" t="inlineStr">
        <is>
          <t>Vit taggsvamp
Äggspindling
Barrfagerspindling
Blå slemspindling
Svavelriska</t>
        </is>
      </c>
      <c r="S67">
        <f>HYPERLINK("https://klasma.github.io/Logging_0980/artfynd/A 42936-2024 artfynd.xlsx", "A 42936-2024")</f>
        <v/>
      </c>
      <c r="T67">
        <f>HYPERLINK("https://klasma.github.io/Logging_0980/kartor/A 42936-2024 karta.png", "A 42936-2024")</f>
        <v/>
      </c>
      <c r="V67">
        <f>HYPERLINK("https://klasma.github.io/Logging_0980/klagomål/A 42936-2024 FSC-klagomål.docx", "A 42936-2024")</f>
        <v/>
      </c>
      <c r="W67">
        <f>HYPERLINK("https://klasma.github.io/Logging_0980/klagomålsmail/A 42936-2024 FSC-klagomål mail.docx", "A 42936-2024")</f>
        <v/>
      </c>
      <c r="X67">
        <f>HYPERLINK("https://klasma.github.io/Logging_0980/tillsyn/A 42936-2024 tillsynsbegäran.docx", "A 42936-2024")</f>
        <v/>
      </c>
      <c r="Y67">
        <f>HYPERLINK("https://klasma.github.io/Logging_0980/tillsynsmail/A 42936-2024 tillsynsbegäran mail.docx", "A 42936-2024")</f>
        <v/>
      </c>
    </row>
    <row r="68" ht="15" customHeight="1">
      <c r="A68" t="inlineStr">
        <is>
          <t>A 54055-2022</t>
        </is>
      </c>
      <c r="B68" s="1" t="n">
        <v>44881</v>
      </c>
      <c r="C68" s="1" t="n">
        <v>45916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32326-2024</t>
        </is>
      </c>
      <c r="B69" s="1" t="n">
        <v>45512</v>
      </c>
      <c r="C69" s="1" t="n">
        <v>45916</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45916</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45916</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44944-2022</t>
        </is>
      </c>
      <c r="B72" s="1" t="n">
        <v>44841</v>
      </c>
      <c r="C72" s="1" t="n">
        <v>45916</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2213-2023</t>
        </is>
      </c>
      <c r="B73" s="1" t="n">
        <v>44942</v>
      </c>
      <c r="C73" s="1" t="n">
        <v>45916</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29331-2021</t>
        </is>
      </c>
      <c r="B74" s="1" t="n">
        <v>44361</v>
      </c>
      <c r="C74" s="1" t="n">
        <v>45916</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56717-2024</t>
        </is>
      </c>
      <c r="B75" s="1" t="n">
        <v>45628.3166550926</v>
      </c>
      <c r="C75" s="1" t="n">
        <v>45916</v>
      </c>
      <c r="D75" t="inlineStr">
        <is>
          <t>GOTLANDS LÄN</t>
        </is>
      </c>
      <c r="E75" t="inlineStr">
        <is>
          <t>GOTLAND</t>
        </is>
      </c>
      <c r="G75" t="n">
        <v>9.699999999999999</v>
      </c>
      <c r="H75" t="n">
        <v>0</v>
      </c>
      <c r="I75" t="n">
        <v>2</v>
      </c>
      <c r="J75" t="n">
        <v>2</v>
      </c>
      <c r="K75" t="n">
        <v>0</v>
      </c>
      <c r="L75" t="n">
        <v>0</v>
      </c>
      <c r="M75" t="n">
        <v>0</v>
      </c>
      <c r="N75" t="n">
        <v>0</v>
      </c>
      <c r="O75" t="n">
        <v>2</v>
      </c>
      <c r="P75" t="n">
        <v>0</v>
      </c>
      <c r="Q75" t="n">
        <v>4</v>
      </c>
      <c r="R75" s="2" t="inlineStr">
        <is>
          <t>Ekvaxskivling
Odörspindling
Fjällig taggsvamp s.str.
Kattfotslav</t>
        </is>
      </c>
      <c r="S75">
        <f>HYPERLINK("https://klasma.github.io/Logging_0980/artfynd/A 56717-2024 artfynd.xlsx", "A 56717-2024")</f>
        <v/>
      </c>
      <c r="T75">
        <f>HYPERLINK("https://klasma.github.io/Logging_0980/kartor/A 56717-2024 karta.png", "A 56717-2024")</f>
        <v/>
      </c>
      <c r="V75">
        <f>HYPERLINK("https://klasma.github.io/Logging_0980/klagomål/A 56717-2024 FSC-klagomål.docx", "A 56717-2024")</f>
        <v/>
      </c>
      <c r="W75">
        <f>HYPERLINK("https://klasma.github.io/Logging_0980/klagomålsmail/A 56717-2024 FSC-klagomål mail.docx", "A 56717-2024")</f>
        <v/>
      </c>
      <c r="X75">
        <f>HYPERLINK("https://klasma.github.io/Logging_0980/tillsyn/A 56717-2024 tillsynsbegäran.docx", "A 56717-2024")</f>
        <v/>
      </c>
      <c r="Y75">
        <f>HYPERLINK("https://klasma.github.io/Logging_0980/tillsynsmail/A 56717-2024 tillsynsbegäran mail.docx", "A 56717-2024")</f>
        <v/>
      </c>
    </row>
    <row r="76" ht="15" customHeight="1">
      <c r="A76" t="inlineStr">
        <is>
          <t>A 40099-2025</t>
        </is>
      </c>
      <c r="B76" s="1" t="n">
        <v>45894.48462962963</v>
      </c>
      <c r="C76" s="1" t="n">
        <v>45916</v>
      </c>
      <c r="D76" t="inlineStr">
        <is>
          <t>GOTLANDS LÄN</t>
        </is>
      </c>
      <c r="E76" t="inlineStr">
        <is>
          <t>GOTLAND</t>
        </is>
      </c>
      <c r="G76" t="n">
        <v>6.5</v>
      </c>
      <c r="H76" t="n">
        <v>0</v>
      </c>
      <c r="I76" t="n">
        <v>3</v>
      </c>
      <c r="J76" t="n">
        <v>0</v>
      </c>
      <c r="K76" t="n">
        <v>1</v>
      </c>
      <c r="L76" t="n">
        <v>0</v>
      </c>
      <c r="M76" t="n">
        <v>0</v>
      </c>
      <c r="N76" t="n">
        <v>0</v>
      </c>
      <c r="O76" t="n">
        <v>1</v>
      </c>
      <c r="P76" t="n">
        <v>1</v>
      </c>
      <c r="Q76" t="n">
        <v>4</v>
      </c>
      <c r="R76" s="2" t="inlineStr">
        <is>
          <t>Mörkfjällig olivspindling
Fjällig taggsvamp s.str.
Olivspindling
Svavelriska</t>
        </is>
      </c>
      <c r="S76">
        <f>HYPERLINK("https://klasma.github.io/Logging_0980/artfynd/A 40099-2025 artfynd.xlsx", "A 40099-2025")</f>
        <v/>
      </c>
      <c r="T76">
        <f>HYPERLINK("https://klasma.github.io/Logging_0980/kartor/A 40099-2025 karta.png", "A 40099-2025")</f>
        <v/>
      </c>
      <c r="V76">
        <f>HYPERLINK("https://klasma.github.io/Logging_0980/klagomål/A 40099-2025 FSC-klagomål.docx", "A 40099-2025")</f>
        <v/>
      </c>
      <c r="W76">
        <f>HYPERLINK("https://klasma.github.io/Logging_0980/klagomålsmail/A 40099-2025 FSC-klagomål mail.docx", "A 40099-2025")</f>
        <v/>
      </c>
      <c r="X76">
        <f>HYPERLINK("https://klasma.github.io/Logging_0980/tillsyn/A 40099-2025 tillsynsbegäran.docx", "A 40099-2025")</f>
        <v/>
      </c>
      <c r="Y76">
        <f>HYPERLINK("https://klasma.github.io/Logging_0980/tillsynsmail/A 40099-2025 tillsynsbegäran mail.docx", "A 40099-2025")</f>
        <v/>
      </c>
    </row>
    <row r="77" ht="15" customHeight="1">
      <c r="A77" t="inlineStr">
        <is>
          <t>A 8265-2023</t>
        </is>
      </c>
      <c r="B77" s="1" t="n">
        <v>44974</v>
      </c>
      <c r="C77" s="1" t="n">
        <v>45916</v>
      </c>
      <c r="D77" t="inlineStr">
        <is>
          <t>GOTLANDS LÄN</t>
        </is>
      </c>
      <c r="E77" t="inlineStr">
        <is>
          <t>GOTLAND</t>
        </is>
      </c>
      <c r="G77" t="n">
        <v>3.3</v>
      </c>
      <c r="H77" t="n">
        <v>4</v>
      </c>
      <c r="I77" t="n">
        <v>3</v>
      </c>
      <c r="J77" t="n">
        <v>0</v>
      </c>
      <c r="K77" t="n">
        <v>0</v>
      </c>
      <c r="L77" t="n">
        <v>0</v>
      </c>
      <c r="M77" t="n">
        <v>0</v>
      </c>
      <c r="N77" t="n">
        <v>0</v>
      </c>
      <c r="O77" t="n">
        <v>0</v>
      </c>
      <c r="P77" t="n">
        <v>0</v>
      </c>
      <c r="Q77" t="n">
        <v>4</v>
      </c>
      <c r="R77" s="2" t="inlineStr">
        <is>
          <t>Flugblomster
Purpurknipprot
Tvåblad
Salepsrot</t>
        </is>
      </c>
      <c r="S77">
        <f>HYPERLINK("https://klasma.github.io/Logging_0980/artfynd/A 8265-2023 artfynd.xlsx", "A 8265-2023")</f>
        <v/>
      </c>
      <c r="T77">
        <f>HYPERLINK("https://klasma.github.io/Logging_0980/kartor/A 8265-2023 karta.png", "A 8265-2023")</f>
        <v/>
      </c>
      <c r="V77">
        <f>HYPERLINK("https://klasma.github.io/Logging_0980/klagomål/A 8265-2023 FSC-klagomål.docx", "A 8265-2023")</f>
        <v/>
      </c>
      <c r="W77">
        <f>HYPERLINK("https://klasma.github.io/Logging_0980/klagomålsmail/A 8265-2023 FSC-klagomål mail.docx", "A 8265-2023")</f>
        <v/>
      </c>
      <c r="X77">
        <f>HYPERLINK("https://klasma.github.io/Logging_0980/tillsyn/A 8265-2023 tillsynsbegäran.docx", "A 8265-2023")</f>
        <v/>
      </c>
      <c r="Y77">
        <f>HYPERLINK("https://klasma.github.io/Logging_0980/tillsynsmail/A 8265-2023 tillsynsbegäran mail.docx", "A 8265-2023")</f>
        <v/>
      </c>
    </row>
    <row r="78" ht="15" customHeight="1">
      <c r="A78" t="inlineStr">
        <is>
          <t>A 54523-2023</t>
        </is>
      </c>
      <c r="B78" s="1" t="n">
        <v>45233</v>
      </c>
      <c r="C78" s="1" t="n">
        <v>45916</v>
      </c>
      <c r="D78" t="inlineStr">
        <is>
          <t>GOTLANDS LÄN</t>
        </is>
      </c>
      <c r="E78" t="inlineStr">
        <is>
          <t>GOTLAND</t>
        </is>
      </c>
      <c r="G78" t="n">
        <v>3.7</v>
      </c>
      <c r="H78" t="n">
        <v>2</v>
      </c>
      <c r="I78" t="n">
        <v>0</v>
      </c>
      <c r="J78" t="n">
        <v>1</v>
      </c>
      <c r="K78" t="n">
        <v>1</v>
      </c>
      <c r="L78" t="n">
        <v>0</v>
      </c>
      <c r="M78" t="n">
        <v>0</v>
      </c>
      <c r="N78" t="n">
        <v>0</v>
      </c>
      <c r="O78" t="n">
        <v>2</v>
      </c>
      <c r="P78" t="n">
        <v>1</v>
      </c>
      <c r="Q78" t="n">
        <v>4</v>
      </c>
      <c r="R78" s="2" t="inlineStr">
        <is>
          <t>Sommarklynne
Åkerkulla
Brudsporre
Kärrknipprot</t>
        </is>
      </c>
      <c r="S78">
        <f>HYPERLINK("https://klasma.github.io/Logging_0980/artfynd/A 54523-2023 artfynd.xlsx", "A 54523-2023")</f>
        <v/>
      </c>
      <c r="T78">
        <f>HYPERLINK("https://klasma.github.io/Logging_0980/kartor/A 54523-2023 karta.png", "A 54523-2023")</f>
        <v/>
      </c>
      <c r="V78">
        <f>HYPERLINK("https://klasma.github.io/Logging_0980/klagomål/A 54523-2023 FSC-klagomål.docx", "A 54523-2023")</f>
        <v/>
      </c>
      <c r="W78">
        <f>HYPERLINK("https://klasma.github.io/Logging_0980/klagomålsmail/A 54523-2023 FSC-klagomål mail.docx", "A 54523-2023")</f>
        <v/>
      </c>
      <c r="X78">
        <f>HYPERLINK("https://klasma.github.io/Logging_0980/tillsyn/A 54523-2023 tillsynsbegäran.docx", "A 54523-2023")</f>
        <v/>
      </c>
      <c r="Y78">
        <f>HYPERLINK("https://klasma.github.io/Logging_0980/tillsynsmail/A 54523-2023 tillsynsbegäran mail.docx", "A 54523-2023")</f>
        <v/>
      </c>
    </row>
    <row r="79" ht="15" customHeight="1">
      <c r="A79" t="inlineStr">
        <is>
          <t>A 2485-2025</t>
        </is>
      </c>
      <c r="B79" s="1" t="n">
        <v>45673</v>
      </c>
      <c r="C79" s="1" t="n">
        <v>45916</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20833-2024</t>
        </is>
      </c>
      <c r="B80" s="1" t="n">
        <v>45439</v>
      </c>
      <c r="C80" s="1" t="n">
        <v>45916</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6159-2023</t>
        </is>
      </c>
      <c r="B81" s="1" t="n">
        <v>44964</v>
      </c>
      <c r="C81" s="1" t="n">
        <v>45916</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43197-2023</t>
        </is>
      </c>
      <c r="B82" s="1" t="n">
        <v>45183</v>
      </c>
      <c r="C82" s="1" t="n">
        <v>45916</v>
      </c>
      <c r="D82" t="inlineStr">
        <is>
          <t>GOTLANDS LÄN</t>
        </is>
      </c>
      <c r="E82" t="inlineStr">
        <is>
          <t>GOTLAND</t>
        </is>
      </c>
      <c r="G82" t="n">
        <v>3.7</v>
      </c>
      <c r="H82" t="n">
        <v>2</v>
      </c>
      <c r="I82" t="n">
        <v>1</v>
      </c>
      <c r="J82" t="n">
        <v>1</v>
      </c>
      <c r="K82" t="n">
        <v>1</v>
      </c>
      <c r="L82" t="n">
        <v>0</v>
      </c>
      <c r="M82" t="n">
        <v>0</v>
      </c>
      <c r="N82" t="n">
        <v>0</v>
      </c>
      <c r="O82" t="n">
        <v>2</v>
      </c>
      <c r="P82" t="n">
        <v>1</v>
      </c>
      <c r="Q82" t="n">
        <v>4</v>
      </c>
      <c r="R82" s="2" t="inlineStr">
        <is>
          <t>Allékantlav
Svinrot
Skogsknipprot
Revlummer</t>
        </is>
      </c>
      <c r="S82">
        <f>HYPERLINK("https://klasma.github.io/Logging_0980/artfynd/A 43197-2023 artfynd.xlsx", "A 43197-2023")</f>
        <v/>
      </c>
      <c r="T82">
        <f>HYPERLINK("https://klasma.github.io/Logging_0980/kartor/A 43197-2023 karta.png", "A 43197-2023")</f>
        <v/>
      </c>
      <c r="V82">
        <f>HYPERLINK("https://klasma.github.io/Logging_0980/klagomål/A 43197-2023 FSC-klagomål.docx", "A 43197-2023")</f>
        <v/>
      </c>
      <c r="W82">
        <f>HYPERLINK("https://klasma.github.io/Logging_0980/klagomålsmail/A 43197-2023 FSC-klagomål mail.docx", "A 43197-2023")</f>
        <v/>
      </c>
      <c r="X82">
        <f>HYPERLINK("https://klasma.github.io/Logging_0980/tillsyn/A 43197-2023 tillsynsbegäran.docx", "A 43197-2023")</f>
        <v/>
      </c>
      <c r="Y82">
        <f>HYPERLINK("https://klasma.github.io/Logging_0980/tillsynsmail/A 43197-2023 tillsynsbegäran mail.docx", "A 43197-2023")</f>
        <v/>
      </c>
    </row>
    <row r="83" ht="15" customHeight="1">
      <c r="A83" t="inlineStr">
        <is>
          <t>A 44933-2022</t>
        </is>
      </c>
      <c r="B83" s="1" t="n">
        <v>44841</v>
      </c>
      <c r="C83" s="1" t="n">
        <v>45916</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5904-2024</t>
        </is>
      </c>
      <c r="B84" s="1" t="n">
        <v>45335</v>
      </c>
      <c r="C84" s="1" t="n">
        <v>45916</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64378-2020</t>
        </is>
      </c>
      <c r="B85" s="1" t="n">
        <v>44168</v>
      </c>
      <c r="C85" s="1" t="n">
        <v>45916</v>
      </c>
      <c r="D85" t="inlineStr">
        <is>
          <t>GOTLANDS LÄN</t>
        </is>
      </c>
      <c r="E85" t="inlineStr">
        <is>
          <t>GOTLAND</t>
        </is>
      </c>
      <c r="G85" t="n">
        <v>2.1</v>
      </c>
      <c r="H85" t="n">
        <v>0</v>
      </c>
      <c r="I85" t="n">
        <v>1</v>
      </c>
      <c r="J85" t="n">
        <v>0</v>
      </c>
      <c r="K85" t="n">
        <v>2</v>
      </c>
      <c r="L85" t="n">
        <v>1</v>
      </c>
      <c r="M85" t="n">
        <v>0</v>
      </c>
      <c r="N85" t="n">
        <v>0</v>
      </c>
      <c r="O85" t="n">
        <v>3</v>
      </c>
      <c r="P85" t="n">
        <v>3</v>
      </c>
      <c r="Q85" t="n">
        <v>4</v>
      </c>
      <c r="R85" s="2" t="inlineStr">
        <is>
          <t>Sienamusseron
Bitter taggsvamp
Duvspindling
Fjällig taggsvamp s.str.</t>
        </is>
      </c>
      <c r="S85">
        <f>HYPERLINK("https://klasma.github.io/Logging_0980/artfynd/A 64378-2020 artfynd.xlsx", "A 64378-2020")</f>
        <v/>
      </c>
      <c r="T85">
        <f>HYPERLINK("https://klasma.github.io/Logging_0980/kartor/A 64378-2020 karta.png", "A 64378-2020")</f>
        <v/>
      </c>
      <c r="V85">
        <f>HYPERLINK("https://klasma.github.io/Logging_0980/klagomål/A 64378-2020 FSC-klagomål.docx", "A 64378-2020")</f>
        <v/>
      </c>
      <c r="W85">
        <f>HYPERLINK("https://klasma.github.io/Logging_0980/klagomålsmail/A 64378-2020 FSC-klagomål mail.docx", "A 64378-2020")</f>
        <v/>
      </c>
      <c r="X85">
        <f>HYPERLINK("https://klasma.github.io/Logging_0980/tillsyn/A 64378-2020 tillsynsbegäran.docx", "A 64378-2020")</f>
        <v/>
      </c>
      <c r="Y85">
        <f>HYPERLINK("https://klasma.github.io/Logging_0980/tillsynsmail/A 64378-2020 tillsynsbegäran mail.docx", "A 64378-2020")</f>
        <v/>
      </c>
    </row>
    <row r="86" ht="15" customHeight="1">
      <c r="A86" t="inlineStr">
        <is>
          <t>A 1971-2023</t>
        </is>
      </c>
      <c r="B86" s="1" t="n">
        <v>44939</v>
      </c>
      <c r="C86" s="1" t="n">
        <v>45916</v>
      </c>
      <c r="D86" t="inlineStr">
        <is>
          <t>GOTLANDS LÄN</t>
        </is>
      </c>
      <c r="E86" t="inlineStr">
        <is>
          <t>GOTLAND</t>
        </is>
      </c>
      <c r="G86" t="n">
        <v>5.5</v>
      </c>
      <c r="H86" t="n">
        <v>0</v>
      </c>
      <c r="I86" t="n">
        <v>2</v>
      </c>
      <c r="J86" t="n">
        <v>1</v>
      </c>
      <c r="K86" t="n">
        <v>1</v>
      </c>
      <c r="L86" t="n">
        <v>0</v>
      </c>
      <c r="M86" t="n">
        <v>0</v>
      </c>
      <c r="N86" t="n">
        <v>0</v>
      </c>
      <c r="O86" t="n">
        <v>2</v>
      </c>
      <c r="P86" t="n">
        <v>1</v>
      </c>
      <c r="Q86" t="n">
        <v>4</v>
      </c>
      <c r="R86" s="2" t="inlineStr">
        <is>
          <t>Gulsträngad fagerspindling
Svinrot
Fjällig taggsvamp s.str.
Olivspindling</t>
        </is>
      </c>
      <c r="S86">
        <f>HYPERLINK("https://klasma.github.io/Logging_0980/artfynd/A 1971-2023 artfynd.xlsx", "A 1971-2023")</f>
        <v/>
      </c>
      <c r="T86">
        <f>HYPERLINK("https://klasma.github.io/Logging_0980/kartor/A 1971-2023 karta.png", "A 1971-2023")</f>
        <v/>
      </c>
      <c r="V86">
        <f>HYPERLINK("https://klasma.github.io/Logging_0980/klagomål/A 1971-2023 FSC-klagomål.docx", "A 1971-2023")</f>
        <v/>
      </c>
      <c r="W86">
        <f>HYPERLINK("https://klasma.github.io/Logging_0980/klagomålsmail/A 1971-2023 FSC-klagomål mail.docx", "A 1971-2023")</f>
        <v/>
      </c>
      <c r="X86">
        <f>HYPERLINK("https://klasma.github.io/Logging_0980/tillsyn/A 1971-2023 tillsynsbegäran.docx", "A 1971-2023")</f>
        <v/>
      </c>
      <c r="Y86">
        <f>HYPERLINK("https://klasma.github.io/Logging_0980/tillsynsmail/A 1971-2023 tillsynsbegäran mail.docx", "A 1971-2023")</f>
        <v/>
      </c>
    </row>
    <row r="87" ht="15" customHeight="1">
      <c r="A87" t="inlineStr">
        <is>
          <t>A 186-2023</t>
        </is>
      </c>
      <c r="B87" s="1" t="n">
        <v>44928</v>
      </c>
      <c r="C87" s="1" t="n">
        <v>45916</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55029-2020</t>
        </is>
      </c>
      <c r="B88" s="1" t="n">
        <v>44130</v>
      </c>
      <c r="C88" s="1" t="n">
        <v>45916</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45916</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45916</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45916</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45916</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45916</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43013-2022</t>
        </is>
      </c>
      <c r="B94" s="1" t="n">
        <v>44833</v>
      </c>
      <c r="C94" s="1" t="n">
        <v>45916</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32718-2021</t>
        </is>
      </c>
      <c r="B95" s="1" t="n">
        <v>44375</v>
      </c>
      <c r="C95" s="1" t="n">
        <v>45916</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53552-2021</t>
        </is>
      </c>
      <c r="B96" s="1" t="n">
        <v>44468</v>
      </c>
      <c r="C96" s="1" t="n">
        <v>45916</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13499-2022</t>
        </is>
      </c>
      <c r="B97" s="1" t="n">
        <v>44647.79203703703</v>
      </c>
      <c r="C97" s="1" t="n">
        <v>45916</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45916</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5235-2025</t>
        </is>
      </c>
      <c r="B99" s="1" t="n">
        <v>45692.26797453704</v>
      </c>
      <c r="C99" s="1" t="n">
        <v>45916</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48126-2022</t>
        </is>
      </c>
      <c r="B100" s="1" t="n">
        <v>44857</v>
      </c>
      <c r="C100" s="1" t="n">
        <v>45916</v>
      </c>
      <c r="D100" t="inlineStr">
        <is>
          <t>GOTLANDS LÄN</t>
        </is>
      </c>
      <c r="E100" t="inlineStr">
        <is>
          <t>GOTLAND</t>
        </is>
      </c>
      <c r="G100" t="n">
        <v>9.800000000000001</v>
      </c>
      <c r="H100" t="n">
        <v>1</v>
      </c>
      <c r="I100" t="n">
        <v>0</v>
      </c>
      <c r="J100" t="n">
        <v>3</v>
      </c>
      <c r="K100" t="n">
        <v>0</v>
      </c>
      <c r="L100" t="n">
        <v>0</v>
      </c>
      <c r="M100" t="n">
        <v>0</v>
      </c>
      <c r="N100" t="n">
        <v>0</v>
      </c>
      <c r="O100" t="n">
        <v>3</v>
      </c>
      <c r="P100" t="n">
        <v>0</v>
      </c>
      <c r="Q100" t="n">
        <v>3</v>
      </c>
      <c r="R100" s="2" t="inlineStr">
        <is>
          <t>Jordtistel
Spillkråka
Svinrot</t>
        </is>
      </c>
      <c r="S100">
        <f>HYPERLINK("https://klasma.github.io/Logging_0980/artfynd/A 48126-2022 artfynd.xlsx", "A 48126-2022")</f>
        <v/>
      </c>
      <c r="T100">
        <f>HYPERLINK("https://klasma.github.io/Logging_0980/kartor/A 48126-2022 karta.png", "A 48126-2022")</f>
        <v/>
      </c>
      <c r="V100">
        <f>HYPERLINK("https://klasma.github.io/Logging_0980/klagomål/A 48126-2022 FSC-klagomål.docx", "A 48126-2022")</f>
        <v/>
      </c>
      <c r="W100">
        <f>HYPERLINK("https://klasma.github.io/Logging_0980/klagomålsmail/A 48126-2022 FSC-klagomål mail.docx", "A 48126-2022")</f>
        <v/>
      </c>
      <c r="X100">
        <f>HYPERLINK("https://klasma.github.io/Logging_0980/tillsyn/A 48126-2022 tillsynsbegäran.docx", "A 48126-2022")</f>
        <v/>
      </c>
      <c r="Y100">
        <f>HYPERLINK("https://klasma.github.io/Logging_0980/tillsynsmail/A 48126-2022 tillsynsbegäran mail.docx", "A 48126-2022")</f>
        <v/>
      </c>
      <c r="Z100">
        <f>HYPERLINK("https://klasma.github.io/Logging_0980/fåglar/A 48126-2022 prioriterade fågelarter.docx", "A 48126-2022")</f>
        <v/>
      </c>
    </row>
    <row r="101" ht="15" customHeight="1">
      <c r="A101" t="inlineStr">
        <is>
          <t>A 30490-2025</t>
        </is>
      </c>
      <c r="B101" s="1" t="n">
        <v>45830</v>
      </c>
      <c r="C101" s="1" t="n">
        <v>45916</v>
      </c>
      <c r="D101" t="inlineStr">
        <is>
          <t>GOTLANDS LÄN</t>
        </is>
      </c>
      <c r="E101" t="inlineStr">
        <is>
          <t>GOTLAND</t>
        </is>
      </c>
      <c r="G101" t="n">
        <v>7.9</v>
      </c>
      <c r="H101" t="n">
        <v>1</v>
      </c>
      <c r="I101" t="n">
        <v>0</v>
      </c>
      <c r="J101" t="n">
        <v>2</v>
      </c>
      <c r="K101" t="n">
        <v>0</v>
      </c>
      <c r="L101" t="n">
        <v>0</v>
      </c>
      <c r="M101" t="n">
        <v>0</v>
      </c>
      <c r="N101" t="n">
        <v>0</v>
      </c>
      <c r="O101" t="n">
        <v>2</v>
      </c>
      <c r="P101" t="n">
        <v>0</v>
      </c>
      <c r="Q101" t="n">
        <v>3</v>
      </c>
      <c r="R101" s="2" t="inlineStr">
        <is>
          <t>Klasefibbla
Majviva
Nattviol</t>
        </is>
      </c>
      <c r="S101">
        <f>HYPERLINK("https://klasma.github.io/Logging_0980/artfynd/A 30490-2025 artfynd.xlsx", "A 30490-2025")</f>
        <v/>
      </c>
      <c r="T101">
        <f>HYPERLINK("https://klasma.github.io/Logging_0980/kartor/A 30490-2025 karta.png", "A 30490-2025")</f>
        <v/>
      </c>
      <c r="V101">
        <f>HYPERLINK("https://klasma.github.io/Logging_0980/klagomål/A 30490-2025 FSC-klagomål.docx", "A 30490-2025")</f>
        <v/>
      </c>
      <c r="W101">
        <f>HYPERLINK("https://klasma.github.io/Logging_0980/klagomålsmail/A 30490-2025 FSC-klagomål mail.docx", "A 30490-2025")</f>
        <v/>
      </c>
      <c r="X101">
        <f>HYPERLINK("https://klasma.github.io/Logging_0980/tillsyn/A 30490-2025 tillsynsbegäran.docx", "A 30490-2025")</f>
        <v/>
      </c>
      <c r="Y101">
        <f>HYPERLINK("https://klasma.github.io/Logging_0980/tillsynsmail/A 30490-2025 tillsynsbegäran mail.docx", "A 30490-2025")</f>
        <v/>
      </c>
    </row>
    <row r="102" ht="15" customHeight="1">
      <c r="A102" t="inlineStr">
        <is>
          <t>A 20831-2024</t>
        </is>
      </c>
      <c r="B102" s="1" t="n">
        <v>45439</v>
      </c>
      <c r="C102" s="1" t="n">
        <v>45916</v>
      </c>
      <c r="D102" t="inlineStr">
        <is>
          <t>GOTLANDS LÄN</t>
        </is>
      </c>
      <c r="E102" t="inlineStr">
        <is>
          <t>GOTLAND</t>
        </is>
      </c>
      <c r="G102" t="n">
        <v>2.9</v>
      </c>
      <c r="H102" t="n">
        <v>2</v>
      </c>
      <c r="I102" t="n">
        <v>1</v>
      </c>
      <c r="J102" t="n">
        <v>2</v>
      </c>
      <c r="K102" t="n">
        <v>0</v>
      </c>
      <c r="L102" t="n">
        <v>0</v>
      </c>
      <c r="M102" t="n">
        <v>0</v>
      </c>
      <c r="N102" t="n">
        <v>0</v>
      </c>
      <c r="O102" t="n">
        <v>2</v>
      </c>
      <c r="P102" t="n">
        <v>0</v>
      </c>
      <c r="Q102" t="n">
        <v>3</v>
      </c>
      <c r="R102" s="2" t="inlineStr">
        <is>
          <t>Dårgräsfjäril
Svinrot
Skogsknipprot</t>
        </is>
      </c>
      <c r="S102">
        <f>HYPERLINK("https://klasma.github.io/Logging_0980/artfynd/A 20831-2024 artfynd.xlsx", "A 20831-2024")</f>
        <v/>
      </c>
      <c r="T102">
        <f>HYPERLINK("https://klasma.github.io/Logging_0980/kartor/A 20831-2024 karta.png", "A 20831-2024")</f>
        <v/>
      </c>
      <c r="V102">
        <f>HYPERLINK("https://klasma.github.io/Logging_0980/klagomål/A 20831-2024 FSC-klagomål.docx", "A 20831-2024")</f>
        <v/>
      </c>
      <c r="W102">
        <f>HYPERLINK("https://klasma.github.io/Logging_0980/klagomålsmail/A 20831-2024 FSC-klagomål mail.docx", "A 20831-2024")</f>
        <v/>
      </c>
      <c r="X102">
        <f>HYPERLINK("https://klasma.github.io/Logging_0980/tillsyn/A 20831-2024 tillsynsbegäran.docx", "A 20831-2024")</f>
        <v/>
      </c>
      <c r="Y102">
        <f>HYPERLINK("https://klasma.github.io/Logging_0980/tillsynsmail/A 20831-2024 tillsynsbegäran mail.docx", "A 20831-2024")</f>
        <v/>
      </c>
    </row>
    <row r="103" ht="15" customHeight="1">
      <c r="A103" t="inlineStr">
        <is>
          <t>A 17975-2024</t>
        </is>
      </c>
      <c r="B103" s="1" t="n">
        <v>45419.85546296297</v>
      </c>
      <c r="C103" s="1" t="n">
        <v>45916</v>
      </c>
      <c r="D103" t="inlineStr">
        <is>
          <t>GOTLANDS LÄN</t>
        </is>
      </c>
      <c r="E103" t="inlineStr">
        <is>
          <t>GOTLAND</t>
        </is>
      </c>
      <c r="G103" t="n">
        <v>7.9</v>
      </c>
      <c r="H103" t="n">
        <v>0</v>
      </c>
      <c r="I103" t="n">
        <v>1</v>
      </c>
      <c r="J103" t="n">
        <v>1</v>
      </c>
      <c r="K103" t="n">
        <v>0</v>
      </c>
      <c r="L103" t="n">
        <v>1</v>
      </c>
      <c r="M103" t="n">
        <v>0</v>
      </c>
      <c r="N103" t="n">
        <v>0</v>
      </c>
      <c r="O103" t="n">
        <v>2</v>
      </c>
      <c r="P103" t="n">
        <v>1</v>
      </c>
      <c r="Q103" t="n">
        <v>3</v>
      </c>
      <c r="R103" s="2" t="inlineStr">
        <is>
          <t>Ask
Skugglosta
Strävlosta</t>
        </is>
      </c>
      <c r="S103">
        <f>HYPERLINK("https://klasma.github.io/Logging_0980/artfynd/A 17975-2024 artfynd.xlsx", "A 17975-2024")</f>
        <v/>
      </c>
      <c r="T103">
        <f>HYPERLINK("https://klasma.github.io/Logging_0980/kartor/A 17975-2024 karta.png", "A 17975-2024")</f>
        <v/>
      </c>
      <c r="V103">
        <f>HYPERLINK("https://klasma.github.io/Logging_0980/klagomål/A 17975-2024 FSC-klagomål.docx", "A 17975-2024")</f>
        <v/>
      </c>
      <c r="W103">
        <f>HYPERLINK("https://klasma.github.io/Logging_0980/klagomålsmail/A 17975-2024 FSC-klagomål mail.docx", "A 17975-2024")</f>
        <v/>
      </c>
      <c r="X103">
        <f>HYPERLINK("https://klasma.github.io/Logging_0980/tillsyn/A 17975-2024 tillsynsbegäran.docx", "A 17975-2024")</f>
        <v/>
      </c>
      <c r="Y103">
        <f>HYPERLINK("https://klasma.github.io/Logging_0980/tillsynsmail/A 17975-2024 tillsynsbegäran mail.docx", "A 17975-2024")</f>
        <v/>
      </c>
    </row>
    <row r="104" ht="15" customHeight="1">
      <c r="A104" t="inlineStr">
        <is>
          <t>A 62326-2020</t>
        </is>
      </c>
      <c r="B104" s="1" t="n">
        <v>44160</v>
      </c>
      <c r="C104" s="1" t="n">
        <v>45916</v>
      </c>
      <c r="D104" t="inlineStr">
        <is>
          <t>GOTLANDS LÄN</t>
        </is>
      </c>
      <c r="E104" t="inlineStr">
        <is>
          <t>GOTLAND</t>
        </is>
      </c>
      <c r="G104" t="n">
        <v>7.4</v>
      </c>
      <c r="H104" t="n">
        <v>1</v>
      </c>
      <c r="I104" t="n">
        <v>3</v>
      </c>
      <c r="J104" t="n">
        <v>0</v>
      </c>
      <c r="K104" t="n">
        <v>0</v>
      </c>
      <c r="L104" t="n">
        <v>0</v>
      </c>
      <c r="M104" t="n">
        <v>0</v>
      </c>
      <c r="N104" t="n">
        <v>0</v>
      </c>
      <c r="O104" t="n">
        <v>0</v>
      </c>
      <c r="P104" t="n">
        <v>0</v>
      </c>
      <c r="Q104" t="n">
        <v>3</v>
      </c>
      <c r="R104" s="2" t="inlineStr">
        <is>
          <t>Anisspindling
Blåmossa
Skogsknipprot</t>
        </is>
      </c>
      <c r="S104">
        <f>HYPERLINK("https://klasma.github.io/Logging_0980/artfynd/A 62326-2020 artfynd.xlsx", "A 62326-2020")</f>
        <v/>
      </c>
      <c r="T104">
        <f>HYPERLINK("https://klasma.github.io/Logging_0980/kartor/A 62326-2020 karta.png", "A 62326-2020")</f>
        <v/>
      </c>
      <c r="V104">
        <f>HYPERLINK("https://klasma.github.io/Logging_0980/klagomål/A 62326-2020 FSC-klagomål.docx", "A 62326-2020")</f>
        <v/>
      </c>
      <c r="W104">
        <f>HYPERLINK("https://klasma.github.io/Logging_0980/klagomålsmail/A 62326-2020 FSC-klagomål mail.docx", "A 62326-2020")</f>
        <v/>
      </c>
      <c r="X104">
        <f>HYPERLINK("https://klasma.github.io/Logging_0980/tillsyn/A 62326-2020 tillsynsbegäran.docx", "A 62326-2020")</f>
        <v/>
      </c>
      <c r="Y104">
        <f>HYPERLINK("https://klasma.github.io/Logging_0980/tillsynsmail/A 62326-2020 tillsynsbegäran mail.docx", "A 62326-2020")</f>
        <v/>
      </c>
    </row>
    <row r="105" ht="15" customHeight="1">
      <c r="A105" t="inlineStr">
        <is>
          <t>A 17982-2023</t>
        </is>
      </c>
      <c r="B105" s="1" t="n">
        <v>45040</v>
      </c>
      <c r="C105" s="1" t="n">
        <v>45916</v>
      </c>
      <c r="D105" t="inlineStr">
        <is>
          <t>GOTLANDS LÄN</t>
        </is>
      </c>
      <c r="E105" t="inlineStr">
        <is>
          <t>GOTLAND</t>
        </is>
      </c>
      <c r="G105" t="n">
        <v>2.2</v>
      </c>
      <c r="H105" t="n">
        <v>0</v>
      </c>
      <c r="I105" t="n">
        <v>0</v>
      </c>
      <c r="J105" t="n">
        <v>2</v>
      </c>
      <c r="K105" t="n">
        <v>0</v>
      </c>
      <c r="L105" t="n">
        <v>0</v>
      </c>
      <c r="M105" t="n">
        <v>1</v>
      </c>
      <c r="N105" t="n">
        <v>0</v>
      </c>
      <c r="O105" t="n">
        <v>3</v>
      </c>
      <c r="P105" t="n">
        <v>1</v>
      </c>
      <c r="Q105" t="n">
        <v>3</v>
      </c>
      <c r="R105" s="2" t="inlineStr">
        <is>
          <t>Lundalm
Krusfrö
Ängsskära</t>
        </is>
      </c>
      <c r="S105">
        <f>HYPERLINK("https://klasma.github.io/Logging_0980/artfynd/A 17982-2023 artfynd.xlsx", "A 17982-2023")</f>
        <v/>
      </c>
      <c r="T105">
        <f>HYPERLINK("https://klasma.github.io/Logging_0980/kartor/A 17982-2023 karta.png", "A 17982-2023")</f>
        <v/>
      </c>
      <c r="V105">
        <f>HYPERLINK("https://klasma.github.io/Logging_0980/klagomål/A 17982-2023 FSC-klagomål.docx", "A 17982-2023")</f>
        <v/>
      </c>
      <c r="W105">
        <f>HYPERLINK("https://klasma.github.io/Logging_0980/klagomålsmail/A 17982-2023 FSC-klagomål mail.docx", "A 17982-2023")</f>
        <v/>
      </c>
      <c r="X105">
        <f>HYPERLINK("https://klasma.github.io/Logging_0980/tillsyn/A 17982-2023 tillsynsbegäran.docx", "A 17982-2023")</f>
        <v/>
      </c>
      <c r="Y105">
        <f>HYPERLINK("https://klasma.github.io/Logging_0980/tillsynsmail/A 17982-2023 tillsynsbegäran mail.docx", "A 17982-2023")</f>
        <v/>
      </c>
    </row>
    <row r="106" ht="15" customHeight="1">
      <c r="A106" t="inlineStr">
        <is>
          <t>A 29870-2021</t>
        </is>
      </c>
      <c r="B106" s="1" t="n">
        <v>44362</v>
      </c>
      <c r="C106" s="1" t="n">
        <v>45916</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45916</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45916</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45916</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45916</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45916</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28261-2024</t>
        </is>
      </c>
      <c r="B112" s="1" t="n">
        <v>45477</v>
      </c>
      <c r="C112" s="1" t="n">
        <v>45916</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28261-2024 artfynd.xlsx", "A 28261-2024")</f>
        <v/>
      </c>
      <c r="T112">
        <f>HYPERLINK("https://klasma.github.io/Logging_0980/kartor/A 28261-2024 karta.png", "A 28261-2024")</f>
        <v/>
      </c>
      <c r="V112">
        <f>HYPERLINK("https://klasma.github.io/Logging_0980/klagomål/A 28261-2024 FSC-klagomål.docx", "A 28261-2024")</f>
        <v/>
      </c>
      <c r="W112">
        <f>HYPERLINK("https://klasma.github.io/Logging_0980/klagomålsmail/A 28261-2024 FSC-klagomål mail.docx", "A 28261-2024")</f>
        <v/>
      </c>
      <c r="X112">
        <f>HYPERLINK("https://klasma.github.io/Logging_0980/tillsyn/A 28261-2024 tillsynsbegäran.docx", "A 28261-2024")</f>
        <v/>
      </c>
      <c r="Y112">
        <f>HYPERLINK("https://klasma.github.io/Logging_0980/tillsynsmail/A 28261-2024 tillsynsbegäran mail.docx", "A 28261-2024")</f>
        <v/>
      </c>
    </row>
    <row r="113" ht="15" customHeight="1">
      <c r="A113" t="inlineStr">
        <is>
          <t>A 60665-2021</t>
        </is>
      </c>
      <c r="B113" s="1" t="n">
        <v>44496</v>
      </c>
      <c r="C113" s="1" t="n">
        <v>45916</v>
      </c>
      <c r="D113" t="inlineStr">
        <is>
          <t>GOTLANDS LÄN</t>
        </is>
      </c>
      <c r="E113" t="inlineStr">
        <is>
          <t>GOTLAND</t>
        </is>
      </c>
      <c r="G113" t="n">
        <v>1.6</v>
      </c>
      <c r="H113" t="n">
        <v>0</v>
      </c>
      <c r="I113" t="n">
        <v>0</v>
      </c>
      <c r="J113" t="n">
        <v>0</v>
      </c>
      <c r="K113" t="n">
        <v>1</v>
      </c>
      <c r="L113" t="n">
        <v>1</v>
      </c>
      <c r="M113" t="n">
        <v>0</v>
      </c>
      <c r="N113" t="n">
        <v>0</v>
      </c>
      <c r="O113" t="n">
        <v>2</v>
      </c>
      <c r="P113" t="n">
        <v>2</v>
      </c>
      <c r="Q113" t="n">
        <v>2</v>
      </c>
      <c r="R113" s="2" t="inlineStr">
        <is>
          <t>Ädellav
Skogskorn</t>
        </is>
      </c>
      <c r="S113">
        <f>HYPERLINK("https://klasma.github.io/Logging_0980/artfynd/A 60665-2021 artfynd.xlsx", "A 60665-2021")</f>
        <v/>
      </c>
      <c r="T113">
        <f>HYPERLINK("https://klasma.github.io/Logging_0980/kartor/A 60665-2021 karta.png", "A 60665-2021")</f>
        <v/>
      </c>
      <c r="V113">
        <f>HYPERLINK("https://klasma.github.io/Logging_0980/klagomål/A 60665-2021 FSC-klagomål.docx", "A 60665-2021")</f>
        <v/>
      </c>
      <c r="W113">
        <f>HYPERLINK("https://klasma.github.io/Logging_0980/klagomålsmail/A 60665-2021 FSC-klagomål mail.docx", "A 60665-2021")</f>
        <v/>
      </c>
      <c r="X113">
        <f>HYPERLINK("https://klasma.github.io/Logging_0980/tillsyn/A 60665-2021 tillsynsbegäran.docx", "A 60665-2021")</f>
        <v/>
      </c>
      <c r="Y113">
        <f>HYPERLINK("https://klasma.github.io/Logging_0980/tillsynsmail/A 60665-2021 tillsynsbegäran mail.docx", "A 60665-2021")</f>
        <v/>
      </c>
    </row>
    <row r="114" ht="15" customHeight="1">
      <c r="A114" t="inlineStr">
        <is>
          <t>A 73144-2021</t>
        </is>
      </c>
      <c r="B114" s="1" t="n">
        <v>44550</v>
      </c>
      <c r="C114" s="1" t="n">
        <v>45916</v>
      </c>
      <c r="D114" t="inlineStr">
        <is>
          <t>GOTLANDS LÄN</t>
        </is>
      </c>
      <c r="E114" t="inlineStr">
        <is>
          <t>GOTLAND</t>
        </is>
      </c>
      <c r="G114" t="n">
        <v>1.9</v>
      </c>
      <c r="H114" t="n">
        <v>0</v>
      </c>
      <c r="I114" t="n">
        <v>1</v>
      </c>
      <c r="J114" t="n">
        <v>0</v>
      </c>
      <c r="K114" t="n">
        <v>1</v>
      </c>
      <c r="L114" t="n">
        <v>0</v>
      </c>
      <c r="M114" t="n">
        <v>0</v>
      </c>
      <c r="N114" t="n">
        <v>0</v>
      </c>
      <c r="O114" t="n">
        <v>1</v>
      </c>
      <c r="P114" t="n">
        <v>1</v>
      </c>
      <c r="Q114" t="n">
        <v>2</v>
      </c>
      <c r="R114" s="2" t="inlineStr">
        <is>
          <t>Skogskorn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55649-2024</t>
        </is>
      </c>
      <c r="B115" s="1" t="n">
        <v>45622.63053240741</v>
      </c>
      <c r="C115" s="1" t="n">
        <v>45916</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58701-2020</t>
        </is>
      </c>
      <c r="B116" s="1" t="n">
        <v>44146</v>
      </c>
      <c r="C116" s="1" t="n">
        <v>45916</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26077-2024</t>
        </is>
      </c>
      <c r="B117" s="1" t="n">
        <v>45467</v>
      </c>
      <c r="C117" s="1" t="n">
        <v>45916</v>
      </c>
      <c r="D117" t="inlineStr">
        <is>
          <t>GOTLANDS LÄN</t>
        </is>
      </c>
      <c r="E117" t="inlineStr">
        <is>
          <t>GOTLAND</t>
        </is>
      </c>
      <c r="G117" t="n">
        <v>4.6</v>
      </c>
      <c r="H117" t="n">
        <v>0</v>
      </c>
      <c r="I117" t="n">
        <v>0</v>
      </c>
      <c r="J117" t="n">
        <v>1</v>
      </c>
      <c r="K117" t="n">
        <v>0</v>
      </c>
      <c r="L117" t="n">
        <v>1</v>
      </c>
      <c r="M117" t="n">
        <v>0</v>
      </c>
      <c r="N117" t="n">
        <v>0</v>
      </c>
      <c r="O117" t="n">
        <v>2</v>
      </c>
      <c r="P117" t="n">
        <v>1</v>
      </c>
      <c r="Q117" t="n">
        <v>2</v>
      </c>
      <c r="R117" s="2" t="inlineStr">
        <is>
          <t>Ask
Tallticka</t>
        </is>
      </c>
      <c r="S117">
        <f>HYPERLINK("https://klasma.github.io/Logging_0980/artfynd/A 26077-2024 artfynd.xlsx", "A 26077-2024")</f>
        <v/>
      </c>
      <c r="T117">
        <f>HYPERLINK("https://klasma.github.io/Logging_0980/kartor/A 26077-2024 karta.png", "A 26077-2024")</f>
        <v/>
      </c>
      <c r="V117">
        <f>HYPERLINK("https://klasma.github.io/Logging_0980/klagomål/A 26077-2024 FSC-klagomål.docx", "A 26077-2024")</f>
        <v/>
      </c>
      <c r="W117">
        <f>HYPERLINK("https://klasma.github.io/Logging_0980/klagomålsmail/A 26077-2024 FSC-klagomål mail.docx", "A 26077-2024")</f>
        <v/>
      </c>
      <c r="X117">
        <f>HYPERLINK("https://klasma.github.io/Logging_0980/tillsyn/A 26077-2024 tillsynsbegäran.docx", "A 26077-2024")</f>
        <v/>
      </c>
      <c r="Y117">
        <f>HYPERLINK("https://klasma.github.io/Logging_0980/tillsynsmail/A 26077-2024 tillsynsbegäran mail.docx", "A 26077-2024")</f>
        <v/>
      </c>
    </row>
    <row r="118" ht="15" customHeight="1">
      <c r="A118" t="inlineStr">
        <is>
          <t>A 7070-2022</t>
        </is>
      </c>
      <c r="B118" s="1" t="n">
        <v>44603</v>
      </c>
      <c r="C118" s="1" t="n">
        <v>45916</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64263-2020</t>
        </is>
      </c>
      <c r="B119" s="1" t="n">
        <v>44168</v>
      </c>
      <c r="C119" s="1" t="n">
        <v>45916</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45916</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41238-2025</t>
        </is>
      </c>
      <c r="B121" s="1" t="n">
        <v>45898</v>
      </c>
      <c r="C121" s="1" t="n">
        <v>45916</v>
      </c>
      <c r="D121" t="inlineStr">
        <is>
          <t>GOTLANDS LÄN</t>
        </is>
      </c>
      <c r="E121" t="inlineStr">
        <is>
          <t>GOTLAND</t>
        </is>
      </c>
      <c r="G121" t="n">
        <v>7.1</v>
      </c>
      <c r="H121" t="n">
        <v>1</v>
      </c>
      <c r="I121" t="n">
        <v>2</v>
      </c>
      <c r="J121" t="n">
        <v>0</v>
      </c>
      <c r="K121" t="n">
        <v>0</v>
      </c>
      <c r="L121" t="n">
        <v>0</v>
      </c>
      <c r="M121" t="n">
        <v>0</v>
      </c>
      <c r="N121" t="n">
        <v>0</v>
      </c>
      <c r="O121" t="n">
        <v>0</v>
      </c>
      <c r="P121" t="n">
        <v>0</v>
      </c>
      <c r="Q121" t="n">
        <v>2</v>
      </c>
      <c r="R121" s="2" t="inlineStr">
        <is>
          <t>Granbarkgnagare
Skogsknipprot</t>
        </is>
      </c>
      <c r="S121">
        <f>HYPERLINK("https://klasma.github.io/Logging_0980/artfynd/A 41238-2025 artfynd.xlsx", "A 41238-2025")</f>
        <v/>
      </c>
      <c r="T121">
        <f>HYPERLINK("https://klasma.github.io/Logging_0980/kartor/A 41238-2025 karta.png", "A 41238-2025")</f>
        <v/>
      </c>
      <c r="V121">
        <f>HYPERLINK("https://klasma.github.io/Logging_0980/klagomål/A 41238-2025 FSC-klagomål.docx", "A 41238-2025")</f>
        <v/>
      </c>
      <c r="W121">
        <f>HYPERLINK("https://klasma.github.io/Logging_0980/klagomålsmail/A 41238-2025 FSC-klagomål mail.docx", "A 41238-2025")</f>
        <v/>
      </c>
      <c r="X121">
        <f>HYPERLINK("https://klasma.github.io/Logging_0980/tillsyn/A 41238-2025 tillsynsbegäran.docx", "A 41238-2025")</f>
        <v/>
      </c>
      <c r="Y121">
        <f>HYPERLINK("https://klasma.github.io/Logging_0980/tillsynsmail/A 41238-2025 tillsynsbegäran mail.docx", "A 41238-2025")</f>
        <v/>
      </c>
    </row>
    <row r="122" ht="15" customHeight="1">
      <c r="A122" t="inlineStr">
        <is>
          <t>A 43219-2023</t>
        </is>
      </c>
      <c r="B122" s="1" t="n">
        <v>45183</v>
      </c>
      <c r="C122" s="1" t="n">
        <v>45916</v>
      </c>
      <c r="D122" t="inlineStr">
        <is>
          <t>GOTLANDS LÄN</t>
        </is>
      </c>
      <c r="E122" t="inlineStr">
        <is>
          <t>GOTLAND</t>
        </is>
      </c>
      <c r="G122" t="n">
        <v>3.6</v>
      </c>
      <c r="H122" t="n">
        <v>1</v>
      </c>
      <c r="I122" t="n">
        <v>0</v>
      </c>
      <c r="J122" t="n">
        <v>1</v>
      </c>
      <c r="K122" t="n">
        <v>0</v>
      </c>
      <c r="L122" t="n">
        <v>0</v>
      </c>
      <c r="M122" t="n">
        <v>0</v>
      </c>
      <c r="N122" t="n">
        <v>0</v>
      </c>
      <c r="O122" t="n">
        <v>1</v>
      </c>
      <c r="P122" t="n">
        <v>0</v>
      </c>
      <c r="Q122" t="n">
        <v>2</v>
      </c>
      <c r="R122" s="2" t="inlineStr">
        <is>
          <t>Axveronika
Skogsduva</t>
        </is>
      </c>
      <c r="S122">
        <f>HYPERLINK("https://klasma.github.io/Logging_0980/artfynd/A 43219-2023 artfynd.xlsx", "A 43219-2023")</f>
        <v/>
      </c>
      <c r="T122">
        <f>HYPERLINK("https://klasma.github.io/Logging_0980/kartor/A 43219-2023 karta.png", "A 43219-2023")</f>
        <v/>
      </c>
      <c r="V122">
        <f>HYPERLINK("https://klasma.github.io/Logging_0980/klagomål/A 43219-2023 FSC-klagomål.docx", "A 43219-2023")</f>
        <v/>
      </c>
      <c r="W122">
        <f>HYPERLINK("https://klasma.github.io/Logging_0980/klagomålsmail/A 43219-2023 FSC-klagomål mail.docx", "A 43219-2023")</f>
        <v/>
      </c>
      <c r="X122">
        <f>HYPERLINK("https://klasma.github.io/Logging_0980/tillsyn/A 43219-2023 tillsynsbegäran.docx", "A 43219-2023")</f>
        <v/>
      </c>
      <c r="Y122">
        <f>HYPERLINK("https://klasma.github.io/Logging_0980/tillsynsmail/A 43219-2023 tillsynsbegäran mail.docx", "A 43219-2023")</f>
        <v/>
      </c>
      <c r="Z122">
        <f>HYPERLINK("https://klasma.github.io/Logging_0980/fåglar/A 43219-2023 prioriterade fågelarter.docx", "A 43219-2023")</f>
        <v/>
      </c>
    </row>
    <row r="123" ht="15" customHeight="1">
      <c r="A123" t="inlineStr">
        <is>
          <t>A 54357-2024</t>
        </is>
      </c>
      <c r="B123" s="1" t="n">
        <v>45617.40662037037</v>
      </c>
      <c r="C123" s="1" t="n">
        <v>45916</v>
      </c>
      <c r="D123" t="inlineStr">
        <is>
          <t>GOTLANDS LÄN</t>
        </is>
      </c>
      <c r="E123" t="inlineStr">
        <is>
          <t>GOTLAND</t>
        </is>
      </c>
      <c r="G123" t="n">
        <v>1.5</v>
      </c>
      <c r="H123" t="n">
        <v>1</v>
      </c>
      <c r="I123" t="n">
        <v>0</v>
      </c>
      <c r="J123" t="n">
        <v>1</v>
      </c>
      <c r="K123" t="n">
        <v>0</v>
      </c>
      <c r="L123" t="n">
        <v>0</v>
      </c>
      <c r="M123" t="n">
        <v>0</v>
      </c>
      <c r="N123" t="n">
        <v>0</v>
      </c>
      <c r="O123" t="n">
        <v>1</v>
      </c>
      <c r="P123" t="n">
        <v>0</v>
      </c>
      <c r="Q123" t="n">
        <v>2</v>
      </c>
      <c r="R123" s="2" t="inlineStr">
        <is>
          <t>Loppstarr
Fläcknycklar</t>
        </is>
      </c>
      <c r="S123">
        <f>HYPERLINK("https://klasma.github.io/Logging_0980/artfynd/A 54357-2024 artfynd.xlsx", "A 54357-2024")</f>
        <v/>
      </c>
      <c r="T123">
        <f>HYPERLINK("https://klasma.github.io/Logging_0980/kartor/A 54357-2024 karta.png", "A 54357-2024")</f>
        <v/>
      </c>
      <c r="V123">
        <f>HYPERLINK("https://klasma.github.io/Logging_0980/klagomål/A 54357-2024 FSC-klagomål.docx", "A 54357-2024")</f>
        <v/>
      </c>
      <c r="W123">
        <f>HYPERLINK("https://klasma.github.io/Logging_0980/klagomålsmail/A 54357-2024 FSC-klagomål mail.docx", "A 54357-2024")</f>
        <v/>
      </c>
      <c r="X123">
        <f>HYPERLINK("https://klasma.github.io/Logging_0980/tillsyn/A 54357-2024 tillsynsbegäran.docx", "A 54357-2024")</f>
        <v/>
      </c>
      <c r="Y123">
        <f>HYPERLINK("https://klasma.github.io/Logging_0980/tillsynsmail/A 54357-2024 tillsynsbegäran mail.docx", "A 54357-2024")</f>
        <v/>
      </c>
    </row>
    <row r="124" ht="15" customHeight="1">
      <c r="A124" t="inlineStr">
        <is>
          <t>A 28276-2024</t>
        </is>
      </c>
      <c r="B124" s="1" t="n">
        <v>45477</v>
      </c>
      <c r="C124" s="1" t="n">
        <v>45916</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45916</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21879-2025</t>
        </is>
      </c>
      <c r="B126" s="1" t="n">
        <v>45784.40533564815</v>
      </c>
      <c r="C126" s="1" t="n">
        <v>45916</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24-2021</t>
        </is>
      </c>
      <c r="B127" s="1" t="n">
        <v>44197</v>
      </c>
      <c r="C127" s="1" t="n">
        <v>45916</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45916</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45916</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45916</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44308-2021</t>
        </is>
      </c>
      <c r="B131" s="1" t="n">
        <v>44434</v>
      </c>
      <c r="C131" s="1" t="n">
        <v>45916</v>
      </c>
      <c r="D131" t="inlineStr">
        <is>
          <t>GOTLANDS LÄN</t>
        </is>
      </c>
      <c r="E131" t="inlineStr">
        <is>
          <t>GOTLAND</t>
        </is>
      </c>
      <c r="G131" t="n">
        <v>5.9</v>
      </c>
      <c r="H131" t="n">
        <v>0</v>
      </c>
      <c r="I131" t="n">
        <v>1</v>
      </c>
      <c r="J131" t="n">
        <v>0</v>
      </c>
      <c r="K131" t="n">
        <v>0</v>
      </c>
      <c r="L131" t="n">
        <v>0</v>
      </c>
      <c r="M131" t="n">
        <v>0</v>
      </c>
      <c r="N131" t="n">
        <v>0</v>
      </c>
      <c r="O131" t="n">
        <v>0</v>
      </c>
      <c r="P131" t="n">
        <v>0</v>
      </c>
      <c r="Q131" t="n">
        <v>1</v>
      </c>
      <c r="R131" s="2" t="inlineStr">
        <is>
          <t>Svavelriska</t>
        </is>
      </c>
      <c r="S131">
        <f>HYPERLINK("https://klasma.github.io/Logging_0980/artfynd/A 44308-2021 artfynd.xlsx", "A 44308-2021")</f>
        <v/>
      </c>
      <c r="T131">
        <f>HYPERLINK("https://klasma.github.io/Logging_0980/kartor/A 44308-2021 karta.png", "A 44308-2021")</f>
        <v/>
      </c>
      <c r="V131">
        <f>HYPERLINK("https://klasma.github.io/Logging_0980/klagomål/A 44308-2021 FSC-klagomål.docx", "A 44308-2021")</f>
        <v/>
      </c>
      <c r="W131">
        <f>HYPERLINK("https://klasma.github.io/Logging_0980/klagomålsmail/A 44308-2021 FSC-klagomål mail.docx", "A 44308-2021")</f>
        <v/>
      </c>
      <c r="X131">
        <f>HYPERLINK("https://klasma.github.io/Logging_0980/tillsyn/A 44308-2021 tillsynsbegäran.docx", "A 44308-2021")</f>
        <v/>
      </c>
      <c r="Y131">
        <f>HYPERLINK("https://klasma.github.io/Logging_0980/tillsynsmail/A 44308-2021 tillsynsbegäran mail.docx", "A 44308-2021")</f>
        <v/>
      </c>
    </row>
    <row r="132" ht="15" customHeight="1">
      <c r="A132" t="inlineStr">
        <is>
          <t>A 12924-2025</t>
        </is>
      </c>
      <c r="B132" s="1" t="n">
        <v>45734</v>
      </c>
      <c r="C132" s="1" t="n">
        <v>45916</v>
      </c>
      <c r="D132" t="inlineStr">
        <is>
          <t>GOTLANDS LÄN</t>
        </is>
      </c>
      <c r="E132" t="inlineStr">
        <is>
          <t>GOTLAND</t>
        </is>
      </c>
      <c r="G132" t="n">
        <v>11.7</v>
      </c>
      <c r="H132" t="n">
        <v>0</v>
      </c>
      <c r="I132" t="n">
        <v>0</v>
      </c>
      <c r="J132" t="n">
        <v>0</v>
      </c>
      <c r="K132" t="n">
        <v>1</v>
      </c>
      <c r="L132" t="n">
        <v>0</v>
      </c>
      <c r="M132" t="n">
        <v>0</v>
      </c>
      <c r="N132" t="n">
        <v>0</v>
      </c>
      <c r="O132" t="n">
        <v>1</v>
      </c>
      <c r="P132" t="n">
        <v>1</v>
      </c>
      <c r="Q132" t="n">
        <v>1</v>
      </c>
      <c r="R132" s="2" t="inlineStr">
        <is>
          <t>Gotlandsmåra</t>
        </is>
      </c>
      <c r="S132">
        <f>HYPERLINK("https://klasma.github.io/Logging_0980/artfynd/A 12924-2025 artfynd.xlsx", "A 12924-2025")</f>
        <v/>
      </c>
      <c r="T132">
        <f>HYPERLINK("https://klasma.github.io/Logging_0980/kartor/A 12924-2025 karta.png", "A 12924-2025")</f>
        <v/>
      </c>
      <c r="V132">
        <f>HYPERLINK("https://klasma.github.io/Logging_0980/klagomål/A 12924-2025 FSC-klagomål.docx", "A 12924-2025")</f>
        <v/>
      </c>
      <c r="W132">
        <f>HYPERLINK("https://klasma.github.io/Logging_0980/klagomålsmail/A 12924-2025 FSC-klagomål mail.docx", "A 12924-2025")</f>
        <v/>
      </c>
      <c r="X132">
        <f>HYPERLINK("https://klasma.github.io/Logging_0980/tillsyn/A 12924-2025 tillsynsbegäran.docx", "A 12924-2025")</f>
        <v/>
      </c>
      <c r="Y132">
        <f>HYPERLINK("https://klasma.github.io/Logging_0980/tillsynsmail/A 12924-2025 tillsynsbegäran mail.docx", "A 12924-2025")</f>
        <v/>
      </c>
    </row>
    <row r="133" ht="15" customHeight="1">
      <c r="A133" t="inlineStr">
        <is>
          <t>A 24245-2022</t>
        </is>
      </c>
      <c r="B133" s="1" t="n">
        <v>44725</v>
      </c>
      <c r="C133" s="1" t="n">
        <v>45916</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8725-2025</t>
        </is>
      </c>
      <c r="B134" s="1" t="n">
        <v>45712</v>
      </c>
      <c r="C134" s="1" t="n">
        <v>45916</v>
      </c>
      <c r="D134" t="inlineStr">
        <is>
          <t>GOTLANDS LÄN</t>
        </is>
      </c>
      <c r="E134" t="inlineStr">
        <is>
          <t>GOTLAND</t>
        </is>
      </c>
      <c r="G134" t="n">
        <v>4.4</v>
      </c>
      <c r="H134" t="n">
        <v>1</v>
      </c>
      <c r="I134" t="n">
        <v>0</v>
      </c>
      <c r="J134" t="n">
        <v>1</v>
      </c>
      <c r="K134" t="n">
        <v>0</v>
      </c>
      <c r="L134" t="n">
        <v>0</v>
      </c>
      <c r="M134" t="n">
        <v>0</v>
      </c>
      <c r="N134" t="n">
        <v>0</v>
      </c>
      <c r="O134" t="n">
        <v>1</v>
      </c>
      <c r="P134" t="n">
        <v>0</v>
      </c>
      <c r="Q134" t="n">
        <v>1</v>
      </c>
      <c r="R134" s="2" t="inlineStr">
        <is>
          <t>Spillkråka</t>
        </is>
      </c>
      <c r="S134">
        <f>HYPERLINK("https://klasma.github.io/Logging_0980/artfynd/A 8725-2025 artfynd.xlsx", "A 8725-2025")</f>
        <v/>
      </c>
      <c r="T134">
        <f>HYPERLINK("https://klasma.github.io/Logging_0980/kartor/A 8725-2025 karta.png", "A 8725-2025")</f>
        <v/>
      </c>
      <c r="V134">
        <f>HYPERLINK("https://klasma.github.io/Logging_0980/klagomål/A 8725-2025 FSC-klagomål.docx", "A 8725-2025")</f>
        <v/>
      </c>
      <c r="W134">
        <f>HYPERLINK("https://klasma.github.io/Logging_0980/klagomålsmail/A 8725-2025 FSC-klagomål mail.docx", "A 8725-2025")</f>
        <v/>
      </c>
      <c r="X134">
        <f>HYPERLINK("https://klasma.github.io/Logging_0980/tillsyn/A 8725-2025 tillsynsbegäran.docx", "A 8725-2025")</f>
        <v/>
      </c>
      <c r="Y134">
        <f>HYPERLINK("https://klasma.github.io/Logging_0980/tillsynsmail/A 8725-2025 tillsynsbegäran mail.docx", "A 8725-2025")</f>
        <v/>
      </c>
      <c r="Z134">
        <f>HYPERLINK("https://klasma.github.io/Logging_0980/fåglar/A 8725-2025 prioriterade fågelarter.docx", "A 8725-2025")</f>
        <v/>
      </c>
    </row>
    <row r="135" ht="15" customHeight="1">
      <c r="A135" t="inlineStr">
        <is>
          <t>A 46527-2023</t>
        </is>
      </c>
      <c r="B135" s="1" t="n">
        <v>45197</v>
      </c>
      <c r="C135" s="1" t="n">
        <v>45916</v>
      </c>
      <c r="D135" t="inlineStr">
        <is>
          <t>GOTLANDS LÄN</t>
        </is>
      </c>
      <c r="E135" t="inlineStr">
        <is>
          <t>GOTLAND</t>
        </is>
      </c>
      <c r="G135" t="n">
        <v>0.9</v>
      </c>
      <c r="H135" t="n">
        <v>0</v>
      </c>
      <c r="I135" t="n">
        <v>0</v>
      </c>
      <c r="J135" t="n">
        <v>1</v>
      </c>
      <c r="K135" t="n">
        <v>0</v>
      </c>
      <c r="L135" t="n">
        <v>0</v>
      </c>
      <c r="M135" t="n">
        <v>0</v>
      </c>
      <c r="N135" t="n">
        <v>0</v>
      </c>
      <c r="O135" t="n">
        <v>1</v>
      </c>
      <c r="P135" t="n">
        <v>0</v>
      </c>
      <c r="Q135" t="n">
        <v>1</v>
      </c>
      <c r="R135" s="2" t="inlineStr">
        <is>
          <t>Guldgräshoppa</t>
        </is>
      </c>
      <c r="S135">
        <f>HYPERLINK("https://klasma.github.io/Logging_0980/artfynd/A 46527-2023 artfynd.xlsx", "A 46527-2023")</f>
        <v/>
      </c>
      <c r="T135">
        <f>HYPERLINK("https://klasma.github.io/Logging_0980/kartor/A 46527-2023 karta.png", "A 46527-2023")</f>
        <v/>
      </c>
      <c r="V135">
        <f>HYPERLINK("https://klasma.github.io/Logging_0980/klagomål/A 46527-2023 FSC-klagomål.docx", "A 46527-2023")</f>
        <v/>
      </c>
      <c r="W135">
        <f>HYPERLINK("https://klasma.github.io/Logging_0980/klagomålsmail/A 46527-2023 FSC-klagomål mail.docx", "A 46527-2023")</f>
        <v/>
      </c>
      <c r="X135">
        <f>HYPERLINK("https://klasma.github.io/Logging_0980/tillsyn/A 46527-2023 tillsynsbegäran.docx", "A 46527-2023")</f>
        <v/>
      </c>
      <c r="Y135">
        <f>HYPERLINK("https://klasma.github.io/Logging_0980/tillsynsmail/A 46527-2023 tillsynsbegäran mail.docx", "A 46527-2023")</f>
        <v/>
      </c>
    </row>
    <row r="136" ht="15" customHeight="1">
      <c r="A136" t="inlineStr">
        <is>
          <t>A 17723-2021</t>
        </is>
      </c>
      <c r="B136" s="1" t="n">
        <v>44300</v>
      </c>
      <c r="C136" s="1" t="n">
        <v>45916</v>
      </c>
      <c r="D136" t="inlineStr">
        <is>
          <t>GOTLANDS LÄN</t>
        </is>
      </c>
      <c r="E136" t="inlineStr">
        <is>
          <t>GOTLAND</t>
        </is>
      </c>
      <c r="G136" t="n">
        <v>1.5</v>
      </c>
      <c r="H136" t="n">
        <v>1</v>
      </c>
      <c r="I136" t="n">
        <v>1</v>
      </c>
      <c r="J136" t="n">
        <v>0</v>
      </c>
      <c r="K136" t="n">
        <v>0</v>
      </c>
      <c r="L136" t="n">
        <v>0</v>
      </c>
      <c r="M136" t="n">
        <v>0</v>
      </c>
      <c r="N136" t="n">
        <v>0</v>
      </c>
      <c r="O136" t="n">
        <v>0</v>
      </c>
      <c r="P136" t="n">
        <v>0</v>
      </c>
      <c r="Q136" t="n">
        <v>1</v>
      </c>
      <c r="R136" s="2" t="inlineStr">
        <is>
          <t>Vit skogslilja</t>
        </is>
      </c>
      <c r="S136">
        <f>HYPERLINK("https://klasma.github.io/Logging_0980/artfynd/A 17723-2021 artfynd.xlsx", "A 17723-2021")</f>
        <v/>
      </c>
      <c r="T136">
        <f>HYPERLINK("https://klasma.github.io/Logging_0980/kartor/A 17723-2021 karta.png", "A 17723-2021")</f>
        <v/>
      </c>
      <c r="V136">
        <f>HYPERLINK("https://klasma.github.io/Logging_0980/klagomål/A 17723-2021 FSC-klagomål.docx", "A 17723-2021")</f>
        <v/>
      </c>
      <c r="W136">
        <f>HYPERLINK("https://klasma.github.io/Logging_0980/klagomålsmail/A 17723-2021 FSC-klagomål mail.docx", "A 17723-2021")</f>
        <v/>
      </c>
      <c r="X136">
        <f>HYPERLINK("https://klasma.github.io/Logging_0980/tillsyn/A 17723-2021 tillsynsbegäran.docx", "A 17723-2021")</f>
        <v/>
      </c>
      <c r="Y136">
        <f>HYPERLINK("https://klasma.github.io/Logging_0980/tillsynsmail/A 17723-2021 tillsynsbegäran mail.docx", "A 17723-2021")</f>
        <v/>
      </c>
    </row>
    <row r="137" ht="15" customHeight="1">
      <c r="A137" t="inlineStr">
        <is>
          <t>A 26461-2025</t>
        </is>
      </c>
      <c r="B137" s="1" t="n">
        <v>45807.43337962963</v>
      </c>
      <c r="C137" s="1" t="n">
        <v>45916</v>
      </c>
      <c r="D137" t="inlineStr">
        <is>
          <t>GOTLANDS LÄN</t>
        </is>
      </c>
      <c r="E137" t="inlineStr">
        <is>
          <t>GOTLAND</t>
        </is>
      </c>
      <c r="G137" t="n">
        <v>4.1</v>
      </c>
      <c r="H137" t="n">
        <v>0</v>
      </c>
      <c r="I137" t="n">
        <v>0</v>
      </c>
      <c r="J137" t="n">
        <v>0</v>
      </c>
      <c r="K137" t="n">
        <v>1</v>
      </c>
      <c r="L137" t="n">
        <v>0</v>
      </c>
      <c r="M137" t="n">
        <v>0</v>
      </c>
      <c r="N137" t="n">
        <v>0</v>
      </c>
      <c r="O137" t="n">
        <v>1</v>
      </c>
      <c r="P137" t="n">
        <v>1</v>
      </c>
      <c r="Q137" t="n">
        <v>1</v>
      </c>
      <c r="R137" s="2" t="inlineStr">
        <is>
          <t>Gotlandsmåra</t>
        </is>
      </c>
      <c r="S137">
        <f>HYPERLINK("https://klasma.github.io/Logging_0980/artfynd/A 26461-2025 artfynd.xlsx", "A 26461-2025")</f>
        <v/>
      </c>
      <c r="T137">
        <f>HYPERLINK("https://klasma.github.io/Logging_0980/kartor/A 26461-2025 karta.png", "A 26461-2025")</f>
        <v/>
      </c>
      <c r="V137">
        <f>HYPERLINK("https://klasma.github.io/Logging_0980/klagomål/A 26461-2025 FSC-klagomål.docx", "A 26461-2025")</f>
        <v/>
      </c>
      <c r="W137">
        <f>HYPERLINK("https://klasma.github.io/Logging_0980/klagomålsmail/A 26461-2025 FSC-klagomål mail.docx", "A 26461-2025")</f>
        <v/>
      </c>
      <c r="X137">
        <f>HYPERLINK("https://klasma.github.io/Logging_0980/tillsyn/A 26461-2025 tillsynsbegäran.docx", "A 26461-2025")</f>
        <v/>
      </c>
      <c r="Y137">
        <f>HYPERLINK("https://klasma.github.io/Logging_0980/tillsynsmail/A 26461-2025 tillsynsbegäran mail.docx", "A 26461-2025")</f>
        <v/>
      </c>
    </row>
    <row r="138" ht="15" customHeight="1">
      <c r="A138" t="inlineStr">
        <is>
          <t>A 6303-2024</t>
        </is>
      </c>
      <c r="B138" s="1" t="n">
        <v>45338.35376157407</v>
      </c>
      <c r="C138" s="1" t="n">
        <v>45916</v>
      </c>
      <c r="D138" t="inlineStr">
        <is>
          <t>GOTLANDS LÄN</t>
        </is>
      </c>
      <c r="E138" t="inlineStr">
        <is>
          <t>GOTLAND</t>
        </is>
      </c>
      <c r="G138" t="n">
        <v>0.6</v>
      </c>
      <c r="H138" t="n">
        <v>0</v>
      </c>
      <c r="I138" t="n">
        <v>1</v>
      </c>
      <c r="J138" t="n">
        <v>0</v>
      </c>
      <c r="K138" t="n">
        <v>0</v>
      </c>
      <c r="L138" t="n">
        <v>0</v>
      </c>
      <c r="M138" t="n">
        <v>0</v>
      </c>
      <c r="N138" t="n">
        <v>0</v>
      </c>
      <c r="O138" t="n">
        <v>0</v>
      </c>
      <c r="P138" t="n">
        <v>0</v>
      </c>
      <c r="Q138" t="n">
        <v>1</v>
      </c>
      <c r="R138" s="2" t="inlineStr">
        <is>
          <t>Strävlosta</t>
        </is>
      </c>
      <c r="S138">
        <f>HYPERLINK("https://klasma.github.io/Logging_0980/artfynd/A 6303-2024 artfynd.xlsx", "A 6303-2024")</f>
        <v/>
      </c>
      <c r="T138">
        <f>HYPERLINK("https://klasma.github.io/Logging_0980/kartor/A 6303-2024 karta.png", "A 6303-2024")</f>
        <v/>
      </c>
      <c r="V138">
        <f>HYPERLINK("https://klasma.github.io/Logging_0980/klagomål/A 6303-2024 FSC-klagomål.docx", "A 6303-2024")</f>
        <v/>
      </c>
      <c r="W138">
        <f>HYPERLINK("https://klasma.github.io/Logging_0980/klagomålsmail/A 6303-2024 FSC-klagomål mail.docx", "A 6303-2024")</f>
        <v/>
      </c>
      <c r="X138">
        <f>HYPERLINK("https://klasma.github.io/Logging_0980/tillsyn/A 6303-2024 tillsynsbegäran.docx", "A 6303-2024")</f>
        <v/>
      </c>
      <c r="Y138">
        <f>HYPERLINK("https://klasma.github.io/Logging_0980/tillsynsmail/A 6303-2024 tillsynsbegäran mail.docx", "A 6303-2024")</f>
        <v/>
      </c>
    </row>
    <row r="139" ht="15" customHeight="1">
      <c r="A139" t="inlineStr">
        <is>
          <t>A 62552-2022</t>
        </is>
      </c>
      <c r="B139" s="1" t="n">
        <v>44924</v>
      </c>
      <c r="C139" s="1" t="n">
        <v>45916</v>
      </c>
      <c r="D139" t="inlineStr">
        <is>
          <t>GOTLANDS LÄN</t>
        </is>
      </c>
      <c r="E139" t="inlineStr">
        <is>
          <t>GOTLAND</t>
        </is>
      </c>
      <c r="G139" t="n">
        <v>1.6</v>
      </c>
      <c r="H139" t="n">
        <v>0</v>
      </c>
      <c r="I139" t="n">
        <v>0</v>
      </c>
      <c r="J139" t="n">
        <v>1</v>
      </c>
      <c r="K139" t="n">
        <v>0</v>
      </c>
      <c r="L139" t="n">
        <v>0</v>
      </c>
      <c r="M139" t="n">
        <v>0</v>
      </c>
      <c r="N139" t="n">
        <v>0</v>
      </c>
      <c r="O139" t="n">
        <v>1</v>
      </c>
      <c r="P139" t="n">
        <v>0</v>
      </c>
      <c r="Q139" t="n">
        <v>1</v>
      </c>
      <c r="R139" s="2" t="inlineStr">
        <is>
          <t>Äggspindling</t>
        </is>
      </c>
      <c r="S139">
        <f>HYPERLINK("https://klasma.github.io/Logging_0980/artfynd/A 62552-2022 artfynd.xlsx", "A 62552-2022")</f>
        <v/>
      </c>
      <c r="T139">
        <f>HYPERLINK("https://klasma.github.io/Logging_0980/kartor/A 62552-2022 karta.png", "A 62552-2022")</f>
        <v/>
      </c>
      <c r="V139">
        <f>HYPERLINK("https://klasma.github.io/Logging_0980/klagomål/A 62552-2022 FSC-klagomål.docx", "A 62552-2022")</f>
        <v/>
      </c>
      <c r="W139">
        <f>HYPERLINK("https://klasma.github.io/Logging_0980/klagomålsmail/A 62552-2022 FSC-klagomål mail.docx", "A 62552-2022")</f>
        <v/>
      </c>
      <c r="X139">
        <f>HYPERLINK("https://klasma.github.io/Logging_0980/tillsyn/A 62552-2022 tillsynsbegäran.docx", "A 62552-2022")</f>
        <v/>
      </c>
      <c r="Y139">
        <f>HYPERLINK("https://klasma.github.io/Logging_0980/tillsynsmail/A 62552-2022 tillsynsbegäran mail.docx", "A 62552-2022")</f>
        <v/>
      </c>
    </row>
    <row r="140" ht="15" customHeight="1">
      <c r="A140" t="inlineStr">
        <is>
          <t>A 27168-2022</t>
        </is>
      </c>
      <c r="B140" s="1" t="n">
        <v>44741</v>
      </c>
      <c r="C140" s="1" t="n">
        <v>45916</v>
      </c>
      <c r="D140" t="inlineStr">
        <is>
          <t>GOTLANDS LÄN</t>
        </is>
      </c>
      <c r="E140" t="inlineStr">
        <is>
          <t>GOTLAND</t>
        </is>
      </c>
      <c r="G140" t="n">
        <v>2.2</v>
      </c>
      <c r="H140" t="n">
        <v>1</v>
      </c>
      <c r="I140" t="n">
        <v>1</v>
      </c>
      <c r="J140" t="n">
        <v>0</v>
      </c>
      <c r="K140" t="n">
        <v>0</v>
      </c>
      <c r="L140" t="n">
        <v>0</v>
      </c>
      <c r="M140" t="n">
        <v>0</v>
      </c>
      <c r="N140" t="n">
        <v>0</v>
      </c>
      <c r="O140" t="n">
        <v>0</v>
      </c>
      <c r="P140" t="n">
        <v>0</v>
      </c>
      <c r="Q140" t="n">
        <v>1</v>
      </c>
      <c r="R140" s="2" t="inlineStr">
        <is>
          <t>Purpurknipprot</t>
        </is>
      </c>
      <c r="S140">
        <f>HYPERLINK("https://klasma.github.io/Logging_0980/artfynd/A 27168-2022 artfynd.xlsx", "A 27168-2022")</f>
        <v/>
      </c>
      <c r="T140">
        <f>HYPERLINK("https://klasma.github.io/Logging_0980/kartor/A 27168-2022 karta.png", "A 27168-2022")</f>
        <v/>
      </c>
      <c r="V140">
        <f>HYPERLINK("https://klasma.github.io/Logging_0980/klagomål/A 27168-2022 FSC-klagomål.docx", "A 27168-2022")</f>
        <v/>
      </c>
      <c r="W140">
        <f>HYPERLINK("https://klasma.github.io/Logging_0980/klagomålsmail/A 27168-2022 FSC-klagomål mail.docx", "A 27168-2022")</f>
        <v/>
      </c>
      <c r="X140">
        <f>HYPERLINK("https://klasma.github.io/Logging_0980/tillsyn/A 27168-2022 tillsynsbegäran.docx", "A 27168-2022")</f>
        <v/>
      </c>
      <c r="Y140">
        <f>HYPERLINK("https://klasma.github.io/Logging_0980/tillsynsmail/A 27168-2022 tillsynsbegäran mail.docx", "A 27168-2022")</f>
        <v/>
      </c>
    </row>
    <row r="141" ht="15" customHeight="1">
      <c r="A141" t="inlineStr">
        <is>
          <t>A 7637-2025</t>
        </is>
      </c>
      <c r="B141" s="1" t="n">
        <v>45705.77181712963</v>
      </c>
      <c r="C141" s="1" t="n">
        <v>45916</v>
      </c>
      <c r="D141" t="inlineStr">
        <is>
          <t>GOTLANDS LÄN</t>
        </is>
      </c>
      <c r="E141" t="inlineStr">
        <is>
          <t>GOTLAND</t>
        </is>
      </c>
      <c r="G141" t="n">
        <v>3.7</v>
      </c>
      <c r="H141" t="n">
        <v>0</v>
      </c>
      <c r="I141" t="n">
        <v>0</v>
      </c>
      <c r="J141" t="n">
        <v>0</v>
      </c>
      <c r="K141" t="n">
        <v>0</v>
      </c>
      <c r="L141" t="n">
        <v>0</v>
      </c>
      <c r="M141" t="n">
        <v>1</v>
      </c>
      <c r="N141" t="n">
        <v>0</v>
      </c>
      <c r="O141" t="n">
        <v>1</v>
      </c>
      <c r="P141" t="n">
        <v>1</v>
      </c>
      <c r="Q141" t="n">
        <v>1</v>
      </c>
      <c r="R141" s="2" t="inlineStr">
        <is>
          <t>Skogsalm</t>
        </is>
      </c>
      <c r="S141">
        <f>HYPERLINK("https://klasma.github.io/Logging_0980/artfynd/A 7637-2025 artfynd.xlsx", "A 7637-2025")</f>
        <v/>
      </c>
      <c r="T141">
        <f>HYPERLINK("https://klasma.github.io/Logging_0980/kartor/A 7637-2025 karta.png", "A 7637-2025")</f>
        <v/>
      </c>
      <c r="V141">
        <f>HYPERLINK("https://klasma.github.io/Logging_0980/klagomål/A 7637-2025 FSC-klagomål.docx", "A 7637-2025")</f>
        <v/>
      </c>
      <c r="W141">
        <f>HYPERLINK("https://klasma.github.io/Logging_0980/klagomålsmail/A 7637-2025 FSC-klagomål mail.docx", "A 7637-2025")</f>
        <v/>
      </c>
      <c r="X141">
        <f>HYPERLINK("https://klasma.github.io/Logging_0980/tillsyn/A 7637-2025 tillsynsbegäran.docx", "A 7637-2025")</f>
        <v/>
      </c>
      <c r="Y141">
        <f>HYPERLINK("https://klasma.github.io/Logging_0980/tillsynsmail/A 7637-2025 tillsynsbegäran mail.docx", "A 7637-2025")</f>
        <v/>
      </c>
    </row>
    <row r="142" ht="15" customHeight="1">
      <c r="A142" t="inlineStr">
        <is>
          <t>A 25977-2024</t>
        </is>
      </c>
      <c r="B142" s="1" t="n">
        <v>45467.69356481481</v>
      </c>
      <c r="C142" s="1" t="n">
        <v>45916</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27589-2023</t>
        </is>
      </c>
      <c r="B143" s="1" t="n">
        <v>45097</v>
      </c>
      <c r="C143" s="1" t="n">
        <v>45916</v>
      </c>
      <c r="D143" t="inlineStr">
        <is>
          <t>GOTLANDS LÄN</t>
        </is>
      </c>
      <c r="E143" t="inlineStr">
        <is>
          <t>GOTLAND</t>
        </is>
      </c>
      <c r="G143" t="n">
        <v>5.4</v>
      </c>
      <c r="H143" t="n">
        <v>0</v>
      </c>
      <c r="I143" t="n">
        <v>0</v>
      </c>
      <c r="J143" t="n">
        <v>0</v>
      </c>
      <c r="K143" t="n">
        <v>0</v>
      </c>
      <c r="L143" t="n">
        <v>0</v>
      </c>
      <c r="M143" t="n">
        <v>1</v>
      </c>
      <c r="N143" t="n">
        <v>0</v>
      </c>
      <c r="O143" t="n">
        <v>1</v>
      </c>
      <c r="P143" t="n">
        <v>1</v>
      </c>
      <c r="Q143" t="n">
        <v>1</v>
      </c>
      <c r="R143" s="2" t="inlineStr">
        <is>
          <t>Skogsalm</t>
        </is>
      </c>
      <c r="S143">
        <f>HYPERLINK("https://klasma.github.io/Logging_0980/artfynd/A 27589-2023 artfynd.xlsx", "A 27589-2023")</f>
        <v/>
      </c>
      <c r="T143">
        <f>HYPERLINK("https://klasma.github.io/Logging_0980/kartor/A 27589-2023 karta.png", "A 27589-2023")</f>
        <v/>
      </c>
      <c r="V143">
        <f>HYPERLINK("https://klasma.github.io/Logging_0980/klagomål/A 27589-2023 FSC-klagomål.docx", "A 27589-2023")</f>
        <v/>
      </c>
      <c r="W143">
        <f>HYPERLINK("https://klasma.github.io/Logging_0980/klagomålsmail/A 27589-2023 FSC-klagomål mail.docx", "A 27589-2023")</f>
        <v/>
      </c>
      <c r="X143">
        <f>HYPERLINK("https://klasma.github.io/Logging_0980/tillsyn/A 27589-2023 tillsynsbegäran.docx", "A 27589-2023")</f>
        <v/>
      </c>
      <c r="Y143">
        <f>HYPERLINK("https://klasma.github.io/Logging_0980/tillsynsmail/A 27589-2023 tillsynsbegäran mail.docx", "A 27589-2023")</f>
        <v/>
      </c>
    </row>
    <row r="144" ht="15" customHeight="1">
      <c r="A144" t="inlineStr">
        <is>
          <t>A 61796-2022</t>
        </is>
      </c>
      <c r="B144" s="1" t="n">
        <v>44917</v>
      </c>
      <c r="C144" s="1" t="n">
        <v>45916</v>
      </c>
      <c r="D144" t="inlineStr">
        <is>
          <t>GOTLANDS LÄN</t>
        </is>
      </c>
      <c r="E144" t="inlineStr">
        <is>
          <t>GOTLAND</t>
        </is>
      </c>
      <c r="G144" t="n">
        <v>1.5</v>
      </c>
      <c r="H144" t="n">
        <v>1</v>
      </c>
      <c r="I144" t="n">
        <v>0</v>
      </c>
      <c r="J144" t="n">
        <v>0</v>
      </c>
      <c r="K144" t="n">
        <v>0</v>
      </c>
      <c r="L144" t="n">
        <v>0</v>
      </c>
      <c r="M144" t="n">
        <v>0</v>
      </c>
      <c r="N144" t="n">
        <v>0</v>
      </c>
      <c r="O144" t="n">
        <v>0</v>
      </c>
      <c r="P144" t="n">
        <v>0</v>
      </c>
      <c r="Q144" t="n">
        <v>1</v>
      </c>
      <c r="R144" s="2" t="inlineStr">
        <is>
          <t>Skogsduva</t>
        </is>
      </c>
      <c r="S144">
        <f>HYPERLINK("https://klasma.github.io/Logging_0980/artfynd/A 61796-2022 artfynd.xlsx", "A 61796-2022")</f>
        <v/>
      </c>
      <c r="T144">
        <f>HYPERLINK("https://klasma.github.io/Logging_0980/kartor/A 61796-2022 karta.png", "A 61796-2022")</f>
        <v/>
      </c>
      <c r="V144">
        <f>HYPERLINK("https://klasma.github.io/Logging_0980/klagomål/A 61796-2022 FSC-klagomål.docx", "A 61796-2022")</f>
        <v/>
      </c>
      <c r="W144">
        <f>HYPERLINK("https://klasma.github.io/Logging_0980/klagomålsmail/A 61796-2022 FSC-klagomål mail.docx", "A 61796-2022")</f>
        <v/>
      </c>
      <c r="X144">
        <f>HYPERLINK("https://klasma.github.io/Logging_0980/tillsyn/A 61796-2022 tillsynsbegäran.docx", "A 61796-2022")</f>
        <v/>
      </c>
      <c r="Y144">
        <f>HYPERLINK("https://klasma.github.io/Logging_0980/tillsynsmail/A 61796-2022 tillsynsbegäran mail.docx", "A 61796-2022")</f>
        <v/>
      </c>
      <c r="Z144">
        <f>HYPERLINK("https://klasma.github.io/Logging_0980/fåglar/A 61796-2022 prioriterade fågelarter.docx", "A 61796-2022")</f>
        <v/>
      </c>
    </row>
    <row r="145" ht="15" customHeight="1">
      <c r="A145" t="inlineStr">
        <is>
          <t>A 9862-2024</t>
        </is>
      </c>
      <c r="B145" s="1" t="n">
        <v>45363</v>
      </c>
      <c r="C145" s="1" t="n">
        <v>45916</v>
      </c>
      <c r="D145" t="inlineStr">
        <is>
          <t>GOTLANDS LÄN</t>
        </is>
      </c>
      <c r="E145" t="inlineStr">
        <is>
          <t>GOTLAND</t>
        </is>
      </c>
      <c r="G145" t="n">
        <v>3.5</v>
      </c>
      <c r="H145" t="n">
        <v>1</v>
      </c>
      <c r="I145" t="n">
        <v>0</v>
      </c>
      <c r="J145" t="n">
        <v>0</v>
      </c>
      <c r="K145" t="n">
        <v>0</v>
      </c>
      <c r="L145" t="n">
        <v>0</v>
      </c>
      <c r="M145" t="n">
        <v>0</v>
      </c>
      <c r="N145" t="n">
        <v>0</v>
      </c>
      <c r="O145" t="n">
        <v>0</v>
      </c>
      <c r="P145" t="n">
        <v>0</v>
      </c>
      <c r="Q145" t="n">
        <v>1</v>
      </c>
      <c r="R145" s="2" t="inlineStr">
        <is>
          <t>Nattviol</t>
        </is>
      </c>
      <c r="S145">
        <f>HYPERLINK("https://klasma.github.io/Logging_0980/artfynd/A 9862-2024 artfynd.xlsx", "A 9862-2024")</f>
        <v/>
      </c>
      <c r="T145">
        <f>HYPERLINK("https://klasma.github.io/Logging_0980/kartor/A 9862-2024 karta.png", "A 9862-2024")</f>
        <v/>
      </c>
      <c r="V145">
        <f>HYPERLINK("https://klasma.github.io/Logging_0980/klagomål/A 9862-2024 FSC-klagomål.docx", "A 9862-2024")</f>
        <v/>
      </c>
      <c r="W145">
        <f>HYPERLINK("https://klasma.github.io/Logging_0980/klagomålsmail/A 9862-2024 FSC-klagomål mail.docx", "A 9862-2024")</f>
        <v/>
      </c>
      <c r="X145">
        <f>HYPERLINK("https://klasma.github.io/Logging_0980/tillsyn/A 9862-2024 tillsynsbegäran.docx", "A 9862-2024")</f>
        <v/>
      </c>
      <c r="Y145">
        <f>HYPERLINK("https://klasma.github.io/Logging_0980/tillsynsmail/A 9862-2024 tillsynsbegäran mail.docx", "A 9862-2024")</f>
        <v/>
      </c>
    </row>
    <row r="146" ht="15" customHeight="1">
      <c r="A146" t="inlineStr">
        <is>
          <t>A 34141-2024</t>
        </is>
      </c>
      <c r="B146" s="1" t="n">
        <v>45524.36229166666</v>
      </c>
      <c r="C146" s="1" t="n">
        <v>45916</v>
      </c>
      <c r="D146" t="inlineStr">
        <is>
          <t>GOTLANDS LÄN</t>
        </is>
      </c>
      <c r="E146" t="inlineStr">
        <is>
          <t>GOTLAND</t>
        </is>
      </c>
      <c r="G146" t="n">
        <v>0.9</v>
      </c>
      <c r="H146" t="n">
        <v>0</v>
      </c>
      <c r="I146" t="n">
        <v>1</v>
      </c>
      <c r="J146" t="n">
        <v>0</v>
      </c>
      <c r="K146" t="n">
        <v>0</v>
      </c>
      <c r="L146" t="n">
        <v>0</v>
      </c>
      <c r="M146" t="n">
        <v>0</v>
      </c>
      <c r="N146" t="n">
        <v>0</v>
      </c>
      <c r="O146" t="n">
        <v>0</v>
      </c>
      <c r="P146" t="n">
        <v>0</v>
      </c>
      <c r="Q146" t="n">
        <v>1</v>
      </c>
      <c r="R146" s="2" t="inlineStr">
        <is>
          <t>Strävlosta</t>
        </is>
      </c>
      <c r="S146">
        <f>HYPERLINK("https://klasma.github.io/Logging_0980/artfynd/A 34141-2024 artfynd.xlsx", "A 34141-2024")</f>
        <v/>
      </c>
      <c r="T146">
        <f>HYPERLINK("https://klasma.github.io/Logging_0980/kartor/A 34141-2024 karta.png", "A 34141-2024")</f>
        <v/>
      </c>
      <c r="V146">
        <f>HYPERLINK("https://klasma.github.io/Logging_0980/klagomål/A 34141-2024 FSC-klagomål.docx", "A 34141-2024")</f>
        <v/>
      </c>
      <c r="W146">
        <f>HYPERLINK("https://klasma.github.io/Logging_0980/klagomålsmail/A 34141-2024 FSC-klagomål mail.docx", "A 34141-2024")</f>
        <v/>
      </c>
      <c r="X146">
        <f>HYPERLINK("https://klasma.github.io/Logging_0980/tillsyn/A 34141-2024 tillsynsbegäran.docx", "A 34141-2024")</f>
        <v/>
      </c>
      <c r="Y146">
        <f>HYPERLINK("https://klasma.github.io/Logging_0980/tillsynsmail/A 34141-2024 tillsynsbegäran mail.docx", "A 34141-2024")</f>
        <v/>
      </c>
    </row>
    <row r="147" ht="15" customHeight="1">
      <c r="A147" t="inlineStr">
        <is>
          <t>A 10218-2025</t>
        </is>
      </c>
      <c r="B147" s="1" t="n">
        <v>45720</v>
      </c>
      <c r="C147" s="1" t="n">
        <v>45916</v>
      </c>
      <c r="D147" t="inlineStr">
        <is>
          <t>GOTLANDS LÄN</t>
        </is>
      </c>
      <c r="E147" t="inlineStr">
        <is>
          <t>GOTLAND</t>
        </is>
      </c>
      <c r="G147" t="n">
        <v>8.1</v>
      </c>
      <c r="H147" t="n">
        <v>0</v>
      </c>
      <c r="I147" t="n">
        <v>1</v>
      </c>
      <c r="J147" t="n">
        <v>0</v>
      </c>
      <c r="K147" t="n">
        <v>0</v>
      </c>
      <c r="L147" t="n">
        <v>0</v>
      </c>
      <c r="M147" t="n">
        <v>0</v>
      </c>
      <c r="N147" t="n">
        <v>0</v>
      </c>
      <c r="O147" t="n">
        <v>0</v>
      </c>
      <c r="P147" t="n">
        <v>0</v>
      </c>
      <c r="Q147" t="n">
        <v>1</v>
      </c>
      <c r="R147" s="2" t="inlineStr">
        <is>
          <t>Kalktallört</t>
        </is>
      </c>
      <c r="S147">
        <f>HYPERLINK("https://klasma.github.io/Logging_0980/artfynd/A 10218-2025 artfynd.xlsx", "A 10218-2025")</f>
        <v/>
      </c>
      <c r="T147">
        <f>HYPERLINK("https://klasma.github.io/Logging_0980/kartor/A 10218-2025 karta.png", "A 10218-2025")</f>
        <v/>
      </c>
      <c r="V147">
        <f>HYPERLINK("https://klasma.github.io/Logging_0980/klagomål/A 10218-2025 FSC-klagomål.docx", "A 10218-2025")</f>
        <v/>
      </c>
      <c r="W147">
        <f>HYPERLINK("https://klasma.github.io/Logging_0980/klagomålsmail/A 10218-2025 FSC-klagomål mail.docx", "A 10218-2025")</f>
        <v/>
      </c>
      <c r="X147">
        <f>HYPERLINK("https://klasma.github.io/Logging_0980/tillsyn/A 10218-2025 tillsynsbegäran.docx", "A 10218-2025")</f>
        <v/>
      </c>
      <c r="Y147">
        <f>HYPERLINK("https://klasma.github.io/Logging_0980/tillsynsmail/A 10218-2025 tillsynsbegäran mail.docx", "A 10218-2025")</f>
        <v/>
      </c>
    </row>
    <row r="148" ht="15" customHeight="1">
      <c r="A148" t="inlineStr">
        <is>
          <t>A 65927-2021</t>
        </is>
      </c>
      <c r="B148" s="1" t="n">
        <v>44516</v>
      </c>
      <c r="C148" s="1" t="n">
        <v>45916</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12379-2024</t>
        </is>
      </c>
      <c r="B149" s="1" t="n">
        <v>45379.28155092592</v>
      </c>
      <c r="C149" s="1" t="n">
        <v>45916</v>
      </c>
      <c r="D149" t="inlineStr">
        <is>
          <t>GOTLANDS LÄN</t>
        </is>
      </c>
      <c r="E149" t="inlineStr">
        <is>
          <t>GOTLAND</t>
        </is>
      </c>
      <c r="G149" t="n">
        <v>4.4</v>
      </c>
      <c r="H149" t="n">
        <v>0</v>
      </c>
      <c r="I149" t="n">
        <v>0</v>
      </c>
      <c r="J149" t="n">
        <v>1</v>
      </c>
      <c r="K149" t="n">
        <v>0</v>
      </c>
      <c r="L149" t="n">
        <v>0</v>
      </c>
      <c r="M149" t="n">
        <v>0</v>
      </c>
      <c r="N149" t="n">
        <v>0</v>
      </c>
      <c r="O149" t="n">
        <v>1</v>
      </c>
      <c r="P149" t="n">
        <v>0</v>
      </c>
      <c r="Q149" t="n">
        <v>1</v>
      </c>
      <c r="R149" s="2" t="inlineStr">
        <is>
          <t>Svinrot</t>
        </is>
      </c>
      <c r="S149">
        <f>HYPERLINK("https://klasma.github.io/Logging_0980/artfynd/A 12379-2024 artfynd.xlsx", "A 12379-2024")</f>
        <v/>
      </c>
      <c r="T149">
        <f>HYPERLINK("https://klasma.github.io/Logging_0980/kartor/A 12379-2024 karta.png", "A 12379-2024")</f>
        <v/>
      </c>
      <c r="V149">
        <f>HYPERLINK("https://klasma.github.io/Logging_0980/klagomål/A 12379-2024 FSC-klagomål.docx", "A 12379-2024")</f>
        <v/>
      </c>
      <c r="W149">
        <f>HYPERLINK("https://klasma.github.io/Logging_0980/klagomålsmail/A 12379-2024 FSC-klagomål mail.docx", "A 12379-2024")</f>
        <v/>
      </c>
      <c r="X149">
        <f>HYPERLINK("https://klasma.github.io/Logging_0980/tillsyn/A 12379-2024 tillsynsbegäran.docx", "A 12379-2024")</f>
        <v/>
      </c>
      <c r="Y149">
        <f>HYPERLINK("https://klasma.github.io/Logging_0980/tillsynsmail/A 12379-2024 tillsynsbegäran mail.docx", "A 12379-2024")</f>
        <v/>
      </c>
    </row>
    <row r="150" ht="15" customHeight="1">
      <c r="A150" t="inlineStr">
        <is>
          <t>A 947-2023</t>
        </is>
      </c>
      <c r="B150" s="1" t="n">
        <v>44934</v>
      </c>
      <c r="C150" s="1" t="n">
        <v>45916</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64700-2021</t>
        </is>
      </c>
      <c r="B151" s="1" t="n">
        <v>44511</v>
      </c>
      <c r="C151" s="1" t="n">
        <v>45916</v>
      </c>
      <c r="D151" t="inlineStr">
        <is>
          <t>GOTLANDS LÄN</t>
        </is>
      </c>
      <c r="E151" t="inlineStr">
        <is>
          <t>GOTLAND</t>
        </is>
      </c>
      <c r="F151" t="inlineStr">
        <is>
          <t>Naturvårdsverket</t>
        </is>
      </c>
      <c r="G151" t="n">
        <v>2.4</v>
      </c>
      <c r="H151" t="n">
        <v>1</v>
      </c>
      <c r="I151" t="n">
        <v>0</v>
      </c>
      <c r="J151" t="n">
        <v>0</v>
      </c>
      <c r="K151" t="n">
        <v>1</v>
      </c>
      <c r="L151" t="n">
        <v>0</v>
      </c>
      <c r="M151" t="n">
        <v>0</v>
      </c>
      <c r="N151" t="n">
        <v>0</v>
      </c>
      <c r="O151" t="n">
        <v>1</v>
      </c>
      <c r="P151" t="n">
        <v>1</v>
      </c>
      <c r="Q151" t="n">
        <v>1</v>
      </c>
      <c r="R151" s="2" t="inlineStr">
        <is>
          <t>Kalkdån</t>
        </is>
      </c>
      <c r="S151">
        <f>HYPERLINK("https://klasma.github.io/Logging_0980/artfynd/A 64700-2021 artfynd.xlsx", "A 64700-2021")</f>
        <v/>
      </c>
      <c r="T151">
        <f>HYPERLINK("https://klasma.github.io/Logging_0980/kartor/A 64700-2021 karta.png", "A 64700-2021")</f>
        <v/>
      </c>
      <c r="V151">
        <f>HYPERLINK("https://klasma.github.io/Logging_0980/klagomål/A 64700-2021 FSC-klagomål.docx", "A 64700-2021")</f>
        <v/>
      </c>
      <c r="W151">
        <f>HYPERLINK("https://klasma.github.io/Logging_0980/klagomålsmail/A 64700-2021 FSC-klagomål mail.docx", "A 64700-2021")</f>
        <v/>
      </c>
      <c r="X151">
        <f>HYPERLINK("https://klasma.github.io/Logging_0980/tillsyn/A 64700-2021 tillsynsbegäran.docx", "A 64700-2021")</f>
        <v/>
      </c>
      <c r="Y151">
        <f>HYPERLINK("https://klasma.github.io/Logging_0980/tillsynsmail/A 64700-2021 tillsynsbegäran mail.docx", "A 64700-2021")</f>
        <v/>
      </c>
    </row>
    <row r="152" ht="15" customHeight="1">
      <c r="A152" t="inlineStr">
        <is>
          <t>A 39812-2025</t>
        </is>
      </c>
      <c r="B152" s="1" t="n">
        <v>45891</v>
      </c>
      <c r="C152" s="1" t="n">
        <v>45916</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35574-2024</t>
        </is>
      </c>
      <c r="B153" s="1" t="n">
        <v>45531</v>
      </c>
      <c r="C153" s="1" t="n">
        <v>45916</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37591-2023</t>
        </is>
      </c>
      <c r="B154" s="1" t="n">
        <v>45159</v>
      </c>
      <c r="C154" s="1" t="n">
        <v>45916</v>
      </c>
      <c r="D154" t="inlineStr">
        <is>
          <t>GOTLANDS LÄN</t>
        </is>
      </c>
      <c r="E154" t="inlineStr">
        <is>
          <t>GOTLAND</t>
        </is>
      </c>
      <c r="G154" t="n">
        <v>8.300000000000001</v>
      </c>
      <c r="H154" t="n">
        <v>0</v>
      </c>
      <c r="I154" t="n">
        <v>0</v>
      </c>
      <c r="J154" t="n">
        <v>1</v>
      </c>
      <c r="K154" t="n">
        <v>0</v>
      </c>
      <c r="L154" t="n">
        <v>0</v>
      </c>
      <c r="M154" t="n">
        <v>0</v>
      </c>
      <c r="N154" t="n">
        <v>0</v>
      </c>
      <c r="O154" t="n">
        <v>1</v>
      </c>
      <c r="P154" t="n">
        <v>0</v>
      </c>
      <c r="Q154" t="n">
        <v>1</v>
      </c>
      <c r="R154" s="2" t="inlineStr">
        <is>
          <t>Ängsstarr</t>
        </is>
      </c>
      <c r="S154">
        <f>HYPERLINK("https://klasma.github.io/Logging_0980/artfynd/A 37591-2023 artfynd.xlsx", "A 37591-2023")</f>
        <v/>
      </c>
      <c r="T154">
        <f>HYPERLINK("https://klasma.github.io/Logging_0980/kartor/A 37591-2023 karta.png", "A 37591-2023")</f>
        <v/>
      </c>
      <c r="V154">
        <f>HYPERLINK("https://klasma.github.io/Logging_0980/klagomål/A 37591-2023 FSC-klagomål.docx", "A 37591-2023")</f>
        <v/>
      </c>
      <c r="W154">
        <f>HYPERLINK("https://klasma.github.io/Logging_0980/klagomålsmail/A 37591-2023 FSC-klagomål mail.docx", "A 37591-2023")</f>
        <v/>
      </c>
      <c r="X154">
        <f>HYPERLINK("https://klasma.github.io/Logging_0980/tillsyn/A 37591-2023 tillsynsbegäran.docx", "A 37591-2023")</f>
        <v/>
      </c>
      <c r="Y154">
        <f>HYPERLINK("https://klasma.github.io/Logging_0980/tillsynsmail/A 37591-2023 tillsynsbegäran mail.docx", "A 37591-2023")</f>
        <v/>
      </c>
    </row>
    <row r="155" ht="15" customHeight="1">
      <c r="A155" t="inlineStr">
        <is>
          <t>A 15637-2024</t>
        </is>
      </c>
      <c r="B155" s="1" t="n">
        <v>45403.6684837963</v>
      </c>
      <c r="C155" s="1" t="n">
        <v>45916</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61561-2023</t>
        </is>
      </c>
      <c r="B156" s="1" t="n">
        <v>45265</v>
      </c>
      <c r="C156" s="1" t="n">
        <v>45916</v>
      </c>
      <c r="D156" t="inlineStr">
        <is>
          <t>GOTLANDS LÄN</t>
        </is>
      </c>
      <c r="E156" t="inlineStr">
        <is>
          <t>GOTLAND</t>
        </is>
      </c>
      <c r="G156" t="n">
        <v>7.4</v>
      </c>
      <c r="H156" t="n">
        <v>0</v>
      </c>
      <c r="I156" t="n">
        <v>0</v>
      </c>
      <c r="J156" t="n">
        <v>1</v>
      </c>
      <c r="K156" t="n">
        <v>0</v>
      </c>
      <c r="L156" t="n">
        <v>0</v>
      </c>
      <c r="M156" t="n">
        <v>0</v>
      </c>
      <c r="N156" t="n">
        <v>0</v>
      </c>
      <c r="O156" t="n">
        <v>1</v>
      </c>
      <c r="P156" t="n">
        <v>0</v>
      </c>
      <c r="Q156" t="n">
        <v>1</v>
      </c>
      <c r="R156" s="2" t="inlineStr">
        <is>
          <t>Loppstarr</t>
        </is>
      </c>
      <c r="S156">
        <f>HYPERLINK("https://klasma.github.io/Logging_0980/artfynd/A 61561-2023 artfynd.xlsx", "A 61561-2023")</f>
        <v/>
      </c>
      <c r="T156">
        <f>HYPERLINK("https://klasma.github.io/Logging_0980/kartor/A 61561-2023 karta.png", "A 61561-2023")</f>
        <v/>
      </c>
      <c r="V156">
        <f>HYPERLINK("https://klasma.github.io/Logging_0980/klagomål/A 61561-2023 FSC-klagomål.docx", "A 61561-2023")</f>
        <v/>
      </c>
      <c r="W156">
        <f>HYPERLINK("https://klasma.github.io/Logging_0980/klagomålsmail/A 61561-2023 FSC-klagomål mail.docx", "A 61561-2023")</f>
        <v/>
      </c>
      <c r="X156">
        <f>HYPERLINK("https://klasma.github.io/Logging_0980/tillsyn/A 61561-2023 tillsynsbegäran.docx", "A 61561-2023")</f>
        <v/>
      </c>
      <c r="Y156">
        <f>HYPERLINK("https://klasma.github.io/Logging_0980/tillsynsmail/A 61561-2023 tillsynsbegäran mail.docx", "A 61561-2023")</f>
        <v/>
      </c>
    </row>
    <row r="157" ht="15" customHeight="1">
      <c r="A157" t="inlineStr">
        <is>
          <t>A 13627-2023</t>
        </is>
      </c>
      <c r="B157" s="1" t="n">
        <v>45006</v>
      </c>
      <c r="C157" s="1" t="n">
        <v>45916</v>
      </c>
      <c r="D157" t="inlineStr">
        <is>
          <t>GOTLANDS LÄN</t>
        </is>
      </c>
      <c r="E157" t="inlineStr">
        <is>
          <t>GOTLAND</t>
        </is>
      </c>
      <c r="G157" t="n">
        <v>10.7</v>
      </c>
      <c r="H157" t="n">
        <v>0</v>
      </c>
      <c r="I157" t="n">
        <v>0</v>
      </c>
      <c r="J157" t="n">
        <v>0</v>
      </c>
      <c r="K157" t="n">
        <v>1</v>
      </c>
      <c r="L157" t="n">
        <v>0</v>
      </c>
      <c r="M157" t="n">
        <v>0</v>
      </c>
      <c r="N157" t="n">
        <v>0</v>
      </c>
      <c r="O157" t="n">
        <v>1</v>
      </c>
      <c r="P157" t="n">
        <v>1</v>
      </c>
      <c r="Q157" t="n">
        <v>1</v>
      </c>
      <c r="R157" s="2" t="inlineStr">
        <is>
          <t>Sammetsbockrot</t>
        </is>
      </c>
      <c r="S157">
        <f>HYPERLINK("https://klasma.github.io/Logging_0980/artfynd/A 13627-2023 artfynd.xlsx", "A 13627-2023")</f>
        <v/>
      </c>
      <c r="T157">
        <f>HYPERLINK("https://klasma.github.io/Logging_0980/kartor/A 13627-2023 karta.png", "A 13627-2023")</f>
        <v/>
      </c>
      <c r="V157">
        <f>HYPERLINK("https://klasma.github.io/Logging_0980/klagomål/A 13627-2023 FSC-klagomål.docx", "A 13627-2023")</f>
        <v/>
      </c>
      <c r="W157">
        <f>HYPERLINK("https://klasma.github.io/Logging_0980/klagomålsmail/A 13627-2023 FSC-klagomål mail.docx", "A 13627-2023")</f>
        <v/>
      </c>
      <c r="X157">
        <f>HYPERLINK("https://klasma.github.io/Logging_0980/tillsyn/A 13627-2023 tillsynsbegäran.docx", "A 13627-2023")</f>
        <v/>
      </c>
      <c r="Y157">
        <f>HYPERLINK("https://klasma.github.io/Logging_0980/tillsynsmail/A 13627-2023 tillsynsbegäran mail.docx", "A 13627-2023")</f>
        <v/>
      </c>
    </row>
    <row r="158" ht="15" customHeight="1">
      <c r="A158" t="inlineStr">
        <is>
          <t>A 63299-2020</t>
        </is>
      </c>
      <c r="B158" s="1" t="n">
        <v>44165</v>
      </c>
      <c r="C158" s="1" t="n">
        <v>45916</v>
      </c>
      <c r="D158" t="inlineStr">
        <is>
          <t>GOTLANDS LÄN</t>
        </is>
      </c>
      <c r="E158" t="inlineStr">
        <is>
          <t>GOTLAND</t>
        </is>
      </c>
      <c r="G158" t="n">
        <v>12.9</v>
      </c>
      <c r="H158" t="n">
        <v>1</v>
      </c>
      <c r="I158" t="n">
        <v>0</v>
      </c>
      <c r="J158" t="n">
        <v>1</v>
      </c>
      <c r="K158" t="n">
        <v>0</v>
      </c>
      <c r="L158" t="n">
        <v>0</v>
      </c>
      <c r="M158" t="n">
        <v>0</v>
      </c>
      <c r="N158" t="n">
        <v>0</v>
      </c>
      <c r="O158" t="n">
        <v>1</v>
      </c>
      <c r="P158" t="n">
        <v>0</v>
      </c>
      <c r="Q158" t="n">
        <v>1</v>
      </c>
      <c r="R158" s="2" t="inlineStr">
        <is>
          <t>Svartfläckig blåvinge</t>
        </is>
      </c>
      <c r="S158">
        <f>HYPERLINK("https://klasma.github.io/Logging_0980/artfynd/A 63299-2020 artfynd.xlsx", "A 63299-2020")</f>
        <v/>
      </c>
      <c r="T158">
        <f>HYPERLINK("https://klasma.github.io/Logging_0980/kartor/A 63299-2020 karta.png", "A 63299-2020")</f>
        <v/>
      </c>
      <c r="V158">
        <f>HYPERLINK("https://klasma.github.io/Logging_0980/klagomål/A 63299-2020 FSC-klagomål.docx", "A 63299-2020")</f>
        <v/>
      </c>
      <c r="W158">
        <f>HYPERLINK("https://klasma.github.io/Logging_0980/klagomålsmail/A 63299-2020 FSC-klagomål mail.docx", "A 63299-2020")</f>
        <v/>
      </c>
      <c r="X158">
        <f>HYPERLINK("https://klasma.github.io/Logging_0980/tillsyn/A 63299-2020 tillsynsbegäran.docx", "A 63299-2020")</f>
        <v/>
      </c>
      <c r="Y158">
        <f>HYPERLINK("https://klasma.github.io/Logging_0980/tillsynsmail/A 63299-2020 tillsynsbegäran mail.docx", "A 63299-2020")</f>
        <v/>
      </c>
    </row>
    <row r="159" ht="15" customHeight="1">
      <c r="A159" t="inlineStr">
        <is>
          <t>A 12324-2025</t>
        </is>
      </c>
      <c r="B159" s="1" t="n">
        <v>45730</v>
      </c>
      <c r="C159" s="1" t="n">
        <v>45916</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49847-2023</t>
        </is>
      </c>
      <c r="B160" s="1" t="n">
        <v>45212</v>
      </c>
      <c r="C160" s="1" t="n">
        <v>45916</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20429-2025</t>
        </is>
      </c>
      <c r="B161" s="1" t="n">
        <v>45775.47728009259</v>
      </c>
      <c r="C161" s="1" t="n">
        <v>45916</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2476-2025</t>
        </is>
      </c>
      <c r="B162" s="1" t="n">
        <v>45673</v>
      </c>
      <c r="C162" s="1" t="n">
        <v>45916</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447-2023</t>
        </is>
      </c>
      <c r="B163" s="1" t="n">
        <v>44929</v>
      </c>
      <c r="C163" s="1" t="n">
        <v>45916</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10995-2023</t>
        </is>
      </c>
      <c r="B164" s="1" t="n">
        <v>44986</v>
      </c>
      <c r="C164" s="1" t="n">
        <v>45916</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34809-2024</t>
        </is>
      </c>
      <c r="B165" s="1" t="n">
        <v>45526</v>
      </c>
      <c r="C165" s="1" t="n">
        <v>45916</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63576-2021</t>
        </is>
      </c>
      <c r="B166" s="1" t="n">
        <v>44508</v>
      </c>
      <c r="C166" s="1" t="n">
        <v>45916</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21466-2025</t>
        </is>
      </c>
      <c r="B167" s="1" t="n">
        <v>45782</v>
      </c>
      <c r="C167" s="1" t="n">
        <v>45916</v>
      </c>
      <c r="D167" t="inlineStr">
        <is>
          <t>GOTLANDS LÄN</t>
        </is>
      </c>
      <c r="E167" t="inlineStr">
        <is>
          <t>GOTLAND</t>
        </is>
      </c>
      <c r="F167" t="inlineStr">
        <is>
          <t>Övriga statliga verk och myndigheter</t>
        </is>
      </c>
      <c r="G167" t="n">
        <v>1.7</v>
      </c>
      <c r="H167" t="n">
        <v>1</v>
      </c>
      <c r="I167" t="n">
        <v>0</v>
      </c>
      <c r="J167" t="n">
        <v>0</v>
      </c>
      <c r="K167" t="n">
        <v>0</v>
      </c>
      <c r="L167" t="n">
        <v>0</v>
      </c>
      <c r="M167" t="n">
        <v>0</v>
      </c>
      <c r="N167" t="n">
        <v>0</v>
      </c>
      <c r="O167" t="n">
        <v>0</v>
      </c>
      <c r="P167" t="n">
        <v>0</v>
      </c>
      <c r="Q167" t="n">
        <v>1</v>
      </c>
      <c r="R167" s="2" t="inlineStr">
        <is>
          <t>Blåsippa</t>
        </is>
      </c>
      <c r="S167">
        <f>HYPERLINK("https://klasma.github.io/Logging_0980/artfynd/A 21466-2025 artfynd.xlsx", "A 21466-2025")</f>
        <v/>
      </c>
      <c r="T167">
        <f>HYPERLINK("https://klasma.github.io/Logging_0980/kartor/A 21466-2025 karta.png", "A 21466-2025")</f>
        <v/>
      </c>
      <c r="V167">
        <f>HYPERLINK("https://klasma.github.io/Logging_0980/klagomål/A 21466-2025 FSC-klagomål.docx", "A 21466-2025")</f>
        <v/>
      </c>
      <c r="W167">
        <f>HYPERLINK("https://klasma.github.io/Logging_0980/klagomålsmail/A 21466-2025 FSC-klagomål mail.docx", "A 21466-2025")</f>
        <v/>
      </c>
      <c r="X167">
        <f>HYPERLINK("https://klasma.github.io/Logging_0980/tillsyn/A 21466-2025 tillsynsbegäran.docx", "A 21466-2025")</f>
        <v/>
      </c>
      <c r="Y167">
        <f>HYPERLINK("https://klasma.github.io/Logging_0980/tillsynsmail/A 21466-2025 tillsynsbegäran mail.docx", "A 21466-2025")</f>
        <v/>
      </c>
    </row>
    <row r="168" ht="15" customHeight="1">
      <c r="A168" t="inlineStr">
        <is>
          <t>A 49304-2024</t>
        </is>
      </c>
      <c r="B168" s="1" t="n">
        <v>45595.54996527778</v>
      </c>
      <c r="C168" s="1" t="n">
        <v>45916</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22782-2023</t>
        </is>
      </c>
      <c r="B169" s="1" t="n">
        <v>45072</v>
      </c>
      <c r="C169" s="1" t="n">
        <v>45916</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44088-2022</t>
        </is>
      </c>
      <c r="B170" s="1" t="n">
        <v>44839</v>
      </c>
      <c r="C170" s="1" t="n">
        <v>45916</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10440-2024</t>
        </is>
      </c>
      <c r="B171" s="1" t="n">
        <v>45366.32818287037</v>
      </c>
      <c r="C171" s="1" t="n">
        <v>45916</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19901-2021</t>
        </is>
      </c>
      <c r="B172" s="1" t="n">
        <v>44312</v>
      </c>
      <c r="C172" s="1" t="n">
        <v>45916</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45916</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45916</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45916</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45916</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45916</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45916</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45916</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45916</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45916</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45916</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45916</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45916</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45916</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45916</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45916</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45916</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45916</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45916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45916</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45916</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60356-2020</t>
        </is>
      </c>
      <c r="B193" s="1" t="n">
        <v>44152.71583333334</v>
      </c>
      <c r="C193" s="1" t="n">
        <v>45916</v>
      </c>
      <c r="D193" t="inlineStr">
        <is>
          <t>GOTLANDS LÄN</t>
        </is>
      </c>
      <c r="E193" t="inlineStr">
        <is>
          <t>GOTLAND</t>
        </is>
      </c>
      <c r="G193" t="n">
        <v>2</v>
      </c>
      <c r="H193" t="n">
        <v>0</v>
      </c>
      <c r="I193" t="n">
        <v>0</v>
      </c>
      <c r="J193" t="n">
        <v>0</v>
      </c>
      <c r="K193" t="n">
        <v>0</v>
      </c>
      <c r="L193" t="n">
        <v>0</v>
      </c>
      <c r="M193" t="n">
        <v>0</v>
      </c>
      <c r="N193" t="n">
        <v>0</v>
      </c>
      <c r="O193" t="n">
        <v>0</v>
      </c>
      <c r="P193" t="n">
        <v>0</v>
      </c>
      <c r="Q193" t="n">
        <v>0</v>
      </c>
      <c r="R193" s="2" t="inlineStr"/>
    </row>
    <row r="194" ht="15" customHeight="1">
      <c r="A194" t="inlineStr">
        <is>
          <t>A 22498-2022</t>
        </is>
      </c>
      <c r="B194" s="1" t="n">
        <v>44713.64682870371</v>
      </c>
      <c r="C194" s="1" t="n">
        <v>45916</v>
      </c>
      <c r="D194" t="inlineStr">
        <is>
          <t>GOTLANDS LÄN</t>
        </is>
      </c>
      <c r="E194" t="inlineStr">
        <is>
          <t>GOTLAND</t>
        </is>
      </c>
      <c r="G194" t="n">
        <v>0.7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45916</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45916</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45916</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15127-2021</t>
        </is>
      </c>
      <c r="B198" s="1" t="n">
        <v>44283</v>
      </c>
      <c r="C198" s="1" t="n">
        <v>45916</v>
      </c>
      <c r="D198" t="inlineStr">
        <is>
          <t>GOTLANDS LÄN</t>
        </is>
      </c>
      <c r="E198" t="inlineStr">
        <is>
          <t>GOTLAND</t>
        </is>
      </c>
      <c r="G198" t="n">
        <v>0.4</v>
      </c>
      <c r="H198" t="n">
        <v>0</v>
      </c>
      <c r="I198" t="n">
        <v>0</v>
      </c>
      <c r="J198" t="n">
        <v>0</v>
      </c>
      <c r="K198" t="n">
        <v>0</v>
      </c>
      <c r="L198" t="n">
        <v>0</v>
      </c>
      <c r="M198" t="n">
        <v>0</v>
      </c>
      <c r="N198" t="n">
        <v>0</v>
      </c>
      <c r="O198" t="n">
        <v>0</v>
      </c>
      <c r="P198" t="n">
        <v>0</v>
      </c>
      <c r="Q198" t="n">
        <v>0</v>
      </c>
      <c r="R198" s="2" t="inlineStr"/>
    </row>
    <row r="199" ht="15" customHeight="1">
      <c r="A199" t="inlineStr">
        <is>
          <t>A 12318-2021</t>
        </is>
      </c>
      <c r="B199" s="1" t="n">
        <v>44266</v>
      </c>
      <c r="C199" s="1" t="n">
        <v>45916</v>
      </c>
      <c r="D199" t="inlineStr">
        <is>
          <t>GOTLANDS LÄN</t>
        </is>
      </c>
      <c r="E199" t="inlineStr">
        <is>
          <t>GOTLAND</t>
        </is>
      </c>
      <c r="G199" t="n">
        <v>1</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45916</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45916</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45916</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45916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45916</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45916</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45916</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45916</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45916</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45916</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45916</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65393-2021</t>
        </is>
      </c>
      <c r="B211" s="1" t="n">
        <v>44515</v>
      </c>
      <c r="C211" s="1" t="n">
        <v>45916</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22155-2021</t>
        </is>
      </c>
      <c r="B212" s="1" t="n">
        <v>44325.49369212963</v>
      </c>
      <c r="C212" s="1" t="n">
        <v>45916</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1229-2021</t>
        </is>
      </c>
      <c r="B213" s="1" t="n">
        <v>44208</v>
      </c>
      <c r="C213" s="1" t="n">
        <v>45916</v>
      </c>
      <c r="D213" t="inlineStr">
        <is>
          <t>GOTLANDS LÄN</t>
        </is>
      </c>
      <c r="E213" t="inlineStr">
        <is>
          <t>GOTLAND</t>
        </is>
      </c>
      <c r="G213" t="n">
        <v>5.3</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45916</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62120-2020</t>
        </is>
      </c>
      <c r="B215" s="1" t="n">
        <v>44158</v>
      </c>
      <c r="C215" s="1" t="n">
        <v>45916</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3271-2021</t>
        </is>
      </c>
      <c r="B216" s="1" t="n">
        <v>44217</v>
      </c>
      <c r="C216" s="1" t="n">
        <v>45916</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45916</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45916</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45916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45916</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45916</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2608-2021</t>
        </is>
      </c>
      <c r="B222" s="1" t="n">
        <v>44214</v>
      </c>
      <c r="C222" s="1" t="n">
        <v>45916</v>
      </c>
      <c r="D222" t="inlineStr">
        <is>
          <t>GOTLANDS LÄN</t>
        </is>
      </c>
      <c r="E222" t="inlineStr">
        <is>
          <t>GOTLAND</t>
        </is>
      </c>
      <c r="G222" t="n">
        <v>3.9</v>
      </c>
      <c r="H222" t="n">
        <v>0</v>
      </c>
      <c r="I222" t="n">
        <v>0</v>
      </c>
      <c r="J222" t="n">
        <v>0</v>
      </c>
      <c r="K222" t="n">
        <v>0</v>
      </c>
      <c r="L222" t="n">
        <v>0</v>
      </c>
      <c r="M222" t="n">
        <v>0</v>
      </c>
      <c r="N222" t="n">
        <v>0</v>
      </c>
      <c r="O222" t="n">
        <v>0</v>
      </c>
      <c r="P222" t="n">
        <v>0</v>
      </c>
      <c r="Q222" t="n">
        <v>0</v>
      </c>
      <c r="R222" s="2" t="inlineStr"/>
    </row>
    <row r="223" ht="15" customHeight="1">
      <c r="A223" t="inlineStr">
        <is>
          <t>A 21507-2021</t>
        </is>
      </c>
      <c r="B223" s="1" t="n">
        <v>44321</v>
      </c>
      <c r="C223" s="1" t="n">
        <v>45916</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45916</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45916</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45916</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45916</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53641-2020</t>
        </is>
      </c>
      <c r="B228" s="1" t="n">
        <v>44124</v>
      </c>
      <c r="C228" s="1" t="n">
        <v>45916</v>
      </c>
      <c r="D228" t="inlineStr">
        <is>
          <t>GOTLANDS LÄN</t>
        </is>
      </c>
      <c r="E228" t="inlineStr">
        <is>
          <t>GOTLAND</t>
        </is>
      </c>
      <c r="G228" t="n">
        <v>3.2</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45916</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45916</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37037-2021</t>
        </is>
      </c>
      <c r="B231" s="1" t="n">
        <v>44393.84688657407</v>
      </c>
      <c r="C231" s="1" t="n">
        <v>45916</v>
      </c>
      <c r="D231" t="inlineStr">
        <is>
          <t>GOTLANDS LÄN</t>
        </is>
      </c>
      <c r="E231" t="inlineStr">
        <is>
          <t>GOTLAND</t>
        </is>
      </c>
      <c r="G231" t="n">
        <v>10.2</v>
      </c>
      <c r="H231" t="n">
        <v>0</v>
      </c>
      <c r="I231" t="n">
        <v>0</v>
      </c>
      <c r="J231" t="n">
        <v>0</v>
      </c>
      <c r="K231" t="n">
        <v>0</v>
      </c>
      <c r="L231" t="n">
        <v>0</v>
      </c>
      <c r="M231" t="n">
        <v>0</v>
      </c>
      <c r="N231" t="n">
        <v>0</v>
      </c>
      <c r="O231" t="n">
        <v>0</v>
      </c>
      <c r="P231" t="n">
        <v>0</v>
      </c>
      <c r="Q231" t="n">
        <v>0</v>
      </c>
      <c r="R231" s="2" t="inlineStr"/>
    </row>
    <row r="232" ht="15" customHeight="1">
      <c r="A232" t="inlineStr">
        <is>
          <t>A 6153-2024</t>
        </is>
      </c>
      <c r="B232" s="1" t="n">
        <v>45337</v>
      </c>
      <c r="C232" s="1" t="n">
        <v>45916</v>
      </c>
      <c r="D232" t="inlineStr">
        <is>
          <t>GOTLANDS LÄN</t>
        </is>
      </c>
      <c r="E232" t="inlineStr">
        <is>
          <t>GOTLAND</t>
        </is>
      </c>
      <c r="G232" t="n">
        <v>14.2</v>
      </c>
      <c r="H232" t="n">
        <v>0</v>
      </c>
      <c r="I232" t="n">
        <v>0</v>
      </c>
      <c r="J232" t="n">
        <v>0</v>
      </c>
      <c r="K232" t="n">
        <v>0</v>
      </c>
      <c r="L232" t="n">
        <v>0</v>
      </c>
      <c r="M232" t="n">
        <v>0</v>
      </c>
      <c r="N232" t="n">
        <v>0</v>
      </c>
      <c r="O232" t="n">
        <v>0</v>
      </c>
      <c r="P232" t="n">
        <v>0</v>
      </c>
      <c r="Q232" t="n">
        <v>0</v>
      </c>
      <c r="R232" s="2" t="inlineStr"/>
    </row>
    <row r="233" ht="15" customHeight="1">
      <c r="A233" t="inlineStr">
        <is>
          <t>A 20165-2022</t>
        </is>
      </c>
      <c r="B233" s="1" t="n">
        <v>44698.49854166667</v>
      </c>
      <c r="C233" s="1" t="n">
        <v>45916</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18914-2025</t>
        </is>
      </c>
      <c r="B234" s="1" t="n">
        <v>45764.46783564815</v>
      </c>
      <c r="C234" s="1" t="n">
        <v>45916</v>
      </c>
      <c r="D234" t="inlineStr">
        <is>
          <t>GOTLANDS LÄN</t>
        </is>
      </c>
      <c r="E234" t="inlineStr">
        <is>
          <t>GOTLAND</t>
        </is>
      </c>
      <c r="G234" t="n">
        <v>1.9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45916</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17780-2022</t>
        </is>
      </c>
      <c r="B236" s="1" t="n">
        <v>44682.82622685185</v>
      </c>
      <c r="C236" s="1" t="n">
        <v>45916</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63516-2023</t>
        </is>
      </c>
      <c r="B237" s="1" t="n">
        <v>45274</v>
      </c>
      <c r="C237" s="1" t="n">
        <v>45916</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31264-2021</t>
        </is>
      </c>
      <c r="B238" s="1" t="n">
        <v>44368</v>
      </c>
      <c r="C238" s="1" t="n">
        <v>45916</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45916</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53935-2024</t>
        </is>
      </c>
      <c r="B240" s="1" t="n">
        <v>45615</v>
      </c>
      <c r="C240" s="1" t="n">
        <v>45916</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33876-2024</t>
        </is>
      </c>
      <c r="B241" s="1" t="n">
        <v>45521.87988425926</v>
      </c>
      <c r="C241" s="1" t="n">
        <v>45916</v>
      </c>
      <c r="D241" t="inlineStr">
        <is>
          <t>GOTLANDS LÄN</t>
        </is>
      </c>
      <c r="E241" t="inlineStr">
        <is>
          <t>GOTLAND</t>
        </is>
      </c>
      <c r="G241" t="n">
        <v>1.3</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45916</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18938-2025</t>
        </is>
      </c>
      <c r="B243" s="1" t="n">
        <v>45764.49172453704</v>
      </c>
      <c r="C243" s="1" t="n">
        <v>45916</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30055-2021</t>
        </is>
      </c>
      <c r="B244" s="1" t="n">
        <v>44363</v>
      </c>
      <c r="C244" s="1" t="n">
        <v>45916</v>
      </c>
      <c r="D244" t="inlineStr">
        <is>
          <t>GOTLANDS LÄN</t>
        </is>
      </c>
      <c r="E244" t="inlineStr">
        <is>
          <t>GOTLAND</t>
        </is>
      </c>
      <c r="G244" t="n">
        <v>1.8</v>
      </c>
      <c r="H244" t="n">
        <v>0</v>
      </c>
      <c r="I244" t="n">
        <v>0</v>
      </c>
      <c r="J244" t="n">
        <v>0</v>
      </c>
      <c r="K244" t="n">
        <v>0</v>
      </c>
      <c r="L244" t="n">
        <v>0</v>
      </c>
      <c r="M244" t="n">
        <v>0</v>
      </c>
      <c r="N244" t="n">
        <v>0</v>
      </c>
      <c r="O244" t="n">
        <v>0</v>
      </c>
      <c r="P244" t="n">
        <v>0</v>
      </c>
      <c r="Q244" t="n">
        <v>0</v>
      </c>
      <c r="R244" s="2" t="inlineStr"/>
    </row>
    <row r="245" ht="15" customHeight="1">
      <c r="A245" t="inlineStr">
        <is>
          <t>A 43223-2023</t>
        </is>
      </c>
      <c r="B245" s="1" t="n">
        <v>45183.45642361111</v>
      </c>
      <c r="C245" s="1" t="n">
        <v>45916</v>
      </c>
      <c r="D245" t="inlineStr">
        <is>
          <t>GOTLANDS LÄN</t>
        </is>
      </c>
      <c r="E245" t="inlineStr">
        <is>
          <t>GOTLAND</t>
        </is>
      </c>
      <c r="G245" t="n">
        <v>1.8</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45916</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69112-2021</t>
        </is>
      </c>
      <c r="B247" s="1" t="n">
        <v>44530</v>
      </c>
      <c r="C247" s="1" t="n">
        <v>45916</v>
      </c>
      <c r="D247" t="inlineStr">
        <is>
          <t>GOTLANDS LÄN</t>
        </is>
      </c>
      <c r="E247" t="inlineStr">
        <is>
          <t>GOTLAND</t>
        </is>
      </c>
      <c r="G247" t="n">
        <v>4.2</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45916</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45916</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48734-2022</t>
        </is>
      </c>
      <c r="B250" s="1" t="n">
        <v>44855</v>
      </c>
      <c r="C250" s="1" t="n">
        <v>45916</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23516-2023</t>
        </is>
      </c>
      <c r="B251" s="1" t="n">
        <v>45076.93391203704</v>
      </c>
      <c r="C251" s="1" t="n">
        <v>45916</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45916</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44228-2022</t>
        </is>
      </c>
      <c r="B253" s="1" t="n">
        <v>44839.51599537037</v>
      </c>
      <c r="C253" s="1" t="n">
        <v>45916</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27930-2021</t>
        </is>
      </c>
      <c r="B254" s="1" t="n">
        <v>44354</v>
      </c>
      <c r="C254" s="1" t="n">
        <v>45916</v>
      </c>
      <c r="D254" t="inlineStr">
        <is>
          <t>GOTLANDS LÄN</t>
        </is>
      </c>
      <c r="E254" t="inlineStr">
        <is>
          <t>GOTLAND</t>
        </is>
      </c>
      <c r="G254" t="n">
        <v>2.5</v>
      </c>
      <c r="H254" t="n">
        <v>0</v>
      </c>
      <c r="I254" t="n">
        <v>0</v>
      </c>
      <c r="J254" t="n">
        <v>0</v>
      </c>
      <c r="K254" t="n">
        <v>0</v>
      </c>
      <c r="L254" t="n">
        <v>0</v>
      </c>
      <c r="M254" t="n">
        <v>0</v>
      </c>
      <c r="N254" t="n">
        <v>0</v>
      </c>
      <c r="O254" t="n">
        <v>0</v>
      </c>
      <c r="P254" t="n">
        <v>0</v>
      </c>
      <c r="Q254" t="n">
        <v>0</v>
      </c>
      <c r="R254" s="2" t="inlineStr"/>
    </row>
    <row r="255" ht="15" customHeight="1">
      <c r="A255" t="inlineStr">
        <is>
          <t>A 43231-2023</t>
        </is>
      </c>
      <c r="B255" s="1" t="n">
        <v>45183.47025462963</v>
      </c>
      <c r="C255" s="1" t="n">
        <v>45916</v>
      </c>
      <c r="D255" t="inlineStr">
        <is>
          <t>GOTLANDS LÄN</t>
        </is>
      </c>
      <c r="E255" t="inlineStr">
        <is>
          <t>GOTLAND</t>
        </is>
      </c>
      <c r="G255" t="n">
        <v>3.6</v>
      </c>
      <c r="H255" t="n">
        <v>0</v>
      </c>
      <c r="I255" t="n">
        <v>0</v>
      </c>
      <c r="J255" t="n">
        <v>0</v>
      </c>
      <c r="K255" t="n">
        <v>0</v>
      </c>
      <c r="L255" t="n">
        <v>0</v>
      </c>
      <c r="M255" t="n">
        <v>0</v>
      </c>
      <c r="N255" t="n">
        <v>0</v>
      </c>
      <c r="O255" t="n">
        <v>0</v>
      </c>
      <c r="P255" t="n">
        <v>0</v>
      </c>
      <c r="Q255" t="n">
        <v>0</v>
      </c>
      <c r="R255" s="2" t="inlineStr"/>
    </row>
    <row r="256" ht="15" customHeight="1">
      <c r="A256" t="inlineStr">
        <is>
          <t>A 23856-2025</t>
        </is>
      </c>
      <c r="B256" s="1" t="n">
        <v>45793</v>
      </c>
      <c r="C256" s="1" t="n">
        <v>45916</v>
      </c>
      <c r="D256" t="inlineStr">
        <is>
          <t>GOTLANDS LÄN</t>
        </is>
      </c>
      <c r="E256" t="inlineStr">
        <is>
          <t>GOTLAND</t>
        </is>
      </c>
      <c r="G256" t="n">
        <v>4.4</v>
      </c>
      <c r="H256" t="n">
        <v>0</v>
      </c>
      <c r="I256" t="n">
        <v>0</v>
      </c>
      <c r="J256" t="n">
        <v>0</v>
      </c>
      <c r="K256" t="n">
        <v>0</v>
      </c>
      <c r="L256" t="n">
        <v>0</v>
      </c>
      <c r="M256" t="n">
        <v>0</v>
      </c>
      <c r="N256" t="n">
        <v>0</v>
      </c>
      <c r="O256" t="n">
        <v>0</v>
      </c>
      <c r="P256" t="n">
        <v>0</v>
      </c>
      <c r="Q256" t="n">
        <v>0</v>
      </c>
      <c r="R256" s="2" t="inlineStr"/>
    </row>
    <row r="257" ht="15" customHeight="1">
      <c r="A257" t="inlineStr">
        <is>
          <t>A 59469-2024</t>
        </is>
      </c>
      <c r="B257" s="1" t="n">
        <v>45638</v>
      </c>
      <c r="C257" s="1" t="n">
        <v>45916</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45916</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61386-2023</t>
        </is>
      </c>
      <c r="B259" s="1" t="n">
        <v>45264</v>
      </c>
      <c r="C259" s="1" t="n">
        <v>45916</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22883-2024</t>
        </is>
      </c>
      <c r="B260" s="1" t="n">
        <v>45448.66368055555</v>
      </c>
      <c r="C260" s="1" t="n">
        <v>45916</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6108-2025</t>
        </is>
      </c>
      <c r="B261" s="1" t="n">
        <v>45698.29880787037</v>
      </c>
      <c r="C261" s="1" t="n">
        <v>45916</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23698-2025</t>
        </is>
      </c>
      <c r="B262" s="1" t="n">
        <v>45793</v>
      </c>
      <c r="C262" s="1" t="n">
        <v>45916</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23700-2025</t>
        </is>
      </c>
      <c r="B263" s="1" t="n">
        <v>45793</v>
      </c>
      <c r="C263" s="1" t="n">
        <v>45916</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15073-2025</t>
        </is>
      </c>
      <c r="B264" s="1" t="n">
        <v>45743</v>
      </c>
      <c r="C264" s="1" t="n">
        <v>45916</v>
      </c>
      <c r="D264" t="inlineStr">
        <is>
          <t>GOTLANDS LÄN</t>
        </is>
      </c>
      <c r="E264" t="inlineStr">
        <is>
          <t>GOTLAND</t>
        </is>
      </c>
      <c r="G264" t="n">
        <v>12.1</v>
      </c>
      <c r="H264" t="n">
        <v>0</v>
      </c>
      <c r="I264" t="n">
        <v>0</v>
      </c>
      <c r="J264" t="n">
        <v>0</v>
      </c>
      <c r="K264" t="n">
        <v>0</v>
      </c>
      <c r="L264" t="n">
        <v>0</v>
      </c>
      <c r="M264" t="n">
        <v>0</v>
      </c>
      <c r="N264" t="n">
        <v>0</v>
      </c>
      <c r="O264" t="n">
        <v>0</v>
      </c>
      <c r="P264" t="n">
        <v>0</v>
      </c>
      <c r="Q264" t="n">
        <v>0</v>
      </c>
      <c r="R264" s="2" t="inlineStr"/>
    </row>
    <row r="265" ht="15" customHeight="1">
      <c r="A265" t="inlineStr">
        <is>
          <t>A 58230-2024</t>
        </is>
      </c>
      <c r="B265" s="1" t="n">
        <v>45632.51625</v>
      </c>
      <c r="C265" s="1" t="n">
        <v>45916</v>
      </c>
      <c r="D265" t="inlineStr">
        <is>
          <t>GOTLANDS LÄN</t>
        </is>
      </c>
      <c r="E265" t="inlineStr">
        <is>
          <t>GOTLAND</t>
        </is>
      </c>
      <c r="G265" t="n">
        <v>7.3</v>
      </c>
      <c r="H265" t="n">
        <v>0</v>
      </c>
      <c r="I265" t="n">
        <v>0</v>
      </c>
      <c r="J265" t="n">
        <v>0</v>
      </c>
      <c r="K265" t="n">
        <v>0</v>
      </c>
      <c r="L265" t="n">
        <v>0</v>
      </c>
      <c r="M265" t="n">
        <v>0</v>
      </c>
      <c r="N265" t="n">
        <v>0</v>
      </c>
      <c r="O265" t="n">
        <v>0</v>
      </c>
      <c r="P265" t="n">
        <v>0</v>
      </c>
      <c r="Q265" t="n">
        <v>0</v>
      </c>
      <c r="R265" s="2" t="inlineStr"/>
    </row>
    <row r="266" ht="15" customHeight="1">
      <c r="A266" t="inlineStr">
        <is>
          <t>A 15075-2025</t>
        </is>
      </c>
      <c r="B266" s="1" t="n">
        <v>45743</v>
      </c>
      <c r="C266" s="1" t="n">
        <v>45916</v>
      </c>
      <c r="D266" t="inlineStr">
        <is>
          <t>GOTLANDS LÄN</t>
        </is>
      </c>
      <c r="E266" t="inlineStr">
        <is>
          <t>GOTLAND</t>
        </is>
      </c>
      <c r="G266" t="n">
        <v>20.9</v>
      </c>
      <c r="H266" t="n">
        <v>0</v>
      </c>
      <c r="I266" t="n">
        <v>0</v>
      </c>
      <c r="J266" t="n">
        <v>0</v>
      </c>
      <c r="K266" t="n">
        <v>0</v>
      </c>
      <c r="L266" t="n">
        <v>0</v>
      </c>
      <c r="M266" t="n">
        <v>0</v>
      </c>
      <c r="N266" t="n">
        <v>0</v>
      </c>
      <c r="O266" t="n">
        <v>0</v>
      </c>
      <c r="P266" t="n">
        <v>0</v>
      </c>
      <c r="Q266" t="n">
        <v>0</v>
      </c>
      <c r="R266" s="2" t="inlineStr"/>
    </row>
    <row r="267" ht="15" customHeight="1">
      <c r="A267" t="inlineStr">
        <is>
          <t>A 64555-2023</t>
        </is>
      </c>
      <c r="B267" s="1" t="n">
        <v>45281</v>
      </c>
      <c r="C267" s="1" t="n">
        <v>45916</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457-2023</t>
        </is>
      </c>
      <c r="B268" s="1" t="n">
        <v>44929.87238425926</v>
      </c>
      <c r="C268" s="1" t="n">
        <v>45916</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459-2023</t>
        </is>
      </c>
      <c r="B269" s="1" t="n">
        <v>44929.87423611111</v>
      </c>
      <c r="C269" s="1" t="n">
        <v>45916</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27593-2023</t>
        </is>
      </c>
      <c r="B270" s="1" t="n">
        <v>45097</v>
      </c>
      <c r="C270" s="1" t="n">
        <v>45916</v>
      </c>
      <c r="D270" t="inlineStr">
        <is>
          <t>GOTLANDS LÄN</t>
        </is>
      </c>
      <c r="E270" t="inlineStr">
        <is>
          <t>GOTLAND</t>
        </is>
      </c>
      <c r="G270" t="n">
        <v>3.1</v>
      </c>
      <c r="H270" t="n">
        <v>0</v>
      </c>
      <c r="I270" t="n">
        <v>0</v>
      </c>
      <c r="J270" t="n">
        <v>0</v>
      </c>
      <c r="K270" t="n">
        <v>0</v>
      </c>
      <c r="L270" t="n">
        <v>0</v>
      </c>
      <c r="M270" t="n">
        <v>0</v>
      </c>
      <c r="N270" t="n">
        <v>0</v>
      </c>
      <c r="O270" t="n">
        <v>0</v>
      </c>
      <c r="P270" t="n">
        <v>0</v>
      </c>
      <c r="Q270" t="n">
        <v>0</v>
      </c>
      <c r="R270" s="2" t="inlineStr"/>
    </row>
    <row r="271" ht="15" customHeight="1">
      <c r="A271" t="inlineStr">
        <is>
          <t>A 25129-2023</t>
        </is>
      </c>
      <c r="B271" s="1" t="n">
        <v>45086.44261574074</v>
      </c>
      <c r="C271" s="1" t="n">
        <v>45916</v>
      </c>
      <c r="D271" t="inlineStr">
        <is>
          <t>GOTLANDS LÄN</t>
        </is>
      </c>
      <c r="E271" t="inlineStr">
        <is>
          <t>GOTLAND</t>
        </is>
      </c>
      <c r="G271" t="n">
        <v>1.5</v>
      </c>
      <c r="H271" t="n">
        <v>0</v>
      </c>
      <c r="I271" t="n">
        <v>0</v>
      </c>
      <c r="J271" t="n">
        <v>0</v>
      </c>
      <c r="K271" t="n">
        <v>0</v>
      </c>
      <c r="L271" t="n">
        <v>0</v>
      </c>
      <c r="M271" t="n">
        <v>0</v>
      </c>
      <c r="N271" t="n">
        <v>0</v>
      </c>
      <c r="O271" t="n">
        <v>0</v>
      </c>
      <c r="P271" t="n">
        <v>0</v>
      </c>
      <c r="Q271" t="n">
        <v>0</v>
      </c>
      <c r="R271" s="2" t="inlineStr"/>
    </row>
    <row r="272" ht="15" customHeight="1">
      <c r="A272" t="inlineStr">
        <is>
          <t>A 5751-2024</t>
        </is>
      </c>
      <c r="B272" s="1" t="n">
        <v>45335.32702546296</v>
      </c>
      <c r="C272" s="1" t="n">
        <v>45916</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6796-2025</t>
        </is>
      </c>
      <c r="B273" s="1" t="n">
        <v>45700.66559027778</v>
      </c>
      <c r="C273" s="1" t="n">
        <v>45916</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6696-2023</t>
        </is>
      </c>
      <c r="B274" s="1" t="n">
        <v>44966.66425925926</v>
      </c>
      <c r="C274" s="1" t="n">
        <v>45916</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876-2024</t>
        </is>
      </c>
      <c r="B275" s="1" t="n">
        <v>45301</v>
      </c>
      <c r="C275" s="1" t="n">
        <v>45916</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28480-2023</t>
        </is>
      </c>
      <c r="B276" s="1" t="n">
        <v>45103</v>
      </c>
      <c r="C276" s="1" t="n">
        <v>45916</v>
      </c>
      <c r="D276" t="inlineStr">
        <is>
          <t>GOTLANDS LÄN</t>
        </is>
      </c>
      <c r="E276" t="inlineStr">
        <is>
          <t>GOTLAND</t>
        </is>
      </c>
      <c r="G276" t="n">
        <v>5.7</v>
      </c>
      <c r="H276" t="n">
        <v>0</v>
      </c>
      <c r="I276" t="n">
        <v>0</v>
      </c>
      <c r="J276" t="n">
        <v>0</v>
      </c>
      <c r="K276" t="n">
        <v>0</v>
      </c>
      <c r="L276" t="n">
        <v>0</v>
      </c>
      <c r="M276" t="n">
        <v>0</v>
      </c>
      <c r="N276" t="n">
        <v>0</v>
      </c>
      <c r="O276" t="n">
        <v>0</v>
      </c>
      <c r="P276" t="n">
        <v>0</v>
      </c>
      <c r="Q276" t="n">
        <v>0</v>
      </c>
      <c r="R276" s="2" t="inlineStr"/>
    </row>
    <row r="277" ht="15" customHeight="1">
      <c r="A277" t="inlineStr">
        <is>
          <t>A 28485-2023</t>
        </is>
      </c>
      <c r="B277" s="1" t="n">
        <v>45103.43731481482</v>
      </c>
      <c r="C277" s="1" t="n">
        <v>45916</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26891-2024</t>
        </is>
      </c>
      <c r="B278" s="1" t="n">
        <v>45470.65540509259</v>
      </c>
      <c r="C278" s="1" t="n">
        <v>45916</v>
      </c>
      <c r="D278" t="inlineStr">
        <is>
          <t>GOTLANDS LÄN</t>
        </is>
      </c>
      <c r="E278" t="inlineStr">
        <is>
          <t>GOTLAND</t>
        </is>
      </c>
      <c r="G278" t="n">
        <v>0.8</v>
      </c>
      <c r="H278" t="n">
        <v>0</v>
      </c>
      <c r="I278" t="n">
        <v>0</v>
      </c>
      <c r="J278" t="n">
        <v>0</v>
      </c>
      <c r="K278" t="n">
        <v>0</v>
      </c>
      <c r="L278" t="n">
        <v>0</v>
      </c>
      <c r="M278" t="n">
        <v>0</v>
      </c>
      <c r="N278" t="n">
        <v>0</v>
      </c>
      <c r="O278" t="n">
        <v>0</v>
      </c>
      <c r="P278" t="n">
        <v>0</v>
      </c>
      <c r="Q278" t="n">
        <v>0</v>
      </c>
      <c r="R278" s="2" t="inlineStr"/>
    </row>
    <row r="279" ht="15" customHeight="1">
      <c r="A279" t="inlineStr">
        <is>
          <t>A 4990-2025</t>
        </is>
      </c>
      <c r="B279" s="1" t="n">
        <v>45691</v>
      </c>
      <c r="C279" s="1" t="n">
        <v>45916</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14536-2021</t>
        </is>
      </c>
      <c r="B280" s="1" t="n">
        <v>44279.66168981481</v>
      </c>
      <c r="C280" s="1" t="n">
        <v>45916</v>
      </c>
      <c r="D280" t="inlineStr">
        <is>
          <t>GOTLANDS LÄN</t>
        </is>
      </c>
      <c r="E280" t="inlineStr">
        <is>
          <t>GOTLAND</t>
        </is>
      </c>
      <c r="G280" t="n">
        <v>8.5</v>
      </c>
      <c r="H280" t="n">
        <v>0</v>
      </c>
      <c r="I280" t="n">
        <v>0</v>
      </c>
      <c r="J280" t="n">
        <v>0</v>
      </c>
      <c r="K280" t="n">
        <v>0</v>
      </c>
      <c r="L280" t="n">
        <v>0</v>
      </c>
      <c r="M280" t="n">
        <v>0</v>
      </c>
      <c r="N280" t="n">
        <v>0</v>
      </c>
      <c r="O280" t="n">
        <v>0</v>
      </c>
      <c r="P280" t="n">
        <v>0</v>
      </c>
      <c r="Q280" t="n">
        <v>0</v>
      </c>
      <c r="R280" s="2" t="inlineStr"/>
    </row>
    <row r="281" ht="15" customHeight="1">
      <c r="A281" t="inlineStr">
        <is>
          <t>A 5923-2023</t>
        </is>
      </c>
      <c r="B281" s="1" t="n">
        <v>44963.69503472222</v>
      </c>
      <c r="C281" s="1" t="n">
        <v>45916</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44204-2022</t>
        </is>
      </c>
      <c r="B282" s="1" t="n">
        <v>44839</v>
      </c>
      <c r="C282" s="1" t="n">
        <v>45916</v>
      </c>
      <c r="D282" t="inlineStr">
        <is>
          <t>GOTLANDS LÄN</t>
        </is>
      </c>
      <c r="E282" t="inlineStr">
        <is>
          <t>GOTLAND</t>
        </is>
      </c>
      <c r="G282" t="n">
        <v>2.3</v>
      </c>
      <c r="H282" t="n">
        <v>0</v>
      </c>
      <c r="I282" t="n">
        <v>0</v>
      </c>
      <c r="J282" t="n">
        <v>0</v>
      </c>
      <c r="K282" t="n">
        <v>0</v>
      </c>
      <c r="L282" t="n">
        <v>0</v>
      </c>
      <c r="M282" t="n">
        <v>0</v>
      </c>
      <c r="N282" t="n">
        <v>0</v>
      </c>
      <c r="O282" t="n">
        <v>0</v>
      </c>
      <c r="P282" t="n">
        <v>0</v>
      </c>
      <c r="Q282" t="n">
        <v>0</v>
      </c>
      <c r="R282" s="2" t="inlineStr"/>
    </row>
    <row r="283" ht="15" customHeight="1">
      <c r="A283" t="inlineStr">
        <is>
          <t>A 6749-2025</t>
        </is>
      </c>
      <c r="B283" s="1" t="n">
        <v>45700</v>
      </c>
      <c r="C283" s="1" t="n">
        <v>45916</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50482-2024</t>
        </is>
      </c>
      <c r="B284" s="1" t="n">
        <v>45601.48114583334</v>
      </c>
      <c r="C284" s="1" t="n">
        <v>45916</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5943-2024</t>
        </is>
      </c>
      <c r="B285" s="1" t="n">
        <v>45336</v>
      </c>
      <c r="C285" s="1" t="n">
        <v>45916</v>
      </c>
      <c r="D285" t="inlineStr">
        <is>
          <t>GOTLANDS LÄN</t>
        </is>
      </c>
      <c r="E285" t="inlineStr">
        <is>
          <t>GOTLAND</t>
        </is>
      </c>
      <c r="G285" t="n">
        <v>4.3</v>
      </c>
      <c r="H285" t="n">
        <v>0</v>
      </c>
      <c r="I285" t="n">
        <v>0</v>
      </c>
      <c r="J285" t="n">
        <v>0</v>
      </c>
      <c r="K285" t="n">
        <v>0</v>
      </c>
      <c r="L285" t="n">
        <v>0</v>
      </c>
      <c r="M285" t="n">
        <v>0</v>
      </c>
      <c r="N285" t="n">
        <v>0</v>
      </c>
      <c r="O285" t="n">
        <v>0</v>
      </c>
      <c r="P285" t="n">
        <v>0</v>
      </c>
      <c r="Q285" t="n">
        <v>0</v>
      </c>
      <c r="R285" s="2" t="inlineStr"/>
    </row>
    <row r="286" ht="15" customHeight="1">
      <c r="A286" t="inlineStr">
        <is>
          <t>A 38165-2023</t>
        </is>
      </c>
      <c r="B286" s="1" t="n">
        <v>45161</v>
      </c>
      <c r="C286" s="1" t="n">
        <v>45916</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38234-2023</t>
        </is>
      </c>
      <c r="B287" s="1" t="n">
        <v>45161.56663194444</v>
      </c>
      <c r="C287" s="1" t="n">
        <v>45916</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2035-2025</t>
        </is>
      </c>
      <c r="B288" s="1" t="n">
        <v>45672</v>
      </c>
      <c r="C288" s="1" t="n">
        <v>45916</v>
      </c>
      <c r="D288" t="inlineStr">
        <is>
          <t>GOTLANDS LÄN</t>
        </is>
      </c>
      <c r="E288" t="inlineStr">
        <is>
          <t>GOTLAND</t>
        </is>
      </c>
      <c r="G288" t="n">
        <v>7.5</v>
      </c>
      <c r="H288" t="n">
        <v>0</v>
      </c>
      <c r="I288" t="n">
        <v>0</v>
      </c>
      <c r="J288" t="n">
        <v>0</v>
      </c>
      <c r="K288" t="n">
        <v>0</v>
      </c>
      <c r="L288" t="n">
        <v>0</v>
      </c>
      <c r="M288" t="n">
        <v>0</v>
      </c>
      <c r="N288" t="n">
        <v>0</v>
      </c>
      <c r="O288" t="n">
        <v>0</v>
      </c>
      <c r="P288" t="n">
        <v>0</v>
      </c>
      <c r="Q288" t="n">
        <v>0</v>
      </c>
      <c r="R288" s="2" t="inlineStr"/>
    </row>
    <row r="289" ht="15" customHeight="1">
      <c r="A289" t="inlineStr">
        <is>
          <t>A 1273-2023</t>
        </is>
      </c>
      <c r="B289" s="1" t="n">
        <v>44936</v>
      </c>
      <c r="C289" s="1" t="n">
        <v>45916</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5462-2025</t>
        </is>
      </c>
      <c r="B290" s="1" t="n">
        <v>45693.29331018519</v>
      </c>
      <c r="C290" s="1" t="n">
        <v>45916</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17724-2024</t>
        </is>
      </c>
      <c r="B291" s="1" t="n">
        <v>45418.55096064815</v>
      </c>
      <c r="C291" s="1" t="n">
        <v>45916</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49693-2023</t>
        </is>
      </c>
      <c r="B292" s="1" t="n">
        <v>45212.38138888889</v>
      </c>
      <c r="C292" s="1" t="n">
        <v>45916</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49697-2023</t>
        </is>
      </c>
      <c r="B293" s="1" t="n">
        <v>45212.38909722222</v>
      </c>
      <c r="C293" s="1" t="n">
        <v>45916</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34312-2024</t>
        </is>
      </c>
      <c r="B294" s="1" t="n">
        <v>45524.69703703704</v>
      </c>
      <c r="C294" s="1" t="n">
        <v>45916</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56009-2024</t>
        </is>
      </c>
      <c r="B295" s="1" t="n">
        <v>45623.80864583333</v>
      </c>
      <c r="C295" s="1" t="n">
        <v>45916</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54073-2022</t>
        </is>
      </c>
      <c r="B296" s="1" t="n">
        <v>44881.50380787037</v>
      </c>
      <c r="C296" s="1" t="n">
        <v>45916</v>
      </c>
      <c r="D296" t="inlineStr">
        <is>
          <t>GOTLANDS LÄN</t>
        </is>
      </c>
      <c r="E296" t="inlineStr">
        <is>
          <t>GOTLAND</t>
        </is>
      </c>
      <c r="G296" t="n">
        <v>3.8</v>
      </c>
      <c r="H296" t="n">
        <v>0</v>
      </c>
      <c r="I296" t="n">
        <v>0</v>
      </c>
      <c r="J296" t="n">
        <v>0</v>
      </c>
      <c r="K296" t="n">
        <v>0</v>
      </c>
      <c r="L296" t="n">
        <v>0</v>
      </c>
      <c r="M296" t="n">
        <v>0</v>
      </c>
      <c r="N296" t="n">
        <v>0</v>
      </c>
      <c r="O296" t="n">
        <v>0</v>
      </c>
      <c r="P296" t="n">
        <v>0</v>
      </c>
      <c r="Q296" t="n">
        <v>0</v>
      </c>
      <c r="R296" s="2" t="inlineStr"/>
    </row>
    <row r="297" ht="15" customHeight="1">
      <c r="A297" t="inlineStr">
        <is>
          <t>A 23978-2023</t>
        </is>
      </c>
      <c r="B297" s="1" t="n">
        <v>45078</v>
      </c>
      <c r="C297" s="1" t="n">
        <v>45916</v>
      </c>
      <c r="D297" t="inlineStr">
        <is>
          <t>GOTLANDS LÄN</t>
        </is>
      </c>
      <c r="E297" t="inlineStr">
        <is>
          <t>GOTLAND</t>
        </is>
      </c>
      <c r="F297" t="inlineStr">
        <is>
          <t>Naturvårdsverket</t>
        </is>
      </c>
      <c r="G297" t="n">
        <v>1.7</v>
      </c>
      <c r="H297" t="n">
        <v>0</v>
      </c>
      <c r="I297" t="n">
        <v>0</v>
      </c>
      <c r="J297" t="n">
        <v>0</v>
      </c>
      <c r="K297" t="n">
        <v>0</v>
      </c>
      <c r="L297" t="n">
        <v>0</v>
      </c>
      <c r="M297" t="n">
        <v>0</v>
      </c>
      <c r="N297" t="n">
        <v>0</v>
      </c>
      <c r="O297" t="n">
        <v>0</v>
      </c>
      <c r="P297" t="n">
        <v>0</v>
      </c>
      <c r="Q297" t="n">
        <v>0</v>
      </c>
      <c r="R297" s="2" t="inlineStr"/>
    </row>
    <row r="298" ht="15" customHeight="1">
      <c r="A298" t="inlineStr">
        <is>
          <t>A 49884-2023</t>
        </is>
      </c>
      <c r="B298" s="1" t="n">
        <v>45213</v>
      </c>
      <c r="C298" s="1" t="n">
        <v>45916</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12846-2025</t>
        </is>
      </c>
      <c r="B299" s="1" t="n">
        <v>45733.65049768519</v>
      </c>
      <c r="C299" s="1" t="n">
        <v>45916</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43200-2023</t>
        </is>
      </c>
      <c r="B300" s="1" t="n">
        <v>45183</v>
      </c>
      <c r="C300" s="1" t="n">
        <v>45916</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45916</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48503-2023</t>
        </is>
      </c>
      <c r="B302" s="1" t="n">
        <v>45207</v>
      </c>
      <c r="C302" s="1" t="n">
        <v>45916</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45106-2024</t>
        </is>
      </c>
      <c r="B303" s="1" t="n">
        <v>45575</v>
      </c>
      <c r="C303" s="1" t="n">
        <v>45916</v>
      </c>
      <c r="D303" t="inlineStr">
        <is>
          <t>GOTLANDS LÄN</t>
        </is>
      </c>
      <c r="E303" t="inlineStr">
        <is>
          <t>GOTLAND</t>
        </is>
      </c>
      <c r="G303" t="n">
        <v>10</v>
      </c>
      <c r="H303" t="n">
        <v>0</v>
      </c>
      <c r="I303" t="n">
        <v>0</v>
      </c>
      <c r="J303" t="n">
        <v>0</v>
      </c>
      <c r="K303" t="n">
        <v>0</v>
      </c>
      <c r="L303" t="n">
        <v>0</v>
      </c>
      <c r="M303" t="n">
        <v>0</v>
      </c>
      <c r="N303" t="n">
        <v>0</v>
      </c>
      <c r="O303" t="n">
        <v>0</v>
      </c>
      <c r="P303" t="n">
        <v>0</v>
      </c>
      <c r="Q303" t="n">
        <v>0</v>
      </c>
      <c r="R303" s="2" t="inlineStr"/>
    </row>
    <row r="304" ht="15" customHeight="1">
      <c r="A304" t="inlineStr">
        <is>
          <t>A 45112-2024</t>
        </is>
      </c>
      <c r="B304" s="1" t="n">
        <v>45575</v>
      </c>
      <c r="C304" s="1" t="n">
        <v>45916</v>
      </c>
      <c r="D304" t="inlineStr">
        <is>
          <t>GOTLANDS LÄN</t>
        </is>
      </c>
      <c r="E304" t="inlineStr">
        <is>
          <t>GOTLAND</t>
        </is>
      </c>
      <c r="G304" t="n">
        <v>5.1</v>
      </c>
      <c r="H304" t="n">
        <v>0</v>
      </c>
      <c r="I304" t="n">
        <v>0</v>
      </c>
      <c r="J304" t="n">
        <v>0</v>
      </c>
      <c r="K304" t="n">
        <v>0</v>
      </c>
      <c r="L304" t="n">
        <v>0</v>
      </c>
      <c r="M304" t="n">
        <v>0</v>
      </c>
      <c r="N304" t="n">
        <v>0</v>
      </c>
      <c r="O304" t="n">
        <v>0</v>
      </c>
      <c r="P304" t="n">
        <v>0</v>
      </c>
      <c r="Q304" t="n">
        <v>0</v>
      </c>
      <c r="R304" s="2" t="inlineStr"/>
    </row>
    <row r="305" ht="15" customHeight="1">
      <c r="A305" t="inlineStr">
        <is>
          <t>A 1477-2024</t>
        </is>
      </c>
      <c r="B305" s="1" t="n">
        <v>45305.37987268518</v>
      </c>
      <c r="C305" s="1" t="n">
        <v>45916</v>
      </c>
      <c r="D305" t="inlineStr">
        <is>
          <t>GOTLANDS LÄN</t>
        </is>
      </c>
      <c r="E305" t="inlineStr">
        <is>
          <t>GOTLAND</t>
        </is>
      </c>
      <c r="G305" t="n">
        <v>6.9</v>
      </c>
      <c r="H305" t="n">
        <v>0</v>
      </c>
      <c r="I305" t="n">
        <v>0</v>
      </c>
      <c r="J305" t="n">
        <v>0</v>
      </c>
      <c r="K305" t="n">
        <v>0</v>
      </c>
      <c r="L305" t="n">
        <v>0</v>
      </c>
      <c r="M305" t="n">
        <v>0</v>
      </c>
      <c r="N305" t="n">
        <v>0</v>
      </c>
      <c r="O305" t="n">
        <v>0</v>
      </c>
      <c r="P305" t="n">
        <v>0</v>
      </c>
      <c r="Q305" t="n">
        <v>0</v>
      </c>
      <c r="R305" s="2" t="inlineStr"/>
    </row>
    <row r="306" ht="15" customHeight="1">
      <c r="A306" t="inlineStr">
        <is>
          <t>A 3935-2025</t>
        </is>
      </c>
      <c r="B306" s="1" t="n">
        <v>45684.46070601852</v>
      </c>
      <c r="C306" s="1" t="n">
        <v>45916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25796-2025</t>
        </is>
      </c>
      <c r="B307" s="1" t="n">
        <v>45804.39543981481</v>
      </c>
      <c r="C307" s="1" t="n">
        <v>45916</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45916</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7026-2023</t>
        </is>
      </c>
      <c r="B309" s="1" t="n">
        <v>44968.30340277778</v>
      </c>
      <c r="C309" s="1" t="n">
        <v>45916</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21792-2024</t>
        </is>
      </c>
      <c r="B310" s="1" t="n">
        <v>45442.64326388889</v>
      </c>
      <c r="C310" s="1" t="n">
        <v>45916</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52892-2021</t>
        </is>
      </c>
      <c r="B311" s="1" t="n">
        <v>44467.49048611111</v>
      </c>
      <c r="C311" s="1" t="n">
        <v>45916</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1351-2025</t>
        </is>
      </c>
      <c r="B312" s="1" t="n">
        <v>45667.62246527777</v>
      </c>
      <c r="C312" s="1" t="n">
        <v>45916</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49874-2024</t>
        </is>
      </c>
      <c r="B313" s="1" t="n">
        <v>45597.49274305555</v>
      </c>
      <c r="C313" s="1" t="n">
        <v>45916</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26391-2025</t>
        </is>
      </c>
      <c r="B314" s="1" t="n">
        <v>45806</v>
      </c>
      <c r="C314" s="1" t="n">
        <v>45916</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26465-2025</t>
        </is>
      </c>
      <c r="B315" s="1" t="n">
        <v>45807.44377314814</v>
      </c>
      <c r="C315" s="1" t="n">
        <v>45916</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22031-2024</t>
        </is>
      </c>
      <c r="B316" s="1" t="n">
        <v>45443.60075231481</v>
      </c>
      <c r="C316" s="1" t="n">
        <v>45916</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17688-2024</t>
        </is>
      </c>
      <c r="B317" s="1" t="n">
        <v>45418.43575231481</v>
      </c>
      <c r="C317" s="1" t="n">
        <v>45916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26457-2025</t>
        </is>
      </c>
      <c r="B318" s="1" t="n">
        <v>45807.42773148148</v>
      </c>
      <c r="C318" s="1" t="n">
        <v>45916</v>
      </c>
      <c r="D318" t="inlineStr">
        <is>
          <t>GOTLANDS LÄN</t>
        </is>
      </c>
      <c r="E318" t="inlineStr">
        <is>
          <t>GOTLAND</t>
        </is>
      </c>
      <c r="G318" t="n">
        <v>5.7</v>
      </c>
      <c r="H318" t="n">
        <v>0</v>
      </c>
      <c r="I318" t="n">
        <v>0</v>
      </c>
      <c r="J318" t="n">
        <v>0</v>
      </c>
      <c r="K318" t="n">
        <v>0</v>
      </c>
      <c r="L318" t="n">
        <v>0</v>
      </c>
      <c r="M318" t="n">
        <v>0</v>
      </c>
      <c r="N318" t="n">
        <v>0</v>
      </c>
      <c r="O318" t="n">
        <v>0</v>
      </c>
      <c r="P318" t="n">
        <v>0</v>
      </c>
      <c r="Q318" t="n">
        <v>0</v>
      </c>
      <c r="R318" s="2" t="inlineStr"/>
    </row>
    <row r="319" ht="15" customHeight="1">
      <c r="A319" t="inlineStr">
        <is>
          <t>A 26467-2025</t>
        </is>
      </c>
      <c r="B319" s="1" t="n">
        <v>45807.44640046296</v>
      </c>
      <c r="C319" s="1" t="n">
        <v>45916</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48843-2024</t>
        </is>
      </c>
      <c r="B320" s="1" t="n">
        <v>45593</v>
      </c>
      <c r="C320" s="1" t="n">
        <v>45916</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45916</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27694-2024</t>
        </is>
      </c>
      <c r="B322" s="1" t="n">
        <v>45475</v>
      </c>
      <c r="C322" s="1" t="n">
        <v>45916</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10653-2023</t>
        </is>
      </c>
      <c r="B323" s="1" t="n">
        <v>44988.48859953704</v>
      </c>
      <c r="C323" s="1" t="n">
        <v>45916</v>
      </c>
      <c r="D323" t="inlineStr">
        <is>
          <t>GOTLANDS LÄN</t>
        </is>
      </c>
      <c r="E323" t="inlineStr">
        <is>
          <t>GOTLAND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26660-2025</t>
        </is>
      </c>
      <c r="B324" s="1" t="n">
        <v>45810.39737268518</v>
      </c>
      <c r="C324" s="1" t="n">
        <v>45916</v>
      </c>
      <c r="D324" t="inlineStr">
        <is>
          <t>GOTLANDS LÄN</t>
        </is>
      </c>
      <c r="E324" t="inlineStr">
        <is>
          <t>GOTLAND</t>
        </is>
      </c>
      <c r="G324" t="n">
        <v>1.8</v>
      </c>
      <c r="H324" t="n">
        <v>0</v>
      </c>
      <c r="I324" t="n">
        <v>0</v>
      </c>
      <c r="J324" t="n">
        <v>0</v>
      </c>
      <c r="K324" t="n">
        <v>0</v>
      </c>
      <c r="L324" t="n">
        <v>0</v>
      </c>
      <c r="M324" t="n">
        <v>0</v>
      </c>
      <c r="N324" t="n">
        <v>0</v>
      </c>
      <c r="O324" t="n">
        <v>0</v>
      </c>
      <c r="P324" t="n">
        <v>0</v>
      </c>
      <c r="Q324" t="n">
        <v>0</v>
      </c>
      <c r="R324" s="2" t="inlineStr"/>
    </row>
    <row r="325" ht="15" customHeight="1">
      <c r="A325" t="inlineStr">
        <is>
          <t>A 35512-2023</t>
        </is>
      </c>
      <c r="B325" s="1" t="n">
        <v>45147.25623842593</v>
      </c>
      <c r="C325" s="1" t="n">
        <v>45916</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39764-2022</t>
        </is>
      </c>
      <c r="B326" s="1" t="n">
        <v>44819</v>
      </c>
      <c r="C326" s="1" t="n">
        <v>45916</v>
      </c>
      <c r="D326" t="inlineStr">
        <is>
          <t>GOTLANDS LÄN</t>
        </is>
      </c>
      <c r="E326" t="inlineStr">
        <is>
          <t>GOTLAND</t>
        </is>
      </c>
      <c r="F326" t="inlineStr">
        <is>
          <t>Kyrkan</t>
        </is>
      </c>
      <c r="G326" t="n">
        <v>3.7</v>
      </c>
      <c r="H326" t="n">
        <v>0</v>
      </c>
      <c r="I326" t="n">
        <v>0</v>
      </c>
      <c r="J326" t="n">
        <v>0</v>
      </c>
      <c r="K326" t="n">
        <v>0</v>
      </c>
      <c r="L326" t="n">
        <v>0</v>
      </c>
      <c r="M326" t="n">
        <v>0</v>
      </c>
      <c r="N326" t="n">
        <v>0</v>
      </c>
      <c r="O326" t="n">
        <v>0</v>
      </c>
      <c r="P326" t="n">
        <v>0</v>
      </c>
      <c r="Q326" t="n">
        <v>0</v>
      </c>
      <c r="R326" s="2" t="inlineStr"/>
    </row>
    <row r="327" ht="15" customHeight="1">
      <c r="A327" t="inlineStr">
        <is>
          <t>A 6099-2024</t>
        </is>
      </c>
      <c r="B327" s="1" t="n">
        <v>45337</v>
      </c>
      <c r="C327" s="1" t="n">
        <v>45916</v>
      </c>
      <c r="D327" t="inlineStr">
        <is>
          <t>GOTLANDS LÄN</t>
        </is>
      </c>
      <c r="E327" t="inlineStr">
        <is>
          <t>GOTLAND</t>
        </is>
      </c>
      <c r="G327" t="n">
        <v>12.6</v>
      </c>
      <c r="H327" t="n">
        <v>0</v>
      </c>
      <c r="I327" t="n">
        <v>0</v>
      </c>
      <c r="J327" t="n">
        <v>0</v>
      </c>
      <c r="K327" t="n">
        <v>0</v>
      </c>
      <c r="L327" t="n">
        <v>0</v>
      </c>
      <c r="M327" t="n">
        <v>0</v>
      </c>
      <c r="N327" t="n">
        <v>0</v>
      </c>
      <c r="O327" t="n">
        <v>0</v>
      </c>
      <c r="P327" t="n">
        <v>0</v>
      </c>
      <c r="Q327" t="n">
        <v>0</v>
      </c>
      <c r="R327" s="2" t="inlineStr"/>
    </row>
    <row r="328" ht="15" customHeight="1">
      <c r="A328" t="inlineStr">
        <is>
          <t>A 51782-2023</t>
        </is>
      </c>
      <c r="B328" s="1" t="n">
        <v>45222.80952546297</v>
      </c>
      <c r="C328" s="1" t="n">
        <v>45916</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8260-2023</t>
        </is>
      </c>
      <c r="B329" s="1" t="n">
        <v>44974.61608796296</v>
      </c>
      <c r="C329" s="1" t="n">
        <v>45916</v>
      </c>
      <c r="D329" t="inlineStr">
        <is>
          <t>GOTLANDS LÄN</t>
        </is>
      </c>
      <c r="E329" t="inlineStr">
        <is>
          <t>GOTLAND</t>
        </is>
      </c>
      <c r="G329" t="n">
        <v>2.9</v>
      </c>
      <c r="H329" t="n">
        <v>0</v>
      </c>
      <c r="I329" t="n">
        <v>0</v>
      </c>
      <c r="J329" t="n">
        <v>0</v>
      </c>
      <c r="K329" t="n">
        <v>0</v>
      </c>
      <c r="L329" t="n">
        <v>0</v>
      </c>
      <c r="M329" t="n">
        <v>0</v>
      </c>
      <c r="N329" t="n">
        <v>0</v>
      </c>
      <c r="O329" t="n">
        <v>0</v>
      </c>
      <c r="P329" t="n">
        <v>0</v>
      </c>
      <c r="Q329" t="n">
        <v>0</v>
      </c>
      <c r="R329" s="2" t="inlineStr"/>
    </row>
    <row r="330" ht="15" customHeight="1">
      <c r="A330" t="inlineStr">
        <is>
          <t>A 11874-2024</t>
        </is>
      </c>
      <c r="B330" s="1" t="n">
        <v>45376.46956018519</v>
      </c>
      <c r="C330" s="1" t="n">
        <v>45916</v>
      </c>
      <c r="D330" t="inlineStr">
        <is>
          <t>GOTLANDS LÄN</t>
        </is>
      </c>
      <c r="E330" t="inlineStr">
        <is>
          <t>GOTLAND</t>
        </is>
      </c>
      <c r="G330" t="n">
        <v>0.8</v>
      </c>
      <c r="H330" t="n">
        <v>0</v>
      </c>
      <c r="I330" t="n">
        <v>0</v>
      </c>
      <c r="J330" t="n">
        <v>0</v>
      </c>
      <c r="K330" t="n">
        <v>0</v>
      </c>
      <c r="L330" t="n">
        <v>0</v>
      </c>
      <c r="M330" t="n">
        <v>0</v>
      </c>
      <c r="N330" t="n">
        <v>0</v>
      </c>
      <c r="O330" t="n">
        <v>0</v>
      </c>
      <c r="P330" t="n">
        <v>0</v>
      </c>
      <c r="Q330" t="n">
        <v>0</v>
      </c>
      <c r="R330" s="2" t="inlineStr"/>
    </row>
    <row r="331" ht="15" customHeight="1">
      <c r="A331" t="inlineStr">
        <is>
          <t>A 60675-2021</t>
        </is>
      </c>
      <c r="B331" s="1" t="n">
        <v>44496.64855324074</v>
      </c>
      <c r="C331" s="1" t="n">
        <v>45916</v>
      </c>
      <c r="D331" t="inlineStr">
        <is>
          <t>GOTLANDS LÄN</t>
        </is>
      </c>
      <c r="E331" t="inlineStr">
        <is>
          <t>GOTLAND</t>
        </is>
      </c>
      <c r="G331" t="n">
        <v>4.6</v>
      </c>
      <c r="H331" t="n">
        <v>0</v>
      </c>
      <c r="I331" t="n">
        <v>0</v>
      </c>
      <c r="J331" t="n">
        <v>0</v>
      </c>
      <c r="K331" t="n">
        <v>0</v>
      </c>
      <c r="L331" t="n">
        <v>0</v>
      </c>
      <c r="M331" t="n">
        <v>0</v>
      </c>
      <c r="N331" t="n">
        <v>0</v>
      </c>
      <c r="O331" t="n">
        <v>0</v>
      </c>
      <c r="P331" t="n">
        <v>0</v>
      </c>
      <c r="Q331" t="n">
        <v>0</v>
      </c>
      <c r="R331" s="2" t="inlineStr"/>
    </row>
    <row r="332" ht="15" customHeight="1">
      <c r="A332" t="inlineStr">
        <is>
          <t>A 27355-2025</t>
        </is>
      </c>
      <c r="B332" s="1" t="n">
        <v>45812</v>
      </c>
      <c r="C332" s="1" t="n">
        <v>45916</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27348-2025</t>
        </is>
      </c>
      <c r="B333" s="1" t="n">
        <v>45812.62451388889</v>
      </c>
      <c r="C333" s="1" t="n">
        <v>45916</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27371-2025</t>
        </is>
      </c>
      <c r="B334" s="1" t="n">
        <v>45812</v>
      </c>
      <c r="C334" s="1" t="n">
        <v>45916</v>
      </c>
      <c r="D334" t="inlineStr">
        <is>
          <t>GOTLANDS LÄN</t>
        </is>
      </c>
      <c r="E334" t="inlineStr">
        <is>
          <t>GOTLAND</t>
        </is>
      </c>
      <c r="G334" t="n">
        <v>8</v>
      </c>
      <c r="H334" t="n">
        <v>0</v>
      </c>
      <c r="I334" t="n">
        <v>0</v>
      </c>
      <c r="J334" t="n">
        <v>0</v>
      </c>
      <c r="K334" t="n">
        <v>0</v>
      </c>
      <c r="L334" t="n">
        <v>0</v>
      </c>
      <c r="M334" t="n">
        <v>0</v>
      </c>
      <c r="N334" t="n">
        <v>0</v>
      </c>
      <c r="O334" t="n">
        <v>0</v>
      </c>
      <c r="P334" t="n">
        <v>0</v>
      </c>
      <c r="Q334" t="n">
        <v>0</v>
      </c>
      <c r="R334" s="2" t="inlineStr"/>
    </row>
    <row r="335" ht="15" customHeight="1">
      <c r="A335" t="inlineStr">
        <is>
          <t>A 22287-2022</t>
        </is>
      </c>
      <c r="B335" s="1" t="n">
        <v>44712</v>
      </c>
      <c r="C335" s="1" t="n">
        <v>45916</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5217-2023</t>
        </is>
      </c>
      <c r="B336" s="1" t="n">
        <v>44959.39582175926</v>
      </c>
      <c r="C336" s="1" t="n">
        <v>45916</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17343-2025</t>
        </is>
      </c>
      <c r="B337" s="1" t="n">
        <v>45756.6687037037</v>
      </c>
      <c r="C337" s="1" t="n">
        <v>45916</v>
      </c>
      <c r="D337" t="inlineStr">
        <is>
          <t>GOTLANDS LÄN</t>
        </is>
      </c>
      <c r="E337" t="inlineStr">
        <is>
          <t>GOTLAND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14638-2025</t>
        </is>
      </c>
      <c r="B338" s="1" t="n">
        <v>45742</v>
      </c>
      <c r="C338" s="1" t="n">
        <v>45916</v>
      </c>
      <c r="D338" t="inlineStr">
        <is>
          <t>GOTLANDS LÄN</t>
        </is>
      </c>
      <c r="E338" t="inlineStr">
        <is>
          <t>GOTLAND</t>
        </is>
      </c>
      <c r="G338" t="n">
        <v>13.4</v>
      </c>
      <c r="H338" t="n">
        <v>0</v>
      </c>
      <c r="I338" t="n">
        <v>0</v>
      </c>
      <c r="J338" t="n">
        <v>0</v>
      </c>
      <c r="K338" t="n">
        <v>0</v>
      </c>
      <c r="L338" t="n">
        <v>0</v>
      </c>
      <c r="M338" t="n">
        <v>0</v>
      </c>
      <c r="N338" t="n">
        <v>0</v>
      </c>
      <c r="O338" t="n">
        <v>0</v>
      </c>
      <c r="P338" t="n">
        <v>0</v>
      </c>
      <c r="Q338" t="n">
        <v>0</v>
      </c>
      <c r="R338" s="2" t="inlineStr"/>
    </row>
    <row r="339" ht="15" customHeight="1">
      <c r="A339" t="inlineStr">
        <is>
          <t>A 20225-2025</t>
        </is>
      </c>
      <c r="B339" s="1" t="n">
        <v>45772.65802083333</v>
      </c>
      <c r="C339" s="1" t="n">
        <v>45916</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57534-2022</t>
        </is>
      </c>
      <c r="B340" s="1" t="n">
        <v>44896</v>
      </c>
      <c r="C340" s="1" t="n">
        <v>45916</v>
      </c>
      <c r="D340" t="inlineStr">
        <is>
          <t>GOTLANDS LÄN</t>
        </is>
      </c>
      <c r="E340" t="inlineStr">
        <is>
          <t>GOTLAND</t>
        </is>
      </c>
      <c r="G340" t="n">
        <v>0.6</v>
      </c>
      <c r="H340" t="n">
        <v>0</v>
      </c>
      <c r="I340" t="n">
        <v>0</v>
      </c>
      <c r="J340" t="n">
        <v>0</v>
      </c>
      <c r="K340" t="n">
        <v>0</v>
      </c>
      <c r="L340" t="n">
        <v>0</v>
      </c>
      <c r="M340" t="n">
        <v>0</v>
      </c>
      <c r="N340" t="n">
        <v>0</v>
      </c>
      <c r="O340" t="n">
        <v>0</v>
      </c>
      <c r="P340" t="n">
        <v>0</v>
      </c>
      <c r="Q340" t="n">
        <v>0</v>
      </c>
      <c r="R340" s="2" t="inlineStr"/>
    </row>
    <row r="341" ht="15" customHeight="1">
      <c r="A341" t="inlineStr">
        <is>
          <t>A 4421-2024</t>
        </is>
      </c>
      <c r="B341" s="1" t="n">
        <v>45327.45173611111</v>
      </c>
      <c r="C341" s="1" t="n">
        <v>45916</v>
      </c>
      <c r="D341" t="inlineStr">
        <is>
          <t>GOTLANDS LÄN</t>
        </is>
      </c>
      <c r="E341" t="inlineStr">
        <is>
          <t>GOTLAND</t>
        </is>
      </c>
      <c r="G341" t="n">
        <v>5.1</v>
      </c>
      <c r="H341" t="n">
        <v>0</v>
      </c>
      <c r="I341" t="n">
        <v>0</v>
      </c>
      <c r="J341" t="n">
        <v>0</v>
      </c>
      <c r="K341" t="n">
        <v>0</v>
      </c>
      <c r="L341" t="n">
        <v>0</v>
      </c>
      <c r="M341" t="n">
        <v>0</v>
      </c>
      <c r="N341" t="n">
        <v>0</v>
      </c>
      <c r="O341" t="n">
        <v>0</v>
      </c>
      <c r="P341" t="n">
        <v>0</v>
      </c>
      <c r="Q341" t="n">
        <v>0</v>
      </c>
      <c r="R341" s="2" t="inlineStr"/>
    </row>
    <row r="342" ht="15" customHeight="1">
      <c r="A342" t="inlineStr">
        <is>
          <t>A 1677-2023</t>
        </is>
      </c>
      <c r="B342" s="1" t="n">
        <v>44938</v>
      </c>
      <c r="C342" s="1" t="n">
        <v>45916</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7850-2025</t>
        </is>
      </c>
      <c r="B343" s="1" t="n">
        <v>45706</v>
      </c>
      <c r="C343" s="1" t="n">
        <v>45916</v>
      </c>
      <c r="D343" t="inlineStr">
        <is>
          <t>GOTLANDS LÄN</t>
        </is>
      </c>
      <c r="E343" t="inlineStr">
        <is>
          <t>GOTLAND</t>
        </is>
      </c>
      <c r="G343" t="n">
        <v>0.5</v>
      </c>
      <c r="H343" t="n">
        <v>0</v>
      </c>
      <c r="I343" t="n">
        <v>0</v>
      </c>
      <c r="J343" t="n">
        <v>0</v>
      </c>
      <c r="K343" t="n">
        <v>0</v>
      </c>
      <c r="L343" t="n">
        <v>0</v>
      </c>
      <c r="M343" t="n">
        <v>0</v>
      </c>
      <c r="N343" t="n">
        <v>0</v>
      </c>
      <c r="O343" t="n">
        <v>0</v>
      </c>
      <c r="P343" t="n">
        <v>0</v>
      </c>
      <c r="Q343" t="n">
        <v>0</v>
      </c>
      <c r="R343" s="2" t="inlineStr"/>
    </row>
    <row r="344" ht="15" customHeight="1">
      <c r="A344" t="inlineStr">
        <is>
          <t>A 6739-2025</t>
        </is>
      </c>
      <c r="B344" s="1" t="n">
        <v>45700</v>
      </c>
      <c r="C344" s="1" t="n">
        <v>45916</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8444-2025</t>
        </is>
      </c>
      <c r="B345" s="1" t="n">
        <v>45709</v>
      </c>
      <c r="C345" s="1" t="n">
        <v>45916</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64831-2023</t>
        </is>
      </c>
      <c r="B346" s="1" t="n">
        <v>45282.44924768519</v>
      </c>
      <c r="C346" s="1" t="n">
        <v>45916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19905-2025</t>
        </is>
      </c>
      <c r="B347" s="1" t="n">
        <v>45771</v>
      </c>
      <c r="C347" s="1" t="n">
        <v>45916</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8036-2022</t>
        </is>
      </c>
      <c r="B348" s="1" t="n">
        <v>44609.44362268518</v>
      </c>
      <c r="C348" s="1" t="n">
        <v>45916</v>
      </c>
      <c r="D348" t="inlineStr">
        <is>
          <t>GOTLANDS LÄN</t>
        </is>
      </c>
      <c r="E348" t="inlineStr">
        <is>
          <t>GOTLAND</t>
        </is>
      </c>
      <c r="G348" t="n">
        <v>6.1</v>
      </c>
      <c r="H348" t="n">
        <v>0</v>
      </c>
      <c r="I348" t="n">
        <v>0</v>
      </c>
      <c r="J348" t="n">
        <v>0</v>
      </c>
      <c r="K348" t="n">
        <v>0</v>
      </c>
      <c r="L348" t="n">
        <v>0</v>
      </c>
      <c r="M348" t="n">
        <v>0</v>
      </c>
      <c r="N348" t="n">
        <v>0</v>
      </c>
      <c r="O348" t="n">
        <v>0</v>
      </c>
      <c r="P348" t="n">
        <v>0</v>
      </c>
      <c r="Q348" t="n">
        <v>0</v>
      </c>
      <c r="R348" s="2" t="inlineStr"/>
    </row>
    <row r="349" ht="15" customHeight="1">
      <c r="A349" t="inlineStr">
        <is>
          <t>A 46375-2024</t>
        </is>
      </c>
      <c r="B349" s="1" t="n">
        <v>45582</v>
      </c>
      <c r="C349" s="1" t="n">
        <v>45916</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29207-2025</t>
        </is>
      </c>
      <c r="B350" s="1" t="n">
        <v>45823</v>
      </c>
      <c r="C350" s="1" t="n">
        <v>45916</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62915-2021</t>
        </is>
      </c>
      <c r="B351" s="1" t="n">
        <v>44504</v>
      </c>
      <c r="C351" s="1" t="n">
        <v>45916</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29196-2025</t>
        </is>
      </c>
      <c r="B352" s="1" t="n">
        <v>45822</v>
      </c>
      <c r="C352" s="1" t="n">
        <v>45916</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64660-2023</t>
        </is>
      </c>
      <c r="B353" s="1" t="n">
        <v>45281.60122685185</v>
      </c>
      <c r="C353" s="1" t="n">
        <v>45916</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7638-2025</t>
        </is>
      </c>
      <c r="B354" s="1" t="n">
        <v>45705.77306712963</v>
      </c>
      <c r="C354" s="1" t="n">
        <v>45916</v>
      </c>
      <c r="D354" t="inlineStr">
        <is>
          <t>GOTLANDS LÄN</t>
        </is>
      </c>
      <c r="E354" t="inlineStr">
        <is>
          <t>GOTLAND</t>
        </is>
      </c>
      <c r="G354" t="n">
        <v>2.2</v>
      </c>
      <c r="H354" t="n">
        <v>0</v>
      </c>
      <c r="I354" t="n">
        <v>0</v>
      </c>
      <c r="J354" t="n">
        <v>0</v>
      </c>
      <c r="K354" t="n">
        <v>0</v>
      </c>
      <c r="L354" t="n">
        <v>0</v>
      </c>
      <c r="M354" t="n">
        <v>0</v>
      </c>
      <c r="N354" t="n">
        <v>0</v>
      </c>
      <c r="O354" t="n">
        <v>0</v>
      </c>
      <c r="P354" t="n">
        <v>0</v>
      </c>
      <c r="Q354" t="n">
        <v>0</v>
      </c>
      <c r="R354" s="2" t="inlineStr"/>
    </row>
    <row r="355" ht="15" customHeight="1">
      <c r="A355" t="inlineStr">
        <is>
          <t>A 4377-2023</t>
        </is>
      </c>
      <c r="B355" s="1" t="n">
        <v>44955.5502662037</v>
      </c>
      <c r="C355" s="1" t="n">
        <v>45916</v>
      </c>
      <c r="D355" t="inlineStr">
        <is>
          <t>GOTLANDS LÄN</t>
        </is>
      </c>
      <c r="E355" t="inlineStr">
        <is>
          <t>GOTLAND</t>
        </is>
      </c>
      <c r="F355" t="inlineStr">
        <is>
          <t>Kyrkan</t>
        </is>
      </c>
      <c r="G355" t="n">
        <v>0.6</v>
      </c>
      <c r="H355" t="n">
        <v>0</v>
      </c>
      <c r="I355" t="n">
        <v>0</v>
      </c>
      <c r="J355" t="n">
        <v>0</v>
      </c>
      <c r="K355" t="n">
        <v>0</v>
      </c>
      <c r="L355" t="n">
        <v>0</v>
      </c>
      <c r="M355" t="n">
        <v>0</v>
      </c>
      <c r="N355" t="n">
        <v>0</v>
      </c>
      <c r="O355" t="n">
        <v>0</v>
      </c>
      <c r="P355" t="n">
        <v>0</v>
      </c>
      <c r="Q355" t="n">
        <v>0</v>
      </c>
      <c r="R355" s="2" t="inlineStr"/>
    </row>
    <row r="356" ht="15" customHeight="1">
      <c r="A356" t="inlineStr">
        <is>
          <t>A 30061-2025</t>
        </is>
      </c>
      <c r="B356" s="1" t="n">
        <v>45826.61488425926</v>
      </c>
      <c r="C356" s="1" t="n">
        <v>45916</v>
      </c>
      <c r="D356" t="inlineStr">
        <is>
          <t>GOTLANDS LÄN</t>
        </is>
      </c>
      <c r="E356" t="inlineStr">
        <is>
          <t>GOTLAND</t>
        </is>
      </c>
      <c r="G356" t="n">
        <v>4.1</v>
      </c>
      <c r="H356" t="n">
        <v>0</v>
      </c>
      <c r="I356" t="n">
        <v>0</v>
      </c>
      <c r="J356" t="n">
        <v>0</v>
      </c>
      <c r="K356" t="n">
        <v>0</v>
      </c>
      <c r="L356" t="n">
        <v>0</v>
      </c>
      <c r="M356" t="n">
        <v>0</v>
      </c>
      <c r="N356" t="n">
        <v>0</v>
      </c>
      <c r="O356" t="n">
        <v>0</v>
      </c>
      <c r="P356" t="n">
        <v>0</v>
      </c>
      <c r="Q356" t="n">
        <v>0</v>
      </c>
      <c r="R356" s="2" t="inlineStr"/>
    </row>
    <row r="357" ht="15" customHeight="1">
      <c r="A357" t="inlineStr">
        <is>
          <t>A 30157-2025</t>
        </is>
      </c>
      <c r="B357" s="1" t="n">
        <v>45826</v>
      </c>
      <c r="C357" s="1" t="n">
        <v>45916</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43901-2023</t>
        </is>
      </c>
      <c r="B358" s="1" t="n">
        <v>45187</v>
      </c>
      <c r="C358" s="1" t="n">
        <v>45916</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17532-2024</t>
        </is>
      </c>
      <c r="B359" s="1" t="n">
        <v>45415</v>
      </c>
      <c r="C359" s="1" t="n">
        <v>45916</v>
      </c>
      <c r="D359" t="inlineStr">
        <is>
          <t>GOTLANDS LÄN</t>
        </is>
      </c>
      <c r="E359" t="inlineStr">
        <is>
          <t>GOTLAND</t>
        </is>
      </c>
      <c r="G359" t="n">
        <v>4.3</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45916</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30489-2025</t>
        </is>
      </c>
      <c r="B361" s="1" t="n">
        <v>45830</v>
      </c>
      <c r="C361" s="1" t="n">
        <v>45916</v>
      </c>
      <c r="D361" t="inlineStr">
        <is>
          <t>GOTLANDS LÄN</t>
        </is>
      </c>
      <c r="E361" t="inlineStr">
        <is>
          <t>GOTLAND</t>
        </is>
      </c>
      <c r="G361" t="n">
        <v>4.6</v>
      </c>
      <c r="H361" t="n">
        <v>0</v>
      </c>
      <c r="I361" t="n">
        <v>0</v>
      </c>
      <c r="J361" t="n">
        <v>0</v>
      </c>
      <c r="K361" t="n">
        <v>0</v>
      </c>
      <c r="L361" t="n">
        <v>0</v>
      </c>
      <c r="M361" t="n">
        <v>0</v>
      </c>
      <c r="N361" t="n">
        <v>0</v>
      </c>
      <c r="O361" t="n">
        <v>0</v>
      </c>
      <c r="P361" t="n">
        <v>0</v>
      </c>
      <c r="Q361" t="n">
        <v>0</v>
      </c>
      <c r="R361" s="2" t="inlineStr"/>
    </row>
    <row r="362" ht="15" customHeight="1">
      <c r="A362" t="inlineStr">
        <is>
          <t>A 58160-2024</t>
        </is>
      </c>
      <c r="B362" s="1" t="n">
        <v>45632.44927083333</v>
      </c>
      <c r="C362" s="1" t="n">
        <v>45916</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37222-2021</t>
        </is>
      </c>
      <c r="B363" s="1" t="n">
        <v>44396</v>
      </c>
      <c r="C363" s="1" t="n">
        <v>45916</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20855-2023</t>
        </is>
      </c>
      <c r="B364" s="1" t="n">
        <v>45058.82172453704</v>
      </c>
      <c r="C364" s="1" t="n">
        <v>45916</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46396-2023</t>
        </is>
      </c>
      <c r="B365" s="1" t="n">
        <v>45197</v>
      </c>
      <c r="C365" s="1" t="n">
        <v>45916</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58388-2022</t>
        </is>
      </c>
      <c r="B366" s="1" t="n">
        <v>44894</v>
      </c>
      <c r="C366" s="1" t="n">
        <v>45916</v>
      </c>
      <c r="D366" t="inlineStr">
        <is>
          <t>GOTLANDS LÄN</t>
        </is>
      </c>
      <c r="E366" t="inlineStr">
        <is>
          <t>GOTLAND</t>
        </is>
      </c>
      <c r="F366" t="inlineStr">
        <is>
          <t>Övriga statliga verk och myndigheter</t>
        </is>
      </c>
      <c r="G366" t="n">
        <v>3.1</v>
      </c>
      <c r="H366" t="n">
        <v>0</v>
      </c>
      <c r="I366" t="n">
        <v>0</v>
      </c>
      <c r="J366" t="n">
        <v>0</v>
      </c>
      <c r="K366" t="n">
        <v>0</v>
      </c>
      <c r="L366" t="n">
        <v>0</v>
      </c>
      <c r="M366" t="n">
        <v>0</v>
      </c>
      <c r="N366" t="n">
        <v>0</v>
      </c>
      <c r="O366" t="n">
        <v>0</v>
      </c>
      <c r="P366" t="n">
        <v>0</v>
      </c>
      <c r="Q366" t="n">
        <v>0</v>
      </c>
      <c r="R366" s="2" t="inlineStr"/>
    </row>
    <row r="367" ht="15" customHeight="1">
      <c r="A367" t="inlineStr">
        <is>
          <t>A 60709-2023</t>
        </is>
      </c>
      <c r="B367" s="1" t="n">
        <v>45260</v>
      </c>
      <c r="C367" s="1" t="n">
        <v>45916</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1000-2024</t>
        </is>
      </c>
      <c r="B368" s="1" t="n">
        <v>45301.63371527778</v>
      </c>
      <c r="C368" s="1" t="n">
        <v>45916</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1010-2024</t>
        </is>
      </c>
      <c r="B369" s="1" t="n">
        <v>45301</v>
      </c>
      <c r="C369" s="1" t="n">
        <v>45916</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65249-2023</t>
        </is>
      </c>
      <c r="B370" s="1" t="n">
        <v>45290</v>
      </c>
      <c r="C370" s="1" t="n">
        <v>45916</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30956-2024</t>
        </is>
      </c>
      <c r="B371" s="1" t="n">
        <v>45499.42527777778</v>
      </c>
      <c r="C371" s="1" t="n">
        <v>45916</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30135-2025</t>
        </is>
      </c>
      <c r="B372" s="1" t="n">
        <v>45826</v>
      </c>
      <c r="C372" s="1" t="n">
        <v>45916</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12596-2023</t>
        </is>
      </c>
      <c r="B373" s="1" t="n">
        <v>45000.43310185185</v>
      </c>
      <c r="C373" s="1" t="n">
        <v>45916</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8045-2022</t>
        </is>
      </c>
      <c r="B374" s="1" t="n">
        <v>44609</v>
      </c>
      <c r="C374" s="1" t="n">
        <v>45916</v>
      </c>
      <c r="D374" t="inlineStr">
        <is>
          <t>GOTLANDS LÄN</t>
        </is>
      </c>
      <c r="E374" t="inlineStr">
        <is>
          <t>GOTLAND</t>
        </is>
      </c>
      <c r="G374" t="n">
        <v>7</v>
      </c>
      <c r="H374" t="n">
        <v>0</v>
      </c>
      <c r="I374" t="n">
        <v>0</v>
      </c>
      <c r="J374" t="n">
        <v>0</v>
      </c>
      <c r="K374" t="n">
        <v>0</v>
      </c>
      <c r="L374" t="n">
        <v>0</v>
      </c>
      <c r="M374" t="n">
        <v>0</v>
      </c>
      <c r="N374" t="n">
        <v>0</v>
      </c>
      <c r="O374" t="n">
        <v>0</v>
      </c>
      <c r="P374" t="n">
        <v>0</v>
      </c>
      <c r="Q374" t="n">
        <v>0</v>
      </c>
      <c r="R374" s="2" t="inlineStr"/>
    </row>
    <row r="375" ht="15" customHeight="1">
      <c r="A375" t="inlineStr">
        <is>
          <t>A 53934-2024</t>
        </is>
      </c>
      <c r="B375" s="1" t="n">
        <v>45615</v>
      </c>
      <c r="C375" s="1" t="n">
        <v>45916</v>
      </c>
      <c r="D375" t="inlineStr">
        <is>
          <t>GOTLANDS LÄN</t>
        </is>
      </c>
      <c r="E375" t="inlineStr">
        <is>
          <t>GOTLAND</t>
        </is>
      </c>
      <c r="G375" t="n">
        <v>5</v>
      </c>
      <c r="H375" t="n">
        <v>0</v>
      </c>
      <c r="I375" t="n">
        <v>0</v>
      </c>
      <c r="J375" t="n">
        <v>0</v>
      </c>
      <c r="K375" t="n">
        <v>0</v>
      </c>
      <c r="L375" t="n">
        <v>0</v>
      </c>
      <c r="M375" t="n">
        <v>0</v>
      </c>
      <c r="N375" t="n">
        <v>0</v>
      </c>
      <c r="O375" t="n">
        <v>0</v>
      </c>
      <c r="P375" t="n">
        <v>0</v>
      </c>
      <c r="Q375" t="n">
        <v>0</v>
      </c>
      <c r="R375" s="2" t="inlineStr"/>
    </row>
    <row r="376" ht="15" customHeight="1">
      <c r="A376" t="inlineStr">
        <is>
          <t>A 16109-2025</t>
        </is>
      </c>
      <c r="B376" s="1" t="n">
        <v>45750</v>
      </c>
      <c r="C376" s="1" t="n">
        <v>45916</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58132-2023</t>
        </is>
      </c>
      <c r="B377" s="1" t="n">
        <v>45250</v>
      </c>
      <c r="C377" s="1" t="n">
        <v>45916</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32467-2025</t>
        </is>
      </c>
      <c r="B378" s="1" t="n">
        <v>45838.42111111111</v>
      </c>
      <c r="C378" s="1" t="n">
        <v>45916</v>
      </c>
      <c r="D378" t="inlineStr">
        <is>
          <t>GOTLANDS LÄN</t>
        </is>
      </c>
      <c r="E378" t="inlineStr">
        <is>
          <t>GOTLAND</t>
        </is>
      </c>
      <c r="G378" t="n">
        <v>4.3</v>
      </c>
      <c r="H378" t="n">
        <v>0</v>
      </c>
      <c r="I378" t="n">
        <v>0</v>
      </c>
      <c r="J378" t="n">
        <v>0</v>
      </c>
      <c r="K378" t="n">
        <v>0</v>
      </c>
      <c r="L378" t="n">
        <v>0</v>
      </c>
      <c r="M378" t="n">
        <v>0</v>
      </c>
      <c r="N378" t="n">
        <v>0</v>
      </c>
      <c r="O378" t="n">
        <v>0</v>
      </c>
      <c r="P378" t="n">
        <v>0</v>
      </c>
      <c r="Q378" t="n">
        <v>0</v>
      </c>
      <c r="R378" s="2" t="inlineStr"/>
    </row>
    <row r="379" ht="15" customHeight="1">
      <c r="A379" t="inlineStr">
        <is>
          <t>A 22899-2023</t>
        </is>
      </c>
      <c r="B379" s="1" t="n">
        <v>45072</v>
      </c>
      <c r="C379" s="1" t="n">
        <v>45916</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28285-2024</t>
        </is>
      </c>
      <c r="B380" s="1" t="n">
        <v>45477</v>
      </c>
      <c r="C380" s="1" t="n">
        <v>45916</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51963-2024</t>
        </is>
      </c>
      <c r="B381" s="1" t="n">
        <v>45607.64833333333</v>
      </c>
      <c r="C381" s="1" t="n">
        <v>45916</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32378-2025</t>
        </is>
      </c>
      <c r="B382" s="1" t="n">
        <v>45837</v>
      </c>
      <c r="C382" s="1" t="n">
        <v>45916</v>
      </c>
      <c r="D382" t="inlineStr">
        <is>
          <t>GOTLANDS LÄN</t>
        </is>
      </c>
      <c r="E382" t="inlineStr">
        <is>
          <t>GOTLAND</t>
        </is>
      </c>
      <c r="G382" t="n">
        <v>4.1</v>
      </c>
      <c r="H382" t="n">
        <v>0</v>
      </c>
      <c r="I382" t="n">
        <v>0</v>
      </c>
      <c r="J382" t="n">
        <v>0</v>
      </c>
      <c r="K382" t="n">
        <v>0</v>
      </c>
      <c r="L382" t="n">
        <v>0</v>
      </c>
      <c r="M382" t="n">
        <v>0</v>
      </c>
      <c r="N382" t="n">
        <v>0</v>
      </c>
      <c r="O382" t="n">
        <v>0</v>
      </c>
      <c r="P382" t="n">
        <v>0</v>
      </c>
      <c r="Q382" t="n">
        <v>0</v>
      </c>
      <c r="R382" s="2" t="inlineStr"/>
    </row>
    <row r="383" ht="15" customHeight="1">
      <c r="A383" t="inlineStr">
        <is>
          <t>A 32686-2025</t>
        </is>
      </c>
      <c r="B383" s="1" t="n">
        <v>45838</v>
      </c>
      <c r="C383" s="1" t="n">
        <v>45916</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999-2024</t>
        </is>
      </c>
      <c r="B384" s="1" t="n">
        <v>45301</v>
      </c>
      <c r="C384" s="1" t="n">
        <v>45916</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65901-2021</t>
        </is>
      </c>
      <c r="B385" s="1" t="n">
        <v>44516</v>
      </c>
      <c r="C385" s="1" t="n">
        <v>45916</v>
      </c>
      <c r="D385" t="inlineStr">
        <is>
          <t>GOTLANDS LÄN</t>
        </is>
      </c>
      <c r="E385" t="inlineStr">
        <is>
          <t>GOTLAND</t>
        </is>
      </c>
      <c r="G385" t="n">
        <v>4.9</v>
      </c>
      <c r="H385" t="n">
        <v>0</v>
      </c>
      <c r="I385" t="n">
        <v>0</v>
      </c>
      <c r="J385" t="n">
        <v>0</v>
      </c>
      <c r="K385" t="n">
        <v>0</v>
      </c>
      <c r="L385" t="n">
        <v>0</v>
      </c>
      <c r="M385" t="n">
        <v>0</v>
      </c>
      <c r="N385" t="n">
        <v>0</v>
      </c>
      <c r="O385" t="n">
        <v>0</v>
      </c>
      <c r="P385" t="n">
        <v>0</v>
      </c>
      <c r="Q385" t="n">
        <v>0</v>
      </c>
      <c r="R385" s="2" t="inlineStr"/>
    </row>
    <row r="386" ht="15" customHeight="1">
      <c r="A386" t="inlineStr">
        <is>
          <t>A 32379-2025</t>
        </is>
      </c>
      <c r="B386" s="1" t="n">
        <v>45837</v>
      </c>
      <c r="C386" s="1" t="n">
        <v>45916</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47762-2023</t>
        </is>
      </c>
      <c r="B387" s="1" t="n">
        <v>45203.86256944444</v>
      </c>
      <c r="C387" s="1" t="n">
        <v>45916</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33078-2025</t>
        </is>
      </c>
      <c r="B388" s="1" t="n">
        <v>45840</v>
      </c>
      <c r="C388" s="1" t="n">
        <v>45916</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1734-2025</t>
        </is>
      </c>
      <c r="B389" s="1" t="n">
        <v>45671.3840625</v>
      </c>
      <c r="C389" s="1" t="n">
        <v>45916</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40294-2022</t>
        </is>
      </c>
      <c r="B390" s="1" t="n">
        <v>44821</v>
      </c>
      <c r="C390" s="1" t="n">
        <v>45916</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30365-2024</t>
        </is>
      </c>
      <c r="B391" s="1" t="n">
        <v>45491.3716087963</v>
      </c>
      <c r="C391" s="1" t="n">
        <v>45916</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27602-2023</t>
        </is>
      </c>
      <c r="B392" s="1" t="n">
        <v>45097</v>
      </c>
      <c r="C392" s="1" t="n">
        <v>45916</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33007-2025</t>
        </is>
      </c>
      <c r="B393" s="1" t="n">
        <v>45840</v>
      </c>
      <c r="C393" s="1" t="n">
        <v>45916</v>
      </c>
      <c r="D393" t="inlineStr">
        <is>
          <t>GOTLANDS LÄN</t>
        </is>
      </c>
      <c r="E393" t="inlineStr">
        <is>
          <t>GOTLAND</t>
        </is>
      </c>
      <c r="G393" t="n">
        <v>4.9</v>
      </c>
      <c r="H393" t="n">
        <v>0</v>
      </c>
      <c r="I393" t="n">
        <v>0</v>
      </c>
      <c r="J393" t="n">
        <v>0</v>
      </c>
      <c r="K393" t="n">
        <v>0</v>
      </c>
      <c r="L393" t="n">
        <v>0</v>
      </c>
      <c r="M393" t="n">
        <v>0</v>
      </c>
      <c r="N393" t="n">
        <v>0</v>
      </c>
      <c r="O393" t="n">
        <v>0</v>
      </c>
      <c r="P393" t="n">
        <v>0</v>
      </c>
      <c r="Q393" t="n">
        <v>0</v>
      </c>
      <c r="R393" s="2" t="inlineStr"/>
    </row>
    <row r="394" ht="15" customHeight="1">
      <c r="A394" t="inlineStr">
        <is>
          <t>A 2674-2023</t>
        </is>
      </c>
      <c r="B394" s="1" t="n">
        <v>44944</v>
      </c>
      <c r="C394" s="1" t="n">
        <v>45916</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33011-2025</t>
        </is>
      </c>
      <c r="B395" s="1" t="n">
        <v>45840</v>
      </c>
      <c r="C395" s="1" t="n">
        <v>45916</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58780-2024</t>
        </is>
      </c>
      <c r="B396" s="1" t="n">
        <v>45635.84113425926</v>
      </c>
      <c r="C396" s="1" t="n">
        <v>45916</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12322-2025</t>
        </is>
      </c>
      <c r="B397" s="1" t="n">
        <v>45730</v>
      </c>
      <c r="C397" s="1" t="n">
        <v>45916</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14915-2025</t>
        </is>
      </c>
      <c r="B398" s="1" t="n">
        <v>45743.53121527778</v>
      </c>
      <c r="C398" s="1" t="n">
        <v>45916</v>
      </c>
      <c r="D398" t="inlineStr">
        <is>
          <t>GOTLANDS LÄN</t>
        </is>
      </c>
      <c r="E398" t="inlineStr">
        <is>
          <t>GOTLAND</t>
        </is>
      </c>
      <c r="G398" t="n">
        <v>5.9</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45916</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45916</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24192-2023</t>
        </is>
      </c>
      <c r="B401" s="1" t="n">
        <v>45079</v>
      </c>
      <c r="C401" s="1" t="n">
        <v>45916</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30282-2022</t>
        </is>
      </c>
      <c r="B402" s="1" t="n">
        <v>44760</v>
      </c>
      <c r="C402" s="1" t="n">
        <v>45916</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7835-2024</t>
        </is>
      </c>
      <c r="B403" s="1" t="n">
        <v>45349.83138888889</v>
      </c>
      <c r="C403" s="1" t="n">
        <v>45916</v>
      </c>
      <c r="D403" t="inlineStr">
        <is>
          <t>GOTLANDS LÄN</t>
        </is>
      </c>
      <c r="E403" t="inlineStr">
        <is>
          <t>GOTLAND</t>
        </is>
      </c>
      <c r="G403" t="n">
        <v>3.8</v>
      </c>
      <c r="H403" t="n">
        <v>0</v>
      </c>
      <c r="I403" t="n">
        <v>0</v>
      </c>
      <c r="J403" t="n">
        <v>0</v>
      </c>
      <c r="K403" t="n">
        <v>0</v>
      </c>
      <c r="L403" t="n">
        <v>0</v>
      </c>
      <c r="M403" t="n">
        <v>0</v>
      </c>
      <c r="N403" t="n">
        <v>0</v>
      </c>
      <c r="O403" t="n">
        <v>0</v>
      </c>
      <c r="P403" t="n">
        <v>0</v>
      </c>
      <c r="Q403" t="n">
        <v>0</v>
      </c>
      <c r="R403" s="2" t="inlineStr"/>
    </row>
    <row r="404" ht="15" customHeight="1">
      <c r="A404" t="inlineStr">
        <is>
          <t>A 61100-2022</t>
        </is>
      </c>
      <c r="B404" s="1" t="n">
        <v>44915</v>
      </c>
      <c r="C404" s="1" t="n">
        <v>45916</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43785-2024</t>
        </is>
      </c>
      <c r="B405" s="1" t="n">
        <v>45570</v>
      </c>
      <c r="C405" s="1" t="n">
        <v>45916</v>
      </c>
      <c r="D405" t="inlineStr">
        <is>
          <t>GOTLANDS LÄN</t>
        </is>
      </c>
      <c r="E405" t="inlineStr">
        <is>
          <t>GOTLAND</t>
        </is>
      </c>
      <c r="G405" t="n">
        <v>12.6</v>
      </c>
      <c r="H405" t="n">
        <v>0</v>
      </c>
      <c r="I405" t="n">
        <v>0</v>
      </c>
      <c r="J405" t="n">
        <v>0</v>
      </c>
      <c r="K405" t="n">
        <v>0</v>
      </c>
      <c r="L405" t="n">
        <v>0</v>
      </c>
      <c r="M405" t="n">
        <v>0</v>
      </c>
      <c r="N405" t="n">
        <v>0</v>
      </c>
      <c r="O405" t="n">
        <v>0</v>
      </c>
      <c r="P405" t="n">
        <v>0</v>
      </c>
      <c r="Q405" t="n">
        <v>0</v>
      </c>
      <c r="R405" s="2" t="inlineStr"/>
    </row>
    <row r="406" ht="15" customHeight="1">
      <c r="A406" t="inlineStr">
        <is>
          <t>A 10650-2022</t>
        </is>
      </c>
      <c r="B406" s="1" t="n">
        <v>44624.57945601852</v>
      </c>
      <c r="C406" s="1" t="n">
        <v>45916</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44349.55087962963</v>
      </c>
      <c r="C407" s="1" t="n">
        <v>45916</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45916</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39278-2025</t>
        </is>
      </c>
      <c r="B409" s="1" t="n">
        <v>45889</v>
      </c>
      <c r="C409" s="1" t="n">
        <v>45916</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10655-2023</t>
        </is>
      </c>
      <c r="B410" s="1" t="n">
        <v>44988.49543981482</v>
      </c>
      <c r="C410" s="1" t="n">
        <v>45916</v>
      </c>
      <c r="D410" t="inlineStr">
        <is>
          <t>GOTLANDS LÄN</t>
        </is>
      </c>
      <c r="E410" t="inlineStr">
        <is>
          <t>GOTLAND</t>
        </is>
      </c>
      <c r="F410" t="inlineStr">
        <is>
          <t>Kyrkan</t>
        </is>
      </c>
      <c r="G410" t="n">
        <v>2</v>
      </c>
      <c r="H410" t="n">
        <v>0</v>
      </c>
      <c r="I410" t="n">
        <v>0</v>
      </c>
      <c r="J410" t="n">
        <v>0</v>
      </c>
      <c r="K410" t="n">
        <v>0</v>
      </c>
      <c r="L410" t="n">
        <v>0</v>
      </c>
      <c r="M410" t="n">
        <v>0</v>
      </c>
      <c r="N410" t="n">
        <v>0</v>
      </c>
      <c r="O410" t="n">
        <v>0</v>
      </c>
      <c r="P410" t="n">
        <v>0</v>
      </c>
      <c r="Q410" t="n">
        <v>0</v>
      </c>
      <c r="R410" s="2" t="inlineStr"/>
    </row>
    <row r="411" ht="15" customHeight="1">
      <c r="A411" t="inlineStr">
        <is>
          <t>A 39814-2025</t>
        </is>
      </c>
      <c r="B411" s="1" t="n">
        <v>45891.52694444444</v>
      </c>
      <c r="C411" s="1" t="n">
        <v>45916</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39849-2025</t>
        </is>
      </c>
      <c r="B412" s="1" t="n">
        <v>45891.58502314815</v>
      </c>
      <c r="C412" s="1" t="n">
        <v>45916</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44649-2021</t>
        </is>
      </c>
      <c r="B413" s="1" t="n">
        <v>44437</v>
      </c>
      <c r="C413" s="1" t="n">
        <v>45916</v>
      </c>
      <c r="D413" t="inlineStr">
        <is>
          <t>GOTLANDS LÄN</t>
        </is>
      </c>
      <c r="E413" t="inlineStr">
        <is>
          <t>GOTLAND</t>
        </is>
      </c>
      <c r="G413" t="n">
        <v>8.1</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45916</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8484-2025</t>
        </is>
      </c>
      <c r="B415" s="1" t="n">
        <v>45709</v>
      </c>
      <c r="C415" s="1" t="n">
        <v>45916</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15413-2025</t>
        </is>
      </c>
      <c r="B416" s="1" t="n">
        <v>45747.451875</v>
      </c>
      <c r="C416" s="1" t="n">
        <v>45916</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39819-2025</t>
        </is>
      </c>
      <c r="B417" s="1" t="n">
        <v>45891.53418981482</v>
      </c>
      <c r="C417" s="1" t="n">
        <v>45916</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13037-2025</t>
        </is>
      </c>
      <c r="B418" s="1" t="n">
        <v>45734</v>
      </c>
      <c r="C418" s="1" t="n">
        <v>45916</v>
      </c>
      <c r="D418" t="inlineStr">
        <is>
          <t>GOTLANDS LÄN</t>
        </is>
      </c>
      <c r="E418" t="inlineStr">
        <is>
          <t>GOTLAND</t>
        </is>
      </c>
      <c r="G418" t="n">
        <v>9.5</v>
      </c>
      <c r="H418" t="n">
        <v>0</v>
      </c>
      <c r="I418" t="n">
        <v>0</v>
      </c>
      <c r="J418" t="n">
        <v>0</v>
      </c>
      <c r="K418" t="n">
        <v>0</v>
      </c>
      <c r="L418" t="n">
        <v>0</v>
      </c>
      <c r="M418" t="n">
        <v>0</v>
      </c>
      <c r="N418" t="n">
        <v>0</v>
      </c>
      <c r="O418" t="n">
        <v>0</v>
      </c>
      <c r="P418" t="n">
        <v>0</v>
      </c>
      <c r="Q418" t="n">
        <v>0</v>
      </c>
      <c r="R418" s="2" t="inlineStr"/>
    </row>
    <row r="419" ht="15" customHeight="1">
      <c r="A419" t="inlineStr">
        <is>
          <t>A 35096-2025</t>
        </is>
      </c>
      <c r="B419" s="1" t="n">
        <v>45852.54356481481</v>
      </c>
      <c r="C419" s="1" t="n">
        <v>45916</v>
      </c>
      <c r="D419" t="inlineStr">
        <is>
          <t>GOTLANDS LÄN</t>
        </is>
      </c>
      <c r="E419" t="inlineStr">
        <is>
          <t>GOTLAND</t>
        </is>
      </c>
      <c r="F419" t="inlineStr">
        <is>
          <t>Kyrkan</t>
        </is>
      </c>
      <c r="G419" t="n">
        <v>1</v>
      </c>
      <c r="H419" t="n">
        <v>0</v>
      </c>
      <c r="I419" t="n">
        <v>0</v>
      </c>
      <c r="J419" t="n">
        <v>0</v>
      </c>
      <c r="K419" t="n">
        <v>0</v>
      </c>
      <c r="L419" t="n">
        <v>0</v>
      </c>
      <c r="M419" t="n">
        <v>0</v>
      </c>
      <c r="N419" t="n">
        <v>0</v>
      </c>
      <c r="O419" t="n">
        <v>0</v>
      </c>
      <c r="P419" t="n">
        <v>0</v>
      </c>
      <c r="Q419" t="n">
        <v>0</v>
      </c>
      <c r="R419" s="2" t="inlineStr"/>
    </row>
    <row r="420" ht="15" customHeight="1">
      <c r="A420" t="inlineStr">
        <is>
          <t>A 39752-2025</t>
        </is>
      </c>
      <c r="B420" s="1" t="n">
        <v>45891</v>
      </c>
      <c r="C420" s="1" t="n">
        <v>45916</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35123-2025</t>
        </is>
      </c>
      <c r="B421" s="1" t="n">
        <v>45852.614375</v>
      </c>
      <c r="C421" s="1" t="n">
        <v>45916</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35142-2025</t>
        </is>
      </c>
      <c r="B422" s="1" t="n">
        <v>45852.65532407408</v>
      </c>
      <c r="C422" s="1" t="n">
        <v>45916</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35141-2025</t>
        </is>
      </c>
      <c r="B423" s="1" t="n">
        <v>45852.65206018519</v>
      </c>
      <c r="C423" s="1" t="n">
        <v>45916</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40372-2025</t>
        </is>
      </c>
      <c r="B424" s="1" t="n">
        <v>45895.5162037037</v>
      </c>
      <c r="C424" s="1" t="n">
        <v>45916</v>
      </c>
      <c r="D424" t="inlineStr">
        <is>
          <t>GOTLANDS LÄN</t>
        </is>
      </c>
      <c r="E424" t="inlineStr">
        <is>
          <t>GOTLAND</t>
        </is>
      </c>
      <c r="G424" t="n">
        <v>3.3</v>
      </c>
      <c r="H424" t="n">
        <v>0</v>
      </c>
      <c r="I424" t="n">
        <v>0</v>
      </c>
      <c r="J424" t="n">
        <v>0</v>
      </c>
      <c r="K424" t="n">
        <v>0</v>
      </c>
      <c r="L424" t="n">
        <v>0</v>
      </c>
      <c r="M424" t="n">
        <v>0</v>
      </c>
      <c r="N424" t="n">
        <v>0</v>
      </c>
      <c r="O424" t="n">
        <v>0</v>
      </c>
      <c r="P424" t="n">
        <v>0</v>
      </c>
      <c r="Q424" t="n">
        <v>0</v>
      </c>
      <c r="R424" s="2" t="inlineStr"/>
    </row>
    <row r="425" ht="15" customHeight="1">
      <c r="A425" t="inlineStr">
        <is>
          <t>A 40373-2025</t>
        </is>
      </c>
      <c r="B425" s="1" t="n">
        <v>45895.51821759259</v>
      </c>
      <c r="C425" s="1" t="n">
        <v>45916</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40103-2025</t>
        </is>
      </c>
      <c r="B426" s="1" t="n">
        <v>45894.4880324074</v>
      </c>
      <c r="C426" s="1" t="n">
        <v>45916</v>
      </c>
      <c r="D426" t="inlineStr">
        <is>
          <t>GOTLANDS LÄN</t>
        </is>
      </c>
      <c r="E426" t="inlineStr">
        <is>
          <t>GOTLAND</t>
        </is>
      </c>
      <c r="G426" t="n">
        <v>0.9</v>
      </c>
      <c r="H426" t="n">
        <v>0</v>
      </c>
      <c r="I426" t="n">
        <v>0</v>
      </c>
      <c r="J426" t="n">
        <v>0</v>
      </c>
      <c r="K426" t="n">
        <v>0</v>
      </c>
      <c r="L426" t="n">
        <v>0</v>
      </c>
      <c r="M426" t="n">
        <v>0</v>
      </c>
      <c r="N426" t="n">
        <v>0</v>
      </c>
      <c r="O426" t="n">
        <v>0</v>
      </c>
      <c r="P426" t="n">
        <v>0</v>
      </c>
      <c r="Q426" t="n">
        <v>0</v>
      </c>
      <c r="R426" s="2" t="inlineStr"/>
    </row>
    <row r="427" ht="15" customHeight="1">
      <c r="A427" t="inlineStr">
        <is>
          <t>A 49962-2023</t>
        </is>
      </c>
      <c r="B427" s="1" t="n">
        <v>45215.38775462963</v>
      </c>
      <c r="C427" s="1" t="n">
        <v>45916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39816-2025</t>
        </is>
      </c>
      <c r="B428" s="1" t="n">
        <v>45891</v>
      </c>
      <c r="C428" s="1" t="n">
        <v>45916</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35290-2025</t>
        </is>
      </c>
      <c r="B429" s="1" t="n">
        <v>45854.38502314815</v>
      </c>
      <c r="C429" s="1" t="n">
        <v>45916</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50744-2024</t>
        </is>
      </c>
      <c r="B430" s="1" t="n">
        <v>45602.4187037037</v>
      </c>
      <c r="C430" s="1" t="n">
        <v>45916</v>
      </c>
      <c r="D430" t="inlineStr">
        <is>
          <t>GOTLANDS LÄN</t>
        </is>
      </c>
      <c r="E430" t="inlineStr">
        <is>
          <t>GOTLAND</t>
        </is>
      </c>
      <c r="G430" t="n">
        <v>3.2</v>
      </c>
      <c r="H430" t="n">
        <v>0</v>
      </c>
      <c r="I430" t="n">
        <v>0</v>
      </c>
      <c r="J430" t="n">
        <v>0</v>
      </c>
      <c r="K430" t="n">
        <v>0</v>
      </c>
      <c r="L430" t="n">
        <v>0</v>
      </c>
      <c r="M430" t="n">
        <v>0</v>
      </c>
      <c r="N430" t="n">
        <v>0</v>
      </c>
      <c r="O430" t="n">
        <v>0</v>
      </c>
      <c r="P430" t="n">
        <v>0</v>
      </c>
      <c r="Q430" t="n">
        <v>0</v>
      </c>
      <c r="R430" s="2" t="inlineStr"/>
    </row>
    <row r="431" ht="15" customHeight="1">
      <c r="A431" t="inlineStr">
        <is>
          <t>A 30104-2025</t>
        </is>
      </c>
      <c r="B431" s="1" t="n">
        <v>45826.68806712963</v>
      </c>
      <c r="C431" s="1" t="n">
        <v>45916</v>
      </c>
      <c r="D431" t="inlineStr">
        <is>
          <t>GOTLANDS LÄN</t>
        </is>
      </c>
      <c r="E431" t="inlineStr">
        <is>
          <t>GOTLAND</t>
        </is>
      </c>
      <c r="G431" t="n">
        <v>15.4</v>
      </c>
      <c r="H431" t="n">
        <v>0</v>
      </c>
      <c r="I431" t="n">
        <v>0</v>
      </c>
      <c r="J431" t="n">
        <v>0</v>
      </c>
      <c r="K431" t="n">
        <v>0</v>
      </c>
      <c r="L431" t="n">
        <v>0</v>
      </c>
      <c r="M431" t="n">
        <v>0</v>
      </c>
      <c r="N431" t="n">
        <v>0</v>
      </c>
      <c r="O431" t="n">
        <v>0</v>
      </c>
      <c r="P431" t="n">
        <v>0</v>
      </c>
      <c r="Q431" t="n">
        <v>0</v>
      </c>
      <c r="R431" s="2" t="inlineStr"/>
    </row>
    <row r="432" ht="15" customHeight="1">
      <c r="A432" t="inlineStr">
        <is>
          <t>A 45244-2024</t>
        </is>
      </c>
      <c r="B432" s="1" t="n">
        <v>45576</v>
      </c>
      <c r="C432" s="1" t="n">
        <v>45916</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40499-2025</t>
        </is>
      </c>
      <c r="B433" s="1" t="n">
        <v>45896.32517361111</v>
      </c>
      <c r="C433" s="1" t="n">
        <v>45916</v>
      </c>
      <c r="D433" t="inlineStr">
        <is>
          <t>GOTLANDS LÄN</t>
        </is>
      </c>
      <c r="E433" t="inlineStr">
        <is>
          <t>GOTLAND</t>
        </is>
      </c>
      <c r="G433" t="n">
        <v>2.6</v>
      </c>
      <c r="H433" t="n">
        <v>0</v>
      </c>
      <c r="I433" t="n">
        <v>0</v>
      </c>
      <c r="J433" t="n">
        <v>0</v>
      </c>
      <c r="K433" t="n">
        <v>0</v>
      </c>
      <c r="L433" t="n">
        <v>0</v>
      </c>
      <c r="M433" t="n">
        <v>0</v>
      </c>
      <c r="N433" t="n">
        <v>0</v>
      </c>
      <c r="O433" t="n">
        <v>0</v>
      </c>
      <c r="P433" t="n">
        <v>0</v>
      </c>
      <c r="Q433" t="n">
        <v>0</v>
      </c>
      <c r="R433" s="2" t="inlineStr"/>
    </row>
    <row r="434" ht="15" customHeight="1">
      <c r="A434" t="inlineStr">
        <is>
          <t>A 38787-2023</t>
        </is>
      </c>
      <c r="B434" s="1" t="n">
        <v>45163</v>
      </c>
      <c r="C434" s="1" t="n">
        <v>45916</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32669-2024</t>
        </is>
      </c>
      <c r="B435" s="1" t="n">
        <v>45514</v>
      </c>
      <c r="C435" s="1" t="n">
        <v>45916</v>
      </c>
      <c r="D435" t="inlineStr">
        <is>
          <t>GOTLANDS LÄN</t>
        </is>
      </c>
      <c r="E435" t="inlineStr">
        <is>
          <t>GOTLAND</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41551-2025</t>
        </is>
      </c>
      <c r="B436" s="1" t="n">
        <v>45901.58854166666</v>
      </c>
      <c r="C436" s="1" t="n">
        <v>45916</v>
      </c>
      <c r="D436" t="inlineStr">
        <is>
          <t>GOTLANDS LÄN</t>
        </is>
      </c>
      <c r="E436" t="inlineStr">
        <is>
          <t>GOTLAND</t>
        </is>
      </c>
      <c r="G436" t="n">
        <v>5.6</v>
      </c>
      <c r="H436" t="n">
        <v>0</v>
      </c>
      <c r="I436" t="n">
        <v>0</v>
      </c>
      <c r="J436" t="n">
        <v>0</v>
      </c>
      <c r="K436" t="n">
        <v>0</v>
      </c>
      <c r="L436" t="n">
        <v>0</v>
      </c>
      <c r="M436" t="n">
        <v>0</v>
      </c>
      <c r="N436" t="n">
        <v>0</v>
      </c>
      <c r="O436" t="n">
        <v>0</v>
      </c>
      <c r="P436" t="n">
        <v>0</v>
      </c>
      <c r="Q436" t="n">
        <v>0</v>
      </c>
      <c r="R436" s="2" t="inlineStr"/>
    </row>
    <row r="437" ht="15" customHeight="1">
      <c r="A437" t="inlineStr">
        <is>
          <t>A 35550-2025</t>
        </is>
      </c>
      <c r="B437" s="1" t="n">
        <v>45856.49324074074</v>
      </c>
      <c r="C437" s="1" t="n">
        <v>45916</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10746-2025</t>
        </is>
      </c>
      <c r="B438" s="1" t="n">
        <v>45722.42766203704</v>
      </c>
      <c r="C438" s="1" t="n">
        <v>45916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2714-2023</t>
        </is>
      </c>
      <c r="B439" s="1" t="n">
        <v>44944.54896990741</v>
      </c>
      <c r="C439" s="1" t="n">
        <v>45916</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45916</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34142-2024</t>
        </is>
      </c>
      <c r="B441" s="1" t="n">
        <v>45524.36521990741</v>
      </c>
      <c r="C441" s="1" t="n">
        <v>45916</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40235-2025</t>
        </is>
      </c>
      <c r="B442" s="1" t="n">
        <v>45894.74005787037</v>
      </c>
      <c r="C442" s="1" t="n">
        <v>45916</v>
      </c>
      <c r="D442" t="inlineStr">
        <is>
          <t>GOTLANDS LÄN</t>
        </is>
      </c>
      <c r="E442" t="inlineStr">
        <is>
          <t>GOTLAND</t>
        </is>
      </c>
      <c r="G442" t="n">
        <v>10.6</v>
      </c>
      <c r="H442" t="n">
        <v>0</v>
      </c>
      <c r="I442" t="n">
        <v>0</v>
      </c>
      <c r="J442" t="n">
        <v>0</v>
      </c>
      <c r="K442" t="n">
        <v>0</v>
      </c>
      <c r="L442" t="n">
        <v>0</v>
      </c>
      <c r="M442" t="n">
        <v>0</v>
      </c>
      <c r="N442" t="n">
        <v>0</v>
      </c>
      <c r="O442" t="n">
        <v>0</v>
      </c>
      <c r="P442" t="n">
        <v>0</v>
      </c>
      <c r="Q442" t="n">
        <v>0</v>
      </c>
      <c r="R442" s="2" t="inlineStr"/>
    </row>
    <row r="443" ht="15" customHeight="1">
      <c r="A443" t="inlineStr">
        <is>
          <t>A 35537-2025</t>
        </is>
      </c>
      <c r="B443" s="1" t="n">
        <v>45856</v>
      </c>
      <c r="C443" s="1" t="n">
        <v>45916</v>
      </c>
      <c r="D443" t="inlineStr">
        <is>
          <t>GOTLANDS LÄN</t>
        </is>
      </c>
      <c r="E443" t="inlineStr">
        <is>
          <t>GOTLAND</t>
        </is>
      </c>
      <c r="G443" t="n">
        <v>16.8</v>
      </c>
      <c r="H443" t="n">
        <v>0</v>
      </c>
      <c r="I443" t="n">
        <v>0</v>
      </c>
      <c r="J443" t="n">
        <v>0</v>
      </c>
      <c r="K443" t="n">
        <v>0</v>
      </c>
      <c r="L443" t="n">
        <v>0</v>
      </c>
      <c r="M443" t="n">
        <v>0</v>
      </c>
      <c r="N443" t="n">
        <v>0</v>
      </c>
      <c r="O443" t="n">
        <v>0</v>
      </c>
      <c r="P443" t="n">
        <v>0</v>
      </c>
      <c r="Q443" t="n">
        <v>0</v>
      </c>
      <c r="R443" s="2" t="inlineStr"/>
    </row>
    <row r="444" ht="15" customHeight="1">
      <c r="A444" t="inlineStr">
        <is>
          <t>A 41435-2025</t>
        </is>
      </c>
      <c r="B444" s="1" t="n">
        <v>45901.39974537037</v>
      </c>
      <c r="C444" s="1" t="n">
        <v>45916</v>
      </c>
      <c r="D444" t="inlineStr">
        <is>
          <t>GOTLANDS LÄN</t>
        </is>
      </c>
      <c r="E444" t="inlineStr">
        <is>
          <t>GOTLAND</t>
        </is>
      </c>
      <c r="G444" t="n">
        <v>4.9</v>
      </c>
      <c r="H444" t="n">
        <v>0</v>
      </c>
      <c r="I444" t="n">
        <v>0</v>
      </c>
      <c r="J444" t="n">
        <v>0</v>
      </c>
      <c r="K444" t="n">
        <v>0</v>
      </c>
      <c r="L444" t="n">
        <v>0</v>
      </c>
      <c r="M444" t="n">
        <v>0</v>
      </c>
      <c r="N444" t="n">
        <v>0</v>
      </c>
      <c r="O444" t="n">
        <v>0</v>
      </c>
      <c r="P444" t="n">
        <v>0</v>
      </c>
      <c r="Q444" t="n">
        <v>0</v>
      </c>
      <c r="R444" s="2" t="inlineStr"/>
    </row>
    <row r="445" ht="15" customHeight="1">
      <c r="A445" t="inlineStr">
        <is>
          <t>A 4568-2025</t>
        </is>
      </c>
      <c r="B445" s="1" t="n">
        <v>45687</v>
      </c>
      <c r="C445" s="1" t="n">
        <v>45916</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1681-2023</t>
        </is>
      </c>
      <c r="B446" s="1" t="n">
        <v>44938.39715277778</v>
      </c>
      <c r="C446" s="1" t="n">
        <v>45916</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42338-2023</t>
        </is>
      </c>
      <c r="B447" s="1" t="n">
        <v>45180</v>
      </c>
      <c r="C447" s="1" t="n">
        <v>45916</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18918-2025</t>
        </is>
      </c>
      <c r="B448" s="1" t="n">
        <v>45764</v>
      </c>
      <c r="C448" s="1" t="n">
        <v>45916</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11013-2024</t>
        </is>
      </c>
      <c r="B449" s="1" t="n">
        <v>45370</v>
      </c>
      <c r="C449" s="1" t="n">
        <v>45916</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42608-2025</t>
        </is>
      </c>
      <c r="B450" s="1" t="n">
        <v>45905</v>
      </c>
      <c r="C450" s="1" t="n">
        <v>45916</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43229-2023</t>
        </is>
      </c>
      <c r="B451" s="1" t="n">
        <v>45183.46704861111</v>
      </c>
      <c r="C451" s="1" t="n">
        <v>45916</v>
      </c>
      <c r="D451" t="inlineStr">
        <is>
          <t>GOTLANDS LÄN</t>
        </is>
      </c>
      <c r="E451" t="inlineStr">
        <is>
          <t>GOTLAND</t>
        </is>
      </c>
      <c r="G451" t="n">
        <v>7.1</v>
      </c>
      <c r="H451" t="n">
        <v>0</v>
      </c>
      <c r="I451" t="n">
        <v>0</v>
      </c>
      <c r="J451" t="n">
        <v>0</v>
      </c>
      <c r="K451" t="n">
        <v>0</v>
      </c>
      <c r="L451" t="n">
        <v>0</v>
      </c>
      <c r="M451" t="n">
        <v>0</v>
      </c>
      <c r="N451" t="n">
        <v>0</v>
      </c>
      <c r="O451" t="n">
        <v>0</v>
      </c>
      <c r="P451" t="n">
        <v>0</v>
      </c>
      <c r="Q451" t="n">
        <v>0</v>
      </c>
      <c r="R451" s="2" t="inlineStr"/>
    </row>
    <row r="452" ht="15" customHeight="1">
      <c r="A452" t="inlineStr">
        <is>
          <t>A 45084-2024</t>
        </is>
      </c>
      <c r="B452" s="1" t="n">
        <v>45575</v>
      </c>
      <c r="C452" s="1" t="n">
        <v>45916</v>
      </c>
      <c r="D452" t="inlineStr">
        <is>
          <t>GOTLANDS LÄN</t>
        </is>
      </c>
      <c r="E452" t="inlineStr">
        <is>
          <t>GOTLAND</t>
        </is>
      </c>
      <c r="G452" t="n">
        <v>6.8</v>
      </c>
      <c r="H452" t="n">
        <v>0</v>
      </c>
      <c r="I452" t="n">
        <v>0</v>
      </c>
      <c r="J452" t="n">
        <v>0</v>
      </c>
      <c r="K452" t="n">
        <v>0</v>
      </c>
      <c r="L452" t="n">
        <v>0</v>
      </c>
      <c r="M452" t="n">
        <v>0</v>
      </c>
      <c r="N452" t="n">
        <v>0</v>
      </c>
      <c r="O452" t="n">
        <v>0</v>
      </c>
      <c r="P452" t="n">
        <v>0</v>
      </c>
      <c r="Q452" t="n">
        <v>0</v>
      </c>
      <c r="R452" s="2" t="inlineStr"/>
    </row>
    <row r="453" ht="15" customHeight="1">
      <c r="A453" t="inlineStr">
        <is>
          <t>A 41038-2023</t>
        </is>
      </c>
      <c r="B453" s="1" t="n">
        <v>45173.60959490741</v>
      </c>
      <c r="C453" s="1" t="n">
        <v>45916</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20356-2022</t>
        </is>
      </c>
      <c r="B454" s="1" t="n">
        <v>44699</v>
      </c>
      <c r="C454" s="1" t="n">
        <v>45916</v>
      </c>
      <c r="D454" t="inlineStr">
        <is>
          <t>GOTLANDS LÄN</t>
        </is>
      </c>
      <c r="E454" t="inlineStr">
        <is>
          <t>GOTLAND</t>
        </is>
      </c>
      <c r="F454" t="inlineStr">
        <is>
          <t>Övriga Aktiebolag</t>
        </is>
      </c>
      <c r="G454" t="n">
        <v>4.4</v>
      </c>
      <c r="H454" t="n">
        <v>0</v>
      </c>
      <c r="I454" t="n">
        <v>0</v>
      </c>
      <c r="J454" t="n">
        <v>0</v>
      </c>
      <c r="K454" t="n">
        <v>0</v>
      </c>
      <c r="L454" t="n">
        <v>0</v>
      </c>
      <c r="M454" t="n">
        <v>0</v>
      </c>
      <c r="N454" t="n">
        <v>0</v>
      </c>
      <c r="O454" t="n">
        <v>0</v>
      </c>
      <c r="P454" t="n">
        <v>0</v>
      </c>
      <c r="Q454" t="n">
        <v>0</v>
      </c>
      <c r="R454" s="2" t="inlineStr"/>
    </row>
    <row r="455" ht="15" customHeight="1">
      <c r="A455" t="inlineStr">
        <is>
          <t>A 4868-2024</t>
        </is>
      </c>
      <c r="B455" s="1" t="n">
        <v>45329</v>
      </c>
      <c r="C455" s="1" t="n">
        <v>45916</v>
      </c>
      <c r="D455" t="inlineStr">
        <is>
          <t>GOTLANDS LÄN</t>
        </is>
      </c>
      <c r="E455" t="inlineStr">
        <is>
          <t>GOTLAND</t>
        </is>
      </c>
      <c r="G455" t="n">
        <v>7.1</v>
      </c>
      <c r="H455" t="n">
        <v>0</v>
      </c>
      <c r="I455" t="n">
        <v>0</v>
      </c>
      <c r="J455" t="n">
        <v>0</v>
      </c>
      <c r="K455" t="n">
        <v>0</v>
      </c>
      <c r="L455" t="n">
        <v>0</v>
      </c>
      <c r="M455" t="n">
        <v>0</v>
      </c>
      <c r="N455" t="n">
        <v>0</v>
      </c>
      <c r="O455" t="n">
        <v>0</v>
      </c>
      <c r="P455" t="n">
        <v>0</v>
      </c>
      <c r="Q455" t="n">
        <v>0</v>
      </c>
      <c r="R455" s="2" t="inlineStr"/>
    </row>
    <row r="456" ht="15" customHeight="1">
      <c r="A456" t="inlineStr">
        <is>
          <t>A 9613-2025</t>
        </is>
      </c>
      <c r="B456" s="1" t="n">
        <v>45715</v>
      </c>
      <c r="C456" s="1" t="n">
        <v>45916</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30488-2025</t>
        </is>
      </c>
      <c r="B457" s="1" t="n">
        <v>45830</v>
      </c>
      <c r="C457" s="1" t="n">
        <v>45916</v>
      </c>
      <c r="D457" t="inlineStr">
        <is>
          <t>GOTLANDS LÄN</t>
        </is>
      </c>
      <c r="E457" t="inlineStr">
        <is>
          <t>GOTLAND</t>
        </is>
      </c>
      <c r="F457" t="inlineStr">
        <is>
          <t>Kyrkan</t>
        </is>
      </c>
      <c r="G457" t="n">
        <v>3.9</v>
      </c>
      <c r="H457" t="n">
        <v>0</v>
      </c>
      <c r="I457" t="n">
        <v>0</v>
      </c>
      <c r="J457" t="n">
        <v>0</v>
      </c>
      <c r="K457" t="n">
        <v>0</v>
      </c>
      <c r="L457" t="n">
        <v>0</v>
      </c>
      <c r="M457" t="n">
        <v>0</v>
      </c>
      <c r="N457" t="n">
        <v>0</v>
      </c>
      <c r="O457" t="n">
        <v>0</v>
      </c>
      <c r="P457" t="n">
        <v>0</v>
      </c>
      <c r="Q457" t="n">
        <v>0</v>
      </c>
      <c r="R457" s="2" t="inlineStr"/>
    </row>
    <row r="458" ht="15" customHeight="1">
      <c r="A458" t="inlineStr">
        <is>
          <t>A 15216-2025</t>
        </is>
      </c>
      <c r="B458" s="1" t="n">
        <v>45744</v>
      </c>
      <c r="C458" s="1" t="n">
        <v>45916</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15001-2025</t>
        </is>
      </c>
      <c r="B459" s="1" t="n">
        <v>45743</v>
      </c>
      <c r="C459" s="1" t="n">
        <v>45916</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5386-2023</t>
        </is>
      </c>
      <c r="B460" s="1" t="n">
        <v>44959</v>
      </c>
      <c r="C460" s="1" t="n">
        <v>45916</v>
      </c>
      <c r="D460" t="inlineStr">
        <is>
          <t>GOTLANDS LÄN</t>
        </is>
      </c>
      <c r="E460" t="inlineStr">
        <is>
          <t>GOTLAND</t>
        </is>
      </c>
      <c r="G460" t="n">
        <v>5.4</v>
      </c>
      <c r="H460" t="n">
        <v>0</v>
      </c>
      <c r="I460" t="n">
        <v>0</v>
      </c>
      <c r="J460" t="n">
        <v>0</v>
      </c>
      <c r="K460" t="n">
        <v>0</v>
      </c>
      <c r="L460" t="n">
        <v>0</v>
      </c>
      <c r="M460" t="n">
        <v>0</v>
      </c>
      <c r="N460" t="n">
        <v>0</v>
      </c>
      <c r="O460" t="n">
        <v>0</v>
      </c>
      <c r="P460" t="n">
        <v>0</v>
      </c>
      <c r="Q460" t="n">
        <v>0</v>
      </c>
      <c r="R460" s="2" t="inlineStr"/>
    </row>
    <row r="461" ht="15" customHeight="1">
      <c r="A461" t="inlineStr">
        <is>
          <t>A 43790-2024</t>
        </is>
      </c>
      <c r="B461" s="1" t="n">
        <v>45571</v>
      </c>
      <c r="C461" s="1" t="n">
        <v>45916</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55334-2024</t>
        </is>
      </c>
      <c r="B462" s="1" t="n">
        <v>45621</v>
      </c>
      <c r="C462" s="1" t="n">
        <v>45916</v>
      </c>
      <c r="D462" t="inlineStr">
        <is>
          <t>GOTLANDS LÄN</t>
        </is>
      </c>
      <c r="E462" t="inlineStr">
        <is>
          <t>GOTLAND</t>
        </is>
      </c>
      <c r="G462" t="n">
        <v>21.7</v>
      </c>
      <c r="H462" t="n">
        <v>0</v>
      </c>
      <c r="I462" t="n">
        <v>0</v>
      </c>
      <c r="J462" t="n">
        <v>0</v>
      </c>
      <c r="K462" t="n">
        <v>0</v>
      </c>
      <c r="L462" t="n">
        <v>0</v>
      </c>
      <c r="M462" t="n">
        <v>0</v>
      </c>
      <c r="N462" t="n">
        <v>0</v>
      </c>
      <c r="O462" t="n">
        <v>0</v>
      </c>
      <c r="P462" t="n">
        <v>0</v>
      </c>
      <c r="Q462" t="n">
        <v>0</v>
      </c>
      <c r="R462" s="2" t="inlineStr"/>
    </row>
    <row r="463" ht="15" customHeight="1">
      <c r="A463" t="inlineStr">
        <is>
          <t>A 17847-2025</t>
        </is>
      </c>
      <c r="B463" s="1" t="n">
        <v>45758</v>
      </c>
      <c r="C463" s="1" t="n">
        <v>45916</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58211-2024</t>
        </is>
      </c>
      <c r="B464" s="1" t="n">
        <v>45632.49292824074</v>
      </c>
      <c r="C464" s="1" t="n">
        <v>45916</v>
      </c>
      <c r="D464" t="inlineStr">
        <is>
          <t>GOTLANDS LÄN</t>
        </is>
      </c>
      <c r="E464" t="inlineStr">
        <is>
          <t>GOTLAND</t>
        </is>
      </c>
      <c r="G464" t="n">
        <v>5.4</v>
      </c>
      <c r="H464" t="n">
        <v>0</v>
      </c>
      <c r="I464" t="n">
        <v>0</v>
      </c>
      <c r="J464" t="n">
        <v>0</v>
      </c>
      <c r="K464" t="n">
        <v>0</v>
      </c>
      <c r="L464" t="n">
        <v>0</v>
      </c>
      <c r="M464" t="n">
        <v>0</v>
      </c>
      <c r="N464" t="n">
        <v>0</v>
      </c>
      <c r="O464" t="n">
        <v>0</v>
      </c>
      <c r="P464" t="n">
        <v>0</v>
      </c>
      <c r="Q464" t="n">
        <v>0</v>
      </c>
      <c r="R464" s="2" t="inlineStr"/>
    </row>
    <row r="465" ht="15" customHeight="1">
      <c r="A465" t="inlineStr">
        <is>
          <t>A 36319-2025</t>
        </is>
      </c>
      <c r="B465" s="1" t="n">
        <v>45868</v>
      </c>
      <c r="C465" s="1" t="n">
        <v>45916</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1713-2025</t>
        </is>
      </c>
      <c r="B466" s="1" t="n">
        <v>45671.32342592593</v>
      </c>
      <c r="C466" s="1" t="n">
        <v>45916</v>
      </c>
      <c r="D466" t="inlineStr">
        <is>
          <t>GOTLANDS LÄN</t>
        </is>
      </c>
      <c r="E466" t="inlineStr">
        <is>
          <t>GOTLAND</t>
        </is>
      </c>
      <c r="G466" t="n">
        <v>10.1</v>
      </c>
      <c r="H466" t="n">
        <v>0</v>
      </c>
      <c r="I466" t="n">
        <v>0</v>
      </c>
      <c r="J466" t="n">
        <v>0</v>
      </c>
      <c r="K466" t="n">
        <v>0</v>
      </c>
      <c r="L466" t="n">
        <v>0</v>
      </c>
      <c r="M466" t="n">
        <v>0</v>
      </c>
      <c r="N466" t="n">
        <v>0</v>
      </c>
      <c r="O466" t="n">
        <v>0</v>
      </c>
      <c r="P466" t="n">
        <v>0</v>
      </c>
      <c r="Q466" t="n">
        <v>0</v>
      </c>
      <c r="R466" s="2" t="inlineStr"/>
    </row>
    <row r="467" ht="15" customHeight="1">
      <c r="A467" t="inlineStr">
        <is>
          <t>A 42607-2025</t>
        </is>
      </c>
      <c r="B467" s="1" t="n">
        <v>45905</v>
      </c>
      <c r="C467" s="1" t="n">
        <v>45916</v>
      </c>
      <c r="D467" t="inlineStr">
        <is>
          <t>GOTLANDS LÄN</t>
        </is>
      </c>
      <c r="E467" t="inlineStr">
        <is>
          <t>GOTLAND</t>
        </is>
      </c>
      <c r="G467" t="n">
        <v>15.8</v>
      </c>
      <c r="H467" t="n">
        <v>0</v>
      </c>
      <c r="I467" t="n">
        <v>0</v>
      </c>
      <c r="J467" t="n">
        <v>0</v>
      </c>
      <c r="K467" t="n">
        <v>0</v>
      </c>
      <c r="L467" t="n">
        <v>0</v>
      </c>
      <c r="M467" t="n">
        <v>0</v>
      </c>
      <c r="N467" t="n">
        <v>0</v>
      </c>
      <c r="O467" t="n">
        <v>0</v>
      </c>
      <c r="P467" t="n">
        <v>0</v>
      </c>
      <c r="Q467" t="n">
        <v>0</v>
      </c>
      <c r="R467" s="2" t="inlineStr"/>
    </row>
    <row r="468" ht="15" customHeight="1">
      <c r="A468" t="inlineStr">
        <is>
          <t>A 18742-2025</t>
        </is>
      </c>
      <c r="B468" s="1" t="n">
        <v>45763</v>
      </c>
      <c r="C468" s="1" t="n">
        <v>45916</v>
      </c>
      <c r="D468" t="inlineStr">
        <is>
          <t>GOTLANDS LÄN</t>
        </is>
      </c>
      <c r="E468" t="inlineStr">
        <is>
          <t>GOTLAND</t>
        </is>
      </c>
      <c r="G468" t="n">
        <v>3.4</v>
      </c>
      <c r="H468" t="n">
        <v>0</v>
      </c>
      <c r="I468" t="n">
        <v>0</v>
      </c>
      <c r="J468" t="n">
        <v>0</v>
      </c>
      <c r="K468" t="n">
        <v>0</v>
      </c>
      <c r="L468" t="n">
        <v>0</v>
      </c>
      <c r="M468" t="n">
        <v>0</v>
      </c>
      <c r="N468" t="n">
        <v>0</v>
      </c>
      <c r="O468" t="n">
        <v>0</v>
      </c>
      <c r="P468" t="n">
        <v>0</v>
      </c>
      <c r="Q468" t="n">
        <v>0</v>
      </c>
      <c r="R468" s="2" t="inlineStr"/>
    </row>
    <row r="469" ht="15" customHeight="1">
      <c r="A469" t="inlineStr">
        <is>
          <t>A 35129-2025</t>
        </is>
      </c>
      <c r="B469" s="1" t="n">
        <v>45852.63224537037</v>
      </c>
      <c r="C469" s="1" t="n">
        <v>45916</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11634-2024</t>
        </is>
      </c>
      <c r="B470" s="1" t="n">
        <v>45373</v>
      </c>
      <c r="C470" s="1" t="n">
        <v>45916</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5884-2025</t>
        </is>
      </c>
      <c r="B471" s="1" t="n">
        <v>45695.37482638889</v>
      </c>
      <c r="C471" s="1" t="n">
        <v>45916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5897-2025</t>
        </is>
      </c>
      <c r="B472" s="1" t="n">
        <v>45695.39273148148</v>
      </c>
      <c r="C472" s="1" t="n">
        <v>45916</v>
      </c>
      <c r="D472" t="inlineStr">
        <is>
          <t>GOTLANDS LÄN</t>
        </is>
      </c>
      <c r="E472" t="inlineStr">
        <is>
          <t>GOTLAND</t>
        </is>
      </c>
      <c r="G472" t="n">
        <v>3.7</v>
      </c>
      <c r="H472" t="n">
        <v>0</v>
      </c>
      <c r="I472" t="n">
        <v>0</v>
      </c>
      <c r="J472" t="n">
        <v>0</v>
      </c>
      <c r="K472" t="n">
        <v>0</v>
      </c>
      <c r="L472" t="n">
        <v>0</v>
      </c>
      <c r="M472" t="n">
        <v>0</v>
      </c>
      <c r="N472" t="n">
        <v>0</v>
      </c>
      <c r="O472" t="n">
        <v>0</v>
      </c>
      <c r="P472" t="n">
        <v>0</v>
      </c>
      <c r="Q472" t="n">
        <v>0</v>
      </c>
      <c r="R472" s="2" t="inlineStr"/>
    </row>
    <row r="473" ht="15" customHeight="1">
      <c r="A473" t="inlineStr">
        <is>
          <t>A 5909-2025</t>
        </is>
      </c>
      <c r="B473" s="1" t="n">
        <v>45695.40634259259</v>
      </c>
      <c r="C473" s="1" t="n">
        <v>45916</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24966-2023</t>
        </is>
      </c>
      <c r="B474" s="1" t="n">
        <v>45085</v>
      </c>
      <c r="C474" s="1" t="n">
        <v>45916</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60086-2022</t>
        </is>
      </c>
      <c r="B475" s="1" t="n">
        <v>44909</v>
      </c>
      <c r="C475" s="1" t="n">
        <v>45916</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22704-2023</t>
        </is>
      </c>
      <c r="B476" s="1" t="n">
        <v>45071</v>
      </c>
      <c r="C476" s="1" t="n">
        <v>45916</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57652-2023</t>
        </is>
      </c>
      <c r="B477" s="1" t="n">
        <v>45246</v>
      </c>
      <c r="C477" s="1" t="n">
        <v>45916</v>
      </c>
      <c r="D477" t="inlineStr">
        <is>
          <t>GOTLANDS LÄN</t>
        </is>
      </c>
      <c r="E477" t="inlineStr">
        <is>
          <t>GOTLAND</t>
        </is>
      </c>
      <c r="G477" t="n">
        <v>7.2</v>
      </c>
      <c r="H477" t="n">
        <v>0</v>
      </c>
      <c r="I477" t="n">
        <v>0</v>
      </c>
      <c r="J477" t="n">
        <v>0</v>
      </c>
      <c r="K477" t="n">
        <v>0</v>
      </c>
      <c r="L477" t="n">
        <v>0</v>
      </c>
      <c r="M477" t="n">
        <v>0</v>
      </c>
      <c r="N477" t="n">
        <v>0</v>
      </c>
      <c r="O477" t="n">
        <v>0</v>
      </c>
      <c r="P477" t="n">
        <v>0</v>
      </c>
      <c r="Q477" t="n">
        <v>0</v>
      </c>
      <c r="R477" s="2" t="inlineStr"/>
    </row>
    <row r="478" ht="15" customHeight="1">
      <c r="A478" t="inlineStr">
        <is>
          <t>A 46189-2022</t>
        </is>
      </c>
      <c r="B478" s="1" t="n">
        <v>44847</v>
      </c>
      <c r="C478" s="1" t="n">
        <v>45916</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43951-2025</t>
        </is>
      </c>
      <c r="B479" s="1" t="n">
        <v>45915.38119212963</v>
      </c>
      <c r="C479" s="1" t="n">
        <v>45916</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57522-2022</t>
        </is>
      </c>
      <c r="B480" s="1" t="n">
        <v>44896</v>
      </c>
      <c r="C480" s="1" t="n">
        <v>45916</v>
      </c>
      <c r="D480" t="inlineStr">
        <is>
          <t>GOTLANDS LÄN</t>
        </is>
      </c>
      <c r="E480" t="inlineStr">
        <is>
          <t>GOTLAND</t>
        </is>
      </c>
      <c r="G480" t="n">
        <v>2</v>
      </c>
      <c r="H480" t="n">
        <v>0</v>
      </c>
      <c r="I480" t="n">
        <v>0</v>
      </c>
      <c r="J480" t="n">
        <v>0</v>
      </c>
      <c r="K480" t="n">
        <v>0</v>
      </c>
      <c r="L480" t="n">
        <v>0</v>
      </c>
      <c r="M480" t="n">
        <v>0</v>
      </c>
      <c r="N480" t="n">
        <v>0</v>
      </c>
      <c r="O480" t="n">
        <v>0</v>
      </c>
      <c r="P480" t="n">
        <v>0</v>
      </c>
      <c r="Q480" t="n">
        <v>0</v>
      </c>
      <c r="R480" s="2" t="inlineStr"/>
    </row>
    <row r="481" ht="15" customHeight="1">
      <c r="A481" t="inlineStr">
        <is>
          <t>A 14797-2024</t>
        </is>
      </c>
      <c r="B481" s="1" t="n">
        <v>45397.87030092593</v>
      </c>
      <c r="C481" s="1" t="n">
        <v>45916</v>
      </c>
      <c r="D481" t="inlineStr">
        <is>
          <t>GOTLANDS LÄN</t>
        </is>
      </c>
      <c r="E481" t="inlineStr">
        <is>
          <t>GOTLAND</t>
        </is>
      </c>
      <c r="G481" t="n">
        <v>8.1</v>
      </c>
      <c r="H481" t="n">
        <v>0</v>
      </c>
      <c r="I481" t="n">
        <v>0</v>
      </c>
      <c r="J481" t="n">
        <v>0</v>
      </c>
      <c r="K481" t="n">
        <v>0</v>
      </c>
      <c r="L481" t="n">
        <v>0</v>
      </c>
      <c r="M481" t="n">
        <v>0</v>
      </c>
      <c r="N481" t="n">
        <v>0</v>
      </c>
      <c r="O481" t="n">
        <v>0</v>
      </c>
      <c r="P481" t="n">
        <v>0</v>
      </c>
      <c r="Q481" t="n">
        <v>0</v>
      </c>
      <c r="R481" s="2" t="inlineStr"/>
    </row>
    <row r="482" ht="15" customHeight="1">
      <c r="A482" t="inlineStr">
        <is>
          <t>A 25866-2022</t>
        </is>
      </c>
      <c r="B482" s="1" t="n">
        <v>44733</v>
      </c>
      <c r="C482" s="1" t="n">
        <v>45916</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43911-2025</t>
        </is>
      </c>
      <c r="B483" s="1" t="n">
        <v>45914.3881712963</v>
      </c>
      <c r="C483" s="1" t="n">
        <v>45916</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7837-2024</t>
        </is>
      </c>
      <c r="B484" s="1" t="n">
        <v>45349.83787037037</v>
      </c>
      <c r="C484" s="1" t="n">
        <v>45916</v>
      </c>
      <c r="D484" t="inlineStr">
        <is>
          <t>GOTLANDS LÄN</t>
        </is>
      </c>
      <c r="E484" t="inlineStr">
        <is>
          <t>GOTLAND</t>
        </is>
      </c>
      <c r="G484" t="n">
        <v>5</v>
      </c>
      <c r="H484" t="n">
        <v>0</v>
      </c>
      <c r="I484" t="n">
        <v>0</v>
      </c>
      <c r="J484" t="n">
        <v>0</v>
      </c>
      <c r="K484" t="n">
        <v>0</v>
      </c>
      <c r="L484" t="n">
        <v>0</v>
      </c>
      <c r="M484" t="n">
        <v>0</v>
      </c>
      <c r="N484" t="n">
        <v>0</v>
      </c>
      <c r="O484" t="n">
        <v>0</v>
      </c>
      <c r="P484" t="n">
        <v>0</v>
      </c>
      <c r="Q484" t="n">
        <v>0</v>
      </c>
      <c r="R484" s="2" t="inlineStr"/>
    </row>
    <row r="485" ht="15" customHeight="1">
      <c r="A485" t="inlineStr">
        <is>
          <t>A 1394-2023</t>
        </is>
      </c>
      <c r="B485" s="1" t="n">
        <v>44936.72997685185</v>
      </c>
      <c r="C485" s="1" t="n">
        <v>45916</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2676-2023</t>
        </is>
      </c>
      <c r="B486" s="1" t="n">
        <v>44944</v>
      </c>
      <c r="C486" s="1" t="n">
        <v>45916</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4387-2023</t>
        </is>
      </c>
      <c r="B487" s="1" t="n">
        <v>44955.73359953704</v>
      </c>
      <c r="C487" s="1" t="n">
        <v>45916</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49411-2023</t>
        </is>
      </c>
      <c r="B488" s="1" t="n">
        <v>45205</v>
      </c>
      <c r="C488" s="1" t="n">
        <v>45916</v>
      </c>
      <c r="D488" t="inlineStr">
        <is>
          <t>GOTLANDS LÄN</t>
        </is>
      </c>
      <c r="E488" t="inlineStr">
        <is>
          <t>GOTLAND</t>
        </is>
      </c>
      <c r="G488" t="n">
        <v>2</v>
      </c>
      <c r="H488" t="n">
        <v>0</v>
      </c>
      <c r="I488" t="n">
        <v>0</v>
      </c>
      <c r="J488" t="n">
        <v>0</v>
      </c>
      <c r="K488" t="n">
        <v>0</v>
      </c>
      <c r="L488" t="n">
        <v>0</v>
      </c>
      <c r="M488" t="n">
        <v>0</v>
      </c>
      <c r="N488" t="n">
        <v>0</v>
      </c>
      <c r="O488" t="n">
        <v>0</v>
      </c>
      <c r="P488" t="n">
        <v>0</v>
      </c>
      <c r="Q488" t="n">
        <v>0</v>
      </c>
      <c r="R488" s="2" t="inlineStr"/>
    </row>
    <row r="489" ht="15" customHeight="1">
      <c r="A489" t="inlineStr">
        <is>
          <t>A 37728-2024</t>
        </is>
      </c>
      <c r="B489" s="1" t="n">
        <v>45541</v>
      </c>
      <c r="C489" s="1" t="n">
        <v>45916</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2241-2025</t>
        </is>
      </c>
      <c r="B490" s="1" t="n">
        <v>45673.48710648148</v>
      </c>
      <c r="C490" s="1" t="n">
        <v>45916</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16373-2025</t>
        </is>
      </c>
      <c r="B491" s="1" t="n">
        <v>45751</v>
      </c>
      <c r="C491" s="1" t="n">
        <v>45916</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9887-2025</t>
        </is>
      </c>
      <c r="B492" s="1" t="n">
        <v>45716</v>
      </c>
      <c r="C492" s="1" t="n">
        <v>45916</v>
      </c>
      <c r="D492" t="inlineStr">
        <is>
          <t>GOTLANDS LÄN</t>
        </is>
      </c>
      <c r="E492" t="inlineStr">
        <is>
          <t>GOTLAND</t>
        </is>
      </c>
      <c r="G492" t="n">
        <v>7.5</v>
      </c>
      <c r="H492" t="n">
        <v>0</v>
      </c>
      <c r="I492" t="n">
        <v>0</v>
      </c>
      <c r="J492" t="n">
        <v>0</v>
      </c>
      <c r="K492" t="n">
        <v>0</v>
      </c>
      <c r="L492" t="n">
        <v>0</v>
      </c>
      <c r="M492" t="n">
        <v>0</v>
      </c>
      <c r="N492" t="n">
        <v>0</v>
      </c>
      <c r="O492" t="n">
        <v>0</v>
      </c>
      <c r="P492" t="n">
        <v>0</v>
      </c>
      <c r="Q492" t="n">
        <v>0</v>
      </c>
      <c r="R492" s="2" t="inlineStr"/>
    </row>
    <row r="493" ht="15" customHeight="1">
      <c r="A493" t="inlineStr">
        <is>
          <t>A 12209-2024</t>
        </is>
      </c>
      <c r="B493" s="1" t="n">
        <v>45378</v>
      </c>
      <c r="C493" s="1" t="n">
        <v>45916</v>
      </c>
      <c r="D493" t="inlineStr">
        <is>
          <t>GOTLANDS LÄN</t>
        </is>
      </c>
      <c r="E493" t="inlineStr">
        <is>
          <t>GOTLAND</t>
        </is>
      </c>
      <c r="G493" t="n">
        <v>5.3</v>
      </c>
      <c r="H493" t="n">
        <v>0</v>
      </c>
      <c r="I493" t="n">
        <v>0</v>
      </c>
      <c r="J493" t="n">
        <v>0</v>
      </c>
      <c r="K493" t="n">
        <v>0</v>
      </c>
      <c r="L493" t="n">
        <v>0</v>
      </c>
      <c r="M493" t="n">
        <v>0</v>
      </c>
      <c r="N493" t="n">
        <v>0</v>
      </c>
      <c r="O493" t="n">
        <v>0</v>
      </c>
      <c r="P493" t="n">
        <v>0</v>
      </c>
      <c r="Q493" t="n">
        <v>0</v>
      </c>
      <c r="R493" s="2" t="inlineStr"/>
    </row>
    <row r="494" ht="15" customHeight="1">
      <c r="A494" t="inlineStr">
        <is>
          <t>A 12210-2024</t>
        </is>
      </c>
      <c r="B494" s="1" t="n">
        <v>45378</v>
      </c>
      <c r="C494" s="1" t="n">
        <v>45916</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45916</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22275-2023</t>
        </is>
      </c>
      <c r="B496" s="1" t="n">
        <v>45070.39875</v>
      </c>
      <c r="C496" s="1" t="n">
        <v>45916</v>
      </c>
      <c r="D496" t="inlineStr">
        <is>
          <t>GOTLANDS LÄN</t>
        </is>
      </c>
      <c r="E496" t="inlineStr">
        <is>
          <t>GOTLAND</t>
        </is>
      </c>
      <c r="G496" t="n">
        <v>7.2</v>
      </c>
      <c r="H496" t="n">
        <v>0</v>
      </c>
      <c r="I496" t="n">
        <v>0</v>
      </c>
      <c r="J496" t="n">
        <v>0</v>
      </c>
      <c r="K496" t="n">
        <v>0</v>
      </c>
      <c r="L496" t="n">
        <v>0</v>
      </c>
      <c r="M496" t="n">
        <v>0</v>
      </c>
      <c r="N496" t="n">
        <v>0</v>
      </c>
      <c r="O496" t="n">
        <v>0</v>
      </c>
      <c r="P496" t="n">
        <v>0</v>
      </c>
      <c r="Q496" t="n">
        <v>0</v>
      </c>
      <c r="R496" s="2" t="inlineStr"/>
    </row>
    <row r="497" ht="15" customHeight="1">
      <c r="A497" t="inlineStr">
        <is>
          <t>A 14635-2023</t>
        </is>
      </c>
      <c r="B497" s="1" t="n">
        <v>45013.69365740741</v>
      </c>
      <c r="C497" s="1" t="n">
        <v>45916</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63763-2023</t>
        </is>
      </c>
      <c r="B498" s="1" t="n">
        <v>45278.33944444444</v>
      </c>
      <c r="C498" s="1" t="n">
        <v>45916</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7635-2025</t>
        </is>
      </c>
      <c r="B499" s="1" t="n">
        <v>45705</v>
      </c>
      <c r="C499" s="1" t="n">
        <v>45916</v>
      </c>
      <c r="D499" t="inlineStr">
        <is>
          <t>GOTLANDS LÄN</t>
        </is>
      </c>
      <c r="E499" t="inlineStr">
        <is>
          <t>GOTLAND</t>
        </is>
      </c>
      <c r="G499" t="n">
        <v>0.9</v>
      </c>
      <c r="H499" t="n">
        <v>0</v>
      </c>
      <c r="I499" t="n">
        <v>0</v>
      </c>
      <c r="J499" t="n">
        <v>0</v>
      </c>
      <c r="K499" t="n">
        <v>0</v>
      </c>
      <c r="L499" t="n">
        <v>0</v>
      </c>
      <c r="M499" t="n">
        <v>0</v>
      </c>
      <c r="N499" t="n">
        <v>0</v>
      </c>
      <c r="O499" t="n">
        <v>0</v>
      </c>
      <c r="P499" t="n">
        <v>0</v>
      </c>
      <c r="Q499" t="n">
        <v>0</v>
      </c>
      <c r="R499" s="2" t="inlineStr"/>
    </row>
    <row r="500" ht="15" customHeight="1">
      <c r="A500" t="inlineStr">
        <is>
          <t>A 7636-2025</t>
        </is>
      </c>
      <c r="B500" s="1" t="n">
        <v>45705.7687962963</v>
      </c>
      <c r="C500" s="1" t="n">
        <v>45916</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7639-2025</t>
        </is>
      </c>
      <c r="B501" s="1" t="n">
        <v>45705.77465277778</v>
      </c>
      <c r="C501" s="1" t="n">
        <v>45916</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61682-2024</t>
        </is>
      </c>
      <c r="B502" s="1" t="n">
        <v>45647.48824074074</v>
      </c>
      <c r="C502" s="1" t="n">
        <v>45916</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15434-2024</t>
        </is>
      </c>
      <c r="B503" s="1" t="n">
        <v>45401.38836805556</v>
      </c>
      <c r="C503" s="1" t="n">
        <v>45916</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31802-2024</t>
        </is>
      </c>
      <c r="B504" s="1" t="n">
        <v>45509</v>
      </c>
      <c r="C504" s="1" t="n">
        <v>45916</v>
      </c>
      <c r="D504" t="inlineStr">
        <is>
          <t>GOTLANDS LÄN</t>
        </is>
      </c>
      <c r="E504" t="inlineStr">
        <is>
          <t>GOTLAND</t>
        </is>
      </c>
      <c r="G504" t="n">
        <v>2.8</v>
      </c>
      <c r="H504" t="n">
        <v>0</v>
      </c>
      <c r="I504" t="n">
        <v>0</v>
      </c>
      <c r="J504" t="n">
        <v>0</v>
      </c>
      <c r="K504" t="n">
        <v>0</v>
      </c>
      <c r="L504" t="n">
        <v>0</v>
      </c>
      <c r="M504" t="n">
        <v>0</v>
      </c>
      <c r="N504" t="n">
        <v>0</v>
      </c>
      <c r="O504" t="n">
        <v>0</v>
      </c>
      <c r="P504" t="n">
        <v>0</v>
      </c>
      <c r="Q504" t="n">
        <v>0</v>
      </c>
      <c r="R504" s="2" t="inlineStr"/>
    </row>
    <row r="505" ht="15" customHeight="1">
      <c r="A505" t="inlineStr">
        <is>
          <t>A 20993-2023</t>
        </is>
      </c>
      <c r="B505" s="1" t="n">
        <v>45056</v>
      </c>
      <c r="C505" s="1" t="n">
        <v>45916</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15042-2025</t>
        </is>
      </c>
      <c r="B506" s="1" t="n">
        <v>45743</v>
      </c>
      <c r="C506" s="1" t="n">
        <v>45916</v>
      </c>
      <c r="D506" t="inlineStr">
        <is>
          <t>GOTLANDS LÄN</t>
        </is>
      </c>
      <c r="E506" t="inlineStr">
        <is>
          <t>GOTLAND</t>
        </is>
      </c>
      <c r="G506" t="n">
        <v>8.5</v>
      </c>
      <c r="H506" t="n">
        <v>0</v>
      </c>
      <c r="I506" t="n">
        <v>0</v>
      </c>
      <c r="J506" t="n">
        <v>0</v>
      </c>
      <c r="K506" t="n">
        <v>0</v>
      </c>
      <c r="L506" t="n">
        <v>0</v>
      </c>
      <c r="M506" t="n">
        <v>0</v>
      </c>
      <c r="N506" t="n">
        <v>0</v>
      </c>
      <c r="O506" t="n">
        <v>0</v>
      </c>
      <c r="P506" t="n">
        <v>0</v>
      </c>
      <c r="Q506" t="n">
        <v>0</v>
      </c>
      <c r="R506" s="2" t="inlineStr"/>
    </row>
    <row r="507" ht="15" customHeight="1">
      <c r="A507" t="inlineStr">
        <is>
          <t>A 7034-2023</t>
        </is>
      </c>
      <c r="B507" s="1" t="n">
        <v>44968.32108796296</v>
      </c>
      <c r="C507" s="1" t="n">
        <v>45916</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7042-2023</t>
        </is>
      </c>
      <c r="B508" s="1" t="n">
        <v>44968</v>
      </c>
      <c r="C508" s="1" t="n">
        <v>45916</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2180-2025</t>
        </is>
      </c>
      <c r="B509" s="1" t="n">
        <v>45673</v>
      </c>
      <c r="C509" s="1" t="n">
        <v>45916</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12327-2025</t>
        </is>
      </c>
      <c r="B510" s="1" t="n">
        <v>45730</v>
      </c>
      <c r="C510" s="1" t="n">
        <v>45916</v>
      </c>
      <c r="D510" t="inlineStr">
        <is>
          <t>GOTLANDS LÄN</t>
        </is>
      </c>
      <c r="E510" t="inlineStr">
        <is>
          <t>GOTLAND</t>
        </is>
      </c>
      <c r="G510" t="n">
        <v>1.8</v>
      </c>
      <c r="H510" t="n">
        <v>0</v>
      </c>
      <c r="I510" t="n">
        <v>0</v>
      </c>
      <c r="J510" t="n">
        <v>0</v>
      </c>
      <c r="K510" t="n">
        <v>0</v>
      </c>
      <c r="L510" t="n">
        <v>0</v>
      </c>
      <c r="M510" t="n">
        <v>0</v>
      </c>
      <c r="N510" t="n">
        <v>0</v>
      </c>
      <c r="O510" t="n">
        <v>0</v>
      </c>
      <c r="P510" t="n">
        <v>0</v>
      </c>
      <c r="Q510" t="n">
        <v>0</v>
      </c>
      <c r="R510" s="2" t="inlineStr"/>
    </row>
    <row r="511" ht="15" customHeight="1">
      <c r="A511" t="inlineStr">
        <is>
          <t>A 4420-2025</t>
        </is>
      </c>
      <c r="B511" s="1" t="n">
        <v>45686.47157407407</v>
      </c>
      <c r="C511" s="1" t="n">
        <v>45916</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14427-2024</t>
        </is>
      </c>
      <c r="B512" s="1" t="n">
        <v>45394</v>
      </c>
      <c r="C512" s="1" t="n">
        <v>45916</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54074-2022</t>
        </is>
      </c>
      <c r="B513" s="1" t="n">
        <v>44881</v>
      </c>
      <c r="C513" s="1" t="n">
        <v>45916</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61694-2023</t>
        </is>
      </c>
      <c r="B514" s="1" t="n">
        <v>45264</v>
      </c>
      <c r="C514" s="1" t="n">
        <v>45916</v>
      </c>
      <c r="D514" t="inlineStr">
        <is>
          <t>GOTLANDS LÄN</t>
        </is>
      </c>
      <c r="E514" t="inlineStr">
        <is>
          <t>GOTLAND</t>
        </is>
      </c>
      <c r="G514" t="n">
        <v>4.6</v>
      </c>
      <c r="H514" t="n">
        <v>0</v>
      </c>
      <c r="I514" t="n">
        <v>0</v>
      </c>
      <c r="J514" t="n">
        <v>0</v>
      </c>
      <c r="K514" t="n">
        <v>0</v>
      </c>
      <c r="L514" t="n">
        <v>0</v>
      </c>
      <c r="M514" t="n">
        <v>0</v>
      </c>
      <c r="N514" t="n">
        <v>0</v>
      </c>
      <c r="O514" t="n">
        <v>0</v>
      </c>
      <c r="P514" t="n">
        <v>0</v>
      </c>
      <c r="Q514" t="n">
        <v>0</v>
      </c>
      <c r="R514" s="2" t="inlineStr"/>
    </row>
    <row r="515" ht="15" customHeight="1">
      <c r="A515" t="inlineStr">
        <is>
          <t>A 64208-2021</t>
        </is>
      </c>
      <c r="B515" s="1" t="n">
        <v>44510</v>
      </c>
      <c r="C515" s="1" t="n">
        <v>45916</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54268-2022</t>
        </is>
      </c>
      <c r="B516" s="1" t="n">
        <v>44882</v>
      </c>
      <c r="C516" s="1" t="n">
        <v>45916</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1446-2025</t>
        </is>
      </c>
      <c r="B517" s="1" t="n">
        <v>45669.86035879629</v>
      </c>
      <c r="C517" s="1" t="n">
        <v>45916</v>
      </c>
      <c r="D517" t="inlineStr">
        <is>
          <t>GOTLANDS LÄN</t>
        </is>
      </c>
      <c r="E517" t="inlineStr">
        <is>
          <t>GOTLAND</t>
        </is>
      </c>
      <c r="G517" t="n">
        <v>3.1</v>
      </c>
      <c r="H517" t="n">
        <v>0</v>
      </c>
      <c r="I517" t="n">
        <v>0</v>
      </c>
      <c r="J517" t="n">
        <v>0</v>
      </c>
      <c r="K517" t="n">
        <v>0</v>
      </c>
      <c r="L517" t="n">
        <v>0</v>
      </c>
      <c r="M517" t="n">
        <v>0</v>
      </c>
      <c r="N517" t="n">
        <v>0</v>
      </c>
      <c r="O517" t="n">
        <v>0</v>
      </c>
      <c r="P517" t="n">
        <v>0</v>
      </c>
      <c r="Q517" t="n">
        <v>0</v>
      </c>
      <c r="R517" s="2" t="inlineStr"/>
    </row>
    <row r="518" ht="15" customHeight="1">
      <c r="A518" t="inlineStr">
        <is>
          <t>A 1462-2025</t>
        </is>
      </c>
      <c r="B518" s="1" t="n">
        <v>45670.36319444444</v>
      </c>
      <c r="C518" s="1" t="n">
        <v>45916</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57685-2022</t>
        </is>
      </c>
      <c r="B519" s="1" t="n">
        <v>44897.4777662037</v>
      </c>
      <c r="C519" s="1" t="n">
        <v>45916</v>
      </c>
      <c r="D519" t="inlineStr">
        <is>
          <t>GOTLANDS LÄN</t>
        </is>
      </c>
      <c r="E519" t="inlineStr">
        <is>
          <t>GOTLAND</t>
        </is>
      </c>
      <c r="G519" t="n">
        <v>3.7</v>
      </c>
      <c r="H519" t="n">
        <v>0</v>
      </c>
      <c r="I519" t="n">
        <v>0</v>
      </c>
      <c r="J519" t="n">
        <v>0</v>
      </c>
      <c r="K519" t="n">
        <v>0</v>
      </c>
      <c r="L519" t="n">
        <v>0</v>
      </c>
      <c r="M519" t="n">
        <v>0</v>
      </c>
      <c r="N519" t="n">
        <v>0</v>
      </c>
      <c r="O519" t="n">
        <v>0</v>
      </c>
      <c r="P519" t="n">
        <v>0</v>
      </c>
      <c r="Q519" t="n">
        <v>0</v>
      </c>
      <c r="R519" s="2" t="inlineStr"/>
    </row>
    <row r="520" ht="15" customHeight="1">
      <c r="A520" t="inlineStr">
        <is>
          <t>A 811-2023</t>
        </is>
      </c>
      <c r="B520" s="1" t="n">
        <v>44931</v>
      </c>
      <c r="C520" s="1" t="n">
        <v>45916</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49257-2024</t>
        </is>
      </c>
      <c r="B521" s="1" t="n">
        <v>45595.47627314815</v>
      </c>
      <c r="C521" s="1" t="n">
        <v>45916</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49315-2024</t>
        </is>
      </c>
      <c r="B522" s="1" t="n">
        <v>45595</v>
      </c>
      <c r="C522" s="1" t="n">
        <v>45916</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5905-2024</t>
        </is>
      </c>
      <c r="B523" s="1" t="n">
        <v>45335.88993055555</v>
      </c>
      <c r="C523" s="1" t="n">
        <v>45916</v>
      </c>
      <c r="D523" t="inlineStr">
        <is>
          <t>GOTLANDS LÄN</t>
        </is>
      </c>
      <c r="E523" t="inlineStr">
        <is>
          <t>GOTLAND</t>
        </is>
      </c>
      <c r="G523" t="n">
        <v>3</v>
      </c>
      <c r="H523" t="n">
        <v>0</v>
      </c>
      <c r="I523" t="n">
        <v>0</v>
      </c>
      <c r="J523" t="n">
        <v>0</v>
      </c>
      <c r="K523" t="n">
        <v>0</v>
      </c>
      <c r="L523" t="n">
        <v>0</v>
      </c>
      <c r="M523" t="n">
        <v>0</v>
      </c>
      <c r="N523" t="n">
        <v>0</v>
      </c>
      <c r="O523" t="n">
        <v>0</v>
      </c>
      <c r="P523" t="n">
        <v>0</v>
      </c>
      <c r="Q523" t="n">
        <v>0</v>
      </c>
      <c r="R523" s="2" t="inlineStr"/>
    </row>
    <row r="524" ht="15" customHeight="1">
      <c r="A524" t="inlineStr">
        <is>
          <t>A 3431-2025</t>
        </is>
      </c>
      <c r="B524" s="1" t="n">
        <v>45680.42935185185</v>
      </c>
      <c r="C524" s="1" t="n">
        <v>45916</v>
      </c>
      <c r="D524" t="inlineStr">
        <is>
          <t>GOTLANDS LÄN</t>
        </is>
      </c>
      <c r="E524" t="inlineStr">
        <is>
          <t>GOTLAND</t>
        </is>
      </c>
      <c r="G524" t="n">
        <v>4.8</v>
      </c>
      <c r="H524" t="n">
        <v>0</v>
      </c>
      <c r="I524" t="n">
        <v>0</v>
      </c>
      <c r="J524" t="n">
        <v>0</v>
      </c>
      <c r="K524" t="n">
        <v>0</v>
      </c>
      <c r="L524" t="n">
        <v>0</v>
      </c>
      <c r="M524" t="n">
        <v>0</v>
      </c>
      <c r="N524" t="n">
        <v>0</v>
      </c>
      <c r="O524" t="n">
        <v>0</v>
      </c>
      <c r="P524" t="n">
        <v>0</v>
      </c>
      <c r="Q524" t="n">
        <v>0</v>
      </c>
      <c r="R524" s="2" t="inlineStr"/>
    </row>
    <row r="525" ht="15" customHeight="1">
      <c r="A525" t="inlineStr">
        <is>
          <t>A 34407-2023</t>
        </is>
      </c>
      <c r="B525" s="1" t="n">
        <v>45132</v>
      </c>
      <c r="C525" s="1" t="n">
        <v>45916</v>
      </c>
      <c r="D525" t="inlineStr">
        <is>
          <t>GOTLANDS LÄN</t>
        </is>
      </c>
      <c r="E525" t="inlineStr">
        <is>
          <t>GOTLAND</t>
        </is>
      </c>
      <c r="G525" t="n">
        <v>4.4</v>
      </c>
      <c r="H525" t="n">
        <v>0</v>
      </c>
      <c r="I525" t="n">
        <v>0</v>
      </c>
      <c r="J525" t="n">
        <v>0</v>
      </c>
      <c r="K525" t="n">
        <v>0</v>
      </c>
      <c r="L525" t="n">
        <v>0</v>
      </c>
      <c r="M525" t="n">
        <v>0</v>
      </c>
      <c r="N525" t="n">
        <v>0</v>
      </c>
      <c r="O525" t="n">
        <v>0</v>
      </c>
      <c r="P525" t="n">
        <v>0</v>
      </c>
      <c r="Q525" t="n">
        <v>0</v>
      </c>
      <c r="R525" s="2" t="inlineStr"/>
    </row>
    <row r="526" ht="15" customHeight="1">
      <c r="A526" t="inlineStr">
        <is>
          <t>A 30892-2024</t>
        </is>
      </c>
      <c r="B526" s="1" t="n">
        <v>45491</v>
      </c>
      <c r="C526" s="1" t="n">
        <v>45916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32958-2021</t>
        </is>
      </c>
      <c r="B527" s="1" t="n">
        <v>44376</v>
      </c>
      <c r="C527" s="1" t="n">
        <v>45916</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7858-2025</t>
        </is>
      </c>
      <c r="B528" s="1" t="n">
        <v>45706.68633101852</v>
      </c>
      <c r="C528" s="1" t="n">
        <v>45916</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46545-2024</t>
        </is>
      </c>
      <c r="B529" s="1" t="n">
        <v>45582.65831018519</v>
      </c>
      <c r="C529" s="1" t="n">
        <v>45916</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999-2023</t>
        </is>
      </c>
      <c r="B530" s="1" t="n">
        <v>44935</v>
      </c>
      <c r="C530" s="1" t="n">
        <v>45916</v>
      </c>
      <c r="D530" t="inlineStr">
        <is>
          <t>GOTLANDS LÄN</t>
        </is>
      </c>
      <c r="E530" t="inlineStr">
        <is>
          <t>GOTLAND</t>
        </is>
      </c>
      <c r="G530" t="n">
        <v>4.7</v>
      </c>
      <c r="H530" t="n">
        <v>0</v>
      </c>
      <c r="I530" t="n">
        <v>0</v>
      </c>
      <c r="J530" t="n">
        <v>0</v>
      </c>
      <c r="K530" t="n">
        <v>0</v>
      </c>
      <c r="L530" t="n">
        <v>0</v>
      </c>
      <c r="M530" t="n">
        <v>0</v>
      </c>
      <c r="N530" t="n">
        <v>0</v>
      </c>
      <c r="O530" t="n">
        <v>0</v>
      </c>
      <c r="P530" t="n">
        <v>0</v>
      </c>
      <c r="Q530" t="n">
        <v>0</v>
      </c>
      <c r="R530" s="2" t="inlineStr"/>
    </row>
    <row r="531" ht="15" customHeight="1">
      <c r="A531" t="inlineStr">
        <is>
          <t>A 1364-2025</t>
        </is>
      </c>
      <c r="B531" s="1" t="n">
        <v>45667.63929398148</v>
      </c>
      <c r="C531" s="1" t="n">
        <v>45916</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2125-2025</t>
        </is>
      </c>
      <c r="B532" s="1" t="n">
        <v>45672.64940972222</v>
      </c>
      <c r="C532" s="1" t="n">
        <v>45916</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27596-2023</t>
        </is>
      </c>
      <c r="B533" s="1" t="n">
        <v>45097</v>
      </c>
      <c r="C533" s="1" t="n">
        <v>45916</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45916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64969-2023</t>
        </is>
      </c>
      <c r="B535" s="1" t="n">
        <v>45284.54009259259</v>
      </c>
      <c r="C535" s="1" t="n">
        <v>45916</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8684-2025</t>
        </is>
      </c>
      <c r="B536" s="1" t="n">
        <v>45712.45605324074</v>
      </c>
      <c r="C536" s="1" t="n">
        <v>45916</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33853-2024</t>
        </is>
      </c>
      <c r="B537" s="1" t="n">
        <v>45520.64298611111</v>
      </c>
      <c r="C537" s="1" t="n">
        <v>45916</v>
      </c>
      <c r="D537" t="inlineStr">
        <is>
          <t>GOTLANDS LÄN</t>
        </is>
      </c>
      <c r="E537" t="inlineStr">
        <is>
          <t>GOTLAND</t>
        </is>
      </c>
      <c r="G537" t="n">
        <v>3.9</v>
      </c>
      <c r="H537" t="n">
        <v>0</v>
      </c>
      <c r="I537" t="n">
        <v>0</v>
      </c>
      <c r="J537" t="n">
        <v>0</v>
      </c>
      <c r="K537" t="n">
        <v>0</v>
      </c>
      <c r="L537" t="n">
        <v>0</v>
      </c>
      <c r="M537" t="n">
        <v>0</v>
      </c>
      <c r="N537" t="n">
        <v>0</v>
      </c>
      <c r="O537" t="n">
        <v>0</v>
      </c>
      <c r="P537" t="n">
        <v>0</v>
      </c>
      <c r="Q537" t="n">
        <v>0</v>
      </c>
      <c r="R537" s="2" t="inlineStr"/>
    </row>
    <row r="538" ht="15" customHeight="1">
      <c r="A538" t="inlineStr">
        <is>
          <t>A 14141-2024</t>
        </is>
      </c>
      <c r="B538" s="1" t="n">
        <v>45392.85193287037</v>
      </c>
      <c r="C538" s="1" t="n">
        <v>45916</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18223-2025</t>
        </is>
      </c>
      <c r="B539" s="1" t="n">
        <v>45761</v>
      </c>
      <c r="C539" s="1" t="n">
        <v>45916</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12155-2023</t>
        </is>
      </c>
      <c r="B540" s="1" t="n">
        <v>44998.49106481481</v>
      </c>
      <c r="C540" s="1" t="n">
        <v>45916</v>
      </c>
      <c r="D540" t="inlineStr">
        <is>
          <t>GOTLANDS LÄN</t>
        </is>
      </c>
      <c r="E540" t="inlineStr">
        <is>
          <t>GOTLAND</t>
        </is>
      </c>
      <c r="G540" t="n">
        <v>1.1</v>
      </c>
      <c r="H540" t="n">
        <v>0</v>
      </c>
      <c r="I540" t="n">
        <v>0</v>
      </c>
      <c r="J540" t="n">
        <v>0</v>
      </c>
      <c r="K540" t="n">
        <v>0</v>
      </c>
      <c r="L540" t="n">
        <v>0</v>
      </c>
      <c r="M540" t="n">
        <v>0</v>
      </c>
      <c r="N540" t="n">
        <v>0</v>
      </c>
      <c r="O540" t="n">
        <v>0</v>
      </c>
      <c r="P540" t="n">
        <v>0</v>
      </c>
      <c r="Q540" t="n">
        <v>0</v>
      </c>
      <c r="R540" s="2" t="inlineStr"/>
    </row>
    <row r="541" ht="15" customHeight="1">
      <c r="A541" t="inlineStr">
        <is>
          <t>A 46949-2024</t>
        </is>
      </c>
      <c r="B541" s="1" t="n">
        <v>45585</v>
      </c>
      <c r="C541" s="1" t="n">
        <v>45916</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24001-2021</t>
        </is>
      </c>
      <c r="B542" s="1" t="n">
        <v>44335</v>
      </c>
      <c r="C542" s="1" t="n">
        <v>45916</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2774-2024</t>
        </is>
      </c>
      <c r="B543" s="1" t="n">
        <v>45314.62375</v>
      </c>
      <c r="C543" s="1" t="n">
        <v>45916</v>
      </c>
      <c r="D543" t="inlineStr">
        <is>
          <t>GOTLANDS LÄN</t>
        </is>
      </c>
      <c r="E543" t="inlineStr">
        <is>
          <t>GOTLAND</t>
        </is>
      </c>
      <c r="G543" t="n">
        <v>1</v>
      </c>
      <c r="H543" t="n">
        <v>0</v>
      </c>
      <c r="I543" t="n">
        <v>0</v>
      </c>
      <c r="J543" t="n">
        <v>0</v>
      </c>
      <c r="K543" t="n">
        <v>0</v>
      </c>
      <c r="L543" t="n">
        <v>0</v>
      </c>
      <c r="M543" t="n">
        <v>0</v>
      </c>
      <c r="N543" t="n">
        <v>0</v>
      </c>
      <c r="O543" t="n">
        <v>0</v>
      </c>
      <c r="P543" t="n">
        <v>0</v>
      </c>
      <c r="Q543" t="n">
        <v>0</v>
      </c>
      <c r="R543" s="2" t="inlineStr"/>
    </row>
    <row r="544" ht="15" customHeight="1">
      <c r="A544" t="inlineStr">
        <is>
          <t>A 39479-2022</t>
        </is>
      </c>
      <c r="B544" s="1" t="n">
        <v>44818</v>
      </c>
      <c r="C544" s="1" t="n">
        <v>45916</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39496-2022</t>
        </is>
      </c>
      <c r="B545" s="1" t="n">
        <v>44818</v>
      </c>
      <c r="C545" s="1" t="n">
        <v>45916</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9947-2024</t>
        </is>
      </c>
      <c r="B546" s="1" t="n">
        <v>45363</v>
      </c>
      <c r="C546" s="1" t="n">
        <v>45916</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42007-2023</t>
        </is>
      </c>
      <c r="B547" s="1" t="n">
        <v>45177</v>
      </c>
      <c r="C547" s="1" t="n">
        <v>45916</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2292-2021</t>
        </is>
      </c>
      <c r="B548" s="1" t="n">
        <v>44212</v>
      </c>
      <c r="C548" s="1" t="n">
        <v>45916</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44304-2021</t>
        </is>
      </c>
      <c r="B549" s="1" t="n">
        <v>44434</v>
      </c>
      <c r="C549" s="1" t="n">
        <v>45916</v>
      </c>
      <c r="D549" t="inlineStr">
        <is>
          <t>GOTLANDS LÄN</t>
        </is>
      </c>
      <c r="E549" t="inlineStr">
        <is>
          <t>GOTLAND</t>
        </is>
      </c>
      <c r="G549" t="n">
        <v>5.8</v>
      </c>
      <c r="H549" t="n">
        <v>0</v>
      </c>
      <c r="I549" t="n">
        <v>0</v>
      </c>
      <c r="J549" t="n">
        <v>0</v>
      </c>
      <c r="K549" t="n">
        <v>0</v>
      </c>
      <c r="L549" t="n">
        <v>0</v>
      </c>
      <c r="M549" t="n">
        <v>0</v>
      </c>
      <c r="N549" t="n">
        <v>0</v>
      </c>
      <c r="O549" t="n">
        <v>0</v>
      </c>
      <c r="P549" t="n">
        <v>0</v>
      </c>
      <c r="Q549" t="n">
        <v>0</v>
      </c>
      <c r="R549" s="2" t="inlineStr"/>
    </row>
    <row r="550" ht="15" customHeight="1">
      <c r="A550" t="inlineStr">
        <is>
          <t>A 15083-2025</t>
        </is>
      </c>
      <c r="B550" s="1" t="n">
        <v>45743</v>
      </c>
      <c r="C550" s="1" t="n">
        <v>45916</v>
      </c>
      <c r="D550" t="inlineStr">
        <is>
          <t>GOTLANDS LÄN</t>
        </is>
      </c>
      <c r="E550" t="inlineStr">
        <is>
          <t>GOTLAND</t>
        </is>
      </c>
      <c r="G550" t="n">
        <v>2.3</v>
      </c>
      <c r="H550" t="n">
        <v>0</v>
      </c>
      <c r="I550" t="n">
        <v>0</v>
      </c>
      <c r="J550" t="n">
        <v>0</v>
      </c>
      <c r="K550" t="n">
        <v>0</v>
      </c>
      <c r="L550" t="n">
        <v>0</v>
      </c>
      <c r="M550" t="n">
        <v>0</v>
      </c>
      <c r="N550" t="n">
        <v>0</v>
      </c>
      <c r="O550" t="n">
        <v>0</v>
      </c>
      <c r="P550" t="n">
        <v>0</v>
      </c>
      <c r="Q550" t="n">
        <v>0</v>
      </c>
      <c r="R550" s="2" t="inlineStr"/>
    </row>
    <row r="551" ht="15" customHeight="1">
      <c r="A551" t="inlineStr">
        <is>
          <t>A 46389-2021</t>
        </is>
      </c>
      <c r="B551" s="1" t="n">
        <v>44443</v>
      </c>
      <c r="C551" s="1" t="n">
        <v>45916</v>
      </c>
      <c r="D551" t="inlineStr">
        <is>
          <t>GOTLANDS LÄN</t>
        </is>
      </c>
      <c r="E551" t="inlineStr">
        <is>
          <t>GOTLAND</t>
        </is>
      </c>
      <c r="F551" t="inlineStr">
        <is>
          <t>Kyrkan</t>
        </is>
      </c>
      <c r="G551" t="n">
        <v>2.1</v>
      </c>
      <c r="H551" t="n">
        <v>0</v>
      </c>
      <c r="I551" t="n">
        <v>0</v>
      </c>
      <c r="J551" t="n">
        <v>0</v>
      </c>
      <c r="K551" t="n">
        <v>0</v>
      </c>
      <c r="L551" t="n">
        <v>0</v>
      </c>
      <c r="M551" t="n">
        <v>0</v>
      </c>
      <c r="N551" t="n">
        <v>0</v>
      </c>
      <c r="O551" t="n">
        <v>0</v>
      </c>
      <c r="P551" t="n">
        <v>0</v>
      </c>
      <c r="Q551" t="n">
        <v>0</v>
      </c>
      <c r="R551" s="2" t="inlineStr"/>
    </row>
    <row r="552" ht="15" customHeight="1">
      <c r="A552" t="inlineStr">
        <is>
          <t>A 44949-2023</t>
        </is>
      </c>
      <c r="B552" s="1" t="n">
        <v>45190.69520833333</v>
      </c>
      <c r="C552" s="1" t="n">
        <v>45916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20307-2025</t>
        </is>
      </c>
      <c r="B553" s="1" t="n">
        <v>45774.95546296296</v>
      </c>
      <c r="C553" s="1" t="n">
        <v>45916</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10652-2025</t>
        </is>
      </c>
      <c r="B554" s="1" t="n">
        <v>45721.68640046296</v>
      </c>
      <c r="C554" s="1" t="n">
        <v>45916</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10813-2025</t>
        </is>
      </c>
      <c r="B555" s="1" t="n">
        <v>45722.54163194444</v>
      </c>
      <c r="C555" s="1" t="n">
        <v>45916</v>
      </c>
      <c r="D555" t="inlineStr">
        <is>
          <t>GOTLANDS LÄN</t>
        </is>
      </c>
      <c r="E555" t="inlineStr">
        <is>
          <t>GOTLAND</t>
        </is>
      </c>
      <c r="G555" t="n">
        <v>1.5</v>
      </c>
      <c r="H555" t="n">
        <v>0</v>
      </c>
      <c r="I555" t="n">
        <v>0</v>
      </c>
      <c r="J555" t="n">
        <v>0</v>
      </c>
      <c r="K555" t="n">
        <v>0</v>
      </c>
      <c r="L555" t="n">
        <v>0</v>
      </c>
      <c r="M555" t="n">
        <v>0</v>
      </c>
      <c r="N555" t="n">
        <v>0</v>
      </c>
      <c r="O555" t="n">
        <v>0</v>
      </c>
      <c r="P555" t="n">
        <v>0</v>
      </c>
      <c r="Q555" t="n">
        <v>0</v>
      </c>
      <c r="R555" s="2" t="inlineStr"/>
    </row>
    <row r="556" ht="15" customHeight="1">
      <c r="A556" t="inlineStr">
        <is>
          <t>A 1066-2024</t>
        </is>
      </c>
      <c r="B556" s="1" t="n">
        <v>45302.285</v>
      </c>
      <c r="C556" s="1" t="n">
        <v>45916</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17682-2024</t>
        </is>
      </c>
      <c r="B557" s="1" t="n">
        <v>45418.42966435185</v>
      </c>
      <c r="C557" s="1" t="n">
        <v>45916</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45916</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61897-2024</t>
        </is>
      </c>
      <c r="B559" s="1" t="n">
        <v>45652.75685185185</v>
      </c>
      <c r="C559" s="1" t="n">
        <v>45916</v>
      </c>
      <c r="D559" t="inlineStr">
        <is>
          <t>GOTLANDS LÄN</t>
        </is>
      </c>
      <c r="E559" t="inlineStr">
        <is>
          <t>GOTLAND</t>
        </is>
      </c>
      <c r="G559" t="n">
        <v>6.4</v>
      </c>
      <c r="H559" t="n">
        <v>0</v>
      </c>
      <c r="I559" t="n">
        <v>0</v>
      </c>
      <c r="J559" t="n">
        <v>0</v>
      </c>
      <c r="K559" t="n">
        <v>0</v>
      </c>
      <c r="L559" t="n">
        <v>0</v>
      </c>
      <c r="M559" t="n">
        <v>0</v>
      </c>
      <c r="N559" t="n">
        <v>0</v>
      </c>
      <c r="O559" t="n">
        <v>0</v>
      </c>
      <c r="P559" t="n">
        <v>0</v>
      </c>
      <c r="Q559" t="n">
        <v>0</v>
      </c>
      <c r="R559" s="2" t="inlineStr"/>
    </row>
    <row r="560" ht="15" customHeight="1">
      <c r="A560" t="inlineStr">
        <is>
          <t>A 12032-2025</t>
        </is>
      </c>
      <c r="B560" s="1" t="n">
        <v>45728.64472222222</v>
      </c>
      <c r="C560" s="1" t="n">
        <v>45916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15595-2024</t>
        </is>
      </c>
      <c r="B561" s="1" t="n">
        <v>45401.81480324074</v>
      </c>
      <c r="C561" s="1" t="n">
        <v>45916</v>
      </c>
      <c r="D561" t="inlineStr">
        <is>
          <t>GOTLANDS LÄN</t>
        </is>
      </c>
      <c r="E561" t="inlineStr">
        <is>
          <t>GOTLAND</t>
        </is>
      </c>
      <c r="G561" t="n">
        <v>6.4</v>
      </c>
      <c r="H561" t="n">
        <v>0</v>
      </c>
      <c r="I561" t="n">
        <v>0</v>
      </c>
      <c r="J561" t="n">
        <v>0</v>
      </c>
      <c r="K561" t="n">
        <v>0</v>
      </c>
      <c r="L561" t="n">
        <v>0</v>
      </c>
      <c r="M561" t="n">
        <v>0</v>
      </c>
      <c r="N561" t="n">
        <v>0</v>
      </c>
      <c r="O561" t="n">
        <v>0</v>
      </c>
      <c r="P561" t="n">
        <v>0</v>
      </c>
      <c r="Q561" t="n">
        <v>0</v>
      </c>
      <c r="R561" s="2" t="inlineStr"/>
    </row>
    <row r="562" ht="15" customHeight="1">
      <c r="A562" t="inlineStr">
        <is>
          <t>A 30815-2023</t>
        </is>
      </c>
      <c r="B562" s="1" t="n">
        <v>45112</v>
      </c>
      <c r="C562" s="1" t="n">
        <v>45916</v>
      </c>
      <c r="D562" t="inlineStr">
        <is>
          <t>GOTLANDS LÄN</t>
        </is>
      </c>
      <c r="E562" t="inlineStr">
        <is>
          <t>GOTLAND</t>
        </is>
      </c>
      <c r="G562" t="n">
        <v>6</v>
      </c>
      <c r="H562" t="n">
        <v>0</v>
      </c>
      <c r="I562" t="n">
        <v>0</v>
      </c>
      <c r="J562" t="n">
        <v>0</v>
      </c>
      <c r="K562" t="n">
        <v>0</v>
      </c>
      <c r="L562" t="n">
        <v>0</v>
      </c>
      <c r="M562" t="n">
        <v>0</v>
      </c>
      <c r="N562" t="n">
        <v>0</v>
      </c>
      <c r="O562" t="n">
        <v>0</v>
      </c>
      <c r="P562" t="n">
        <v>0</v>
      </c>
      <c r="Q562" t="n">
        <v>0</v>
      </c>
      <c r="R562" s="2" t="inlineStr"/>
    </row>
    <row r="563" ht="15" customHeight="1">
      <c r="A563" t="inlineStr">
        <is>
          <t>A 46400-2023</t>
        </is>
      </c>
      <c r="B563" s="1" t="n">
        <v>45197.49290509259</v>
      </c>
      <c r="C563" s="1" t="n">
        <v>45916</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10492-2023</t>
        </is>
      </c>
      <c r="B564" s="1" t="n">
        <v>44987</v>
      </c>
      <c r="C564" s="1" t="n">
        <v>45916</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44919-2022</t>
        </is>
      </c>
      <c r="B565" s="1" t="n">
        <v>44841</v>
      </c>
      <c r="C565" s="1" t="n">
        <v>45916</v>
      </c>
      <c r="D565" t="inlineStr">
        <is>
          <t>GOTLANDS LÄN</t>
        </is>
      </c>
      <c r="E565" t="inlineStr">
        <is>
          <t>GOTLAND</t>
        </is>
      </c>
      <c r="G565" t="n">
        <v>2.2</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45916</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21164-2024</t>
        </is>
      </c>
      <c r="B567" s="1" t="n">
        <v>45440</v>
      </c>
      <c r="C567" s="1" t="n">
        <v>45916</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17541-2024</t>
        </is>
      </c>
      <c r="B568" s="1" t="n">
        <v>45415</v>
      </c>
      <c r="C568" s="1" t="n">
        <v>45916</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883-2025</t>
        </is>
      </c>
      <c r="B569" s="1" t="n">
        <v>45665</v>
      </c>
      <c r="C569" s="1" t="n">
        <v>45916</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13910-2025</t>
        </is>
      </c>
      <c r="B570" s="1" t="n">
        <v>45737</v>
      </c>
      <c r="C570" s="1" t="n">
        <v>45916</v>
      </c>
      <c r="D570" t="inlineStr">
        <is>
          <t>GOTLANDS LÄN</t>
        </is>
      </c>
      <c r="E570" t="inlineStr">
        <is>
          <t>GOTLAND</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27095-2022</t>
        </is>
      </c>
      <c r="B571" s="1" t="n">
        <v>44741</v>
      </c>
      <c r="C571" s="1" t="n">
        <v>45916</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45916</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1291-2023</t>
        </is>
      </c>
      <c r="B573" s="1" t="n">
        <v>44936.47561342592</v>
      </c>
      <c r="C573" s="1" t="n">
        <v>45916</v>
      </c>
      <c r="D573" t="inlineStr">
        <is>
          <t>GOTLANDS LÄN</t>
        </is>
      </c>
      <c r="E573" t="inlineStr">
        <is>
          <t>GOTLAND</t>
        </is>
      </c>
      <c r="G573" t="n">
        <v>7.4</v>
      </c>
      <c r="H573" t="n">
        <v>0</v>
      </c>
      <c r="I573" t="n">
        <v>0</v>
      </c>
      <c r="J573" t="n">
        <v>0</v>
      </c>
      <c r="K573" t="n">
        <v>0</v>
      </c>
      <c r="L573" t="n">
        <v>0</v>
      </c>
      <c r="M573" t="n">
        <v>0</v>
      </c>
      <c r="N573" t="n">
        <v>0</v>
      </c>
      <c r="O573" t="n">
        <v>0</v>
      </c>
      <c r="P573" t="n">
        <v>0</v>
      </c>
      <c r="Q573" t="n">
        <v>0</v>
      </c>
      <c r="R573" s="2" t="inlineStr"/>
    </row>
    <row r="574" ht="15" customHeight="1">
      <c r="A574" t="inlineStr">
        <is>
          <t>A 20794-2025</t>
        </is>
      </c>
      <c r="B574" s="1" t="n">
        <v>45776</v>
      </c>
      <c r="C574" s="1" t="n">
        <v>45916</v>
      </c>
      <c r="D574" t="inlineStr">
        <is>
          <t>GOTLANDS LÄN</t>
        </is>
      </c>
      <c r="E574" t="inlineStr">
        <is>
          <t>GOTLAND</t>
        </is>
      </c>
      <c r="G574" t="n">
        <v>6</v>
      </c>
      <c r="H574" t="n">
        <v>0</v>
      </c>
      <c r="I574" t="n">
        <v>0</v>
      </c>
      <c r="J574" t="n">
        <v>0</v>
      </c>
      <c r="K574" t="n">
        <v>0</v>
      </c>
      <c r="L574" t="n">
        <v>0</v>
      </c>
      <c r="M574" t="n">
        <v>0</v>
      </c>
      <c r="N574" t="n">
        <v>0</v>
      </c>
      <c r="O574" t="n">
        <v>0</v>
      </c>
      <c r="P574" t="n">
        <v>0</v>
      </c>
      <c r="Q574" t="n">
        <v>0</v>
      </c>
      <c r="R574" s="2" t="inlineStr"/>
    </row>
    <row r="575" ht="15" customHeight="1">
      <c r="A575" t="inlineStr">
        <is>
          <t>A 32330-2024</t>
        </is>
      </c>
      <c r="B575" s="1" t="n">
        <v>45512</v>
      </c>
      <c r="C575" s="1" t="n">
        <v>45916</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20805-2025</t>
        </is>
      </c>
      <c r="B576" s="1" t="n">
        <v>45776</v>
      </c>
      <c r="C576" s="1" t="n">
        <v>45916</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21389-2025</t>
        </is>
      </c>
      <c r="B577" s="1" t="n">
        <v>45782</v>
      </c>
      <c r="C577" s="1" t="n">
        <v>45916</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21142-2025</t>
        </is>
      </c>
      <c r="B578" s="1" t="n">
        <v>45779</v>
      </c>
      <c r="C578" s="1" t="n">
        <v>45916</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12599-2025</t>
        </is>
      </c>
      <c r="B579" s="1" t="n">
        <v>45733.29546296296</v>
      </c>
      <c r="C579" s="1" t="n">
        <v>45916</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5891-2025</t>
        </is>
      </c>
      <c r="B580" s="1" t="n">
        <v>45695.38327546296</v>
      </c>
      <c r="C580" s="1" t="n">
        <v>45916</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14804-2021</t>
        </is>
      </c>
      <c r="B581" s="1" t="n">
        <v>44280</v>
      </c>
      <c r="C581" s="1" t="n">
        <v>45916</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19002-2025</t>
        </is>
      </c>
      <c r="B582" s="1" t="n">
        <v>45764</v>
      </c>
      <c r="C582" s="1" t="n">
        <v>45916</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44944.55361111111</v>
      </c>
      <c r="C583" s="1" t="n">
        <v>45916</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17144-2025</t>
        </is>
      </c>
      <c r="B584" s="1" t="n">
        <v>45755.9499537037</v>
      </c>
      <c r="C584" s="1" t="n">
        <v>45916</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21651-2025</t>
        </is>
      </c>
      <c r="B585" s="1" t="n">
        <v>45783</v>
      </c>
      <c r="C585" s="1" t="n">
        <v>45916</v>
      </c>
      <c r="D585" t="inlineStr">
        <is>
          <t>GOTLANDS LÄN</t>
        </is>
      </c>
      <c r="E585" t="inlineStr">
        <is>
          <t>GOTLAND</t>
        </is>
      </c>
      <c r="G585" t="n">
        <v>4.2</v>
      </c>
      <c r="H585" t="n">
        <v>0</v>
      </c>
      <c r="I585" t="n">
        <v>0</v>
      </c>
      <c r="J585" t="n">
        <v>0</v>
      </c>
      <c r="K585" t="n">
        <v>0</v>
      </c>
      <c r="L585" t="n">
        <v>0</v>
      </c>
      <c r="M585" t="n">
        <v>0</v>
      </c>
      <c r="N585" t="n">
        <v>0</v>
      </c>
      <c r="O585" t="n">
        <v>0</v>
      </c>
      <c r="P585" t="n">
        <v>0</v>
      </c>
      <c r="Q585" t="n">
        <v>0</v>
      </c>
      <c r="R585" s="2" t="inlineStr"/>
    </row>
    <row r="586" ht="15" customHeight="1">
      <c r="A586" t="inlineStr">
        <is>
          <t>A 49314-2024</t>
        </is>
      </c>
      <c r="B586" s="1" t="n">
        <v>45595.55893518519</v>
      </c>
      <c r="C586" s="1" t="n">
        <v>45916</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9875-2025</t>
        </is>
      </c>
      <c r="B587" s="1" t="n">
        <v>45716</v>
      </c>
      <c r="C587" s="1" t="n">
        <v>45916</v>
      </c>
      <c r="D587" t="inlineStr">
        <is>
          <t>GOTLANDS LÄN</t>
        </is>
      </c>
      <c r="E587" t="inlineStr">
        <is>
          <t>GOTLAND</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29809-2022</t>
        </is>
      </c>
      <c r="B588" s="1" t="n">
        <v>44755.8713425926</v>
      </c>
      <c r="C588" s="1" t="n">
        <v>45916</v>
      </c>
      <c r="D588" t="inlineStr">
        <is>
          <t>GOTLANDS LÄN</t>
        </is>
      </c>
      <c r="E588" t="inlineStr">
        <is>
          <t>GOTLAND</t>
        </is>
      </c>
      <c r="G588" t="n">
        <v>11.5</v>
      </c>
      <c r="H588" t="n">
        <v>0</v>
      </c>
      <c r="I588" t="n">
        <v>0</v>
      </c>
      <c r="J588" t="n">
        <v>0</v>
      </c>
      <c r="K588" t="n">
        <v>0</v>
      </c>
      <c r="L588" t="n">
        <v>0</v>
      </c>
      <c r="M588" t="n">
        <v>0</v>
      </c>
      <c r="N588" t="n">
        <v>0</v>
      </c>
      <c r="O588" t="n">
        <v>0</v>
      </c>
      <c r="P588" t="n">
        <v>0</v>
      </c>
      <c r="Q588" t="n">
        <v>0</v>
      </c>
      <c r="R588" s="2" t="inlineStr"/>
    </row>
    <row r="589" ht="15" customHeight="1">
      <c r="A589" t="inlineStr">
        <is>
          <t>A 16361-2024</t>
        </is>
      </c>
      <c r="B589" s="1" t="n">
        <v>45407</v>
      </c>
      <c r="C589" s="1" t="n">
        <v>45916</v>
      </c>
      <c r="D589" t="inlineStr">
        <is>
          <t>GOTLANDS LÄN</t>
        </is>
      </c>
      <c r="E589" t="inlineStr">
        <is>
          <t>GOTLAND</t>
        </is>
      </c>
      <c r="G589" t="n">
        <v>6</v>
      </c>
      <c r="H589" t="n">
        <v>0</v>
      </c>
      <c r="I589" t="n">
        <v>0</v>
      </c>
      <c r="J589" t="n">
        <v>0</v>
      </c>
      <c r="K589" t="n">
        <v>0</v>
      </c>
      <c r="L589" t="n">
        <v>0</v>
      </c>
      <c r="M589" t="n">
        <v>0</v>
      </c>
      <c r="N589" t="n">
        <v>0</v>
      </c>
      <c r="O589" t="n">
        <v>0</v>
      </c>
      <c r="P589" t="n">
        <v>0</v>
      </c>
      <c r="Q589" t="n">
        <v>0</v>
      </c>
      <c r="R589" s="2" t="inlineStr"/>
    </row>
    <row r="590" ht="15" customHeight="1">
      <c r="A590" t="inlineStr">
        <is>
          <t>A 43081-2022</t>
        </is>
      </c>
      <c r="B590" s="1" t="n">
        <v>44833</v>
      </c>
      <c r="C590" s="1" t="n">
        <v>45916</v>
      </c>
      <c r="D590" t="inlineStr">
        <is>
          <t>GOTLANDS LÄN</t>
        </is>
      </c>
      <c r="E590" t="inlineStr">
        <is>
          <t>GOTLAND</t>
        </is>
      </c>
      <c r="G590" t="n">
        <v>6.8</v>
      </c>
      <c r="H590" t="n">
        <v>0</v>
      </c>
      <c r="I590" t="n">
        <v>0</v>
      </c>
      <c r="J590" t="n">
        <v>0</v>
      </c>
      <c r="K590" t="n">
        <v>0</v>
      </c>
      <c r="L590" t="n">
        <v>0</v>
      </c>
      <c r="M590" t="n">
        <v>0</v>
      </c>
      <c r="N590" t="n">
        <v>0</v>
      </c>
      <c r="O590" t="n">
        <v>0</v>
      </c>
      <c r="P590" t="n">
        <v>0</v>
      </c>
      <c r="Q590" t="n">
        <v>0</v>
      </c>
      <c r="R590" s="2" t="inlineStr"/>
    </row>
    <row r="591" ht="15" customHeight="1">
      <c r="A591" t="inlineStr">
        <is>
          <t>A 1175-2025</t>
        </is>
      </c>
      <c r="B591" s="1" t="n">
        <v>45667.34449074074</v>
      </c>
      <c r="C591" s="1" t="n">
        <v>45916</v>
      </c>
      <c r="D591" t="inlineStr">
        <is>
          <t>GOTLANDS LÄN</t>
        </is>
      </c>
      <c r="E591" t="inlineStr">
        <is>
          <t>GOTLAND</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45916</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3150-2025</t>
        </is>
      </c>
      <c r="B593" s="1" t="n">
        <v>45679.28974537037</v>
      </c>
      <c r="C593" s="1" t="n">
        <v>45916</v>
      </c>
      <c r="D593" t="inlineStr">
        <is>
          <t>GOTLANDS LÄN</t>
        </is>
      </c>
      <c r="E593" t="inlineStr">
        <is>
          <t>GOTLAND</t>
        </is>
      </c>
      <c r="G593" t="n">
        <v>2.5</v>
      </c>
      <c r="H593" t="n">
        <v>0</v>
      </c>
      <c r="I593" t="n">
        <v>0</v>
      </c>
      <c r="J593" t="n">
        <v>0</v>
      </c>
      <c r="K593" t="n">
        <v>0</v>
      </c>
      <c r="L593" t="n">
        <v>0</v>
      </c>
      <c r="M593" t="n">
        <v>0</v>
      </c>
      <c r="N593" t="n">
        <v>0</v>
      </c>
      <c r="O593" t="n">
        <v>0</v>
      </c>
      <c r="P593" t="n">
        <v>0</v>
      </c>
      <c r="Q593" t="n">
        <v>0</v>
      </c>
      <c r="R593" s="2" t="inlineStr"/>
    </row>
    <row r="594" ht="15" customHeight="1">
      <c r="A594" t="inlineStr">
        <is>
          <t>A 42041-2024</t>
        </is>
      </c>
      <c r="B594" s="1" t="n">
        <v>45561</v>
      </c>
      <c r="C594" s="1" t="n">
        <v>45916</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21420-2024</t>
        </is>
      </c>
      <c r="B595" s="1" t="n">
        <v>45441.38293981482</v>
      </c>
      <c r="C595" s="1" t="n">
        <v>45916</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10656-2024</t>
        </is>
      </c>
      <c r="B596" s="1" t="n">
        <v>45368</v>
      </c>
      <c r="C596" s="1" t="n">
        <v>45916</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57356-2023</t>
        </is>
      </c>
      <c r="B597" s="1" t="n">
        <v>45240</v>
      </c>
      <c r="C597" s="1" t="n">
        <v>45916</v>
      </c>
      <c r="D597" t="inlineStr">
        <is>
          <t>GOTLANDS LÄN</t>
        </is>
      </c>
      <c r="E597" t="inlineStr">
        <is>
          <t>GOTLAND</t>
        </is>
      </c>
      <c r="G597" t="n">
        <v>6.4</v>
      </c>
      <c r="H597" t="n">
        <v>0</v>
      </c>
      <c r="I597" t="n">
        <v>0</v>
      </c>
      <c r="J597" t="n">
        <v>0</v>
      </c>
      <c r="K597" t="n">
        <v>0</v>
      </c>
      <c r="L597" t="n">
        <v>0</v>
      </c>
      <c r="M597" t="n">
        <v>0</v>
      </c>
      <c r="N597" t="n">
        <v>0</v>
      </c>
      <c r="O597" t="n">
        <v>0</v>
      </c>
      <c r="P597" t="n">
        <v>0</v>
      </c>
      <c r="Q597" t="n">
        <v>0</v>
      </c>
      <c r="R597" s="2" t="inlineStr"/>
    </row>
    <row r="598" ht="15" customHeight="1">
      <c r="A598" t="inlineStr">
        <is>
          <t>A 28506-2023</t>
        </is>
      </c>
      <c r="B598" s="1" t="n">
        <v>45103</v>
      </c>
      <c r="C598" s="1" t="n">
        <v>45916</v>
      </c>
      <c r="D598" t="inlineStr">
        <is>
          <t>GOTLANDS LÄN</t>
        </is>
      </c>
      <c r="E598" t="inlineStr">
        <is>
          <t>GOTLAND</t>
        </is>
      </c>
      <c r="G598" t="n">
        <v>3.2</v>
      </c>
      <c r="H598" t="n">
        <v>0</v>
      </c>
      <c r="I598" t="n">
        <v>0</v>
      </c>
      <c r="J598" t="n">
        <v>0</v>
      </c>
      <c r="K598" t="n">
        <v>0</v>
      </c>
      <c r="L598" t="n">
        <v>0</v>
      </c>
      <c r="M598" t="n">
        <v>0</v>
      </c>
      <c r="N598" t="n">
        <v>0</v>
      </c>
      <c r="O598" t="n">
        <v>0</v>
      </c>
      <c r="P598" t="n">
        <v>0</v>
      </c>
      <c r="Q598" t="n">
        <v>0</v>
      </c>
      <c r="R598" s="2" t="inlineStr"/>
    </row>
    <row r="599" ht="15" customHeight="1">
      <c r="A599" t="inlineStr">
        <is>
          <t>A 23188-2025</t>
        </is>
      </c>
      <c r="B599" s="1" t="n">
        <v>45791</v>
      </c>
      <c r="C599" s="1" t="n">
        <v>45916</v>
      </c>
      <c r="D599" t="inlineStr">
        <is>
          <t>GOTLANDS LÄN</t>
        </is>
      </c>
      <c r="E599" t="inlineStr">
        <is>
          <t>GOTLAND</t>
        </is>
      </c>
      <c r="G599" t="n">
        <v>6.2</v>
      </c>
      <c r="H599" t="n">
        <v>0</v>
      </c>
      <c r="I599" t="n">
        <v>0</v>
      </c>
      <c r="J599" t="n">
        <v>0</v>
      </c>
      <c r="K599" t="n">
        <v>0</v>
      </c>
      <c r="L599" t="n">
        <v>0</v>
      </c>
      <c r="M599" t="n">
        <v>0</v>
      </c>
      <c r="N599" t="n">
        <v>0</v>
      </c>
      <c r="O599" t="n">
        <v>0</v>
      </c>
      <c r="P599" t="n">
        <v>0</v>
      </c>
      <c r="Q599" t="n">
        <v>0</v>
      </c>
      <c r="R599" s="2" t="inlineStr"/>
    </row>
    <row r="600" ht="15" customHeight="1">
      <c r="A600" t="inlineStr">
        <is>
          <t>A 18993-2025</t>
        </is>
      </c>
      <c r="B600" s="1" t="n">
        <v>45764</v>
      </c>
      <c r="C600" s="1" t="n">
        <v>45916</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15436-2025</t>
        </is>
      </c>
      <c r="B601" s="1" t="n">
        <v>45747.47462962963</v>
      </c>
      <c r="C601" s="1" t="n">
        <v>45916</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c r="A602" t="inlineStr">
        <is>
          <t>A 21247-2022</t>
        </is>
      </c>
      <c r="B602" s="1" t="n">
        <v>44705.38832175926</v>
      </c>
      <c r="C602" s="1" t="n">
        <v>45916</v>
      </c>
      <c r="D602" t="inlineStr">
        <is>
          <t>GOTLANDS LÄN</t>
        </is>
      </c>
      <c r="E602" t="inlineStr">
        <is>
          <t>GOTLAND</t>
        </is>
      </c>
      <c r="G602" t="n">
        <v>16.2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2025-09-16T08:58:47Z</dcterms:created>
  <dcterms:modified xmlns:dcterms="http://purl.org/dc/terms/" xmlns:xsi="http://www.w3.org/2001/XMLSchema-instance" xsi:type="dcterms:W3CDTF">2025-09-16T08:58:47Z</dcterms:modified>
</cp:coreProperties>
</file>