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45635</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45635</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45635</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45635</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45635</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45635</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45635</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45635</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45635</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45635</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45635</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45635</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45635</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45635</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45635</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45635</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45635</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45635</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45635</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45635</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45635</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45635</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45635</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45635</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45635</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45635</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45635</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45635</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45635</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45635</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45635</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45635</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45635</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45635</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45635</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45635</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45635</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45635</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45635</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45635</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45635</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45635</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45635</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45635</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45635</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45635</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45635</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45635</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45635</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45635</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45635</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45635</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45635</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45635</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45635</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45635</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45635</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45635</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45635</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45635</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45635</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45635</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45635</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45635</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45635</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45635</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45635</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45635</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45635</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45635</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45635</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45635</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45635</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45635</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45635</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45635</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45635</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45635</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45635</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45635</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45635</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45635</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45635</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45635</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45635</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45635</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45635</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45635</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58191-2024</t>
        </is>
      </c>
      <c r="B142" s="1" t="n">
        <v>45632</v>
      </c>
      <c r="C142" s="1" t="n">
        <v>45635</v>
      </c>
      <c r="D142" t="inlineStr">
        <is>
          <t>GOTLANDS LÄN</t>
        </is>
      </c>
      <c r="E142" t="inlineStr">
        <is>
          <t>GOTLAND</t>
        </is>
      </c>
      <c r="G142" t="n">
        <v>14.2</v>
      </c>
      <c r="H142" t="n">
        <v>2</v>
      </c>
      <c r="I142" t="n">
        <v>0</v>
      </c>
      <c r="J142" t="n">
        <v>3</v>
      </c>
      <c r="K142" t="n">
        <v>0</v>
      </c>
      <c r="L142" t="n">
        <v>0</v>
      </c>
      <c r="M142" t="n">
        <v>0</v>
      </c>
      <c r="N142" t="n">
        <v>0</v>
      </c>
      <c r="O142" t="n">
        <v>3</v>
      </c>
      <c r="P142" t="n">
        <v>0</v>
      </c>
      <c r="Q142" t="n">
        <v>3</v>
      </c>
      <c r="R142" s="2" t="inlineStr">
        <is>
          <t>Björktrast
Crepis tectorum subsp. tectorum
Spillkråka</t>
        </is>
      </c>
      <c r="S142">
        <f>HYPERLINK("https://klasma.github.io/Logging_0980/artfynd/A 58191-2024 artfynd.xlsx", "A 58191-2024")</f>
        <v/>
      </c>
      <c r="T142">
        <f>HYPERLINK("https://klasma.github.io/Logging_0980/kartor/A 58191-2024 karta.png", "A 58191-2024")</f>
        <v/>
      </c>
      <c r="V142">
        <f>HYPERLINK("https://klasma.github.io/Logging_0980/klagomål/A 58191-2024 FSC-klagomål.docx", "A 58191-2024")</f>
        <v/>
      </c>
      <c r="W142">
        <f>HYPERLINK("https://klasma.github.io/Logging_0980/klagomålsmail/A 58191-2024 FSC-klagomål mail.docx", "A 58191-2024")</f>
        <v/>
      </c>
      <c r="X142">
        <f>HYPERLINK("https://klasma.github.io/Logging_0980/tillsyn/A 58191-2024 tillsynsbegäran.docx", "A 58191-2024")</f>
        <v/>
      </c>
      <c r="Y142">
        <f>HYPERLINK("https://klasma.github.io/Logging_0980/tillsynsmail/A 58191-2024 tillsynsbegäran mail.docx", "A 58191-2024")</f>
        <v/>
      </c>
      <c r="Z142">
        <f>HYPERLINK("https://klasma.github.io/Logging_0980/fåglar/A 58191-2024 prioriterade fågelarter.docx", "A 58191-2024")</f>
        <v/>
      </c>
    </row>
    <row r="143" ht="15" customHeight="1">
      <c r="A143" t="inlineStr">
        <is>
          <t>A 32969-2019</t>
        </is>
      </c>
      <c r="B143" s="1" t="n">
        <v>43648</v>
      </c>
      <c r="C143" s="1" t="n">
        <v>45635</v>
      </c>
      <c r="D143" t="inlineStr">
        <is>
          <t>GOTLANDS LÄN</t>
        </is>
      </c>
      <c r="E143" t="inlineStr">
        <is>
          <t>GOTLAND</t>
        </is>
      </c>
      <c r="G143" t="n">
        <v>5.1</v>
      </c>
      <c r="H143" t="n">
        <v>0</v>
      </c>
      <c r="I143" t="n">
        <v>1</v>
      </c>
      <c r="J143" t="n">
        <v>1</v>
      </c>
      <c r="K143" t="n">
        <v>0</v>
      </c>
      <c r="L143" t="n">
        <v>0</v>
      </c>
      <c r="M143" t="n">
        <v>0</v>
      </c>
      <c r="N143" t="n">
        <v>0</v>
      </c>
      <c r="O143" t="n">
        <v>1</v>
      </c>
      <c r="P143" t="n">
        <v>0</v>
      </c>
      <c r="Q143" t="n">
        <v>2</v>
      </c>
      <c r="R143" s="2" t="inlineStr">
        <is>
          <t>Odörspindling
Anisspindling</t>
        </is>
      </c>
      <c r="S143">
        <f>HYPERLINK("https://klasma.github.io/Logging_0980/artfynd/A 32969-2019 artfynd.xlsx", "A 32969-2019")</f>
        <v/>
      </c>
      <c r="T143">
        <f>HYPERLINK("https://klasma.github.io/Logging_0980/kartor/A 32969-2019 karta.png", "A 32969-2019")</f>
        <v/>
      </c>
      <c r="V143">
        <f>HYPERLINK("https://klasma.github.io/Logging_0980/klagomål/A 32969-2019 FSC-klagomål.docx", "A 32969-2019")</f>
        <v/>
      </c>
      <c r="W143">
        <f>HYPERLINK("https://klasma.github.io/Logging_0980/klagomålsmail/A 32969-2019 FSC-klagomål mail.docx", "A 32969-2019")</f>
        <v/>
      </c>
      <c r="X143">
        <f>HYPERLINK("https://klasma.github.io/Logging_0980/tillsyn/A 32969-2019 tillsynsbegäran.docx", "A 32969-2019")</f>
        <v/>
      </c>
      <c r="Y143">
        <f>HYPERLINK("https://klasma.github.io/Logging_0980/tillsynsmail/A 32969-2019 tillsynsbegäran mail.docx", "A 32969-2019")</f>
        <v/>
      </c>
    </row>
    <row r="144" ht="15" customHeight="1">
      <c r="A144" t="inlineStr">
        <is>
          <t>A 32966-2019</t>
        </is>
      </c>
      <c r="B144" s="1" t="n">
        <v>43648</v>
      </c>
      <c r="C144" s="1" t="n">
        <v>45635</v>
      </c>
      <c r="D144" t="inlineStr">
        <is>
          <t>GOTLANDS LÄN</t>
        </is>
      </c>
      <c r="E144" t="inlineStr">
        <is>
          <t>GOTLAND</t>
        </is>
      </c>
      <c r="G144" t="n">
        <v>4</v>
      </c>
      <c r="H144" t="n">
        <v>1</v>
      </c>
      <c r="I144" t="n">
        <v>1</v>
      </c>
      <c r="J144" t="n">
        <v>0</v>
      </c>
      <c r="K144" t="n">
        <v>0</v>
      </c>
      <c r="L144" t="n">
        <v>0</v>
      </c>
      <c r="M144" t="n">
        <v>0</v>
      </c>
      <c r="N144" t="n">
        <v>0</v>
      </c>
      <c r="O144" t="n">
        <v>0</v>
      </c>
      <c r="P144" t="n">
        <v>0</v>
      </c>
      <c r="Q144" t="n">
        <v>2</v>
      </c>
      <c r="R144" s="2" t="inlineStr">
        <is>
          <t>Kattfotslav
Blåsippa</t>
        </is>
      </c>
      <c r="S144">
        <f>HYPERLINK("https://klasma.github.io/Logging_0980/artfynd/A 32966-2019 artfynd.xlsx", "A 32966-2019")</f>
        <v/>
      </c>
      <c r="T144">
        <f>HYPERLINK("https://klasma.github.io/Logging_0980/kartor/A 32966-2019 karta.png", "A 32966-2019")</f>
        <v/>
      </c>
      <c r="V144">
        <f>HYPERLINK("https://klasma.github.io/Logging_0980/klagomål/A 32966-2019 FSC-klagomål.docx", "A 32966-2019")</f>
        <v/>
      </c>
      <c r="W144">
        <f>HYPERLINK("https://klasma.github.io/Logging_0980/klagomålsmail/A 32966-2019 FSC-klagomål mail.docx", "A 32966-2019")</f>
        <v/>
      </c>
      <c r="X144">
        <f>HYPERLINK("https://klasma.github.io/Logging_0980/tillsyn/A 32966-2019 tillsynsbegäran.docx", "A 32966-2019")</f>
        <v/>
      </c>
      <c r="Y144">
        <f>HYPERLINK("https://klasma.github.io/Logging_0980/tillsynsmail/A 32966-2019 tillsynsbegäran mail.docx", "A 32966-2019")</f>
        <v/>
      </c>
    </row>
    <row r="145" ht="15" customHeight="1">
      <c r="A145" t="inlineStr">
        <is>
          <t>A 43304-2019</t>
        </is>
      </c>
      <c r="B145" s="1" t="n">
        <v>43706</v>
      </c>
      <c r="C145" s="1" t="n">
        <v>45635</v>
      </c>
      <c r="D145" t="inlineStr">
        <is>
          <t>GOTLANDS LÄN</t>
        </is>
      </c>
      <c r="E145" t="inlineStr">
        <is>
          <t>GOTLAND</t>
        </is>
      </c>
      <c r="G145" t="n">
        <v>3.2</v>
      </c>
      <c r="H145" t="n">
        <v>2</v>
      </c>
      <c r="I145" t="n">
        <v>1</v>
      </c>
      <c r="J145" t="n">
        <v>0</v>
      </c>
      <c r="K145" t="n">
        <v>0</v>
      </c>
      <c r="L145" t="n">
        <v>0</v>
      </c>
      <c r="M145" t="n">
        <v>0</v>
      </c>
      <c r="N145" t="n">
        <v>0</v>
      </c>
      <c r="O145" t="n">
        <v>0</v>
      </c>
      <c r="P145" t="n">
        <v>0</v>
      </c>
      <c r="Q145" t="n">
        <v>2</v>
      </c>
      <c r="R145" s="2" t="inlineStr">
        <is>
          <t>Skogsknipprot
Blåsippa</t>
        </is>
      </c>
      <c r="S145">
        <f>HYPERLINK("https://klasma.github.io/Logging_0980/artfynd/A 43304-2019 artfynd.xlsx", "A 43304-2019")</f>
        <v/>
      </c>
      <c r="T145">
        <f>HYPERLINK("https://klasma.github.io/Logging_0980/kartor/A 43304-2019 karta.png", "A 43304-2019")</f>
        <v/>
      </c>
      <c r="V145">
        <f>HYPERLINK("https://klasma.github.io/Logging_0980/klagomål/A 43304-2019 FSC-klagomål.docx", "A 43304-2019")</f>
        <v/>
      </c>
      <c r="W145">
        <f>HYPERLINK("https://klasma.github.io/Logging_0980/klagomålsmail/A 43304-2019 FSC-klagomål mail.docx", "A 43304-2019")</f>
        <v/>
      </c>
      <c r="X145">
        <f>HYPERLINK("https://klasma.github.io/Logging_0980/tillsyn/A 43304-2019 tillsynsbegäran.docx", "A 43304-2019")</f>
        <v/>
      </c>
      <c r="Y145">
        <f>HYPERLINK("https://klasma.github.io/Logging_0980/tillsynsmail/A 43304-2019 tillsynsbegäran mail.docx", "A 43304-2019")</f>
        <v/>
      </c>
    </row>
    <row r="146" ht="15" customHeight="1">
      <c r="A146" t="inlineStr">
        <is>
          <t>A 334-2020</t>
        </is>
      </c>
      <c r="B146" s="1" t="n">
        <v>43837</v>
      </c>
      <c r="C146" s="1" t="n">
        <v>45635</v>
      </c>
      <c r="D146" t="inlineStr">
        <is>
          <t>GOTLANDS LÄN</t>
        </is>
      </c>
      <c r="E146" t="inlineStr">
        <is>
          <t>GOTLAND</t>
        </is>
      </c>
      <c r="G146" t="n">
        <v>5.3</v>
      </c>
      <c r="H146" t="n">
        <v>2</v>
      </c>
      <c r="I146" t="n">
        <v>0</v>
      </c>
      <c r="J146" t="n">
        <v>1</v>
      </c>
      <c r="K146" t="n">
        <v>0</v>
      </c>
      <c r="L146" t="n">
        <v>0</v>
      </c>
      <c r="M146" t="n">
        <v>0</v>
      </c>
      <c r="N146" t="n">
        <v>0</v>
      </c>
      <c r="O146" t="n">
        <v>1</v>
      </c>
      <c r="P146" t="n">
        <v>0</v>
      </c>
      <c r="Q146" t="n">
        <v>2</v>
      </c>
      <c r="R146" s="2" t="inlineStr">
        <is>
          <t>Smådopping
Mindre vattensalamander</t>
        </is>
      </c>
      <c r="S146">
        <f>HYPERLINK("https://klasma.github.io/Logging_0980/artfynd/A 334-2020 artfynd.xlsx", "A 334-2020")</f>
        <v/>
      </c>
      <c r="T146">
        <f>HYPERLINK("https://klasma.github.io/Logging_0980/kartor/A 334-2020 karta.png", "A 334-2020")</f>
        <v/>
      </c>
      <c r="V146">
        <f>HYPERLINK("https://klasma.github.io/Logging_0980/klagomål/A 334-2020 FSC-klagomål.docx", "A 334-2020")</f>
        <v/>
      </c>
      <c r="W146">
        <f>HYPERLINK("https://klasma.github.io/Logging_0980/klagomålsmail/A 334-2020 FSC-klagomål mail.docx", "A 334-2020")</f>
        <v/>
      </c>
      <c r="X146">
        <f>HYPERLINK("https://klasma.github.io/Logging_0980/tillsyn/A 334-2020 tillsynsbegäran.docx", "A 334-2020")</f>
        <v/>
      </c>
      <c r="Y146">
        <f>HYPERLINK("https://klasma.github.io/Logging_0980/tillsynsmail/A 334-2020 tillsynsbegäran mail.docx", "A 334-2020")</f>
        <v/>
      </c>
    </row>
    <row r="147" ht="15" customHeight="1">
      <c r="A147" t="inlineStr">
        <is>
          <t>A 4812-2020</t>
        </is>
      </c>
      <c r="B147" s="1" t="n">
        <v>43852</v>
      </c>
      <c r="C147" s="1" t="n">
        <v>45635</v>
      </c>
      <c r="D147" t="inlineStr">
        <is>
          <t>GOTLANDS LÄN</t>
        </is>
      </c>
      <c r="E147" t="inlineStr">
        <is>
          <t>GOTLAND</t>
        </is>
      </c>
      <c r="G147" t="n">
        <v>3.9</v>
      </c>
      <c r="H147" t="n">
        <v>1</v>
      </c>
      <c r="I147" t="n">
        <v>1</v>
      </c>
      <c r="J147" t="n">
        <v>0</v>
      </c>
      <c r="K147" t="n">
        <v>1</v>
      </c>
      <c r="L147" t="n">
        <v>0</v>
      </c>
      <c r="M147" t="n">
        <v>0</v>
      </c>
      <c r="N147" t="n">
        <v>0</v>
      </c>
      <c r="O147" t="n">
        <v>1</v>
      </c>
      <c r="P147" t="n">
        <v>1</v>
      </c>
      <c r="Q147" t="n">
        <v>2</v>
      </c>
      <c r="R147" s="2" t="inlineStr">
        <is>
          <t>Gotlandsmåra
Nästrot</t>
        </is>
      </c>
      <c r="S147">
        <f>HYPERLINK("https://klasma.github.io/Logging_0980/artfynd/A 4812-2020 artfynd.xlsx", "A 4812-2020")</f>
        <v/>
      </c>
      <c r="T147">
        <f>HYPERLINK("https://klasma.github.io/Logging_0980/kartor/A 4812-2020 karta.png", "A 4812-2020")</f>
        <v/>
      </c>
      <c r="V147">
        <f>HYPERLINK("https://klasma.github.io/Logging_0980/klagomål/A 4812-2020 FSC-klagomål.docx", "A 4812-2020")</f>
        <v/>
      </c>
      <c r="W147">
        <f>HYPERLINK("https://klasma.github.io/Logging_0980/klagomålsmail/A 4812-2020 FSC-klagomål mail.docx", "A 4812-2020")</f>
        <v/>
      </c>
      <c r="X147">
        <f>HYPERLINK("https://klasma.github.io/Logging_0980/tillsyn/A 4812-2020 tillsynsbegäran.docx", "A 4812-2020")</f>
        <v/>
      </c>
      <c r="Y147">
        <f>HYPERLINK("https://klasma.github.io/Logging_0980/tillsynsmail/A 4812-2020 tillsynsbegäran mail.docx", "A 4812-2020")</f>
        <v/>
      </c>
    </row>
    <row r="148" ht="15" customHeight="1">
      <c r="A148" t="inlineStr">
        <is>
          <t>A 40879-2020</t>
        </is>
      </c>
      <c r="B148" s="1" t="n">
        <v>44070</v>
      </c>
      <c r="C148" s="1" t="n">
        <v>45635</v>
      </c>
      <c r="D148" t="inlineStr">
        <is>
          <t>GOTLANDS LÄN</t>
        </is>
      </c>
      <c r="E148" t="inlineStr">
        <is>
          <t>GOTLAND</t>
        </is>
      </c>
      <c r="G148" t="n">
        <v>6.4</v>
      </c>
      <c r="H148" t="n">
        <v>0</v>
      </c>
      <c r="I148" t="n">
        <v>1</v>
      </c>
      <c r="J148" t="n">
        <v>1</v>
      </c>
      <c r="K148" t="n">
        <v>0</v>
      </c>
      <c r="L148" t="n">
        <v>0</v>
      </c>
      <c r="M148" t="n">
        <v>0</v>
      </c>
      <c r="N148" t="n">
        <v>0</v>
      </c>
      <c r="O148" t="n">
        <v>1</v>
      </c>
      <c r="P148" t="n">
        <v>0</v>
      </c>
      <c r="Q148" t="n">
        <v>2</v>
      </c>
      <c r="R148" s="2" t="inlineStr">
        <is>
          <t>Odörspindling
Olivspindling</t>
        </is>
      </c>
      <c r="S148">
        <f>HYPERLINK("https://klasma.github.io/Logging_0980/artfynd/A 40879-2020 artfynd.xlsx", "A 40879-2020")</f>
        <v/>
      </c>
      <c r="T148">
        <f>HYPERLINK("https://klasma.github.io/Logging_0980/kartor/A 40879-2020 karta.png", "A 40879-2020")</f>
        <v/>
      </c>
      <c r="V148">
        <f>HYPERLINK("https://klasma.github.io/Logging_0980/klagomål/A 40879-2020 FSC-klagomål.docx", "A 40879-2020")</f>
        <v/>
      </c>
      <c r="W148">
        <f>HYPERLINK("https://klasma.github.io/Logging_0980/klagomålsmail/A 40879-2020 FSC-klagomål mail.docx", "A 40879-2020")</f>
        <v/>
      </c>
      <c r="X148">
        <f>HYPERLINK("https://klasma.github.io/Logging_0980/tillsyn/A 40879-2020 tillsynsbegäran.docx", "A 40879-2020")</f>
        <v/>
      </c>
      <c r="Y148">
        <f>HYPERLINK("https://klasma.github.io/Logging_0980/tillsynsmail/A 40879-2020 tillsynsbegäran mail.docx", "A 40879-2020")</f>
        <v/>
      </c>
    </row>
    <row r="149" ht="15" customHeight="1">
      <c r="A149" t="inlineStr">
        <is>
          <t>A 43321-2020</t>
        </is>
      </c>
      <c r="B149" s="1" t="n">
        <v>44081</v>
      </c>
      <c r="C149" s="1" t="n">
        <v>45635</v>
      </c>
      <c r="D149" t="inlineStr">
        <is>
          <t>GOTLANDS LÄN</t>
        </is>
      </c>
      <c r="E149" t="inlineStr">
        <is>
          <t>GOTLAND</t>
        </is>
      </c>
      <c r="G149" t="n">
        <v>10</v>
      </c>
      <c r="H149" t="n">
        <v>1</v>
      </c>
      <c r="I149" t="n">
        <v>0</v>
      </c>
      <c r="J149" t="n">
        <v>2</v>
      </c>
      <c r="K149" t="n">
        <v>0</v>
      </c>
      <c r="L149" t="n">
        <v>0</v>
      </c>
      <c r="M149" t="n">
        <v>0</v>
      </c>
      <c r="N149" t="n">
        <v>0</v>
      </c>
      <c r="O149" t="n">
        <v>2</v>
      </c>
      <c r="P149" t="n">
        <v>0</v>
      </c>
      <c r="Q149" t="n">
        <v>2</v>
      </c>
      <c r="R149" s="2" t="inlineStr">
        <is>
          <t>Buskskvätta
Ängsnätfjäril</t>
        </is>
      </c>
      <c r="S149">
        <f>HYPERLINK("https://klasma.github.io/Logging_0980/artfynd/A 43321-2020 artfynd.xlsx", "A 43321-2020")</f>
        <v/>
      </c>
      <c r="T149">
        <f>HYPERLINK("https://klasma.github.io/Logging_0980/kartor/A 43321-2020 karta.png", "A 43321-2020")</f>
        <v/>
      </c>
      <c r="V149">
        <f>HYPERLINK("https://klasma.github.io/Logging_0980/klagomål/A 43321-2020 FSC-klagomål.docx", "A 43321-2020")</f>
        <v/>
      </c>
      <c r="W149">
        <f>HYPERLINK("https://klasma.github.io/Logging_0980/klagomålsmail/A 43321-2020 FSC-klagomål mail.docx", "A 43321-2020")</f>
        <v/>
      </c>
      <c r="X149">
        <f>HYPERLINK("https://klasma.github.io/Logging_0980/tillsyn/A 43321-2020 tillsynsbegäran.docx", "A 43321-2020")</f>
        <v/>
      </c>
      <c r="Y149">
        <f>HYPERLINK("https://klasma.github.io/Logging_0980/tillsynsmail/A 43321-2020 tillsynsbegäran mail.docx", "A 43321-2020")</f>
        <v/>
      </c>
      <c r="Z149">
        <f>HYPERLINK("https://klasma.github.io/Logging_0980/fåglar/A 43321-2020 prioriterade fågelarter.docx", "A 43321-2020")</f>
        <v/>
      </c>
    </row>
    <row r="150" ht="15" customHeight="1">
      <c r="A150" t="inlineStr">
        <is>
          <t>A 58701-2020</t>
        </is>
      </c>
      <c r="B150" s="1" t="n">
        <v>44146</v>
      </c>
      <c r="C150" s="1" t="n">
        <v>45635</v>
      </c>
      <c r="D150" t="inlineStr">
        <is>
          <t>GOTLANDS LÄN</t>
        </is>
      </c>
      <c r="E150" t="inlineStr">
        <is>
          <t>GOTLAND</t>
        </is>
      </c>
      <c r="G150" t="n">
        <v>5.5</v>
      </c>
      <c r="H150" t="n">
        <v>0</v>
      </c>
      <c r="I150" t="n">
        <v>0</v>
      </c>
      <c r="J150" t="n">
        <v>1</v>
      </c>
      <c r="K150" t="n">
        <v>1</v>
      </c>
      <c r="L150" t="n">
        <v>0</v>
      </c>
      <c r="M150" t="n">
        <v>0</v>
      </c>
      <c r="N150" t="n">
        <v>0</v>
      </c>
      <c r="O150" t="n">
        <v>2</v>
      </c>
      <c r="P150" t="n">
        <v>1</v>
      </c>
      <c r="Q150" t="n">
        <v>2</v>
      </c>
      <c r="R150" s="2" t="inlineStr">
        <is>
          <t>Vit taggsvamp
Odörspindling</t>
        </is>
      </c>
      <c r="S150">
        <f>HYPERLINK("https://klasma.github.io/Logging_0980/artfynd/A 58701-2020 artfynd.xlsx", "A 58701-2020")</f>
        <v/>
      </c>
      <c r="T150">
        <f>HYPERLINK("https://klasma.github.io/Logging_0980/kartor/A 58701-2020 karta.png", "A 58701-2020")</f>
        <v/>
      </c>
      <c r="V150">
        <f>HYPERLINK("https://klasma.github.io/Logging_0980/klagomål/A 58701-2020 FSC-klagomål.docx", "A 58701-2020")</f>
        <v/>
      </c>
      <c r="W150">
        <f>HYPERLINK("https://klasma.github.io/Logging_0980/klagomålsmail/A 58701-2020 FSC-klagomål mail.docx", "A 58701-2020")</f>
        <v/>
      </c>
      <c r="X150">
        <f>HYPERLINK("https://klasma.github.io/Logging_0980/tillsyn/A 58701-2020 tillsynsbegäran.docx", "A 58701-2020")</f>
        <v/>
      </c>
      <c r="Y150">
        <f>HYPERLINK("https://klasma.github.io/Logging_0980/tillsynsmail/A 58701-2020 tillsynsbegäran mail.docx", "A 58701-2020")</f>
        <v/>
      </c>
    </row>
    <row r="151" ht="15" customHeight="1">
      <c r="A151" t="inlineStr">
        <is>
          <t>A 64263-2020</t>
        </is>
      </c>
      <c r="B151" s="1" t="n">
        <v>44168</v>
      </c>
      <c r="C151" s="1" t="n">
        <v>45635</v>
      </c>
      <c r="D151" t="inlineStr">
        <is>
          <t>GOTLANDS LÄN</t>
        </is>
      </c>
      <c r="E151" t="inlineStr">
        <is>
          <t>GOTLAND</t>
        </is>
      </c>
      <c r="G151" t="n">
        <v>10.9</v>
      </c>
      <c r="H151" t="n">
        <v>1</v>
      </c>
      <c r="I151" t="n">
        <v>0</v>
      </c>
      <c r="J151" t="n">
        <v>2</v>
      </c>
      <c r="K151" t="n">
        <v>0</v>
      </c>
      <c r="L151" t="n">
        <v>0</v>
      </c>
      <c r="M151" t="n">
        <v>0</v>
      </c>
      <c r="N151" t="n">
        <v>0</v>
      </c>
      <c r="O151" t="n">
        <v>2</v>
      </c>
      <c r="P151" t="n">
        <v>0</v>
      </c>
      <c r="Q151" t="n">
        <v>2</v>
      </c>
      <c r="R151" s="2" t="inlineStr">
        <is>
          <t>Mindre hackspett
Ullticka</t>
        </is>
      </c>
      <c r="S151">
        <f>HYPERLINK("https://klasma.github.io/Logging_0980/artfynd/A 64263-2020 artfynd.xlsx", "A 64263-2020")</f>
        <v/>
      </c>
      <c r="T151">
        <f>HYPERLINK("https://klasma.github.io/Logging_0980/kartor/A 64263-2020 karta.png", "A 64263-2020")</f>
        <v/>
      </c>
      <c r="V151">
        <f>HYPERLINK("https://klasma.github.io/Logging_0980/klagomål/A 64263-2020 FSC-klagomål.docx", "A 64263-2020")</f>
        <v/>
      </c>
      <c r="W151">
        <f>HYPERLINK("https://klasma.github.io/Logging_0980/klagomålsmail/A 64263-2020 FSC-klagomål mail.docx", "A 64263-2020")</f>
        <v/>
      </c>
      <c r="X151">
        <f>HYPERLINK("https://klasma.github.io/Logging_0980/tillsyn/A 64263-2020 tillsynsbegäran.docx", "A 64263-2020")</f>
        <v/>
      </c>
      <c r="Y151">
        <f>HYPERLINK("https://klasma.github.io/Logging_0980/tillsynsmail/A 64263-2020 tillsynsbegäran mail.docx", "A 64263-2020")</f>
        <v/>
      </c>
      <c r="Z151">
        <f>HYPERLINK("https://klasma.github.io/Logging_0980/fåglar/A 64263-2020 prioriterade fågelarter.docx", "A 64263-2020")</f>
        <v/>
      </c>
    </row>
    <row r="152" ht="15" customHeight="1">
      <c r="A152" t="inlineStr">
        <is>
          <t>A 9930-2021</t>
        </is>
      </c>
      <c r="B152" s="1" t="n">
        <v>44252</v>
      </c>
      <c r="C152" s="1" t="n">
        <v>45635</v>
      </c>
      <c r="D152" t="inlineStr">
        <is>
          <t>GOTLANDS LÄN</t>
        </is>
      </c>
      <c r="E152" t="inlineStr">
        <is>
          <t>GOTLAND</t>
        </is>
      </c>
      <c r="G152" t="n">
        <v>1.9</v>
      </c>
      <c r="H152" t="n">
        <v>0</v>
      </c>
      <c r="I152" t="n">
        <v>0</v>
      </c>
      <c r="J152" t="n">
        <v>0</v>
      </c>
      <c r="K152" t="n">
        <v>0</v>
      </c>
      <c r="L152" t="n">
        <v>1</v>
      </c>
      <c r="M152" t="n">
        <v>1</v>
      </c>
      <c r="N152" t="n">
        <v>0</v>
      </c>
      <c r="O152" t="n">
        <v>2</v>
      </c>
      <c r="P152" t="n">
        <v>2</v>
      </c>
      <c r="Q152" t="n">
        <v>2</v>
      </c>
      <c r="R152" s="2" t="inlineStr">
        <is>
          <t>Lundalm
Ask</t>
        </is>
      </c>
      <c r="S152">
        <f>HYPERLINK("https://klasma.github.io/Logging_0980/artfynd/A 9930-2021 artfynd.xlsx", "A 9930-2021")</f>
        <v/>
      </c>
      <c r="T152">
        <f>HYPERLINK("https://klasma.github.io/Logging_0980/kartor/A 9930-2021 karta.png", "A 9930-2021")</f>
        <v/>
      </c>
      <c r="V152">
        <f>HYPERLINK("https://klasma.github.io/Logging_0980/klagomål/A 9930-2021 FSC-klagomål.docx", "A 9930-2021")</f>
        <v/>
      </c>
      <c r="W152">
        <f>HYPERLINK("https://klasma.github.io/Logging_0980/klagomålsmail/A 9930-2021 FSC-klagomål mail.docx", "A 9930-2021")</f>
        <v/>
      </c>
      <c r="X152">
        <f>HYPERLINK("https://klasma.github.io/Logging_0980/tillsyn/A 9930-2021 tillsynsbegäran.docx", "A 9930-2021")</f>
        <v/>
      </c>
      <c r="Y152">
        <f>HYPERLINK("https://klasma.github.io/Logging_0980/tillsynsmail/A 9930-2021 tillsynsbegäran mail.docx", "A 9930-2021")</f>
        <v/>
      </c>
    </row>
    <row r="153" ht="15" customHeight="1">
      <c r="A153" t="inlineStr">
        <is>
          <t>A 16429-2021</t>
        </is>
      </c>
      <c r="B153" s="1" t="n">
        <v>44293</v>
      </c>
      <c r="C153" s="1" t="n">
        <v>45635</v>
      </c>
      <c r="D153" t="inlineStr">
        <is>
          <t>GOTLANDS LÄN</t>
        </is>
      </c>
      <c r="E153" t="inlineStr">
        <is>
          <t>GOTLAND</t>
        </is>
      </c>
      <c r="G153" t="n">
        <v>3.4</v>
      </c>
      <c r="H153" t="n">
        <v>0</v>
      </c>
      <c r="I153" t="n">
        <v>0</v>
      </c>
      <c r="J153" t="n">
        <v>1</v>
      </c>
      <c r="K153" t="n">
        <v>1</v>
      </c>
      <c r="L153" t="n">
        <v>0</v>
      </c>
      <c r="M153" t="n">
        <v>0</v>
      </c>
      <c r="N153" t="n">
        <v>0</v>
      </c>
      <c r="O153" t="n">
        <v>2</v>
      </c>
      <c r="P153" t="n">
        <v>1</v>
      </c>
      <c r="Q153" t="n">
        <v>2</v>
      </c>
      <c r="R153" s="2" t="inlineStr">
        <is>
          <t>Gotlandsmåra
Barrviolspindling</t>
        </is>
      </c>
      <c r="S153">
        <f>HYPERLINK("https://klasma.github.io/Logging_0980/artfynd/A 16429-2021 artfynd.xlsx", "A 16429-2021")</f>
        <v/>
      </c>
      <c r="T153">
        <f>HYPERLINK("https://klasma.github.io/Logging_0980/kartor/A 16429-2021 karta.png", "A 16429-2021")</f>
        <v/>
      </c>
      <c r="V153">
        <f>HYPERLINK("https://klasma.github.io/Logging_0980/klagomål/A 16429-2021 FSC-klagomål.docx", "A 16429-2021")</f>
        <v/>
      </c>
      <c r="W153">
        <f>HYPERLINK("https://klasma.github.io/Logging_0980/klagomålsmail/A 16429-2021 FSC-klagomål mail.docx", "A 16429-2021")</f>
        <v/>
      </c>
      <c r="X153">
        <f>HYPERLINK("https://klasma.github.io/Logging_0980/tillsyn/A 16429-2021 tillsynsbegäran.docx", "A 16429-2021")</f>
        <v/>
      </c>
      <c r="Y153">
        <f>HYPERLINK("https://klasma.github.io/Logging_0980/tillsynsmail/A 16429-2021 tillsynsbegäran mail.docx", "A 16429-2021")</f>
        <v/>
      </c>
    </row>
    <row r="154" ht="15" customHeight="1">
      <c r="A154" t="inlineStr">
        <is>
          <t>A 29870-2021</t>
        </is>
      </c>
      <c r="B154" s="1" t="n">
        <v>44362</v>
      </c>
      <c r="C154" s="1" t="n">
        <v>45635</v>
      </c>
      <c r="D154" t="inlineStr">
        <is>
          <t>GOTLANDS LÄN</t>
        </is>
      </c>
      <c r="E154" t="inlineStr">
        <is>
          <t>GOTLAND</t>
        </is>
      </c>
      <c r="G154" t="n">
        <v>2.4</v>
      </c>
      <c r="H154" t="n">
        <v>0</v>
      </c>
      <c r="I154" t="n">
        <v>1</v>
      </c>
      <c r="J154" t="n">
        <v>0</v>
      </c>
      <c r="K154" t="n">
        <v>1</v>
      </c>
      <c r="L154" t="n">
        <v>0</v>
      </c>
      <c r="M154" t="n">
        <v>0</v>
      </c>
      <c r="N154" t="n">
        <v>0</v>
      </c>
      <c r="O154" t="n">
        <v>1</v>
      </c>
      <c r="P154" t="n">
        <v>1</v>
      </c>
      <c r="Q154" t="n">
        <v>2</v>
      </c>
      <c r="R154" s="2" t="inlineStr">
        <is>
          <t>Blåfotad fagerspindling
Olivspindling</t>
        </is>
      </c>
      <c r="S154">
        <f>HYPERLINK("https://klasma.github.io/Logging_0980/artfynd/A 29870-2021 artfynd.xlsx", "A 29870-2021")</f>
        <v/>
      </c>
      <c r="T154">
        <f>HYPERLINK("https://klasma.github.io/Logging_0980/kartor/A 29870-2021 karta.png", "A 29870-2021")</f>
        <v/>
      </c>
      <c r="V154">
        <f>HYPERLINK("https://klasma.github.io/Logging_0980/klagomål/A 29870-2021 FSC-klagomål.docx", "A 29870-2021")</f>
        <v/>
      </c>
      <c r="W154">
        <f>HYPERLINK("https://klasma.github.io/Logging_0980/klagomålsmail/A 29870-2021 FSC-klagomål mail.docx", "A 29870-2021")</f>
        <v/>
      </c>
      <c r="X154">
        <f>HYPERLINK("https://klasma.github.io/Logging_0980/tillsyn/A 29870-2021 tillsynsbegäran.docx", "A 29870-2021")</f>
        <v/>
      </c>
      <c r="Y154">
        <f>HYPERLINK("https://klasma.github.io/Logging_0980/tillsynsmail/A 29870-2021 tillsynsbegäran mail.docx", "A 29870-2021")</f>
        <v/>
      </c>
    </row>
    <row r="155" ht="15" customHeight="1">
      <c r="A155" t="inlineStr">
        <is>
          <t>A 41346-2021</t>
        </is>
      </c>
      <c r="B155" s="1" t="n">
        <v>44424</v>
      </c>
      <c r="C155" s="1" t="n">
        <v>45635</v>
      </c>
      <c r="D155" t="inlineStr">
        <is>
          <t>GOTLANDS LÄN</t>
        </is>
      </c>
      <c r="E155" t="inlineStr">
        <is>
          <t>GOTLAND</t>
        </is>
      </c>
      <c r="G155" t="n">
        <v>0.9</v>
      </c>
      <c r="H155" t="n">
        <v>0</v>
      </c>
      <c r="I155" t="n">
        <v>1</v>
      </c>
      <c r="J155" t="n">
        <v>0</v>
      </c>
      <c r="K155" t="n">
        <v>1</v>
      </c>
      <c r="L155" t="n">
        <v>0</v>
      </c>
      <c r="M155" t="n">
        <v>0</v>
      </c>
      <c r="N155" t="n">
        <v>0</v>
      </c>
      <c r="O155" t="n">
        <v>1</v>
      </c>
      <c r="P155" t="n">
        <v>1</v>
      </c>
      <c r="Q155" t="n">
        <v>2</v>
      </c>
      <c r="R155" s="2" t="inlineStr">
        <is>
          <t>Vit taggsvamp
Fjällig taggsvamp s.str.</t>
        </is>
      </c>
      <c r="S155">
        <f>HYPERLINK("https://klasma.github.io/Logging_0980/artfynd/A 41346-2021 artfynd.xlsx", "A 41346-2021")</f>
        <v/>
      </c>
      <c r="T155">
        <f>HYPERLINK("https://klasma.github.io/Logging_0980/kartor/A 41346-2021 karta.png", "A 41346-2021")</f>
        <v/>
      </c>
      <c r="V155">
        <f>HYPERLINK("https://klasma.github.io/Logging_0980/klagomål/A 41346-2021 FSC-klagomål.docx", "A 41346-2021")</f>
        <v/>
      </c>
      <c r="W155">
        <f>HYPERLINK("https://klasma.github.io/Logging_0980/klagomålsmail/A 41346-2021 FSC-klagomål mail.docx", "A 41346-2021")</f>
        <v/>
      </c>
      <c r="X155">
        <f>HYPERLINK("https://klasma.github.io/Logging_0980/tillsyn/A 41346-2021 tillsynsbegäran.docx", "A 41346-2021")</f>
        <v/>
      </c>
      <c r="Y155">
        <f>HYPERLINK("https://klasma.github.io/Logging_0980/tillsynsmail/A 41346-2021 tillsynsbegäran mail.docx", "A 41346-2021")</f>
        <v/>
      </c>
    </row>
    <row r="156" ht="15" customHeight="1">
      <c r="A156" t="inlineStr">
        <is>
          <t>A 51737-2021</t>
        </is>
      </c>
      <c r="B156" s="1" t="n">
        <v>44462</v>
      </c>
      <c r="C156" s="1" t="n">
        <v>45635</v>
      </c>
      <c r="D156" t="inlineStr">
        <is>
          <t>GOTLANDS LÄN</t>
        </is>
      </c>
      <c r="E156" t="inlineStr">
        <is>
          <t>GOTLAND</t>
        </is>
      </c>
      <c r="G156" t="n">
        <v>8.6</v>
      </c>
      <c r="H156" t="n">
        <v>0</v>
      </c>
      <c r="I156" t="n">
        <v>1</v>
      </c>
      <c r="J156" t="n">
        <v>1</v>
      </c>
      <c r="K156" t="n">
        <v>0</v>
      </c>
      <c r="L156" t="n">
        <v>0</v>
      </c>
      <c r="M156" t="n">
        <v>0</v>
      </c>
      <c r="N156" t="n">
        <v>0</v>
      </c>
      <c r="O156" t="n">
        <v>1</v>
      </c>
      <c r="P156" t="n">
        <v>0</v>
      </c>
      <c r="Q156" t="n">
        <v>2</v>
      </c>
      <c r="R156" s="2" t="inlineStr">
        <is>
          <t>Igelkott
Kambräken</t>
        </is>
      </c>
      <c r="S156">
        <f>HYPERLINK("https://klasma.github.io/Logging_0980/artfynd/A 51737-2021 artfynd.xlsx", "A 51737-2021")</f>
        <v/>
      </c>
      <c r="T156">
        <f>HYPERLINK("https://klasma.github.io/Logging_0980/kartor/A 51737-2021 karta.png", "A 51737-2021")</f>
        <v/>
      </c>
      <c r="V156">
        <f>HYPERLINK("https://klasma.github.io/Logging_0980/klagomål/A 51737-2021 FSC-klagomål.docx", "A 51737-2021")</f>
        <v/>
      </c>
      <c r="W156">
        <f>HYPERLINK("https://klasma.github.io/Logging_0980/klagomålsmail/A 51737-2021 FSC-klagomål mail.docx", "A 51737-2021")</f>
        <v/>
      </c>
      <c r="X156">
        <f>HYPERLINK("https://klasma.github.io/Logging_0980/tillsyn/A 51737-2021 tillsynsbegäran.docx", "A 51737-2021")</f>
        <v/>
      </c>
      <c r="Y156">
        <f>HYPERLINK("https://klasma.github.io/Logging_0980/tillsynsmail/A 51737-2021 tillsynsbegäran mail.docx", "A 51737-2021")</f>
        <v/>
      </c>
    </row>
    <row r="157" ht="15" customHeight="1">
      <c r="A157" t="inlineStr">
        <is>
          <t>A 60665-2021</t>
        </is>
      </c>
      <c r="B157" s="1" t="n">
        <v>44496</v>
      </c>
      <c r="C157" s="1" t="n">
        <v>45635</v>
      </c>
      <c r="D157" t="inlineStr">
        <is>
          <t>GOTLANDS LÄN</t>
        </is>
      </c>
      <c r="E157" t="inlineStr">
        <is>
          <t>GOTLAND</t>
        </is>
      </c>
      <c r="G157" t="n">
        <v>1.6</v>
      </c>
      <c r="H157" t="n">
        <v>0</v>
      </c>
      <c r="I157" t="n">
        <v>0</v>
      </c>
      <c r="J157" t="n">
        <v>0</v>
      </c>
      <c r="K157" t="n">
        <v>1</v>
      </c>
      <c r="L157" t="n">
        <v>1</v>
      </c>
      <c r="M157" t="n">
        <v>0</v>
      </c>
      <c r="N157" t="n">
        <v>0</v>
      </c>
      <c r="O157" t="n">
        <v>2</v>
      </c>
      <c r="P157" t="n">
        <v>2</v>
      </c>
      <c r="Q157" t="n">
        <v>2</v>
      </c>
      <c r="R157" s="2" t="inlineStr">
        <is>
          <t>Ädellav
Skogskorn</t>
        </is>
      </c>
      <c r="S157">
        <f>HYPERLINK("https://klasma.github.io/Logging_0980/artfynd/A 60665-2021 artfynd.xlsx", "A 60665-2021")</f>
        <v/>
      </c>
      <c r="T157">
        <f>HYPERLINK("https://klasma.github.io/Logging_0980/kartor/A 60665-2021 karta.png", "A 60665-2021")</f>
        <v/>
      </c>
      <c r="V157">
        <f>HYPERLINK("https://klasma.github.io/Logging_0980/klagomål/A 60665-2021 FSC-klagomål.docx", "A 60665-2021")</f>
        <v/>
      </c>
      <c r="W157">
        <f>HYPERLINK("https://klasma.github.io/Logging_0980/klagomålsmail/A 60665-2021 FSC-klagomål mail.docx", "A 60665-2021")</f>
        <v/>
      </c>
      <c r="X157">
        <f>HYPERLINK("https://klasma.github.io/Logging_0980/tillsyn/A 60665-2021 tillsynsbegäran.docx", "A 60665-2021")</f>
        <v/>
      </c>
      <c r="Y157">
        <f>HYPERLINK("https://klasma.github.io/Logging_0980/tillsynsmail/A 60665-2021 tillsynsbegäran mail.docx", "A 60665-2021")</f>
        <v/>
      </c>
    </row>
    <row r="158" ht="15" customHeight="1">
      <c r="A158" t="inlineStr">
        <is>
          <t>A 73144-2021</t>
        </is>
      </c>
      <c r="B158" s="1" t="n">
        <v>44550</v>
      </c>
      <c r="C158" s="1" t="n">
        <v>45635</v>
      </c>
      <c r="D158" t="inlineStr">
        <is>
          <t>GOTLANDS LÄN</t>
        </is>
      </c>
      <c r="E158" t="inlineStr">
        <is>
          <t>GOTLAND</t>
        </is>
      </c>
      <c r="G158" t="n">
        <v>1.9</v>
      </c>
      <c r="H158" t="n">
        <v>0</v>
      </c>
      <c r="I158" t="n">
        <v>1</v>
      </c>
      <c r="J158" t="n">
        <v>0</v>
      </c>
      <c r="K158" t="n">
        <v>1</v>
      </c>
      <c r="L158" t="n">
        <v>0</v>
      </c>
      <c r="M158" t="n">
        <v>0</v>
      </c>
      <c r="N158" t="n">
        <v>0</v>
      </c>
      <c r="O158" t="n">
        <v>1</v>
      </c>
      <c r="P158" t="n">
        <v>1</v>
      </c>
      <c r="Q158" t="n">
        <v>2</v>
      </c>
      <c r="R158" s="2" t="inlineStr">
        <is>
          <t>Skogskorn
Kambräken</t>
        </is>
      </c>
      <c r="S158">
        <f>HYPERLINK("https://klasma.github.io/Logging_0980/artfynd/A 73144-2021 artfynd.xlsx", "A 73144-2021")</f>
        <v/>
      </c>
      <c r="T158">
        <f>HYPERLINK("https://klasma.github.io/Logging_0980/kartor/A 73144-2021 karta.png", "A 73144-2021")</f>
        <v/>
      </c>
      <c r="V158">
        <f>HYPERLINK("https://klasma.github.io/Logging_0980/klagomål/A 73144-2021 FSC-klagomål.docx", "A 73144-2021")</f>
        <v/>
      </c>
      <c r="W158">
        <f>HYPERLINK("https://klasma.github.io/Logging_0980/klagomålsmail/A 73144-2021 FSC-klagomål mail.docx", "A 73144-2021")</f>
        <v/>
      </c>
      <c r="X158">
        <f>HYPERLINK("https://klasma.github.io/Logging_0980/tillsyn/A 73144-2021 tillsynsbegäran.docx", "A 73144-2021")</f>
        <v/>
      </c>
      <c r="Y158">
        <f>HYPERLINK("https://klasma.github.io/Logging_0980/tillsynsmail/A 73144-2021 tillsynsbegäran mail.docx", "A 73144-2021")</f>
        <v/>
      </c>
    </row>
    <row r="159" ht="15" customHeight="1">
      <c r="A159" t="inlineStr">
        <is>
          <t>A 7070-2022</t>
        </is>
      </c>
      <c r="B159" s="1" t="n">
        <v>44603</v>
      </c>
      <c r="C159" s="1" t="n">
        <v>45635</v>
      </c>
      <c r="D159" t="inlineStr">
        <is>
          <t>GOTLANDS LÄN</t>
        </is>
      </c>
      <c r="E159" t="inlineStr">
        <is>
          <t>GOTLAND</t>
        </is>
      </c>
      <c r="G159" t="n">
        <v>2.6</v>
      </c>
      <c r="H159" t="n">
        <v>0</v>
      </c>
      <c r="I159" t="n">
        <v>2</v>
      </c>
      <c r="J159" t="n">
        <v>0</v>
      </c>
      <c r="K159" t="n">
        <v>0</v>
      </c>
      <c r="L159" t="n">
        <v>0</v>
      </c>
      <c r="M159" t="n">
        <v>0</v>
      </c>
      <c r="N159" t="n">
        <v>0</v>
      </c>
      <c r="O159" t="n">
        <v>0</v>
      </c>
      <c r="P159" t="n">
        <v>0</v>
      </c>
      <c r="Q159" t="n">
        <v>2</v>
      </c>
      <c r="R159" s="2" t="inlineStr">
        <is>
          <t>Blåmossa
Kattfotslav</t>
        </is>
      </c>
      <c r="S159">
        <f>HYPERLINK("https://klasma.github.io/Logging_0980/artfynd/A 7070-2022 artfynd.xlsx", "A 7070-2022")</f>
        <v/>
      </c>
      <c r="T159">
        <f>HYPERLINK("https://klasma.github.io/Logging_0980/kartor/A 7070-2022 karta.png", "A 7070-2022")</f>
        <v/>
      </c>
      <c r="V159">
        <f>HYPERLINK("https://klasma.github.io/Logging_0980/klagomål/A 7070-2022 FSC-klagomål.docx", "A 7070-2022")</f>
        <v/>
      </c>
      <c r="W159">
        <f>HYPERLINK("https://klasma.github.io/Logging_0980/klagomålsmail/A 7070-2022 FSC-klagomål mail.docx", "A 7070-2022")</f>
        <v/>
      </c>
      <c r="X159">
        <f>HYPERLINK("https://klasma.github.io/Logging_0980/tillsyn/A 7070-2022 tillsynsbegäran.docx", "A 7070-2022")</f>
        <v/>
      </c>
      <c r="Y159">
        <f>HYPERLINK("https://klasma.github.io/Logging_0980/tillsynsmail/A 7070-2022 tillsynsbegäran mail.docx", "A 7070-2022")</f>
        <v/>
      </c>
    </row>
    <row r="160" ht="15" customHeight="1">
      <c r="A160" t="inlineStr">
        <is>
          <t>A 19175-2022</t>
        </is>
      </c>
      <c r="B160" s="1" t="n">
        <v>44691</v>
      </c>
      <c r="C160" s="1" t="n">
        <v>45635</v>
      </c>
      <c r="D160" t="inlineStr">
        <is>
          <t>GOTLANDS LÄN</t>
        </is>
      </c>
      <c r="E160" t="inlineStr">
        <is>
          <t>GOTLAND</t>
        </is>
      </c>
      <c r="G160" t="n">
        <v>8.5</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19175-2022 artfynd.xlsx", "A 19175-2022")</f>
        <v/>
      </c>
      <c r="T160">
        <f>HYPERLINK("https://klasma.github.io/Logging_0980/kartor/A 19175-2022 karta.png", "A 19175-2022")</f>
        <v/>
      </c>
      <c r="V160">
        <f>HYPERLINK("https://klasma.github.io/Logging_0980/klagomål/A 19175-2022 FSC-klagomål.docx", "A 19175-2022")</f>
        <v/>
      </c>
      <c r="W160">
        <f>HYPERLINK("https://klasma.github.io/Logging_0980/klagomålsmail/A 19175-2022 FSC-klagomål mail.docx", "A 19175-2022")</f>
        <v/>
      </c>
      <c r="X160">
        <f>HYPERLINK("https://klasma.github.io/Logging_0980/tillsyn/A 19175-2022 tillsynsbegäran.docx", "A 19175-2022")</f>
        <v/>
      </c>
      <c r="Y160">
        <f>HYPERLINK("https://klasma.github.io/Logging_0980/tillsynsmail/A 19175-2022 tillsynsbegäran mail.docx", "A 19175-2022")</f>
        <v/>
      </c>
      <c r="Z160">
        <f>HYPERLINK("https://klasma.github.io/Logging_0980/fåglar/A 19175-2022 prioriterade fågelarter.docx", "A 19175-2022")</f>
        <v/>
      </c>
    </row>
    <row r="161" ht="15" customHeight="1">
      <c r="A161" t="inlineStr">
        <is>
          <t>A 20218-2022</t>
        </is>
      </c>
      <c r="B161" s="1" t="n">
        <v>44698</v>
      </c>
      <c r="C161" s="1" t="n">
        <v>45635</v>
      </c>
      <c r="D161" t="inlineStr">
        <is>
          <t>GOTLANDS LÄN</t>
        </is>
      </c>
      <c r="E161" t="inlineStr">
        <is>
          <t>GOTLAND</t>
        </is>
      </c>
      <c r="G161" t="n">
        <v>4.3</v>
      </c>
      <c r="H161" t="n">
        <v>0</v>
      </c>
      <c r="I161" t="n">
        <v>1</v>
      </c>
      <c r="J161" t="n">
        <v>1</v>
      </c>
      <c r="K161" t="n">
        <v>0</v>
      </c>
      <c r="L161" t="n">
        <v>0</v>
      </c>
      <c r="M161" t="n">
        <v>0</v>
      </c>
      <c r="N161" t="n">
        <v>0</v>
      </c>
      <c r="O161" t="n">
        <v>1</v>
      </c>
      <c r="P161" t="n">
        <v>0</v>
      </c>
      <c r="Q161" t="n">
        <v>2</v>
      </c>
      <c r="R161" s="2" t="inlineStr">
        <is>
          <t>Flattoppad klubbsvamp
Rödgul trumpetsvamp</t>
        </is>
      </c>
      <c r="S161">
        <f>HYPERLINK("https://klasma.github.io/Logging_0980/artfynd/A 20218-2022 artfynd.xlsx", "A 20218-2022")</f>
        <v/>
      </c>
      <c r="T161">
        <f>HYPERLINK("https://klasma.github.io/Logging_0980/kartor/A 20218-2022 karta.png", "A 20218-2022")</f>
        <v/>
      </c>
      <c r="V161">
        <f>HYPERLINK("https://klasma.github.io/Logging_0980/klagomål/A 20218-2022 FSC-klagomål.docx", "A 20218-2022")</f>
        <v/>
      </c>
      <c r="W161">
        <f>HYPERLINK("https://klasma.github.io/Logging_0980/klagomålsmail/A 20218-2022 FSC-klagomål mail.docx", "A 20218-2022")</f>
        <v/>
      </c>
      <c r="X161">
        <f>HYPERLINK("https://klasma.github.io/Logging_0980/tillsyn/A 20218-2022 tillsynsbegäran.docx", "A 20218-2022")</f>
        <v/>
      </c>
      <c r="Y161">
        <f>HYPERLINK("https://klasma.github.io/Logging_0980/tillsynsmail/A 20218-2022 tillsynsbegäran mail.docx", "A 20218-2022")</f>
        <v/>
      </c>
    </row>
    <row r="162" ht="15" customHeight="1">
      <c r="A162" t="inlineStr">
        <is>
          <t>A 48126-2022</t>
        </is>
      </c>
      <c r="B162" s="1" t="n">
        <v>44857</v>
      </c>
      <c r="C162" s="1" t="n">
        <v>45635</v>
      </c>
      <c r="D162" t="inlineStr">
        <is>
          <t>GOTLANDS LÄN</t>
        </is>
      </c>
      <c r="E162" t="inlineStr">
        <is>
          <t>GOTLAND</t>
        </is>
      </c>
      <c r="G162" t="n">
        <v>9.800000000000001</v>
      </c>
      <c r="H162" t="n">
        <v>1</v>
      </c>
      <c r="I162" t="n">
        <v>0</v>
      </c>
      <c r="J162" t="n">
        <v>2</v>
      </c>
      <c r="K162" t="n">
        <v>0</v>
      </c>
      <c r="L162" t="n">
        <v>0</v>
      </c>
      <c r="M162" t="n">
        <v>0</v>
      </c>
      <c r="N162" t="n">
        <v>0</v>
      </c>
      <c r="O162" t="n">
        <v>2</v>
      </c>
      <c r="P162" t="n">
        <v>0</v>
      </c>
      <c r="Q162" t="n">
        <v>2</v>
      </c>
      <c r="R162" s="2" t="inlineStr">
        <is>
          <t>Jordtistel
Spillkråka</t>
        </is>
      </c>
      <c r="S162">
        <f>HYPERLINK("https://klasma.github.io/Logging_0980/artfynd/A 48126-2022 artfynd.xlsx", "A 48126-2022")</f>
        <v/>
      </c>
      <c r="T162">
        <f>HYPERLINK("https://klasma.github.io/Logging_0980/kartor/A 48126-2022 karta.png", "A 48126-2022")</f>
        <v/>
      </c>
      <c r="V162">
        <f>HYPERLINK("https://klasma.github.io/Logging_0980/klagomål/A 48126-2022 FSC-klagomål.docx", "A 48126-2022")</f>
        <v/>
      </c>
      <c r="W162">
        <f>HYPERLINK("https://klasma.github.io/Logging_0980/klagomålsmail/A 48126-2022 FSC-klagomål mail.docx", "A 48126-2022")</f>
        <v/>
      </c>
      <c r="X162">
        <f>HYPERLINK("https://klasma.github.io/Logging_0980/tillsyn/A 48126-2022 tillsynsbegäran.docx", "A 48126-2022")</f>
        <v/>
      </c>
      <c r="Y162">
        <f>HYPERLINK("https://klasma.github.io/Logging_0980/tillsynsmail/A 48126-2022 tillsynsbegäran mail.docx", "A 48126-2022")</f>
        <v/>
      </c>
      <c r="Z162">
        <f>HYPERLINK("https://klasma.github.io/Logging_0980/fåglar/A 48126-2022 prioriterade fågelarter.docx", "A 48126-2022")</f>
        <v/>
      </c>
    </row>
    <row r="163" ht="15" customHeight="1">
      <c r="A163" t="inlineStr">
        <is>
          <t>A 3779-2023</t>
        </is>
      </c>
      <c r="B163" s="1" t="n">
        <v>44951</v>
      </c>
      <c r="C163" s="1" t="n">
        <v>45635</v>
      </c>
      <c r="D163" t="inlineStr">
        <is>
          <t>GOTLANDS LÄN</t>
        </is>
      </c>
      <c r="E163" t="inlineStr">
        <is>
          <t>GOTLAND</t>
        </is>
      </c>
      <c r="G163" t="n">
        <v>5.2</v>
      </c>
      <c r="H163" t="n">
        <v>0</v>
      </c>
      <c r="I163" t="n">
        <v>2</v>
      </c>
      <c r="J163" t="n">
        <v>0</v>
      </c>
      <c r="K163" t="n">
        <v>0</v>
      </c>
      <c r="L163" t="n">
        <v>0</v>
      </c>
      <c r="M163" t="n">
        <v>0</v>
      </c>
      <c r="N163" t="n">
        <v>0</v>
      </c>
      <c r="O163" t="n">
        <v>0</v>
      </c>
      <c r="P163" t="n">
        <v>0</v>
      </c>
      <c r="Q163" t="n">
        <v>2</v>
      </c>
      <c r="R163" s="2" t="inlineStr">
        <is>
          <t>Blå slemspindling
Olivspindling</t>
        </is>
      </c>
      <c r="S163">
        <f>HYPERLINK("https://klasma.github.io/Logging_0980/artfynd/A 3779-2023 artfynd.xlsx", "A 3779-2023")</f>
        <v/>
      </c>
      <c r="T163">
        <f>HYPERLINK("https://klasma.github.io/Logging_0980/kartor/A 3779-2023 karta.png", "A 3779-2023")</f>
        <v/>
      </c>
      <c r="V163">
        <f>HYPERLINK("https://klasma.github.io/Logging_0980/klagomål/A 3779-2023 FSC-klagomål.docx", "A 3779-2023")</f>
        <v/>
      </c>
      <c r="W163">
        <f>HYPERLINK("https://klasma.github.io/Logging_0980/klagomålsmail/A 3779-2023 FSC-klagomål mail.docx", "A 3779-2023")</f>
        <v/>
      </c>
      <c r="X163">
        <f>HYPERLINK("https://klasma.github.io/Logging_0980/tillsyn/A 3779-2023 tillsynsbegäran.docx", "A 3779-2023")</f>
        <v/>
      </c>
      <c r="Y163">
        <f>HYPERLINK("https://klasma.github.io/Logging_0980/tillsynsmail/A 3779-2023 tillsynsbegäran mail.docx", "A 3779-2023")</f>
        <v/>
      </c>
    </row>
    <row r="164" ht="15" customHeight="1">
      <c r="A164" t="inlineStr">
        <is>
          <t>A 27280-2023</t>
        </is>
      </c>
      <c r="B164" s="1" t="n">
        <v>45096</v>
      </c>
      <c r="C164" s="1" t="n">
        <v>45635</v>
      </c>
      <c r="D164" t="inlineStr">
        <is>
          <t>GOTLANDS LÄN</t>
        </is>
      </c>
      <c r="E164" t="inlineStr">
        <is>
          <t>GOTLAND</t>
        </is>
      </c>
      <c r="G164" t="n">
        <v>2.7</v>
      </c>
      <c r="H164" t="n">
        <v>2</v>
      </c>
      <c r="I164" t="n">
        <v>0</v>
      </c>
      <c r="J164" t="n">
        <v>0</v>
      </c>
      <c r="K164" t="n">
        <v>0</v>
      </c>
      <c r="L164" t="n">
        <v>0</v>
      </c>
      <c r="M164" t="n">
        <v>0</v>
      </c>
      <c r="N164" t="n">
        <v>0</v>
      </c>
      <c r="O164" t="n">
        <v>0</v>
      </c>
      <c r="P164" t="n">
        <v>0</v>
      </c>
      <c r="Q164" t="n">
        <v>2</v>
      </c>
      <c r="R164" s="2" t="inlineStr">
        <is>
          <t>Fläcknycklar
Grönvit nattviol</t>
        </is>
      </c>
      <c r="S164">
        <f>HYPERLINK("https://klasma.github.io/Logging_0980/artfynd/A 27280-2023 artfynd.xlsx", "A 27280-2023")</f>
        <v/>
      </c>
      <c r="T164">
        <f>HYPERLINK("https://klasma.github.io/Logging_0980/kartor/A 27280-2023 karta.png", "A 27280-2023")</f>
        <v/>
      </c>
      <c r="V164">
        <f>HYPERLINK("https://klasma.github.io/Logging_0980/klagomål/A 27280-2023 FSC-klagomål.docx", "A 27280-2023")</f>
        <v/>
      </c>
      <c r="W164">
        <f>HYPERLINK("https://klasma.github.io/Logging_0980/klagomålsmail/A 27280-2023 FSC-klagomål mail.docx", "A 27280-2023")</f>
        <v/>
      </c>
      <c r="X164">
        <f>HYPERLINK("https://klasma.github.io/Logging_0980/tillsyn/A 27280-2023 tillsynsbegäran.docx", "A 27280-2023")</f>
        <v/>
      </c>
      <c r="Y164">
        <f>HYPERLINK("https://klasma.github.io/Logging_0980/tillsynsmail/A 27280-2023 tillsynsbegäran mail.docx", "A 27280-2023")</f>
        <v/>
      </c>
    </row>
    <row r="165" ht="15" customHeight="1">
      <c r="A165" t="inlineStr">
        <is>
          <t>A 35028-2023</t>
        </is>
      </c>
      <c r="B165" s="1" t="n">
        <v>45145</v>
      </c>
      <c r="C165" s="1" t="n">
        <v>45635</v>
      </c>
      <c r="D165" t="inlineStr">
        <is>
          <t>GOTLANDS LÄN</t>
        </is>
      </c>
      <c r="E165" t="inlineStr">
        <is>
          <t>GOTLAND</t>
        </is>
      </c>
      <c r="G165" t="n">
        <v>1.1</v>
      </c>
      <c r="H165" t="n">
        <v>0</v>
      </c>
      <c r="I165" t="n">
        <v>1</v>
      </c>
      <c r="J165" t="n">
        <v>0</v>
      </c>
      <c r="K165" t="n">
        <v>1</v>
      </c>
      <c r="L165" t="n">
        <v>0</v>
      </c>
      <c r="M165" t="n">
        <v>0</v>
      </c>
      <c r="N165" t="n">
        <v>0</v>
      </c>
      <c r="O165" t="n">
        <v>1</v>
      </c>
      <c r="P165" t="n">
        <v>1</v>
      </c>
      <c r="Q165" t="n">
        <v>2</v>
      </c>
      <c r="R165" s="2" t="inlineStr">
        <is>
          <t>Tät korallorangelav
Guldlockmossa</t>
        </is>
      </c>
      <c r="S165">
        <f>HYPERLINK("https://klasma.github.io/Logging_0980/artfynd/A 35028-2023 artfynd.xlsx", "A 35028-2023")</f>
        <v/>
      </c>
      <c r="T165">
        <f>HYPERLINK("https://klasma.github.io/Logging_0980/kartor/A 35028-2023 karta.png", "A 35028-2023")</f>
        <v/>
      </c>
      <c r="V165">
        <f>HYPERLINK("https://klasma.github.io/Logging_0980/klagomål/A 35028-2023 FSC-klagomål.docx", "A 35028-2023")</f>
        <v/>
      </c>
      <c r="W165">
        <f>HYPERLINK("https://klasma.github.io/Logging_0980/klagomålsmail/A 35028-2023 FSC-klagomål mail.docx", "A 35028-2023")</f>
        <v/>
      </c>
      <c r="X165">
        <f>HYPERLINK("https://klasma.github.io/Logging_0980/tillsyn/A 35028-2023 tillsynsbegäran.docx", "A 35028-2023")</f>
        <v/>
      </c>
      <c r="Y165">
        <f>HYPERLINK("https://klasma.github.io/Logging_0980/tillsynsmail/A 35028-2023 tillsynsbegäran mail.docx", "A 35028-2023")</f>
        <v/>
      </c>
    </row>
    <row r="166" ht="15" customHeight="1">
      <c r="A166" t="inlineStr">
        <is>
          <t>A 35029-2023</t>
        </is>
      </c>
      <c r="B166" s="1" t="n">
        <v>45145</v>
      </c>
      <c r="C166" s="1" t="n">
        <v>45635</v>
      </c>
      <c r="D166" t="inlineStr">
        <is>
          <t>GOTLANDS LÄN</t>
        </is>
      </c>
      <c r="E166" t="inlineStr">
        <is>
          <t>GOTLAND</t>
        </is>
      </c>
      <c r="G166" t="n">
        <v>1.7</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35029-2023 artfynd.xlsx", "A 35029-2023")</f>
        <v/>
      </c>
      <c r="T166">
        <f>HYPERLINK("https://klasma.github.io/Logging_0980/kartor/A 35029-2023 karta.png", "A 35029-2023")</f>
        <v/>
      </c>
      <c r="V166">
        <f>HYPERLINK("https://klasma.github.io/Logging_0980/klagomål/A 35029-2023 FSC-klagomål.docx", "A 35029-2023")</f>
        <v/>
      </c>
      <c r="W166">
        <f>HYPERLINK("https://klasma.github.io/Logging_0980/klagomålsmail/A 35029-2023 FSC-klagomål mail.docx", "A 35029-2023")</f>
        <v/>
      </c>
      <c r="X166">
        <f>HYPERLINK("https://klasma.github.io/Logging_0980/tillsyn/A 35029-2023 tillsynsbegäran.docx", "A 35029-2023")</f>
        <v/>
      </c>
      <c r="Y166">
        <f>HYPERLINK("https://klasma.github.io/Logging_0980/tillsynsmail/A 35029-2023 tillsynsbegäran mail.docx", "A 35029-2023")</f>
        <v/>
      </c>
    </row>
    <row r="167" ht="15" customHeight="1">
      <c r="A167" t="inlineStr">
        <is>
          <t>A 39430-2023</t>
        </is>
      </c>
      <c r="B167" s="1" t="n">
        <v>45166</v>
      </c>
      <c r="C167" s="1" t="n">
        <v>45635</v>
      </c>
      <c r="D167" t="inlineStr">
        <is>
          <t>GOTLANDS LÄN</t>
        </is>
      </c>
      <c r="E167" t="inlineStr">
        <is>
          <t>GOTLAND</t>
        </is>
      </c>
      <c r="G167" t="n">
        <v>2.3</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39430-2023 artfynd.xlsx", "A 39430-2023")</f>
        <v/>
      </c>
      <c r="T167">
        <f>HYPERLINK("https://klasma.github.io/Logging_0980/kartor/A 39430-2023 karta.png", "A 39430-2023")</f>
        <v/>
      </c>
      <c r="V167">
        <f>HYPERLINK("https://klasma.github.io/Logging_0980/klagomål/A 39430-2023 FSC-klagomål.docx", "A 39430-2023")</f>
        <v/>
      </c>
      <c r="W167">
        <f>HYPERLINK("https://klasma.github.io/Logging_0980/klagomålsmail/A 39430-2023 FSC-klagomål mail.docx", "A 39430-2023")</f>
        <v/>
      </c>
      <c r="X167">
        <f>HYPERLINK("https://klasma.github.io/Logging_0980/tillsyn/A 39430-2023 tillsynsbegäran.docx", "A 39430-2023")</f>
        <v/>
      </c>
      <c r="Y167">
        <f>HYPERLINK("https://klasma.github.io/Logging_0980/tillsynsmail/A 39430-2023 tillsynsbegäran mail.docx", "A 39430-2023")</f>
        <v/>
      </c>
    </row>
    <row r="168" ht="15" customHeight="1">
      <c r="A168" t="inlineStr">
        <is>
          <t>A 39749-2023</t>
        </is>
      </c>
      <c r="B168" s="1" t="n">
        <v>45167</v>
      </c>
      <c r="C168" s="1" t="n">
        <v>45635</v>
      </c>
      <c r="D168" t="inlineStr">
        <is>
          <t>GOTLANDS LÄN</t>
        </is>
      </c>
      <c r="E168" t="inlineStr">
        <is>
          <t>GOTLAND</t>
        </is>
      </c>
      <c r="G168" t="n">
        <v>8.300000000000001</v>
      </c>
      <c r="H168" t="n">
        <v>0</v>
      </c>
      <c r="I168" t="n">
        <v>1</v>
      </c>
      <c r="J168" t="n">
        <v>1</v>
      </c>
      <c r="K168" t="n">
        <v>0</v>
      </c>
      <c r="L168" t="n">
        <v>0</v>
      </c>
      <c r="M168" t="n">
        <v>0</v>
      </c>
      <c r="N168" t="n">
        <v>0</v>
      </c>
      <c r="O168" t="n">
        <v>1</v>
      </c>
      <c r="P168" t="n">
        <v>0</v>
      </c>
      <c r="Q168" t="n">
        <v>2</v>
      </c>
      <c r="R168" s="2" t="inlineStr">
        <is>
          <t>Majviva
Axag</t>
        </is>
      </c>
      <c r="S168">
        <f>HYPERLINK("https://klasma.github.io/Logging_0980/artfynd/A 39749-2023 artfynd.xlsx", "A 39749-2023")</f>
        <v/>
      </c>
      <c r="T168">
        <f>HYPERLINK("https://klasma.github.io/Logging_0980/kartor/A 39749-2023 karta.png", "A 39749-2023")</f>
        <v/>
      </c>
      <c r="V168">
        <f>HYPERLINK("https://klasma.github.io/Logging_0980/klagomål/A 39749-2023 FSC-klagomål.docx", "A 39749-2023")</f>
        <v/>
      </c>
      <c r="W168">
        <f>HYPERLINK("https://klasma.github.io/Logging_0980/klagomålsmail/A 39749-2023 FSC-klagomål mail.docx", "A 39749-2023")</f>
        <v/>
      </c>
      <c r="X168">
        <f>HYPERLINK("https://klasma.github.io/Logging_0980/tillsyn/A 39749-2023 tillsynsbegäran.docx", "A 39749-2023")</f>
        <v/>
      </c>
      <c r="Y168">
        <f>HYPERLINK("https://klasma.github.io/Logging_0980/tillsynsmail/A 39749-2023 tillsynsbegäran mail.docx", "A 39749-2023")</f>
        <v/>
      </c>
    </row>
    <row r="169" ht="15" customHeight="1">
      <c r="A169" t="inlineStr">
        <is>
          <t>A 2818-2024</t>
        </is>
      </c>
      <c r="B169" s="1" t="n">
        <v>45314</v>
      </c>
      <c r="C169" s="1" t="n">
        <v>45635</v>
      </c>
      <c r="D169" t="inlineStr">
        <is>
          <t>GOTLANDS LÄN</t>
        </is>
      </c>
      <c r="E169" t="inlineStr">
        <is>
          <t>GOTLAND</t>
        </is>
      </c>
      <c r="G169" t="n">
        <v>2.4</v>
      </c>
      <c r="H169" t="n">
        <v>1</v>
      </c>
      <c r="I169" t="n">
        <v>0</v>
      </c>
      <c r="J169" t="n">
        <v>1</v>
      </c>
      <c r="K169" t="n">
        <v>0</v>
      </c>
      <c r="L169" t="n">
        <v>0</v>
      </c>
      <c r="M169" t="n">
        <v>0</v>
      </c>
      <c r="N169" t="n">
        <v>0</v>
      </c>
      <c r="O169" t="n">
        <v>1</v>
      </c>
      <c r="P169" t="n">
        <v>0</v>
      </c>
      <c r="Q169" t="n">
        <v>2</v>
      </c>
      <c r="R169" s="2" t="inlineStr">
        <is>
          <t>Solvända
Gullviva</t>
        </is>
      </c>
      <c r="S169">
        <f>HYPERLINK("https://klasma.github.io/Logging_0980/artfynd/A 2818-2024 artfynd.xlsx", "A 2818-2024")</f>
        <v/>
      </c>
      <c r="T169">
        <f>HYPERLINK("https://klasma.github.io/Logging_0980/kartor/A 2818-2024 karta.png", "A 2818-2024")</f>
        <v/>
      </c>
      <c r="V169">
        <f>HYPERLINK("https://klasma.github.io/Logging_0980/klagomål/A 2818-2024 FSC-klagomål.docx", "A 2818-2024")</f>
        <v/>
      </c>
      <c r="W169">
        <f>HYPERLINK("https://klasma.github.io/Logging_0980/klagomålsmail/A 2818-2024 FSC-klagomål mail.docx", "A 2818-2024")</f>
        <v/>
      </c>
      <c r="X169">
        <f>HYPERLINK("https://klasma.github.io/Logging_0980/tillsyn/A 2818-2024 tillsynsbegäran.docx", "A 2818-2024")</f>
        <v/>
      </c>
      <c r="Y169">
        <f>HYPERLINK("https://klasma.github.io/Logging_0980/tillsynsmail/A 2818-2024 tillsynsbegäran mail.docx", "A 2818-2024")</f>
        <v/>
      </c>
    </row>
    <row r="170" ht="15" customHeight="1">
      <c r="A170" t="inlineStr">
        <is>
          <t>A 12315-2024</t>
        </is>
      </c>
      <c r="B170" s="1" t="n">
        <v>45378</v>
      </c>
      <c r="C170" s="1" t="n">
        <v>45635</v>
      </c>
      <c r="D170" t="inlineStr">
        <is>
          <t>GOTLANDS LÄN</t>
        </is>
      </c>
      <c r="E170" t="inlineStr">
        <is>
          <t>GOTLAND</t>
        </is>
      </c>
      <c r="G170" t="n">
        <v>6</v>
      </c>
      <c r="H170" t="n">
        <v>2</v>
      </c>
      <c r="I170" t="n">
        <v>1</v>
      </c>
      <c r="J170" t="n">
        <v>0</v>
      </c>
      <c r="K170" t="n">
        <v>0</v>
      </c>
      <c r="L170" t="n">
        <v>0</v>
      </c>
      <c r="M170" t="n">
        <v>0</v>
      </c>
      <c r="N170" t="n">
        <v>0</v>
      </c>
      <c r="O170" t="n">
        <v>0</v>
      </c>
      <c r="P170" t="n">
        <v>0</v>
      </c>
      <c r="Q170" t="n">
        <v>2</v>
      </c>
      <c r="R170" s="2" t="inlineStr">
        <is>
          <t>Tvåblad
Fläcknycklar</t>
        </is>
      </c>
      <c r="S170">
        <f>HYPERLINK("https://klasma.github.io/Logging_0980/artfynd/A 12315-2024 artfynd.xlsx", "A 12315-2024")</f>
        <v/>
      </c>
      <c r="T170">
        <f>HYPERLINK("https://klasma.github.io/Logging_0980/kartor/A 12315-2024 karta.png", "A 12315-2024")</f>
        <v/>
      </c>
      <c r="V170">
        <f>HYPERLINK("https://klasma.github.io/Logging_0980/klagomål/A 12315-2024 FSC-klagomål.docx", "A 12315-2024")</f>
        <v/>
      </c>
      <c r="W170">
        <f>HYPERLINK("https://klasma.github.io/Logging_0980/klagomålsmail/A 12315-2024 FSC-klagomål mail.docx", "A 12315-2024")</f>
        <v/>
      </c>
      <c r="X170">
        <f>HYPERLINK("https://klasma.github.io/Logging_0980/tillsyn/A 12315-2024 tillsynsbegäran.docx", "A 12315-2024")</f>
        <v/>
      </c>
      <c r="Y170">
        <f>HYPERLINK("https://klasma.github.io/Logging_0980/tillsynsmail/A 12315-2024 tillsynsbegäran mail.docx", "A 12315-2024")</f>
        <v/>
      </c>
    </row>
    <row r="171" ht="15" customHeight="1">
      <c r="A171" t="inlineStr">
        <is>
          <t>A 16331-2024</t>
        </is>
      </c>
      <c r="B171" s="1" t="n">
        <v>45407</v>
      </c>
      <c r="C171" s="1" t="n">
        <v>45635</v>
      </c>
      <c r="D171" t="inlineStr">
        <is>
          <t>GOTLANDS LÄN</t>
        </is>
      </c>
      <c r="E171" t="inlineStr">
        <is>
          <t>GOTLAND</t>
        </is>
      </c>
      <c r="G171" t="n">
        <v>4.2</v>
      </c>
      <c r="H171" t="n">
        <v>0</v>
      </c>
      <c r="I171" t="n">
        <v>2</v>
      </c>
      <c r="J171" t="n">
        <v>0</v>
      </c>
      <c r="K171" t="n">
        <v>0</v>
      </c>
      <c r="L171" t="n">
        <v>0</v>
      </c>
      <c r="M171" t="n">
        <v>0</v>
      </c>
      <c r="N171" t="n">
        <v>0</v>
      </c>
      <c r="O171" t="n">
        <v>0</v>
      </c>
      <c r="P171" t="n">
        <v>0</v>
      </c>
      <c r="Q171" t="n">
        <v>2</v>
      </c>
      <c r="R171" s="2" t="inlineStr">
        <is>
          <t>Blå slemspindling
Västlig hakmossa</t>
        </is>
      </c>
      <c r="S171">
        <f>HYPERLINK("https://klasma.github.io/Logging_0980/artfynd/A 16331-2024 artfynd.xlsx", "A 16331-2024")</f>
        <v/>
      </c>
      <c r="T171">
        <f>HYPERLINK("https://klasma.github.io/Logging_0980/kartor/A 16331-2024 karta.png", "A 16331-2024")</f>
        <v/>
      </c>
      <c r="V171">
        <f>HYPERLINK("https://klasma.github.io/Logging_0980/klagomål/A 16331-2024 FSC-klagomål.docx", "A 16331-2024")</f>
        <v/>
      </c>
      <c r="W171">
        <f>HYPERLINK("https://klasma.github.io/Logging_0980/klagomålsmail/A 16331-2024 FSC-klagomål mail.docx", "A 16331-2024")</f>
        <v/>
      </c>
      <c r="X171">
        <f>HYPERLINK("https://klasma.github.io/Logging_0980/tillsyn/A 16331-2024 tillsynsbegäran.docx", "A 16331-2024")</f>
        <v/>
      </c>
      <c r="Y171">
        <f>HYPERLINK("https://klasma.github.io/Logging_0980/tillsynsmail/A 16331-2024 tillsynsbegäran mail.docx", "A 16331-2024")</f>
        <v/>
      </c>
    </row>
    <row r="172" ht="15" customHeight="1">
      <c r="A172" t="inlineStr">
        <is>
          <t>A 17533-2024</t>
        </is>
      </c>
      <c r="B172" s="1" t="n">
        <v>45415</v>
      </c>
      <c r="C172" s="1" t="n">
        <v>45635</v>
      </c>
      <c r="D172" t="inlineStr">
        <is>
          <t>GOTLANDS LÄN</t>
        </is>
      </c>
      <c r="E172" t="inlineStr">
        <is>
          <t>GOTLAND</t>
        </is>
      </c>
      <c r="G172" t="n">
        <v>2.3</v>
      </c>
      <c r="H172" t="n">
        <v>0</v>
      </c>
      <c r="I172" t="n">
        <v>1</v>
      </c>
      <c r="J172" t="n">
        <v>0</v>
      </c>
      <c r="K172" t="n">
        <v>1</v>
      </c>
      <c r="L172" t="n">
        <v>0</v>
      </c>
      <c r="M172" t="n">
        <v>0</v>
      </c>
      <c r="N172" t="n">
        <v>0</v>
      </c>
      <c r="O172" t="n">
        <v>1</v>
      </c>
      <c r="P172" t="n">
        <v>1</v>
      </c>
      <c r="Q172" t="n">
        <v>2</v>
      </c>
      <c r="R172" s="2" t="inlineStr">
        <is>
          <t>Skogskorn
Strävlosta</t>
        </is>
      </c>
      <c r="S172">
        <f>HYPERLINK("https://klasma.github.io/Logging_0980/artfynd/A 17533-2024 artfynd.xlsx", "A 17533-2024")</f>
        <v/>
      </c>
      <c r="T172">
        <f>HYPERLINK("https://klasma.github.io/Logging_0980/kartor/A 17533-2024 karta.png", "A 17533-2024")</f>
        <v/>
      </c>
      <c r="V172">
        <f>HYPERLINK("https://klasma.github.io/Logging_0980/klagomål/A 17533-2024 FSC-klagomål.docx", "A 17533-2024")</f>
        <v/>
      </c>
      <c r="W172">
        <f>HYPERLINK("https://klasma.github.io/Logging_0980/klagomålsmail/A 17533-2024 FSC-klagomål mail.docx", "A 17533-2024")</f>
        <v/>
      </c>
      <c r="X172">
        <f>HYPERLINK("https://klasma.github.io/Logging_0980/tillsyn/A 17533-2024 tillsynsbegäran.docx", "A 17533-2024")</f>
        <v/>
      </c>
      <c r="Y172">
        <f>HYPERLINK("https://klasma.github.io/Logging_0980/tillsynsmail/A 17533-2024 tillsynsbegäran mail.docx", "A 17533-2024")</f>
        <v/>
      </c>
    </row>
    <row r="173" ht="15" customHeight="1">
      <c r="A173" t="inlineStr">
        <is>
          <t>A 25973-2024</t>
        </is>
      </c>
      <c r="B173" s="1" t="n">
        <v>45467</v>
      </c>
      <c r="C173" s="1" t="n">
        <v>45635</v>
      </c>
      <c r="D173" t="inlineStr">
        <is>
          <t>GOTLANDS LÄN</t>
        </is>
      </c>
      <c r="E173" t="inlineStr">
        <is>
          <t>GOTLAND</t>
        </is>
      </c>
      <c r="G173" t="n">
        <v>2.3</v>
      </c>
      <c r="H173" t="n">
        <v>1</v>
      </c>
      <c r="I173" t="n">
        <v>0</v>
      </c>
      <c r="J173" t="n">
        <v>2</v>
      </c>
      <c r="K173" t="n">
        <v>0</v>
      </c>
      <c r="L173" t="n">
        <v>0</v>
      </c>
      <c r="M173" t="n">
        <v>0</v>
      </c>
      <c r="N173" t="n">
        <v>0</v>
      </c>
      <c r="O173" t="n">
        <v>2</v>
      </c>
      <c r="P173" t="n">
        <v>0</v>
      </c>
      <c r="Q173" t="n">
        <v>2</v>
      </c>
      <c r="R173" s="2" t="inlineStr">
        <is>
          <t>Dårgräsfjäril
Svinrot</t>
        </is>
      </c>
      <c r="S173">
        <f>HYPERLINK("https://klasma.github.io/Logging_0980/artfynd/A 25973-2024 artfynd.xlsx", "A 25973-2024")</f>
        <v/>
      </c>
      <c r="T173">
        <f>HYPERLINK("https://klasma.github.io/Logging_0980/kartor/A 25973-2024 karta.png", "A 25973-2024")</f>
        <v/>
      </c>
      <c r="V173">
        <f>HYPERLINK("https://klasma.github.io/Logging_0980/klagomål/A 25973-2024 FSC-klagomål.docx", "A 25973-2024")</f>
        <v/>
      </c>
      <c r="W173">
        <f>HYPERLINK("https://klasma.github.io/Logging_0980/klagomålsmail/A 25973-2024 FSC-klagomål mail.docx", "A 25973-2024")</f>
        <v/>
      </c>
      <c r="X173">
        <f>HYPERLINK("https://klasma.github.io/Logging_0980/tillsyn/A 25973-2024 tillsynsbegäran.docx", "A 25973-2024")</f>
        <v/>
      </c>
      <c r="Y173">
        <f>HYPERLINK("https://klasma.github.io/Logging_0980/tillsynsmail/A 25973-2024 tillsynsbegäran mail.docx", "A 25973-2024")</f>
        <v/>
      </c>
    </row>
    <row r="174" ht="15" customHeight="1">
      <c r="A174" t="inlineStr">
        <is>
          <t>A 26077-2024</t>
        </is>
      </c>
      <c r="B174" s="1" t="n">
        <v>45467</v>
      </c>
      <c r="C174" s="1" t="n">
        <v>45635</v>
      </c>
      <c r="D174" t="inlineStr">
        <is>
          <t>GOTLANDS LÄN</t>
        </is>
      </c>
      <c r="E174" t="inlineStr">
        <is>
          <t>GOTLAND</t>
        </is>
      </c>
      <c r="G174" t="n">
        <v>4.6</v>
      </c>
      <c r="H174" t="n">
        <v>0</v>
      </c>
      <c r="I174" t="n">
        <v>0</v>
      </c>
      <c r="J174" t="n">
        <v>1</v>
      </c>
      <c r="K174" t="n">
        <v>0</v>
      </c>
      <c r="L174" t="n">
        <v>1</v>
      </c>
      <c r="M174" t="n">
        <v>0</v>
      </c>
      <c r="N174" t="n">
        <v>0</v>
      </c>
      <c r="O174" t="n">
        <v>2</v>
      </c>
      <c r="P174" t="n">
        <v>1</v>
      </c>
      <c r="Q174" t="n">
        <v>2</v>
      </c>
      <c r="R174" s="2" t="inlineStr">
        <is>
          <t>Ask
Tallticka</t>
        </is>
      </c>
      <c r="S174">
        <f>HYPERLINK("https://klasma.github.io/Logging_0980/artfynd/A 26077-2024 artfynd.xlsx", "A 26077-2024")</f>
        <v/>
      </c>
      <c r="T174">
        <f>HYPERLINK("https://klasma.github.io/Logging_0980/kartor/A 26077-2024 karta.png", "A 26077-2024")</f>
        <v/>
      </c>
      <c r="V174">
        <f>HYPERLINK("https://klasma.github.io/Logging_0980/klagomål/A 26077-2024 FSC-klagomål.docx", "A 26077-2024")</f>
        <v/>
      </c>
      <c r="W174">
        <f>HYPERLINK("https://klasma.github.io/Logging_0980/klagomålsmail/A 26077-2024 FSC-klagomål mail.docx", "A 26077-2024")</f>
        <v/>
      </c>
      <c r="X174">
        <f>HYPERLINK("https://klasma.github.io/Logging_0980/tillsyn/A 26077-2024 tillsynsbegäran.docx", "A 26077-2024")</f>
        <v/>
      </c>
      <c r="Y174">
        <f>HYPERLINK("https://klasma.github.io/Logging_0980/tillsynsmail/A 26077-2024 tillsynsbegäran mail.docx", "A 26077-2024")</f>
        <v/>
      </c>
    </row>
    <row r="175" ht="15" customHeight="1">
      <c r="A175" t="inlineStr">
        <is>
          <t>A 28261-2024</t>
        </is>
      </c>
      <c r="B175" s="1" t="n">
        <v>45477</v>
      </c>
      <c r="C175" s="1" t="n">
        <v>45635</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28261-2024 artfynd.xlsx", "A 28261-2024")</f>
        <v/>
      </c>
      <c r="T175">
        <f>HYPERLINK("https://klasma.github.io/Logging_0980/kartor/A 28261-2024 karta.png", "A 28261-2024")</f>
        <v/>
      </c>
      <c r="V175">
        <f>HYPERLINK("https://klasma.github.io/Logging_0980/klagomål/A 28261-2024 FSC-klagomål.docx", "A 28261-2024")</f>
        <v/>
      </c>
      <c r="W175">
        <f>HYPERLINK("https://klasma.github.io/Logging_0980/klagomålsmail/A 28261-2024 FSC-klagomål mail.docx", "A 28261-2024")</f>
        <v/>
      </c>
      <c r="X175">
        <f>HYPERLINK("https://klasma.github.io/Logging_0980/tillsyn/A 28261-2024 tillsynsbegäran.docx", "A 28261-2024")</f>
        <v/>
      </c>
      <c r="Y175">
        <f>HYPERLINK("https://klasma.github.io/Logging_0980/tillsynsmail/A 28261-2024 tillsynsbegäran mail.docx", "A 28261-2024")</f>
        <v/>
      </c>
    </row>
    <row r="176" ht="15" customHeight="1">
      <c r="A176" t="inlineStr">
        <is>
          <t>A 28276-2024</t>
        </is>
      </c>
      <c r="B176" s="1" t="n">
        <v>45477</v>
      </c>
      <c r="C176" s="1" t="n">
        <v>45635</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28276-2024 artfynd.xlsx", "A 28276-2024")</f>
        <v/>
      </c>
      <c r="T176">
        <f>HYPERLINK("https://klasma.github.io/Logging_0980/kartor/A 28276-2024 karta.png", "A 28276-2024")</f>
        <v/>
      </c>
      <c r="V176">
        <f>HYPERLINK("https://klasma.github.io/Logging_0980/klagomål/A 28276-2024 FSC-klagomål.docx", "A 28276-2024")</f>
        <v/>
      </c>
      <c r="W176">
        <f>HYPERLINK("https://klasma.github.io/Logging_0980/klagomålsmail/A 28276-2024 FSC-klagomål mail.docx", "A 28276-2024")</f>
        <v/>
      </c>
      <c r="X176">
        <f>HYPERLINK("https://klasma.github.io/Logging_0980/tillsyn/A 28276-2024 tillsynsbegäran.docx", "A 28276-2024")</f>
        <v/>
      </c>
      <c r="Y176">
        <f>HYPERLINK("https://klasma.github.io/Logging_0980/tillsynsmail/A 28276-2024 tillsynsbegäran mail.docx", "A 28276-2024")</f>
        <v/>
      </c>
    </row>
    <row r="177" ht="15" customHeight="1">
      <c r="A177" t="inlineStr">
        <is>
          <t>A 54357-2024</t>
        </is>
      </c>
      <c r="B177" s="1" t="n">
        <v>45617</v>
      </c>
      <c r="C177" s="1" t="n">
        <v>45635</v>
      </c>
      <c r="D177" t="inlineStr">
        <is>
          <t>GOTLANDS LÄN</t>
        </is>
      </c>
      <c r="E177" t="inlineStr">
        <is>
          <t>GOTLAND</t>
        </is>
      </c>
      <c r="G177" t="n">
        <v>1.5</v>
      </c>
      <c r="H177" t="n">
        <v>1</v>
      </c>
      <c r="I177" t="n">
        <v>0</v>
      </c>
      <c r="J177" t="n">
        <v>1</v>
      </c>
      <c r="K177" t="n">
        <v>0</v>
      </c>
      <c r="L177" t="n">
        <v>0</v>
      </c>
      <c r="M177" t="n">
        <v>0</v>
      </c>
      <c r="N177" t="n">
        <v>0</v>
      </c>
      <c r="O177" t="n">
        <v>1</v>
      </c>
      <c r="P177" t="n">
        <v>0</v>
      </c>
      <c r="Q177" t="n">
        <v>2</v>
      </c>
      <c r="R177" s="2" t="inlineStr">
        <is>
          <t>Loppstarr
Fläcknycklar</t>
        </is>
      </c>
      <c r="S177">
        <f>HYPERLINK("https://klasma.github.io/Logging_0980/artfynd/A 54357-2024 artfynd.xlsx", "A 54357-2024")</f>
        <v/>
      </c>
      <c r="T177">
        <f>HYPERLINK("https://klasma.github.io/Logging_0980/kartor/A 54357-2024 karta.png", "A 54357-2024")</f>
        <v/>
      </c>
      <c r="V177">
        <f>HYPERLINK("https://klasma.github.io/Logging_0980/klagomål/A 54357-2024 FSC-klagomål.docx", "A 54357-2024")</f>
        <v/>
      </c>
      <c r="W177">
        <f>HYPERLINK("https://klasma.github.io/Logging_0980/klagomålsmail/A 54357-2024 FSC-klagomål mail.docx", "A 54357-2024")</f>
        <v/>
      </c>
      <c r="X177">
        <f>HYPERLINK("https://klasma.github.io/Logging_0980/tillsyn/A 54357-2024 tillsynsbegäran.docx", "A 54357-2024")</f>
        <v/>
      </c>
      <c r="Y177">
        <f>HYPERLINK("https://klasma.github.io/Logging_0980/tillsynsmail/A 54357-2024 tillsynsbegäran mail.docx", "A 54357-2024")</f>
        <v/>
      </c>
    </row>
    <row r="178" ht="15" customHeight="1">
      <c r="A178" t="inlineStr">
        <is>
          <t>A 54647-2024</t>
        </is>
      </c>
      <c r="B178" s="1" t="n">
        <v>45617</v>
      </c>
      <c r="C178" s="1" t="n">
        <v>45635</v>
      </c>
      <c r="D178" t="inlineStr">
        <is>
          <t>GOTLANDS LÄN</t>
        </is>
      </c>
      <c r="E178" t="inlineStr">
        <is>
          <t>GOTLAND</t>
        </is>
      </c>
      <c r="G178" t="n">
        <v>2.2</v>
      </c>
      <c r="H178" t="n">
        <v>0</v>
      </c>
      <c r="I178" t="n">
        <v>2</v>
      </c>
      <c r="J178" t="n">
        <v>0</v>
      </c>
      <c r="K178" t="n">
        <v>0</v>
      </c>
      <c r="L178" t="n">
        <v>0</v>
      </c>
      <c r="M178" t="n">
        <v>0</v>
      </c>
      <c r="N178" t="n">
        <v>0</v>
      </c>
      <c r="O178" t="n">
        <v>0</v>
      </c>
      <c r="P178" t="n">
        <v>0</v>
      </c>
      <c r="Q178" t="n">
        <v>2</v>
      </c>
      <c r="R178" s="2" t="inlineStr">
        <is>
          <t>Kattfotslav
Olivspindling</t>
        </is>
      </c>
      <c r="S178">
        <f>HYPERLINK("https://klasma.github.io/Logging_0980/artfynd/A 54647-2024 artfynd.xlsx", "A 54647-2024")</f>
        <v/>
      </c>
      <c r="T178">
        <f>HYPERLINK("https://klasma.github.io/Logging_0980/kartor/A 54647-2024 karta.png", "A 54647-2024")</f>
        <v/>
      </c>
      <c r="V178">
        <f>HYPERLINK("https://klasma.github.io/Logging_0980/klagomål/A 54647-2024 FSC-klagomål.docx", "A 54647-2024")</f>
        <v/>
      </c>
      <c r="W178">
        <f>HYPERLINK("https://klasma.github.io/Logging_0980/klagomålsmail/A 54647-2024 FSC-klagomål mail.docx", "A 54647-2024")</f>
        <v/>
      </c>
      <c r="X178">
        <f>HYPERLINK("https://klasma.github.io/Logging_0980/tillsyn/A 54647-2024 tillsynsbegäran.docx", "A 54647-2024")</f>
        <v/>
      </c>
      <c r="Y178">
        <f>HYPERLINK("https://klasma.github.io/Logging_0980/tillsynsmail/A 54647-2024 tillsynsbegäran mail.docx", "A 54647-2024")</f>
        <v/>
      </c>
    </row>
    <row r="179" ht="15" customHeight="1">
      <c r="A179" t="inlineStr">
        <is>
          <t>A 55649-2024</t>
        </is>
      </c>
      <c r="B179" s="1" t="n">
        <v>45622</v>
      </c>
      <c r="C179" s="1" t="n">
        <v>45635</v>
      </c>
      <c r="D179" t="inlineStr">
        <is>
          <t>GOTLANDS LÄN</t>
        </is>
      </c>
      <c r="E179" t="inlineStr">
        <is>
          <t>GOTLAND</t>
        </is>
      </c>
      <c r="G179" t="n">
        <v>4.6</v>
      </c>
      <c r="H179" t="n">
        <v>2</v>
      </c>
      <c r="I179" t="n">
        <v>0</v>
      </c>
      <c r="J179" t="n">
        <v>0</v>
      </c>
      <c r="K179" t="n">
        <v>0</v>
      </c>
      <c r="L179" t="n">
        <v>0</v>
      </c>
      <c r="M179" t="n">
        <v>0</v>
      </c>
      <c r="N179" t="n">
        <v>0</v>
      </c>
      <c r="O179" t="n">
        <v>0</v>
      </c>
      <c r="P179" t="n">
        <v>0</v>
      </c>
      <c r="Q179" t="n">
        <v>2</v>
      </c>
      <c r="R179" s="2" t="inlineStr">
        <is>
          <t>Sankt pers nycklar
Blåsippa</t>
        </is>
      </c>
      <c r="S179">
        <f>HYPERLINK("https://klasma.github.io/Logging_0980/artfynd/A 55649-2024 artfynd.xlsx", "A 55649-2024")</f>
        <v/>
      </c>
      <c r="T179">
        <f>HYPERLINK("https://klasma.github.io/Logging_0980/kartor/A 55649-2024 karta.png", "A 55649-2024")</f>
        <v/>
      </c>
      <c r="V179">
        <f>HYPERLINK("https://klasma.github.io/Logging_0980/klagomål/A 55649-2024 FSC-klagomål.docx", "A 55649-2024")</f>
        <v/>
      </c>
      <c r="W179">
        <f>HYPERLINK("https://klasma.github.io/Logging_0980/klagomålsmail/A 55649-2024 FSC-klagomål mail.docx", "A 55649-2024")</f>
        <v/>
      </c>
      <c r="X179">
        <f>HYPERLINK("https://klasma.github.io/Logging_0980/tillsyn/A 55649-2024 tillsynsbegäran.docx", "A 55649-2024")</f>
        <v/>
      </c>
      <c r="Y179">
        <f>HYPERLINK("https://klasma.github.io/Logging_0980/tillsynsmail/A 55649-2024 tillsynsbegäran mail.docx", "A 55649-2024")</f>
        <v/>
      </c>
    </row>
    <row r="180" ht="15" customHeight="1">
      <c r="A180" t="inlineStr">
        <is>
          <t>A 18223-2019</t>
        </is>
      </c>
      <c r="B180" s="1" t="n">
        <v>43558</v>
      </c>
      <c r="C180" s="1" t="n">
        <v>45635</v>
      </c>
      <c r="D180" t="inlineStr">
        <is>
          <t>GOTLANDS LÄN</t>
        </is>
      </c>
      <c r="E180" t="inlineStr">
        <is>
          <t>GOTLAND</t>
        </is>
      </c>
      <c r="G180" t="n">
        <v>1.1</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18223-2019 artfynd.xlsx", "A 18223-2019")</f>
        <v/>
      </c>
      <c r="T180">
        <f>HYPERLINK("https://klasma.github.io/Logging_0980/kartor/A 18223-2019 karta.png", "A 18223-2019")</f>
        <v/>
      </c>
      <c r="V180">
        <f>HYPERLINK("https://klasma.github.io/Logging_0980/klagomål/A 18223-2019 FSC-klagomål.docx", "A 18223-2019")</f>
        <v/>
      </c>
      <c r="W180">
        <f>HYPERLINK("https://klasma.github.io/Logging_0980/klagomålsmail/A 18223-2019 FSC-klagomål mail.docx", "A 18223-2019")</f>
        <v/>
      </c>
      <c r="X180">
        <f>HYPERLINK("https://klasma.github.io/Logging_0980/tillsyn/A 18223-2019 tillsynsbegäran.docx", "A 18223-2019")</f>
        <v/>
      </c>
      <c r="Y180">
        <f>HYPERLINK("https://klasma.github.io/Logging_0980/tillsynsmail/A 18223-2019 tillsynsbegäran mail.docx", "A 18223-2019")</f>
        <v/>
      </c>
    </row>
    <row r="181" ht="15" customHeight="1">
      <c r="A181" t="inlineStr">
        <is>
          <t>A 23016-2019</t>
        </is>
      </c>
      <c r="B181" s="1" t="n">
        <v>43591</v>
      </c>
      <c r="C181" s="1" t="n">
        <v>45635</v>
      </c>
      <c r="D181" t="inlineStr">
        <is>
          <t>GOTLANDS LÄN</t>
        </is>
      </c>
      <c r="E181" t="inlineStr">
        <is>
          <t>GOTLAND</t>
        </is>
      </c>
      <c r="G181" t="n">
        <v>7.9</v>
      </c>
      <c r="H181" t="n">
        <v>1</v>
      </c>
      <c r="I181" t="n">
        <v>0</v>
      </c>
      <c r="J181" t="n">
        <v>0</v>
      </c>
      <c r="K181" t="n">
        <v>0</v>
      </c>
      <c r="L181" t="n">
        <v>0</v>
      </c>
      <c r="M181" t="n">
        <v>0</v>
      </c>
      <c r="N181" t="n">
        <v>0</v>
      </c>
      <c r="O181" t="n">
        <v>0</v>
      </c>
      <c r="P181" t="n">
        <v>0</v>
      </c>
      <c r="Q181" t="n">
        <v>1</v>
      </c>
      <c r="R181" s="2" t="inlineStr">
        <is>
          <t>Lopplummer</t>
        </is>
      </c>
      <c r="S181">
        <f>HYPERLINK("https://klasma.github.io/Logging_0980/artfynd/A 23016-2019 artfynd.xlsx", "A 23016-2019")</f>
        <v/>
      </c>
      <c r="T181">
        <f>HYPERLINK("https://klasma.github.io/Logging_0980/kartor/A 23016-2019 karta.png", "A 23016-2019")</f>
        <v/>
      </c>
      <c r="V181">
        <f>HYPERLINK("https://klasma.github.io/Logging_0980/klagomål/A 23016-2019 FSC-klagomål.docx", "A 23016-2019")</f>
        <v/>
      </c>
      <c r="W181">
        <f>HYPERLINK("https://klasma.github.io/Logging_0980/klagomålsmail/A 23016-2019 FSC-klagomål mail.docx", "A 23016-2019")</f>
        <v/>
      </c>
      <c r="X181">
        <f>HYPERLINK("https://klasma.github.io/Logging_0980/tillsyn/A 23016-2019 tillsynsbegäran.docx", "A 23016-2019")</f>
        <v/>
      </c>
      <c r="Y181">
        <f>HYPERLINK("https://klasma.github.io/Logging_0980/tillsynsmail/A 23016-2019 tillsynsbegäran mail.docx", "A 23016-2019")</f>
        <v/>
      </c>
    </row>
    <row r="182" ht="15" customHeight="1">
      <c r="A182" t="inlineStr">
        <is>
          <t>A 32963-2019</t>
        </is>
      </c>
      <c r="B182" s="1" t="n">
        <v>43648</v>
      </c>
      <c r="C182" s="1" t="n">
        <v>45635</v>
      </c>
      <c r="D182" t="inlineStr">
        <is>
          <t>GOTLANDS LÄN</t>
        </is>
      </c>
      <c r="E182" t="inlineStr">
        <is>
          <t>GOTLAND</t>
        </is>
      </c>
      <c r="G182" t="n">
        <v>5.8</v>
      </c>
      <c r="H182" t="n">
        <v>0</v>
      </c>
      <c r="I182" t="n">
        <v>0</v>
      </c>
      <c r="J182" t="n">
        <v>1</v>
      </c>
      <c r="K182" t="n">
        <v>0</v>
      </c>
      <c r="L182" t="n">
        <v>0</v>
      </c>
      <c r="M182" t="n">
        <v>0</v>
      </c>
      <c r="N182" t="n">
        <v>0</v>
      </c>
      <c r="O182" t="n">
        <v>1</v>
      </c>
      <c r="P182" t="n">
        <v>0</v>
      </c>
      <c r="Q182" t="n">
        <v>1</v>
      </c>
      <c r="R182" s="2" t="inlineStr">
        <is>
          <t>Mindre blåvinge</t>
        </is>
      </c>
      <c r="S182">
        <f>HYPERLINK("https://klasma.github.io/Logging_0980/artfynd/A 32963-2019 artfynd.xlsx", "A 32963-2019")</f>
        <v/>
      </c>
      <c r="T182">
        <f>HYPERLINK("https://klasma.github.io/Logging_0980/kartor/A 32963-2019 karta.png", "A 32963-2019")</f>
        <v/>
      </c>
      <c r="V182">
        <f>HYPERLINK("https://klasma.github.io/Logging_0980/klagomål/A 32963-2019 FSC-klagomål.docx", "A 32963-2019")</f>
        <v/>
      </c>
      <c r="W182">
        <f>HYPERLINK("https://klasma.github.io/Logging_0980/klagomålsmail/A 32963-2019 FSC-klagomål mail.docx", "A 32963-2019")</f>
        <v/>
      </c>
      <c r="X182">
        <f>HYPERLINK("https://klasma.github.io/Logging_0980/tillsyn/A 32963-2019 tillsynsbegäran.docx", "A 32963-2019")</f>
        <v/>
      </c>
      <c r="Y182">
        <f>HYPERLINK("https://klasma.github.io/Logging_0980/tillsynsmail/A 32963-2019 tillsynsbegäran mail.docx", "A 32963-2019")</f>
        <v/>
      </c>
    </row>
    <row r="183" ht="15" customHeight="1">
      <c r="A183" t="inlineStr">
        <is>
          <t>A 35282-2019</t>
        </is>
      </c>
      <c r="B183" s="1" t="n">
        <v>43656</v>
      </c>
      <c r="C183" s="1" t="n">
        <v>45635</v>
      </c>
      <c r="D183" t="inlineStr">
        <is>
          <t>GOTLANDS LÄN</t>
        </is>
      </c>
      <c r="E183" t="inlineStr">
        <is>
          <t>GOTLAND</t>
        </is>
      </c>
      <c r="G183" t="n">
        <v>5.6</v>
      </c>
      <c r="H183" t="n">
        <v>1</v>
      </c>
      <c r="I183" t="n">
        <v>0</v>
      </c>
      <c r="J183" t="n">
        <v>1</v>
      </c>
      <c r="K183" t="n">
        <v>0</v>
      </c>
      <c r="L183" t="n">
        <v>0</v>
      </c>
      <c r="M183" t="n">
        <v>0</v>
      </c>
      <c r="N183" t="n">
        <v>0</v>
      </c>
      <c r="O183" t="n">
        <v>1</v>
      </c>
      <c r="P183" t="n">
        <v>0</v>
      </c>
      <c r="Q183" t="n">
        <v>1</v>
      </c>
      <c r="R183" s="2" t="inlineStr">
        <is>
          <t>Spillkråka</t>
        </is>
      </c>
      <c r="S183">
        <f>HYPERLINK("https://klasma.github.io/Logging_0980/artfynd/A 35282-2019 artfynd.xlsx", "A 35282-2019")</f>
        <v/>
      </c>
      <c r="T183">
        <f>HYPERLINK("https://klasma.github.io/Logging_0980/kartor/A 35282-2019 karta.png", "A 35282-2019")</f>
        <v/>
      </c>
      <c r="V183">
        <f>HYPERLINK("https://klasma.github.io/Logging_0980/klagomål/A 35282-2019 FSC-klagomål.docx", "A 35282-2019")</f>
        <v/>
      </c>
      <c r="W183">
        <f>HYPERLINK("https://klasma.github.io/Logging_0980/klagomålsmail/A 35282-2019 FSC-klagomål mail.docx", "A 35282-2019")</f>
        <v/>
      </c>
      <c r="X183">
        <f>HYPERLINK("https://klasma.github.io/Logging_0980/tillsyn/A 35282-2019 tillsynsbegäran.docx", "A 35282-2019")</f>
        <v/>
      </c>
      <c r="Y183">
        <f>HYPERLINK("https://klasma.github.io/Logging_0980/tillsynsmail/A 35282-2019 tillsynsbegäran mail.docx", "A 35282-2019")</f>
        <v/>
      </c>
      <c r="Z183">
        <f>HYPERLINK("https://klasma.github.io/Logging_0980/fåglar/A 35282-2019 prioriterade fågelarter.docx", "A 35282-2019")</f>
        <v/>
      </c>
    </row>
    <row r="184" ht="15" customHeight="1">
      <c r="A184" t="inlineStr">
        <is>
          <t>A 48584-2019</t>
        </is>
      </c>
      <c r="B184" s="1" t="n">
        <v>43727</v>
      </c>
      <c r="C184" s="1" t="n">
        <v>45635</v>
      </c>
      <c r="D184" t="inlineStr">
        <is>
          <t>GOTLANDS LÄN</t>
        </is>
      </c>
      <c r="E184" t="inlineStr">
        <is>
          <t>GOTLAND</t>
        </is>
      </c>
      <c r="G184" t="n">
        <v>4.4</v>
      </c>
      <c r="H184" t="n">
        <v>0</v>
      </c>
      <c r="I184" t="n">
        <v>1</v>
      </c>
      <c r="J184" t="n">
        <v>0</v>
      </c>
      <c r="K184" t="n">
        <v>0</v>
      </c>
      <c r="L184" t="n">
        <v>0</v>
      </c>
      <c r="M184" t="n">
        <v>0</v>
      </c>
      <c r="N184" t="n">
        <v>0</v>
      </c>
      <c r="O184" t="n">
        <v>0</v>
      </c>
      <c r="P184" t="n">
        <v>0</v>
      </c>
      <c r="Q184" t="n">
        <v>1</v>
      </c>
      <c r="R184" s="2" t="inlineStr">
        <is>
          <t>Scharlakansskål</t>
        </is>
      </c>
      <c r="S184">
        <f>HYPERLINK("https://klasma.github.io/Logging_0980/artfynd/A 48584-2019 artfynd.xlsx", "A 48584-2019")</f>
        <v/>
      </c>
      <c r="T184">
        <f>HYPERLINK("https://klasma.github.io/Logging_0980/kartor/A 48584-2019 karta.png", "A 48584-2019")</f>
        <v/>
      </c>
      <c r="V184">
        <f>HYPERLINK("https://klasma.github.io/Logging_0980/klagomål/A 48584-2019 FSC-klagomål.docx", "A 48584-2019")</f>
        <v/>
      </c>
      <c r="W184">
        <f>HYPERLINK("https://klasma.github.io/Logging_0980/klagomålsmail/A 48584-2019 FSC-klagomål mail.docx", "A 48584-2019")</f>
        <v/>
      </c>
      <c r="X184">
        <f>HYPERLINK("https://klasma.github.io/Logging_0980/tillsyn/A 48584-2019 tillsynsbegäran.docx", "A 48584-2019")</f>
        <v/>
      </c>
      <c r="Y184">
        <f>HYPERLINK("https://klasma.github.io/Logging_0980/tillsynsmail/A 48584-2019 tillsynsbegäran mail.docx", "A 48584-2019")</f>
        <v/>
      </c>
    </row>
    <row r="185" ht="15" customHeight="1">
      <c r="A185" t="inlineStr">
        <is>
          <t>A 68988-2019</t>
        </is>
      </c>
      <c r="B185" s="1" t="n">
        <v>43826</v>
      </c>
      <c r="C185" s="1" t="n">
        <v>45635</v>
      </c>
      <c r="D185" t="inlineStr">
        <is>
          <t>GOTLANDS LÄN</t>
        </is>
      </c>
      <c r="E185" t="inlineStr">
        <is>
          <t>GOTLAND</t>
        </is>
      </c>
      <c r="F185" t="inlineStr">
        <is>
          <t>Kyrkan</t>
        </is>
      </c>
      <c r="G185" t="n">
        <v>4.6</v>
      </c>
      <c r="H185" t="n">
        <v>0</v>
      </c>
      <c r="I185" t="n">
        <v>1</v>
      </c>
      <c r="J185" t="n">
        <v>0</v>
      </c>
      <c r="K185" t="n">
        <v>0</v>
      </c>
      <c r="L185" t="n">
        <v>0</v>
      </c>
      <c r="M185" t="n">
        <v>0</v>
      </c>
      <c r="N185" t="n">
        <v>0</v>
      </c>
      <c r="O185" t="n">
        <v>0</v>
      </c>
      <c r="P185" t="n">
        <v>0</v>
      </c>
      <c r="Q185" t="n">
        <v>1</v>
      </c>
      <c r="R185" s="2" t="inlineStr">
        <is>
          <t>Kattfotslav</t>
        </is>
      </c>
      <c r="S185">
        <f>HYPERLINK("https://klasma.github.io/Logging_0980/artfynd/A 68988-2019 artfynd.xlsx", "A 68988-2019")</f>
        <v/>
      </c>
      <c r="T185">
        <f>HYPERLINK("https://klasma.github.io/Logging_0980/kartor/A 68988-2019 karta.png", "A 68988-2019")</f>
        <v/>
      </c>
      <c r="V185">
        <f>HYPERLINK("https://klasma.github.io/Logging_0980/klagomål/A 68988-2019 FSC-klagomål.docx", "A 68988-2019")</f>
        <v/>
      </c>
      <c r="W185">
        <f>HYPERLINK("https://klasma.github.io/Logging_0980/klagomålsmail/A 68988-2019 FSC-klagomål mail.docx", "A 68988-2019")</f>
        <v/>
      </c>
      <c r="X185">
        <f>HYPERLINK("https://klasma.github.io/Logging_0980/tillsyn/A 68988-2019 tillsynsbegäran.docx", "A 68988-2019")</f>
        <v/>
      </c>
      <c r="Y185">
        <f>HYPERLINK("https://klasma.github.io/Logging_0980/tillsynsmail/A 68988-2019 tillsynsbegäran mail.docx", "A 68988-2019")</f>
        <v/>
      </c>
    </row>
    <row r="186" ht="15" customHeight="1">
      <c r="A186" t="inlineStr">
        <is>
          <t>A 14010-2020</t>
        </is>
      </c>
      <c r="B186" s="1" t="n">
        <v>43899</v>
      </c>
      <c r="C186" s="1" t="n">
        <v>45635</v>
      </c>
      <c r="D186" t="inlineStr">
        <is>
          <t>GOTLANDS LÄN</t>
        </is>
      </c>
      <c r="E186" t="inlineStr">
        <is>
          <t>GOTLAND</t>
        </is>
      </c>
      <c r="G186" t="n">
        <v>0.6</v>
      </c>
      <c r="H186" t="n">
        <v>1</v>
      </c>
      <c r="I186" t="n">
        <v>0</v>
      </c>
      <c r="J186" t="n">
        <v>1</v>
      </c>
      <c r="K186" t="n">
        <v>0</v>
      </c>
      <c r="L186" t="n">
        <v>0</v>
      </c>
      <c r="M186" t="n">
        <v>0</v>
      </c>
      <c r="N186" t="n">
        <v>0</v>
      </c>
      <c r="O186" t="n">
        <v>1</v>
      </c>
      <c r="P186" t="n">
        <v>0</v>
      </c>
      <c r="Q186" t="n">
        <v>1</v>
      </c>
      <c r="R186" s="2" t="inlineStr">
        <is>
          <t>Gulsparv</t>
        </is>
      </c>
      <c r="S186">
        <f>HYPERLINK("https://klasma.github.io/Logging_0980/artfynd/A 14010-2020 artfynd.xlsx", "A 14010-2020")</f>
        <v/>
      </c>
      <c r="T186">
        <f>HYPERLINK("https://klasma.github.io/Logging_0980/kartor/A 14010-2020 karta.png", "A 14010-2020")</f>
        <v/>
      </c>
      <c r="V186">
        <f>HYPERLINK("https://klasma.github.io/Logging_0980/klagomål/A 14010-2020 FSC-klagomål.docx", "A 14010-2020")</f>
        <v/>
      </c>
      <c r="W186">
        <f>HYPERLINK("https://klasma.github.io/Logging_0980/klagomålsmail/A 14010-2020 FSC-klagomål mail.docx", "A 14010-2020")</f>
        <v/>
      </c>
      <c r="X186">
        <f>HYPERLINK("https://klasma.github.io/Logging_0980/tillsyn/A 14010-2020 tillsynsbegäran.docx", "A 14010-2020")</f>
        <v/>
      </c>
      <c r="Y186">
        <f>HYPERLINK("https://klasma.github.io/Logging_0980/tillsynsmail/A 14010-2020 tillsynsbegäran mail.docx", "A 14010-2020")</f>
        <v/>
      </c>
      <c r="Z186">
        <f>HYPERLINK("https://klasma.github.io/Logging_0980/fåglar/A 14010-2020 prioriterade fågelarter.docx", "A 14010-2020")</f>
        <v/>
      </c>
    </row>
    <row r="187" ht="15" customHeight="1">
      <c r="A187" t="inlineStr">
        <is>
          <t>A 21753-2020</t>
        </is>
      </c>
      <c r="B187" s="1" t="n">
        <v>43957</v>
      </c>
      <c r="C187" s="1" t="n">
        <v>45635</v>
      </c>
      <c r="D187" t="inlineStr">
        <is>
          <t>GOTLANDS LÄN</t>
        </is>
      </c>
      <c r="E187" t="inlineStr">
        <is>
          <t>GOTLAND</t>
        </is>
      </c>
      <c r="G187" t="n">
        <v>3.5</v>
      </c>
      <c r="H187" t="n">
        <v>0</v>
      </c>
      <c r="I187" t="n">
        <v>0</v>
      </c>
      <c r="J187" t="n">
        <v>0</v>
      </c>
      <c r="K187" t="n">
        <v>0</v>
      </c>
      <c r="L187" t="n">
        <v>0</v>
      </c>
      <c r="M187" t="n">
        <v>1</v>
      </c>
      <c r="N187" t="n">
        <v>0</v>
      </c>
      <c r="O187" t="n">
        <v>1</v>
      </c>
      <c r="P187" t="n">
        <v>1</v>
      </c>
      <c r="Q187" t="n">
        <v>1</v>
      </c>
      <c r="R187" s="2" t="inlineStr">
        <is>
          <t>Skogsalm</t>
        </is>
      </c>
      <c r="S187">
        <f>HYPERLINK("https://klasma.github.io/Logging_0980/artfynd/A 21753-2020 artfynd.xlsx", "A 21753-2020")</f>
        <v/>
      </c>
      <c r="T187">
        <f>HYPERLINK("https://klasma.github.io/Logging_0980/kartor/A 21753-2020 karta.png", "A 21753-2020")</f>
        <v/>
      </c>
      <c r="V187">
        <f>HYPERLINK("https://klasma.github.io/Logging_0980/klagomål/A 21753-2020 FSC-klagomål.docx", "A 21753-2020")</f>
        <v/>
      </c>
      <c r="W187">
        <f>HYPERLINK("https://klasma.github.io/Logging_0980/klagomålsmail/A 21753-2020 FSC-klagomål mail.docx", "A 21753-2020")</f>
        <v/>
      </c>
      <c r="X187">
        <f>HYPERLINK("https://klasma.github.io/Logging_0980/tillsyn/A 21753-2020 tillsynsbegäran.docx", "A 21753-2020")</f>
        <v/>
      </c>
      <c r="Y187">
        <f>HYPERLINK("https://klasma.github.io/Logging_0980/tillsynsmail/A 21753-2020 tillsynsbegäran mail.docx", "A 21753-2020")</f>
        <v/>
      </c>
    </row>
    <row r="188" ht="15" customHeight="1">
      <c r="A188" t="inlineStr">
        <is>
          <t>A 22203-2020</t>
        </is>
      </c>
      <c r="B188" s="1" t="n">
        <v>43962</v>
      </c>
      <c r="C188" s="1" t="n">
        <v>45635</v>
      </c>
      <c r="D188" t="inlineStr">
        <is>
          <t>GOTLANDS LÄN</t>
        </is>
      </c>
      <c r="E188" t="inlineStr">
        <is>
          <t>GOTLAND</t>
        </is>
      </c>
      <c r="G188" t="n">
        <v>3.2</v>
      </c>
      <c r="H188" t="n">
        <v>0</v>
      </c>
      <c r="I188" t="n">
        <v>0</v>
      </c>
      <c r="J188" t="n">
        <v>1</v>
      </c>
      <c r="K188" t="n">
        <v>0</v>
      </c>
      <c r="L188" t="n">
        <v>0</v>
      </c>
      <c r="M188" t="n">
        <v>0</v>
      </c>
      <c r="N188" t="n">
        <v>0</v>
      </c>
      <c r="O188" t="n">
        <v>1</v>
      </c>
      <c r="P188" t="n">
        <v>0</v>
      </c>
      <c r="Q188" t="n">
        <v>1</v>
      </c>
      <c r="R188" s="2" t="inlineStr">
        <is>
          <t>Svinrot</t>
        </is>
      </c>
      <c r="S188">
        <f>HYPERLINK("https://klasma.github.io/Logging_0980/artfynd/A 22203-2020 artfynd.xlsx", "A 22203-2020")</f>
        <v/>
      </c>
      <c r="T188">
        <f>HYPERLINK("https://klasma.github.io/Logging_0980/kartor/A 22203-2020 karta.png", "A 22203-2020")</f>
        <v/>
      </c>
      <c r="V188">
        <f>HYPERLINK("https://klasma.github.io/Logging_0980/klagomål/A 22203-2020 FSC-klagomål.docx", "A 22203-2020")</f>
        <v/>
      </c>
      <c r="W188">
        <f>HYPERLINK("https://klasma.github.io/Logging_0980/klagomålsmail/A 22203-2020 FSC-klagomål mail.docx", "A 22203-2020")</f>
        <v/>
      </c>
      <c r="X188">
        <f>HYPERLINK("https://klasma.github.io/Logging_0980/tillsyn/A 22203-2020 tillsynsbegäran.docx", "A 22203-2020")</f>
        <v/>
      </c>
      <c r="Y188">
        <f>HYPERLINK("https://klasma.github.io/Logging_0980/tillsynsmail/A 22203-2020 tillsynsbegäran mail.docx", "A 22203-2020")</f>
        <v/>
      </c>
    </row>
    <row r="189" ht="15" customHeight="1">
      <c r="A189" t="inlineStr">
        <is>
          <t>A 22628-2020</t>
        </is>
      </c>
      <c r="B189" s="1" t="n">
        <v>43963</v>
      </c>
      <c r="C189" s="1" t="n">
        <v>45635</v>
      </c>
      <c r="D189" t="inlineStr">
        <is>
          <t>GOTLANDS LÄN</t>
        </is>
      </c>
      <c r="E189" t="inlineStr">
        <is>
          <t>GOTLAND</t>
        </is>
      </c>
      <c r="G189" t="n">
        <v>4.3</v>
      </c>
      <c r="H189" t="n">
        <v>0</v>
      </c>
      <c r="I189" t="n">
        <v>0</v>
      </c>
      <c r="J189" t="n">
        <v>0</v>
      </c>
      <c r="K189" t="n">
        <v>1</v>
      </c>
      <c r="L189" t="n">
        <v>0</v>
      </c>
      <c r="M189" t="n">
        <v>0</v>
      </c>
      <c r="N189" t="n">
        <v>0</v>
      </c>
      <c r="O189" t="n">
        <v>1</v>
      </c>
      <c r="P189" t="n">
        <v>1</v>
      </c>
      <c r="Q189" t="n">
        <v>1</v>
      </c>
      <c r="R189" s="2" t="inlineStr">
        <is>
          <t>Gotlandsmåra</t>
        </is>
      </c>
      <c r="S189">
        <f>HYPERLINK("https://klasma.github.io/Logging_0980/artfynd/A 22628-2020 artfynd.xlsx", "A 22628-2020")</f>
        <v/>
      </c>
      <c r="T189">
        <f>HYPERLINK("https://klasma.github.io/Logging_0980/kartor/A 22628-2020 karta.png", "A 22628-2020")</f>
        <v/>
      </c>
      <c r="V189">
        <f>HYPERLINK("https://klasma.github.io/Logging_0980/klagomål/A 22628-2020 FSC-klagomål.docx", "A 22628-2020")</f>
        <v/>
      </c>
      <c r="W189">
        <f>HYPERLINK("https://klasma.github.io/Logging_0980/klagomålsmail/A 22628-2020 FSC-klagomål mail.docx", "A 22628-2020")</f>
        <v/>
      </c>
      <c r="X189">
        <f>HYPERLINK("https://klasma.github.io/Logging_0980/tillsyn/A 22628-2020 tillsynsbegäran.docx", "A 22628-2020")</f>
        <v/>
      </c>
      <c r="Y189">
        <f>HYPERLINK("https://klasma.github.io/Logging_0980/tillsynsmail/A 22628-2020 tillsynsbegäran mail.docx", "A 22628-2020")</f>
        <v/>
      </c>
    </row>
    <row r="190" ht="15" customHeight="1">
      <c r="A190" t="inlineStr">
        <is>
          <t>A 39999-2020</t>
        </is>
      </c>
      <c r="B190" s="1" t="n">
        <v>44067</v>
      </c>
      <c r="C190" s="1" t="n">
        <v>45635</v>
      </c>
      <c r="D190" t="inlineStr">
        <is>
          <t>GOTLANDS LÄN</t>
        </is>
      </c>
      <c r="E190" t="inlineStr">
        <is>
          <t>GOTLAND</t>
        </is>
      </c>
      <c r="G190" t="n">
        <v>1.8</v>
      </c>
      <c r="H190" t="n">
        <v>0</v>
      </c>
      <c r="I190" t="n">
        <v>1</v>
      </c>
      <c r="J190" t="n">
        <v>0</v>
      </c>
      <c r="K190" t="n">
        <v>0</v>
      </c>
      <c r="L190" t="n">
        <v>0</v>
      </c>
      <c r="M190" t="n">
        <v>0</v>
      </c>
      <c r="N190" t="n">
        <v>0</v>
      </c>
      <c r="O190" t="n">
        <v>0</v>
      </c>
      <c r="P190" t="n">
        <v>0</v>
      </c>
      <c r="Q190" t="n">
        <v>1</v>
      </c>
      <c r="R190" s="2" t="inlineStr">
        <is>
          <t>Strävlosta</t>
        </is>
      </c>
      <c r="S190">
        <f>HYPERLINK("https://klasma.github.io/Logging_0980/artfynd/A 39999-2020 artfynd.xlsx", "A 39999-2020")</f>
        <v/>
      </c>
      <c r="T190">
        <f>HYPERLINK("https://klasma.github.io/Logging_0980/kartor/A 39999-2020 karta.png", "A 39999-2020")</f>
        <v/>
      </c>
      <c r="V190">
        <f>HYPERLINK("https://klasma.github.io/Logging_0980/klagomål/A 39999-2020 FSC-klagomål.docx", "A 39999-2020")</f>
        <v/>
      </c>
      <c r="W190">
        <f>HYPERLINK("https://klasma.github.io/Logging_0980/klagomålsmail/A 39999-2020 FSC-klagomål mail.docx", "A 39999-2020")</f>
        <v/>
      </c>
      <c r="X190">
        <f>HYPERLINK("https://klasma.github.io/Logging_0980/tillsyn/A 39999-2020 tillsynsbegäran.docx", "A 39999-2020")</f>
        <v/>
      </c>
      <c r="Y190">
        <f>HYPERLINK("https://klasma.github.io/Logging_0980/tillsynsmail/A 39999-2020 tillsynsbegäran mail.docx", "A 39999-2020")</f>
        <v/>
      </c>
    </row>
    <row r="191" ht="15" customHeight="1">
      <c r="A191" t="inlineStr">
        <is>
          <t>A 40266-2020</t>
        </is>
      </c>
      <c r="B191" s="1" t="n">
        <v>44068</v>
      </c>
      <c r="C191" s="1" t="n">
        <v>45635</v>
      </c>
      <c r="D191" t="inlineStr">
        <is>
          <t>GOTLANDS LÄN</t>
        </is>
      </c>
      <c r="E191" t="inlineStr">
        <is>
          <t>GOTLAND</t>
        </is>
      </c>
      <c r="F191" t="inlineStr">
        <is>
          <t>Kyrkan</t>
        </is>
      </c>
      <c r="G191" t="n">
        <v>1.3</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40266-2020 artfynd.xlsx", "A 40266-2020")</f>
        <v/>
      </c>
      <c r="T191">
        <f>HYPERLINK("https://klasma.github.io/Logging_0980/kartor/A 40266-2020 karta.png", "A 40266-2020")</f>
        <v/>
      </c>
      <c r="V191">
        <f>HYPERLINK("https://klasma.github.io/Logging_0980/klagomål/A 40266-2020 FSC-klagomål.docx", "A 40266-2020")</f>
        <v/>
      </c>
      <c r="W191">
        <f>HYPERLINK("https://klasma.github.io/Logging_0980/klagomålsmail/A 40266-2020 FSC-klagomål mail.docx", "A 40266-2020")</f>
        <v/>
      </c>
      <c r="X191">
        <f>HYPERLINK("https://klasma.github.io/Logging_0980/tillsyn/A 40266-2020 tillsynsbegäran.docx", "A 40266-2020")</f>
        <v/>
      </c>
      <c r="Y191">
        <f>HYPERLINK("https://klasma.github.io/Logging_0980/tillsynsmail/A 40266-2020 tillsynsbegäran mail.docx", "A 40266-2020")</f>
        <v/>
      </c>
    </row>
    <row r="192" ht="15" customHeight="1">
      <c r="A192" t="inlineStr">
        <is>
          <t>A 41065-2020</t>
        </is>
      </c>
      <c r="B192" s="1" t="n">
        <v>44069</v>
      </c>
      <c r="C192" s="1" t="n">
        <v>45635</v>
      </c>
      <c r="D192" t="inlineStr">
        <is>
          <t>GOTLANDS LÄN</t>
        </is>
      </c>
      <c r="E192" t="inlineStr">
        <is>
          <t>GOTLAND</t>
        </is>
      </c>
      <c r="G192" t="n">
        <v>12</v>
      </c>
      <c r="H192" t="n">
        <v>0</v>
      </c>
      <c r="I192" t="n">
        <v>1</v>
      </c>
      <c r="J192" t="n">
        <v>0</v>
      </c>
      <c r="K192" t="n">
        <v>0</v>
      </c>
      <c r="L192" t="n">
        <v>0</v>
      </c>
      <c r="M192" t="n">
        <v>0</v>
      </c>
      <c r="N192" t="n">
        <v>0</v>
      </c>
      <c r="O192" t="n">
        <v>0</v>
      </c>
      <c r="P192" t="n">
        <v>0</v>
      </c>
      <c r="Q192" t="n">
        <v>1</v>
      </c>
      <c r="R192" s="2" t="inlineStr">
        <is>
          <t>Myskmadra</t>
        </is>
      </c>
      <c r="S192">
        <f>HYPERLINK("https://klasma.github.io/Logging_0980/artfynd/A 41065-2020 artfynd.xlsx", "A 41065-2020")</f>
        <v/>
      </c>
      <c r="T192">
        <f>HYPERLINK("https://klasma.github.io/Logging_0980/kartor/A 41065-2020 karta.png", "A 41065-2020")</f>
        <v/>
      </c>
      <c r="V192">
        <f>HYPERLINK("https://klasma.github.io/Logging_0980/klagomål/A 41065-2020 FSC-klagomål.docx", "A 41065-2020")</f>
        <v/>
      </c>
      <c r="W192">
        <f>HYPERLINK("https://klasma.github.io/Logging_0980/klagomålsmail/A 41065-2020 FSC-klagomål mail.docx", "A 41065-2020")</f>
        <v/>
      </c>
      <c r="X192">
        <f>HYPERLINK("https://klasma.github.io/Logging_0980/tillsyn/A 41065-2020 tillsynsbegäran.docx", "A 41065-2020")</f>
        <v/>
      </c>
      <c r="Y192">
        <f>HYPERLINK("https://klasma.github.io/Logging_0980/tillsynsmail/A 41065-2020 tillsynsbegäran mail.docx", "A 41065-2020")</f>
        <v/>
      </c>
    </row>
    <row r="193" ht="15" customHeight="1">
      <c r="A193" t="inlineStr">
        <is>
          <t>A 44958-2020</t>
        </is>
      </c>
      <c r="B193" s="1" t="n">
        <v>44088</v>
      </c>
      <c r="C193" s="1" t="n">
        <v>45635</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Hornuggla</t>
        </is>
      </c>
      <c r="S193">
        <f>HYPERLINK("https://klasma.github.io/Logging_0980/artfynd/A 44958-2020 artfynd.xlsx", "A 44958-2020")</f>
        <v/>
      </c>
      <c r="T193">
        <f>HYPERLINK("https://klasma.github.io/Logging_0980/kartor/A 44958-2020 karta.png", "A 44958-2020")</f>
        <v/>
      </c>
      <c r="V193">
        <f>HYPERLINK("https://klasma.github.io/Logging_0980/klagomål/A 44958-2020 FSC-klagomål.docx", "A 44958-2020")</f>
        <v/>
      </c>
      <c r="W193">
        <f>HYPERLINK("https://klasma.github.io/Logging_0980/klagomålsmail/A 44958-2020 FSC-klagomål mail.docx", "A 44958-2020")</f>
        <v/>
      </c>
      <c r="X193">
        <f>HYPERLINK("https://klasma.github.io/Logging_0980/tillsyn/A 44958-2020 tillsynsbegäran.docx", "A 44958-2020")</f>
        <v/>
      </c>
      <c r="Y193">
        <f>HYPERLINK("https://klasma.github.io/Logging_0980/tillsynsmail/A 44958-2020 tillsynsbegäran mail.docx", "A 44958-2020")</f>
        <v/>
      </c>
      <c r="Z193">
        <f>HYPERLINK("https://klasma.github.io/Logging_0980/fåglar/A 44958-2020 prioriterade fågelarter.docx", "A 44958-2020")</f>
        <v/>
      </c>
    </row>
    <row r="194" ht="15" customHeight="1">
      <c r="A194" t="inlineStr">
        <is>
          <t>A 45924-2020</t>
        </is>
      </c>
      <c r="B194" s="1" t="n">
        <v>44088</v>
      </c>
      <c r="C194" s="1" t="n">
        <v>45635</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Myskmadra</t>
        </is>
      </c>
      <c r="S194">
        <f>HYPERLINK("https://klasma.github.io/Logging_0980/artfynd/A 45924-2020 artfynd.xlsx", "A 45924-2020")</f>
        <v/>
      </c>
      <c r="T194">
        <f>HYPERLINK("https://klasma.github.io/Logging_0980/kartor/A 45924-2020 karta.png", "A 45924-2020")</f>
        <v/>
      </c>
      <c r="V194">
        <f>HYPERLINK("https://klasma.github.io/Logging_0980/klagomål/A 45924-2020 FSC-klagomål.docx", "A 45924-2020")</f>
        <v/>
      </c>
      <c r="W194">
        <f>HYPERLINK("https://klasma.github.io/Logging_0980/klagomålsmail/A 45924-2020 FSC-klagomål mail.docx", "A 45924-2020")</f>
        <v/>
      </c>
      <c r="X194">
        <f>HYPERLINK("https://klasma.github.io/Logging_0980/tillsyn/A 45924-2020 tillsynsbegäran.docx", "A 45924-2020")</f>
        <v/>
      </c>
      <c r="Y194">
        <f>HYPERLINK("https://klasma.github.io/Logging_0980/tillsynsmail/A 45924-2020 tillsynsbegäran mail.docx", "A 45924-2020")</f>
        <v/>
      </c>
    </row>
    <row r="195" ht="15" customHeight="1">
      <c r="A195" t="inlineStr">
        <is>
          <t>A 63299-2020</t>
        </is>
      </c>
      <c r="B195" s="1" t="n">
        <v>44165</v>
      </c>
      <c r="C195" s="1" t="n">
        <v>45635</v>
      </c>
      <c r="D195" t="inlineStr">
        <is>
          <t>GOTLANDS LÄN</t>
        </is>
      </c>
      <c r="E195" t="inlineStr">
        <is>
          <t>GOTLAND</t>
        </is>
      </c>
      <c r="G195" t="n">
        <v>12.9</v>
      </c>
      <c r="H195" t="n">
        <v>1</v>
      </c>
      <c r="I195" t="n">
        <v>0</v>
      </c>
      <c r="J195" t="n">
        <v>1</v>
      </c>
      <c r="K195" t="n">
        <v>0</v>
      </c>
      <c r="L195" t="n">
        <v>0</v>
      </c>
      <c r="M195" t="n">
        <v>0</v>
      </c>
      <c r="N195" t="n">
        <v>0</v>
      </c>
      <c r="O195" t="n">
        <v>1</v>
      </c>
      <c r="P195" t="n">
        <v>0</v>
      </c>
      <c r="Q195" t="n">
        <v>1</v>
      </c>
      <c r="R195" s="2" t="inlineStr">
        <is>
          <t>Svartfläckig blåvinge</t>
        </is>
      </c>
      <c r="S195">
        <f>HYPERLINK("https://klasma.github.io/Logging_0980/artfynd/A 63299-2020 artfynd.xlsx", "A 63299-2020")</f>
        <v/>
      </c>
      <c r="T195">
        <f>HYPERLINK("https://klasma.github.io/Logging_0980/kartor/A 63299-2020 karta.png", "A 63299-2020")</f>
        <v/>
      </c>
      <c r="V195">
        <f>HYPERLINK("https://klasma.github.io/Logging_0980/klagomål/A 63299-2020 FSC-klagomål.docx", "A 63299-2020")</f>
        <v/>
      </c>
      <c r="W195">
        <f>HYPERLINK("https://klasma.github.io/Logging_0980/klagomålsmail/A 63299-2020 FSC-klagomål mail.docx", "A 63299-2020")</f>
        <v/>
      </c>
      <c r="X195">
        <f>HYPERLINK("https://klasma.github.io/Logging_0980/tillsyn/A 63299-2020 tillsynsbegäran.docx", "A 63299-2020")</f>
        <v/>
      </c>
      <c r="Y195">
        <f>HYPERLINK("https://klasma.github.io/Logging_0980/tillsynsmail/A 63299-2020 tillsynsbegäran mail.docx", "A 63299-2020")</f>
        <v/>
      </c>
    </row>
    <row r="196" ht="15" customHeight="1">
      <c r="A196" t="inlineStr">
        <is>
          <t>A 24-2021</t>
        </is>
      </c>
      <c r="B196" s="1" t="n">
        <v>44197</v>
      </c>
      <c r="C196" s="1" t="n">
        <v>45635</v>
      </c>
      <c r="D196" t="inlineStr">
        <is>
          <t>GOTLANDS LÄN</t>
        </is>
      </c>
      <c r="E196" t="inlineStr">
        <is>
          <t>GOTLAND</t>
        </is>
      </c>
      <c r="F196" t="inlineStr">
        <is>
          <t>Kyrkan</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HYPERLINK("https://klasma.github.io/Logging_0980/artfynd/A 24-2021 artfynd.xlsx", "A 24-2021")</f>
        <v/>
      </c>
      <c r="T196">
        <f>HYPERLINK("https://klasma.github.io/Logging_0980/kartor/A 24-2021 karta.png", "A 24-2021")</f>
        <v/>
      </c>
      <c r="V196">
        <f>HYPERLINK("https://klasma.github.io/Logging_0980/klagomål/A 24-2021 FSC-klagomål.docx", "A 24-2021")</f>
        <v/>
      </c>
      <c r="W196">
        <f>HYPERLINK("https://klasma.github.io/Logging_0980/klagomålsmail/A 24-2021 FSC-klagomål mail.docx", "A 24-2021")</f>
        <v/>
      </c>
      <c r="X196">
        <f>HYPERLINK("https://klasma.github.io/Logging_0980/tillsyn/A 24-2021 tillsynsbegäran.docx", "A 24-2021")</f>
        <v/>
      </c>
      <c r="Y196">
        <f>HYPERLINK("https://klasma.github.io/Logging_0980/tillsynsmail/A 24-2021 tillsynsbegäran mail.docx", "A 24-2021")</f>
        <v/>
      </c>
    </row>
    <row r="197" ht="15" customHeight="1">
      <c r="A197" t="inlineStr">
        <is>
          <t>A 7485-2021</t>
        </is>
      </c>
      <c r="B197" s="1" t="n">
        <v>44238</v>
      </c>
      <c r="C197" s="1" t="n">
        <v>45635</v>
      </c>
      <c r="D197" t="inlineStr">
        <is>
          <t>GOTLANDS LÄN</t>
        </is>
      </c>
      <c r="E197" t="inlineStr">
        <is>
          <t>GOTLAND</t>
        </is>
      </c>
      <c r="G197" t="n">
        <v>2.9</v>
      </c>
      <c r="H197" t="n">
        <v>1</v>
      </c>
      <c r="I197" t="n">
        <v>0</v>
      </c>
      <c r="J197" t="n">
        <v>1</v>
      </c>
      <c r="K197" t="n">
        <v>0</v>
      </c>
      <c r="L197" t="n">
        <v>0</v>
      </c>
      <c r="M197" t="n">
        <v>0</v>
      </c>
      <c r="N197" t="n">
        <v>0</v>
      </c>
      <c r="O197" t="n">
        <v>1</v>
      </c>
      <c r="P197" t="n">
        <v>0</v>
      </c>
      <c r="Q197" t="n">
        <v>1</v>
      </c>
      <c r="R197" s="2" t="inlineStr">
        <is>
          <t>Spillkråka</t>
        </is>
      </c>
      <c r="S197">
        <f>HYPERLINK("https://klasma.github.io/Logging_0980/artfynd/A 7485-2021 artfynd.xlsx", "A 7485-2021")</f>
        <v/>
      </c>
      <c r="T197">
        <f>HYPERLINK("https://klasma.github.io/Logging_0980/kartor/A 7485-2021 karta.png", "A 7485-2021")</f>
        <v/>
      </c>
      <c r="V197">
        <f>HYPERLINK("https://klasma.github.io/Logging_0980/klagomål/A 7485-2021 FSC-klagomål.docx", "A 7485-2021")</f>
        <v/>
      </c>
      <c r="W197">
        <f>HYPERLINK("https://klasma.github.io/Logging_0980/klagomålsmail/A 7485-2021 FSC-klagomål mail.docx", "A 7485-2021")</f>
        <v/>
      </c>
      <c r="X197">
        <f>HYPERLINK("https://klasma.github.io/Logging_0980/tillsyn/A 7485-2021 tillsynsbegäran.docx", "A 7485-2021")</f>
        <v/>
      </c>
      <c r="Y197">
        <f>HYPERLINK("https://klasma.github.io/Logging_0980/tillsynsmail/A 7485-2021 tillsynsbegäran mail.docx", "A 7485-2021")</f>
        <v/>
      </c>
      <c r="Z197">
        <f>HYPERLINK("https://klasma.github.io/Logging_0980/fåglar/A 7485-2021 prioriterade fågelarter.docx", "A 7485-2021")</f>
        <v/>
      </c>
    </row>
    <row r="198" ht="15" customHeight="1">
      <c r="A198" t="inlineStr">
        <is>
          <t>A 13939-2021</t>
        </is>
      </c>
      <c r="B198" s="1" t="n">
        <v>44277</v>
      </c>
      <c r="C198" s="1" t="n">
        <v>45635</v>
      </c>
      <c r="D198" t="inlineStr">
        <is>
          <t>GOTLANDS LÄN</t>
        </is>
      </c>
      <c r="E198" t="inlineStr">
        <is>
          <t>GOTLAND</t>
        </is>
      </c>
      <c r="G198" t="n">
        <v>1</v>
      </c>
      <c r="H198" t="n">
        <v>0</v>
      </c>
      <c r="I198" t="n">
        <v>0</v>
      </c>
      <c r="J198" t="n">
        <v>1</v>
      </c>
      <c r="K198" t="n">
        <v>0</v>
      </c>
      <c r="L198" t="n">
        <v>0</v>
      </c>
      <c r="M198" t="n">
        <v>0</v>
      </c>
      <c r="N198" t="n">
        <v>0</v>
      </c>
      <c r="O198" t="n">
        <v>1</v>
      </c>
      <c r="P198" t="n">
        <v>0</v>
      </c>
      <c r="Q198" t="n">
        <v>1</v>
      </c>
      <c r="R198" s="2" t="inlineStr">
        <is>
          <t>Axveronika</t>
        </is>
      </c>
      <c r="S198">
        <f>HYPERLINK("https://klasma.github.io/Logging_0980/artfynd/A 13939-2021 artfynd.xlsx", "A 13939-2021")</f>
        <v/>
      </c>
      <c r="T198">
        <f>HYPERLINK("https://klasma.github.io/Logging_0980/kartor/A 13939-2021 karta.png", "A 13939-2021")</f>
        <v/>
      </c>
      <c r="V198">
        <f>HYPERLINK("https://klasma.github.io/Logging_0980/klagomål/A 13939-2021 FSC-klagomål.docx", "A 13939-2021")</f>
        <v/>
      </c>
      <c r="W198">
        <f>HYPERLINK("https://klasma.github.io/Logging_0980/klagomålsmail/A 13939-2021 FSC-klagomål mail.docx", "A 13939-2021")</f>
        <v/>
      </c>
      <c r="X198">
        <f>HYPERLINK("https://klasma.github.io/Logging_0980/tillsyn/A 13939-2021 tillsynsbegäran.docx", "A 13939-2021")</f>
        <v/>
      </c>
      <c r="Y198">
        <f>HYPERLINK("https://klasma.github.io/Logging_0980/tillsynsmail/A 13939-2021 tillsynsbegäran mail.docx", "A 13939-2021")</f>
        <v/>
      </c>
    </row>
    <row r="199" ht="15" customHeight="1">
      <c r="A199" t="inlineStr">
        <is>
          <t>A 17723-2021</t>
        </is>
      </c>
      <c r="B199" s="1" t="n">
        <v>44300</v>
      </c>
      <c r="C199" s="1" t="n">
        <v>45635</v>
      </c>
      <c r="D199" t="inlineStr">
        <is>
          <t>GOTLANDS LÄN</t>
        </is>
      </c>
      <c r="E199" t="inlineStr">
        <is>
          <t>GOTLAND</t>
        </is>
      </c>
      <c r="G199" t="n">
        <v>1.5</v>
      </c>
      <c r="H199" t="n">
        <v>1</v>
      </c>
      <c r="I199" t="n">
        <v>1</v>
      </c>
      <c r="J199" t="n">
        <v>0</v>
      </c>
      <c r="K199" t="n">
        <v>0</v>
      </c>
      <c r="L199" t="n">
        <v>0</v>
      </c>
      <c r="M199" t="n">
        <v>0</v>
      </c>
      <c r="N199" t="n">
        <v>0</v>
      </c>
      <c r="O199" t="n">
        <v>0</v>
      </c>
      <c r="P199" t="n">
        <v>0</v>
      </c>
      <c r="Q199" t="n">
        <v>1</v>
      </c>
      <c r="R199" s="2" t="inlineStr">
        <is>
          <t>Vit skogslilja</t>
        </is>
      </c>
      <c r="S199">
        <f>HYPERLINK("https://klasma.github.io/Logging_0980/artfynd/A 17723-2021 artfynd.xlsx", "A 17723-2021")</f>
        <v/>
      </c>
      <c r="T199">
        <f>HYPERLINK("https://klasma.github.io/Logging_0980/kartor/A 17723-2021 karta.png", "A 17723-2021")</f>
        <v/>
      </c>
      <c r="V199">
        <f>HYPERLINK("https://klasma.github.io/Logging_0980/klagomål/A 17723-2021 FSC-klagomål.docx", "A 17723-2021")</f>
        <v/>
      </c>
      <c r="W199">
        <f>HYPERLINK("https://klasma.github.io/Logging_0980/klagomålsmail/A 17723-2021 FSC-klagomål mail.docx", "A 17723-2021")</f>
        <v/>
      </c>
      <c r="X199">
        <f>HYPERLINK("https://klasma.github.io/Logging_0980/tillsyn/A 17723-2021 tillsynsbegäran.docx", "A 17723-2021")</f>
        <v/>
      </c>
      <c r="Y199">
        <f>HYPERLINK("https://klasma.github.io/Logging_0980/tillsynsmail/A 17723-2021 tillsynsbegäran mail.docx", "A 17723-2021")</f>
        <v/>
      </c>
    </row>
    <row r="200" ht="15" customHeight="1">
      <c r="A200" t="inlineStr">
        <is>
          <t>A 29951-2021</t>
        </is>
      </c>
      <c r="B200" s="1" t="n">
        <v>44362</v>
      </c>
      <c r="C200" s="1" t="n">
        <v>45635</v>
      </c>
      <c r="D200" t="inlineStr">
        <is>
          <t>GOTLANDS LÄN</t>
        </is>
      </c>
      <c r="E200" t="inlineStr">
        <is>
          <t>GOTLAND</t>
        </is>
      </c>
      <c r="G200" t="n">
        <v>3.4</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29951-2021 artfynd.xlsx", "A 29951-2021")</f>
        <v/>
      </c>
      <c r="T200">
        <f>HYPERLINK("https://klasma.github.io/Logging_0980/kartor/A 29951-2021 karta.png", "A 29951-2021")</f>
        <v/>
      </c>
      <c r="V200">
        <f>HYPERLINK("https://klasma.github.io/Logging_0980/klagomål/A 29951-2021 FSC-klagomål.docx", "A 29951-2021")</f>
        <v/>
      </c>
      <c r="W200">
        <f>HYPERLINK("https://klasma.github.io/Logging_0980/klagomålsmail/A 29951-2021 FSC-klagomål mail.docx", "A 29951-2021")</f>
        <v/>
      </c>
      <c r="X200">
        <f>HYPERLINK("https://klasma.github.io/Logging_0980/tillsyn/A 29951-2021 tillsynsbegäran.docx", "A 29951-2021")</f>
        <v/>
      </c>
      <c r="Y200">
        <f>HYPERLINK("https://klasma.github.io/Logging_0980/tillsynsmail/A 29951-2021 tillsynsbegäran mail.docx", "A 29951-2021")</f>
        <v/>
      </c>
    </row>
    <row r="201" ht="15" customHeight="1">
      <c r="A201" t="inlineStr">
        <is>
          <t>A 35467-2021</t>
        </is>
      </c>
      <c r="B201" s="1" t="n">
        <v>44385</v>
      </c>
      <c r="C201" s="1" t="n">
        <v>45635</v>
      </c>
      <c r="D201" t="inlineStr">
        <is>
          <t>GOTLANDS LÄN</t>
        </is>
      </c>
      <c r="E201" t="inlineStr">
        <is>
          <t>GOTLAND</t>
        </is>
      </c>
      <c r="G201" t="n">
        <v>12.7</v>
      </c>
      <c r="H201" t="n">
        <v>0</v>
      </c>
      <c r="I201" t="n">
        <v>0</v>
      </c>
      <c r="J201" t="n">
        <v>1</v>
      </c>
      <c r="K201" t="n">
        <v>0</v>
      </c>
      <c r="L201" t="n">
        <v>0</v>
      </c>
      <c r="M201" t="n">
        <v>0</v>
      </c>
      <c r="N201" t="n">
        <v>0</v>
      </c>
      <c r="O201" t="n">
        <v>1</v>
      </c>
      <c r="P201" t="n">
        <v>0</v>
      </c>
      <c r="Q201" t="n">
        <v>1</v>
      </c>
      <c r="R201" s="2" t="inlineStr">
        <is>
          <t>Loppstarr</t>
        </is>
      </c>
      <c r="S201">
        <f>HYPERLINK("https://klasma.github.io/Logging_0980/artfynd/A 35467-2021 artfynd.xlsx", "A 35467-2021")</f>
        <v/>
      </c>
      <c r="T201">
        <f>HYPERLINK("https://klasma.github.io/Logging_0980/kartor/A 35467-2021 karta.png", "A 35467-2021")</f>
        <v/>
      </c>
      <c r="V201">
        <f>HYPERLINK("https://klasma.github.io/Logging_0980/klagomål/A 35467-2021 FSC-klagomål.docx", "A 35467-2021")</f>
        <v/>
      </c>
      <c r="W201">
        <f>HYPERLINK("https://klasma.github.io/Logging_0980/klagomålsmail/A 35467-2021 FSC-klagomål mail.docx", "A 35467-2021")</f>
        <v/>
      </c>
      <c r="X201">
        <f>HYPERLINK("https://klasma.github.io/Logging_0980/tillsyn/A 35467-2021 tillsynsbegäran.docx", "A 35467-2021")</f>
        <v/>
      </c>
      <c r="Y201">
        <f>HYPERLINK("https://klasma.github.io/Logging_0980/tillsynsmail/A 35467-2021 tillsynsbegäran mail.docx", "A 35467-2021")</f>
        <v/>
      </c>
    </row>
    <row r="202" ht="15" customHeight="1">
      <c r="A202" t="inlineStr">
        <is>
          <t>A 44308-2021</t>
        </is>
      </c>
      <c r="B202" s="1" t="n">
        <v>44434</v>
      </c>
      <c r="C202" s="1" t="n">
        <v>45635</v>
      </c>
      <c r="D202" t="inlineStr">
        <is>
          <t>GOTLANDS LÄN</t>
        </is>
      </c>
      <c r="E202" t="inlineStr">
        <is>
          <t>GOTLAND</t>
        </is>
      </c>
      <c r="G202" t="n">
        <v>5.9</v>
      </c>
      <c r="H202" t="n">
        <v>0</v>
      </c>
      <c r="I202" t="n">
        <v>1</v>
      </c>
      <c r="J202" t="n">
        <v>0</v>
      </c>
      <c r="K202" t="n">
        <v>0</v>
      </c>
      <c r="L202" t="n">
        <v>0</v>
      </c>
      <c r="M202" t="n">
        <v>0</v>
      </c>
      <c r="N202" t="n">
        <v>0</v>
      </c>
      <c r="O202" t="n">
        <v>0</v>
      </c>
      <c r="P202" t="n">
        <v>0</v>
      </c>
      <c r="Q202" t="n">
        <v>1</v>
      </c>
      <c r="R202" s="2" t="inlineStr">
        <is>
          <t>Svavelriska</t>
        </is>
      </c>
      <c r="S202">
        <f>HYPERLINK("https://klasma.github.io/Logging_0980/artfynd/A 44308-2021 artfynd.xlsx", "A 44308-2021")</f>
        <v/>
      </c>
      <c r="T202">
        <f>HYPERLINK("https://klasma.github.io/Logging_0980/kartor/A 44308-2021 karta.png", "A 44308-2021")</f>
        <v/>
      </c>
      <c r="V202">
        <f>HYPERLINK("https://klasma.github.io/Logging_0980/klagomål/A 44308-2021 FSC-klagomål.docx", "A 44308-2021")</f>
        <v/>
      </c>
      <c r="W202">
        <f>HYPERLINK("https://klasma.github.io/Logging_0980/klagomålsmail/A 44308-2021 FSC-klagomål mail.docx", "A 44308-2021")</f>
        <v/>
      </c>
      <c r="X202">
        <f>HYPERLINK("https://klasma.github.io/Logging_0980/tillsyn/A 44308-2021 tillsynsbegäran.docx", "A 44308-2021")</f>
        <v/>
      </c>
      <c r="Y202">
        <f>HYPERLINK("https://klasma.github.io/Logging_0980/tillsynsmail/A 44308-2021 tillsynsbegäran mail.docx", "A 44308-2021")</f>
        <v/>
      </c>
    </row>
    <row r="203" ht="15" customHeight="1">
      <c r="A203" t="inlineStr">
        <is>
          <t>A 47411-2021</t>
        </is>
      </c>
      <c r="B203" s="1" t="n">
        <v>44447</v>
      </c>
      <c r="C203" s="1" t="n">
        <v>45635</v>
      </c>
      <c r="D203" t="inlineStr">
        <is>
          <t>GOTLANDS LÄN</t>
        </is>
      </c>
      <c r="E203" t="inlineStr">
        <is>
          <t>GOTLAND</t>
        </is>
      </c>
      <c r="G203" t="n">
        <v>2.7</v>
      </c>
      <c r="H203" t="n">
        <v>1</v>
      </c>
      <c r="I203" t="n">
        <v>0</v>
      </c>
      <c r="J203" t="n">
        <v>0</v>
      </c>
      <c r="K203" t="n">
        <v>0</v>
      </c>
      <c r="L203" t="n">
        <v>0</v>
      </c>
      <c r="M203" t="n">
        <v>0</v>
      </c>
      <c r="N203" t="n">
        <v>0</v>
      </c>
      <c r="O203" t="n">
        <v>0</v>
      </c>
      <c r="P203" t="n">
        <v>0</v>
      </c>
      <c r="Q203" t="n">
        <v>1</v>
      </c>
      <c r="R203" s="2" t="inlineStr">
        <is>
          <t>Revlummer</t>
        </is>
      </c>
      <c r="S203">
        <f>HYPERLINK("https://klasma.github.io/Logging_0980/artfynd/A 47411-2021 artfynd.xlsx", "A 47411-2021")</f>
        <v/>
      </c>
      <c r="T203">
        <f>HYPERLINK("https://klasma.github.io/Logging_0980/kartor/A 47411-2021 karta.png", "A 47411-2021")</f>
        <v/>
      </c>
      <c r="V203">
        <f>HYPERLINK("https://klasma.github.io/Logging_0980/klagomål/A 47411-2021 FSC-klagomål.docx", "A 47411-2021")</f>
        <v/>
      </c>
      <c r="W203">
        <f>HYPERLINK("https://klasma.github.io/Logging_0980/klagomålsmail/A 47411-2021 FSC-klagomål mail.docx", "A 47411-2021")</f>
        <v/>
      </c>
      <c r="X203">
        <f>HYPERLINK("https://klasma.github.io/Logging_0980/tillsyn/A 47411-2021 tillsynsbegäran.docx", "A 47411-2021")</f>
        <v/>
      </c>
      <c r="Y203">
        <f>HYPERLINK("https://klasma.github.io/Logging_0980/tillsynsmail/A 47411-2021 tillsynsbegäran mail.docx", "A 47411-2021")</f>
        <v/>
      </c>
    </row>
    <row r="204" ht="15" customHeight="1">
      <c r="A204" t="inlineStr">
        <is>
          <t>A 63576-2021</t>
        </is>
      </c>
      <c r="B204" s="1" t="n">
        <v>44508</v>
      </c>
      <c r="C204" s="1" t="n">
        <v>45635</v>
      </c>
      <c r="D204" t="inlineStr">
        <is>
          <t>GOTLANDS LÄN</t>
        </is>
      </c>
      <c r="E204" t="inlineStr">
        <is>
          <t>GOTLAND</t>
        </is>
      </c>
      <c r="F204" t="inlineStr">
        <is>
          <t>Kyrkan</t>
        </is>
      </c>
      <c r="G204" t="n">
        <v>4.1</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63576-2021 artfynd.xlsx", "A 63576-2021")</f>
        <v/>
      </c>
      <c r="T204">
        <f>HYPERLINK("https://klasma.github.io/Logging_0980/kartor/A 63576-2021 karta.png", "A 63576-2021")</f>
        <v/>
      </c>
      <c r="V204">
        <f>HYPERLINK("https://klasma.github.io/Logging_0980/klagomål/A 63576-2021 FSC-klagomål.docx", "A 63576-2021")</f>
        <v/>
      </c>
      <c r="W204">
        <f>HYPERLINK("https://klasma.github.io/Logging_0980/klagomålsmail/A 63576-2021 FSC-klagomål mail.docx", "A 63576-2021")</f>
        <v/>
      </c>
      <c r="X204">
        <f>HYPERLINK("https://klasma.github.io/Logging_0980/tillsyn/A 63576-2021 tillsynsbegäran.docx", "A 63576-2021")</f>
        <v/>
      </c>
      <c r="Y204">
        <f>HYPERLINK("https://klasma.github.io/Logging_0980/tillsynsmail/A 63576-2021 tillsynsbegäran mail.docx", "A 63576-2021")</f>
        <v/>
      </c>
    </row>
    <row r="205" ht="15" customHeight="1">
      <c r="A205" t="inlineStr">
        <is>
          <t>A 64700-2021</t>
        </is>
      </c>
      <c r="B205" s="1" t="n">
        <v>44511</v>
      </c>
      <c r="C205" s="1" t="n">
        <v>45635</v>
      </c>
      <c r="D205" t="inlineStr">
        <is>
          <t>GOTLANDS LÄN</t>
        </is>
      </c>
      <c r="E205" t="inlineStr">
        <is>
          <t>GOTLAND</t>
        </is>
      </c>
      <c r="F205" t="inlineStr">
        <is>
          <t>Naturvårdsverket</t>
        </is>
      </c>
      <c r="G205" t="n">
        <v>2.4</v>
      </c>
      <c r="H205" t="n">
        <v>1</v>
      </c>
      <c r="I205" t="n">
        <v>0</v>
      </c>
      <c r="J205" t="n">
        <v>0</v>
      </c>
      <c r="K205" t="n">
        <v>1</v>
      </c>
      <c r="L205" t="n">
        <v>0</v>
      </c>
      <c r="M205" t="n">
        <v>0</v>
      </c>
      <c r="N205" t="n">
        <v>0</v>
      </c>
      <c r="O205" t="n">
        <v>1</v>
      </c>
      <c r="P205" t="n">
        <v>1</v>
      </c>
      <c r="Q205" t="n">
        <v>1</v>
      </c>
      <c r="R205" s="2" t="inlineStr">
        <is>
          <t>Kalkdån</t>
        </is>
      </c>
      <c r="S205">
        <f>HYPERLINK("https://klasma.github.io/Logging_0980/artfynd/A 64700-2021 artfynd.xlsx", "A 64700-2021")</f>
        <v/>
      </c>
      <c r="T205">
        <f>HYPERLINK("https://klasma.github.io/Logging_0980/kartor/A 64700-2021 karta.png", "A 64700-2021")</f>
        <v/>
      </c>
      <c r="V205">
        <f>HYPERLINK("https://klasma.github.io/Logging_0980/klagomål/A 64700-2021 FSC-klagomål.docx", "A 64700-2021")</f>
        <v/>
      </c>
      <c r="W205">
        <f>HYPERLINK("https://klasma.github.io/Logging_0980/klagomålsmail/A 64700-2021 FSC-klagomål mail.docx", "A 64700-2021")</f>
        <v/>
      </c>
      <c r="X205">
        <f>HYPERLINK("https://klasma.github.io/Logging_0980/tillsyn/A 64700-2021 tillsynsbegäran.docx", "A 64700-2021")</f>
        <v/>
      </c>
      <c r="Y205">
        <f>HYPERLINK("https://klasma.github.io/Logging_0980/tillsynsmail/A 64700-2021 tillsynsbegäran mail.docx", "A 64700-2021")</f>
        <v/>
      </c>
    </row>
    <row r="206" ht="15" customHeight="1">
      <c r="A206" t="inlineStr">
        <is>
          <t>A 65927-2021</t>
        </is>
      </c>
      <c r="B206" s="1" t="n">
        <v>44516</v>
      </c>
      <c r="C206" s="1" t="n">
        <v>45635</v>
      </c>
      <c r="D206" t="inlineStr">
        <is>
          <t>GOTLANDS LÄN</t>
        </is>
      </c>
      <c r="E206" t="inlineStr">
        <is>
          <t>GOTLAND</t>
        </is>
      </c>
      <c r="G206" t="n">
        <v>3.1</v>
      </c>
      <c r="H206" t="n">
        <v>1</v>
      </c>
      <c r="I206" t="n">
        <v>0</v>
      </c>
      <c r="J206" t="n">
        <v>0</v>
      </c>
      <c r="K206" t="n">
        <v>1</v>
      </c>
      <c r="L206" t="n">
        <v>0</v>
      </c>
      <c r="M206" t="n">
        <v>0</v>
      </c>
      <c r="N206" t="n">
        <v>0</v>
      </c>
      <c r="O206" t="n">
        <v>1</v>
      </c>
      <c r="P206" t="n">
        <v>1</v>
      </c>
      <c r="Q206" t="n">
        <v>1</v>
      </c>
      <c r="R206" s="2" t="inlineStr">
        <is>
          <t>Grenigt kungsljus</t>
        </is>
      </c>
      <c r="S206">
        <f>HYPERLINK("https://klasma.github.io/Logging_0980/artfynd/A 65927-2021 artfynd.xlsx", "A 65927-2021")</f>
        <v/>
      </c>
      <c r="T206">
        <f>HYPERLINK("https://klasma.github.io/Logging_0980/kartor/A 65927-2021 karta.png", "A 65927-2021")</f>
        <v/>
      </c>
      <c r="V206">
        <f>HYPERLINK("https://klasma.github.io/Logging_0980/klagomål/A 65927-2021 FSC-klagomål.docx", "A 65927-2021")</f>
        <v/>
      </c>
      <c r="W206">
        <f>HYPERLINK("https://klasma.github.io/Logging_0980/klagomålsmail/A 65927-2021 FSC-klagomål mail.docx", "A 65927-2021")</f>
        <v/>
      </c>
      <c r="X206">
        <f>HYPERLINK("https://klasma.github.io/Logging_0980/tillsyn/A 65927-2021 tillsynsbegäran.docx", "A 65927-2021")</f>
        <v/>
      </c>
      <c r="Y206">
        <f>HYPERLINK("https://klasma.github.io/Logging_0980/tillsynsmail/A 65927-2021 tillsynsbegäran mail.docx", "A 65927-2021")</f>
        <v/>
      </c>
    </row>
    <row r="207" ht="15" customHeight="1">
      <c r="A207" t="inlineStr">
        <is>
          <t>A 66091-2021</t>
        </is>
      </c>
      <c r="B207" s="1" t="n">
        <v>44517</v>
      </c>
      <c r="C207" s="1" t="n">
        <v>45635</v>
      </c>
      <c r="D207" t="inlineStr">
        <is>
          <t>GOTLANDS LÄN</t>
        </is>
      </c>
      <c r="E207" t="inlineStr">
        <is>
          <t>GOTLAND</t>
        </is>
      </c>
      <c r="G207" t="n">
        <v>11.7</v>
      </c>
      <c r="H207" t="n">
        <v>1</v>
      </c>
      <c r="I207" t="n">
        <v>0</v>
      </c>
      <c r="J207" t="n">
        <v>0</v>
      </c>
      <c r="K207" t="n">
        <v>0</v>
      </c>
      <c r="L207" t="n">
        <v>0</v>
      </c>
      <c r="M207" t="n">
        <v>0</v>
      </c>
      <c r="N207" t="n">
        <v>0</v>
      </c>
      <c r="O207" t="n">
        <v>0</v>
      </c>
      <c r="P207" t="n">
        <v>0</v>
      </c>
      <c r="Q207" t="n">
        <v>1</v>
      </c>
      <c r="R207" s="2" t="inlineStr">
        <is>
          <t>Pärluggla</t>
        </is>
      </c>
      <c r="S207">
        <f>HYPERLINK("https://klasma.github.io/Logging_0980/artfynd/A 66091-2021 artfynd.xlsx", "A 66091-2021")</f>
        <v/>
      </c>
      <c r="T207">
        <f>HYPERLINK("https://klasma.github.io/Logging_0980/kartor/A 66091-2021 karta.png", "A 66091-2021")</f>
        <v/>
      </c>
      <c r="V207">
        <f>HYPERLINK("https://klasma.github.io/Logging_0980/klagomål/A 66091-2021 FSC-klagomål.docx", "A 66091-2021")</f>
        <v/>
      </c>
      <c r="W207">
        <f>HYPERLINK("https://klasma.github.io/Logging_0980/klagomålsmail/A 66091-2021 FSC-klagomål mail.docx", "A 66091-2021")</f>
        <v/>
      </c>
      <c r="X207">
        <f>HYPERLINK("https://klasma.github.io/Logging_0980/tillsyn/A 66091-2021 tillsynsbegäran.docx", "A 66091-2021")</f>
        <v/>
      </c>
      <c r="Y207">
        <f>HYPERLINK("https://klasma.github.io/Logging_0980/tillsynsmail/A 66091-2021 tillsynsbegäran mail.docx", "A 66091-2021")</f>
        <v/>
      </c>
      <c r="Z207">
        <f>HYPERLINK("https://klasma.github.io/Logging_0980/fåglar/A 66091-2021 prioriterade fågelarter.docx", "A 66091-2021")</f>
        <v/>
      </c>
    </row>
    <row r="208" ht="15" customHeight="1">
      <c r="A208" t="inlineStr">
        <is>
          <t>A 24245-2022</t>
        </is>
      </c>
      <c r="B208" s="1" t="n">
        <v>44725</v>
      </c>
      <c r="C208" s="1" t="n">
        <v>45635</v>
      </c>
      <c r="D208" t="inlineStr">
        <is>
          <t>GOTLANDS LÄN</t>
        </is>
      </c>
      <c r="E208" t="inlineStr">
        <is>
          <t>GOTLAND</t>
        </is>
      </c>
      <c r="G208" t="n">
        <v>4.9</v>
      </c>
      <c r="H208" t="n">
        <v>0</v>
      </c>
      <c r="I208" t="n">
        <v>0</v>
      </c>
      <c r="J208" t="n">
        <v>0</v>
      </c>
      <c r="K208" t="n">
        <v>0</v>
      </c>
      <c r="L208" t="n">
        <v>1</v>
      </c>
      <c r="M208" t="n">
        <v>0</v>
      </c>
      <c r="N208" t="n">
        <v>0</v>
      </c>
      <c r="O208" t="n">
        <v>1</v>
      </c>
      <c r="P208" t="n">
        <v>1</v>
      </c>
      <c r="Q208" t="n">
        <v>1</v>
      </c>
      <c r="R208" s="2" t="inlineStr">
        <is>
          <t>Slät taggsvamp</t>
        </is>
      </c>
      <c r="S208">
        <f>HYPERLINK("https://klasma.github.io/Logging_0980/artfynd/A 24245-2022 artfynd.xlsx", "A 24245-2022")</f>
        <v/>
      </c>
      <c r="T208">
        <f>HYPERLINK("https://klasma.github.io/Logging_0980/kartor/A 24245-2022 karta.png", "A 24245-2022")</f>
        <v/>
      </c>
      <c r="V208">
        <f>HYPERLINK("https://klasma.github.io/Logging_0980/klagomål/A 24245-2022 FSC-klagomål.docx", "A 24245-2022")</f>
        <v/>
      </c>
      <c r="W208">
        <f>HYPERLINK("https://klasma.github.io/Logging_0980/klagomålsmail/A 24245-2022 FSC-klagomål mail.docx", "A 24245-2022")</f>
        <v/>
      </c>
      <c r="X208">
        <f>HYPERLINK("https://klasma.github.io/Logging_0980/tillsyn/A 24245-2022 tillsynsbegäran.docx", "A 24245-2022")</f>
        <v/>
      </c>
      <c r="Y208">
        <f>HYPERLINK("https://klasma.github.io/Logging_0980/tillsynsmail/A 24245-2022 tillsynsbegäran mail.docx", "A 24245-2022")</f>
        <v/>
      </c>
    </row>
    <row r="209" ht="15" customHeight="1">
      <c r="A209" t="inlineStr">
        <is>
          <t>A 25783-2022</t>
        </is>
      </c>
      <c r="B209" s="1" t="n">
        <v>44733</v>
      </c>
      <c r="C209" s="1" t="n">
        <v>45635</v>
      </c>
      <c r="D209" t="inlineStr">
        <is>
          <t>GOTLANDS LÄN</t>
        </is>
      </c>
      <c r="E209" t="inlineStr">
        <is>
          <t>GOTLAND</t>
        </is>
      </c>
      <c r="G209" t="n">
        <v>1</v>
      </c>
      <c r="H209" t="n">
        <v>1</v>
      </c>
      <c r="I209" t="n">
        <v>1</v>
      </c>
      <c r="J209" t="n">
        <v>0</v>
      </c>
      <c r="K209" t="n">
        <v>0</v>
      </c>
      <c r="L209" t="n">
        <v>0</v>
      </c>
      <c r="M209" t="n">
        <v>0</v>
      </c>
      <c r="N209" t="n">
        <v>0</v>
      </c>
      <c r="O209" t="n">
        <v>0</v>
      </c>
      <c r="P209" t="n">
        <v>0</v>
      </c>
      <c r="Q209" t="n">
        <v>1</v>
      </c>
      <c r="R209" s="2" t="inlineStr">
        <is>
          <t>Vit skogslilja</t>
        </is>
      </c>
      <c r="S209">
        <f>HYPERLINK("https://klasma.github.io/Logging_0980/artfynd/A 25783-2022 artfynd.xlsx", "A 25783-2022")</f>
        <v/>
      </c>
      <c r="T209">
        <f>HYPERLINK("https://klasma.github.io/Logging_0980/kartor/A 25783-2022 karta.png", "A 25783-2022")</f>
        <v/>
      </c>
      <c r="V209">
        <f>HYPERLINK("https://klasma.github.io/Logging_0980/klagomål/A 25783-2022 FSC-klagomål.docx", "A 25783-2022")</f>
        <v/>
      </c>
      <c r="W209">
        <f>HYPERLINK("https://klasma.github.io/Logging_0980/klagomålsmail/A 25783-2022 FSC-klagomål mail.docx", "A 25783-2022")</f>
        <v/>
      </c>
      <c r="X209">
        <f>HYPERLINK("https://klasma.github.io/Logging_0980/tillsyn/A 25783-2022 tillsynsbegäran.docx", "A 25783-2022")</f>
        <v/>
      </c>
      <c r="Y209">
        <f>HYPERLINK("https://klasma.github.io/Logging_0980/tillsynsmail/A 25783-2022 tillsynsbegäran mail.docx", "A 25783-2022")</f>
        <v/>
      </c>
    </row>
    <row r="210" ht="15" customHeight="1">
      <c r="A210" t="inlineStr">
        <is>
          <t>A 27168-2022</t>
        </is>
      </c>
      <c r="B210" s="1" t="n">
        <v>44741</v>
      </c>
      <c r="C210" s="1" t="n">
        <v>45635</v>
      </c>
      <c r="D210" t="inlineStr">
        <is>
          <t>GOTLANDS LÄN</t>
        </is>
      </c>
      <c r="E210" t="inlineStr">
        <is>
          <t>GOTLAND</t>
        </is>
      </c>
      <c r="G210" t="n">
        <v>2.2</v>
      </c>
      <c r="H210" t="n">
        <v>1</v>
      </c>
      <c r="I210" t="n">
        <v>1</v>
      </c>
      <c r="J210" t="n">
        <v>0</v>
      </c>
      <c r="K210" t="n">
        <v>0</v>
      </c>
      <c r="L210" t="n">
        <v>0</v>
      </c>
      <c r="M210" t="n">
        <v>0</v>
      </c>
      <c r="N210" t="n">
        <v>0</v>
      </c>
      <c r="O210" t="n">
        <v>0</v>
      </c>
      <c r="P210" t="n">
        <v>0</v>
      </c>
      <c r="Q210" t="n">
        <v>1</v>
      </c>
      <c r="R210" s="2" t="inlineStr">
        <is>
          <t>Purpurknipprot</t>
        </is>
      </c>
      <c r="S210">
        <f>HYPERLINK("https://klasma.github.io/Logging_0980/artfynd/A 27168-2022 artfynd.xlsx", "A 27168-2022")</f>
        <v/>
      </c>
      <c r="T210">
        <f>HYPERLINK("https://klasma.github.io/Logging_0980/kartor/A 27168-2022 karta.png", "A 27168-2022")</f>
        <v/>
      </c>
      <c r="V210">
        <f>HYPERLINK("https://klasma.github.io/Logging_0980/klagomål/A 27168-2022 FSC-klagomål.docx", "A 27168-2022")</f>
        <v/>
      </c>
      <c r="W210">
        <f>HYPERLINK("https://klasma.github.io/Logging_0980/klagomålsmail/A 27168-2022 FSC-klagomål mail.docx", "A 27168-2022")</f>
        <v/>
      </c>
      <c r="X210">
        <f>HYPERLINK("https://klasma.github.io/Logging_0980/tillsyn/A 27168-2022 tillsynsbegäran.docx", "A 27168-2022")</f>
        <v/>
      </c>
      <c r="Y210">
        <f>HYPERLINK("https://klasma.github.io/Logging_0980/tillsynsmail/A 27168-2022 tillsynsbegäran mail.docx", "A 27168-2022")</f>
        <v/>
      </c>
    </row>
    <row r="211" ht="15" customHeight="1">
      <c r="A211" t="inlineStr">
        <is>
          <t>A 27814-2022</t>
        </is>
      </c>
      <c r="B211" s="1" t="n">
        <v>44743</v>
      </c>
      <c r="C211" s="1" t="n">
        <v>45635</v>
      </c>
      <c r="D211" t="inlineStr">
        <is>
          <t>GOTLANDS LÄN</t>
        </is>
      </c>
      <c r="E211" t="inlineStr">
        <is>
          <t>GOTLAND</t>
        </is>
      </c>
      <c r="G211" t="n">
        <v>25</v>
      </c>
      <c r="H211" t="n">
        <v>1</v>
      </c>
      <c r="I211" t="n">
        <v>0</v>
      </c>
      <c r="J211" t="n">
        <v>0</v>
      </c>
      <c r="K211" t="n">
        <v>0</v>
      </c>
      <c r="L211" t="n">
        <v>0</v>
      </c>
      <c r="M211" t="n">
        <v>0</v>
      </c>
      <c r="N211" t="n">
        <v>0</v>
      </c>
      <c r="O211" t="n">
        <v>0</v>
      </c>
      <c r="P211" t="n">
        <v>0</v>
      </c>
      <c r="Q211" t="n">
        <v>1</v>
      </c>
      <c r="R211" s="2" t="inlineStr">
        <is>
          <t>Mindre vattensalamander</t>
        </is>
      </c>
      <c r="S211">
        <f>HYPERLINK("https://klasma.github.io/Logging_0980/artfynd/A 27814-2022 artfynd.xlsx", "A 27814-2022")</f>
        <v/>
      </c>
      <c r="T211">
        <f>HYPERLINK("https://klasma.github.io/Logging_0980/kartor/A 27814-2022 karta.png", "A 27814-2022")</f>
        <v/>
      </c>
      <c r="V211">
        <f>HYPERLINK("https://klasma.github.io/Logging_0980/klagomål/A 27814-2022 FSC-klagomål.docx", "A 27814-2022")</f>
        <v/>
      </c>
      <c r="W211">
        <f>HYPERLINK("https://klasma.github.io/Logging_0980/klagomålsmail/A 27814-2022 FSC-klagomål mail.docx", "A 27814-2022")</f>
        <v/>
      </c>
      <c r="X211">
        <f>HYPERLINK("https://klasma.github.io/Logging_0980/tillsyn/A 27814-2022 tillsynsbegäran.docx", "A 27814-2022")</f>
        <v/>
      </c>
      <c r="Y211">
        <f>HYPERLINK("https://klasma.github.io/Logging_0980/tillsynsmail/A 27814-2022 tillsynsbegäran mail.docx", "A 27814-2022")</f>
        <v/>
      </c>
    </row>
    <row r="212" ht="15" customHeight="1">
      <c r="A212" t="inlineStr">
        <is>
          <t>A 44095-2022</t>
        </is>
      </c>
      <c r="B212" s="1" t="n">
        <v>44839</v>
      </c>
      <c r="C212" s="1" t="n">
        <v>45635</v>
      </c>
      <c r="D212" t="inlineStr">
        <is>
          <t>GOTLANDS LÄN</t>
        </is>
      </c>
      <c r="E212" t="inlineStr">
        <is>
          <t>GOTLAND</t>
        </is>
      </c>
      <c r="G212" t="n">
        <v>9</v>
      </c>
      <c r="H212" t="n">
        <v>0</v>
      </c>
      <c r="I212" t="n">
        <v>1</v>
      </c>
      <c r="J212" t="n">
        <v>0</v>
      </c>
      <c r="K212" t="n">
        <v>0</v>
      </c>
      <c r="L212" t="n">
        <v>0</v>
      </c>
      <c r="M212" t="n">
        <v>0</v>
      </c>
      <c r="N212" t="n">
        <v>0</v>
      </c>
      <c r="O212" t="n">
        <v>0</v>
      </c>
      <c r="P212" t="n">
        <v>0</v>
      </c>
      <c r="Q212" t="n">
        <v>1</v>
      </c>
      <c r="R212" s="2" t="inlineStr">
        <is>
          <t>Strävlosta</t>
        </is>
      </c>
      <c r="S212">
        <f>HYPERLINK("https://klasma.github.io/Logging_0980/artfynd/A 44095-2022 artfynd.xlsx", "A 44095-2022")</f>
        <v/>
      </c>
      <c r="T212">
        <f>HYPERLINK("https://klasma.github.io/Logging_0980/kartor/A 44095-2022 karta.png", "A 44095-2022")</f>
        <v/>
      </c>
      <c r="V212">
        <f>HYPERLINK("https://klasma.github.io/Logging_0980/klagomål/A 44095-2022 FSC-klagomål.docx", "A 44095-2022")</f>
        <v/>
      </c>
      <c r="W212">
        <f>HYPERLINK("https://klasma.github.io/Logging_0980/klagomålsmail/A 44095-2022 FSC-klagomål mail.docx", "A 44095-2022")</f>
        <v/>
      </c>
      <c r="X212">
        <f>HYPERLINK("https://klasma.github.io/Logging_0980/tillsyn/A 44095-2022 tillsynsbegäran.docx", "A 44095-2022")</f>
        <v/>
      </c>
      <c r="Y212">
        <f>HYPERLINK("https://klasma.github.io/Logging_0980/tillsynsmail/A 44095-2022 tillsynsbegäran mail.docx", "A 44095-2022")</f>
        <v/>
      </c>
    </row>
    <row r="213" ht="15" customHeight="1">
      <c r="A213" t="inlineStr">
        <is>
          <t>A 44088-2022</t>
        </is>
      </c>
      <c r="B213" s="1" t="n">
        <v>44839</v>
      </c>
      <c r="C213" s="1" t="n">
        <v>45635</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Strävlosta</t>
        </is>
      </c>
      <c r="S213">
        <f>HYPERLINK("https://klasma.github.io/Logging_0980/artfynd/A 44088-2022 artfynd.xlsx", "A 44088-2022")</f>
        <v/>
      </c>
      <c r="T213">
        <f>HYPERLINK("https://klasma.github.io/Logging_0980/kartor/A 44088-2022 karta.png", "A 44088-2022")</f>
        <v/>
      </c>
      <c r="V213">
        <f>HYPERLINK("https://klasma.github.io/Logging_0980/klagomål/A 44088-2022 FSC-klagomål.docx", "A 44088-2022")</f>
        <v/>
      </c>
      <c r="W213">
        <f>HYPERLINK("https://klasma.github.io/Logging_0980/klagomålsmail/A 44088-2022 FSC-klagomål mail.docx", "A 44088-2022")</f>
        <v/>
      </c>
      <c r="X213">
        <f>HYPERLINK("https://klasma.github.io/Logging_0980/tillsyn/A 44088-2022 tillsynsbegäran.docx", "A 44088-2022")</f>
        <v/>
      </c>
      <c r="Y213">
        <f>HYPERLINK("https://klasma.github.io/Logging_0980/tillsynsmail/A 44088-2022 tillsynsbegäran mail.docx", "A 44088-2022")</f>
        <v/>
      </c>
    </row>
    <row r="214" ht="15" customHeight="1">
      <c r="A214" t="inlineStr">
        <is>
          <t>A 61796-2022</t>
        </is>
      </c>
      <c r="B214" s="1" t="n">
        <v>44917</v>
      </c>
      <c r="C214" s="1" t="n">
        <v>45635</v>
      </c>
      <c r="D214" t="inlineStr">
        <is>
          <t>GOTLANDS LÄN</t>
        </is>
      </c>
      <c r="E214" t="inlineStr">
        <is>
          <t>GOTLAND</t>
        </is>
      </c>
      <c r="G214" t="n">
        <v>1.5</v>
      </c>
      <c r="H214" t="n">
        <v>1</v>
      </c>
      <c r="I214" t="n">
        <v>0</v>
      </c>
      <c r="J214" t="n">
        <v>0</v>
      </c>
      <c r="K214" t="n">
        <v>0</v>
      </c>
      <c r="L214" t="n">
        <v>0</v>
      </c>
      <c r="M214" t="n">
        <v>0</v>
      </c>
      <c r="N214" t="n">
        <v>0</v>
      </c>
      <c r="O214" t="n">
        <v>0</v>
      </c>
      <c r="P214" t="n">
        <v>0</v>
      </c>
      <c r="Q214" t="n">
        <v>1</v>
      </c>
      <c r="R214" s="2" t="inlineStr">
        <is>
          <t>Skogsduva</t>
        </is>
      </c>
      <c r="S214">
        <f>HYPERLINK("https://klasma.github.io/Logging_0980/artfynd/A 61796-2022 artfynd.xlsx", "A 61796-2022")</f>
        <v/>
      </c>
      <c r="T214">
        <f>HYPERLINK("https://klasma.github.io/Logging_0980/kartor/A 61796-2022 karta.png", "A 61796-2022")</f>
        <v/>
      </c>
      <c r="V214">
        <f>HYPERLINK("https://klasma.github.io/Logging_0980/klagomål/A 61796-2022 FSC-klagomål.docx", "A 61796-2022")</f>
        <v/>
      </c>
      <c r="W214">
        <f>HYPERLINK("https://klasma.github.io/Logging_0980/klagomålsmail/A 61796-2022 FSC-klagomål mail.docx", "A 61796-2022")</f>
        <v/>
      </c>
      <c r="X214">
        <f>HYPERLINK("https://klasma.github.io/Logging_0980/tillsyn/A 61796-2022 tillsynsbegäran.docx", "A 61796-2022")</f>
        <v/>
      </c>
      <c r="Y214">
        <f>HYPERLINK("https://klasma.github.io/Logging_0980/tillsynsmail/A 61796-2022 tillsynsbegäran mail.docx", "A 61796-2022")</f>
        <v/>
      </c>
      <c r="Z214">
        <f>HYPERLINK("https://klasma.github.io/Logging_0980/fåglar/A 61796-2022 prioriterade fågelarter.docx", "A 61796-2022")</f>
        <v/>
      </c>
    </row>
    <row r="215" ht="15" customHeight="1">
      <c r="A215" t="inlineStr">
        <is>
          <t>A 62552-2022</t>
        </is>
      </c>
      <c r="B215" s="1" t="n">
        <v>44924</v>
      </c>
      <c r="C215" s="1" t="n">
        <v>45635</v>
      </c>
      <c r="D215" t="inlineStr">
        <is>
          <t>GOTLANDS LÄN</t>
        </is>
      </c>
      <c r="E215" t="inlineStr">
        <is>
          <t>GOTLAND</t>
        </is>
      </c>
      <c r="G215" t="n">
        <v>1.6</v>
      </c>
      <c r="H215" t="n">
        <v>0</v>
      </c>
      <c r="I215" t="n">
        <v>0</v>
      </c>
      <c r="J215" t="n">
        <v>1</v>
      </c>
      <c r="K215" t="n">
        <v>0</v>
      </c>
      <c r="L215" t="n">
        <v>0</v>
      </c>
      <c r="M215" t="n">
        <v>0</v>
      </c>
      <c r="N215" t="n">
        <v>0</v>
      </c>
      <c r="O215" t="n">
        <v>1</v>
      </c>
      <c r="P215" t="n">
        <v>0</v>
      </c>
      <c r="Q215" t="n">
        <v>1</v>
      </c>
      <c r="R215" s="2" t="inlineStr">
        <is>
          <t>Äggspindling</t>
        </is>
      </c>
      <c r="S215">
        <f>HYPERLINK("https://klasma.github.io/Logging_0980/artfynd/A 62552-2022 artfynd.xlsx", "A 62552-2022")</f>
        <v/>
      </c>
      <c r="T215">
        <f>HYPERLINK("https://klasma.github.io/Logging_0980/kartor/A 62552-2022 karta.png", "A 62552-2022")</f>
        <v/>
      </c>
      <c r="V215">
        <f>HYPERLINK("https://klasma.github.io/Logging_0980/klagomål/A 62552-2022 FSC-klagomål.docx", "A 62552-2022")</f>
        <v/>
      </c>
      <c r="W215">
        <f>HYPERLINK("https://klasma.github.io/Logging_0980/klagomålsmail/A 62552-2022 FSC-klagomål mail.docx", "A 62552-2022")</f>
        <v/>
      </c>
      <c r="X215">
        <f>HYPERLINK("https://klasma.github.io/Logging_0980/tillsyn/A 62552-2022 tillsynsbegäran.docx", "A 62552-2022")</f>
        <v/>
      </c>
      <c r="Y215">
        <f>HYPERLINK("https://klasma.github.io/Logging_0980/tillsynsmail/A 62552-2022 tillsynsbegäran mail.docx", "A 62552-2022")</f>
        <v/>
      </c>
    </row>
    <row r="216" ht="15" customHeight="1">
      <c r="A216" t="inlineStr">
        <is>
          <t>A 447-2023</t>
        </is>
      </c>
      <c r="B216" s="1" t="n">
        <v>44929</v>
      </c>
      <c r="C216" s="1" t="n">
        <v>45635</v>
      </c>
      <c r="D216" t="inlineStr">
        <is>
          <t>GOTLANDS LÄN</t>
        </is>
      </c>
      <c r="E216" t="inlineStr">
        <is>
          <t>GOTLAND</t>
        </is>
      </c>
      <c r="G216" t="n">
        <v>5.1</v>
      </c>
      <c r="H216" t="n">
        <v>0</v>
      </c>
      <c r="I216" t="n">
        <v>0</v>
      </c>
      <c r="J216" t="n">
        <v>1</v>
      </c>
      <c r="K216" t="n">
        <v>0</v>
      </c>
      <c r="L216" t="n">
        <v>0</v>
      </c>
      <c r="M216" t="n">
        <v>0</v>
      </c>
      <c r="N216" t="n">
        <v>0</v>
      </c>
      <c r="O216" t="n">
        <v>1</v>
      </c>
      <c r="P216" t="n">
        <v>0</v>
      </c>
      <c r="Q216" t="n">
        <v>1</v>
      </c>
      <c r="R216" s="2" t="inlineStr">
        <is>
          <t>Äggspindling</t>
        </is>
      </c>
      <c r="S216">
        <f>HYPERLINK("https://klasma.github.io/Logging_0980/artfynd/A 447-2023 artfynd.xlsx", "A 447-2023")</f>
        <v/>
      </c>
      <c r="T216">
        <f>HYPERLINK("https://klasma.github.io/Logging_0980/kartor/A 447-2023 karta.png", "A 447-2023")</f>
        <v/>
      </c>
      <c r="V216">
        <f>HYPERLINK("https://klasma.github.io/Logging_0980/klagomål/A 447-2023 FSC-klagomål.docx", "A 447-2023")</f>
        <v/>
      </c>
      <c r="W216">
        <f>HYPERLINK("https://klasma.github.io/Logging_0980/klagomålsmail/A 447-2023 FSC-klagomål mail.docx", "A 447-2023")</f>
        <v/>
      </c>
      <c r="X216">
        <f>HYPERLINK("https://klasma.github.io/Logging_0980/tillsyn/A 447-2023 tillsynsbegäran.docx", "A 447-2023")</f>
        <v/>
      </c>
      <c r="Y216">
        <f>HYPERLINK("https://klasma.github.io/Logging_0980/tillsynsmail/A 447-2023 tillsynsbegäran mail.docx", "A 447-2023")</f>
        <v/>
      </c>
    </row>
    <row r="217" ht="15" customHeight="1">
      <c r="A217" t="inlineStr">
        <is>
          <t>A 947-2023</t>
        </is>
      </c>
      <c r="B217" s="1" t="n">
        <v>44934</v>
      </c>
      <c r="C217" s="1" t="n">
        <v>45635</v>
      </c>
      <c r="D217" t="inlineStr">
        <is>
          <t>GOTLANDS LÄN</t>
        </is>
      </c>
      <c r="E217" t="inlineStr">
        <is>
          <t>GOTLAND</t>
        </is>
      </c>
      <c r="G217" t="n">
        <v>0.7</v>
      </c>
      <c r="H217" t="n">
        <v>1</v>
      </c>
      <c r="I217" t="n">
        <v>0</v>
      </c>
      <c r="J217" t="n">
        <v>0</v>
      </c>
      <c r="K217" t="n">
        <v>1</v>
      </c>
      <c r="L217" t="n">
        <v>0</v>
      </c>
      <c r="M217" t="n">
        <v>0</v>
      </c>
      <c r="N217" t="n">
        <v>0</v>
      </c>
      <c r="O217" t="n">
        <v>1</v>
      </c>
      <c r="P217" t="n">
        <v>1</v>
      </c>
      <c r="Q217" t="n">
        <v>1</v>
      </c>
      <c r="R217" s="2" t="inlineStr">
        <is>
          <t>Garderönn</t>
        </is>
      </c>
      <c r="S217">
        <f>HYPERLINK("https://klasma.github.io/Logging_0980/artfynd/A 947-2023 artfynd.xlsx", "A 947-2023")</f>
        <v/>
      </c>
      <c r="T217">
        <f>HYPERLINK("https://klasma.github.io/Logging_0980/kartor/A 947-2023 karta.png", "A 947-2023")</f>
        <v/>
      </c>
      <c r="V217">
        <f>HYPERLINK("https://klasma.github.io/Logging_0980/klagomål/A 947-2023 FSC-klagomål.docx", "A 947-2023")</f>
        <v/>
      </c>
      <c r="W217">
        <f>HYPERLINK("https://klasma.github.io/Logging_0980/klagomålsmail/A 947-2023 FSC-klagomål mail.docx", "A 947-2023")</f>
        <v/>
      </c>
      <c r="X217">
        <f>HYPERLINK("https://klasma.github.io/Logging_0980/tillsyn/A 947-2023 tillsynsbegäran.docx", "A 947-2023")</f>
        <v/>
      </c>
      <c r="Y217">
        <f>HYPERLINK("https://klasma.github.io/Logging_0980/tillsynsmail/A 947-2023 tillsynsbegäran mail.docx", "A 947-2023")</f>
        <v/>
      </c>
    </row>
    <row r="218" ht="15" customHeight="1">
      <c r="A218" t="inlineStr">
        <is>
          <t>A 2213-2023</t>
        </is>
      </c>
      <c r="B218" s="1" t="n">
        <v>44942</v>
      </c>
      <c r="C218" s="1" t="n">
        <v>45635</v>
      </c>
      <c r="D218" t="inlineStr">
        <is>
          <t>GOTLANDS LÄN</t>
        </is>
      </c>
      <c r="E218" t="inlineStr">
        <is>
          <t>GOTLAND</t>
        </is>
      </c>
      <c r="G218" t="n">
        <v>2.7</v>
      </c>
      <c r="H218" t="n">
        <v>0</v>
      </c>
      <c r="I218" t="n">
        <v>0</v>
      </c>
      <c r="J218" t="n">
        <v>1</v>
      </c>
      <c r="K218" t="n">
        <v>0</v>
      </c>
      <c r="L218" t="n">
        <v>0</v>
      </c>
      <c r="M218" t="n">
        <v>0</v>
      </c>
      <c r="N218" t="n">
        <v>0</v>
      </c>
      <c r="O218" t="n">
        <v>1</v>
      </c>
      <c r="P218" t="n">
        <v>0</v>
      </c>
      <c r="Q218" t="n">
        <v>1</v>
      </c>
      <c r="R218" s="2" t="inlineStr">
        <is>
          <t>Odörspindling</t>
        </is>
      </c>
      <c r="S218">
        <f>HYPERLINK("https://klasma.github.io/Logging_0980/artfynd/A 2213-2023 artfynd.xlsx", "A 2213-2023")</f>
        <v/>
      </c>
      <c r="T218">
        <f>HYPERLINK("https://klasma.github.io/Logging_0980/kartor/A 2213-2023 karta.png", "A 2213-2023")</f>
        <v/>
      </c>
      <c r="V218">
        <f>HYPERLINK("https://klasma.github.io/Logging_0980/klagomål/A 2213-2023 FSC-klagomål.docx", "A 2213-2023")</f>
        <v/>
      </c>
      <c r="W218">
        <f>HYPERLINK("https://klasma.github.io/Logging_0980/klagomålsmail/A 2213-2023 FSC-klagomål mail.docx", "A 2213-2023")</f>
        <v/>
      </c>
      <c r="X218">
        <f>HYPERLINK("https://klasma.github.io/Logging_0980/tillsyn/A 2213-2023 tillsynsbegäran.docx", "A 2213-2023")</f>
        <v/>
      </c>
      <c r="Y218">
        <f>HYPERLINK("https://klasma.github.io/Logging_0980/tillsynsmail/A 2213-2023 tillsynsbegäran mail.docx", "A 2213-2023")</f>
        <v/>
      </c>
    </row>
    <row r="219" ht="15" customHeight="1">
      <c r="A219" t="inlineStr">
        <is>
          <t>A 10995-2023</t>
        </is>
      </c>
      <c r="B219" s="1" t="n">
        <v>44986</v>
      </c>
      <c r="C219" s="1" t="n">
        <v>45635</v>
      </c>
      <c r="D219" t="inlineStr">
        <is>
          <t>GOTLANDS LÄN</t>
        </is>
      </c>
      <c r="E219" t="inlineStr">
        <is>
          <t>GOTLAND</t>
        </is>
      </c>
      <c r="G219" t="n">
        <v>2.8</v>
      </c>
      <c r="H219" t="n">
        <v>0</v>
      </c>
      <c r="I219" t="n">
        <v>0</v>
      </c>
      <c r="J219" t="n">
        <v>0</v>
      </c>
      <c r="K219" t="n">
        <v>1</v>
      </c>
      <c r="L219" t="n">
        <v>0</v>
      </c>
      <c r="M219" t="n">
        <v>0</v>
      </c>
      <c r="N219" t="n">
        <v>0</v>
      </c>
      <c r="O219" t="n">
        <v>1</v>
      </c>
      <c r="P219" t="n">
        <v>1</v>
      </c>
      <c r="Q219" t="n">
        <v>1</v>
      </c>
      <c r="R219" s="2" t="inlineStr">
        <is>
          <t>Violettfläckig spindling</t>
        </is>
      </c>
      <c r="S219">
        <f>HYPERLINK("https://klasma.github.io/Logging_0980/artfynd/A 10995-2023 artfynd.xlsx", "A 10995-2023")</f>
        <v/>
      </c>
      <c r="T219">
        <f>HYPERLINK("https://klasma.github.io/Logging_0980/kartor/A 10995-2023 karta.png", "A 10995-2023")</f>
        <v/>
      </c>
      <c r="V219">
        <f>HYPERLINK("https://klasma.github.io/Logging_0980/klagomål/A 10995-2023 FSC-klagomål.docx", "A 10995-2023")</f>
        <v/>
      </c>
      <c r="W219">
        <f>HYPERLINK("https://klasma.github.io/Logging_0980/klagomålsmail/A 10995-2023 FSC-klagomål mail.docx", "A 10995-2023")</f>
        <v/>
      </c>
      <c r="X219">
        <f>HYPERLINK("https://klasma.github.io/Logging_0980/tillsyn/A 10995-2023 tillsynsbegäran.docx", "A 10995-2023")</f>
        <v/>
      </c>
      <c r="Y219">
        <f>HYPERLINK("https://klasma.github.io/Logging_0980/tillsynsmail/A 10995-2023 tillsynsbegäran mail.docx", "A 10995-2023")</f>
        <v/>
      </c>
    </row>
    <row r="220" ht="15" customHeight="1">
      <c r="A220" t="inlineStr">
        <is>
          <t>A 15212-2023</t>
        </is>
      </c>
      <c r="B220" s="1" t="n">
        <v>45019</v>
      </c>
      <c r="C220" s="1" t="n">
        <v>45635</v>
      </c>
      <c r="D220" t="inlineStr">
        <is>
          <t>GOTLANDS LÄN</t>
        </is>
      </c>
      <c r="E220" t="inlineStr">
        <is>
          <t>GOTLAND</t>
        </is>
      </c>
      <c r="G220" t="n">
        <v>3.1</v>
      </c>
      <c r="H220" t="n">
        <v>0</v>
      </c>
      <c r="I220" t="n">
        <v>0</v>
      </c>
      <c r="J220" t="n">
        <v>1</v>
      </c>
      <c r="K220" t="n">
        <v>0</v>
      </c>
      <c r="L220" t="n">
        <v>0</v>
      </c>
      <c r="M220" t="n">
        <v>0</v>
      </c>
      <c r="N220" t="n">
        <v>0</v>
      </c>
      <c r="O220" t="n">
        <v>1</v>
      </c>
      <c r="P220" t="n">
        <v>0</v>
      </c>
      <c r="Q220" t="n">
        <v>1</v>
      </c>
      <c r="R220" s="2" t="inlineStr">
        <is>
          <t>Grådådra</t>
        </is>
      </c>
      <c r="S220">
        <f>HYPERLINK("https://klasma.github.io/Logging_0980/artfynd/A 15212-2023 artfynd.xlsx", "A 15212-2023")</f>
        <v/>
      </c>
      <c r="T220">
        <f>HYPERLINK("https://klasma.github.io/Logging_0980/kartor/A 15212-2023 karta.png", "A 15212-2023")</f>
        <v/>
      </c>
      <c r="V220">
        <f>HYPERLINK("https://klasma.github.io/Logging_0980/klagomål/A 15212-2023 FSC-klagomål.docx", "A 15212-2023")</f>
        <v/>
      </c>
      <c r="W220">
        <f>HYPERLINK("https://klasma.github.io/Logging_0980/klagomålsmail/A 15212-2023 FSC-klagomål mail.docx", "A 15212-2023")</f>
        <v/>
      </c>
      <c r="X220">
        <f>HYPERLINK("https://klasma.github.io/Logging_0980/tillsyn/A 15212-2023 tillsynsbegäran.docx", "A 15212-2023")</f>
        <v/>
      </c>
      <c r="Y220">
        <f>HYPERLINK("https://klasma.github.io/Logging_0980/tillsynsmail/A 15212-2023 tillsynsbegäran mail.docx", "A 15212-2023")</f>
        <v/>
      </c>
    </row>
    <row r="221" ht="15" customHeight="1">
      <c r="A221" t="inlineStr">
        <is>
          <t>A 22782-2023</t>
        </is>
      </c>
      <c r="B221" s="1" t="n">
        <v>45072</v>
      </c>
      <c r="C221" s="1" t="n">
        <v>45635</v>
      </c>
      <c r="D221" t="inlineStr">
        <is>
          <t>GOTLANDS LÄN</t>
        </is>
      </c>
      <c r="E221" t="inlineStr">
        <is>
          <t>GOTLAND</t>
        </is>
      </c>
      <c r="F221" t="inlineStr">
        <is>
          <t>Kyrkan</t>
        </is>
      </c>
      <c r="G221" t="n">
        <v>3.1</v>
      </c>
      <c r="H221" t="n">
        <v>1</v>
      </c>
      <c r="I221" t="n">
        <v>0</v>
      </c>
      <c r="J221" t="n">
        <v>0</v>
      </c>
      <c r="K221" t="n">
        <v>0</v>
      </c>
      <c r="L221" t="n">
        <v>0</v>
      </c>
      <c r="M221" t="n">
        <v>0</v>
      </c>
      <c r="N221" t="n">
        <v>0</v>
      </c>
      <c r="O221" t="n">
        <v>0</v>
      </c>
      <c r="P221" t="n">
        <v>0</v>
      </c>
      <c r="Q221" t="n">
        <v>1</v>
      </c>
      <c r="R221" s="2" t="inlineStr">
        <is>
          <t>Ängsnycklar × skogsnycklar</t>
        </is>
      </c>
      <c r="S221">
        <f>HYPERLINK("https://klasma.github.io/Logging_0980/artfynd/A 22782-2023 artfynd.xlsx", "A 22782-2023")</f>
        <v/>
      </c>
      <c r="T221">
        <f>HYPERLINK("https://klasma.github.io/Logging_0980/kartor/A 22782-2023 karta.png", "A 22782-2023")</f>
        <v/>
      </c>
      <c r="V221">
        <f>HYPERLINK("https://klasma.github.io/Logging_0980/klagomål/A 22782-2023 FSC-klagomål.docx", "A 22782-2023")</f>
        <v/>
      </c>
      <c r="W221">
        <f>HYPERLINK("https://klasma.github.io/Logging_0980/klagomålsmail/A 22782-2023 FSC-klagomål mail.docx", "A 22782-2023")</f>
        <v/>
      </c>
      <c r="X221">
        <f>HYPERLINK("https://klasma.github.io/Logging_0980/tillsyn/A 22782-2023 tillsynsbegäran.docx", "A 22782-2023")</f>
        <v/>
      </c>
      <c r="Y221">
        <f>HYPERLINK("https://klasma.github.io/Logging_0980/tillsynsmail/A 22782-2023 tillsynsbegäran mail.docx", "A 22782-2023")</f>
        <v/>
      </c>
    </row>
    <row r="222" ht="15" customHeight="1">
      <c r="A222" t="inlineStr">
        <is>
          <t>A 24007-2023</t>
        </is>
      </c>
      <c r="B222" s="1" t="n">
        <v>45078</v>
      </c>
      <c r="C222" s="1" t="n">
        <v>45635</v>
      </c>
      <c r="D222" t="inlineStr">
        <is>
          <t>GOTLANDS LÄN</t>
        </is>
      </c>
      <c r="E222" t="inlineStr">
        <is>
          <t>GOTLAND</t>
        </is>
      </c>
      <c r="F222" t="inlineStr">
        <is>
          <t>Naturvårdsverket</t>
        </is>
      </c>
      <c r="G222" t="n">
        <v>2.5</v>
      </c>
      <c r="H222" t="n">
        <v>1</v>
      </c>
      <c r="I222" t="n">
        <v>1</v>
      </c>
      <c r="J222" t="n">
        <v>0</v>
      </c>
      <c r="K222" t="n">
        <v>0</v>
      </c>
      <c r="L222" t="n">
        <v>0</v>
      </c>
      <c r="M222" t="n">
        <v>0</v>
      </c>
      <c r="N222" t="n">
        <v>0</v>
      </c>
      <c r="O222" t="n">
        <v>0</v>
      </c>
      <c r="P222" t="n">
        <v>0</v>
      </c>
      <c r="Q222" t="n">
        <v>1</v>
      </c>
      <c r="R222" s="2" t="inlineStr">
        <is>
          <t>Nästrot</t>
        </is>
      </c>
      <c r="S222">
        <f>HYPERLINK("https://klasma.github.io/Logging_0980/artfynd/A 24007-2023 artfynd.xlsx", "A 24007-2023")</f>
        <v/>
      </c>
      <c r="T222">
        <f>HYPERLINK("https://klasma.github.io/Logging_0980/kartor/A 24007-2023 karta.png", "A 24007-2023")</f>
        <v/>
      </c>
      <c r="V222">
        <f>HYPERLINK("https://klasma.github.io/Logging_0980/klagomål/A 24007-2023 FSC-klagomål.docx", "A 24007-2023")</f>
        <v/>
      </c>
      <c r="W222">
        <f>HYPERLINK("https://klasma.github.io/Logging_0980/klagomålsmail/A 24007-2023 FSC-klagomål mail.docx", "A 24007-2023")</f>
        <v/>
      </c>
      <c r="X222">
        <f>HYPERLINK("https://klasma.github.io/Logging_0980/tillsyn/A 24007-2023 tillsynsbegäran.docx", "A 24007-2023")</f>
        <v/>
      </c>
      <c r="Y222">
        <f>HYPERLINK("https://klasma.github.io/Logging_0980/tillsynsmail/A 24007-2023 tillsynsbegäran mail.docx", "A 24007-2023")</f>
        <v/>
      </c>
    </row>
    <row r="223" ht="15" customHeight="1">
      <c r="A223" t="inlineStr">
        <is>
          <t>A 27589-2023</t>
        </is>
      </c>
      <c r="B223" s="1" t="n">
        <v>45097</v>
      </c>
      <c r="C223" s="1" t="n">
        <v>45635</v>
      </c>
      <c r="D223" t="inlineStr">
        <is>
          <t>GOTLANDS LÄN</t>
        </is>
      </c>
      <c r="E223" t="inlineStr">
        <is>
          <t>GOTLAND</t>
        </is>
      </c>
      <c r="G223" t="n">
        <v>5.4</v>
      </c>
      <c r="H223" t="n">
        <v>0</v>
      </c>
      <c r="I223" t="n">
        <v>0</v>
      </c>
      <c r="J223" t="n">
        <v>0</v>
      </c>
      <c r="K223" t="n">
        <v>0</v>
      </c>
      <c r="L223" t="n">
        <v>0</v>
      </c>
      <c r="M223" t="n">
        <v>1</v>
      </c>
      <c r="N223" t="n">
        <v>0</v>
      </c>
      <c r="O223" t="n">
        <v>1</v>
      </c>
      <c r="P223" t="n">
        <v>1</v>
      </c>
      <c r="Q223" t="n">
        <v>1</v>
      </c>
      <c r="R223" s="2" t="inlineStr">
        <is>
          <t>Skogsalm</t>
        </is>
      </c>
      <c r="S223">
        <f>HYPERLINK("https://klasma.github.io/Logging_0980/artfynd/A 27589-2023 artfynd.xlsx", "A 27589-2023")</f>
        <v/>
      </c>
      <c r="T223">
        <f>HYPERLINK("https://klasma.github.io/Logging_0980/kartor/A 27589-2023 karta.png", "A 27589-2023")</f>
        <v/>
      </c>
      <c r="V223">
        <f>HYPERLINK("https://klasma.github.io/Logging_0980/klagomål/A 27589-2023 FSC-klagomål.docx", "A 27589-2023")</f>
        <v/>
      </c>
      <c r="W223">
        <f>HYPERLINK("https://klasma.github.io/Logging_0980/klagomålsmail/A 27589-2023 FSC-klagomål mail.docx", "A 27589-2023")</f>
        <v/>
      </c>
      <c r="X223">
        <f>HYPERLINK("https://klasma.github.io/Logging_0980/tillsyn/A 27589-2023 tillsynsbegäran.docx", "A 27589-2023")</f>
        <v/>
      </c>
      <c r="Y223">
        <f>HYPERLINK("https://klasma.github.io/Logging_0980/tillsynsmail/A 27589-2023 tillsynsbegäran mail.docx", "A 27589-2023")</f>
        <v/>
      </c>
    </row>
    <row r="224" ht="15" customHeight="1">
      <c r="A224" t="inlineStr">
        <is>
          <t>A 28546-2023</t>
        </is>
      </c>
      <c r="B224" s="1" t="n">
        <v>45103</v>
      </c>
      <c r="C224" s="1" t="n">
        <v>45635</v>
      </c>
      <c r="D224" t="inlineStr">
        <is>
          <t>GOTLANDS LÄN</t>
        </is>
      </c>
      <c r="E224" t="inlineStr">
        <is>
          <t>GOTLAND</t>
        </is>
      </c>
      <c r="G224" t="n">
        <v>7.9</v>
      </c>
      <c r="H224" t="n">
        <v>1</v>
      </c>
      <c r="I224" t="n">
        <v>0</v>
      </c>
      <c r="J224" t="n">
        <v>0</v>
      </c>
      <c r="K224" t="n">
        <v>0</v>
      </c>
      <c r="L224" t="n">
        <v>0</v>
      </c>
      <c r="M224" t="n">
        <v>0</v>
      </c>
      <c r="N224" t="n">
        <v>0</v>
      </c>
      <c r="O224" t="n">
        <v>0</v>
      </c>
      <c r="P224" t="n">
        <v>0</v>
      </c>
      <c r="Q224" t="n">
        <v>1</v>
      </c>
      <c r="R224" s="2" t="inlineStr">
        <is>
          <t>Lopplummer</t>
        </is>
      </c>
      <c r="S224">
        <f>HYPERLINK("https://klasma.github.io/Logging_0980/artfynd/A 28546-2023 artfynd.xlsx", "A 28546-2023")</f>
        <v/>
      </c>
      <c r="T224">
        <f>HYPERLINK("https://klasma.github.io/Logging_0980/kartor/A 28546-2023 karta.png", "A 28546-2023")</f>
        <v/>
      </c>
      <c r="V224">
        <f>HYPERLINK("https://klasma.github.io/Logging_0980/klagomål/A 28546-2023 FSC-klagomål.docx", "A 28546-2023")</f>
        <v/>
      </c>
      <c r="W224">
        <f>HYPERLINK("https://klasma.github.io/Logging_0980/klagomålsmail/A 28546-2023 FSC-klagomål mail.docx", "A 28546-2023")</f>
        <v/>
      </c>
      <c r="X224">
        <f>HYPERLINK("https://klasma.github.io/Logging_0980/tillsyn/A 28546-2023 tillsynsbegäran.docx", "A 28546-2023")</f>
        <v/>
      </c>
      <c r="Y224">
        <f>HYPERLINK("https://klasma.github.io/Logging_0980/tillsynsmail/A 28546-2023 tillsynsbegäran mail.docx", "A 28546-2023")</f>
        <v/>
      </c>
    </row>
    <row r="225" ht="15" customHeight="1">
      <c r="A225" t="inlineStr">
        <is>
          <t>A 35615-2023</t>
        </is>
      </c>
      <c r="B225" s="1" t="n">
        <v>45147</v>
      </c>
      <c r="C225" s="1" t="n">
        <v>45635</v>
      </c>
      <c r="D225" t="inlineStr">
        <is>
          <t>GOTLANDS LÄN</t>
        </is>
      </c>
      <c r="E225" t="inlineStr">
        <is>
          <t>GOTLAND</t>
        </is>
      </c>
      <c r="G225" t="n">
        <v>6.1</v>
      </c>
      <c r="H225" t="n">
        <v>0</v>
      </c>
      <c r="I225" t="n">
        <v>0</v>
      </c>
      <c r="J225" t="n">
        <v>1</v>
      </c>
      <c r="K225" t="n">
        <v>0</v>
      </c>
      <c r="L225" t="n">
        <v>0</v>
      </c>
      <c r="M225" t="n">
        <v>0</v>
      </c>
      <c r="N225" t="n">
        <v>0</v>
      </c>
      <c r="O225" t="n">
        <v>1</v>
      </c>
      <c r="P225" t="n">
        <v>0</v>
      </c>
      <c r="Q225" t="n">
        <v>1</v>
      </c>
      <c r="R225" s="2" t="inlineStr">
        <is>
          <t>Åkerranunkel</t>
        </is>
      </c>
      <c r="S225">
        <f>HYPERLINK("https://klasma.github.io/Logging_0980/artfynd/A 35615-2023 artfynd.xlsx", "A 35615-2023")</f>
        <v/>
      </c>
      <c r="T225">
        <f>HYPERLINK("https://klasma.github.io/Logging_0980/kartor/A 35615-2023 karta.png", "A 35615-2023")</f>
        <v/>
      </c>
      <c r="V225">
        <f>HYPERLINK("https://klasma.github.io/Logging_0980/klagomål/A 35615-2023 FSC-klagomål.docx", "A 35615-2023")</f>
        <v/>
      </c>
      <c r="W225">
        <f>HYPERLINK("https://klasma.github.io/Logging_0980/klagomålsmail/A 35615-2023 FSC-klagomål mail.docx", "A 35615-2023")</f>
        <v/>
      </c>
      <c r="X225">
        <f>HYPERLINK("https://klasma.github.io/Logging_0980/tillsyn/A 35615-2023 tillsynsbegäran.docx", "A 35615-2023")</f>
        <v/>
      </c>
      <c r="Y225">
        <f>HYPERLINK("https://klasma.github.io/Logging_0980/tillsynsmail/A 35615-2023 tillsynsbegäran mail.docx", "A 35615-2023")</f>
        <v/>
      </c>
    </row>
    <row r="226" ht="15" customHeight="1">
      <c r="A226" t="inlineStr">
        <is>
          <t>A 37584-2023</t>
        </is>
      </c>
      <c r="B226" s="1" t="n">
        <v>45159</v>
      </c>
      <c r="C226" s="1" t="n">
        <v>45635</v>
      </c>
      <c r="D226" t="inlineStr">
        <is>
          <t>GOTLANDS LÄN</t>
        </is>
      </c>
      <c r="E226" t="inlineStr">
        <is>
          <t>GOTLAND</t>
        </is>
      </c>
      <c r="G226" t="n">
        <v>5.4</v>
      </c>
      <c r="H226" t="n">
        <v>0</v>
      </c>
      <c r="I226" t="n">
        <v>1</v>
      </c>
      <c r="J226" t="n">
        <v>0</v>
      </c>
      <c r="K226" t="n">
        <v>0</v>
      </c>
      <c r="L226" t="n">
        <v>0</v>
      </c>
      <c r="M226" t="n">
        <v>0</v>
      </c>
      <c r="N226" t="n">
        <v>0</v>
      </c>
      <c r="O226" t="n">
        <v>0</v>
      </c>
      <c r="P226" t="n">
        <v>0</v>
      </c>
      <c r="Q226" t="n">
        <v>1</v>
      </c>
      <c r="R226" s="2" t="inlineStr">
        <is>
          <t>Myskmadra</t>
        </is>
      </c>
      <c r="S226">
        <f>HYPERLINK("https://klasma.github.io/Logging_0980/artfynd/A 37584-2023 artfynd.xlsx", "A 37584-2023")</f>
        <v/>
      </c>
      <c r="T226">
        <f>HYPERLINK("https://klasma.github.io/Logging_0980/kartor/A 37584-2023 karta.png", "A 37584-2023")</f>
        <v/>
      </c>
      <c r="V226">
        <f>HYPERLINK("https://klasma.github.io/Logging_0980/klagomål/A 37584-2023 FSC-klagomål.docx", "A 37584-2023")</f>
        <v/>
      </c>
      <c r="W226">
        <f>HYPERLINK("https://klasma.github.io/Logging_0980/klagomålsmail/A 37584-2023 FSC-klagomål mail.docx", "A 37584-2023")</f>
        <v/>
      </c>
      <c r="X226">
        <f>HYPERLINK("https://klasma.github.io/Logging_0980/tillsyn/A 37584-2023 tillsynsbegäran.docx", "A 37584-2023")</f>
        <v/>
      </c>
      <c r="Y226">
        <f>HYPERLINK("https://klasma.github.io/Logging_0980/tillsynsmail/A 37584-2023 tillsynsbegäran mail.docx", "A 37584-2023")</f>
        <v/>
      </c>
    </row>
    <row r="227" ht="15" customHeight="1">
      <c r="A227" t="inlineStr">
        <is>
          <t>A 42939-2023</t>
        </is>
      </c>
      <c r="B227" s="1" t="n">
        <v>45182</v>
      </c>
      <c r="C227" s="1" t="n">
        <v>45635</v>
      </c>
      <c r="D227" t="inlineStr">
        <is>
          <t>GOTLANDS LÄN</t>
        </is>
      </c>
      <c r="E227" t="inlineStr">
        <is>
          <t>GOTLAND</t>
        </is>
      </c>
      <c r="G227" t="n">
        <v>7.5</v>
      </c>
      <c r="H227" t="n">
        <v>0</v>
      </c>
      <c r="I227" t="n">
        <v>0</v>
      </c>
      <c r="J227" t="n">
        <v>0</v>
      </c>
      <c r="K227" t="n">
        <v>1</v>
      </c>
      <c r="L227" t="n">
        <v>0</v>
      </c>
      <c r="M227" t="n">
        <v>0</v>
      </c>
      <c r="N227" t="n">
        <v>0</v>
      </c>
      <c r="O227" t="n">
        <v>1</v>
      </c>
      <c r="P227" t="n">
        <v>1</v>
      </c>
      <c r="Q227" t="n">
        <v>1</v>
      </c>
      <c r="R227" s="2" t="inlineStr">
        <is>
          <t>Skogskorn</t>
        </is>
      </c>
      <c r="S227">
        <f>HYPERLINK("https://klasma.github.io/Logging_0980/artfynd/A 42939-2023 artfynd.xlsx", "A 42939-2023")</f>
        <v/>
      </c>
      <c r="T227">
        <f>HYPERLINK("https://klasma.github.io/Logging_0980/kartor/A 42939-2023 karta.png", "A 42939-2023")</f>
        <v/>
      </c>
      <c r="V227">
        <f>HYPERLINK("https://klasma.github.io/Logging_0980/klagomål/A 42939-2023 FSC-klagomål.docx", "A 42939-2023")</f>
        <v/>
      </c>
      <c r="W227">
        <f>HYPERLINK("https://klasma.github.io/Logging_0980/klagomålsmail/A 42939-2023 FSC-klagomål mail.docx", "A 42939-2023")</f>
        <v/>
      </c>
      <c r="X227">
        <f>HYPERLINK("https://klasma.github.io/Logging_0980/tillsyn/A 42939-2023 tillsynsbegäran.docx", "A 42939-2023")</f>
        <v/>
      </c>
      <c r="Y227">
        <f>HYPERLINK("https://klasma.github.io/Logging_0980/tillsynsmail/A 42939-2023 tillsynsbegäran mail.docx", "A 42939-2023")</f>
        <v/>
      </c>
    </row>
    <row r="228" ht="15" customHeight="1">
      <c r="A228" t="inlineStr">
        <is>
          <t>A 43219-2023</t>
        </is>
      </c>
      <c r="B228" s="1" t="n">
        <v>45183</v>
      </c>
      <c r="C228" s="1" t="n">
        <v>45635</v>
      </c>
      <c r="D228" t="inlineStr">
        <is>
          <t>GOTLANDS LÄN</t>
        </is>
      </c>
      <c r="E228" t="inlineStr">
        <is>
          <t>GOTLAND</t>
        </is>
      </c>
      <c r="G228" t="n">
        <v>3.6</v>
      </c>
      <c r="H228" t="n">
        <v>1</v>
      </c>
      <c r="I228" t="n">
        <v>0</v>
      </c>
      <c r="J228" t="n">
        <v>0</v>
      </c>
      <c r="K228" t="n">
        <v>0</v>
      </c>
      <c r="L228" t="n">
        <v>0</v>
      </c>
      <c r="M228" t="n">
        <v>0</v>
      </c>
      <c r="N228" t="n">
        <v>0</v>
      </c>
      <c r="O228" t="n">
        <v>0</v>
      </c>
      <c r="P228" t="n">
        <v>0</v>
      </c>
      <c r="Q228" t="n">
        <v>1</v>
      </c>
      <c r="R228" s="2" t="inlineStr">
        <is>
          <t>Skogsduva</t>
        </is>
      </c>
      <c r="S228">
        <f>HYPERLINK("https://klasma.github.io/Logging_0980/artfynd/A 43219-2023 artfynd.xlsx", "A 43219-2023")</f>
        <v/>
      </c>
      <c r="T228">
        <f>HYPERLINK("https://klasma.github.io/Logging_0980/kartor/A 43219-2023 karta.png", "A 43219-2023")</f>
        <v/>
      </c>
      <c r="V228">
        <f>HYPERLINK("https://klasma.github.io/Logging_0980/klagomål/A 43219-2023 FSC-klagomål.docx", "A 43219-2023")</f>
        <v/>
      </c>
      <c r="W228">
        <f>HYPERLINK("https://klasma.github.io/Logging_0980/klagomålsmail/A 43219-2023 FSC-klagomål mail.docx", "A 43219-2023")</f>
        <v/>
      </c>
      <c r="X228">
        <f>HYPERLINK("https://klasma.github.io/Logging_0980/tillsyn/A 43219-2023 tillsynsbegäran.docx", "A 43219-2023")</f>
        <v/>
      </c>
      <c r="Y228">
        <f>HYPERLINK("https://klasma.github.io/Logging_0980/tillsynsmail/A 43219-2023 tillsynsbegäran mail.docx", "A 43219-2023")</f>
        <v/>
      </c>
      <c r="Z228">
        <f>HYPERLINK("https://klasma.github.io/Logging_0980/fåglar/A 43219-2023 prioriterade fågelarter.docx", "A 43219-2023")</f>
        <v/>
      </c>
    </row>
    <row r="229" ht="15" customHeight="1">
      <c r="A229" t="inlineStr">
        <is>
          <t>A 46527-2023</t>
        </is>
      </c>
      <c r="B229" s="1" t="n">
        <v>45197</v>
      </c>
      <c r="C229" s="1" t="n">
        <v>45635</v>
      </c>
      <c r="D229" t="inlineStr">
        <is>
          <t>GOTLANDS LÄN</t>
        </is>
      </c>
      <c r="E229" t="inlineStr">
        <is>
          <t>GOTLAND</t>
        </is>
      </c>
      <c r="G229" t="n">
        <v>0.9</v>
      </c>
      <c r="H229" t="n">
        <v>0</v>
      </c>
      <c r="I229" t="n">
        <v>0</v>
      </c>
      <c r="J229" t="n">
        <v>1</v>
      </c>
      <c r="K229" t="n">
        <v>0</v>
      </c>
      <c r="L229" t="n">
        <v>0</v>
      </c>
      <c r="M229" t="n">
        <v>0</v>
      </c>
      <c r="N229" t="n">
        <v>0</v>
      </c>
      <c r="O229" t="n">
        <v>1</v>
      </c>
      <c r="P229" t="n">
        <v>0</v>
      </c>
      <c r="Q229" t="n">
        <v>1</v>
      </c>
      <c r="R229" s="2" t="inlineStr">
        <is>
          <t>Guldgräshoppa</t>
        </is>
      </c>
      <c r="S229">
        <f>HYPERLINK("https://klasma.github.io/Logging_0980/artfynd/A 46527-2023 artfynd.xlsx", "A 46527-2023")</f>
        <v/>
      </c>
      <c r="T229">
        <f>HYPERLINK("https://klasma.github.io/Logging_0980/kartor/A 46527-2023 karta.png", "A 46527-2023")</f>
        <v/>
      </c>
      <c r="V229">
        <f>HYPERLINK("https://klasma.github.io/Logging_0980/klagomål/A 46527-2023 FSC-klagomål.docx", "A 46527-2023")</f>
        <v/>
      </c>
      <c r="W229">
        <f>HYPERLINK("https://klasma.github.io/Logging_0980/klagomålsmail/A 46527-2023 FSC-klagomål mail.docx", "A 46527-2023")</f>
        <v/>
      </c>
      <c r="X229">
        <f>HYPERLINK("https://klasma.github.io/Logging_0980/tillsyn/A 46527-2023 tillsynsbegäran.docx", "A 46527-2023")</f>
        <v/>
      </c>
      <c r="Y229">
        <f>HYPERLINK("https://klasma.github.io/Logging_0980/tillsynsmail/A 46527-2023 tillsynsbegäran mail.docx", "A 46527-2023")</f>
        <v/>
      </c>
    </row>
    <row r="230" ht="15" customHeight="1">
      <c r="A230" t="inlineStr">
        <is>
          <t>A 49847-2023</t>
        </is>
      </c>
      <c r="B230" s="1" t="n">
        <v>45212</v>
      </c>
      <c r="C230" s="1" t="n">
        <v>45635</v>
      </c>
      <c r="D230" t="inlineStr">
        <is>
          <t>GOTLANDS LÄN</t>
        </is>
      </c>
      <c r="E230" t="inlineStr">
        <is>
          <t>GOTLAND</t>
        </is>
      </c>
      <c r="G230" t="n">
        <v>35.2</v>
      </c>
      <c r="H230" t="n">
        <v>0</v>
      </c>
      <c r="I230" t="n">
        <v>0</v>
      </c>
      <c r="J230" t="n">
        <v>0</v>
      </c>
      <c r="K230" t="n">
        <v>1</v>
      </c>
      <c r="L230" t="n">
        <v>0</v>
      </c>
      <c r="M230" t="n">
        <v>0</v>
      </c>
      <c r="N230" t="n">
        <v>0</v>
      </c>
      <c r="O230" t="n">
        <v>1</v>
      </c>
      <c r="P230" t="n">
        <v>1</v>
      </c>
      <c r="Q230" t="n">
        <v>1</v>
      </c>
      <c r="R230" s="2" t="inlineStr">
        <is>
          <t>Strandviol</t>
        </is>
      </c>
      <c r="S230">
        <f>HYPERLINK("https://klasma.github.io/Logging_0980/artfynd/A 49847-2023 artfynd.xlsx", "A 49847-2023")</f>
        <v/>
      </c>
      <c r="T230">
        <f>HYPERLINK("https://klasma.github.io/Logging_0980/kartor/A 49847-2023 karta.png", "A 49847-2023")</f>
        <v/>
      </c>
      <c r="V230">
        <f>HYPERLINK("https://klasma.github.io/Logging_0980/klagomål/A 49847-2023 FSC-klagomål.docx", "A 49847-2023")</f>
        <v/>
      </c>
      <c r="W230">
        <f>HYPERLINK("https://klasma.github.io/Logging_0980/klagomålsmail/A 49847-2023 FSC-klagomål mail.docx", "A 49847-2023")</f>
        <v/>
      </c>
      <c r="X230">
        <f>HYPERLINK("https://klasma.github.io/Logging_0980/tillsyn/A 49847-2023 tillsynsbegäran.docx", "A 49847-2023")</f>
        <v/>
      </c>
      <c r="Y230">
        <f>HYPERLINK("https://klasma.github.io/Logging_0980/tillsynsmail/A 49847-2023 tillsynsbegäran mail.docx", "A 49847-2023")</f>
        <v/>
      </c>
    </row>
    <row r="231" ht="15" customHeight="1">
      <c r="A231" t="inlineStr">
        <is>
          <t>A 53907-2023</t>
        </is>
      </c>
      <c r="B231" s="1" t="n">
        <v>45231</v>
      </c>
      <c r="C231" s="1" t="n">
        <v>45635</v>
      </c>
      <c r="D231" t="inlineStr">
        <is>
          <t>GOTLANDS LÄN</t>
        </is>
      </c>
      <c r="E231" t="inlineStr">
        <is>
          <t>GOTLAND</t>
        </is>
      </c>
      <c r="G231" t="n">
        <v>13.7</v>
      </c>
      <c r="H231" t="n">
        <v>0</v>
      </c>
      <c r="I231" t="n">
        <v>0</v>
      </c>
      <c r="J231" t="n">
        <v>0</v>
      </c>
      <c r="K231" t="n">
        <v>1</v>
      </c>
      <c r="L231" t="n">
        <v>0</v>
      </c>
      <c r="M231" t="n">
        <v>0</v>
      </c>
      <c r="N231" t="n">
        <v>0</v>
      </c>
      <c r="O231" t="n">
        <v>1</v>
      </c>
      <c r="P231" t="n">
        <v>1</v>
      </c>
      <c r="Q231" t="n">
        <v>1</v>
      </c>
      <c r="R231" s="2" t="inlineStr">
        <is>
          <t>Granrotspindling</t>
        </is>
      </c>
      <c r="S231">
        <f>HYPERLINK("https://klasma.github.io/Logging_0980/artfynd/A 53907-2023 artfynd.xlsx", "A 53907-2023")</f>
        <v/>
      </c>
      <c r="T231">
        <f>HYPERLINK("https://klasma.github.io/Logging_0980/kartor/A 53907-2023 karta.png", "A 53907-2023")</f>
        <v/>
      </c>
      <c r="V231">
        <f>HYPERLINK("https://klasma.github.io/Logging_0980/klagomål/A 53907-2023 FSC-klagomål.docx", "A 53907-2023")</f>
        <v/>
      </c>
      <c r="W231">
        <f>HYPERLINK("https://klasma.github.io/Logging_0980/klagomålsmail/A 53907-2023 FSC-klagomål mail.docx", "A 53907-2023")</f>
        <v/>
      </c>
      <c r="X231">
        <f>HYPERLINK("https://klasma.github.io/Logging_0980/tillsyn/A 53907-2023 tillsynsbegäran.docx", "A 53907-2023")</f>
        <v/>
      </c>
      <c r="Y231">
        <f>HYPERLINK("https://klasma.github.io/Logging_0980/tillsynsmail/A 53907-2023 tillsynsbegäran mail.docx", "A 53907-2023")</f>
        <v/>
      </c>
    </row>
    <row r="232" ht="15" customHeight="1">
      <c r="A232" t="inlineStr">
        <is>
          <t>A 56304-2023</t>
        </is>
      </c>
      <c r="B232" s="1" t="n">
        <v>45242</v>
      </c>
      <c r="C232" s="1" t="n">
        <v>45635</v>
      </c>
      <c r="D232" t="inlineStr">
        <is>
          <t>GOTLANDS LÄN</t>
        </is>
      </c>
      <c r="E232" t="inlineStr">
        <is>
          <t>GOTLAND</t>
        </is>
      </c>
      <c r="G232" t="n">
        <v>0.9</v>
      </c>
      <c r="H232" t="n">
        <v>1</v>
      </c>
      <c r="I232" t="n">
        <v>0</v>
      </c>
      <c r="J232" t="n">
        <v>0</v>
      </c>
      <c r="K232" t="n">
        <v>1</v>
      </c>
      <c r="L232" t="n">
        <v>0</v>
      </c>
      <c r="M232" t="n">
        <v>0</v>
      </c>
      <c r="N232" t="n">
        <v>0</v>
      </c>
      <c r="O232" t="n">
        <v>1</v>
      </c>
      <c r="P232" t="n">
        <v>1</v>
      </c>
      <c r="Q232" t="n">
        <v>1</v>
      </c>
      <c r="R232" s="2" t="inlineStr">
        <is>
          <t>Garderönn</t>
        </is>
      </c>
      <c r="S232">
        <f>HYPERLINK("https://klasma.github.io/Logging_0980/artfynd/A 56304-2023 artfynd.xlsx", "A 56304-2023")</f>
        <v/>
      </c>
      <c r="T232">
        <f>HYPERLINK("https://klasma.github.io/Logging_0980/kartor/A 56304-2023 karta.png", "A 56304-2023")</f>
        <v/>
      </c>
      <c r="V232">
        <f>HYPERLINK("https://klasma.github.io/Logging_0980/klagomål/A 56304-2023 FSC-klagomål.docx", "A 56304-2023")</f>
        <v/>
      </c>
      <c r="W232">
        <f>HYPERLINK("https://klasma.github.io/Logging_0980/klagomålsmail/A 56304-2023 FSC-klagomål mail.docx", "A 56304-2023")</f>
        <v/>
      </c>
      <c r="X232">
        <f>HYPERLINK("https://klasma.github.io/Logging_0980/tillsyn/A 56304-2023 tillsynsbegäran.docx", "A 56304-2023")</f>
        <v/>
      </c>
      <c r="Y232">
        <f>HYPERLINK("https://klasma.github.io/Logging_0980/tillsynsmail/A 56304-2023 tillsynsbegäran mail.docx", "A 56304-2023")</f>
        <v/>
      </c>
    </row>
    <row r="233" ht="15" customHeight="1">
      <c r="A233" t="inlineStr">
        <is>
          <t>A 61561-2023</t>
        </is>
      </c>
      <c r="B233" s="1" t="n">
        <v>45265</v>
      </c>
      <c r="C233" s="1" t="n">
        <v>45635</v>
      </c>
      <c r="D233" t="inlineStr">
        <is>
          <t>GOTLANDS LÄN</t>
        </is>
      </c>
      <c r="E233" t="inlineStr">
        <is>
          <t>GOTLAND</t>
        </is>
      </c>
      <c r="G233" t="n">
        <v>7.4</v>
      </c>
      <c r="H233" t="n">
        <v>0</v>
      </c>
      <c r="I233" t="n">
        <v>0</v>
      </c>
      <c r="J233" t="n">
        <v>1</v>
      </c>
      <c r="K233" t="n">
        <v>0</v>
      </c>
      <c r="L233" t="n">
        <v>0</v>
      </c>
      <c r="M233" t="n">
        <v>0</v>
      </c>
      <c r="N233" t="n">
        <v>0</v>
      </c>
      <c r="O233" t="n">
        <v>1</v>
      </c>
      <c r="P233" t="n">
        <v>0</v>
      </c>
      <c r="Q233" t="n">
        <v>1</v>
      </c>
      <c r="R233" s="2" t="inlineStr">
        <is>
          <t>Loppstarr</t>
        </is>
      </c>
      <c r="S233">
        <f>HYPERLINK("https://klasma.github.io/Logging_0980/artfynd/A 61561-2023 artfynd.xlsx", "A 61561-2023")</f>
        <v/>
      </c>
      <c r="T233">
        <f>HYPERLINK("https://klasma.github.io/Logging_0980/kartor/A 61561-2023 karta.png", "A 61561-2023")</f>
        <v/>
      </c>
      <c r="V233">
        <f>HYPERLINK("https://klasma.github.io/Logging_0980/klagomål/A 61561-2023 FSC-klagomål.docx", "A 61561-2023")</f>
        <v/>
      </c>
      <c r="W233">
        <f>HYPERLINK("https://klasma.github.io/Logging_0980/klagomålsmail/A 61561-2023 FSC-klagomål mail.docx", "A 61561-2023")</f>
        <v/>
      </c>
      <c r="X233">
        <f>HYPERLINK("https://klasma.github.io/Logging_0980/tillsyn/A 61561-2023 tillsynsbegäran.docx", "A 61561-2023")</f>
        <v/>
      </c>
      <c r="Y233">
        <f>HYPERLINK("https://klasma.github.io/Logging_0980/tillsynsmail/A 61561-2023 tillsynsbegäran mail.docx", "A 61561-2023")</f>
        <v/>
      </c>
    </row>
    <row r="234" ht="15" customHeight="1">
      <c r="A234" t="inlineStr">
        <is>
          <t>A 61846-2023</t>
        </is>
      </c>
      <c r="B234" s="1" t="n">
        <v>45266</v>
      </c>
      <c r="C234" s="1" t="n">
        <v>45635</v>
      </c>
      <c r="D234" t="inlineStr">
        <is>
          <t>GOTLANDS LÄN</t>
        </is>
      </c>
      <c r="E234" t="inlineStr">
        <is>
          <t>GOTLAND</t>
        </is>
      </c>
      <c r="G234" t="n">
        <v>2.2</v>
      </c>
      <c r="H234" t="n">
        <v>1</v>
      </c>
      <c r="I234" t="n">
        <v>0</v>
      </c>
      <c r="J234" t="n">
        <v>1</v>
      </c>
      <c r="K234" t="n">
        <v>0</v>
      </c>
      <c r="L234" t="n">
        <v>0</v>
      </c>
      <c r="M234" t="n">
        <v>0</v>
      </c>
      <c r="N234" t="n">
        <v>0</v>
      </c>
      <c r="O234" t="n">
        <v>1</v>
      </c>
      <c r="P234" t="n">
        <v>0</v>
      </c>
      <c r="Q234" t="n">
        <v>1</v>
      </c>
      <c r="R234" s="2" t="inlineStr">
        <is>
          <t>Rosenfink</t>
        </is>
      </c>
      <c r="S234">
        <f>HYPERLINK("https://klasma.github.io/Logging_0980/artfynd/A 61846-2023 artfynd.xlsx", "A 61846-2023")</f>
        <v/>
      </c>
      <c r="T234">
        <f>HYPERLINK("https://klasma.github.io/Logging_0980/kartor/A 61846-2023 karta.png", "A 61846-2023")</f>
        <v/>
      </c>
      <c r="V234">
        <f>HYPERLINK("https://klasma.github.io/Logging_0980/klagomål/A 61846-2023 FSC-klagomål.docx", "A 61846-2023")</f>
        <v/>
      </c>
      <c r="W234">
        <f>HYPERLINK("https://klasma.github.io/Logging_0980/klagomålsmail/A 61846-2023 FSC-klagomål mail.docx", "A 61846-2023")</f>
        <v/>
      </c>
      <c r="X234">
        <f>HYPERLINK("https://klasma.github.io/Logging_0980/tillsyn/A 61846-2023 tillsynsbegäran.docx", "A 61846-2023")</f>
        <v/>
      </c>
      <c r="Y234">
        <f>HYPERLINK("https://klasma.github.io/Logging_0980/tillsynsmail/A 61846-2023 tillsynsbegäran mail.docx", "A 61846-2023")</f>
        <v/>
      </c>
      <c r="Z234">
        <f>HYPERLINK("https://klasma.github.io/Logging_0980/fåglar/A 61846-2023 prioriterade fågelarter.docx", "A 61846-2023")</f>
        <v/>
      </c>
    </row>
    <row r="235" ht="15" customHeight="1">
      <c r="A235" t="inlineStr">
        <is>
          <t>A 61994-2023</t>
        </is>
      </c>
      <c r="B235" s="1" t="n">
        <v>45266</v>
      </c>
      <c r="C235" s="1" t="n">
        <v>45635</v>
      </c>
      <c r="D235" t="inlineStr">
        <is>
          <t>GOTLANDS LÄN</t>
        </is>
      </c>
      <c r="E235" t="inlineStr">
        <is>
          <t>GOTLAND</t>
        </is>
      </c>
      <c r="G235" t="n">
        <v>2.9</v>
      </c>
      <c r="H235" t="n">
        <v>1</v>
      </c>
      <c r="I235" t="n">
        <v>0</v>
      </c>
      <c r="J235" t="n">
        <v>0</v>
      </c>
      <c r="K235" t="n">
        <v>0</v>
      </c>
      <c r="L235" t="n">
        <v>0</v>
      </c>
      <c r="M235" t="n">
        <v>0</v>
      </c>
      <c r="N235" t="n">
        <v>0</v>
      </c>
      <c r="O235" t="n">
        <v>0</v>
      </c>
      <c r="P235" t="n">
        <v>0</v>
      </c>
      <c r="Q235" t="n">
        <v>1</v>
      </c>
      <c r="R235" s="2" t="inlineStr">
        <is>
          <t>Revlummer</t>
        </is>
      </c>
      <c r="S235">
        <f>HYPERLINK("https://klasma.github.io/Logging_0980/artfynd/A 61994-2023 artfynd.xlsx", "A 61994-2023")</f>
        <v/>
      </c>
      <c r="T235">
        <f>HYPERLINK("https://klasma.github.io/Logging_0980/kartor/A 61994-2023 karta.png", "A 61994-2023")</f>
        <v/>
      </c>
      <c r="V235">
        <f>HYPERLINK("https://klasma.github.io/Logging_0980/klagomål/A 61994-2023 FSC-klagomål.docx", "A 61994-2023")</f>
        <v/>
      </c>
      <c r="W235">
        <f>HYPERLINK("https://klasma.github.io/Logging_0980/klagomålsmail/A 61994-2023 FSC-klagomål mail.docx", "A 61994-2023")</f>
        <v/>
      </c>
      <c r="X235">
        <f>HYPERLINK("https://klasma.github.io/Logging_0980/tillsyn/A 61994-2023 tillsynsbegäran.docx", "A 61994-2023")</f>
        <v/>
      </c>
      <c r="Y235">
        <f>HYPERLINK("https://klasma.github.io/Logging_0980/tillsynsmail/A 61994-2023 tillsynsbegäran mail.docx", "A 61994-2023")</f>
        <v/>
      </c>
    </row>
    <row r="236" ht="15" customHeight="1">
      <c r="A236" t="inlineStr">
        <is>
          <t>A 62376-2023</t>
        </is>
      </c>
      <c r="B236" s="1" t="n">
        <v>45268</v>
      </c>
      <c r="C236" s="1" t="n">
        <v>45635</v>
      </c>
      <c r="D236" t="inlineStr">
        <is>
          <t>GOTLANDS LÄN</t>
        </is>
      </c>
      <c r="E236" t="inlineStr">
        <is>
          <t>GOTLAND</t>
        </is>
      </c>
      <c r="G236" t="n">
        <v>4.2</v>
      </c>
      <c r="H236" t="n">
        <v>1</v>
      </c>
      <c r="I236" t="n">
        <v>0</v>
      </c>
      <c r="J236" t="n">
        <v>0</v>
      </c>
      <c r="K236" t="n">
        <v>0</v>
      </c>
      <c r="L236" t="n">
        <v>0</v>
      </c>
      <c r="M236" t="n">
        <v>0</v>
      </c>
      <c r="N236" t="n">
        <v>0</v>
      </c>
      <c r="O236" t="n">
        <v>0</v>
      </c>
      <c r="P236" t="n">
        <v>0</v>
      </c>
      <c r="Q236" t="n">
        <v>1</v>
      </c>
      <c r="R236" s="2" t="inlineStr">
        <is>
          <t>Fläcknycklar</t>
        </is>
      </c>
      <c r="S236">
        <f>HYPERLINK("https://klasma.github.io/Logging_0980/artfynd/A 62376-2023 artfynd.xlsx", "A 62376-2023")</f>
        <v/>
      </c>
      <c r="T236">
        <f>HYPERLINK("https://klasma.github.io/Logging_0980/kartor/A 62376-2023 karta.png", "A 62376-2023")</f>
        <v/>
      </c>
      <c r="V236">
        <f>HYPERLINK("https://klasma.github.io/Logging_0980/klagomål/A 62376-2023 FSC-klagomål.docx", "A 62376-2023")</f>
        <v/>
      </c>
      <c r="W236">
        <f>HYPERLINK("https://klasma.github.io/Logging_0980/klagomålsmail/A 62376-2023 FSC-klagomål mail.docx", "A 62376-2023")</f>
        <v/>
      </c>
      <c r="X236">
        <f>HYPERLINK("https://klasma.github.io/Logging_0980/tillsyn/A 62376-2023 tillsynsbegäran.docx", "A 62376-2023")</f>
        <v/>
      </c>
      <c r="Y236">
        <f>HYPERLINK("https://klasma.github.io/Logging_0980/tillsynsmail/A 62376-2023 tillsynsbegäran mail.docx", "A 62376-2023")</f>
        <v/>
      </c>
    </row>
    <row r="237" ht="15" customHeight="1">
      <c r="A237" t="inlineStr">
        <is>
          <t>A 63515-2023</t>
        </is>
      </c>
      <c r="B237" s="1" t="n">
        <v>45274</v>
      </c>
      <c r="C237" s="1" t="n">
        <v>45635</v>
      </c>
      <c r="D237" t="inlineStr">
        <is>
          <t>GOTLANDS LÄN</t>
        </is>
      </c>
      <c r="E237" t="inlineStr">
        <is>
          <t>GOTLAND</t>
        </is>
      </c>
      <c r="G237" t="n">
        <v>2.1</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63515-2023 artfynd.xlsx", "A 63515-2023")</f>
        <v/>
      </c>
      <c r="T237">
        <f>HYPERLINK("https://klasma.github.io/Logging_0980/kartor/A 63515-2023 karta.png", "A 63515-2023")</f>
        <v/>
      </c>
      <c r="V237">
        <f>HYPERLINK("https://klasma.github.io/Logging_0980/klagomål/A 63515-2023 FSC-klagomål.docx", "A 63515-2023")</f>
        <v/>
      </c>
      <c r="W237">
        <f>HYPERLINK("https://klasma.github.io/Logging_0980/klagomålsmail/A 63515-2023 FSC-klagomål mail.docx", "A 63515-2023")</f>
        <v/>
      </c>
      <c r="X237">
        <f>HYPERLINK("https://klasma.github.io/Logging_0980/tillsyn/A 63515-2023 tillsynsbegäran.docx", "A 63515-2023")</f>
        <v/>
      </c>
      <c r="Y237">
        <f>HYPERLINK("https://klasma.github.io/Logging_0980/tillsynsmail/A 63515-2023 tillsynsbegäran mail.docx", "A 63515-2023")</f>
        <v/>
      </c>
    </row>
    <row r="238" ht="15" customHeight="1">
      <c r="A238" t="inlineStr">
        <is>
          <t>A 63302-2023</t>
        </is>
      </c>
      <c r="B238" s="1" t="n">
        <v>45274</v>
      </c>
      <c r="C238" s="1" t="n">
        <v>45635</v>
      </c>
      <c r="D238" t="inlineStr">
        <is>
          <t>GOTLANDS LÄN</t>
        </is>
      </c>
      <c r="E238" t="inlineStr">
        <is>
          <t>GOTLAND</t>
        </is>
      </c>
      <c r="G238" t="n">
        <v>1.3</v>
      </c>
      <c r="H238" t="n">
        <v>1</v>
      </c>
      <c r="I238" t="n">
        <v>0</v>
      </c>
      <c r="J238" t="n">
        <v>0</v>
      </c>
      <c r="K238" t="n">
        <v>0</v>
      </c>
      <c r="L238" t="n">
        <v>0</v>
      </c>
      <c r="M238" t="n">
        <v>0</v>
      </c>
      <c r="N238" t="n">
        <v>0</v>
      </c>
      <c r="O238" t="n">
        <v>0</v>
      </c>
      <c r="P238" t="n">
        <v>0</v>
      </c>
      <c r="Q238" t="n">
        <v>1</v>
      </c>
      <c r="R238" s="2" t="inlineStr">
        <is>
          <t>Nattskärra</t>
        </is>
      </c>
      <c r="S238">
        <f>HYPERLINK("https://klasma.github.io/Logging_0980/artfynd/A 63302-2023 artfynd.xlsx", "A 63302-2023")</f>
        <v/>
      </c>
      <c r="T238">
        <f>HYPERLINK("https://klasma.github.io/Logging_0980/kartor/A 63302-2023 karta.png", "A 63302-2023")</f>
        <v/>
      </c>
      <c r="V238">
        <f>HYPERLINK("https://klasma.github.io/Logging_0980/klagomål/A 63302-2023 FSC-klagomål.docx", "A 63302-2023")</f>
        <v/>
      </c>
      <c r="W238">
        <f>HYPERLINK("https://klasma.github.io/Logging_0980/klagomålsmail/A 63302-2023 FSC-klagomål mail.docx", "A 63302-2023")</f>
        <v/>
      </c>
      <c r="X238">
        <f>HYPERLINK("https://klasma.github.io/Logging_0980/tillsyn/A 63302-2023 tillsynsbegäran.docx", "A 63302-2023")</f>
        <v/>
      </c>
      <c r="Y238">
        <f>HYPERLINK("https://klasma.github.io/Logging_0980/tillsynsmail/A 63302-2023 tillsynsbegäran mail.docx", "A 63302-2023")</f>
        <v/>
      </c>
      <c r="Z238">
        <f>HYPERLINK("https://klasma.github.io/Logging_0980/fåglar/A 63302-2023 prioriterade fågelarter.docx", "A 63302-2023")</f>
        <v/>
      </c>
    </row>
    <row r="239" ht="15" customHeight="1">
      <c r="A239" t="inlineStr">
        <is>
          <t>A 2534-2024</t>
        </is>
      </c>
      <c r="B239" s="1" t="n">
        <v>45313</v>
      </c>
      <c r="C239" s="1" t="n">
        <v>45635</v>
      </c>
      <c r="D239" t="inlineStr">
        <is>
          <t>GOTLANDS LÄN</t>
        </is>
      </c>
      <c r="E239" t="inlineStr">
        <is>
          <t>GOTLAND</t>
        </is>
      </c>
      <c r="G239" t="n">
        <v>1</v>
      </c>
      <c r="H239" t="n">
        <v>0</v>
      </c>
      <c r="I239" t="n">
        <v>0</v>
      </c>
      <c r="J239" t="n">
        <v>0</v>
      </c>
      <c r="K239" t="n">
        <v>0</v>
      </c>
      <c r="L239" t="n">
        <v>1</v>
      </c>
      <c r="M239" t="n">
        <v>0</v>
      </c>
      <c r="N239" t="n">
        <v>0</v>
      </c>
      <c r="O239" t="n">
        <v>1</v>
      </c>
      <c r="P239" t="n">
        <v>1</v>
      </c>
      <c r="Q239" t="n">
        <v>1</v>
      </c>
      <c r="R239" s="2" t="inlineStr">
        <is>
          <t>Ryl</t>
        </is>
      </c>
      <c r="S239">
        <f>HYPERLINK("https://klasma.github.io/Logging_0980/artfynd/A 2534-2024 artfynd.xlsx", "A 2534-2024")</f>
        <v/>
      </c>
      <c r="T239">
        <f>HYPERLINK("https://klasma.github.io/Logging_0980/kartor/A 2534-2024 karta.png", "A 2534-2024")</f>
        <v/>
      </c>
      <c r="V239">
        <f>HYPERLINK("https://klasma.github.io/Logging_0980/klagomål/A 2534-2024 FSC-klagomål.docx", "A 2534-2024")</f>
        <v/>
      </c>
      <c r="W239">
        <f>HYPERLINK("https://klasma.github.io/Logging_0980/klagomålsmail/A 2534-2024 FSC-klagomål mail.docx", "A 2534-2024")</f>
        <v/>
      </c>
      <c r="X239">
        <f>HYPERLINK("https://klasma.github.io/Logging_0980/tillsyn/A 2534-2024 tillsynsbegäran.docx", "A 2534-2024")</f>
        <v/>
      </c>
      <c r="Y239">
        <f>HYPERLINK("https://klasma.github.io/Logging_0980/tillsynsmail/A 2534-2024 tillsynsbegäran mail.docx", "A 2534-2024")</f>
        <v/>
      </c>
    </row>
    <row r="240" ht="15" customHeight="1">
      <c r="A240" t="inlineStr">
        <is>
          <t>A 6303-2024</t>
        </is>
      </c>
      <c r="B240" s="1" t="n">
        <v>45338</v>
      </c>
      <c r="C240" s="1" t="n">
        <v>45635</v>
      </c>
      <c r="D240" t="inlineStr">
        <is>
          <t>GOTLANDS LÄN</t>
        </is>
      </c>
      <c r="E240" t="inlineStr">
        <is>
          <t>GOTLAND</t>
        </is>
      </c>
      <c r="G240" t="n">
        <v>0.6</v>
      </c>
      <c r="H240" t="n">
        <v>0</v>
      </c>
      <c r="I240" t="n">
        <v>1</v>
      </c>
      <c r="J240" t="n">
        <v>0</v>
      </c>
      <c r="K240" t="n">
        <v>0</v>
      </c>
      <c r="L240" t="n">
        <v>0</v>
      </c>
      <c r="M240" t="n">
        <v>0</v>
      </c>
      <c r="N240" t="n">
        <v>0</v>
      </c>
      <c r="O240" t="n">
        <v>0</v>
      </c>
      <c r="P240" t="n">
        <v>0</v>
      </c>
      <c r="Q240" t="n">
        <v>1</v>
      </c>
      <c r="R240" s="2" t="inlineStr">
        <is>
          <t>Strävlosta</t>
        </is>
      </c>
      <c r="S240">
        <f>HYPERLINK("https://klasma.github.io/Logging_0980/artfynd/A 6303-2024 artfynd.xlsx", "A 6303-2024")</f>
        <v/>
      </c>
      <c r="T240">
        <f>HYPERLINK("https://klasma.github.io/Logging_0980/kartor/A 6303-2024 karta.png", "A 6303-2024")</f>
        <v/>
      </c>
      <c r="V240">
        <f>HYPERLINK("https://klasma.github.io/Logging_0980/klagomål/A 6303-2024 FSC-klagomål.docx", "A 6303-2024")</f>
        <v/>
      </c>
      <c r="W240">
        <f>HYPERLINK("https://klasma.github.io/Logging_0980/klagomålsmail/A 6303-2024 FSC-klagomål mail.docx", "A 6303-2024")</f>
        <v/>
      </c>
      <c r="X240">
        <f>HYPERLINK("https://klasma.github.io/Logging_0980/tillsyn/A 6303-2024 tillsynsbegäran.docx", "A 6303-2024")</f>
        <v/>
      </c>
      <c r="Y240">
        <f>HYPERLINK("https://klasma.github.io/Logging_0980/tillsynsmail/A 6303-2024 tillsynsbegäran mail.docx", "A 6303-2024")</f>
        <v/>
      </c>
    </row>
    <row r="241" ht="15" customHeight="1">
      <c r="A241" t="inlineStr">
        <is>
          <t>A 8291-2024</t>
        </is>
      </c>
      <c r="B241" s="1" t="n">
        <v>45352</v>
      </c>
      <c r="C241" s="1" t="n">
        <v>45635</v>
      </c>
      <c r="D241" t="inlineStr">
        <is>
          <t>GOTLANDS LÄN</t>
        </is>
      </c>
      <c r="E241" t="inlineStr">
        <is>
          <t>GOTLAND</t>
        </is>
      </c>
      <c r="G241" t="n">
        <v>5.4</v>
      </c>
      <c r="H241" t="n">
        <v>1</v>
      </c>
      <c r="I241" t="n">
        <v>0</v>
      </c>
      <c r="J241" t="n">
        <v>1</v>
      </c>
      <c r="K241" t="n">
        <v>0</v>
      </c>
      <c r="L241" t="n">
        <v>0</v>
      </c>
      <c r="M241" t="n">
        <v>0</v>
      </c>
      <c r="N241" t="n">
        <v>0</v>
      </c>
      <c r="O241" t="n">
        <v>1</v>
      </c>
      <c r="P241" t="n">
        <v>0</v>
      </c>
      <c r="Q241" t="n">
        <v>1</v>
      </c>
      <c r="R241" s="2" t="inlineStr">
        <is>
          <t>Ärtsångare</t>
        </is>
      </c>
      <c r="S241">
        <f>HYPERLINK("https://klasma.github.io/Logging_0980/artfynd/A 8291-2024 artfynd.xlsx", "A 8291-2024")</f>
        <v/>
      </c>
      <c r="T241">
        <f>HYPERLINK("https://klasma.github.io/Logging_0980/kartor/A 8291-2024 karta.png", "A 8291-2024")</f>
        <v/>
      </c>
      <c r="V241">
        <f>HYPERLINK("https://klasma.github.io/Logging_0980/klagomål/A 8291-2024 FSC-klagomål.docx", "A 8291-2024")</f>
        <v/>
      </c>
      <c r="W241">
        <f>HYPERLINK("https://klasma.github.io/Logging_0980/klagomålsmail/A 8291-2024 FSC-klagomål mail.docx", "A 8291-2024")</f>
        <v/>
      </c>
      <c r="X241">
        <f>HYPERLINK("https://klasma.github.io/Logging_0980/tillsyn/A 8291-2024 tillsynsbegäran.docx", "A 8291-2024")</f>
        <v/>
      </c>
      <c r="Y241">
        <f>HYPERLINK("https://klasma.github.io/Logging_0980/tillsynsmail/A 8291-2024 tillsynsbegäran mail.docx", "A 8291-2024")</f>
        <v/>
      </c>
      <c r="Z241">
        <f>HYPERLINK("https://klasma.github.io/Logging_0980/fåglar/A 8291-2024 prioriterade fågelarter.docx", "A 8291-2024")</f>
        <v/>
      </c>
    </row>
    <row r="242" ht="15" customHeight="1">
      <c r="A242" t="inlineStr">
        <is>
          <t>A 9862-2024</t>
        </is>
      </c>
      <c r="B242" s="1" t="n">
        <v>45363</v>
      </c>
      <c r="C242" s="1" t="n">
        <v>45635</v>
      </c>
      <c r="D242" t="inlineStr">
        <is>
          <t>GOTLANDS LÄN</t>
        </is>
      </c>
      <c r="E242" t="inlineStr">
        <is>
          <t>GOTLAND</t>
        </is>
      </c>
      <c r="G242" t="n">
        <v>3.5</v>
      </c>
      <c r="H242" t="n">
        <v>1</v>
      </c>
      <c r="I242" t="n">
        <v>0</v>
      </c>
      <c r="J242" t="n">
        <v>0</v>
      </c>
      <c r="K242" t="n">
        <v>0</v>
      </c>
      <c r="L242" t="n">
        <v>0</v>
      </c>
      <c r="M242" t="n">
        <v>0</v>
      </c>
      <c r="N242" t="n">
        <v>0</v>
      </c>
      <c r="O242" t="n">
        <v>0</v>
      </c>
      <c r="P242" t="n">
        <v>0</v>
      </c>
      <c r="Q242" t="n">
        <v>1</v>
      </c>
      <c r="R242" s="2" t="inlineStr">
        <is>
          <t>Nattviol</t>
        </is>
      </c>
      <c r="S242">
        <f>HYPERLINK("https://klasma.github.io/Logging_0980/artfynd/A 9862-2024 artfynd.xlsx", "A 9862-2024")</f>
        <v/>
      </c>
      <c r="T242">
        <f>HYPERLINK("https://klasma.github.io/Logging_0980/kartor/A 9862-2024 karta.png", "A 9862-2024")</f>
        <v/>
      </c>
      <c r="V242">
        <f>HYPERLINK("https://klasma.github.io/Logging_0980/klagomål/A 9862-2024 FSC-klagomål.docx", "A 9862-2024")</f>
        <v/>
      </c>
      <c r="W242">
        <f>HYPERLINK("https://klasma.github.io/Logging_0980/klagomålsmail/A 9862-2024 FSC-klagomål mail.docx", "A 9862-2024")</f>
        <v/>
      </c>
      <c r="X242">
        <f>HYPERLINK("https://klasma.github.io/Logging_0980/tillsyn/A 9862-2024 tillsynsbegäran.docx", "A 9862-2024")</f>
        <v/>
      </c>
      <c r="Y242">
        <f>HYPERLINK("https://klasma.github.io/Logging_0980/tillsynsmail/A 9862-2024 tillsynsbegäran mail.docx", "A 9862-2024")</f>
        <v/>
      </c>
    </row>
    <row r="243" ht="15" customHeight="1">
      <c r="A243" t="inlineStr">
        <is>
          <t>A 10440-2024</t>
        </is>
      </c>
      <c r="B243" s="1" t="n">
        <v>45366</v>
      </c>
      <c r="C243" s="1" t="n">
        <v>45635</v>
      </c>
      <c r="D243" t="inlineStr">
        <is>
          <t>GOTLANDS LÄN</t>
        </is>
      </c>
      <c r="E243" t="inlineStr">
        <is>
          <t>GOTLAND</t>
        </is>
      </c>
      <c r="G243" t="n">
        <v>2.5</v>
      </c>
      <c r="H243" t="n">
        <v>1</v>
      </c>
      <c r="I243" t="n">
        <v>0</v>
      </c>
      <c r="J243" t="n">
        <v>1</v>
      </c>
      <c r="K243" t="n">
        <v>0</v>
      </c>
      <c r="L243" t="n">
        <v>0</v>
      </c>
      <c r="M243" t="n">
        <v>0</v>
      </c>
      <c r="N243" t="n">
        <v>0</v>
      </c>
      <c r="O243" t="n">
        <v>1</v>
      </c>
      <c r="P243" t="n">
        <v>0</v>
      </c>
      <c r="Q243" t="n">
        <v>1</v>
      </c>
      <c r="R243" s="2" t="inlineStr">
        <is>
          <t>Mindre hackspett</t>
        </is>
      </c>
      <c r="S243">
        <f>HYPERLINK("https://klasma.github.io/Logging_0980/artfynd/A 10440-2024 artfynd.xlsx", "A 10440-2024")</f>
        <v/>
      </c>
      <c r="T243">
        <f>HYPERLINK("https://klasma.github.io/Logging_0980/kartor/A 10440-2024 karta.png", "A 10440-2024")</f>
        <v/>
      </c>
      <c r="V243">
        <f>HYPERLINK("https://klasma.github.io/Logging_0980/klagomål/A 10440-2024 FSC-klagomål.docx", "A 10440-2024")</f>
        <v/>
      </c>
      <c r="W243">
        <f>HYPERLINK("https://klasma.github.io/Logging_0980/klagomålsmail/A 10440-2024 FSC-klagomål mail.docx", "A 10440-2024")</f>
        <v/>
      </c>
      <c r="X243">
        <f>HYPERLINK("https://klasma.github.io/Logging_0980/tillsyn/A 10440-2024 tillsynsbegäran.docx", "A 10440-2024")</f>
        <v/>
      </c>
      <c r="Y243">
        <f>HYPERLINK("https://klasma.github.io/Logging_0980/tillsynsmail/A 10440-2024 tillsynsbegäran mail.docx", "A 10440-2024")</f>
        <v/>
      </c>
      <c r="Z243">
        <f>HYPERLINK("https://klasma.github.io/Logging_0980/fåglar/A 10440-2024 prioriterade fågelarter.docx", "A 10440-2024")</f>
        <v/>
      </c>
    </row>
    <row r="244" ht="15" customHeight="1">
      <c r="A244" t="inlineStr">
        <is>
          <t>A 12379-2024</t>
        </is>
      </c>
      <c r="B244" s="1" t="n">
        <v>45379</v>
      </c>
      <c r="C244" s="1" t="n">
        <v>45635</v>
      </c>
      <c r="D244" t="inlineStr">
        <is>
          <t>GOTLANDS LÄN</t>
        </is>
      </c>
      <c r="E244" t="inlineStr">
        <is>
          <t>GOTLAND</t>
        </is>
      </c>
      <c r="G244" t="n">
        <v>4.4</v>
      </c>
      <c r="H244" t="n">
        <v>0</v>
      </c>
      <c r="I244" t="n">
        <v>0</v>
      </c>
      <c r="J244" t="n">
        <v>1</v>
      </c>
      <c r="K244" t="n">
        <v>0</v>
      </c>
      <c r="L244" t="n">
        <v>0</v>
      </c>
      <c r="M244" t="n">
        <v>0</v>
      </c>
      <c r="N244" t="n">
        <v>0</v>
      </c>
      <c r="O244" t="n">
        <v>1</v>
      </c>
      <c r="P244" t="n">
        <v>0</v>
      </c>
      <c r="Q244" t="n">
        <v>1</v>
      </c>
      <c r="R244" s="2" t="inlineStr">
        <is>
          <t>Svinrot</t>
        </is>
      </c>
      <c r="S244">
        <f>HYPERLINK("https://klasma.github.io/Logging_0980/artfynd/A 12379-2024 artfynd.xlsx", "A 12379-2024")</f>
        <v/>
      </c>
      <c r="T244">
        <f>HYPERLINK("https://klasma.github.io/Logging_0980/kartor/A 12379-2024 karta.png", "A 12379-2024")</f>
        <v/>
      </c>
      <c r="V244">
        <f>HYPERLINK("https://klasma.github.io/Logging_0980/klagomål/A 12379-2024 FSC-klagomål.docx", "A 12379-2024")</f>
        <v/>
      </c>
      <c r="W244">
        <f>HYPERLINK("https://klasma.github.io/Logging_0980/klagomålsmail/A 12379-2024 FSC-klagomål mail.docx", "A 12379-2024")</f>
        <v/>
      </c>
      <c r="X244">
        <f>HYPERLINK("https://klasma.github.io/Logging_0980/tillsyn/A 12379-2024 tillsynsbegäran.docx", "A 12379-2024")</f>
        <v/>
      </c>
      <c r="Y244">
        <f>HYPERLINK("https://klasma.github.io/Logging_0980/tillsynsmail/A 12379-2024 tillsynsbegäran mail.docx", "A 12379-2024")</f>
        <v/>
      </c>
    </row>
    <row r="245" ht="15" customHeight="1">
      <c r="A245" t="inlineStr">
        <is>
          <t>A 15629-2024</t>
        </is>
      </c>
      <c r="B245" s="1" t="n">
        <v>45402</v>
      </c>
      <c r="C245" s="1" t="n">
        <v>45635</v>
      </c>
      <c r="D245" t="inlineStr">
        <is>
          <t>GOTLANDS LÄN</t>
        </is>
      </c>
      <c r="E245" t="inlineStr">
        <is>
          <t>GOTLAND</t>
        </is>
      </c>
      <c r="G245" t="n">
        <v>6.3</v>
      </c>
      <c r="H245" t="n">
        <v>1</v>
      </c>
      <c r="I245" t="n">
        <v>0</v>
      </c>
      <c r="J245" t="n">
        <v>1</v>
      </c>
      <c r="K245" t="n">
        <v>0</v>
      </c>
      <c r="L245" t="n">
        <v>0</v>
      </c>
      <c r="M245" t="n">
        <v>0</v>
      </c>
      <c r="N245" t="n">
        <v>0</v>
      </c>
      <c r="O245" t="n">
        <v>1</v>
      </c>
      <c r="P245" t="n">
        <v>0</v>
      </c>
      <c r="Q245" t="n">
        <v>1</v>
      </c>
      <c r="R245" s="2" t="inlineStr">
        <is>
          <t>Apollofjäril</t>
        </is>
      </c>
      <c r="S245">
        <f>HYPERLINK("https://klasma.github.io/Logging_0980/artfynd/A 15629-2024 artfynd.xlsx", "A 15629-2024")</f>
        <v/>
      </c>
      <c r="T245">
        <f>HYPERLINK("https://klasma.github.io/Logging_0980/kartor/A 15629-2024 karta.png", "A 15629-2024")</f>
        <v/>
      </c>
      <c r="V245">
        <f>HYPERLINK("https://klasma.github.io/Logging_0980/klagomål/A 15629-2024 FSC-klagomål.docx", "A 15629-2024")</f>
        <v/>
      </c>
      <c r="W245">
        <f>HYPERLINK("https://klasma.github.io/Logging_0980/klagomålsmail/A 15629-2024 FSC-klagomål mail.docx", "A 15629-2024")</f>
        <v/>
      </c>
      <c r="X245">
        <f>HYPERLINK("https://klasma.github.io/Logging_0980/tillsyn/A 15629-2024 tillsynsbegäran.docx", "A 15629-2024")</f>
        <v/>
      </c>
      <c r="Y245">
        <f>HYPERLINK("https://klasma.github.io/Logging_0980/tillsynsmail/A 15629-2024 tillsynsbegäran mail.docx", "A 15629-2024")</f>
        <v/>
      </c>
    </row>
    <row r="246" ht="15" customHeight="1">
      <c r="A246" t="inlineStr">
        <is>
          <t>A 15637-2024</t>
        </is>
      </c>
      <c r="B246" s="1" t="n">
        <v>45403</v>
      </c>
      <c r="C246" s="1" t="n">
        <v>45635</v>
      </c>
      <c r="D246" t="inlineStr">
        <is>
          <t>GOTLANDS LÄN</t>
        </is>
      </c>
      <c r="E246" t="inlineStr">
        <is>
          <t>GOTLAND</t>
        </is>
      </c>
      <c r="G246" t="n">
        <v>4.1</v>
      </c>
      <c r="H246" t="n">
        <v>1</v>
      </c>
      <c r="I246" t="n">
        <v>0</v>
      </c>
      <c r="J246" t="n">
        <v>0</v>
      </c>
      <c r="K246" t="n">
        <v>0</v>
      </c>
      <c r="L246" t="n">
        <v>0</v>
      </c>
      <c r="M246" t="n">
        <v>0</v>
      </c>
      <c r="N246" t="n">
        <v>0</v>
      </c>
      <c r="O246" t="n">
        <v>0</v>
      </c>
      <c r="P246" t="n">
        <v>0</v>
      </c>
      <c r="Q246" t="n">
        <v>1</v>
      </c>
      <c r="R246" s="2" t="inlineStr">
        <is>
          <t>Blåsippa</t>
        </is>
      </c>
      <c r="S246">
        <f>HYPERLINK("https://klasma.github.io/Logging_0980/artfynd/A 15637-2024 artfynd.xlsx", "A 15637-2024")</f>
        <v/>
      </c>
      <c r="T246">
        <f>HYPERLINK("https://klasma.github.io/Logging_0980/kartor/A 15637-2024 karta.png", "A 15637-2024")</f>
        <v/>
      </c>
      <c r="V246">
        <f>HYPERLINK("https://klasma.github.io/Logging_0980/klagomål/A 15637-2024 FSC-klagomål.docx", "A 15637-2024")</f>
        <v/>
      </c>
      <c r="W246">
        <f>HYPERLINK("https://klasma.github.io/Logging_0980/klagomålsmail/A 15637-2024 FSC-klagomål mail.docx", "A 15637-2024")</f>
        <v/>
      </c>
      <c r="X246">
        <f>HYPERLINK("https://klasma.github.io/Logging_0980/tillsyn/A 15637-2024 tillsynsbegäran.docx", "A 15637-2024")</f>
        <v/>
      </c>
      <c r="Y246">
        <f>HYPERLINK("https://klasma.github.io/Logging_0980/tillsynsmail/A 15637-2024 tillsynsbegäran mail.docx", "A 15637-2024")</f>
        <v/>
      </c>
    </row>
    <row r="247" ht="15" customHeight="1">
      <c r="A247" t="inlineStr">
        <is>
          <t>A 17681-2024</t>
        </is>
      </c>
      <c r="B247" s="1" t="n">
        <v>45418</v>
      </c>
      <c r="C247" s="1" t="n">
        <v>45635</v>
      </c>
      <c r="D247" t="inlineStr">
        <is>
          <t>GOTLANDS LÄN</t>
        </is>
      </c>
      <c r="E247" t="inlineStr">
        <is>
          <t>GOTLAND</t>
        </is>
      </c>
      <c r="G247" t="n">
        <v>1.9</v>
      </c>
      <c r="H247" t="n">
        <v>0</v>
      </c>
      <c r="I247" t="n">
        <v>0</v>
      </c>
      <c r="J247" t="n">
        <v>1</v>
      </c>
      <c r="K247" t="n">
        <v>0</v>
      </c>
      <c r="L247" t="n">
        <v>0</v>
      </c>
      <c r="M247" t="n">
        <v>0</v>
      </c>
      <c r="N247" t="n">
        <v>0</v>
      </c>
      <c r="O247" t="n">
        <v>1</v>
      </c>
      <c r="P247" t="n">
        <v>0</v>
      </c>
      <c r="Q247" t="n">
        <v>1</v>
      </c>
      <c r="R247" s="2" t="inlineStr">
        <is>
          <t>Igelkott</t>
        </is>
      </c>
      <c r="S247">
        <f>HYPERLINK("https://klasma.github.io/Logging_0980/artfynd/A 17681-2024 artfynd.xlsx", "A 17681-2024")</f>
        <v/>
      </c>
      <c r="T247">
        <f>HYPERLINK("https://klasma.github.io/Logging_0980/kartor/A 17681-2024 karta.png", "A 17681-2024")</f>
        <v/>
      </c>
      <c r="V247">
        <f>HYPERLINK("https://klasma.github.io/Logging_0980/klagomål/A 17681-2024 FSC-klagomål.docx", "A 17681-2024")</f>
        <v/>
      </c>
      <c r="W247">
        <f>HYPERLINK("https://klasma.github.io/Logging_0980/klagomålsmail/A 17681-2024 FSC-klagomål mail.docx", "A 17681-2024")</f>
        <v/>
      </c>
      <c r="X247">
        <f>HYPERLINK("https://klasma.github.io/Logging_0980/tillsyn/A 17681-2024 tillsynsbegäran.docx", "A 17681-2024")</f>
        <v/>
      </c>
      <c r="Y247">
        <f>HYPERLINK("https://klasma.github.io/Logging_0980/tillsynsmail/A 17681-2024 tillsynsbegäran mail.docx", "A 17681-2024")</f>
        <v/>
      </c>
    </row>
    <row r="248" ht="15" customHeight="1">
      <c r="A248" t="inlineStr">
        <is>
          <t>A 17727-2024</t>
        </is>
      </c>
      <c r="B248" s="1" t="n">
        <v>45418</v>
      </c>
      <c r="C248" s="1" t="n">
        <v>45635</v>
      </c>
      <c r="D248" t="inlineStr">
        <is>
          <t>GOTLANDS LÄN</t>
        </is>
      </c>
      <c r="E248" t="inlineStr">
        <is>
          <t>GOTLAND</t>
        </is>
      </c>
      <c r="G248" t="n">
        <v>1</v>
      </c>
      <c r="H248" t="n">
        <v>0</v>
      </c>
      <c r="I248" t="n">
        <v>0</v>
      </c>
      <c r="J248" t="n">
        <v>1</v>
      </c>
      <c r="K248" t="n">
        <v>0</v>
      </c>
      <c r="L248" t="n">
        <v>0</v>
      </c>
      <c r="M248" t="n">
        <v>0</v>
      </c>
      <c r="N248" t="n">
        <v>0</v>
      </c>
      <c r="O248" t="n">
        <v>1</v>
      </c>
      <c r="P248" t="n">
        <v>0</v>
      </c>
      <c r="Q248" t="n">
        <v>1</v>
      </c>
      <c r="R248" s="2" t="inlineStr">
        <is>
          <t>Åkerranunkel</t>
        </is>
      </c>
      <c r="S248">
        <f>HYPERLINK("https://klasma.github.io/Logging_0980/artfynd/A 17727-2024 artfynd.xlsx", "A 17727-2024")</f>
        <v/>
      </c>
      <c r="T248">
        <f>HYPERLINK("https://klasma.github.io/Logging_0980/kartor/A 17727-2024 karta.png", "A 17727-2024")</f>
        <v/>
      </c>
      <c r="V248">
        <f>HYPERLINK("https://klasma.github.io/Logging_0980/klagomål/A 17727-2024 FSC-klagomål.docx", "A 17727-2024")</f>
        <v/>
      </c>
      <c r="W248">
        <f>HYPERLINK("https://klasma.github.io/Logging_0980/klagomålsmail/A 17727-2024 FSC-klagomål mail.docx", "A 17727-2024")</f>
        <v/>
      </c>
      <c r="X248">
        <f>HYPERLINK("https://klasma.github.io/Logging_0980/tillsyn/A 17727-2024 tillsynsbegäran.docx", "A 17727-2024")</f>
        <v/>
      </c>
      <c r="Y248">
        <f>HYPERLINK("https://klasma.github.io/Logging_0980/tillsynsmail/A 17727-2024 tillsynsbegäran mail.docx", "A 17727-2024")</f>
        <v/>
      </c>
    </row>
    <row r="249" ht="15" customHeight="1">
      <c r="A249" t="inlineStr">
        <is>
          <t>A 20831-2024</t>
        </is>
      </c>
      <c r="B249" s="1" t="n">
        <v>45439</v>
      </c>
      <c r="C249" s="1" t="n">
        <v>45635</v>
      </c>
      <c r="D249" t="inlineStr">
        <is>
          <t>GOTLANDS LÄN</t>
        </is>
      </c>
      <c r="E249" t="inlineStr">
        <is>
          <t>GOTLAND</t>
        </is>
      </c>
      <c r="G249" t="n">
        <v>2.9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20831-2024 artfynd.xlsx", "A 20831-2024")</f>
        <v/>
      </c>
      <c r="T249">
        <f>HYPERLINK("https://klasma.github.io/Logging_0980/kartor/A 20831-2024 karta.png", "A 20831-2024")</f>
        <v/>
      </c>
      <c r="V249">
        <f>HYPERLINK("https://klasma.github.io/Logging_0980/klagomål/A 20831-2024 FSC-klagomål.docx", "A 20831-2024")</f>
        <v/>
      </c>
      <c r="W249">
        <f>HYPERLINK("https://klasma.github.io/Logging_0980/klagomålsmail/A 20831-2024 FSC-klagomål mail.docx", "A 20831-2024")</f>
        <v/>
      </c>
      <c r="X249">
        <f>HYPERLINK("https://klasma.github.io/Logging_0980/tillsyn/A 20831-2024 tillsynsbegäran.docx", "A 20831-2024")</f>
        <v/>
      </c>
      <c r="Y249">
        <f>HYPERLINK("https://klasma.github.io/Logging_0980/tillsynsmail/A 20831-2024 tillsynsbegäran mail.docx", "A 20831-2024")</f>
        <v/>
      </c>
    </row>
    <row r="250" ht="15" customHeight="1">
      <c r="A250" t="inlineStr">
        <is>
          <t>A 20838-2024</t>
        </is>
      </c>
      <c r="B250" s="1" t="n">
        <v>45439</v>
      </c>
      <c r="C250" s="1" t="n">
        <v>45635</v>
      </c>
      <c r="D250" t="inlineStr">
        <is>
          <t>GOTLANDS LÄN</t>
        </is>
      </c>
      <c r="E250" t="inlineStr">
        <is>
          <t>GOTLAND</t>
        </is>
      </c>
      <c r="G250" t="n">
        <v>0.7</v>
      </c>
      <c r="H250" t="n">
        <v>1</v>
      </c>
      <c r="I250" t="n">
        <v>1</v>
      </c>
      <c r="J250" t="n">
        <v>0</v>
      </c>
      <c r="K250" t="n">
        <v>0</v>
      </c>
      <c r="L250" t="n">
        <v>0</v>
      </c>
      <c r="M250" t="n">
        <v>0</v>
      </c>
      <c r="N250" t="n">
        <v>0</v>
      </c>
      <c r="O250" t="n">
        <v>0</v>
      </c>
      <c r="P250" t="n">
        <v>0</v>
      </c>
      <c r="Q250" t="n">
        <v>1</v>
      </c>
      <c r="R250" s="2" t="inlineStr">
        <is>
          <t>Skogsknipprot</t>
        </is>
      </c>
      <c r="S250">
        <f>HYPERLINK("https://klasma.github.io/Logging_0980/artfynd/A 20838-2024 artfynd.xlsx", "A 20838-2024")</f>
        <v/>
      </c>
      <c r="T250">
        <f>HYPERLINK("https://klasma.github.io/Logging_0980/kartor/A 20838-2024 karta.png", "A 20838-2024")</f>
        <v/>
      </c>
      <c r="V250">
        <f>HYPERLINK("https://klasma.github.io/Logging_0980/klagomål/A 20838-2024 FSC-klagomål.docx", "A 20838-2024")</f>
        <v/>
      </c>
      <c r="W250">
        <f>HYPERLINK("https://klasma.github.io/Logging_0980/klagomålsmail/A 20838-2024 FSC-klagomål mail.docx", "A 20838-2024")</f>
        <v/>
      </c>
      <c r="X250">
        <f>HYPERLINK("https://klasma.github.io/Logging_0980/tillsyn/A 20838-2024 tillsynsbegäran.docx", "A 20838-2024")</f>
        <v/>
      </c>
      <c r="Y250">
        <f>HYPERLINK("https://klasma.github.io/Logging_0980/tillsynsmail/A 20838-2024 tillsynsbegäran mail.docx", "A 20838-2024")</f>
        <v/>
      </c>
    </row>
    <row r="251" ht="15" customHeight="1">
      <c r="A251" t="inlineStr">
        <is>
          <t>A 20833-2024</t>
        </is>
      </c>
      <c r="B251" s="1" t="n">
        <v>45439</v>
      </c>
      <c r="C251" s="1" t="n">
        <v>45635</v>
      </c>
      <c r="D251" t="inlineStr">
        <is>
          <t>GOTLANDS LÄN</t>
        </is>
      </c>
      <c r="E251" t="inlineStr">
        <is>
          <t>GOTLAND</t>
        </is>
      </c>
      <c r="G251" t="n">
        <v>0.9</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20833-2024 artfynd.xlsx", "A 20833-2024")</f>
        <v/>
      </c>
      <c r="T251">
        <f>HYPERLINK("https://klasma.github.io/Logging_0980/kartor/A 20833-2024 karta.png", "A 20833-2024")</f>
        <v/>
      </c>
      <c r="V251">
        <f>HYPERLINK("https://klasma.github.io/Logging_0980/klagomål/A 20833-2024 FSC-klagomål.docx", "A 20833-2024")</f>
        <v/>
      </c>
      <c r="W251">
        <f>HYPERLINK("https://klasma.github.io/Logging_0980/klagomålsmail/A 20833-2024 FSC-klagomål mail.docx", "A 20833-2024")</f>
        <v/>
      </c>
      <c r="X251">
        <f>HYPERLINK("https://klasma.github.io/Logging_0980/tillsyn/A 20833-2024 tillsynsbegäran.docx", "A 20833-2024")</f>
        <v/>
      </c>
      <c r="Y251">
        <f>HYPERLINK("https://klasma.github.io/Logging_0980/tillsynsmail/A 20833-2024 tillsynsbegäran mail.docx", "A 20833-2024")</f>
        <v/>
      </c>
    </row>
    <row r="252" ht="15" customHeight="1">
      <c r="A252" t="inlineStr">
        <is>
          <t>A 25977-2024</t>
        </is>
      </c>
      <c r="B252" s="1" t="n">
        <v>45467</v>
      </c>
      <c r="C252" s="1" t="n">
        <v>45635</v>
      </c>
      <c r="D252" t="inlineStr">
        <is>
          <t>GOTLANDS LÄN</t>
        </is>
      </c>
      <c r="E252" t="inlineStr">
        <is>
          <t>GOTLAND</t>
        </is>
      </c>
      <c r="G252" t="n">
        <v>3</v>
      </c>
      <c r="H252" t="n">
        <v>1</v>
      </c>
      <c r="I252" t="n">
        <v>0</v>
      </c>
      <c r="J252" t="n">
        <v>0</v>
      </c>
      <c r="K252" t="n">
        <v>0</v>
      </c>
      <c r="L252" t="n">
        <v>0</v>
      </c>
      <c r="M252" t="n">
        <v>0</v>
      </c>
      <c r="N252" t="n">
        <v>0</v>
      </c>
      <c r="O252" t="n">
        <v>0</v>
      </c>
      <c r="P252" t="n">
        <v>0</v>
      </c>
      <c r="Q252" t="n">
        <v>1</v>
      </c>
      <c r="R252" s="2" t="inlineStr">
        <is>
          <t>Nattviol</t>
        </is>
      </c>
      <c r="S252">
        <f>HYPERLINK("https://klasma.github.io/Logging_0980/artfynd/A 25977-2024 artfynd.xlsx", "A 25977-2024")</f>
        <v/>
      </c>
      <c r="T252">
        <f>HYPERLINK("https://klasma.github.io/Logging_0980/kartor/A 25977-2024 karta.png", "A 25977-2024")</f>
        <v/>
      </c>
      <c r="V252">
        <f>HYPERLINK("https://klasma.github.io/Logging_0980/klagomål/A 25977-2024 FSC-klagomål.docx", "A 25977-2024")</f>
        <v/>
      </c>
      <c r="W252">
        <f>HYPERLINK("https://klasma.github.io/Logging_0980/klagomålsmail/A 25977-2024 FSC-klagomål mail.docx", "A 25977-2024")</f>
        <v/>
      </c>
      <c r="X252">
        <f>HYPERLINK("https://klasma.github.io/Logging_0980/tillsyn/A 25977-2024 tillsynsbegäran.docx", "A 25977-2024")</f>
        <v/>
      </c>
      <c r="Y252">
        <f>HYPERLINK("https://klasma.github.io/Logging_0980/tillsynsmail/A 25977-2024 tillsynsbegäran mail.docx", "A 25977-2024")</f>
        <v/>
      </c>
    </row>
    <row r="253" ht="15" customHeight="1">
      <c r="A253" t="inlineStr">
        <is>
          <t>A 30892-2024</t>
        </is>
      </c>
      <c r="B253" s="1" t="n">
        <v>45491</v>
      </c>
      <c r="C253" s="1" t="n">
        <v>45635</v>
      </c>
      <c r="D253" t="inlineStr">
        <is>
          <t>GOTLANDS LÄN</t>
        </is>
      </c>
      <c r="E253" t="inlineStr">
        <is>
          <t>GOTLAND</t>
        </is>
      </c>
      <c r="G253" t="n">
        <v>16.3</v>
      </c>
      <c r="H253" t="n">
        <v>1</v>
      </c>
      <c r="I253" t="n">
        <v>0</v>
      </c>
      <c r="J253" t="n">
        <v>1</v>
      </c>
      <c r="K253" t="n">
        <v>0</v>
      </c>
      <c r="L253" t="n">
        <v>0</v>
      </c>
      <c r="M253" t="n">
        <v>0</v>
      </c>
      <c r="N253" t="n">
        <v>0</v>
      </c>
      <c r="O253" t="n">
        <v>1</v>
      </c>
      <c r="P253" t="n">
        <v>0</v>
      </c>
      <c r="Q253" t="n">
        <v>1</v>
      </c>
      <c r="R253" s="2" t="inlineStr">
        <is>
          <t>Brun ögontröst</t>
        </is>
      </c>
      <c r="S253">
        <f>HYPERLINK("https://klasma.github.io/Logging_0980/artfynd/A 30892-2024 artfynd.xlsx", "A 30892-2024")</f>
        <v/>
      </c>
      <c r="T253">
        <f>HYPERLINK("https://klasma.github.io/Logging_0980/kartor/A 30892-2024 karta.png", "A 30892-2024")</f>
        <v/>
      </c>
      <c r="V253">
        <f>HYPERLINK("https://klasma.github.io/Logging_0980/klagomål/A 30892-2024 FSC-klagomål.docx", "A 30892-2024")</f>
        <v/>
      </c>
      <c r="W253">
        <f>HYPERLINK("https://klasma.github.io/Logging_0980/klagomålsmail/A 30892-2024 FSC-klagomål mail.docx", "A 30892-2024")</f>
        <v/>
      </c>
      <c r="X253">
        <f>HYPERLINK("https://klasma.github.io/Logging_0980/tillsyn/A 30892-2024 tillsynsbegäran.docx", "A 30892-2024")</f>
        <v/>
      </c>
      <c r="Y253">
        <f>HYPERLINK("https://klasma.github.io/Logging_0980/tillsynsmail/A 30892-2024 tillsynsbegäran mail.docx", "A 30892-2024")</f>
        <v/>
      </c>
    </row>
    <row r="254" ht="15" customHeight="1">
      <c r="A254" t="inlineStr">
        <is>
          <t>A 30410-2024</t>
        </is>
      </c>
      <c r="B254" s="1" t="n">
        <v>45491</v>
      </c>
      <c r="C254" s="1" t="n">
        <v>45635</v>
      </c>
      <c r="D254" t="inlineStr">
        <is>
          <t>GOTLANDS LÄN</t>
        </is>
      </c>
      <c r="E254" t="inlineStr">
        <is>
          <t>GOTLAND</t>
        </is>
      </c>
      <c r="G254" t="n">
        <v>4</v>
      </c>
      <c r="H254" t="n">
        <v>0</v>
      </c>
      <c r="I254" t="n">
        <v>0</v>
      </c>
      <c r="J254" t="n">
        <v>1</v>
      </c>
      <c r="K254" t="n">
        <v>0</v>
      </c>
      <c r="L254" t="n">
        <v>0</v>
      </c>
      <c r="M254" t="n">
        <v>0</v>
      </c>
      <c r="N254" t="n">
        <v>0</v>
      </c>
      <c r="O254" t="n">
        <v>1</v>
      </c>
      <c r="P254" t="n">
        <v>0</v>
      </c>
      <c r="Q254" t="n">
        <v>1</v>
      </c>
      <c r="R254" s="2" t="inlineStr">
        <is>
          <t>Granticka</t>
        </is>
      </c>
      <c r="S254">
        <f>HYPERLINK("https://klasma.github.io/Logging_0980/artfynd/A 30410-2024 artfynd.xlsx", "A 30410-2024")</f>
        <v/>
      </c>
      <c r="T254">
        <f>HYPERLINK("https://klasma.github.io/Logging_0980/kartor/A 30410-2024 karta.png", "A 30410-2024")</f>
        <v/>
      </c>
      <c r="V254">
        <f>HYPERLINK("https://klasma.github.io/Logging_0980/klagomål/A 30410-2024 FSC-klagomål.docx", "A 30410-2024")</f>
        <v/>
      </c>
      <c r="W254">
        <f>HYPERLINK("https://klasma.github.io/Logging_0980/klagomålsmail/A 30410-2024 FSC-klagomål mail.docx", "A 30410-2024")</f>
        <v/>
      </c>
      <c r="X254">
        <f>HYPERLINK("https://klasma.github.io/Logging_0980/tillsyn/A 30410-2024 tillsynsbegäran.docx", "A 30410-2024")</f>
        <v/>
      </c>
      <c r="Y254">
        <f>HYPERLINK("https://klasma.github.io/Logging_0980/tillsynsmail/A 30410-2024 tillsynsbegäran mail.docx", "A 30410-2024")</f>
        <v/>
      </c>
    </row>
    <row r="255" ht="15" customHeight="1">
      <c r="A255" t="inlineStr">
        <is>
          <t>A 31750-2024</t>
        </is>
      </c>
      <c r="B255" s="1" t="n">
        <v>45509</v>
      </c>
      <c r="C255" s="1" t="n">
        <v>45635</v>
      </c>
      <c r="D255" t="inlineStr">
        <is>
          <t>GOTLANDS LÄN</t>
        </is>
      </c>
      <c r="E255" t="inlineStr">
        <is>
          <t>GOTLAND</t>
        </is>
      </c>
      <c r="G255" t="n">
        <v>10.3</v>
      </c>
      <c r="H255" t="n">
        <v>1</v>
      </c>
      <c r="I255" t="n">
        <v>0</v>
      </c>
      <c r="J255" t="n">
        <v>1</v>
      </c>
      <c r="K255" t="n">
        <v>0</v>
      </c>
      <c r="L255" t="n">
        <v>0</v>
      </c>
      <c r="M255" t="n">
        <v>0</v>
      </c>
      <c r="N255" t="n">
        <v>0</v>
      </c>
      <c r="O255" t="n">
        <v>1</v>
      </c>
      <c r="P255" t="n">
        <v>0</v>
      </c>
      <c r="Q255" t="n">
        <v>1</v>
      </c>
      <c r="R255" s="2" t="inlineStr">
        <is>
          <t>Grönsångare</t>
        </is>
      </c>
      <c r="S255">
        <f>HYPERLINK("https://klasma.github.io/Logging_0980/artfynd/A 31750-2024 artfynd.xlsx", "A 31750-2024")</f>
        <v/>
      </c>
      <c r="T255">
        <f>HYPERLINK("https://klasma.github.io/Logging_0980/kartor/A 31750-2024 karta.png", "A 31750-2024")</f>
        <v/>
      </c>
      <c r="V255">
        <f>HYPERLINK("https://klasma.github.io/Logging_0980/klagomål/A 31750-2024 FSC-klagomål.docx", "A 31750-2024")</f>
        <v/>
      </c>
      <c r="W255">
        <f>HYPERLINK("https://klasma.github.io/Logging_0980/klagomålsmail/A 31750-2024 FSC-klagomål mail.docx", "A 31750-2024")</f>
        <v/>
      </c>
      <c r="X255">
        <f>HYPERLINK("https://klasma.github.io/Logging_0980/tillsyn/A 31750-2024 tillsynsbegäran.docx", "A 31750-2024")</f>
        <v/>
      </c>
      <c r="Y255">
        <f>HYPERLINK("https://klasma.github.io/Logging_0980/tillsynsmail/A 31750-2024 tillsynsbegäran mail.docx", "A 31750-2024")</f>
        <v/>
      </c>
      <c r="Z255">
        <f>HYPERLINK("https://klasma.github.io/Logging_0980/fåglar/A 31750-2024 prioriterade fågelarter.docx", "A 31750-2024")</f>
        <v/>
      </c>
    </row>
    <row r="256" ht="15" customHeight="1">
      <c r="A256" t="inlineStr">
        <is>
          <t>A 33081-2024</t>
        </is>
      </c>
      <c r="B256" s="1" t="n">
        <v>45517</v>
      </c>
      <c r="C256" s="1" t="n">
        <v>45635</v>
      </c>
      <c r="D256" t="inlineStr">
        <is>
          <t>GOTLANDS LÄN</t>
        </is>
      </c>
      <c r="E256" t="inlineStr">
        <is>
          <t>GOTLAND</t>
        </is>
      </c>
      <c r="G256" t="n">
        <v>1.4</v>
      </c>
      <c r="H256" t="n">
        <v>0</v>
      </c>
      <c r="I256" t="n">
        <v>0</v>
      </c>
      <c r="J256" t="n">
        <v>0</v>
      </c>
      <c r="K256" t="n">
        <v>1</v>
      </c>
      <c r="L256" t="n">
        <v>0</v>
      </c>
      <c r="M256" t="n">
        <v>0</v>
      </c>
      <c r="N256" t="n">
        <v>0</v>
      </c>
      <c r="O256" t="n">
        <v>1</v>
      </c>
      <c r="P256" t="n">
        <v>1</v>
      </c>
      <c r="Q256" t="n">
        <v>1</v>
      </c>
      <c r="R256" s="2" t="inlineStr">
        <is>
          <t>Gotlandsmåra</t>
        </is>
      </c>
      <c r="S256">
        <f>HYPERLINK("https://klasma.github.io/Logging_0980/artfynd/A 33081-2024 artfynd.xlsx", "A 33081-2024")</f>
        <v/>
      </c>
      <c r="T256">
        <f>HYPERLINK("https://klasma.github.io/Logging_0980/kartor/A 33081-2024 karta.png", "A 33081-2024")</f>
        <v/>
      </c>
      <c r="V256">
        <f>HYPERLINK("https://klasma.github.io/Logging_0980/klagomål/A 33081-2024 FSC-klagomål.docx", "A 33081-2024")</f>
        <v/>
      </c>
      <c r="W256">
        <f>HYPERLINK("https://klasma.github.io/Logging_0980/klagomålsmail/A 33081-2024 FSC-klagomål mail.docx", "A 33081-2024")</f>
        <v/>
      </c>
      <c r="X256">
        <f>HYPERLINK("https://klasma.github.io/Logging_0980/tillsyn/A 33081-2024 tillsynsbegäran.docx", "A 33081-2024")</f>
        <v/>
      </c>
      <c r="Y256">
        <f>HYPERLINK("https://klasma.github.io/Logging_0980/tillsynsmail/A 33081-2024 tillsynsbegäran mail.docx", "A 33081-2024")</f>
        <v/>
      </c>
    </row>
    <row r="257" ht="15" customHeight="1">
      <c r="A257" t="inlineStr">
        <is>
          <t>A 34141-2024</t>
        </is>
      </c>
      <c r="B257" s="1" t="n">
        <v>45524</v>
      </c>
      <c r="C257" s="1" t="n">
        <v>45635</v>
      </c>
      <c r="D257" t="inlineStr">
        <is>
          <t>GOTLANDS LÄN</t>
        </is>
      </c>
      <c r="E257" t="inlineStr">
        <is>
          <t>GOTLAND</t>
        </is>
      </c>
      <c r="G257" t="n">
        <v>0.9</v>
      </c>
      <c r="H257" t="n">
        <v>0</v>
      </c>
      <c r="I257" t="n">
        <v>1</v>
      </c>
      <c r="J257" t="n">
        <v>0</v>
      </c>
      <c r="K257" t="n">
        <v>0</v>
      </c>
      <c r="L257" t="n">
        <v>0</v>
      </c>
      <c r="M257" t="n">
        <v>0</v>
      </c>
      <c r="N257" t="n">
        <v>0</v>
      </c>
      <c r="O257" t="n">
        <v>0</v>
      </c>
      <c r="P257" t="n">
        <v>0</v>
      </c>
      <c r="Q257" t="n">
        <v>1</v>
      </c>
      <c r="R257" s="2" t="inlineStr">
        <is>
          <t>Strävlosta</t>
        </is>
      </c>
      <c r="S257">
        <f>HYPERLINK("https://klasma.github.io/Logging_0980/artfynd/A 34141-2024 artfynd.xlsx", "A 34141-2024")</f>
        <v/>
      </c>
      <c r="T257">
        <f>HYPERLINK("https://klasma.github.io/Logging_0980/kartor/A 34141-2024 karta.png", "A 34141-2024")</f>
        <v/>
      </c>
      <c r="V257">
        <f>HYPERLINK("https://klasma.github.io/Logging_0980/klagomål/A 34141-2024 FSC-klagomål.docx", "A 34141-2024")</f>
        <v/>
      </c>
      <c r="W257">
        <f>HYPERLINK("https://klasma.github.io/Logging_0980/klagomålsmail/A 34141-2024 FSC-klagomål mail.docx", "A 34141-2024")</f>
        <v/>
      </c>
      <c r="X257">
        <f>HYPERLINK("https://klasma.github.io/Logging_0980/tillsyn/A 34141-2024 tillsynsbegäran.docx", "A 34141-2024")</f>
        <v/>
      </c>
      <c r="Y257">
        <f>HYPERLINK("https://klasma.github.io/Logging_0980/tillsynsmail/A 34141-2024 tillsynsbegäran mail.docx", "A 34141-2024")</f>
        <v/>
      </c>
    </row>
    <row r="258" ht="15" customHeight="1">
      <c r="A258" t="inlineStr">
        <is>
          <t>A 34809-2024</t>
        </is>
      </c>
      <c r="B258" s="1" t="n">
        <v>45526</v>
      </c>
      <c r="C258" s="1" t="n">
        <v>45635</v>
      </c>
      <c r="D258" t="inlineStr">
        <is>
          <t>GOTLANDS LÄN</t>
        </is>
      </c>
      <c r="E258" t="inlineStr">
        <is>
          <t>GOTLAND</t>
        </is>
      </c>
      <c r="G258" t="n">
        <v>9.9</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34809-2024 artfynd.xlsx", "A 34809-2024")</f>
        <v/>
      </c>
      <c r="T258">
        <f>HYPERLINK("https://klasma.github.io/Logging_0980/kartor/A 34809-2024 karta.png", "A 34809-2024")</f>
        <v/>
      </c>
      <c r="V258">
        <f>HYPERLINK("https://klasma.github.io/Logging_0980/klagomål/A 34809-2024 FSC-klagomål.docx", "A 34809-2024")</f>
        <v/>
      </c>
      <c r="W258">
        <f>HYPERLINK("https://klasma.github.io/Logging_0980/klagomålsmail/A 34809-2024 FSC-klagomål mail.docx", "A 34809-2024")</f>
        <v/>
      </c>
      <c r="X258">
        <f>HYPERLINK("https://klasma.github.io/Logging_0980/tillsyn/A 34809-2024 tillsynsbegäran.docx", "A 34809-2024")</f>
        <v/>
      </c>
      <c r="Y258">
        <f>HYPERLINK("https://klasma.github.io/Logging_0980/tillsynsmail/A 34809-2024 tillsynsbegäran mail.docx", "A 34809-2024")</f>
        <v/>
      </c>
    </row>
    <row r="259" ht="15" customHeight="1">
      <c r="A259" t="inlineStr">
        <is>
          <t>A 35574-2024</t>
        </is>
      </c>
      <c r="B259" s="1" t="n">
        <v>45531</v>
      </c>
      <c r="C259" s="1" t="n">
        <v>45635</v>
      </c>
      <c r="D259" t="inlineStr">
        <is>
          <t>GOTLANDS LÄN</t>
        </is>
      </c>
      <c r="E259" t="inlineStr">
        <is>
          <t>GOTLAND</t>
        </is>
      </c>
      <c r="G259" t="n">
        <v>5.7</v>
      </c>
      <c r="H259" t="n">
        <v>0</v>
      </c>
      <c r="I259" t="n">
        <v>1</v>
      </c>
      <c r="J259" t="n">
        <v>0</v>
      </c>
      <c r="K259" t="n">
        <v>0</v>
      </c>
      <c r="L259" t="n">
        <v>0</v>
      </c>
      <c r="M259" t="n">
        <v>0</v>
      </c>
      <c r="N259" t="n">
        <v>0</v>
      </c>
      <c r="O259" t="n">
        <v>0</v>
      </c>
      <c r="P259" t="n">
        <v>0</v>
      </c>
      <c r="Q259" t="n">
        <v>1</v>
      </c>
      <c r="R259" s="2" t="inlineStr">
        <is>
          <t>Murgröna</t>
        </is>
      </c>
      <c r="S259">
        <f>HYPERLINK("https://klasma.github.io/Logging_0980/artfynd/A 35574-2024 artfynd.xlsx", "A 35574-2024")</f>
        <v/>
      </c>
      <c r="T259">
        <f>HYPERLINK("https://klasma.github.io/Logging_0980/kartor/A 35574-2024 karta.png", "A 35574-2024")</f>
        <v/>
      </c>
      <c r="V259">
        <f>HYPERLINK("https://klasma.github.io/Logging_0980/klagomål/A 35574-2024 FSC-klagomål.docx", "A 35574-2024")</f>
        <v/>
      </c>
      <c r="W259">
        <f>HYPERLINK("https://klasma.github.io/Logging_0980/klagomålsmail/A 35574-2024 FSC-klagomål mail.docx", "A 35574-2024")</f>
        <v/>
      </c>
      <c r="X259">
        <f>HYPERLINK("https://klasma.github.io/Logging_0980/tillsyn/A 35574-2024 tillsynsbegäran.docx", "A 35574-2024")</f>
        <v/>
      </c>
      <c r="Y259">
        <f>HYPERLINK("https://klasma.github.io/Logging_0980/tillsynsmail/A 35574-2024 tillsynsbegäran mail.docx", "A 35574-2024")</f>
        <v/>
      </c>
    </row>
    <row r="260" ht="15" customHeight="1">
      <c r="A260" t="inlineStr">
        <is>
          <t>A 40805-2024</t>
        </is>
      </c>
      <c r="B260" s="1" t="n">
        <v>45558</v>
      </c>
      <c r="C260" s="1" t="n">
        <v>45635</v>
      </c>
      <c r="D260" t="inlineStr">
        <is>
          <t>GOTLANDS LÄN</t>
        </is>
      </c>
      <c r="E260" t="inlineStr">
        <is>
          <t>GOTLAND</t>
        </is>
      </c>
      <c r="G260" t="n">
        <v>13.2</v>
      </c>
      <c r="H260" t="n">
        <v>1</v>
      </c>
      <c r="I260" t="n">
        <v>1</v>
      </c>
      <c r="J260" t="n">
        <v>0</v>
      </c>
      <c r="K260" t="n">
        <v>0</v>
      </c>
      <c r="L260" t="n">
        <v>0</v>
      </c>
      <c r="M260" t="n">
        <v>0</v>
      </c>
      <c r="N260" t="n">
        <v>0</v>
      </c>
      <c r="O260" t="n">
        <v>0</v>
      </c>
      <c r="P260" t="n">
        <v>0</v>
      </c>
      <c r="Q260" t="n">
        <v>1</v>
      </c>
      <c r="R260" s="2" t="inlineStr">
        <is>
          <t>Skogsknipprot</t>
        </is>
      </c>
      <c r="S260">
        <f>HYPERLINK("https://klasma.github.io/Logging_0980/artfynd/A 40805-2024 artfynd.xlsx", "A 40805-2024")</f>
        <v/>
      </c>
      <c r="T260">
        <f>HYPERLINK("https://klasma.github.io/Logging_0980/kartor/A 40805-2024 karta.png", "A 40805-2024")</f>
        <v/>
      </c>
      <c r="V260">
        <f>HYPERLINK("https://klasma.github.io/Logging_0980/klagomål/A 40805-2024 FSC-klagomål.docx", "A 40805-2024")</f>
        <v/>
      </c>
      <c r="W260">
        <f>HYPERLINK("https://klasma.github.io/Logging_0980/klagomålsmail/A 40805-2024 FSC-klagomål mail.docx", "A 40805-2024")</f>
        <v/>
      </c>
      <c r="X260">
        <f>HYPERLINK("https://klasma.github.io/Logging_0980/tillsyn/A 40805-2024 tillsynsbegäran.docx", "A 40805-2024")</f>
        <v/>
      </c>
      <c r="Y260">
        <f>HYPERLINK("https://klasma.github.io/Logging_0980/tillsynsmail/A 40805-2024 tillsynsbegäran mail.docx", "A 40805-2024")</f>
        <v/>
      </c>
    </row>
    <row r="261" ht="15" customHeight="1">
      <c r="A261" t="inlineStr">
        <is>
          <t>A 44468-2024</t>
        </is>
      </c>
      <c r="B261" s="1" t="n">
        <v>45574</v>
      </c>
      <c r="C261" s="1" t="n">
        <v>45635</v>
      </c>
      <c r="D261" t="inlineStr">
        <is>
          <t>GOTLANDS LÄN</t>
        </is>
      </c>
      <c r="E261" t="inlineStr">
        <is>
          <t>GOTLAND</t>
        </is>
      </c>
      <c r="G261" t="n">
        <v>7</v>
      </c>
      <c r="H261" t="n">
        <v>0</v>
      </c>
      <c r="I261" t="n">
        <v>0</v>
      </c>
      <c r="J261" t="n">
        <v>0</v>
      </c>
      <c r="K261" t="n">
        <v>0</v>
      </c>
      <c r="L261" t="n">
        <v>0</v>
      </c>
      <c r="M261" t="n">
        <v>1</v>
      </c>
      <c r="N261" t="n">
        <v>0</v>
      </c>
      <c r="O261" t="n">
        <v>1</v>
      </c>
      <c r="P261" t="n">
        <v>1</v>
      </c>
      <c r="Q261" t="n">
        <v>1</v>
      </c>
      <c r="R261" s="2" t="inlineStr">
        <is>
          <t>Skogsalm</t>
        </is>
      </c>
      <c r="S261">
        <f>HYPERLINK("https://klasma.github.io/Logging_0980/artfynd/A 44468-2024 artfynd.xlsx", "A 44468-2024")</f>
        <v/>
      </c>
      <c r="T261">
        <f>HYPERLINK("https://klasma.github.io/Logging_0980/kartor/A 44468-2024 karta.png", "A 44468-2024")</f>
        <v/>
      </c>
      <c r="V261">
        <f>HYPERLINK("https://klasma.github.io/Logging_0980/klagomål/A 44468-2024 FSC-klagomål.docx", "A 44468-2024")</f>
        <v/>
      </c>
      <c r="W261">
        <f>HYPERLINK("https://klasma.github.io/Logging_0980/klagomålsmail/A 44468-2024 FSC-klagomål mail.docx", "A 44468-2024")</f>
        <v/>
      </c>
      <c r="X261">
        <f>HYPERLINK("https://klasma.github.io/Logging_0980/tillsyn/A 44468-2024 tillsynsbegäran.docx", "A 44468-2024")</f>
        <v/>
      </c>
      <c r="Y261">
        <f>HYPERLINK("https://klasma.github.io/Logging_0980/tillsynsmail/A 44468-2024 tillsynsbegäran mail.docx", "A 44468-2024")</f>
        <v/>
      </c>
    </row>
    <row r="262" ht="15" customHeight="1">
      <c r="A262" t="inlineStr">
        <is>
          <t>A 49304-2024</t>
        </is>
      </c>
      <c r="B262" s="1" t="n">
        <v>45595</v>
      </c>
      <c r="C262" s="1" t="n">
        <v>45635</v>
      </c>
      <c r="D262" t="inlineStr">
        <is>
          <t>GOTLANDS LÄN</t>
        </is>
      </c>
      <c r="E262" t="inlineStr">
        <is>
          <t>GOTLAND</t>
        </is>
      </c>
      <c r="G262" t="n">
        <v>10.8</v>
      </c>
      <c r="H262" t="n">
        <v>0</v>
      </c>
      <c r="I262" t="n">
        <v>0</v>
      </c>
      <c r="J262" t="n">
        <v>1</v>
      </c>
      <c r="K262" t="n">
        <v>0</v>
      </c>
      <c r="L262" t="n">
        <v>0</v>
      </c>
      <c r="M262" t="n">
        <v>0</v>
      </c>
      <c r="N262" t="n">
        <v>0</v>
      </c>
      <c r="O262" t="n">
        <v>1</v>
      </c>
      <c r="P262" t="n">
        <v>0</v>
      </c>
      <c r="Q262" t="n">
        <v>1</v>
      </c>
      <c r="R262" s="2" t="inlineStr">
        <is>
          <t>Åkerranunkel</t>
        </is>
      </c>
      <c r="S262">
        <f>HYPERLINK("https://klasma.github.io/Logging_0980/artfynd/A 49304-2024 artfynd.xlsx", "A 49304-2024")</f>
        <v/>
      </c>
      <c r="T262">
        <f>HYPERLINK("https://klasma.github.io/Logging_0980/kartor/A 49304-2024 karta.png", "A 49304-2024")</f>
        <v/>
      </c>
      <c r="V262">
        <f>HYPERLINK("https://klasma.github.io/Logging_0980/klagomål/A 49304-2024 FSC-klagomål.docx", "A 49304-2024")</f>
        <v/>
      </c>
      <c r="W262">
        <f>HYPERLINK("https://klasma.github.io/Logging_0980/klagomålsmail/A 49304-2024 FSC-klagomål mail.docx", "A 49304-2024")</f>
        <v/>
      </c>
      <c r="X262">
        <f>HYPERLINK("https://klasma.github.io/Logging_0980/tillsyn/A 49304-2024 tillsynsbegäran.docx", "A 49304-2024")</f>
        <v/>
      </c>
      <c r="Y262">
        <f>HYPERLINK("https://klasma.github.io/Logging_0980/tillsynsmail/A 49304-2024 tillsynsbegäran mail.docx", "A 49304-2024")</f>
        <v/>
      </c>
    </row>
    <row r="263" ht="15" customHeight="1">
      <c r="A263" t="inlineStr">
        <is>
          <t>A 19159-2019</t>
        </is>
      </c>
      <c r="B263" s="1" t="n">
        <v>43564</v>
      </c>
      <c r="C263" s="1" t="n">
        <v>45635</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21380-2019</t>
        </is>
      </c>
      <c r="B264" s="1" t="n">
        <v>43579</v>
      </c>
      <c r="C264" s="1" t="n">
        <v>45635</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21894-2019</t>
        </is>
      </c>
      <c r="B265" s="1" t="n">
        <v>43584</v>
      </c>
      <c r="C265" s="1" t="n">
        <v>45635</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21925-2019</t>
        </is>
      </c>
      <c r="B266" s="1" t="n">
        <v>43584</v>
      </c>
      <c r="C266" s="1" t="n">
        <v>45635</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22457-2019</t>
        </is>
      </c>
      <c r="B267" s="1" t="n">
        <v>43587</v>
      </c>
      <c r="C267" s="1" t="n">
        <v>45635</v>
      </c>
      <c r="D267" t="inlineStr">
        <is>
          <t>GOTLANDS LÄN</t>
        </is>
      </c>
      <c r="E267" t="inlineStr">
        <is>
          <t>GOTLAND</t>
        </is>
      </c>
      <c r="G267" t="n">
        <v>0.3</v>
      </c>
      <c r="H267" t="n">
        <v>0</v>
      </c>
      <c r="I267" t="n">
        <v>0</v>
      </c>
      <c r="J267" t="n">
        <v>0</v>
      </c>
      <c r="K267" t="n">
        <v>0</v>
      </c>
      <c r="L267" t="n">
        <v>0</v>
      </c>
      <c r="M267" t="n">
        <v>0</v>
      </c>
      <c r="N267" t="n">
        <v>0</v>
      </c>
      <c r="O267" t="n">
        <v>0</v>
      </c>
      <c r="P267" t="n">
        <v>0</v>
      </c>
      <c r="Q267" t="n">
        <v>0</v>
      </c>
      <c r="R267" s="2" t="inlineStr"/>
    </row>
    <row r="268" ht="15" customHeight="1">
      <c r="A268" t="inlineStr">
        <is>
          <t>A 23044-2019</t>
        </is>
      </c>
      <c r="B268" s="1" t="n">
        <v>43591</v>
      </c>
      <c r="C268" s="1" t="n">
        <v>45635</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26595-2019</t>
        </is>
      </c>
      <c r="B269" s="1" t="n">
        <v>43612</v>
      </c>
      <c r="C269" s="1" t="n">
        <v>45635</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27795-2019</t>
        </is>
      </c>
      <c r="B270" s="1" t="n">
        <v>43612</v>
      </c>
      <c r="C270" s="1" t="n">
        <v>45635</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28977-2019</t>
        </is>
      </c>
      <c r="B271" s="1" t="n">
        <v>43628</v>
      </c>
      <c r="C271" s="1" t="n">
        <v>45635</v>
      </c>
      <c r="D271" t="inlineStr">
        <is>
          <t>GOTLANDS LÄN</t>
        </is>
      </c>
      <c r="E271" t="inlineStr">
        <is>
          <t>GOTLAND</t>
        </is>
      </c>
      <c r="G271" t="n">
        <v>4.6</v>
      </c>
      <c r="H271" t="n">
        <v>0</v>
      </c>
      <c r="I271" t="n">
        <v>0</v>
      </c>
      <c r="J271" t="n">
        <v>0</v>
      </c>
      <c r="K271" t="n">
        <v>0</v>
      </c>
      <c r="L271" t="n">
        <v>0</v>
      </c>
      <c r="M271" t="n">
        <v>0</v>
      </c>
      <c r="N271" t="n">
        <v>0</v>
      </c>
      <c r="O271" t="n">
        <v>0</v>
      </c>
      <c r="P271" t="n">
        <v>0</v>
      </c>
      <c r="Q271" t="n">
        <v>0</v>
      </c>
      <c r="R271" s="2" t="inlineStr"/>
    </row>
    <row r="272" ht="15" customHeight="1">
      <c r="A272" t="inlineStr">
        <is>
          <t>A 29470-2019</t>
        </is>
      </c>
      <c r="B272" s="1" t="n">
        <v>43629</v>
      </c>
      <c r="C272" s="1" t="n">
        <v>45635</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29469-2019</t>
        </is>
      </c>
      <c r="B273" s="1" t="n">
        <v>43629</v>
      </c>
      <c r="C273" s="1" t="n">
        <v>45635</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30033-2019</t>
        </is>
      </c>
      <c r="B274" s="1" t="n">
        <v>43630</v>
      </c>
      <c r="C274" s="1" t="n">
        <v>45635</v>
      </c>
      <c r="D274" t="inlineStr">
        <is>
          <t>GOTLANDS LÄN</t>
        </is>
      </c>
      <c r="E274" t="inlineStr">
        <is>
          <t>GOTLAND</t>
        </is>
      </c>
      <c r="G274" t="n">
        <v>3.3</v>
      </c>
      <c r="H274" t="n">
        <v>0</v>
      </c>
      <c r="I274" t="n">
        <v>0</v>
      </c>
      <c r="J274" t="n">
        <v>0</v>
      </c>
      <c r="K274" t="n">
        <v>0</v>
      </c>
      <c r="L274" t="n">
        <v>0</v>
      </c>
      <c r="M274" t="n">
        <v>0</v>
      </c>
      <c r="N274" t="n">
        <v>0</v>
      </c>
      <c r="O274" t="n">
        <v>0</v>
      </c>
      <c r="P274" t="n">
        <v>0</v>
      </c>
      <c r="Q274" t="n">
        <v>0</v>
      </c>
      <c r="R274" s="2" t="inlineStr"/>
    </row>
    <row r="275" ht="15" customHeight="1">
      <c r="A275" t="inlineStr">
        <is>
          <t>A 31396-2019</t>
        </is>
      </c>
      <c r="B275" s="1" t="n">
        <v>43636</v>
      </c>
      <c r="C275" s="1" t="n">
        <v>45635</v>
      </c>
      <c r="D275" t="inlineStr">
        <is>
          <t>GOTLANDS LÄN</t>
        </is>
      </c>
      <c r="E275" t="inlineStr">
        <is>
          <t>GOTLAND</t>
        </is>
      </c>
      <c r="G275" t="n">
        <v>5.8</v>
      </c>
      <c r="H275" t="n">
        <v>0</v>
      </c>
      <c r="I275" t="n">
        <v>0</v>
      </c>
      <c r="J275" t="n">
        <v>0</v>
      </c>
      <c r="K275" t="n">
        <v>0</v>
      </c>
      <c r="L275" t="n">
        <v>0</v>
      </c>
      <c r="M275" t="n">
        <v>0</v>
      </c>
      <c r="N275" t="n">
        <v>0</v>
      </c>
      <c r="O275" t="n">
        <v>0</v>
      </c>
      <c r="P275" t="n">
        <v>0</v>
      </c>
      <c r="Q275" t="n">
        <v>0</v>
      </c>
      <c r="R275" s="2" t="inlineStr"/>
    </row>
    <row r="276" ht="15" customHeight="1">
      <c r="A276" t="inlineStr">
        <is>
          <t>A 32061-2019</t>
        </is>
      </c>
      <c r="B276" s="1" t="n">
        <v>43643</v>
      </c>
      <c r="C276" s="1" t="n">
        <v>45635</v>
      </c>
      <c r="D276" t="inlineStr">
        <is>
          <t>GOTLANDS LÄN</t>
        </is>
      </c>
      <c r="E276" t="inlineStr">
        <is>
          <t>GOTLAND</t>
        </is>
      </c>
      <c r="G276" t="n">
        <v>7.5</v>
      </c>
      <c r="H276" t="n">
        <v>0</v>
      </c>
      <c r="I276" t="n">
        <v>0</v>
      </c>
      <c r="J276" t="n">
        <v>0</v>
      </c>
      <c r="K276" t="n">
        <v>0</v>
      </c>
      <c r="L276" t="n">
        <v>0</v>
      </c>
      <c r="M276" t="n">
        <v>0</v>
      </c>
      <c r="N276" t="n">
        <v>0</v>
      </c>
      <c r="O276" t="n">
        <v>0</v>
      </c>
      <c r="P276" t="n">
        <v>0</v>
      </c>
      <c r="Q276" t="n">
        <v>0</v>
      </c>
      <c r="R276" s="2" t="inlineStr"/>
    </row>
    <row r="277" ht="15" customHeight="1">
      <c r="A277" t="inlineStr">
        <is>
          <t>A 32949-2019</t>
        </is>
      </c>
      <c r="B277" s="1" t="n">
        <v>43648</v>
      </c>
      <c r="C277" s="1" t="n">
        <v>45635</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32964-2019</t>
        </is>
      </c>
      <c r="B278" s="1" t="n">
        <v>43648</v>
      </c>
      <c r="C278" s="1" t="n">
        <v>45635</v>
      </c>
      <c r="D278" t="inlineStr">
        <is>
          <t>GOTLANDS LÄN</t>
        </is>
      </c>
      <c r="E278" t="inlineStr">
        <is>
          <t>GOTLAND</t>
        </is>
      </c>
      <c r="G278" t="n">
        <v>8.9</v>
      </c>
      <c r="H278" t="n">
        <v>0</v>
      </c>
      <c r="I278" t="n">
        <v>0</v>
      </c>
      <c r="J278" t="n">
        <v>0</v>
      </c>
      <c r="K278" t="n">
        <v>0</v>
      </c>
      <c r="L278" t="n">
        <v>0</v>
      </c>
      <c r="M278" t="n">
        <v>0</v>
      </c>
      <c r="N278" t="n">
        <v>0</v>
      </c>
      <c r="O278" t="n">
        <v>0</v>
      </c>
      <c r="P278" t="n">
        <v>0</v>
      </c>
      <c r="Q278" t="n">
        <v>0</v>
      </c>
      <c r="R278" s="2" t="inlineStr"/>
    </row>
    <row r="279" ht="15" customHeight="1">
      <c r="A279" t="inlineStr">
        <is>
          <t>A 32970-2019</t>
        </is>
      </c>
      <c r="B279" s="1" t="n">
        <v>43648</v>
      </c>
      <c r="C279" s="1" t="n">
        <v>45635</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33673-2019</t>
        </is>
      </c>
      <c r="B280" s="1" t="n">
        <v>43651</v>
      </c>
      <c r="C280" s="1" t="n">
        <v>45635</v>
      </c>
      <c r="D280" t="inlineStr">
        <is>
          <t>GOTLANDS LÄN</t>
        </is>
      </c>
      <c r="E280" t="inlineStr">
        <is>
          <t>GOTLAND</t>
        </is>
      </c>
      <c r="G280" t="n">
        <v>3.8</v>
      </c>
      <c r="H280" t="n">
        <v>0</v>
      </c>
      <c r="I280" t="n">
        <v>0</v>
      </c>
      <c r="J280" t="n">
        <v>0</v>
      </c>
      <c r="K280" t="n">
        <v>0</v>
      </c>
      <c r="L280" t="n">
        <v>0</v>
      </c>
      <c r="M280" t="n">
        <v>0</v>
      </c>
      <c r="N280" t="n">
        <v>0</v>
      </c>
      <c r="O280" t="n">
        <v>0</v>
      </c>
      <c r="P280" t="n">
        <v>0</v>
      </c>
      <c r="Q280" t="n">
        <v>0</v>
      </c>
      <c r="R280" s="2" t="inlineStr"/>
    </row>
    <row r="281" ht="15" customHeight="1">
      <c r="A281" t="inlineStr">
        <is>
          <t>A 33668-2019</t>
        </is>
      </c>
      <c r="B281" s="1" t="n">
        <v>43651</v>
      </c>
      <c r="C281" s="1" t="n">
        <v>45635</v>
      </c>
      <c r="D281" t="inlineStr">
        <is>
          <t>GOTLANDS LÄN</t>
        </is>
      </c>
      <c r="E281" t="inlineStr">
        <is>
          <t>GOTLAND</t>
        </is>
      </c>
      <c r="G281" t="n">
        <v>9.4</v>
      </c>
      <c r="H281" t="n">
        <v>0</v>
      </c>
      <c r="I281" t="n">
        <v>0</v>
      </c>
      <c r="J281" t="n">
        <v>0</v>
      </c>
      <c r="K281" t="n">
        <v>0</v>
      </c>
      <c r="L281" t="n">
        <v>0</v>
      </c>
      <c r="M281" t="n">
        <v>0</v>
      </c>
      <c r="N281" t="n">
        <v>0</v>
      </c>
      <c r="O281" t="n">
        <v>0</v>
      </c>
      <c r="P281" t="n">
        <v>0</v>
      </c>
      <c r="Q281" t="n">
        <v>0</v>
      </c>
      <c r="R281" s="2" t="inlineStr"/>
    </row>
    <row r="282" ht="15" customHeight="1">
      <c r="A282" t="inlineStr">
        <is>
          <t>A 33674-2019</t>
        </is>
      </c>
      <c r="B282" s="1" t="n">
        <v>43651</v>
      </c>
      <c r="C282" s="1" t="n">
        <v>45635</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33646-2019</t>
        </is>
      </c>
      <c r="B283" s="1" t="n">
        <v>43651</v>
      </c>
      <c r="C283" s="1" t="n">
        <v>45635</v>
      </c>
      <c r="D283" t="inlineStr">
        <is>
          <t>GOTLANDS LÄN</t>
        </is>
      </c>
      <c r="E283" t="inlineStr">
        <is>
          <t>GOTLAND</t>
        </is>
      </c>
      <c r="G283" t="n">
        <v>4.4</v>
      </c>
      <c r="H283" t="n">
        <v>0</v>
      </c>
      <c r="I283" t="n">
        <v>0</v>
      </c>
      <c r="J283" t="n">
        <v>0</v>
      </c>
      <c r="K283" t="n">
        <v>0</v>
      </c>
      <c r="L283" t="n">
        <v>0</v>
      </c>
      <c r="M283" t="n">
        <v>0</v>
      </c>
      <c r="N283" t="n">
        <v>0</v>
      </c>
      <c r="O283" t="n">
        <v>0</v>
      </c>
      <c r="P283" t="n">
        <v>0</v>
      </c>
      <c r="Q283" t="n">
        <v>0</v>
      </c>
      <c r="R283" s="2" t="inlineStr"/>
    </row>
    <row r="284" ht="15" customHeight="1">
      <c r="A284" t="inlineStr">
        <is>
          <t>A 34790-2019</t>
        </is>
      </c>
      <c r="B284" s="1" t="n">
        <v>43658</v>
      </c>
      <c r="C284" s="1" t="n">
        <v>45635</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36344-2019</t>
        </is>
      </c>
      <c r="B285" s="1" t="n">
        <v>43661</v>
      </c>
      <c r="C285" s="1" t="n">
        <v>45635</v>
      </c>
      <c r="D285" t="inlineStr">
        <is>
          <t>GOTLANDS LÄN</t>
        </is>
      </c>
      <c r="E285" t="inlineStr">
        <is>
          <t>GOTLAND</t>
        </is>
      </c>
      <c r="G285" t="n">
        <v>1.3</v>
      </c>
      <c r="H285" t="n">
        <v>0</v>
      </c>
      <c r="I285" t="n">
        <v>0</v>
      </c>
      <c r="J285" t="n">
        <v>0</v>
      </c>
      <c r="K285" t="n">
        <v>0</v>
      </c>
      <c r="L285" t="n">
        <v>0</v>
      </c>
      <c r="M285" t="n">
        <v>0</v>
      </c>
      <c r="N285" t="n">
        <v>0</v>
      </c>
      <c r="O285" t="n">
        <v>0</v>
      </c>
      <c r="P285" t="n">
        <v>0</v>
      </c>
      <c r="Q285" t="n">
        <v>0</v>
      </c>
      <c r="R285" s="2" t="inlineStr"/>
    </row>
    <row r="286" ht="15" customHeight="1">
      <c r="A286" t="inlineStr">
        <is>
          <t>A 36072-2019</t>
        </is>
      </c>
      <c r="B286" s="1" t="n">
        <v>43668</v>
      </c>
      <c r="C286" s="1" t="n">
        <v>45635</v>
      </c>
      <c r="D286" t="inlineStr">
        <is>
          <t>GOTLANDS LÄN</t>
        </is>
      </c>
      <c r="E286" t="inlineStr">
        <is>
          <t>GOTLAND</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37028-2019</t>
        </is>
      </c>
      <c r="B287" s="1" t="n">
        <v>43675</v>
      </c>
      <c r="C287" s="1" t="n">
        <v>45635</v>
      </c>
      <c r="D287" t="inlineStr">
        <is>
          <t>GOTLANDS LÄN</t>
        </is>
      </c>
      <c r="E287" t="inlineStr">
        <is>
          <t>GOTLAND</t>
        </is>
      </c>
      <c r="G287" t="n">
        <v>1.9</v>
      </c>
      <c r="H287" t="n">
        <v>0</v>
      </c>
      <c r="I287" t="n">
        <v>0</v>
      </c>
      <c r="J287" t="n">
        <v>0</v>
      </c>
      <c r="K287" t="n">
        <v>0</v>
      </c>
      <c r="L287" t="n">
        <v>0</v>
      </c>
      <c r="M287" t="n">
        <v>0</v>
      </c>
      <c r="N287" t="n">
        <v>0</v>
      </c>
      <c r="O287" t="n">
        <v>0</v>
      </c>
      <c r="P287" t="n">
        <v>0</v>
      </c>
      <c r="Q287" t="n">
        <v>0</v>
      </c>
      <c r="R287" s="2" t="inlineStr"/>
    </row>
    <row r="288" ht="15" customHeight="1">
      <c r="A288" t="inlineStr">
        <is>
          <t>A 40205-2019</t>
        </is>
      </c>
      <c r="B288" s="1" t="n">
        <v>43693</v>
      </c>
      <c r="C288" s="1" t="n">
        <v>45635</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46423-2019</t>
        </is>
      </c>
      <c r="B289" s="1" t="n">
        <v>43719</v>
      </c>
      <c r="C289" s="1" t="n">
        <v>45635</v>
      </c>
      <c r="D289" t="inlineStr">
        <is>
          <t>GOTLANDS LÄN</t>
        </is>
      </c>
      <c r="E289" t="inlineStr">
        <is>
          <t>GOTLAND</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47141-2019</t>
        </is>
      </c>
      <c r="B290" s="1" t="n">
        <v>43721</v>
      </c>
      <c r="C290" s="1" t="n">
        <v>45635</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48459-2019</t>
        </is>
      </c>
      <c r="B291" s="1" t="n">
        <v>43727</v>
      </c>
      <c r="C291" s="1" t="n">
        <v>45635</v>
      </c>
      <c r="D291" t="inlineStr">
        <is>
          <t>GOTLANDS LÄN</t>
        </is>
      </c>
      <c r="E291" t="inlineStr">
        <is>
          <t>GOTLAND</t>
        </is>
      </c>
      <c r="G291" t="n">
        <v>3.5</v>
      </c>
      <c r="H291" t="n">
        <v>0</v>
      </c>
      <c r="I291" t="n">
        <v>0</v>
      </c>
      <c r="J291" t="n">
        <v>0</v>
      </c>
      <c r="K291" t="n">
        <v>0</v>
      </c>
      <c r="L291" t="n">
        <v>0</v>
      </c>
      <c r="M291" t="n">
        <v>0</v>
      </c>
      <c r="N291" t="n">
        <v>0</v>
      </c>
      <c r="O291" t="n">
        <v>0</v>
      </c>
      <c r="P291" t="n">
        <v>0</v>
      </c>
      <c r="Q291" t="n">
        <v>0</v>
      </c>
      <c r="R291" s="2" t="inlineStr"/>
    </row>
    <row r="292" ht="15" customHeight="1">
      <c r="A292" t="inlineStr">
        <is>
          <t>A 49769-2019</t>
        </is>
      </c>
      <c r="B292" s="1" t="n">
        <v>43733</v>
      </c>
      <c r="C292" s="1" t="n">
        <v>45635</v>
      </c>
      <c r="D292" t="inlineStr">
        <is>
          <t>GOTLANDS LÄN</t>
        </is>
      </c>
      <c r="E292" t="inlineStr">
        <is>
          <t>GOTLAND</t>
        </is>
      </c>
      <c r="G292" t="n">
        <v>22.3</v>
      </c>
      <c r="H292" t="n">
        <v>0</v>
      </c>
      <c r="I292" t="n">
        <v>0</v>
      </c>
      <c r="J292" t="n">
        <v>0</v>
      </c>
      <c r="K292" t="n">
        <v>0</v>
      </c>
      <c r="L292" t="n">
        <v>0</v>
      </c>
      <c r="M292" t="n">
        <v>0</v>
      </c>
      <c r="N292" t="n">
        <v>0</v>
      </c>
      <c r="O292" t="n">
        <v>0</v>
      </c>
      <c r="P292" t="n">
        <v>0</v>
      </c>
      <c r="Q292" t="n">
        <v>0</v>
      </c>
      <c r="R292" s="2" t="inlineStr"/>
    </row>
    <row r="293" ht="15" customHeight="1">
      <c r="A293" t="inlineStr">
        <is>
          <t>A 50463-2019</t>
        </is>
      </c>
      <c r="B293" s="1" t="n">
        <v>43735</v>
      </c>
      <c r="C293" s="1" t="n">
        <v>45635</v>
      </c>
      <c r="D293" t="inlineStr">
        <is>
          <t>GOTLANDS LÄN</t>
        </is>
      </c>
      <c r="E293" t="inlineStr">
        <is>
          <t>GOTLAND</t>
        </is>
      </c>
      <c r="F293" t="inlineStr">
        <is>
          <t>Kyrkan</t>
        </is>
      </c>
      <c r="G293" t="n">
        <v>1.3</v>
      </c>
      <c r="H293" t="n">
        <v>0</v>
      </c>
      <c r="I293" t="n">
        <v>0</v>
      </c>
      <c r="J293" t="n">
        <v>0</v>
      </c>
      <c r="K293" t="n">
        <v>0</v>
      </c>
      <c r="L293" t="n">
        <v>0</v>
      </c>
      <c r="M293" t="n">
        <v>0</v>
      </c>
      <c r="N293" t="n">
        <v>0</v>
      </c>
      <c r="O293" t="n">
        <v>0</v>
      </c>
      <c r="P293" t="n">
        <v>0</v>
      </c>
      <c r="Q293" t="n">
        <v>0</v>
      </c>
      <c r="R293" s="2" t="inlineStr"/>
    </row>
    <row r="294" ht="15" customHeight="1">
      <c r="A294" t="inlineStr">
        <is>
          <t>A 50632-2019</t>
        </is>
      </c>
      <c r="B294" s="1" t="n">
        <v>43737</v>
      </c>
      <c r="C294" s="1" t="n">
        <v>45635</v>
      </c>
      <c r="D294" t="inlineStr">
        <is>
          <t>GOTLANDS LÄN</t>
        </is>
      </c>
      <c r="E294" t="inlineStr">
        <is>
          <t>GOTLAND</t>
        </is>
      </c>
      <c r="G294" t="n">
        <v>7.7</v>
      </c>
      <c r="H294" t="n">
        <v>0</v>
      </c>
      <c r="I294" t="n">
        <v>0</v>
      </c>
      <c r="J294" t="n">
        <v>0</v>
      </c>
      <c r="K294" t="n">
        <v>0</v>
      </c>
      <c r="L294" t="n">
        <v>0</v>
      </c>
      <c r="M294" t="n">
        <v>0</v>
      </c>
      <c r="N294" t="n">
        <v>0</v>
      </c>
      <c r="O294" t="n">
        <v>0</v>
      </c>
      <c r="P294" t="n">
        <v>0</v>
      </c>
      <c r="Q294" t="n">
        <v>0</v>
      </c>
      <c r="R294" s="2" t="inlineStr"/>
    </row>
    <row r="295" ht="15" customHeight="1">
      <c r="A295" t="inlineStr">
        <is>
          <t>A 51577-2019</t>
        </is>
      </c>
      <c r="B295" s="1" t="n">
        <v>43740</v>
      </c>
      <c r="C295" s="1" t="n">
        <v>45635</v>
      </c>
      <c r="D295" t="inlineStr">
        <is>
          <t>GOTLANDS LÄN</t>
        </is>
      </c>
      <c r="E295" t="inlineStr">
        <is>
          <t>GOTLAND</t>
        </is>
      </c>
      <c r="G295" t="n">
        <v>6.5</v>
      </c>
      <c r="H295" t="n">
        <v>0</v>
      </c>
      <c r="I295" t="n">
        <v>0</v>
      </c>
      <c r="J295" t="n">
        <v>0</v>
      </c>
      <c r="K295" t="n">
        <v>0</v>
      </c>
      <c r="L295" t="n">
        <v>0</v>
      </c>
      <c r="M295" t="n">
        <v>0</v>
      </c>
      <c r="N295" t="n">
        <v>0</v>
      </c>
      <c r="O295" t="n">
        <v>0</v>
      </c>
      <c r="P295" t="n">
        <v>0</v>
      </c>
      <c r="Q295" t="n">
        <v>0</v>
      </c>
      <c r="R295" s="2" t="inlineStr"/>
    </row>
    <row r="296" ht="15" customHeight="1">
      <c r="A296" t="inlineStr">
        <is>
          <t>A 53783-2019</t>
        </is>
      </c>
      <c r="B296" s="1" t="n">
        <v>43750</v>
      </c>
      <c r="C296" s="1" t="n">
        <v>45635</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56238-2019</t>
        </is>
      </c>
      <c r="B297" s="1" t="n">
        <v>43762</v>
      </c>
      <c r="C297" s="1" t="n">
        <v>45635</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56845-2019</t>
        </is>
      </c>
      <c r="B298" s="1" t="n">
        <v>43765</v>
      </c>
      <c r="C298" s="1" t="n">
        <v>45635</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60700-2019</t>
        </is>
      </c>
      <c r="B299" s="1" t="n">
        <v>43781</v>
      </c>
      <c r="C299" s="1" t="n">
        <v>45635</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62212-2019</t>
        </is>
      </c>
      <c r="B300" s="1" t="n">
        <v>43788</v>
      </c>
      <c r="C300" s="1" t="n">
        <v>45635</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62209-2019</t>
        </is>
      </c>
      <c r="B301" s="1" t="n">
        <v>43788</v>
      </c>
      <c r="C301" s="1" t="n">
        <v>45635</v>
      </c>
      <c r="D301" t="inlineStr">
        <is>
          <t>GOTLANDS LÄN</t>
        </is>
      </c>
      <c r="E301" t="inlineStr">
        <is>
          <t>GOTLAND</t>
        </is>
      </c>
      <c r="G301" t="n">
        <v>4.8</v>
      </c>
      <c r="H301" t="n">
        <v>0</v>
      </c>
      <c r="I301" t="n">
        <v>0</v>
      </c>
      <c r="J301" t="n">
        <v>0</v>
      </c>
      <c r="K301" t="n">
        <v>0</v>
      </c>
      <c r="L301" t="n">
        <v>0</v>
      </c>
      <c r="M301" t="n">
        <v>0</v>
      </c>
      <c r="N301" t="n">
        <v>0</v>
      </c>
      <c r="O301" t="n">
        <v>0</v>
      </c>
      <c r="P301" t="n">
        <v>0</v>
      </c>
      <c r="Q301" t="n">
        <v>0</v>
      </c>
      <c r="R301" s="2" t="inlineStr"/>
    </row>
    <row r="302" ht="15" customHeight="1">
      <c r="A302" t="inlineStr">
        <is>
          <t>A 62218-2019</t>
        </is>
      </c>
      <c r="B302" s="1" t="n">
        <v>43788</v>
      </c>
      <c r="C302" s="1" t="n">
        <v>45635</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63366-2019</t>
        </is>
      </c>
      <c r="B303" s="1" t="n">
        <v>43794</v>
      </c>
      <c r="C303" s="1" t="n">
        <v>45635</v>
      </c>
      <c r="D303" t="inlineStr">
        <is>
          <t>GOTLANDS LÄN</t>
        </is>
      </c>
      <c r="E303" t="inlineStr">
        <is>
          <t>GOTLAND</t>
        </is>
      </c>
      <c r="G303" t="n">
        <v>16.4</v>
      </c>
      <c r="H303" t="n">
        <v>0</v>
      </c>
      <c r="I303" t="n">
        <v>0</v>
      </c>
      <c r="J303" t="n">
        <v>0</v>
      </c>
      <c r="K303" t="n">
        <v>0</v>
      </c>
      <c r="L303" t="n">
        <v>0</v>
      </c>
      <c r="M303" t="n">
        <v>0</v>
      </c>
      <c r="N303" t="n">
        <v>0</v>
      </c>
      <c r="O303" t="n">
        <v>0</v>
      </c>
      <c r="P303" t="n">
        <v>0</v>
      </c>
      <c r="Q303" t="n">
        <v>0</v>
      </c>
      <c r="R303" s="2" t="inlineStr"/>
    </row>
    <row r="304" ht="15" customHeight="1">
      <c r="A304" t="inlineStr">
        <is>
          <t>A 63747-2019</t>
        </is>
      </c>
      <c r="B304" s="1" t="n">
        <v>43795</v>
      </c>
      <c r="C304" s="1" t="n">
        <v>45635</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63751-2019</t>
        </is>
      </c>
      <c r="B305" s="1" t="n">
        <v>43795</v>
      </c>
      <c r="C305" s="1" t="n">
        <v>45635</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66960-2019</t>
        </is>
      </c>
      <c r="B306" s="1" t="n">
        <v>43810</v>
      </c>
      <c r="C306" s="1" t="n">
        <v>45635</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67079-2019</t>
        </is>
      </c>
      <c r="B307" s="1" t="n">
        <v>43811</v>
      </c>
      <c r="C307" s="1" t="n">
        <v>45635</v>
      </c>
      <c r="D307" t="inlineStr">
        <is>
          <t>GOTLANDS LÄN</t>
        </is>
      </c>
      <c r="E307" t="inlineStr">
        <is>
          <t>GOTLAND</t>
        </is>
      </c>
      <c r="G307" t="n">
        <v>18.7</v>
      </c>
      <c r="H307" t="n">
        <v>0</v>
      </c>
      <c r="I307" t="n">
        <v>0</v>
      </c>
      <c r="J307" t="n">
        <v>0</v>
      </c>
      <c r="K307" t="n">
        <v>0</v>
      </c>
      <c r="L307" t="n">
        <v>0</v>
      </c>
      <c r="M307" t="n">
        <v>0</v>
      </c>
      <c r="N307" t="n">
        <v>0</v>
      </c>
      <c r="O307" t="n">
        <v>0</v>
      </c>
      <c r="P307" t="n">
        <v>0</v>
      </c>
      <c r="Q307" t="n">
        <v>0</v>
      </c>
      <c r="R307" s="2" t="inlineStr"/>
    </row>
    <row r="308" ht="15" customHeight="1">
      <c r="A308" t="inlineStr">
        <is>
          <t>A 67737-2019</t>
        </is>
      </c>
      <c r="B308" s="1" t="n">
        <v>43815</v>
      </c>
      <c r="C308" s="1" t="n">
        <v>45635</v>
      </c>
      <c r="D308" t="inlineStr">
        <is>
          <t>GOTLANDS LÄN</t>
        </is>
      </c>
      <c r="E308" t="inlineStr">
        <is>
          <t>GOTLAND</t>
        </is>
      </c>
      <c r="G308" t="n">
        <v>22.1</v>
      </c>
      <c r="H308" t="n">
        <v>0</v>
      </c>
      <c r="I308" t="n">
        <v>0</v>
      </c>
      <c r="J308" t="n">
        <v>0</v>
      </c>
      <c r="K308" t="n">
        <v>0</v>
      </c>
      <c r="L308" t="n">
        <v>0</v>
      </c>
      <c r="M308" t="n">
        <v>0</v>
      </c>
      <c r="N308" t="n">
        <v>0</v>
      </c>
      <c r="O308" t="n">
        <v>0</v>
      </c>
      <c r="P308" t="n">
        <v>0</v>
      </c>
      <c r="Q308" t="n">
        <v>0</v>
      </c>
      <c r="R308" s="2" t="inlineStr"/>
    </row>
    <row r="309" ht="15" customHeight="1">
      <c r="A309" t="inlineStr">
        <is>
          <t>A 67791-2019</t>
        </is>
      </c>
      <c r="B309" s="1" t="n">
        <v>43815</v>
      </c>
      <c r="C309" s="1" t="n">
        <v>45635</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67743-2019</t>
        </is>
      </c>
      <c r="B310" s="1" t="n">
        <v>43815</v>
      </c>
      <c r="C310" s="1" t="n">
        <v>45635</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972-2020</t>
        </is>
      </c>
      <c r="B311" s="1" t="n">
        <v>43819</v>
      </c>
      <c r="C311" s="1" t="n">
        <v>45635</v>
      </c>
      <c r="D311" t="inlineStr">
        <is>
          <t>GOTLANDS LÄN</t>
        </is>
      </c>
      <c r="E311" t="inlineStr">
        <is>
          <t>GOTLAND</t>
        </is>
      </c>
      <c r="G311" t="n">
        <v>2.5</v>
      </c>
      <c r="H311" t="n">
        <v>0</v>
      </c>
      <c r="I311" t="n">
        <v>0</v>
      </c>
      <c r="J311" t="n">
        <v>0</v>
      </c>
      <c r="K311" t="n">
        <v>0</v>
      </c>
      <c r="L311" t="n">
        <v>0</v>
      </c>
      <c r="M311" t="n">
        <v>0</v>
      </c>
      <c r="N311" t="n">
        <v>0</v>
      </c>
      <c r="O311" t="n">
        <v>0</v>
      </c>
      <c r="P311" t="n">
        <v>0</v>
      </c>
      <c r="Q311" t="n">
        <v>0</v>
      </c>
      <c r="R311" s="2" t="inlineStr"/>
    </row>
    <row r="312" ht="15" customHeight="1">
      <c r="A312" t="inlineStr">
        <is>
          <t>A 68750-2019</t>
        </is>
      </c>
      <c r="B312" s="1" t="n">
        <v>43819</v>
      </c>
      <c r="C312" s="1" t="n">
        <v>45635</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164-2020</t>
        </is>
      </c>
      <c r="B313" s="1" t="n">
        <v>43833</v>
      </c>
      <c r="C313" s="1" t="n">
        <v>45635</v>
      </c>
      <c r="D313" t="inlineStr">
        <is>
          <t>GOTLANDS LÄN</t>
        </is>
      </c>
      <c r="E313" t="inlineStr">
        <is>
          <t>GOTLAND</t>
        </is>
      </c>
      <c r="F313" t="inlineStr">
        <is>
          <t>Kyrkan</t>
        </is>
      </c>
      <c r="G313" t="n">
        <v>6.2</v>
      </c>
      <c r="H313" t="n">
        <v>0</v>
      </c>
      <c r="I313" t="n">
        <v>0</v>
      </c>
      <c r="J313" t="n">
        <v>0</v>
      </c>
      <c r="K313" t="n">
        <v>0</v>
      </c>
      <c r="L313" t="n">
        <v>0</v>
      </c>
      <c r="M313" t="n">
        <v>0</v>
      </c>
      <c r="N313" t="n">
        <v>0</v>
      </c>
      <c r="O313" t="n">
        <v>0</v>
      </c>
      <c r="P313" t="n">
        <v>0</v>
      </c>
      <c r="Q313" t="n">
        <v>0</v>
      </c>
      <c r="R313" s="2" t="inlineStr"/>
    </row>
    <row r="314" ht="15" customHeight="1">
      <c r="A314" t="inlineStr">
        <is>
          <t>A 768-2020</t>
        </is>
      </c>
      <c r="B314" s="1" t="n">
        <v>43838</v>
      </c>
      <c r="C314" s="1" t="n">
        <v>45635</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1384-2020</t>
        </is>
      </c>
      <c r="B315" s="1" t="n">
        <v>43843</v>
      </c>
      <c r="C315" s="1" t="n">
        <v>45635</v>
      </c>
      <c r="D315" t="inlineStr">
        <is>
          <t>GOTLANDS LÄN</t>
        </is>
      </c>
      <c r="E315" t="inlineStr">
        <is>
          <t>GOTLAND</t>
        </is>
      </c>
      <c r="G315" t="n">
        <v>6</v>
      </c>
      <c r="H315" t="n">
        <v>0</v>
      </c>
      <c r="I315" t="n">
        <v>0</v>
      </c>
      <c r="J315" t="n">
        <v>0</v>
      </c>
      <c r="K315" t="n">
        <v>0</v>
      </c>
      <c r="L315" t="n">
        <v>0</v>
      </c>
      <c r="M315" t="n">
        <v>0</v>
      </c>
      <c r="N315" t="n">
        <v>0</v>
      </c>
      <c r="O315" t="n">
        <v>0</v>
      </c>
      <c r="P315" t="n">
        <v>0</v>
      </c>
      <c r="Q315" t="n">
        <v>0</v>
      </c>
      <c r="R315" s="2" t="inlineStr"/>
    </row>
    <row r="316" ht="15" customHeight="1">
      <c r="A316" t="inlineStr">
        <is>
          <t>A 1541-2020</t>
        </is>
      </c>
      <c r="B316" s="1" t="n">
        <v>43843</v>
      </c>
      <c r="C316" s="1" t="n">
        <v>45635</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2675-2020</t>
        </is>
      </c>
      <c r="B317" s="1" t="n">
        <v>43849</v>
      </c>
      <c r="C317" s="1" t="n">
        <v>45635</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4409-2020</t>
        </is>
      </c>
      <c r="B318" s="1" t="n">
        <v>43850</v>
      </c>
      <c r="C318" s="1" t="n">
        <v>45635</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5724-2020</t>
        </is>
      </c>
      <c r="B319" s="1" t="n">
        <v>43862</v>
      </c>
      <c r="C319" s="1" t="n">
        <v>45635</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5731-2020</t>
        </is>
      </c>
      <c r="B320" s="1" t="n">
        <v>43862</v>
      </c>
      <c r="C320" s="1" t="n">
        <v>45635</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5723-2020</t>
        </is>
      </c>
      <c r="B321" s="1" t="n">
        <v>43862</v>
      </c>
      <c r="C321" s="1" t="n">
        <v>45635</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5727-2020</t>
        </is>
      </c>
      <c r="B322" s="1" t="n">
        <v>43862</v>
      </c>
      <c r="C322" s="1" t="n">
        <v>45635</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6226-2020</t>
        </is>
      </c>
      <c r="B323" s="1" t="n">
        <v>43865</v>
      </c>
      <c r="C323" s="1" t="n">
        <v>45635</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6611-2020</t>
        </is>
      </c>
      <c r="B324" s="1" t="n">
        <v>43867</v>
      </c>
      <c r="C324" s="1" t="n">
        <v>45635</v>
      </c>
      <c r="D324" t="inlineStr">
        <is>
          <t>GOTLANDS LÄN</t>
        </is>
      </c>
      <c r="E324" t="inlineStr">
        <is>
          <t>GOTLAND</t>
        </is>
      </c>
      <c r="G324" t="n">
        <v>3.3</v>
      </c>
      <c r="H324" t="n">
        <v>0</v>
      </c>
      <c r="I324" t="n">
        <v>0</v>
      </c>
      <c r="J324" t="n">
        <v>0</v>
      </c>
      <c r="K324" t="n">
        <v>0</v>
      </c>
      <c r="L324" t="n">
        <v>0</v>
      </c>
      <c r="M324" t="n">
        <v>0</v>
      </c>
      <c r="N324" t="n">
        <v>0</v>
      </c>
      <c r="O324" t="n">
        <v>0</v>
      </c>
      <c r="P324" t="n">
        <v>0</v>
      </c>
      <c r="Q324" t="n">
        <v>0</v>
      </c>
      <c r="R324" s="2" t="inlineStr"/>
    </row>
    <row r="325" ht="15" customHeight="1">
      <c r="A325" t="inlineStr">
        <is>
          <t>A 8217-2020</t>
        </is>
      </c>
      <c r="B325" s="1" t="n">
        <v>43874</v>
      </c>
      <c r="C325" s="1" t="n">
        <v>45635</v>
      </c>
      <c r="D325" t="inlineStr">
        <is>
          <t>GOTLANDS LÄN</t>
        </is>
      </c>
      <c r="E325" t="inlineStr">
        <is>
          <t>GOTLAND</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8872-2020</t>
        </is>
      </c>
      <c r="B326" s="1" t="n">
        <v>43878</v>
      </c>
      <c r="C326" s="1" t="n">
        <v>45635</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9502-2020</t>
        </is>
      </c>
      <c r="B327" s="1" t="n">
        <v>43880</v>
      </c>
      <c r="C327" s="1" t="n">
        <v>45635</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10932-2020</t>
        </is>
      </c>
      <c r="B328" s="1" t="n">
        <v>43889</v>
      </c>
      <c r="C328" s="1" t="n">
        <v>45635</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10931-2020</t>
        </is>
      </c>
      <c r="B329" s="1" t="n">
        <v>43889</v>
      </c>
      <c r="C329" s="1" t="n">
        <v>45635</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12309-2020</t>
        </is>
      </c>
      <c r="B330" s="1" t="n">
        <v>43895</v>
      </c>
      <c r="C330" s="1" t="n">
        <v>45635</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13940-2020</t>
        </is>
      </c>
      <c r="B331" s="1" t="n">
        <v>43903</v>
      </c>
      <c r="C331" s="1" t="n">
        <v>45635</v>
      </c>
      <c r="D331" t="inlineStr">
        <is>
          <t>GOTLANDS LÄN</t>
        </is>
      </c>
      <c r="E331" t="inlineStr">
        <is>
          <t>GOTLAND</t>
        </is>
      </c>
      <c r="G331" t="n">
        <v>0.8</v>
      </c>
      <c r="H331" t="n">
        <v>0</v>
      </c>
      <c r="I331" t="n">
        <v>0</v>
      </c>
      <c r="J331" t="n">
        <v>0</v>
      </c>
      <c r="K331" t="n">
        <v>0</v>
      </c>
      <c r="L331" t="n">
        <v>0</v>
      </c>
      <c r="M331" t="n">
        <v>0</v>
      </c>
      <c r="N331" t="n">
        <v>0</v>
      </c>
      <c r="O331" t="n">
        <v>0</v>
      </c>
      <c r="P331" t="n">
        <v>0</v>
      </c>
      <c r="Q331" t="n">
        <v>0</v>
      </c>
      <c r="R331" s="2" t="inlineStr"/>
    </row>
    <row r="332" ht="15" customHeight="1">
      <c r="A332" t="inlineStr">
        <is>
          <t>A 13930-2020</t>
        </is>
      </c>
      <c r="B332" s="1" t="n">
        <v>43906</v>
      </c>
      <c r="C332" s="1" t="n">
        <v>45635</v>
      </c>
      <c r="D332" t="inlineStr">
        <is>
          <t>GOTLANDS LÄN</t>
        </is>
      </c>
      <c r="E332" t="inlineStr">
        <is>
          <t>GOTLAND</t>
        </is>
      </c>
      <c r="G332" t="n">
        <v>4</v>
      </c>
      <c r="H332" t="n">
        <v>0</v>
      </c>
      <c r="I332" t="n">
        <v>0</v>
      </c>
      <c r="J332" t="n">
        <v>0</v>
      </c>
      <c r="K332" t="n">
        <v>0</v>
      </c>
      <c r="L332" t="n">
        <v>0</v>
      </c>
      <c r="M332" t="n">
        <v>0</v>
      </c>
      <c r="N332" t="n">
        <v>0</v>
      </c>
      <c r="O332" t="n">
        <v>0</v>
      </c>
      <c r="P332" t="n">
        <v>0</v>
      </c>
      <c r="Q332" t="n">
        <v>0</v>
      </c>
      <c r="R332" s="2" t="inlineStr"/>
    </row>
    <row r="333" ht="15" customHeight="1">
      <c r="A333" t="inlineStr">
        <is>
          <t>A 13995-2020</t>
        </is>
      </c>
      <c r="B333" s="1" t="n">
        <v>43906</v>
      </c>
      <c r="C333" s="1" t="n">
        <v>45635</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13987-2020</t>
        </is>
      </c>
      <c r="B334" s="1" t="n">
        <v>43906</v>
      </c>
      <c r="C334" s="1" t="n">
        <v>45635</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14073-2020</t>
        </is>
      </c>
      <c r="B335" s="1" t="n">
        <v>43907</v>
      </c>
      <c r="C335" s="1" t="n">
        <v>45635</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14074-2020</t>
        </is>
      </c>
      <c r="B336" s="1" t="n">
        <v>43907</v>
      </c>
      <c r="C336" s="1" t="n">
        <v>45635</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16452-2020</t>
        </is>
      </c>
      <c r="B337" s="1" t="n">
        <v>43909</v>
      </c>
      <c r="C337" s="1" t="n">
        <v>45635</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14995-2020</t>
        </is>
      </c>
      <c r="B338" s="1" t="n">
        <v>43910</v>
      </c>
      <c r="C338" s="1" t="n">
        <v>45635</v>
      </c>
      <c r="D338" t="inlineStr">
        <is>
          <t>GOTLANDS LÄN</t>
        </is>
      </c>
      <c r="E338" t="inlineStr">
        <is>
          <t>GOTLAND</t>
        </is>
      </c>
      <c r="G338" t="n">
        <v>6.3</v>
      </c>
      <c r="H338" t="n">
        <v>0</v>
      </c>
      <c r="I338" t="n">
        <v>0</v>
      </c>
      <c r="J338" t="n">
        <v>0</v>
      </c>
      <c r="K338" t="n">
        <v>0</v>
      </c>
      <c r="L338" t="n">
        <v>0</v>
      </c>
      <c r="M338" t="n">
        <v>0</v>
      </c>
      <c r="N338" t="n">
        <v>0</v>
      </c>
      <c r="O338" t="n">
        <v>0</v>
      </c>
      <c r="P338" t="n">
        <v>0</v>
      </c>
      <c r="Q338" t="n">
        <v>0</v>
      </c>
      <c r="R338" s="2" t="inlineStr"/>
    </row>
    <row r="339" ht="15" customHeight="1">
      <c r="A339" t="inlineStr">
        <is>
          <t>A 15202-2020</t>
        </is>
      </c>
      <c r="B339" s="1" t="n">
        <v>43913</v>
      </c>
      <c r="C339" s="1" t="n">
        <v>45635</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15197-2020</t>
        </is>
      </c>
      <c r="B340" s="1" t="n">
        <v>43913</v>
      </c>
      <c r="C340" s="1" t="n">
        <v>45635</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15888-2020</t>
        </is>
      </c>
      <c r="B341" s="1" t="n">
        <v>43915</v>
      </c>
      <c r="C341" s="1" t="n">
        <v>45635</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16133-2020</t>
        </is>
      </c>
      <c r="B342" s="1" t="n">
        <v>43916</v>
      </c>
      <c r="C342" s="1" t="n">
        <v>45635</v>
      </c>
      <c r="D342" t="inlineStr">
        <is>
          <t>GOTLANDS LÄN</t>
        </is>
      </c>
      <c r="E342" t="inlineStr">
        <is>
          <t>GOTLAND</t>
        </is>
      </c>
      <c r="G342" t="n">
        <v>6.7</v>
      </c>
      <c r="H342" t="n">
        <v>0</v>
      </c>
      <c r="I342" t="n">
        <v>0</v>
      </c>
      <c r="J342" t="n">
        <v>0</v>
      </c>
      <c r="K342" t="n">
        <v>0</v>
      </c>
      <c r="L342" t="n">
        <v>0</v>
      </c>
      <c r="M342" t="n">
        <v>0</v>
      </c>
      <c r="N342" t="n">
        <v>0</v>
      </c>
      <c r="O342" t="n">
        <v>0</v>
      </c>
      <c r="P342" t="n">
        <v>0</v>
      </c>
      <c r="Q342" t="n">
        <v>0</v>
      </c>
      <c r="R342" s="2" t="inlineStr"/>
    </row>
    <row r="343" ht="15" customHeight="1">
      <c r="A343" t="inlineStr">
        <is>
          <t>A 17403-2020</t>
        </is>
      </c>
      <c r="B343" s="1" t="n">
        <v>43917</v>
      </c>
      <c r="C343" s="1" t="n">
        <v>45635</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17869-2020</t>
        </is>
      </c>
      <c r="B344" s="1" t="n">
        <v>43924</v>
      </c>
      <c r="C344" s="1" t="n">
        <v>45635</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19900-2020</t>
        </is>
      </c>
      <c r="B345" s="1" t="n">
        <v>43942</v>
      </c>
      <c r="C345" s="1" t="n">
        <v>45635</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21568-2020</t>
        </is>
      </c>
      <c r="B346" s="1" t="n">
        <v>43956</v>
      </c>
      <c r="C346" s="1" t="n">
        <v>45635</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22093-2020</t>
        </is>
      </c>
      <c r="B347" s="1" t="n">
        <v>43959</v>
      </c>
      <c r="C347" s="1" t="n">
        <v>45635</v>
      </c>
      <c r="D347" t="inlineStr">
        <is>
          <t>GOTLANDS LÄN</t>
        </is>
      </c>
      <c r="E347" t="inlineStr">
        <is>
          <t>GOTLAND</t>
        </is>
      </c>
      <c r="F347" t="inlineStr">
        <is>
          <t>Kommuner</t>
        </is>
      </c>
      <c r="G347" t="n">
        <v>0.6</v>
      </c>
      <c r="H347" t="n">
        <v>0</v>
      </c>
      <c r="I347" t="n">
        <v>0</v>
      </c>
      <c r="J347" t="n">
        <v>0</v>
      </c>
      <c r="K347" t="n">
        <v>0</v>
      </c>
      <c r="L347" t="n">
        <v>0</v>
      </c>
      <c r="M347" t="n">
        <v>0</v>
      </c>
      <c r="N347" t="n">
        <v>0</v>
      </c>
      <c r="O347" t="n">
        <v>0</v>
      </c>
      <c r="P347" t="n">
        <v>0</v>
      </c>
      <c r="Q347" t="n">
        <v>0</v>
      </c>
      <c r="R347" s="2" t="inlineStr"/>
    </row>
    <row r="348" ht="15" customHeight="1">
      <c r="A348" t="inlineStr">
        <is>
          <t>A 22329-2020</t>
        </is>
      </c>
      <c r="B348" s="1" t="n">
        <v>43962</v>
      </c>
      <c r="C348" s="1" t="n">
        <v>45635</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22333-2020</t>
        </is>
      </c>
      <c r="B349" s="1" t="n">
        <v>43962</v>
      </c>
      <c r="C349" s="1" t="n">
        <v>45635</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23498-2020</t>
        </is>
      </c>
      <c r="B350" s="1" t="n">
        <v>43969</v>
      </c>
      <c r="C350" s="1" t="n">
        <v>45635</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23728-2020</t>
        </is>
      </c>
      <c r="B351" s="1" t="n">
        <v>43970</v>
      </c>
      <c r="C351" s="1" t="n">
        <v>45635</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24537-2020</t>
        </is>
      </c>
      <c r="B352" s="1" t="n">
        <v>43977</v>
      </c>
      <c r="C352" s="1" t="n">
        <v>45635</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25039-2020</t>
        </is>
      </c>
      <c r="B353" s="1" t="n">
        <v>43979</v>
      </c>
      <c r="C353" s="1" t="n">
        <v>45635</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26117-2020</t>
        </is>
      </c>
      <c r="B354" s="1" t="n">
        <v>43985</v>
      </c>
      <c r="C354" s="1" t="n">
        <v>45635</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27322-2020</t>
        </is>
      </c>
      <c r="B355" s="1" t="n">
        <v>43992</v>
      </c>
      <c r="C355" s="1" t="n">
        <v>45635</v>
      </c>
      <c r="D355" t="inlineStr">
        <is>
          <t>GOTLANDS LÄN</t>
        </is>
      </c>
      <c r="E355" t="inlineStr">
        <is>
          <t>GOTLAND</t>
        </is>
      </c>
      <c r="F355" t="inlineStr">
        <is>
          <t>Övriga statliga verk och myndigheter</t>
        </is>
      </c>
      <c r="G355" t="n">
        <v>7.4</v>
      </c>
      <c r="H355" t="n">
        <v>0</v>
      </c>
      <c r="I355" t="n">
        <v>0</v>
      </c>
      <c r="J355" t="n">
        <v>0</v>
      </c>
      <c r="K355" t="n">
        <v>0</v>
      </c>
      <c r="L355" t="n">
        <v>0</v>
      </c>
      <c r="M355" t="n">
        <v>0</v>
      </c>
      <c r="N355" t="n">
        <v>0</v>
      </c>
      <c r="O355" t="n">
        <v>0</v>
      </c>
      <c r="P355" t="n">
        <v>0</v>
      </c>
      <c r="Q355" t="n">
        <v>0</v>
      </c>
      <c r="R355" s="2" t="inlineStr"/>
    </row>
    <row r="356" ht="15" customHeight="1">
      <c r="A356" t="inlineStr">
        <is>
          <t>A 27334-2020</t>
        </is>
      </c>
      <c r="B356" s="1" t="n">
        <v>43992</v>
      </c>
      <c r="C356" s="1" t="n">
        <v>45635</v>
      </c>
      <c r="D356" t="inlineStr">
        <is>
          <t>GOTLANDS LÄN</t>
        </is>
      </c>
      <c r="E356" t="inlineStr">
        <is>
          <t>GOTLAND</t>
        </is>
      </c>
      <c r="F356" t="inlineStr">
        <is>
          <t>Övriga statliga verk och myndigheter</t>
        </is>
      </c>
      <c r="G356" t="n">
        <v>5.4</v>
      </c>
      <c r="H356" t="n">
        <v>0</v>
      </c>
      <c r="I356" t="n">
        <v>0</v>
      </c>
      <c r="J356" t="n">
        <v>0</v>
      </c>
      <c r="K356" t="n">
        <v>0</v>
      </c>
      <c r="L356" t="n">
        <v>0</v>
      </c>
      <c r="M356" t="n">
        <v>0</v>
      </c>
      <c r="N356" t="n">
        <v>0</v>
      </c>
      <c r="O356" t="n">
        <v>0</v>
      </c>
      <c r="P356" t="n">
        <v>0</v>
      </c>
      <c r="Q356" t="n">
        <v>0</v>
      </c>
      <c r="R356" s="2" t="inlineStr"/>
    </row>
    <row r="357" ht="15" customHeight="1">
      <c r="A357" t="inlineStr">
        <is>
          <t>A 27723-2020</t>
        </is>
      </c>
      <c r="B357" s="1" t="n">
        <v>43994</v>
      </c>
      <c r="C357" s="1" t="n">
        <v>45635</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27719-2020</t>
        </is>
      </c>
      <c r="B358" s="1" t="n">
        <v>43994</v>
      </c>
      <c r="C358" s="1" t="n">
        <v>45635</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27713-2020</t>
        </is>
      </c>
      <c r="B359" s="1" t="n">
        <v>43994</v>
      </c>
      <c r="C359" s="1" t="n">
        <v>45635</v>
      </c>
      <c r="D359" t="inlineStr">
        <is>
          <t>GOTLANDS LÄN</t>
        </is>
      </c>
      <c r="E359" t="inlineStr">
        <is>
          <t>GOTLAND</t>
        </is>
      </c>
      <c r="F359" t="inlineStr">
        <is>
          <t>Övriga statliga verk och myndigheter</t>
        </is>
      </c>
      <c r="G359" t="n">
        <v>0.8</v>
      </c>
      <c r="H359" t="n">
        <v>0</v>
      </c>
      <c r="I359" t="n">
        <v>0</v>
      </c>
      <c r="J359" t="n">
        <v>0</v>
      </c>
      <c r="K359" t="n">
        <v>0</v>
      </c>
      <c r="L359" t="n">
        <v>0</v>
      </c>
      <c r="M359" t="n">
        <v>0</v>
      </c>
      <c r="N359" t="n">
        <v>0</v>
      </c>
      <c r="O359" t="n">
        <v>0</v>
      </c>
      <c r="P359" t="n">
        <v>0</v>
      </c>
      <c r="Q359" t="n">
        <v>0</v>
      </c>
      <c r="R359" s="2" t="inlineStr"/>
    </row>
    <row r="360" ht="15" customHeight="1">
      <c r="A360" t="inlineStr">
        <is>
          <t>A 29529-2020</t>
        </is>
      </c>
      <c r="B360" s="1" t="n">
        <v>44005</v>
      </c>
      <c r="C360" s="1" t="n">
        <v>45635</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29915-2020</t>
        </is>
      </c>
      <c r="B361" s="1" t="n">
        <v>44006</v>
      </c>
      <c r="C361" s="1" t="n">
        <v>45635</v>
      </c>
      <c r="D361" t="inlineStr">
        <is>
          <t>GOTLANDS LÄN</t>
        </is>
      </c>
      <c r="E361" t="inlineStr">
        <is>
          <t>GOTLAND</t>
        </is>
      </c>
      <c r="F361" t="inlineStr">
        <is>
          <t>Kommuner</t>
        </is>
      </c>
      <c r="G361" t="n">
        <v>5.8</v>
      </c>
      <c r="H361" t="n">
        <v>0</v>
      </c>
      <c r="I361" t="n">
        <v>0</v>
      </c>
      <c r="J361" t="n">
        <v>0</v>
      </c>
      <c r="K361" t="n">
        <v>0</v>
      </c>
      <c r="L361" t="n">
        <v>0</v>
      </c>
      <c r="M361" t="n">
        <v>0</v>
      </c>
      <c r="N361" t="n">
        <v>0</v>
      </c>
      <c r="O361" t="n">
        <v>0</v>
      </c>
      <c r="P361" t="n">
        <v>0</v>
      </c>
      <c r="Q361" t="n">
        <v>0</v>
      </c>
      <c r="R361" s="2" t="inlineStr"/>
    </row>
    <row r="362" ht="15" customHeight="1">
      <c r="A362" t="inlineStr">
        <is>
          <t>A 30980-2020</t>
        </is>
      </c>
      <c r="B362" s="1" t="n">
        <v>44011</v>
      </c>
      <c r="C362" s="1" t="n">
        <v>45635</v>
      </c>
      <c r="D362" t="inlineStr">
        <is>
          <t>GOTLANDS LÄN</t>
        </is>
      </c>
      <c r="E362" t="inlineStr">
        <is>
          <t>GOTLAND</t>
        </is>
      </c>
      <c r="G362" t="n">
        <v>17.9</v>
      </c>
      <c r="H362" t="n">
        <v>0</v>
      </c>
      <c r="I362" t="n">
        <v>0</v>
      </c>
      <c r="J362" t="n">
        <v>0</v>
      </c>
      <c r="K362" t="n">
        <v>0</v>
      </c>
      <c r="L362" t="n">
        <v>0</v>
      </c>
      <c r="M362" t="n">
        <v>0</v>
      </c>
      <c r="N362" t="n">
        <v>0</v>
      </c>
      <c r="O362" t="n">
        <v>0</v>
      </c>
      <c r="P362" t="n">
        <v>0</v>
      </c>
      <c r="Q362" t="n">
        <v>0</v>
      </c>
      <c r="R362" s="2" t="inlineStr"/>
    </row>
    <row r="363" ht="15" customHeight="1">
      <c r="A363" t="inlineStr">
        <is>
          <t>A 32804-2020</t>
        </is>
      </c>
      <c r="B363" s="1" t="n">
        <v>44018</v>
      </c>
      <c r="C363" s="1" t="n">
        <v>45635</v>
      </c>
      <c r="D363" t="inlineStr">
        <is>
          <t>GOTLANDS LÄN</t>
        </is>
      </c>
      <c r="E363" t="inlineStr">
        <is>
          <t>GOTLAND</t>
        </is>
      </c>
      <c r="G363" t="n">
        <v>19.3</v>
      </c>
      <c r="H363" t="n">
        <v>0</v>
      </c>
      <c r="I363" t="n">
        <v>0</v>
      </c>
      <c r="J363" t="n">
        <v>0</v>
      </c>
      <c r="K363" t="n">
        <v>0</v>
      </c>
      <c r="L363" t="n">
        <v>0</v>
      </c>
      <c r="M363" t="n">
        <v>0</v>
      </c>
      <c r="N363" t="n">
        <v>0</v>
      </c>
      <c r="O363" t="n">
        <v>0</v>
      </c>
      <c r="P363" t="n">
        <v>0</v>
      </c>
      <c r="Q363" t="n">
        <v>0</v>
      </c>
      <c r="R363" s="2" t="inlineStr"/>
    </row>
    <row r="364" ht="15" customHeight="1">
      <c r="A364" t="inlineStr">
        <is>
          <t>A 32974-2020</t>
        </is>
      </c>
      <c r="B364" s="1" t="n">
        <v>44020</v>
      </c>
      <c r="C364" s="1" t="n">
        <v>45635</v>
      </c>
      <c r="D364" t="inlineStr">
        <is>
          <t>GOTLANDS LÄN</t>
        </is>
      </c>
      <c r="E364" t="inlineStr">
        <is>
          <t>GOTLAND</t>
        </is>
      </c>
      <c r="F364" t="inlineStr">
        <is>
          <t>Kyrkan</t>
        </is>
      </c>
      <c r="G364" t="n">
        <v>0.7</v>
      </c>
      <c r="H364" t="n">
        <v>0</v>
      </c>
      <c r="I364" t="n">
        <v>0</v>
      </c>
      <c r="J364" t="n">
        <v>0</v>
      </c>
      <c r="K364" t="n">
        <v>0</v>
      </c>
      <c r="L364" t="n">
        <v>0</v>
      </c>
      <c r="M364" t="n">
        <v>0</v>
      </c>
      <c r="N364" t="n">
        <v>0</v>
      </c>
      <c r="O364" t="n">
        <v>0</v>
      </c>
      <c r="P364" t="n">
        <v>0</v>
      </c>
      <c r="Q364" t="n">
        <v>0</v>
      </c>
      <c r="R364" s="2" t="inlineStr"/>
    </row>
    <row r="365" ht="15" customHeight="1">
      <c r="A365" t="inlineStr">
        <is>
          <t>A 35074-2020</t>
        </is>
      </c>
      <c r="B365" s="1" t="n">
        <v>44039</v>
      </c>
      <c r="C365" s="1" t="n">
        <v>45635</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36073-2020</t>
        </is>
      </c>
      <c r="B366" s="1" t="n">
        <v>44048</v>
      </c>
      <c r="C366" s="1" t="n">
        <v>45635</v>
      </c>
      <c r="D366" t="inlineStr">
        <is>
          <t>GOTLANDS LÄN</t>
        </is>
      </c>
      <c r="E366" t="inlineStr">
        <is>
          <t>GOTLAND</t>
        </is>
      </c>
      <c r="G366" t="n">
        <v>10.1</v>
      </c>
      <c r="H366" t="n">
        <v>0</v>
      </c>
      <c r="I366" t="n">
        <v>0</v>
      </c>
      <c r="J366" t="n">
        <v>0</v>
      </c>
      <c r="K366" t="n">
        <v>0</v>
      </c>
      <c r="L366" t="n">
        <v>0</v>
      </c>
      <c r="M366" t="n">
        <v>0</v>
      </c>
      <c r="N366" t="n">
        <v>0</v>
      </c>
      <c r="O366" t="n">
        <v>0</v>
      </c>
      <c r="P366" t="n">
        <v>0</v>
      </c>
      <c r="Q366" t="n">
        <v>0</v>
      </c>
      <c r="R366" s="2" t="inlineStr"/>
    </row>
    <row r="367" ht="15" customHeight="1">
      <c r="A367" t="inlineStr">
        <is>
          <t>A 36076-2020</t>
        </is>
      </c>
      <c r="B367" s="1" t="n">
        <v>44048</v>
      </c>
      <c r="C367" s="1" t="n">
        <v>45635</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36284-2020</t>
        </is>
      </c>
      <c r="B368" s="1" t="n">
        <v>44049</v>
      </c>
      <c r="C368" s="1" t="n">
        <v>45635</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37204-2020</t>
        </is>
      </c>
      <c r="B369" s="1" t="n">
        <v>44054</v>
      </c>
      <c r="C369" s="1" t="n">
        <v>45635</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38709-2020</t>
        </is>
      </c>
      <c r="B370" s="1" t="n">
        <v>44061</v>
      </c>
      <c r="C370" s="1" t="n">
        <v>45635</v>
      </c>
      <c r="D370" t="inlineStr">
        <is>
          <t>GOTLANDS LÄN</t>
        </is>
      </c>
      <c r="E370" t="inlineStr">
        <is>
          <t>GOTLAND</t>
        </is>
      </c>
      <c r="G370" t="n">
        <v>3.3</v>
      </c>
      <c r="H370" t="n">
        <v>0</v>
      </c>
      <c r="I370" t="n">
        <v>0</v>
      </c>
      <c r="J370" t="n">
        <v>0</v>
      </c>
      <c r="K370" t="n">
        <v>0</v>
      </c>
      <c r="L370" t="n">
        <v>0</v>
      </c>
      <c r="M370" t="n">
        <v>0</v>
      </c>
      <c r="N370" t="n">
        <v>0</v>
      </c>
      <c r="O370" t="n">
        <v>0</v>
      </c>
      <c r="P370" t="n">
        <v>0</v>
      </c>
      <c r="Q370" t="n">
        <v>0</v>
      </c>
      <c r="R370" s="2" t="inlineStr"/>
    </row>
    <row r="371" ht="15" customHeight="1">
      <c r="A371" t="inlineStr">
        <is>
          <t>A 39477-2020</t>
        </is>
      </c>
      <c r="B371" s="1" t="n">
        <v>44064</v>
      </c>
      <c r="C371" s="1" t="n">
        <v>45635</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41109-2020</t>
        </is>
      </c>
      <c r="B372" s="1" t="n">
        <v>44069</v>
      </c>
      <c r="C372" s="1" t="n">
        <v>45635</v>
      </c>
      <c r="D372" t="inlineStr">
        <is>
          <t>GOTLANDS LÄN</t>
        </is>
      </c>
      <c r="E372" t="inlineStr">
        <is>
          <t>GOTLAND</t>
        </is>
      </c>
      <c r="G372" t="n">
        <v>2.5</v>
      </c>
      <c r="H372" t="n">
        <v>0</v>
      </c>
      <c r="I372" t="n">
        <v>0</v>
      </c>
      <c r="J372" t="n">
        <v>0</v>
      </c>
      <c r="K372" t="n">
        <v>0</v>
      </c>
      <c r="L372" t="n">
        <v>0</v>
      </c>
      <c r="M372" t="n">
        <v>0</v>
      </c>
      <c r="N372" t="n">
        <v>0</v>
      </c>
      <c r="O372" t="n">
        <v>0</v>
      </c>
      <c r="P372" t="n">
        <v>0</v>
      </c>
      <c r="Q372" t="n">
        <v>0</v>
      </c>
      <c r="R372" s="2" t="inlineStr"/>
    </row>
    <row r="373" ht="15" customHeight="1">
      <c r="A373" t="inlineStr">
        <is>
          <t>A 41576-2020</t>
        </is>
      </c>
      <c r="B373" s="1" t="n">
        <v>44074</v>
      </c>
      <c r="C373" s="1" t="n">
        <v>45635</v>
      </c>
      <c r="D373" t="inlineStr">
        <is>
          <t>GOTLANDS LÄN</t>
        </is>
      </c>
      <c r="E373" t="inlineStr">
        <is>
          <t>GOTLAND</t>
        </is>
      </c>
      <c r="G373" t="n">
        <v>8.4</v>
      </c>
      <c r="H373" t="n">
        <v>0</v>
      </c>
      <c r="I373" t="n">
        <v>0</v>
      </c>
      <c r="J373" t="n">
        <v>0</v>
      </c>
      <c r="K373" t="n">
        <v>0</v>
      </c>
      <c r="L373" t="n">
        <v>0</v>
      </c>
      <c r="M373" t="n">
        <v>0</v>
      </c>
      <c r="N373" t="n">
        <v>0</v>
      </c>
      <c r="O373" t="n">
        <v>0</v>
      </c>
      <c r="P373" t="n">
        <v>0</v>
      </c>
      <c r="Q373" t="n">
        <v>0</v>
      </c>
      <c r="R373" s="2" t="inlineStr"/>
    </row>
    <row r="374" ht="15" customHeight="1">
      <c r="A374" t="inlineStr">
        <is>
          <t>A 45921-2020</t>
        </is>
      </c>
      <c r="B374" s="1" t="n">
        <v>44088</v>
      </c>
      <c r="C374" s="1" t="n">
        <v>45635</v>
      </c>
      <c r="D374" t="inlineStr">
        <is>
          <t>GOTLANDS LÄN</t>
        </is>
      </c>
      <c r="E374" t="inlineStr">
        <is>
          <t>GOTLAND</t>
        </is>
      </c>
      <c r="G374" t="n">
        <v>6.5</v>
      </c>
      <c r="H374" t="n">
        <v>0</v>
      </c>
      <c r="I374" t="n">
        <v>0</v>
      </c>
      <c r="J374" t="n">
        <v>0</v>
      </c>
      <c r="K374" t="n">
        <v>0</v>
      </c>
      <c r="L374" t="n">
        <v>0</v>
      </c>
      <c r="M374" t="n">
        <v>0</v>
      </c>
      <c r="N374" t="n">
        <v>0</v>
      </c>
      <c r="O374" t="n">
        <v>0</v>
      </c>
      <c r="P374" t="n">
        <v>0</v>
      </c>
      <c r="Q374" t="n">
        <v>0</v>
      </c>
      <c r="R374" s="2" t="inlineStr"/>
    </row>
    <row r="375" ht="15" customHeight="1">
      <c r="A375" t="inlineStr">
        <is>
          <t>A 46019-2020</t>
        </is>
      </c>
      <c r="B375" s="1" t="n">
        <v>44091</v>
      </c>
      <c r="C375" s="1" t="n">
        <v>45635</v>
      </c>
      <c r="D375" t="inlineStr">
        <is>
          <t>GOTLANDS LÄN</t>
        </is>
      </c>
      <c r="E375" t="inlineStr">
        <is>
          <t>GOTLAND</t>
        </is>
      </c>
      <c r="G375" t="n">
        <v>1.8</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45635</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53641-2020</t>
        </is>
      </c>
      <c r="B377" s="1" t="n">
        <v>44124</v>
      </c>
      <c r="C377" s="1" t="n">
        <v>45635</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53665-2020</t>
        </is>
      </c>
      <c r="B378" s="1" t="n">
        <v>44124</v>
      </c>
      <c r="C378" s="1" t="n">
        <v>45635</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59052-2020</t>
        </is>
      </c>
      <c r="B379" s="1" t="n">
        <v>44147</v>
      </c>
      <c r="C379" s="1" t="n">
        <v>45635</v>
      </c>
      <c r="D379" t="inlineStr">
        <is>
          <t>GOTLANDS LÄN</t>
        </is>
      </c>
      <c r="E379" t="inlineStr">
        <is>
          <t>GOTLAND</t>
        </is>
      </c>
      <c r="G379" t="n">
        <v>3.4</v>
      </c>
      <c r="H379" t="n">
        <v>0</v>
      </c>
      <c r="I379" t="n">
        <v>0</v>
      </c>
      <c r="J379" t="n">
        <v>0</v>
      </c>
      <c r="K379" t="n">
        <v>0</v>
      </c>
      <c r="L379" t="n">
        <v>0</v>
      </c>
      <c r="M379" t="n">
        <v>0</v>
      </c>
      <c r="N379" t="n">
        <v>0</v>
      </c>
      <c r="O379" t="n">
        <v>0</v>
      </c>
      <c r="P379" t="n">
        <v>0</v>
      </c>
      <c r="Q379" t="n">
        <v>0</v>
      </c>
      <c r="R379" s="2" t="inlineStr"/>
    </row>
    <row r="380" ht="15" customHeight="1">
      <c r="A380" t="inlineStr">
        <is>
          <t>A 59630-2020</t>
        </is>
      </c>
      <c r="B380" s="1" t="n">
        <v>44150</v>
      </c>
      <c r="C380" s="1" t="n">
        <v>45635</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60356-2020</t>
        </is>
      </c>
      <c r="B381" s="1" t="n">
        <v>44152</v>
      </c>
      <c r="C381" s="1" t="n">
        <v>45635</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62120-2020</t>
        </is>
      </c>
      <c r="B382" s="1" t="n">
        <v>44158</v>
      </c>
      <c r="C382" s="1" t="n">
        <v>45635</v>
      </c>
      <c r="D382" t="inlineStr">
        <is>
          <t>GOTLANDS LÄN</t>
        </is>
      </c>
      <c r="E382" t="inlineStr">
        <is>
          <t>GOTLAND</t>
        </is>
      </c>
      <c r="G382" t="n">
        <v>2.3</v>
      </c>
      <c r="H382" t="n">
        <v>0</v>
      </c>
      <c r="I382" t="n">
        <v>0</v>
      </c>
      <c r="J382" t="n">
        <v>0</v>
      </c>
      <c r="K382" t="n">
        <v>0</v>
      </c>
      <c r="L382" t="n">
        <v>0</v>
      </c>
      <c r="M382" t="n">
        <v>0</v>
      </c>
      <c r="N382" t="n">
        <v>0</v>
      </c>
      <c r="O382" t="n">
        <v>0</v>
      </c>
      <c r="P382" t="n">
        <v>0</v>
      </c>
      <c r="Q382" t="n">
        <v>0</v>
      </c>
      <c r="R382" s="2" t="inlineStr"/>
    </row>
    <row r="383" ht="15" customHeight="1">
      <c r="A383" t="inlineStr">
        <is>
          <t>A 64380-2020</t>
        </is>
      </c>
      <c r="B383" s="1" t="n">
        <v>44168</v>
      </c>
      <c r="C383" s="1" t="n">
        <v>45635</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65126-2020</t>
        </is>
      </c>
      <c r="B384" s="1" t="n">
        <v>44168</v>
      </c>
      <c r="C384" s="1" t="n">
        <v>45635</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65537-2020</t>
        </is>
      </c>
      <c r="B385" s="1" t="n">
        <v>44173</v>
      </c>
      <c r="C385" s="1" t="n">
        <v>45635</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69643-2020</t>
        </is>
      </c>
      <c r="B386" s="1" t="n">
        <v>44195</v>
      </c>
      <c r="C386" s="1" t="n">
        <v>45635</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14-2021</t>
        </is>
      </c>
      <c r="B387" s="1" t="n">
        <v>44197</v>
      </c>
      <c r="C387" s="1" t="n">
        <v>45635</v>
      </c>
      <c r="D387" t="inlineStr">
        <is>
          <t>GOTLANDS LÄN</t>
        </is>
      </c>
      <c r="E387" t="inlineStr">
        <is>
          <t>GOTLAND</t>
        </is>
      </c>
      <c r="F387" t="inlineStr">
        <is>
          <t>Kyrkan</t>
        </is>
      </c>
      <c r="G387" t="n">
        <v>1.3</v>
      </c>
      <c r="H387" t="n">
        <v>0</v>
      </c>
      <c r="I387" t="n">
        <v>0</v>
      </c>
      <c r="J387" t="n">
        <v>0</v>
      </c>
      <c r="K387" t="n">
        <v>0</v>
      </c>
      <c r="L387" t="n">
        <v>0</v>
      </c>
      <c r="M387" t="n">
        <v>0</v>
      </c>
      <c r="N387" t="n">
        <v>0</v>
      </c>
      <c r="O387" t="n">
        <v>0</v>
      </c>
      <c r="P387" t="n">
        <v>0</v>
      </c>
      <c r="Q387" t="n">
        <v>0</v>
      </c>
      <c r="R387" s="2" t="inlineStr"/>
    </row>
    <row r="388" ht="15" customHeight="1">
      <c r="A388" t="inlineStr">
        <is>
          <t>A 1229-2021</t>
        </is>
      </c>
      <c r="B388" s="1" t="n">
        <v>44208</v>
      </c>
      <c r="C388" s="1" t="n">
        <v>45635</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2292-2021</t>
        </is>
      </c>
      <c r="B389" s="1" t="n">
        <v>44212</v>
      </c>
      <c r="C389" s="1" t="n">
        <v>45635</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2608-2021</t>
        </is>
      </c>
      <c r="B390" s="1" t="n">
        <v>44214</v>
      </c>
      <c r="C390" s="1" t="n">
        <v>45635</v>
      </c>
      <c r="D390" t="inlineStr">
        <is>
          <t>GOTLANDS LÄN</t>
        </is>
      </c>
      <c r="E390" t="inlineStr">
        <is>
          <t>GOTLAND</t>
        </is>
      </c>
      <c r="G390" t="n">
        <v>3.9</v>
      </c>
      <c r="H390" t="n">
        <v>0</v>
      </c>
      <c r="I390" t="n">
        <v>0</v>
      </c>
      <c r="J390" t="n">
        <v>0</v>
      </c>
      <c r="K390" t="n">
        <v>0</v>
      </c>
      <c r="L390" t="n">
        <v>0</v>
      </c>
      <c r="M390" t="n">
        <v>0</v>
      </c>
      <c r="N390" t="n">
        <v>0</v>
      </c>
      <c r="O390" t="n">
        <v>0</v>
      </c>
      <c r="P390" t="n">
        <v>0</v>
      </c>
      <c r="Q390" t="n">
        <v>0</v>
      </c>
      <c r="R390" s="2" t="inlineStr"/>
    </row>
    <row r="391" ht="15" customHeight="1">
      <c r="A391" t="inlineStr">
        <is>
          <t>A 3319-2021</t>
        </is>
      </c>
      <c r="B391" s="1" t="n">
        <v>44216</v>
      </c>
      <c r="C391" s="1" t="n">
        <v>45635</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3172-2021</t>
        </is>
      </c>
      <c r="B392" s="1" t="n">
        <v>44217</v>
      </c>
      <c r="C392" s="1" t="n">
        <v>45635</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3271-2021</t>
        </is>
      </c>
      <c r="B393" s="1" t="n">
        <v>44217</v>
      </c>
      <c r="C393" s="1" t="n">
        <v>45635</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8329-2021</t>
        </is>
      </c>
      <c r="B394" s="1" t="n">
        <v>44244</v>
      </c>
      <c r="C394" s="1" t="n">
        <v>45635</v>
      </c>
      <c r="D394" t="inlineStr">
        <is>
          <t>GOTLANDS LÄN</t>
        </is>
      </c>
      <c r="E394" t="inlineStr">
        <is>
          <t>GOTLAND</t>
        </is>
      </c>
      <c r="F394" t="inlineStr">
        <is>
          <t>Kyrkan</t>
        </is>
      </c>
      <c r="G394" t="n">
        <v>4.5</v>
      </c>
      <c r="H394" t="n">
        <v>0</v>
      </c>
      <c r="I394" t="n">
        <v>0</v>
      </c>
      <c r="J394" t="n">
        <v>0</v>
      </c>
      <c r="K394" t="n">
        <v>0</v>
      </c>
      <c r="L394" t="n">
        <v>0</v>
      </c>
      <c r="M394" t="n">
        <v>0</v>
      </c>
      <c r="N394" t="n">
        <v>0</v>
      </c>
      <c r="O394" t="n">
        <v>0</v>
      </c>
      <c r="P394" t="n">
        <v>0</v>
      </c>
      <c r="Q394" t="n">
        <v>0</v>
      </c>
      <c r="R394" s="2" t="inlineStr"/>
    </row>
    <row r="395" ht="15" customHeight="1">
      <c r="A395" t="inlineStr">
        <is>
          <t>A 8700-2021</t>
        </is>
      </c>
      <c r="B395" s="1" t="n">
        <v>44246</v>
      </c>
      <c r="C395" s="1" t="n">
        <v>45635</v>
      </c>
      <c r="D395" t="inlineStr">
        <is>
          <t>GOTLANDS LÄN</t>
        </is>
      </c>
      <c r="E395" t="inlineStr">
        <is>
          <t>GOTLAND</t>
        </is>
      </c>
      <c r="G395" t="n">
        <v>0.1</v>
      </c>
      <c r="H395" t="n">
        <v>0</v>
      </c>
      <c r="I395" t="n">
        <v>0</v>
      </c>
      <c r="J395" t="n">
        <v>0</v>
      </c>
      <c r="K395" t="n">
        <v>0</v>
      </c>
      <c r="L395" t="n">
        <v>0</v>
      </c>
      <c r="M395" t="n">
        <v>0</v>
      </c>
      <c r="N395" t="n">
        <v>0</v>
      </c>
      <c r="O395" t="n">
        <v>0</v>
      </c>
      <c r="P395" t="n">
        <v>0</v>
      </c>
      <c r="Q395" t="n">
        <v>0</v>
      </c>
      <c r="R395" s="2" t="inlineStr"/>
    </row>
    <row r="396" ht="15" customHeight="1">
      <c r="A396" t="inlineStr">
        <is>
          <t>A 11400-2021</t>
        </is>
      </c>
      <c r="B396" s="1" t="n">
        <v>44263</v>
      </c>
      <c r="C396" s="1" t="n">
        <v>45635</v>
      </c>
      <c r="D396" t="inlineStr">
        <is>
          <t>GOTLANDS LÄN</t>
        </is>
      </c>
      <c r="E396" t="inlineStr">
        <is>
          <t>GOTLAND</t>
        </is>
      </c>
      <c r="G396" t="n">
        <v>5.6</v>
      </c>
      <c r="H396" t="n">
        <v>0</v>
      </c>
      <c r="I396" t="n">
        <v>0</v>
      </c>
      <c r="J396" t="n">
        <v>0</v>
      </c>
      <c r="K396" t="n">
        <v>0</v>
      </c>
      <c r="L396" t="n">
        <v>0</v>
      </c>
      <c r="M396" t="n">
        <v>0</v>
      </c>
      <c r="N396" t="n">
        <v>0</v>
      </c>
      <c r="O396" t="n">
        <v>0</v>
      </c>
      <c r="P396" t="n">
        <v>0</v>
      </c>
      <c r="Q396" t="n">
        <v>0</v>
      </c>
      <c r="R396" s="2" t="inlineStr"/>
    </row>
    <row r="397" ht="15" customHeight="1">
      <c r="A397" t="inlineStr">
        <is>
          <t>A 11402-2021</t>
        </is>
      </c>
      <c r="B397" s="1" t="n">
        <v>44263</v>
      </c>
      <c r="C397" s="1" t="n">
        <v>45635</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12318-2021</t>
        </is>
      </c>
      <c r="B398" s="1" t="n">
        <v>44266</v>
      </c>
      <c r="C398" s="1" t="n">
        <v>45635</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13274-2021</t>
        </is>
      </c>
      <c r="B399" s="1" t="n">
        <v>44272</v>
      </c>
      <c r="C399" s="1" t="n">
        <v>45635</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14536-2021</t>
        </is>
      </c>
      <c r="B400" s="1" t="n">
        <v>44279</v>
      </c>
      <c r="C400" s="1" t="n">
        <v>45635</v>
      </c>
      <c r="D400" t="inlineStr">
        <is>
          <t>GOTLANDS LÄN</t>
        </is>
      </c>
      <c r="E400" t="inlineStr">
        <is>
          <t>GOTLAND</t>
        </is>
      </c>
      <c r="G400" t="n">
        <v>8.5</v>
      </c>
      <c r="H400" t="n">
        <v>0</v>
      </c>
      <c r="I400" t="n">
        <v>0</v>
      </c>
      <c r="J400" t="n">
        <v>0</v>
      </c>
      <c r="K400" t="n">
        <v>0</v>
      </c>
      <c r="L400" t="n">
        <v>0</v>
      </c>
      <c r="M400" t="n">
        <v>0</v>
      </c>
      <c r="N400" t="n">
        <v>0</v>
      </c>
      <c r="O400" t="n">
        <v>0</v>
      </c>
      <c r="P400" t="n">
        <v>0</v>
      </c>
      <c r="Q400" t="n">
        <v>0</v>
      </c>
      <c r="R400" s="2" t="inlineStr"/>
    </row>
    <row r="401" ht="15" customHeight="1">
      <c r="A401" t="inlineStr">
        <is>
          <t>A 14804-2021</t>
        </is>
      </c>
      <c r="B401" s="1" t="n">
        <v>44280</v>
      </c>
      <c r="C401" s="1" t="n">
        <v>45635</v>
      </c>
      <c r="D401" t="inlineStr">
        <is>
          <t>GOTLANDS LÄN</t>
        </is>
      </c>
      <c r="E401" t="inlineStr">
        <is>
          <t>GOTLAND</t>
        </is>
      </c>
      <c r="G401" t="n">
        <v>2.2</v>
      </c>
      <c r="H401" t="n">
        <v>0</v>
      </c>
      <c r="I401" t="n">
        <v>0</v>
      </c>
      <c r="J401" t="n">
        <v>0</v>
      </c>
      <c r="K401" t="n">
        <v>0</v>
      </c>
      <c r="L401" t="n">
        <v>0</v>
      </c>
      <c r="M401" t="n">
        <v>0</v>
      </c>
      <c r="N401" t="n">
        <v>0</v>
      </c>
      <c r="O401" t="n">
        <v>0</v>
      </c>
      <c r="P401" t="n">
        <v>0</v>
      </c>
      <c r="Q401" t="n">
        <v>0</v>
      </c>
      <c r="R401" s="2" t="inlineStr"/>
    </row>
    <row r="402" ht="15" customHeight="1">
      <c r="A402" t="inlineStr">
        <is>
          <t>A 15127-2021</t>
        </is>
      </c>
      <c r="B402" s="1" t="n">
        <v>44283</v>
      </c>
      <c r="C402" s="1" t="n">
        <v>45635</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16435-2021</t>
        </is>
      </c>
      <c r="B403" s="1" t="n">
        <v>44293</v>
      </c>
      <c r="C403" s="1" t="n">
        <v>45635</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17254-2021</t>
        </is>
      </c>
      <c r="B404" s="1" t="n">
        <v>44298</v>
      </c>
      <c r="C404" s="1" t="n">
        <v>45635</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17227-2021</t>
        </is>
      </c>
      <c r="B405" s="1" t="n">
        <v>44298</v>
      </c>
      <c r="C405" s="1" t="n">
        <v>45635</v>
      </c>
      <c r="D405" t="inlineStr">
        <is>
          <t>GOTLANDS LÄN</t>
        </is>
      </c>
      <c r="E405" t="inlineStr">
        <is>
          <t>GOTLAND</t>
        </is>
      </c>
      <c r="G405" t="n">
        <v>6.2</v>
      </c>
      <c r="H405" t="n">
        <v>0</v>
      </c>
      <c r="I405" t="n">
        <v>0</v>
      </c>
      <c r="J405" t="n">
        <v>0</v>
      </c>
      <c r="K405" t="n">
        <v>0</v>
      </c>
      <c r="L405" t="n">
        <v>0</v>
      </c>
      <c r="M405" t="n">
        <v>0</v>
      </c>
      <c r="N405" t="n">
        <v>0</v>
      </c>
      <c r="O405" t="n">
        <v>0</v>
      </c>
      <c r="P405" t="n">
        <v>0</v>
      </c>
      <c r="Q405" t="n">
        <v>0</v>
      </c>
      <c r="R405" s="2" t="inlineStr"/>
    </row>
    <row r="406" ht="15" customHeight="1">
      <c r="A406" t="inlineStr">
        <is>
          <t>A 17199-2021</t>
        </is>
      </c>
      <c r="B406" s="1" t="n">
        <v>44298</v>
      </c>
      <c r="C406" s="1" t="n">
        <v>45635</v>
      </c>
      <c r="D406" t="inlineStr">
        <is>
          <t>GOTLANDS LÄN</t>
        </is>
      </c>
      <c r="E406" t="inlineStr">
        <is>
          <t>GOTLAND</t>
        </is>
      </c>
      <c r="G406" t="n">
        <v>9.6</v>
      </c>
      <c r="H406" t="n">
        <v>0</v>
      </c>
      <c r="I406" t="n">
        <v>0</v>
      </c>
      <c r="J406" t="n">
        <v>0</v>
      </c>
      <c r="K406" t="n">
        <v>0</v>
      </c>
      <c r="L406" t="n">
        <v>0</v>
      </c>
      <c r="M406" t="n">
        <v>0</v>
      </c>
      <c r="N406" t="n">
        <v>0</v>
      </c>
      <c r="O406" t="n">
        <v>0</v>
      </c>
      <c r="P406" t="n">
        <v>0</v>
      </c>
      <c r="Q406" t="n">
        <v>0</v>
      </c>
      <c r="R406" s="2" t="inlineStr"/>
    </row>
    <row r="407" ht="15" customHeight="1">
      <c r="A407" t="inlineStr">
        <is>
          <t>A 17585-2021</t>
        </is>
      </c>
      <c r="B407" s="1" t="n">
        <v>44299</v>
      </c>
      <c r="C407" s="1" t="n">
        <v>45635</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17920-2021</t>
        </is>
      </c>
      <c r="B408" s="1" t="n">
        <v>44301</v>
      </c>
      <c r="C408" s="1" t="n">
        <v>45635</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18038-2021</t>
        </is>
      </c>
      <c r="B409" s="1" t="n">
        <v>44302</v>
      </c>
      <c r="C409" s="1" t="n">
        <v>45635</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19447-2021</t>
        </is>
      </c>
      <c r="B410" s="1" t="n">
        <v>44310</v>
      </c>
      <c r="C410" s="1" t="n">
        <v>45635</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19448-2021</t>
        </is>
      </c>
      <c r="B411" s="1" t="n">
        <v>44310</v>
      </c>
      <c r="C411" s="1" t="n">
        <v>45635</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19892-2021</t>
        </is>
      </c>
      <c r="B412" s="1" t="n">
        <v>44312</v>
      </c>
      <c r="C412" s="1" t="n">
        <v>45635</v>
      </c>
      <c r="D412" t="inlineStr">
        <is>
          <t>GOTLANDS LÄN</t>
        </is>
      </c>
      <c r="E412" t="inlineStr">
        <is>
          <t>GOTLAND</t>
        </is>
      </c>
      <c r="G412" t="n">
        <v>5.3</v>
      </c>
      <c r="H412" t="n">
        <v>0</v>
      </c>
      <c r="I412" t="n">
        <v>0</v>
      </c>
      <c r="J412" t="n">
        <v>0</v>
      </c>
      <c r="K412" t="n">
        <v>0</v>
      </c>
      <c r="L412" t="n">
        <v>0</v>
      </c>
      <c r="M412" t="n">
        <v>0</v>
      </c>
      <c r="N412" t="n">
        <v>0</v>
      </c>
      <c r="O412" t="n">
        <v>0</v>
      </c>
      <c r="P412" t="n">
        <v>0</v>
      </c>
      <c r="Q412" t="n">
        <v>0</v>
      </c>
      <c r="R412" s="2" t="inlineStr"/>
    </row>
    <row r="413" ht="15" customHeight="1">
      <c r="A413" t="inlineStr">
        <is>
          <t>A 19901-2021</t>
        </is>
      </c>
      <c r="B413" s="1" t="n">
        <v>44312</v>
      </c>
      <c r="C413" s="1" t="n">
        <v>45635</v>
      </c>
      <c r="D413" t="inlineStr">
        <is>
          <t>GOTLANDS LÄN</t>
        </is>
      </c>
      <c r="E413" t="inlineStr">
        <is>
          <t>GOTLAND</t>
        </is>
      </c>
      <c r="G413" t="n">
        <v>4.5</v>
      </c>
      <c r="H413" t="n">
        <v>0</v>
      </c>
      <c r="I413" t="n">
        <v>0</v>
      </c>
      <c r="J413" t="n">
        <v>0</v>
      </c>
      <c r="K413" t="n">
        <v>0</v>
      </c>
      <c r="L413" t="n">
        <v>0</v>
      </c>
      <c r="M413" t="n">
        <v>0</v>
      </c>
      <c r="N413" t="n">
        <v>0</v>
      </c>
      <c r="O413" t="n">
        <v>0</v>
      </c>
      <c r="P413" t="n">
        <v>0</v>
      </c>
      <c r="Q413" t="n">
        <v>0</v>
      </c>
      <c r="R413" s="2" t="inlineStr"/>
    </row>
    <row r="414" ht="15" customHeight="1">
      <c r="A414" t="inlineStr">
        <is>
          <t>A 19939-2021</t>
        </is>
      </c>
      <c r="B414" s="1" t="n">
        <v>44313</v>
      </c>
      <c r="C414" s="1" t="n">
        <v>45635</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20111-2021</t>
        </is>
      </c>
      <c r="B415" s="1" t="n">
        <v>44314</v>
      </c>
      <c r="C415" s="1" t="n">
        <v>45635</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21507-2021</t>
        </is>
      </c>
      <c r="B416" s="1" t="n">
        <v>44321</v>
      </c>
      <c r="C416" s="1" t="n">
        <v>45635</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22155-2021</t>
        </is>
      </c>
      <c r="B417" s="1" t="n">
        <v>44325</v>
      </c>
      <c r="C417" s="1" t="n">
        <v>45635</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23910-2021</t>
        </is>
      </c>
      <c r="B418" s="1" t="n">
        <v>44335</v>
      </c>
      <c r="C418" s="1" t="n">
        <v>45635</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24001-2021</t>
        </is>
      </c>
      <c r="B419" s="1" t="n">
        <v>44335</v>
      </c>
      <c r="C419" s="1" t="n">
        <v>45635</v>
      </c>
      <c r="D419" t="inlineStr">
        <is>
          <t>GOTLANDS LÄN</t>
        </is>
      </c>
      <c r="E419" t="inlineStr">
        <is>
          <t>GOTLAND</t>
        </is>
      </c>
      <c r="G419" t="n">
        <v>3.4</v>
      </c>
      <c r="H419" t="n">
        <v>0</v>
      </c>
      <c r="I419" t="n">
        <v>0</v>
      </c>
      <c r="J419" t="n">
        <v>0</v>
      </c>
      <c r="K419" t="n">
        <v>0</v>
      </c>
      <c r="L419" t="n">
        <v>0</v>
      </c>
      <c r="M419" t="n">
        <v>0</v>
      </c>
      <c r="N419" t="n">
        <v>0</v>
      </c>
      <c r="O419" t="n">
        <v>0</v>
      </c>
      <c r="P419" t="n">
        <v>0</v>
      </c>
      <c r="Q419" t="n">
        <v>0</v>
      </c>
      <c r="R419" s="2" t="inlineStr"/>
    </row>
    <row r="420" ht="15" customHeight="1">
      <c r="A420" t="inlineStr">
        <is>
          <t>A 26810-2021</t>
        </is>
      </c>
      <c r="B420" s="1" t="n">
        <v>44349</v>
      </c>
      <c r="C420" s="1" t="n">
        <v>45635</v>
      </c>
      <c r="D420" t="inlineStr">
        <is>
          <t>GOTLANDS LÄN</t>
        </is>
      </c>
      <c r="E420" t="inlineStr">
        <is>
          <t>GOTLAND</t>
        </is>
      </c>
      <c r="G420" t="n">
        <v>3.5</v>
      </c>
      <c r="H420" t="n">
        <v>0</v>
      </c>
      <c r="I420" t="n">
        <v>0</v>
      </c>
      <c r="J420" t="n">
        <v>0</v>
      </c>
      <c r="K420" t="n">
        <v>0</v>
      </c>
      <c r="L420" t="n">
        <v>0</v>
      </c>
      <c r="M420" t="n">
        <v>0</v>
      </c>
      <c r="N420" t="n">
        <v>0</v>
      </c>
      <c r="O420" t="n">
        <v>0</v>
      </c>
      <c r="P420" t="n">
        <v>0</v>
      </c>
      <c r="Q420" t="n">
        <v>0</v>
      </c>
      <c r="R420" s="2" t="inlineStr"/>
    </row>
    <row r="421" ht="15" customHeight="1">
      <c r="A421" t="inlineStr">
        <is>
          <t>A 26857-2021</t>
        </is>
      </c>
      <c r="B421" s="1" t="n">
        <v>44349</v>
      </c>
      <c r="C421" s="1" t="n">
        <v>45635</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26867-2021</t>
        </is>
      </c>
      <c r="B422" s="1" t="n">
        <v>44349</v>
      </c>
      <c r="C422" s="1" t="n">
        <v>45635</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27930-2021</t>
        </is>
      </c>
      <c r="B423" s="1" t="n">
        <v>44354</v>
      </c>
      <c r="C423" s="1" t="n">
        <v>45635</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30055-2021</t>
        </is>
      </c>
      <c r="B424" s="1" t="n">
        <v>44363</v>
      </c>
      <c r="C424" s="1" t="n">
        <v>45635</v>
      </c>
      <c r="D424" t="inlineStr">
        <is>
          <t>GOTLANDS LÄN</t>
        </is>
      </c>
      <c r="E424" t="inlineStr">
        <is>
          <t>GOTLAND</t>
        </is>
      </c>
      <c r="G424" t="n">
        <v>1.8</v>
      </c>
      <c r="H424" t="n">
        <v>0</v>
      </c>
      <c r="I424" t="n">
        <v>0</v>
      </c>
      <c r="J424" t="n">
        <v>0</v>
      </c>
      <c r="K424" t="n">
        <v>0</v>
      </c>
      <c r="L424" t="n">
        <v>0</v>
      </c>
      <c r="M424" t="n">
        <v>0</v>
      </c>
      <c r="N424" t="n">
        <v>0</v>
      </c>
      <c r="O424" t="n">
        <v>0</v>
      </c>
      <c r="P424" t="n">
        <v>0</v>
      </c>
      <c r="Q424" t="n">
        <v>0</v>
      </c>
      <c r="R424" s="2" t="inlineStr"/>
    </row>
    <row r="425" ht="15" customHeight="1">
      <c r="A425" t="inlineStr">
        <is>
          <t>A 31264-2021</t>
        </is>
      </c>
      <c r="B425" s="1" t="n">
        <v>44368</v>
      </c>
      <c r="C425" s="1" t="n">
        <v>45635</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31981-2021</t>
        </is>
      </c>
      <c r="B426" s="1" t="n">
        <v>44370</v>
      </c>
      <c r="C426" s="1" t="n">
        <v>45635</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32647-2021</t>
        </is>
      </c>
      <c r="B427" s="1" t="n">
        <v>44375</v>
      </c>
      <c r="C427" s="1" t="n">
        <v>45635</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32691-2021</t>
        </is>
      </c>
      <c r="B428" s="1" t="n">
        <v>44375</v>
      </c>
      <c r="C428" s="1" t="n">
        <v>45635</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32958-2021</t>
        </is>
      </c>
      <c r="B429" s="1" t="n">
        <v>44376</v>
      </c>
      <c r="C429" s="1" t="n">
        <v>45635</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36313-2021</t>
        </is>
      </c>
      <c r="B430" s="1" t="n">
        <v>44390</v>
      </c>
      <c r="C430" s="1" t="n">
        <v>45635</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37037-2021</t>
        </is>
      </c>
      <c r="B431" s="1" t="n">
        <v>44393</v>
      </c>
      <c r="C431" s="1" t="n">
        <v>45635</v>
      </c>
      <c r="D431" t="inlineStr">
        <is>
          <t>GOTLANDS LÄN</t>
        </is>
      </c>
      <c r="E431" t="inlineStr">
        <is>
          <t>GOTLAND</t>
        </is>
      </c>
      <c r="G431" t="n">
        <v>10.2</v>
      </c>
      <c r="H431" t="n">
        <v>0</v>
      </c>
      <c r="I431" t="n">
        <v>0</v>
      </c>
      <c r="J431" t="n">
        <v>0</v>
      </c>
      <c r="K431" t="n">
        <v>0</v>
      </c>
      <c r="L431" t="n">
        <v>0</v>
      </c>
      <c r="M431" t="n">
        <v>0</v>
      </c>
      <c r="N431" t="n">
        <v>0</v>
      </c>
      <c r="O431" t="n">
        <v>0</v>
      </c>
      <c r="P431" t="n">
        <v>0</v>
      </c>
      <c r="Q431" t="n">
        <v>0</v>
      </c>
      <c r="R431" s="2" t="inlineStr"/>
    </row>
    <row r="432" ht="15" customHeight="1">
      <c r="A432" t="inlineStr">
        <is>
          <t>A 37222-2021</t>
        </is>
      </c>
      <c r="B432" s="1" t="n">
        <v>44396</v>
      </c>
      <c r="C432" s="1" t="n">
        <v>45635</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42688-2021</t>
        </is>
      </c>
      <c r="B433" s="1" t="n">
        <v>44428</v>
      </c>
      <c r="C433" s="1" t="n">
        <v>45635</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44304-2021</t>
        </is>
      </c>
      <c r="B434" s="1" t="n">
        <v>44434</v>
      </c>
      <c r="C434" s="1" t="n">
        <v>45635</v>
      </c>
      <c r="D434" t="inlineStr">
        <is>
          <t>GOTLANDS LÄN</t>
        </is>
      </c>
      <c r="E434" t="inlineStr">
        <is>
          <t>GOTLAND</t>
        </is>
      </c>
      <c r="G434" t="n">
        <v>5.8</v>
      </c>
      <c r="H434" t="n">
        <v>0</v>
      </c>
      <c r="I434" t="n">
        <v>0</v>
      </c>
      <c r="J434" t="n">
        <v>0</v>
      </c>
      <c r="K434" t="n">
        <v>0</v>
      </c>
      <c r="L434" t="n">
        <v>0</v>
      </c>
      <c r="M434" t="n">
        <v>0</v>
      </c>
      <c r="N434" t="n">
        <v>0</v>
      </c>
      <c r="O434" t="n">
        <v>0</v>
      </c>
      <c r="P434" t="n">
        <v>0</v>
      </c>
      <c r="Q434" t="n">
        <v>0</v>
      </c>
      <c r="R434" s="2" t="inlineStr"/>
    </row>
    <row r="435" ht="15" customHeight="1">
      <c r="A435" t="inlineStr">
        <is>
          <t>A 44649-2021</t>
        </is>
      </c>
      <c r="B435" s="1" t="n">
        <v>44437</v>
      </c>
      <c r="C435" s="1" t="n">
        <v>45635</v>
      </c>
      <c r="D435" t="inlineStr">
        <is>
          <t>GOTLANDS LÄN</t>
        </is>
      </c>
      <c r="E435" t="inlineStr">
        <is>
          <t>GOTLAND</t>
        </is>
      </c>
      <c r="G435" t="n">
        <v>8.1</v>
      </c>
      <c r="H435" t="n">
        <v>0</v>
      </c>
      <c r="I435" t="n">
        <v>0</v>
      </c>
      <c r="J435" t="n">
        <v>0</v>
      </c>
      <c r="K435" t="n">
        <v>0</v>
      </c>
      <c r="L435" t="n">
        <v>0</v>
      </c>
      <c r="M435" t="n">
        <v>0</v>
      </c>
      <c r="N435" t="n">
        <v>0</v>
      </c>
      <c r="O435" t="n">
        <v>0</v>
      </c>
      <c r="P435" t="n">
        <v>0</v>
      </c>
      <c r="Q435" t="n">
        <v>0</v>
      </c>
      <c r="R435" s="2" t="inlineStr"/>
    </row>
    <row r="436" ht="15" customHeight="1">
      <c r="A436" t="inlineStr">
        <is>
          <t>A 46362-2021</t>
        </is>
      </c>
      <c r="B436" s="1" t="n">
        <v>44442</v>
      </c>
      <c r="C436" s="1" t="n">
        <v>45635</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46389-2021</t>
        </is>
      </c>
      <c r="B437" s="1" t="n">
        <v>44443</v>
      </c>
      <c r="C437" s="1" t="n">
        <v>45635</v>
      </c>
      <c r="D437" t="inlineStr">
        <is>
          <t>GOTLANDS LÄN</t>
        </is>
      </c>
      <c r="E437" t="inlineStr">
        <is>
          <t>GOTLAND</t>
        </is>
      </c>
      <c r="F437" t="inlineStr">
        <is>
          <t>Kyrkan</t>
        </is>
      </c>
      <c r="G437" t="n">
        <v>2.1</v>
      </c>
      <c r="H437" t="n">
        <v>0</v>
      </c>
      <c r="I437" t="n">
        <v>0</v>
      </c>
      <c r="J437" t="n">
        <v>0</v>
      </c>
      <c r="K437" t="n">
        <v>0</v>
      </c>
      <c r="L437" t="n">
        <v>0</v>
      </c>
      <c r="M437" t="n">
        <v>0</v>
      </c>
      <c r="N437" t="n">
        <v>0</v>
      </c>
      <c r="O437" t="n">
        <v>0</v>
      </c>
      <c r="P437" t="n">
        <v>0</v>
      </c>
      <c r="Q437" t="n">
        <v>0</v>
      </c>
      <c r="R437" s="2" t="inlineStr"/>
    </row>
    <row r="438" ht="15" customHeight="1">
      <c r="A438" t="inlineStr">
        <is>
          <t>A 47369-2021</t>
        </is>
      </c>
      <c r="B438" s="1" t="n">
        <v>44447</v>
      </c>
      <c r="C438" s="1" t="n">
        <v>45635</v>
      </c>
      <c r="D438" t="inlineStr">
        <is>
          <t>GOTLANDS LÄN</t>
        </is>
      </c>
      <c r="E438" t="inlineStr">
        <is>
          <t>GOTLAND</t>
        </is>
      </c>
      <c r="G438" t="n">
        <v>2.3</v>
      </c>
      <c r="H438" t="n">
        <v>0</v>
      </c>
      <c r="I438" t="n">
        <v>0</v>
      </c>
      <c r="J438" t="n">
        <v>0</v>
      </c>
      <c r="K438" t="n">
        <v>0</v>
      </c>
      <c r="L438" t="n">
        <v>0</v>
      </c>
      <c r="M438" t="n">
        <v>0</v>
      </c>
      <c r="N438" t="n">
        <v>0</v>
      </c>
      <c r="O438" t="n">
        <v>0</v>
      </c>
      <c r="P438" t="n">
        <v>0</v>
      </c>
      <c r="Q438" t="n">
        <v>0</v>
      </c>
      <c r="R438" s="2" t="inlineStr"/>
    </row>
    <row r="439" ht="15" customHeight="1">
      <c r="A439" t="inlineStr">
        <is>
          <t>A 50892-2021</t>
        </is>
      </c>
      <c r="B439" s="1" t="n">
        <v>44459</v>
      </c>
      <c r="C439" s="1" t="n">
        <v>45635</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52892-2021</t>
        </is>
      </c>
      <c r="B440" s="1" t="n">
        <v>44467</v>
      </c>
      <c r="C440" s="1" t="n">
        <v>45635</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53479-2021</t>
        </is>
      </c>
      <c r="B441" s="1" t="n">
        <v>44468</v>
      </c>
      <c r="C441" s="1" t="n">
        <v>45635</v>
      </c>
      <c r="D441" t="inlineStr">
        <is>
          <t>GOTLANDS LÄN</t>
        </is>
      </c>
      <c r="E441" t="inlineStr">
        <is>
          <t>GOTLAND</t>
        </is>
      </c>
      <c r="G441" t="n">
        <v>8</v>
      </c>
      <c r="H441" t="n">
        <v>0</v>
      </c>
      <c r="I441" t="n">
        <v>0</v>
      </c>
      <c r="J441" t="n">
        <v>0</v>
      </c>
      <c r="K441" t="n">
        <v>0</v>
      </c>
      <c r="L441" t="n">
        <v>0</v>
      </c>
      <c r="M441" t="n">
        <v>0</v>
      </c>
      <c r="N441" t="n">
        <v>0</v>
      </c>
      <c r="O441" t="n">
        <v>0</v>
      </c>
      <c r="P441" t="n">
        <v>0</v>
      </c>
      <c r="Q441" t="n">
        <v>0</v>
      </c>
      <c r="R441" s="2" t="inlineStr"/>
    </row>
    <row r="442" ht="15" customHeight="1">
      <c r="A442" t="inlineStr">
        <is>
          <t>A 56951-2021</t>
        </is>
      </c>
      <c r="B442" s="1" t="n">
        <v>44482</v>
      </c>
      <c r="C442" s="1" t="n">
        <v>45635</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57219-2021</t>
        </is>
      </c>
      <c r="B443" s="1" t="n">
        <v>44483</v>
      </c>
      <c r="C443" s="1" t="n">
        <v>45635</v>
      </c>
      <c r="D443" t="inlineStr">
        <is>
          <t>GOTLANDS LÄN</t>
        </is>
      </c>
      <c r="E443" t="inlineStr">
        <is>
          <t>GOTLAND</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58224-2021</t>
        </is>
      </c>
      <c r="B444" s="1" t="n">
        <v>44487</v>
      </c>
      <c r="C444" s="1" t="n">
        <v>45635</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58600-2021</t>
        </is>
      </c>
      <c r="B445" s="1" t="n">
        <v>44488</v>
      </c>
      <c r="C445" s="1" t="n">
        <v>45635</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58815-2021</t>
        </is>
      </c>
      <c r="B446" s="1" t="n">
        <v>44489</v>
      </c>
      <c r="C446" s="1" t="n">
        <v>45635</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60607-2021</t>
        </is>
      </c>
      <c r="B447" s="1" t="n">
        <v>44496</v>
      </c>
      <c r="C447" s="1" t="n">
        <v>45635</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60675-2021</t>
        </is>
      </c>
      <c r="B448" s="1" t="n">
        <v>44496</v>
      </c>
      <c r="C448" s="1" t="n">
        <v>45635</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62915-2021</t>
        </is>
      </c>
      <c r="B449" s="1" t="n">
        <v>44504</v>
      </c>
      <c r="C449" s="1" t="n">
        <v>45635</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63229-2021</t>
        </is>
      </c>
      <c r="B450" s="1" t="n">
        <v>44508</v>
      </c>
      <c r="C450" s="1" t="n">
        <v>45635</v>
      </c>
      <c r="D450" t="inlineStr">
        <is>
          <t>GOTLANDS LÄN</t>
        </is>
      </c>
      <c r="E450" t="inlineStr">
        <is>
          <t>GOTLAND</t>
        </is>
      </c>
      <c r="F450" t="inlineStr">
        <is>
          <t>Kyrkan</t>
        </is>
      </c>
      <c r="G450" t="n">
        <v>3.8</v>
      </c>
      <c r="H450" t="n">
        <v>0</v>
      </c>
      <c r="I450" t="n">
        <v>0</v>
      </c>
      <c r="J450" t="n">
        <v>0</v>
      </c>
      <c r="K450" t="n">
        <v>0</v>
      </c>
      <c r="L450" t="n">
        <v>0</v>
      </c>
      <c r="M450" t="n">
        <v>0</v>
      </c>
      <c r="N450" t="n">
        <v>0</v>
      </c>
      <c r="O450" t="n">
        <v>0</v>
      </c>
      <c r="P450" t="n">
        <v>0</v>
      </c>
      <c r="Q450" t="n">
        <v>0</v>
      </c>
      <c r="R450" s="2" t="inlineStr"/>
    </row>
    <row r="451" ht="15" customHeight="1">
      <c r="A451" t="inlineStr">
        <is>
          <t>A 64208-2021</t>
        </is>
      </c>
      <c r="B451" s="1" t="n">
        <v>44510</v>
      </c>
      <c r="C451" s="1" t="n">
        <v>45635</v>
      </c>
      <c r="D451" t="inlineStr">
        <is>
          <t>GOTLANDS LÄN</t>
        </is>
      </c>
      <c r="E451" t="inlineStr">
        <is>
          <t>GOTLAND</t>
        </is>
      </c>
      <c r="G451" t="n">
        <v>4.7</v>
      </c>
      <c r="H451" t="n">
        <v>0</v>
      </c>
      <c r="I451" t="n">
        <v>0</v>
      </c>
      <c r="J451" t="n">
        <v>0</v>
      </c>
      <c r="K451" t="n">
        <v>0</v>
      </c>
      <c r="L451" t="n">
        <v>0</v>
      </c>
      <c r="M451" t="n">
        <v>0</v>
      </c>
      <c r="N451" t="n">
        <v>0</v>
      </c>
      <c r="O451" t="n">
        <v>0</v>
      </c>
      <c r="P451" t="n">
        <v>0</v>
      </c>
      <c r="Q451" t="n">
        <v>0</v>
      </c>
      <c r="R451" s="2" t="inlineStr"/>
    </row>
    <row r="452" ht="15" customHeight="1">
      <c r="A452" t="inlineStr">
        <is>
          <t>A 65393-2021</t>
        </is>
      </c>
      <c r="B452" s="1" t="n">
        <v>44515</v>
      </c>
      <c r="C452" s="1" t="n">
        <v>45635</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65901-2021</t>
        </is>
      </c>
      <c r="B453" s="1" t="n">
        <v>44516</v>
      </c>
      <c r="C453" s="1" t="n">
        <v>45635</v>
      </c>
      <c r="D453" t="inlineStr">
        <is>
          <t>GOTLANDS LÄN</t>
        </is>
      </c>
      <c r="E453" t="inlineStr">
        <is>
          <t>GOTLAND</t>
        </is>
      </c>
      <c r="G453" t="n">
        <v>4.9</v>
      </c>
      <c r="H453" t="n">
        <v>0</v>
      </c>
      <c r="I453" t="n">
        <v>0</v>
      </c>
      <c r="J453" t="n">
        <v>0</v>
      </c>
      <c r="K453" t="n">
        <v>0</v>
      </c>
      <c r="L453" t="n">
        <v>0</v>
      </c>
      <c r="M453" t="n">
        <v>0</v>
      </c>
      <c r="N453" t="n">
        <v>0</v>
      </c>
      <c r="O453" t="n">
        <v>0</v>
      </c>
      <c r="P453" t="n">
        <v>0</v>
      </c>
      <c r="Q453" t="n">
        <v>0</v>
      </c>
      <c r="R453" s="2" t="inlineStr"/>
    </row>
    <row r="454" ht="15" customHeight="1">
      <c r="A454" t="inlineStr">
        <is>
          <t>A 69112-2021</t>
        </is>
      </c>
      <c r="B454" s="1" t="n">
        <v>44530</v>
      </c>
      <c r="C454" s="1" t="n">
        <v>45635</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70997-2021</t>
        </is>
      </c>
      <c r="B455" s="1" t="n">
        <v>44538</v>
      </c>
      <c r="C455" s="1" t="n">
        <v>45635</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71010-2021</t>
        </is>
      </c>
      <c r="B456" s="1" t="n">
        <v>44538</v>
      </c>
      <c r="C456" s="1" t="n">
        <v>45635</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71620-2021</t>
        </is>
      </c>
      <c r="B457" s="1" t="n">
        <v>44542</v>
      </c>
      <c r="C457" s="1" t="n">
        <v>45635</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72626-2021</t>
        </is>
      </c>
      <c r="B458" s="1" t="n">
        <v>44546</v>
      </c>
      <c r="C458" s="1" t="n">
        <v>45635</v>
      </c>
      <c r="D458" t="inlineStr">
        <is>
          <t>GOTLANDS LÄN</t>
        </is>
      </c>
      <c r="E458" t="inlineStr">
        <is>
          <t>GOTLAND</t>
        </is>
      </c>
      <c r="G458" t="n">
        <v>7.3</v>
      </c>
      <c r="H458" t="n">
        <v>0</v>
      </c>
      <c r="I458" t="n">
        <v>0</v>
      </c>
      <c r="J458" t="n">
        <v>0</v>
      </c>
      <c r="K458" t="n">
        <v>0</v>
      </c>
      <c r="L458" t="n">
        <v>0</v>
      </c>
      <c r="M458" t="n">
        <v>0</v>
      </c>
      <c r="N458" t="n">
        <v>0</v>
      </c>
      <c r="O458" t="n">
        <v>0</v>
      </c>
      <c r="P458" t="n">
        <v>0</v>
      </c>
      <c r="Q458" t="n">
        <v>0</v>
      </c>
      <c r="R458" s="2" t="inlineStr"/>
    </row>
    <row r="459" ht="15" customHeight="1">
      <c r="A459" t="inlineStr">
        <is>
          <t>A 411-2022</t>
        </is>
      </c>
      <c r="B459" s="1" t="n">
        <v>44565</v>
      </c>
      <c r="C459" s="1" t="n">
        <v>45635</v>
      </c>
      <c r="D459" t="inlineStr">
        <is>
          <t>GOTLANDS LÄN</t>
        </is>
      </c>
      <c r="E459" t="inlineStr">
        <is>
          <t>GOTLAND</t>
        </is>
      </c>
      <c r="G459" t="n">
        <v>3.9</v>
      </c>
      <c r="H459" t="n">
        <v>0</v>
      </c>
      <c r="I459" t="n">
        <v>0</v>
      </c>
      <c r="J459" t="n">
        <v>0</v>
      </c>
      <c r="K459" t="n">
        <v>0</v>
      </c>
      <c r="L459" t="n">
        <v>0</v>
      </c>
      <c r="M459" t="n">
        <v>0</v>
      </c>
      <c r="N459" t="n">
        <v>0</v>
      </c>
      <c r="O459" t="n">
        <v>0</v>
      </c>
      <c r="P459" t="n">
        <v>0</v>
      </c>
      <c r="Q459" t="n">
        <v>0</v>
      </c>
      <c r="R459" s="2" t="inlineStr"/>
    </row>
    <row r="460" ht="15" customHeight="1">
      <c r="A460" t="inlineStr">
        <is>
          <t>A 4262-2022</t>
        </is>
      </c>
      <c r="B460" s="1" t="n">
        <v>44588</v>
      </c>
      <c r="C460" s="1" t="n">
        <v>45635</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8055-2022</t>
        </is>
      </c>
      <c r="B461" s="1" t="n">
        <v>44609</v>
      </c>
      <c r="C461" s="1" t="n">
        <v>45635</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8036-2022</t>
        </is>
      </c>
      <c r="B462" s="1" t="n">
        <v>44609</v>
      </c>
      <c r="C462" s="1" t="n">
        <v>45635</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8045-2022</t>
        </is>
      </c>
      <c r="B463" s="1" t="n">
        <v>44609</v>
      </c>
      <c r="C463" s="1" t="n">
        <v>45635</v>
      </c>
      <c r="D463" t="inlineStr">
        <is>
          <t>GOTLANDS LÄN</t>
        </is>
      </c>
      <c r="E463" t="inlineStr">
        <is>
          <t>GOTLAND</t>
        </is>
      </c>
      <c r="G463" t="n">
        <v>7</v>
      </c>
      <c r="H463" t="n">
        <v>0</v>
      </c>
      <c r="I463" t="n">
        <v>0</v>
      </c>
      <c r="J463" t="n">
        <v>0</v>
      </c>
      <c r="K463" t="n">
        <v>0</v>
      </c>
      <c r="L463" t="n">
        <v>0</v>
      </c>
      <c r="M463" t="n">
        <v>0</v>
      </c>
      <c r="N463" t="n">
        <v>0</v>
      </c>
      <c r="O463" t="n">
        <v>0</v>
      </c>
      <c r="P463" t="n">
        <v>0</v>
      </c>
      <c r="Q463" t="n">
        <v>0</v>
      </c>
      <c r="R463" s="2" t="inlineStr"/>
    </row>
    <row r="464" ht="15" customHeight="1">
      <c r="A464" t="inlineStr">
        <is>
          <t>A 10650-2022</t>
        </is>
      </c>
      <c r="B464" s="1" t="n">
        <v>44624</v>
      </c>
      <c r="C464" s="1" t="n">
        <v>45635</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11029-2022</t>
        </is>
      </c>
      <c r="B465" s="1" t="n">
        <v>44628</v>
      </c>
      <c r="C465" s="1" t="n">
        <v>45635</v>
      </c>
      <c r="D465" t="inlineStr">
        <is>
          <t>GOTLANDS LÄN</t>
        </is>
      </c>
      <c r="E465" t="inlineStr">
        <is>
          <t>GOTLAND</t>
        </is>
      </c>
      <c r="G465" t="n">
        <v>1.8</v>
      </c>
      <c r="H465" t="n">
        <v>0</v>
      </c>
      <c r="I465" t="n">
        <v>0</v>
      </c>
      <c r="J465" t="n">
        <v>0</v>
      </c>
      <c r="K465" t="n">
        <v>0</v>
      </c>
      <c r="L465" t="n">
        <v>0</v>
      </c>
      <c r="M465" t="n">
        <v>0</v>
      </c>
      <c r="N465" t="n">
        <v>0</v>
      </c>
      <c r="O465" t="n">
        <v>0</v>
      </c>
      <c r="P465" t="n">
        <v>0</v>
      </c>
      <c r="Q465" t="n">
        <v>0</v>
      </c>
      <c r="R465" s="2" t="inlineStr"/>
    </row>
    <row r="466" ht="15" customHeight="1">
      <c r="A466" t="inlineStr">
        <is>
          <t>A 13498-2022</t>
        </is>
      </c>
      <c r="B466" s="1" t="n">
        <v>44647</v>
      </c>
      <c r="C466" s="1" t="n">
        <v>45635</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13500-2022</t>
        </is>
      </c>
      <c r="B467" s="1" t="n">
        <v>44647</v>
      </c>
      <c r="C467" s="1" t="n">
        <v>45635</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13643-2022</t>
        </is>
      </c>
      <c r="B468" s="1" t="n">
        <v>44648</v>
      </c>
      <c r="C468" s="1" t="n">
        <v>45635</v>
      </c>
      <c r="D468" t="inlineStr">
        <is>
          <t>GOTLANDS LÄN</t>
        </is>
      </c>
      <c r="E468" t="inlineStr">
        <is>
          <t>GOTLAND</t>
        </is>
      </c>
      <c r="G468" t="n">
        <v>1.5</v>
      </c>
      <c r="H468" t="n">
        <v>0</v>
      </c>
      <c r="I468" t="n">
        <v>0</v>
      </c>
      <c r="J468" t="n">
        <v>0</v>
      </c>
      <c r="K468" t="n">
        <v>0</v>
      </c>
      <c r="L468" t="n">
        <v>0</v>
      </c>
      <c r="M468" t="n">
        <v>0</v>
      </c>
      <c r="N468" t="n">
        <v>0</v>
      </c>
      <c r="O468" t="n">
        <v>0</v>
      </c>
      <c r="P468" t="n">
        <v>0</v>
      </c>
      <c r="Q468" t="n">
        <v>0</v>
      </c>
      <c r="R468" s="2" t="inlineStr"/>
    </row>
    <row r="469" ht="15" customHeight="1">
      <c r="A469" t="inlineStr">
        <is>
          <t>A 14413-2022</t>
        </is>
      </c>
      <c r="B469" s="1" t="n">
        <v>44652</v>
      </c>
      <c r="C469" s="1" t="n">
        <v>45635</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15713-2022</t>
        </is>
      </c>
      <c r="B470" s="1" t="n">
        <v>44663</v>
      </c>
      <c r="C470" s="1" t="n">
        <v>45635</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15710-2022</t>
        </is>
      </c>
      <c r="B471" s="1" t="n">
        <v>44663</v>
      </c>
      <c r="C471" s="1" t="n">
        <v>45635</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16858-2022</t>
        </is>
      </c>
      <c r="B472" s="1" t="n">
        <v>44674</v>
      </c>
      <c r="C472" s="1" t="n">
        <v>45635</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17147-2022</t>
        </is>
      </c>
      <c r="B473" s="1" t="n">
        <v>44677</v>
      </c>
      <c r="C473" s="1" t="n">
        <v>45635</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17354-2022</t>
        </is>
      </c>
      <c r="B474" s="1" t="n">
        <v>44678</v>
      </c>
      <c r="C474" s="1" t="n">
        <v>45635</v>
      </c>
      <c r="D474" t="inlineStr">
        <is>
          <t>GOTLANDS LÄN</t>
        </is>
      </c>
      <c r="E474" t="inlineStr">
        <is>
          <t>GOTLAND</t>
        </is>
      </c>
      <c r="G474" t="n">
        <v>7.1</v>
      </c>
      <c r="H474" t="n">
        <v>0</v>
      </c>
      <c r="I474" t="n">
        <v>0</v>
      </c>
      <c r="J474" t="n">
        <v>0</v>
      </c>
      <c r="K474" t="n">
        <v>0</v>
      </c>
      <c r="L474" t="n">
        <v>0</v>
      </c>
      <c r="M474" t="n">
        <v>0</v>
      </c>
      <c r="N474" t="n">
        <v>0</v>
      </c>
      <c r="O474" t="n">
        <v>0</v>
      </c>
      <c r="P474" t="n">
        <v>0</v>
      </c>
      <c r="Q474" t="n">
        <v>0</v>
      </c>
      <c r="R474" s="2" t="inlineStr"/>
    </row>
    <row r="475" ht="15" customHeight="1">
      <c r="A475" t="inlineStr">
        <is>
          <t>A 17381-2022</t>
        </is>
      </c>
      <c r="B475" s="1" t="n">
        <v>44678</v>
      </c>
      <c r="C475" s="1" t="n">
        <v>45635</v>
      </c>
      <c r="D475" t="inlineStr">
        <is>
          <t>GOTLANDS LÄN</t>
        </is>
      </c>
      <c r="E475" t="inlineStr">
        <is>
          <t>GOTLAND</t>
        </is>
      </c>
      <c r="G475" t="n">
        <v>2.4</v>
      </c>
      <c r="H475" t="n">
        <v>0</v>
      </c>
      <c r="I475" t="n">
        <v>0</v>
      </c>
      <c r="J475" t="n">
        <v>0</v>
      </c>
      <c r="K475" t="n">
        <v>0</v>
      </c>
      <c r="L475" t="n">
        <v>0</v>
      </c>
      <c r="M475" t="n">
        <v>0</v>
      </c>
      <c r="N475" t="n">
        <v>0</v>
      </c>
      <c r="O475" t="n">
        <v>0</v>
      </c>
      <c r="P475" t="n">
        <v>0</v>
      </c>
      <c r="Q475" t="n">
        <v>0</v>
      </c>
      <c r="R475" s="2" t="inlineStr"/>
    </row>
    <row r="476" ht="15" customHeight="1">
      <c r="A476" t="inlineStr">
        <is>
          <t>A 17780-2022</t>
        </is>
      </c>
      <c r="B476" s="1" t="n">
        <v>44682</v>
      </c>
      <c r="C476" s="1" t="n">
        <v>45635</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20165-2022</t>
        </is>
      </c>
      <c r="B477" s="1" t="n">
        <v>44698</v>
      </c>
      <c r="C477" s="1" t="n">
        <v>45635</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20356-2022</t>
        </is>
      </c>
      <c r="B478" s="1" t="n">
        <v>44699</v>
      </c>
      <c r="C478" s="1" t="n">
        <v>45635</v>
      </c>
      <c r="D478" t="inlineStr">
        <is>
          <t>GOTLANDS LÄN</t>
        </is>
      </c>
      <c r="E478" t="inlineStr">
        <is>
          <t>GOTLAND</t>
        </is>
      </c>
      <c r="F478" t="inlineStr">
        <is>
          <t>Övriga Aktiebolag</t>
        </is>
      </c>
      <c r="G478" t="n">
        <v>4.4</v>
      </c>
      <c r="H478" t="n">
        <v>0</v>
      </c>
      <c r="I478" t="n">
        <v>0</v>
      </c>
      <c r="J478" t="n">
        <v>0</v>
      </c>
      <c r="K478" t="n">
        <v>0</v>
      </c>
      <c r="L478" t="n">
        <v>0</v>
      </c>
      <c r="M478" t="n">
        <v>0</v>
      </c>
      <c r="N478" t="n">
        <v>0</v>
      </c>
      <c r="O478" t="n">
        <v>0</v>
      </c>
      <c r="P478" t="n">
        <v>0</v>
      </c>
      <c r="Q478" t="n">
        <v>0</v>
      </c>
      <c r="R478" s="2" t="inlineStr"/>
    </row>
    <row r="479" ht="15" customHeight="1">
      <c r="A479" t="inlineStr">
        <is>
          <t>A 20990-2022</t>
        </is>
      </c>
      <c r="B479" s="1" t="n">
        <v>44703</v>
      </c>
      <c r="C479" s="1" t="n">
        <v>45635</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20993-2022</t>
        </is>
      </c>
      <c r="B480" s="1" t="n">
        <v>44703</v>
      </c>
      <c r="C480" s="1" t="n">
        <v>45635</v>
      </c>
      <c r="D480" t="inlineStr">
        <is>
          <t>GOTLANDS LÄN</t>
        </is>
      </c>
      <c r="E480" t="inlineStr">
        <is>
          <t>GOTLAND</t>
        </is>
      </c>
      <c r="G480" t="n">
        <v>3</v>
      </c>
      <c r="H480" t="n">
        <v>0</v>
      </c>
      <c r="I480" t="n">
        <v>0</v>
      </c>
      <c r="J480" t="n">
        <v>0</v>
      </c>
      <c r="K480" t="n">
        <v>0</v>
      </c>
      <c r="L480" t="n">
        <v>0</v>
      </c>
      <c r="M480" t="n">
        <v>0</v>
      </c>
      <c r="N480" t="n">
        <v>0</v>
      </c>
      <c r="O480" t="n">
        <v>0</v>
      </c>
      <c r="P480" t="n">
        <v>0</v>
      </c>
      <c r="Q480" t="n">
        <v>0</v>
      </c>
      <c r="R480" s="2" t="inlineStr"/>
    </row>
    <row r="481" ht="15" customHeight="1">
      <c r="A481" t="inlineStr">
        <is>
          <t>A 21247-2022</t>
        </is>
      </c>
      <c r="B481" s="1" t="n">
        <v>44705</v>
      </c>
      <c r="C481" s="1" t="n">
        <v>45635</v>
      </c>
      <c r="D481" t="inlineStr">
        <is>
          <t>GOTLANDS LÄN</t>
        </is>
      </c>
      <c r="E481" t="inlineStr">
        <is>
          <t>GOTLAND</t>
        </is>
      </c>
      <c r="G481" t="n">
        <v>16.2</v>
      </c>
      <c r="H481" t="n">
        <v>0</v>
      </c>
      <c r="I481" t="n">
        <v>0</v>
      </c>
      <c r="J481" t="n">
        <v>0</v>
      </c>
      <c r="K481" t="n">
        <v>0</v>
      </c>
      <c r="L481" t="n">
        <v>0</v>
      </c>
      <c r="M481" t="n">
        <v>0</v>
      </c>
      <c r="N481" t="n">
        <v>0</v>
      </c>
      <c r="O481" t="n">
        <v>0</v>
      </c>
      <c r="P481" t="n">
        <v>0</v>
      </c>
      <c r="Q481" t="n">
        <v>0</v>
      </c>
      <c r="R481" s="2" t="inlineStr"/>
    </row>
    <row r="482" ht="15" customHeight="1">
      <c r="A482" t="inlineStr">
        <is>
          <t>A 22287-2022</t>
        </is>
      </c>
      <c r="B482" s="1" t="n">
        <v>44712</v>
      </c>
      <c r="C482" s="1" t="n">
        <v>45635</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22498-2022</t>
        </is>
      </c>
      <c r="B483" s="1" t="n">
        <v>44713</v>
      </c>
      <c r="C483" s="1" t="n">
        <v>45635</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22495-2022</t>
        </is>
      </c>
      <c r="B484" s="1" t="n">
        <v>44713</v>
      </c>
      <c r="C484" s="1" t="n">
        <v>45635</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24123-2022</t>
        </is>
      </c>
      <c r="B485" s="1" t="n">
        <v>44725</v>
      </c>
      <c r="C485" s="1" t="n">
        <v>45635</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24235-2022</t>
        </is>
      </c>
      <c r="B486" s="1" t="n">
        <v>44725</v>
      </c>
      <c r="C486" s="1" t="n">
        <v>45635</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25866-2022</t>
        </is>
      </c>
      <c r="B487" s="1" t="n">
        <v>44733</v>
      </c>
      <c r="C487" s="1" t="n">
        <v>45635</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45635</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29809-2022</t>
        </is>
      </c>
      <c r="B489" s="1" t="n">
        <v>44755</v>
      </c>
      <c r="C489" s="1" t="n">
        <v>45635</v>
      </c>
      <c r="D489" t="inlineStr">
        <is>
          <t>GOTLANDS LÄN</t>
        </is>
      </c>
      <c r="E489" t="inlineStr">
        <is>
          <t>GOTLAND</t>
        </is>
      </c>
      <c r="G489" t="n">
        <v>11.5</v>
      </c>
      <c r="H489" t="n">
        <v>0</v>
      </c>
      <c r="I489" t="n">
        <v>0</v>
      </c>
      <c r="J489" t="n">
        <v>0</v>
      </c>
      <c r="K489" t="n">
        <v>0</v>
      </c>
      <c r="L489" t="n">
        <v>0</v>
      </c>
      <c r="M489" t="n">
        <v>0</v>
      </c>
      <c r="N489" t="n">
        <v>0</v>
      </c>
      <c r="O489" t="n">
        <v>0</v>
      </c>
      <c r="P489" t="n">
        <v>0</v>
      </c>
      <c r="Q489" t="n">
        <v>0</v>
      </c>
      <c r="R489" s="2" t="inlineStr"/>
    </row>
    <row r="490" ht="15" customHeight="1">
      <c r="A490" t="inlineStr">
        <is>
          <t>A 30282-2022</t>
        </is>
      </c>
      <c r="B490" s="1" t="n">
        <v>44760</v>
      </c>
      <c r="C490" s="1" t="n">
        <v>45635</v>
      </c>
      <c r="D490" t="inlineStr">
        <is>
          <t>GOTLANDS LÄN</t>
        </is>
      </c>
      <c r="E490" t="inlineStr">
        <is>
          <t>GOTLAND</t>
        </is>
      </c>
      <c r="G490" t="n">
        <v>2.6</v>
      </c>
      <c r="H490" t="n">
        <v>0</v>
      </c>
      <c r="I490" t="n">
        <v>0</v>
      </c>
      <c r="J490" t="n">
        <v>0</v>
      </c>
      <c r="K490" t="n">
        <v>0</v>
      </c>
      <c r="L490" t="n">
        <v>0</v>
      </c>
      <c r="M490" t="n">
        <v>0</v>
      </c>
      <c r="N490" t="n">
        <v>0</v>
      </c>
      <c r="O490" t="n">
        <v>0</v>
      </c>
      <c r="P490" t="n">
        <v>0</v>
      </c>
      <c r="Q490" t="n">
        <v>0</v>
      </c>
      <c r="R490" s="2" t="inlineStr"/>
    </row>
    <row r="491" ht="15" customHeight="1">
      <c r="A491" t="inlineStr">
        <is>
          <t>A 31239-2022</t>
        </is>
      </c>
      <c r="B491" s="1" t="n">
        <v>44771</v>
      </c>
      <c r="C491" s="1" t="n">
        <v>45635</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37569-2022</t>
        </is>
      </c>
      <c r="B492" s="1" t="n">
        <v>44809</v>
      </c>
      <c r="C492" s="1" t="n">
        <v>45635</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39302-2022</t>
        </is>
      </c>
      <c r="B493" s="1" t="n">
        <v>44817</v>
      </c>
      <c r="C493" s="1" t="n">
        <v>45635</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39496-2022</t>
        </is>
      </c>
      <c r="B494" s="1" t="n">
        <v>44818</v>
      </c>
      <c r="C494" s="1" t="n">
        <v>45635</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39479-2022</t>
        </is>
      </c>
      <c r="B495" s="1" t="n">
        <v>44818</v>
      </c>
      <c r="C495" s="1" t="n">
        <v>45635</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39764-2022</t>
        </is>
      </c>
      <c r="B496" s="1" t="n">
        <v>44819</v>
      </c>
      <c r="C496" s="1" t="n">
        <v>45635</v>
      </c>
      <c r="D496" t="inlineStr">
        <is>
          <t>GOTLANDS LÄN</t>
        </is>
      </c>
      <c r="E496" t="inlineStr">
        <is>
          <t>GOTLAND</t>
        </is>
      </c>
      <c r="F496" t="inlineStr">
        <is>
          <t>Kyrkan</t>
        </is>
      </c>
      <c r="G496" t="n">
        <v>3.7</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45635</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40478-2022</t>
        </is>
      </c>
      <c r="B498" s="1" t="n">
        <v>44823</v>
      </c>
      <c r="C498" s="1" t="n">
        <v>45635</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43081-2022</t>
        </is>
      </c>
      <c r="B499" s="1" t="n">
        <v>44833</v>
      </c>
      <c r="C499" s="1" t="n">
        <v>45635</v>
      </c>
      <c r="D499" t="inlineStr">
        <is>
          <t>GOTLANDS LÄN</t>
        </is>
      </c>
      <c r="E499" t="inlineStr">
        <is>
          <t>GOTLAND</t>
        </is>
      </c>
      <c r="G499" t="n">
        <v>6.8</v>
      </c>
      <c r="H499" t="n">
        <v>0</v>
      </c>
      <c r="I499" t="n">
        <v>0</v>
      </c>
      <c r="J499" t="n">
        <v>0</v>
      </c>
      <c r="K499" t="n">
        <v>0</v>
      </c>
      <c r="L499" t="n">
        <v>0</v>
      </c>
      <c r="M499" t="n">
        <v>0</v>
      </c>
      <c r="N499" t="n">
        <v>0</v>
      </c>
      <c r="O499" t="n">
        <v>0</v>
      </c>
      <c r="P499" t="n">
        <v>0</v>
      </c>
      <c r="Q499" t="n">
        <v>0</v>
      </c>
      <c r="R499" s="2" t="inlineStr"/>
    </row>
    <row r="500" ht="15" customHeight="1">
      <c r="A500" t="inlineStr">
        <is>
          <t>A 44102-2022</t>
        </is>
      </c>
      <c r="B500" s="1" t="n">
        <v>44839</v>
      </c>
      <c r="C500" s="1" t="n">
        <v>45635</v>
      </c>
      <c r="D500" t="inlineStr">
        <is>
          <t>GOTLANDS LÄN</t>
        </is>
      </c>
      <c r="E500" t="inlineStr">
        <is>
          <t>GOTLAND</t>
        </is>
      </c>
      <c r="G500" t="n">
        <v>4.2</v>
      </c>
      <c r="H500" t="n">
        <v>0</v>
      </c>
      <c r="I500" t="n">
        <v>0</v>
      </c>
      <c r="J500" t="n">
        <v>0</v>
      </c>
      <c r="K500" t="n">
        <v>0</v>
      </c>
      <c r="L500" t="n">
        <v>0</v>
      </c>
      <c r="M500" t="n">
        <v>0</v>
      </c>
      <c r="N500" t="n">
        <v>0</v>
      </c>
      <c r="O500" t="n">
        <v>0</v>
      </c>
      <c r="P500" t="n">
        <v>0</v>
      </c>
      <c r="Q500" t="n">
        <v>0</v>
      </c>
      <c r="R500" s="2" t="inlineStr"/>
    </row>
    <row r="501" ht="15" customHeight="1">
      <c r="A501" t="inlineStr">
        <is>
          <t>A 44108-2022</t>
        </is>
      </c>
      <c r="B501" s="1" t="n">
        <v>44839</v>
      </c>
      <c r="C501" s="1" t="n">
        <v>45635</v>
      </c>
      <c r="D501" t="inlineStr">
        <is>
          <t>GOTLANDS LÄN</t>
        </is>
      </c>
      <c r="E501" t="inlineStr">
        <is>
          <t>GOTLAND</t>
        </is>
      </c>
      <c r="G501" t="n">
        <v>12.9</v>
      </c>
      <c r="H501" t="n">
        <v>0</v>
      </c>
      <c r="I501" t="n">
        <v>0</v>
      </c>
      <c r="J501" t="n">
        <v>0</v>
      </c>
      <c r="K501" t="n">
        <v>0</v>
      </c>
      <c r="L501" t="n">
        <v>0</v>
      </c>
      <c r="M501" t="n">
        <v>0</v>
      </c>
      <c r="N501" t="n">
        <v>0</v>
      </c>
      <c r="O501" t="n">
        <v>0</v>
      </c>
      <c r="P501" t="n">
        <v>0</v>
      </c>
      <c r="Q501" t="n">
        <v>0</v>
      </c>
      <c r="R501" s="2" t="inlineStr"/>
    </row>
    <row r="502" ht="15" customHeight="1">
      <c r="A502" t="inlineStr">
        <is>
          <t>A 44207-2022</t>
        </is>
      </c>
      <c r="B502" s="1" t="n">
        <v>44839</v>
      </c>
      <c r="C502" s="1" t="n">
        <v>45635</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44204-2022</t>
        </is>
      </c>
      <c r="B503" s="1" t="n">
        <v>44839</v>
      </c>
      <c r="C503" s="1" t="n">
        <v>45635</v>
      </c>
      <c r="D503" t="inlineStr">
        <is>
          <t>GOTLANDS LÄN</t>
        </is>
      </c>
      <c r="E503" t="inlineStr">
        <is>
          <t>GOTLAND</t>
        </is>
      </c>
      <c r="G503" t="n">
        <v>2.3</v>
      </c>
      <c r="H503" t="n">
        <v>0</v>
      </c>
      <c r="I503" t="n">
        <v>0</v>
      </c>
      <c r="J503" t="n">
        <v>0</v>
      </c>
      <c r="K503" t="n">
        <v>0</v>
      </c>
      <c r="L503" t="n">
        <v>0</v>
      </c>
      <c r="M503" t="n">
        <v>0</v>
      </c>
      <c r="N503" t="n">
        <v>0</v>
      </c>
      <c r="O503" t="n">
        <v>0</v>
      </c>
      <c r="P503" t="n">
        <v>0</v>
      </c>
      <c r="Q503" t="n">
        <v>0</v>
      </c>
      <c r="R503" s="2" t="inlineStr"/>
    </row>
    <row r="504" ht="15" customHeight="1">
      <c r="A504" t="inlineStr">
        <is>
          <t>A 44228-2022</t>
        </is>
      </c>
      <c r="B504" s="1" t="n">
        <v>44839</v>
      </c>
      <c r="C504" s="1" t="n">
        <v>45635</v>
      </c>
      <c r="D504" t="inlineStr">
        <is>
          <t>GOTLANDS LÄN</t>
        </is>
      </c>
      <c r="E504" t="inlineStr">
        <is>
          <t>GOTLAND</t>
        </is>
      </c>
      <c r="G504" t="n">
        <v>2.1</v>
      </c>
      <c r="H504" t="n">
        <v>0</v>
      </c>
      <c r="I504" t="n">
        <v>0</v>
      </c>
      <c r="J504" t="n">
        <v>0</v>
      </c>
      <c r="K504" t="n">
        <v>0</v>
      </c>
      <c r="L504" t="n">
        <v>0</v>
      </c>
      <c r="M504" t="n">
        <v>0</v>
      </c>
      <c r="N504" t="n">
        <v>0</v>
      </c>
      <c r="O504" t="n">
        <v>0</v>
      </c>
      <c r="P504" t="n">
        <v>0</v>
      </c>
      <c r="Q504" t="n">
        <v>0</v>
      </c>
      <c r="R504" s="2" t="inlineStr"/>
    </row>
    <row r="505" ht="15" customHeight="1">
      <c r="A505" t="inlineStr">
        <is>
          <t>A 44878-2022</t>
        </is>
      </c>
      <c r="B505" s="1" t="n">
        <v>44839</v>
      </c>
      <c r="C505" s="1" t="n">
        <v>45635</v>
      </c>
      <c r="D505" t="inlineStr">
        <is>
          <t>GOTLANDS LÄN</t>
        </is>
      </c>
      <c r="E505" t="inlineStr">
        <is>
          <t>GOTLAND</t>
        </is>
      </c>
      <c r="G505" t="n">
        <v>4</v>
      </c>
      <c r="H505" t="n">
        <v>0</v>
      </c>
      <c r="I505" t="n">
        <v>0</v>
      </c>
      <c r="J505" t="n">
        <v>0</v>
      </c>
      <c r="K505" t="n">
        <v>0</v>
      </c>
      <c r="L505" t="n">
        <v>0</v>
      </c>
      <c r="M505" t="n">
        <v>0</v>
      </c>
      <c r="N505" t="n">
        <v>0</v>
      </c>
      <c r="O505" t="n">
        <v>0</v>
      </c>
      <c r="P505" t="n">
        <v>0</v>
      </c>
      <c r="Q505" t="n">
        <v>0</v>
      </c>
      <c r="R505" s="2" t="inlineStr"/>
    </row>
    <row r="506" ht="15" customHeight="1">
      <c r="A506" t="inlineStr">
        <is>
          <t>A 44919-2022</t>
        </is>
      </c>
      <c r="B506" s="1" t="n">
        <v>44841</v>
      </c>
      <c r="C506" s="1" t="n">
        <v>45635</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44942-2022</t>
        </is>
      </c>
      <c r="B507" s="1" t="n">
        <v>44841</v>
      </c>
      <c r="C507" s="1" t="n">
        <v>45635</v>
      </c>
      <c r="D507" t="inlineStr">
        <is>
          <t>GOTLANDS LÄN</t>
        </is>
      </c>
      <c r="E507" t="inlineStr">
        <is>
          <t>GOTLAND</t>
        </is>
      </c>
      <c r="G507" t="n">
        <v>2</v>
      </c>
      <c r="H507" t="n">
        <v>0</v>
      </c>
      <c r="I507" t="n">
        <v>0</v>
      </c>
      <c r="J507" t="n">
        <v>0</v>
      </c>
      <c r="K507" t="n">
        <v>0</v>
      </c>
      <c r="L507" t="n">
        <v>0</v>
      </c>
      <c r="M507" t="n">
        <v>0</v>
      </c>
      <c r="N507" t="n">
        <v>0</v>
      </c>
      <c r="O507" t="n">
        <v>0</v>
      </c>
      <c r="P507" t="n">
        <v>0</v>
      </c>
      <c r="Q507" t="n">
        <v>0</v>
      </c>
      <c r="R507" s="2" t="inlineStr"/>
    </row>
    <row r="508" ht="15" customHeight="1">
      <c r="A508" t="inlineStr">
        <is>
          <t>A 46189-2022</t>
        </is>
      </c>
      <c r="B508" s="1" t="n">
        <v>44847</v>
      </c>
      <c r="C508" s="1" t="n">
        <v>45635</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47231-2022</t>
        </is>
      </c>
      <c r="B509" s="1" t="n">
        <v>44852</v>
      </c>
      <c r="C509" s="1" t="n">
        <v>45635</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48734-2022</t>
        </is>
      </c>
      <c r="B510" s="1" t="n">
        <v>44855</v>
      </c>
      <c r="C510" s="1" t="n">
        <v>45635</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49812-2022</t>
        </is>
      </c>
      <c r="B511" s="1" t="n">
        <v>44862</v>
      </c>
      <c r="C511" s="1" t="n">
        <v>45635</v>
      </c>
      <c r="D511" t="inlineStr">
        <is>
          <t>GOTLANDS LÄN</t>
        </is>
      </c>
      <c r="E511" t="inlineStr">
        <is>
          <t>GOTLAND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50810-2022</t>
        </is>
      </c>
      <c r="B512" s="1" t="n">
        <v>44867</v>
      </c>
      <c r="C512" s="1" t="n">
        <v>45635</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51591-2022</t>
        </is>
      </c>
      <c r="B513" s="1" t="n">
        <v>44871</v>
      </c>
      <c r="C513" s="1" t="n">
        <v>45635</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53725-2022</t>
        </is>
      </c>
      <c r="B514" s="1" t="n">
        <v>44875</v>
      </c>
      <c r="C514" s="1" t="n">
        <v>45635</v>
      </c>
      <c r="D514" t="inlineStr">
        <is>
          <t>GOTLANDS LÄN</t>
        </is>
      </c>
      <c r="E514" t="inlineStr">
        <is>
          <t>GOTLAND</t>
        </is>
      </c>
      <c r="F514" t="inlineStr">
        <is>
          <t>Övriga statliga verk och myndigheter</t>
        </is>
      </c>
      <c r="G514" t="n">
        <v>6.2</v>
      </c>
      <c r="H514" t="n">
        <v>0</v>
      </c>
      <c r="I514" t="n">
        <v>0</v>
      </c>
      <c r="J514" t="n">
        <v>0</v>
      </c>
      <c r="K514" t="n">
        <v>0</v>
      </c>
      <c r="L514" t="n">
        <v>0</v>
      </c>
      <c r="M514" t="n">
        <v>0</v>
      </c>
      <c r="N514" t="n">
        <v>0</v>
      </c>
      <c r="O514" t="n">
        <v>0</v>
      </c>
      <c r="P514" t="n">
        <v>0</v>
      </c>
      <c r="Q514" t="n">
        <v>0</v>
      </c>
      <c r="R514" s="2" t="inlineStr"/>
    </row>
    <row r="515" ht="15" customHeight="1">
      <c r="A515" t="inlineStr">
        <is>
          <t>A 53722-2022</t>
        </is>
      </c>
      <c r="B515" s="1" t="n">
        <v>44875</v>
      </c>
      <c r="C515" s="1" t="n">
        <v>45635</v>
      </c>
      <c r="D515" t="inlineStr">
        <is>
          <t>GOTLANDS LÄN</t>
        </is>
      </c>
      <c r="E515" t="inlineStr">
        <is>
          <t>GOTLAND</t>
        </is>
      </c>
      <c r="F515" t="inlineStr">
        <is>
          <t>Övriga statliga verk och myndigheter</t>
        </is>
      </c>
      <c r="G515" t="n">
        <v>8</v>
      </c>
      <c r="H515" t="n">
        <v>0</v>
      </c>
      <c r="I515" t="n">
        <v>0</v>
      </c>
      <c r="J515" t="n">
        <v>0</v>
      </c>
      <c r="K515" t="n">
        <v>0</v>
      </c>
      <c r="L515" t="n">
        <v>0</v>
      </c>
      <c r="M515" t="n">
        <v>0</v>
      </c>
      <c r="N515" t="n">
        <v>0</v>
      </c>
      <c r="O515" t="n">
        <v>0</v>
      </c>
      <c r="P515" t="n">
        <v>0</v>
      </c>
      <c r="Q515" t="n">
        <v>0</v>
      </c>
      <c r="R515" s="2" t="inlineStr"/>
    </row>
    <row r="516" ht="15" customHeight="1">
      <c r="A516" t="inlineStr">
        <is>
          <t>A 53727-2022</t>
        </is>
      </c>
      <c r="B516" s="1" t="n">
        <v>44875</v>
      </c>
      <c r="C516" s="1" t="n">
        <v>45635</v>
      </c>
      <c r="D516" t="inlineStr">
        <is>
          <t>GOTLANDS LÄN</t>
        </is>
      </c>
      <c r="E516" t="inlineStr">
        <is>
          <t>GOTLAND</t>
        </is>
      </c>
      <c r="F516" t="inlineStr">
        <is>
          <t>Övriga statliga verk och myndigheter</t>
        </is>
      </c>
      <c r="G516" t="n">
        <v>3.6</v>
      </c>
      <c r="H516" t="n">
        <v>0</v>
      </c>
      <c r="I516" t="n">
        <v>0</v>
      </c>
      <c r="J516" t="n">
        <v>0</v>
      </c>
      <c r="K516" t="n">
        <v>0</v>
      </c>
      <c r="L516" t="n">
        <v>0</v>
      </c>
      <c r="M516" t="n">
        <v>0</v>
      </c>
      <c r="N516" t="n">
        <v>0</v>
      </c>
      <c r="O516" t="n">
        <v>0</v>
      </c>
      <c r="P516" t="n">
        <v>0</v>
      </c>
      <c r="Q516" t="n">
        <v>0</v>
      </c>
      <c r="R516" s="2" t="inlineStr"/>
    </row>
    <row r="517" ht="15" customHeight="1">
      <c r="A517" t="inlineStr">
        <is>
          <t>A 53225-2022</t>
        </is>
      </c>
      <c r="B517" s="1" t="n">
        <v>44876</v>
      </c>
      <c r="C517" s="1" t="n">
        <v>45635</v>
      </c>
      <c r="D517" t="inlineStr">
        <is>
          <t>GOTLANDS LÄN</t>
        </is>
      </c>
      <c r="E517" t="inlineStr">
        <is>
          <t>GOTLAND</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54074-2022</t>
        </is>
      </c>
      <c r="B518" s="1" t="n">
        <v>44881</v>
      </c>
      <c r="C518" s="1" t="n">
        <v>45635</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54073-2022</t>
        </is>
      </c>
      <c r="B519" s="1" t="n">
        <v>44881</v>
      </c>
      <c r="C519" s="1" t="n">
        <v>45635</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54268-2022</t>
        </is>
      </c>
      <c r="B520" s="1" t="n">
        <v>44882</v>
      </c>
      <c r="C520" s="1" t="n">
        <v>45635</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55866-2022</t>
        </is>
      </c>
      <c r="B521" s="1" t="n">
        <v>44888</v>
      </c>
      <c r="C521" s="1" t="n">
        <v>45635</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56928-2022</t>
        </is>
      </c>
      <c r="B522" s="1" t="n">
        <v>44894</v>
      </c>
      <c r="C522" s="1" t="n">
        <v>45635</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58388-2022</t>
        </is>
      </c>
      <c r="B523" s="1" t="n">
        <v>44894</v>
      </c>
      <c r="C523" s="1" t="n">
        <v>45635</v>
      </c>
      <c r="D523" t="inlineStr">
        <is>
          <t>GOTLANDS LÄN</t>
        </is>
      </c>
      <c r="E523" t="inlineStr">
        <is>
          <t>GOTLAND</t>
        </is>
      </c>
      <c r="F523" t="inlineStr">
        <is>
          <t>Övriga statliga verk och myndigheter</t>
        </is>
      </c>
      <c r="G523" t="n">
        <v>3.1</v>
      </c>
      <c r="H523" t="n">
        <v>0</v>
      </c>
      <c r="I523" t="n">
        <v>0</v>
      </c>
      <c r="J523" t="n">
        <v>0</v>
      </c>
      <c r="K523" t="n">
        <v>0</v>
      </c>
      <c r="L523" t="n">
        <v>0</v>
      </c>
      <c r="M523" t="n">
        <v>0</v>
      </c>
      <c r="N523" t="n">
        <v>0</v>
      </c>
      <c r="O523" t="n">
        <v>0</v>
      </c>
      <c r="P523" t="n">
        <v>0</v>
      </c>
      <c r="Q523" t="n">
        <v>0</v>
      </c>
      <c r="R523" s="2" t="inlineStr"/>
    </row>
    <row r="524" ht="15" customHeight="1">
      <c r="A524" t="inlineStr">
        <is>
          <t>A 57534-2022</t>
        </is>
      </c>
      <c r="B524" s="1" t="n">
        <v>44896</v>
      </c>
      <c r="C524" s="1" t="n">
        <v>45635</v>
      </c>
      <c r="D524" t="inlineStr">
        <is>
          <t>GOTLANDS LÄN</t>
        </is>
      </c>
      <c r="E524" t="inlineStr">
        <is>
          <t>GOTLAND</t>
        </is>
      </c>
      <c r="G524" t="n">
        <v>0.6</v>
      </c>
      <c r="H524" t="n">
        <v>0</v>
      </c>
      <c r="I524" t="n">
        <v>0</v>
      </c>
      <c r="J524" t="n">
        <v>0</v>
      </c>
      <c r="K524" t="n">
        <v>0</v>
      </c>
      <c r="L524" t="n">
        <v>0</v>
      </c>
      <c r="M524" t="n">
        <v>0</v>
      </c>
      <c r="N524" t="n">
        <v>0</v>
      </c>
      <c r="O524" t="n">
        <v>0</v>
      </c>
      <c r="P524" t="n">
        <v>0</v>
      </c>
      <c r="Q524" t="n">
        <v>0</v>
      </c>
      <c r="R524" s="2" t="inlineStr"/>
    </row>
    <row r="525" ht="15" customHeight="1">
      <c r="A525" t="inlineStr">
        <is>
          <t>A 57522-2022</t>
        </is>
      </c>
      <c r="B525" s="1" t="n">
        <v>44896</v>
      </c>
      <c r="C525" s="1" t="n">
        <v>45635</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57685-2022</t>
        </is>
      </c>
      <c r="B526" s="1" t="n">
        <v>44897</v>
      </c>
      <c r="C526" s="1" t="n">
        <v>45635</v>
      </c>
      <c r="D526" t="inlineStr">
        <is>
          <t>GOTLANDS LÄN</t>
        </is>
      </c>
      <c r="E526" t="inlineStr">
        <is>
          <t>GOTLAND</t>
        </is>
      </c>
      <c r="G526" t="n">
        <v>3.7</v>
      </c>
      <c r="H526" t="n">
        <v>0</v>
      </c>
      <c r="I526" t="n">
        <v>0</v>
      </c>
      <c r="J526" t="n">
        <v>0</v>
      </c>
      <c r="K526" t="n">
        <v>0</v>
      </c>
      <c r="L526" t="n">
        <v>0</v>
      </c>
      <c r="M526" t="n">
        <v>0</v>
      </c>
      <c r="N526" t="n">
        <v>0</v>
      </c>
      <c r="O526" t="n">
        <v>0</v>
      </c>
      <c r="P526" t="n">
        <v>0</v>
      </c>
      <c r="Q526" t="n">
        <v>0</v>
      </c>
      <c r="R526" s="2" t="inlineStr"/>
    </row>
    <row r="527" ht="15" customHeight="1">
      <c r="A527" t="inlineStr">
        <is>
          <t>A 57947-2022</t>
        </is>
      </c>
      <c r="B527" s="1" t="n">
        <v>44900</v>
      </c>
      <c r="C527" s="1" t="n">
        <v>45635</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58479-2022</t>
        </is>
      </c>
      <c r="B528" s="1" t="n">
        <v>44902</v>
      </c>
      <c r="C528" s="1" t="n">
        <v>45635</v>
      </c>
      <c r="D528" t="inlineStr">
        <is>
          <t>GOTLANDS LÄN</t>
        </is>
      </c>
      <c r="E528" t="inlineStr">
        <is>
          <t>GOTLAND</t>
        </is>
      </c>
      <c r="G528" t="n">
        <v>2.9</v>
      </c>
      <c r="H528" t="n">
        <v>0</v>
      </c>
      <c r="I528" t="n">
        <v>0</v>
      </c>
      <c r="J528" t="n">
        <v>0</v>
      </c>
      <c r="K528" t="n">
        <v>0</v>
      </c>
      <c r="L528" t="n">
        <v>0</v>
      </c>
      <c r="M528" t="n">
        <v>0</v>
      </c>
      <c r="N528" t="n">
        <v>0</v>
      </c>
      <c r="O528" t="n">
        <v>0</v>
      </c>
      <c r="P528" t="n">
        <v>0</v>
      </c>
      <c r="Q528" t="n">
        <v>0</v>
      </c>
      <c r="R528" s="2" t="inlineStr"/>
    </row>
    <row r="529" ht="15" customHeight="1">
      <c r="A529" t="inlineStr">
        <is>
          <t>A 58476-2022</t>
        </is>
      </c>
      <c r="B529" s="1" t="n">
        <v>44902</v>
      </c>
      <c r="C529" s="1" t="n">
        <v>45635</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59874-2022</t>
        </is>
      </c>
      <c r="B530" s="1" t="n">
        <v>44908</v>
      </c>
      <c r="C530" s="1" t="n">
        <v>45635</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60086-2022</t>
        </is>
      </c>
      <c r="B531" s="1" t="n">
        <v>44909</v>
      </c>
      <c r="C531" s="1" t="n">
        <v>45635</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59986-2022</t>
        </is>
      </c>
      <c r="B532" s="1" t="n">
        <v>44909</v>
      </c>
      <c r="C532" s="1" t="n">
        <v>45635</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60372-2022</t>
        </is>
      </c>
      <c r="B533" s="1" t="n">
        <v>44910</v>
      </c>
      <c r="C533" s="1" t="n">
        <v>45635</v>
      </c>
      <c r="D533" t="inlineStr">
        <is>
          <t>GOTLANDS LÄN</t>
        </is>
      </c>
      <c r="E533" t="inlineStr">
        <is>
          <t>GOTLAND</t>
        </is>
      </c>
      <c r="G533" t="n">
        <v>3.9</v>
      </c>
      <c r="H533" t="n">
        <v>0</v>
      </c>
      <c r="I533" t="n">
        <v>0</v>
      </c>
      <c r="J533" t="n">
        <v>0</v>
      </c>
      <c r="K533" t="n">
        <v>0</v>
      </c>
      <c r="L533" t="n">
        <v>0</v>
      </c>
      <c r="M533" t="n">
        <v>0</v>
      </c>
      <c r="N533" t="n">
        <v>0</v>
      </c>
      <c r="O533" t="n">
        <v>0</v>
      </c>
      <c r="P533" t="n">
        <v>0</v>
      </c>
      <c r="Q533" t="n">
        <v>0</v>
      </c>
      <c r="R533" s="2" t="inlineStr"/>
    </row>
    <row r="534" ht="15" customHeight="1">
      <c r="A534" t="inlineStr">
        <is>
          <t>A 61100-2022</t>
        </is>
      </c>
      <c r="B534" s="1" t="n">
        <v>44915</v>
      </c>
      <c r="C534" s="1" t="n">
        <v>45635</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61570-2022</t>
        </is>
      </c>
      <c r="B535" s="1" t="n">
        <v>44916</v>
      </c>
      <c r="C535" s="1" t="n">
        <v>45635</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61563-2022</t>
        </is>
      </c>
      <c r="B536" s="1" t="n">
        <v>44916</v>
      </c>
      <c r="C536" s="1" t="n">
        <v>45635</v>
      </c>
      <c r="D536" t="inlineStr">
        <is>
          <t>GOTLANDS LÄN</t>
        </is>
      </c>
      <c r="E536" t="inlineStr">
        <is>
          <t>GOTLAND</t>
        </is>
      </c>
      <c r="G536" t="n">
        <v>3.4</v>
      </c>
      <c r="H536" t="n">
        <v>0</v>
      </c>
      <c r="I536" t="n">
        <v>0</v>
      </c>
      <c r="J536" t="n">
        <v>0</v>
      </c>
      <c r="K536" t="n">
        <v>0</v>
      </c>
      <c r="L536" t="n">
        <v>0</v>
      </c>
      <c r="M536" t="n">
        <v>0</v>
      </c>
      <c r="N536" t="n">
        <v>0</v>
      </c>
      <c r="O536" t="n">
        <v>0</v>
      </c>
      <c r="P536" t="n">
        <v>0</v>
      </c>
      <c r="Q536" t="n">
        <v>0</v>
      </c>
      <c r="R536" s="2" t="inlineStr"/>
    </row>
    <row r="537" ht="15" customHeight="1">
      <c r="A537" t="inlineStr">
        <is>
          <t>A 62155-2022</t>
        </is>
      </c>
      <c r="B537" s="1" t="n">
        <v>44922</v>
      </c>
      <c r="C537" s="1" t="n">
        <v>45635</v>
      </c>
      <c r="D537" t="inlineStr">
        <is>
          <t>GOTLANDS LÄN</t>
        </is>
      </c>
      <c r="E537" t="inlineStr">
        <is>
          <t>GOTLAND</t>
        </is>
      </c>
      <c r="G537" t="n">
        <v>4.1</v>
      </c>
      <c r="H537" t="n">
        <v>0</v>
      </c>
      <c r="I537" t="n">
        <v>0</v>
      </c>
      <c r="J537" t="n">
        <v>0</v>
      </c>
      <c r="K537" t="n">
        <v>0</v>
      </c>
      <c r="L537" t="n">
        <v>0</v>
      </c>
      <c r="M537" t="n">
        <v>0</v>
      </c>
      <c r="N537" t="n">
        <v>0</v>
      </c>
      <c r="O537" t="n">
        <v>0</v>
      </c>
      <c r="P537" t="n">
        <v>0</v>
      </c>
      <c r="Q537" t="n">
        <v>0</v>
      </c>
      <c r="R537" s="2" t="inlineStr"/>
    </row>
    <row r="538" ht="15" customHeight="1">
      <c r="A538" t="inlineStr">
        <is>
          <t>A 62164-2022</t>
        </is>
      </c>
      <c r="B538" s="1" t="n">
        <v>44922</v>
      </c>
      <c r="C538" s="1" t="n">
        <v>45635</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62182-2022</t>
        </is>
      </c>
      <c r="B539" s="1" t="n">
        <v>44922</v>
      </c>
      <c r="C539" s="1" t="n">
        <v>45635</v>
      </c>
      <c r="D539" t="inlineStr">
        <is>
          <t>GOTLANDS LÄN</t>
        </is>
      </c>
      <c r="E539" t="inlineStr">
        <is>
          <t>GOTLAND</t>
        </is>
      </c>
      <c r="G539" t="n">
        <v>5.3</v>
      </c>
      <c r="H539" t="n">
        <v>0</v>
      </c>
      <c r="I539" t="n">
        <v>0</v>
      </c>
      <c r="J539" t="n">
        <v>0</v>
      </c>
      <c r="K539" t="n">
        <v>0</v>
      </c>
      <c r="L539" t="n">
        <v>0</v>
      </c>
      <c r="M539" t="n">
        <v>0</v>
      </c>
      <c r="N539" t="n">
        <v>0</v>
      </c>
      <c r="O539" t="n">
        <v>0</v>
      </c>
      <c r="P539" t="n">
        <v>0</v>
      </c>
      <c r="Q539" t="n">
        <v>0</v>
      </c>
      <c r="R539" s="2" t="inlineStr"/>
    </row>
    <row r="540" ht="15" customHeight="1">
      <c r="A540" t="inlineStr">
        <is>
          <t>A 62193-2022</t>
        </is>
      </c>
      <c r="B540" s="1" t="n">
        <v>44922</v>
      </c>
      <c r="C540" s="1" t="n">
        <v>45635</v>
      </c>
      <c r="D540" t="inlineStr">
        <is>
          <t>GOTLANDS LÄN</t>
        </is>
      </c>
      <c r="E540" t="inlineStr">
        <is>
          <t>GOTLAND</t>
        </is>
      </c>
      <c r="G540" t="n">
        <v>5.6</v>
      </c>
      <c r="H540" t="n">
        <v>0</v>
      </c>
      <c r="I540" t="n">
        <v>0</v>
      </c>
      <c r="J540" t="n">
        <v>0</v>
      </c>
      <c r="K540" t="n">
        <v>0</v>
      </c>
      <c r="L540" t="n">
        <v>0</v>
      </c>
      <c r="M540" t="n">
        <v>0</v>
      </c>
      <c r="N540" t="n">
        <v>0</v>
      </c>
      <c r="O540" t="n">
        <v>0</v>
      </c>
      <c r="P540" t="n">
        <v>0</v>
      </c>
      <c r="Q540" t="n">
        <v>0</v>
      </c>
      <c r="R540" s="2" t="inlineStr"/>
    </row>
    <row r="541" ht="15" customHeight="1">
      <c r="A541" t="inlineStr">
        <is>
          <t>A 62151-2022</t>
        </is>
      </c>
      <c r="B541" s="1" t="n">
        <v>44922</v>
      </c>
      <c r="C541" s="1" t="n">
        <v>45635</v>
      </c>
      <c r="D541" t="inlineStr">
        <is>
          <t>GOTLANDS LÄN</t>
        </is>
      </c>
      <c r="E541" t="inlineStr">
        <is>
          <t>GOTLAND</t>
        </is>
      </c>
      <c r="G541" t="n">
        <v>6.5</v>
      </c>
      <c r="H541" t="n">
        <v>0</v>
      </c>
      <c r="I541" t="n">
        <v>0</v>
      </c>
      <c r="J541" t="n">
        <v>0</v>
      </c>
      <c r="K541" t="n">
        <v>0</v>
      </c>
      <c r="L541" t="n">
        <v>0</v>
      </c>
      <c r="M541" t="n">
        <v>0</v>
      </c>
      <c r="N541" t="n">
        <v>0</v>
      </c>
      <c r="O541" t="n">
        <v>0</v>
      </c>
      <c r="P541" t="n">
        <v>0</v>
      </c>
      <c r="Q541" t="n">
        <v>0</v>
      </c>
      <c r="R541" s="2" t="inlineStr"/>
    </row>
    <row r="542" ht="15" customHeight="1">
      <c r="A542" t="inlineStr">
        <is>
          <t>A 62186-2022</t>
        </is>
      </c>
      <c r="B542" s="1" t="n">
        <v>44922</v>
      </c>
      <c r="C542" s="1" t="n">
        <v>45635</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62184-2022</t>
        </is>
      </c>
      <c r="B543" s="1" t="n">
        <v>44922</v>
      </c>
      <c r="C543" s="1" t="n">
        <v>45635</v>
      </c>
      <c r="D543" t="inlineStr">
        <is>
          <t>GOTLANDS LÄN</t>
        </is>
      </c>
      <c r="E543" t="inlineStr">
        <is>
          <t>GOTLAND</t>
        </is>
      </c>
      <c r="G543" t="n">
        <v>4.9</v>
      </c>
      <c r="H543" t="n">
        <v>0</v>
      </c>
      <c r="I543" t="n">
        <v>0</v>
      </c>
      <c r="J543" t="n">
        <v>0</v>
      </c>
      <c r="K543" t="n">
        <v>0</v>
      </c>
      <c r="L543" t="n">
        <v>0</v>
      </c>
      <c r="M543" t="n">
        <v>0</v>
      </c>
      <c r="N543" t="n">
        <v>0</v>
      </c>
      <c r="O543" t="n">
        <v>0</v>
      </c>
      <c r="P543" t="n">
        <v>0</v>
      </c>
      <c r="Q543" t="n">
        <v>0</v>
      </c>
      <c r="R543" s="2" t="inlineStr"/>
    </row>
    <row r="544" ht="15" customHeight="1">
      <c r="A544" t="inlineStr">
        <is>
          <t>A 163-2023</t>
        </is>
      </c>
      <c r="B544" s="1" t="n">
        <v>44928</v>
      </c>
      <c r="C544" s="1" t="n">
        <v>45635</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458-2023</t>
        </is>
      </c>
      <c r="B545" s="1" t="n">
        <v>44929</v>
      </c>
      <c r="C545" s="1" t="n">
        <v>45635</v>
      </c>
      <c r="D545" t="inlineStr">
        <is>
          <t>GOTLANDS LÄN</t>
        </is>
      </c>
      <c r="E545" t="inlineStr">
        <is>
          <t>GOTLAND</t>
        </is>
      </c>
      <c r="G545" t="n">
        <v>3.6</v>
      </c>
      <c r="H545" t="n">
        <v>0</v>
      </c>
      <c r="I545" t="n">
        <v>0</v>
      </c>
      <c r="J545" t="n">
        <v>0</v>
      </c>
      <c r="K545" t="n">
        <v>0</v>
      </c>
      <c r="L545" t="n">
        <v>0</v>
      </c>
      <c r="M545" t="n">
        <v>0</v>
      </c>
      <c r="N545" t="n">
        <v>0</v>
      </c>
      <c r="O545" t="n">
        <v>0</v>
      </c>
      <c r="P545" t="n">
        <v>0</v>
      </c>
      <c r="Q545" t="n">
        <v>0</v>
      </c>
      <c r="R545" s="2" t="inlineStr"/>
    </row>
    <row r="546" ht="15" customHeight="1">
      <c r="A546" t="inlineStr">
        <is>
          <t>A 457-2023</t>
        </is>
      </c>
      <c r="B546" s="1" t="n">
        <v>44929</v>
      </c>
      <c r="C546" s="1" t="n">
        <v>45635</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456-2023</t>
        </is>
      </c>
      <c r="B547" s="1" t="n">
        <v>44929</v>
      </c>
      <c r="C547" s="1" t="n">
        <v>45635</v>
      </c>
      <c r="D547" t="inlineStr">
        <is>
          <t>GOTLANDS LÄN</t>
        </is>
      </c>
      <c r="E547" t="inlineStr">
        <is>
          <t>GOTLAND</t>
        </is>
      </c>
      <c r="G547" t="n">
        <v>3.2</v>
      </c>
      <c r="H547" t="n">
        <v>0</v>
      </c>
      <c r="I547" t="n">
        <v>0</v>
      </c>
      <c r="J547" t="n">
        <v>0</v>
      </c>
      <c r="K547" t="n">
        <v>0</v>
      </c>
      <c r="L547" t="n">
        <v>0</v>
      </c>
      <c r="M547" t="n">
        <v>0</v>
      </c>
      <c r="N547" t="n">
        <v>0</v>
      </c>
      <c r="O547" t="n">
        <v>0</v>
      </c>
      <c r="P547" t="n">
        <v>0</v>
      </c>
      <c r="Q547" t="n">
        <v>0</v>
      </c>
      <c r="R547" s="2" t="inlineStr"/>
    </row>
    <row r="548" ht="15" customHeight="1">
      <c r="A548" t="inlineStr">
        <is>
          <t>A 459-2023</t>
        </is>
      </c>
      <c r="B548" s="1" t="n">
        <v>44929</v>
      </c>
      <c r="C548" s="1" t="n">
        <v>45635</v>
      </c>
      <c r="D548" t="inlineStr">
        <is>
          <t>GOTLANDS LÄN</t>
        </is>
      </c>
      <c r="E548" t="inlineStr">
        <is>
          <t>GOTLAND</t>
        </is>
      </c>
      <c r="G548" t="n">
        <v>4.2</v>
      </c>
      <c r="H548" t="n">
        <v>0</v>
      </c>
      <c r="I548" t="n">
        <v>0</v>
      </c>
      <c r="J548" t="n">
        <v>0</v>
      </c>
      <c r="K548" t="n">
        <v>0</v>
      </c>
      <c r="L548" t="n">
        <v>0</v>
      </c>
      <c r="M548" t="n">
        <v>0</v>
      </c>
      <c r="N548" t="n">
        <v>0</v>
      </c>
      <c r="O548" t="n">
        <v>0</v>
      </c>
      <c r="P548" t="n">
        <v>0</v>
      </c>
      <c r="Q548" t="n">
        <v>0</v>
      </c>
      <c r="R548" s="2" t="inlineStr"/>
    </row>
    <row r="549" ht="15" customHeight="1">
      <c r="A549" t="inlineStr">
        <is>
          <t>A 581-2023</t>
        </is>
      </c>
      <c r="B549" s="1" t="n">
        <v>44930</v>
      </c>
      <c r="C549" s="1" t="n">
        <v>45635</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811-2023</t>
        </is>
      </c>
      <c r="B550" s="1" t="n">
        <v>44931</v>
      </c>
      <c r="C550" s="1" t="n">
        <v>45635</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999-2023</t>
        </is>
      </c>
      <c r="B551" s="1" t="n">
        <v>44935</v>
      </c>
      <c r="C551" s="1" t="n">
        <v>45635</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1284-2023</t>
        </is>
      </c>
      <c r="B552" s="1" t="n">
        <v>44936</v>
      </c>
      <c r="C552" s="1" t="n">
        <v>45635</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1273-2023</t>
        </is>
      </c>
      <c r="B553" s="1" t="n">
        <v>44936</v>
      </c>
      <c r="C553" s="1" t="n">
        <v>45635</v>
      </c>
      <c r="D553" t="inlineStr">
        <is>
          <t>GOTLANDS LÄN</t>
        </is>
      </c>
      <c r="E553" t="inlineStr">
        <is>
          <t>GOTLAND</t>
        </is>
      </c>
      <c r="G553" t="n">
        <v>4.5</v>
      </c>
      <c r="H553" t="n">
        <v>0</v>
      </c>
      <c r="I553" t="n">
        <v>0</v>
      </c>
      <c r="J553" t="n">
        <v>0</v>
      </c>
      <c r="K553" t="n">
        <v>0</v>
      </c>
      <c r="L553" t="n">
        <v>0</v>
      </c>
      <c r="M553" t="n">
        <v>0</v>
      </c>
      <c r="N553" t="n">
        <v>0</v>
      </c>
      <c r="O553" t="n">
        <v>0</v>
      </c>
      <c r="P553" t="n">
        <v>0</v>
      </c>
      <c r="Q553" t="n">
        <v>0</v>
      </c>
      <c r="R553" s="2" t="inlineStr"/>
    </row>
    <row r="554" ht="15" customHeight="1">
      <c r="A554" t="inlineStr">
        <is>
          <t>A 1291-2023</t>
        </is>
      </c>
      <c r="B554" s="1" t="n">
        <v>44936</v>
      </c>
      <c r="C554" s="1" t="n">
        <v>45635</v>
      </c>
      <c r="D554" t="inlineStr">
        <is>
          <t>GOTLANDS LÄN</t>
        </is>
      </c>
      <c r="E554" t="inlineStr">
        <is>
          <t>GOTLAND</t>
        </is>
      </c>
      <c r="G554" t="n">
        <v>7.4</v>
      </c>
      <c r="H554" t="n">
        <v>0</v>
      </c>
      <c r="I554" t="n">
        <v>0</v>
      </c>
      <c r="J554" t="n">
        <v>0</v>
      </c>
      <c r="K554" t="n">
        <v>0</v>
      </c>
      <c r="L554" t="n">
        <v>0</v>
      </c>
      <c r="M554" t="n">
        <v>0</v>
      </c>
      <c r="N554" t="n">
        <v>0</v>
      </c>
      <c r="O554" t="n">
        <v>0</v>
      </c>
      <c r="P554" t="n">
        <v>0</v>
      </c>
      <c r="Q554" t="n">
        <v>0</v>
      </c>
      <c r="R554" s="2" t="inlineStr"/>
    </row>
    <row r="555" ht="15" customHeight="1">
      <c r="A555" t="inlineStr">
        <is>
          <t>A 1394-2023</t>
        </is>
      </c>
      <c r="B555" s="1" t="n">
        <v>44936</v>
      </c>
      <c r="C555" s="1" t="n">
        <v>45635</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1677-2023</t>
        </is>
      </c>
      <c r="B556" s="1" t="n">
        <v>44938</v>
      </c>
      <c r="C556" s="1" t="n">
        <v>45635</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1681-2023</t>
        </is>
      </c>
      <c r="B557" s="1" t="n">
        <v>44938</v>
      </c>
      <c r="C557" s="1" t="n">
        <v>45635</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45635</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2676-2023</t>
        </is>
      </c>
      <c r="B559" s="1" t="n">
        <v>44944</v>
      </c>
      <c r="C559" s="1" t="n">
        <v>45635</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2714-2023</t>
        </is>
      </c>
      <c r="B560" s="1" t="n">
        <v>44944</v>
      </c>
      <c r="C560" s="1" t="n">
        <v>45635</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2727-2023</t>
        </is>
      </c>
      <c r="B561" s="1" t="n">
        <v>44944</v>
      </c>
      <c r="C561" s="1" t="n">
        <v>45635</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2719-2023</t>
        </is>
      </c>
      <c r="B562" s="1" t="n">
        <v>44944</v>
      </c>
      <c r="C562" s="1" t="n">
        <v>45635</v>
      </c>
      <c r="D562" t="inlineStr">
        <is>
          <t>GOTLANDS LÄN</t>
        </is>
      </c>
      <c r="E562" t="inlineStr">
        <is>
          <t>GOTLAND</t>
        </is>
      </c>
      <c r="G562" t="n">
        <v>0.5</v>
      </c>
      <c r="H562" t="n">
        <v>0</v>
      </c>
      <c r="I562" t="n">
        <v>0</v>
      </c>
      <c r="J562" t="n">
        <v>0</v>
      </c>
      <c r="K562" t="n">
        <v>0</v>
      </c>
      <c r="L562" t="n">
        <v>0</v>
      </c>
      <c r="M562" t="n">
        <v>0</v>
      </c>
      <c r="N562" t="n">
        <v>0</v>
      </c>
      <c r="O562" t="n">
        <v>0</v>
      </c>
      <c r="P562" t="n">
        <v>0</v>
      </c>
      <c r="Q562" t="n">
        <v>0</v>
      </c>
      <c r="R562" s="2" t="inlineStr"/>
    </row>
    <row r="563" ht="15" customHeight="1">
      <c r="A563" t="inlineStr">
        <is>
          <t>A 2805-2023</t>
        </is>
      </c>
      <c r="B563" s="1" t="n">
        <v>44944</v>
      </c>
      <c r="C563" s="1" t="n">
        <v>45635</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2815-2023</t>
        </is>
      </c>
      <c r="B564" s="1" t="n">
        <v>44944</v>
      </c>
      <c r="C564" s="1" t="n">
        <v>45635</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3230-2023</t>
        </is>
      </c>
      <c r="B565" s="1" t="n">
        <v>44946</v>
      </c>
      <c r="C565" s="1" t="n">
        <v>45635</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4378-2023</t>
        </is>
      </c>
      <c r="B566" s="1" t="n">
        <v>44955</v>
      </c>
      <c r="C566" s="1" t="n">
        <v>45635</v>
      </c>
      <c r="D566" t="inlineStr">
        <is>
          <t>GOTLANDS LÄN</t>
        </is>
      </c>
      <c r="E566" t="inlineStr">
        <is>
          <t>GOTLAND</t>
        </is>
      </c>
      <c r="F566" t="inlineStr">
        <is>
          <t>Kyrkan</t>
        </is>
      </c>
      <c r="G566" t="n">
        <v>1.5</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v>
      </c>
      <c r="C567" s="1" t="n">
        <v>45635</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v>
      </c>
      <c r="C568" s="1" t="n">
        <v>45635</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4565-2023</t>
        </is>
      </c>
      <c r="B569" s="1" t="n">
        <v>44956</v>
      </c>
      <c r="C569" s="1" t="n">
        <v>45635</v>
      </c>
      <c r="D569" t="inlineStr">
        <is>
          <t>GOTLANDS LÄN</t>
        </is>
      </c>
      <c r="E569" t="inlineStr">
        <is>
          <t>GOTLAND</t>
        </is>
      </c>
      <c r="G569" t="n">
        <v>2</v>
      </c>
      <c r="H569" t="n">
        <v>0</v>
      </c>
      <c r="I569" t="n">
        <v>0</v>
      </c>
      <c r="J569" t="n">
        <v>0</v>
      </c>
      <c r="K569" t="n">
        <v>0</v>
      </c>
      <c r="L569" t="n">
        <v>0</v>
      </c>
      <c r="M569" t="n">
        <v>0</v>
      </c>
      <c r="N569" t="n">
        <v>0</v>
      </c>
      <c r="O569" t="n">
        <v>0</v>
      </c>
      <c r="P569" t="n">
        <v>0</v>
      </c>
      <c r="Q569" t="n">
        <v>0</v>
      </c>
      <c r="R569" s="2" t="inlineStr"/>
    </row>
    <row r="570" ht="15" customHeight="1">
      <c r="A570" t="inlineStr">
        <is>
          <t>A 5217-2023</t>
        </is>
      </c>
      <c r="B570" s="1" t="n">
        <v>44959</v>
      </c>
      <c r="C570" s="1" t="n">
        <v>45635</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5379-2023</t>
        </is>
      </c>
      <c r="B571" s="1" t="n">
        <v>44959</v>
      </c>
      <c r="C571" s="1" t="n">
        <v>45635</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5386-2023</t>
        </is>
      </c>
      <c r="B572" s="1" t="n">
        <v>44959</v>
      </c>
      <c r="C572" s="1" t="n">
        <v>45635</v>
      </c>
      <c r="D572" t="inlineStr">
        <is>
          <t>GOTLANDS LÄN</t>
        </is>
      </c>
      <c r="E572" t="inlineStr">
        <is>
          <t>GOTLAND</t>
        </is>
      </c>
      <c r="G572" t="n">
        <v>5.4</v>
      </c>
      <c r="H572" t="n">
        <v>0</v>
      </c>
      <c r="I572" t="n">
        <v>0</v>
      </c>
      <c r="J572" t="n">
        <v>0</v>
      </c>
      <c r="K572" t="n">
        <v>0</v>
      </c>
      <c r="L572" t="n">
        <v>0</v>
      </c>
      <c r="M572" t="n">
        <v>0</v>
      </c>
      <c r="N572" t="n">
        <v>0</v>
      </c>
      <c r="O572" t="n">
        <v>0</v>
      </c>
      <c r="P572" t="n">
        <v>0</v>
      </c>
      <c r="Q572" t="n">
        <v>0</v>
      </c>
      <c r="R572" s="2" t="inlineStr"/>
    </row>
    <row r="573" ht="15" customHeight="1">
      <c r="A573" t="inlineStr">
        <is>
          <t>A 5923-2023</t>
        </is>
      </c>
      <c r="B573" s="1" t="n">
        <v>44963</v>
      </c>
      <c r="C573" s="1" t="n">
        <v>45635</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6721-2023</t>
        </is>
      </c>
      <c r="B574" s="1" t="n">
        <v>44966</v>
      </c>
      <c r="C574" s="1" t="n">
        <v>45635</v>
      </c>
      <c r="D574" t="inlineStr">
        <is>
          <t>GOTLANDS LÄN</t>
        </is>
      </c>
      <c r="E574" t="inlineStr">
        <is>
          <t>GOTLAND</t>
        </is>
      </c>
      <c r="G574" t="n">
        <v>1.3</v>
      </c>
      <c r="H574" t="n">
        <v>0</v>
      </c>
      <c r="I574" t="n">
        <v>0</v>
      </c>
      <c r="J574" t="n">
        <v>0</v>
      </c>
      <c r="K574" t="n">
        <v>0</v>
      </c>
      <c r="L574" t="n">
        <v>0</v>
      </c>
      <c r="M574" t="n">
        <v>0</v>
      </c>
      <c r="N574" t="n">
        <v>0</v>
      </c>
      <c r="O574" t="n">
        <v>0</v>
      </c>
      <c r="P574" t="n">
        <v>0</v>
      </c>
      <c r="Q574" t="n">
        <v>0</v>
      </c>
      <c r="R574" s="2" t="inlineStr"/>
    </row>
    <row r="575" ht="15" customHeight="1">
      <c r="A575" t="inlineStr">
        <is>
          <t>A 6717-2023</t>
        </is>
      </c>
      <c r="B575" s="1" t="n">
        <v>44966</v>
      </c>
      <c r="C575" s="1" t="n">
        <v>45635</v>
      </c>
      <c r="D575" t="inlineStr">
        <is>
          <t>GOTLANDS LÄN</t>
        </is>
      </c>
      <c r="E575" t="inlineStr">
        <is>
          <t>GOTLAND</t>
        </is>
      </c>
      <c r="F575" t="inlineStr">
        <is>
          <t>Naturvårdsverket</t>
        </is>
      </c>
      <c r="G575" t="n">
        <v>1.4</v>
      </c>
      <c r="H575" t="n">
        <v>0</v>
      </c>
      <c r="I575" t="n">
        <v>0</v>
      </c>
      <c r="J575" t="n">
        <v>0</v>
      </c>
      <c r="K575" t="n">
        <v>0</v>
      </c>
      <c r="L575" t="n">
        <v>0</v>
      </c>
      <c r="M575" t="n">
        <v>0</v>
      </c>
      <c r="N575" t="n">
        <v>0</v>
      </c>
      <c r="O575" t="n">
        <v>0</v>
      </c>
      <c r="P575" t="n">
        <v>0</v>
      </c>
      <c r="Q575" t="n">
        <v>0</v>
      </c>
      <c r="R575" s="2" t="inlineStr"/>
    </row>
    <row r="576" ht="15" customHeight="1">
      <c r="A576" t="inlineStr">
        <is>
          <t>A 7041-2023</t>
        </is>
      </c>
      <c r="B576" s="1" t="n">
        <v>44968</v>
      </c>
      <c r="C576" s="1" t="n">
        <v>45635</v>
      </c>
      <c r="D576" t="inlineStr">
        <is>
          <t>GOTLANDS LÄN</t>
        </is>
      </c>
      <c r="E576" t="inlineStr">
        <is>
          <t>GOTLAND</t>
        </is>
      </c>
      <c r="G576" t="n">
        <v>0.9</v>
      </c>
      <c r="H576" t="n">
        <v>0</v>
      </c>
      <c r="I576" t="n">
        <v>0</v>
      </c>
      <c r="J576" t="n">
        <v>0</v>
      </c>
      <c r="K576" t="n">
        <v>0</v>
      </c>
      <c r="L576" t="n">
        <v>0</v>
      </c>
      <c r="M576" t="n">
        <v>0</v>
      </c>
      <c r="N576" t="n">
        <v>0</v>
      </c>
      <c r="O576" t="n">
        <v>0</v>
      </c>
      <c r="P576" t="n">
        <v>0</v>
      </c>
      <c r="Q576" t="n">
        <v>0</v>
      </c>
      <c r="R576" s="2" t="inlineStr"/>
    </row>
    <row r="577" ht="15" customHeight="1">
      <c r="A577" t="inlineStr">
        <is>
          <t>A 7026-2023</t>
        </is>
      </c>
      <c r="B577" s="1" t="n">
        <v>44968</v>
      </c>
      <c r="C577" s="1" t="n">
        <v>45635</v>
      </c>
      <c r="D577" t="inlineStr">
        <is>
          <t>GOTLANDS LÄN</t>
        </is>
      </c>
      <c r="E577" t="inlineStr">
        <is>
          <t>GOTLAND</t>
        </is>
      </c>
      <c r="G577" t="n">
        <v>2.9</v>
      </c>
      <c r="H577" t="n">
        <v>0</v>
      </c>
      <c r="I577" t="n">
        <v>0</v>
      </c>
      <c r="J577" t="n">
        <v>0</v>
      </c>
      <c r="K577" t="n">
        <v>0</v>
      </c>
      <c r="L577" t="n">
        <v>0</v>
      </c>
      <c r="M577" t="n">
        <v>0</v>
      </c>
      <c r="N577" t="n">
        <v>0</v>
      </c>
      <c r="O577" t="n">
        <v>0</v>
      </c>
      <c r="P577" t="n">
        <v>0</v>
      </c>
      <c r="Q577" t="n">
        <v>0</v>
      </c>
      <c r="R577" s="2" t="inlineStr"/>
    </row>
    <row r="578" ht="15" customHeight="1">
      <c r="A578" t="inlineStr">
        <is>
          <t>A 7034-2023</t>
        </is>
      </c>
      <c r="B578" s="1" t="n">
        <v>44968</v>
      </c>
      <c r="C578" s="1" t="n">
        <v>45635</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7040-2023</t>
        </is>
      </c>
      <c r="B579" s="1" t="n">
        <v>44968</v>
      </c>
      <c r="C579" s="1" t="n">
        <v>45635</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7042-2023</t>
        </is>
      </c>
      <c r="B580" s="1" t="n">
        <v>44968</v>
      </c>
      <c r="C580" s="1" t="n">
        <v>45635</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8260-2023</t>
        </is>
      </c>
      <c r="B581" s="1" t="n">
        <v>44974</v>
      </c>
      <c r="C581" s="1" t="n">
        <v>45635</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8962-2023</t>
        </is>
      </c>
      <c r="B582" s="1" t="n">
        <v>44979</v>
      </c>
      <c r="C582" s="1" t="n">
        <v>45635</v>
      </c>
      <c r="D582" t="inlineStr">
        <is>
          <t>GOTLANDS LÄN</t>
        </is>
      </c>
      <c r="E582" t="inlineStr">
        <is>
          <t>GOTLAND</t>
        </is>
      </c>
      <c r="G582" t="n">
        <v>5.5</v>
      </c>
      <c r="H582" t="n">
        <v>0</v>
      </c>
      <c r="I582" t="n">
        <v>0</v>
      </c>
      <c r="J582" t="n">
        <v>0</v>
      </c>
      <c r="K582" t="n">
        <v>0</v>
      </c>
      <c r="L582" t="n">
        <v>0</v>
      </c>
      <c r="M582" t="n">
        <v>0</v>
      </c>
      <c r="N582" t="n">
        <v>0</v>
      </c>
      <c r="O582" t="n">
        <v>0</v>
      </c>
      <c r="P582" t="n">
        <v>0</v>
      </c>
      <c r="Q582" t="n">
        <v>0</v>
      </c>
      <c r="R582" s="2" t="inlineStr"/>
    </row>
    <row r="583" ht="15" customHeight="1">
      <c r="A583" t="inlineStr">
        <is>
          <t>A 10492-2023</t>
        </is>
      </c>
      <c r="B583" s="1" t="n">
        <v>44987</v>
      </c>
      <c r="C583" s="1" t="n">
        <v>45635</v>
      </c>
      <c r="D583" t="inlineStr">
        <is>
          <t>GOTLANDS LÄN</t>
        </is>
      </c>
      <c r="E583" t="inlineStr">
        <is>
          <t>GOTLAND</t>
        </is>
      </c>
      <c r="G583" t="n">
        <v>1</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v>
      </c>
      <c r="C584" s="1" t="n">
        <v>45635</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10657-2023</t>
        </is>
      </c>
      <c r="B585" s="1" t="n">
        <v>44988</v>
      </c>
      <c r="C585" s="1" t="n">
        <v>45635</v>
      </c>
      <c r="D585" t="inlineStr">
        <is>
          <t>GOTLANDS LÄN</t>
        </is>
      </c>
      <c r="E585" t="inlineStr">
        <is>
          <t>GOTLAND</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10653-2023</t>
        </is>
      </c>
      <c r="B586" s="1" t="n">
        <v>44988</v>
      </c>
      <c r="C586" s="1" t="n">
        <v>45635</v>
      </c>
      <c r="D586" t="inlineStr">
        <is>
          <t>GOTLANDS LÄN</t>
        </is>
      </c>
      <c r="E586" t="inlineStr">
        <is>
          <t>GOTLAND</t>
        </is>
      </c>
      <c r="F586" t="inlineStr">
        <is>
          <t>Kyrkan</t>
        </is>
      </c>
      <c r="G586" t="n">
        <v>3</v>
      </c>
      <c r="H586" t="n">
        <v>0</v>
      </c>
      <c r="I586" t="n">
        <v>0</v>
      </c>
      <c r="J586" t="n">
        <v>0</v>
      </c>
      <c r="K586" t="n">
        <v>0</v>
      </c>
      <c r="L586" t="n">
        <v>0</v>
      </c>
      <c r="M586" t="n">
        <v>0</v>
      </c>
      <c r="N586" t="n">
        <v>0</v>
      </c>
      <c r="O586" t="n">
        <v>0</v>
      </c>
      <c r="P586" t="n">
        <v>0</v>
      </c>
      <c r="Q586" t="n">
        <v>0</v>
      </c>
      <c r="R586" s="2" t="inlineStr"/>
    </row>
    <row r="587" ht="15" customHeight="1">
      <c r="A587" t="inlineStr">
        <is>
          <t>A 11115-2023</t>
        </is>
      </c>
      <c r="B587" s="1" t="n">
        <v>44992</v>
      </c>
      <c r="C587" s="1" t="n">
        <v>45635</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12161-2023</t>
        </is>
      </c>
      <c r="B588" s="1" t="n">
        <v>44998</v>
      </c>
      <c r="C588" s="1" t="n">
        <v>45635</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12155-2023</t>
        </is>
      </c>
      <c r="B589" s="1" t="n">
        <v>44998</v>
      </c>
      <c r="C589" s="1" t="n">
        <v>45635</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12596-2023</t>
        </is>
      </c>
      <c r="B590" s="1" t="n">
        <v>45000</v>
      </c>
      <c r="C590" s="1" t="n">
        <v>45635</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13627-2023</t>
        </is>
      </c>
      <c r="B591" s="1" t="n">
        <v>45006</v>
      </c>
      <c r="C591" s="1" t="n">
        <v>45635</v>
      </c>
      <c r="D591" t="inlineStr">
        <is>
          <t>GOTLANDS LÄN</t>
        </is>
      </c>
      <c r="E591" t="inlineStr">
        <is>
          <t>GOTLAND</t>
        </is>
      </c>
      <c r="G591" t="n">
        <v>10.7</v>
      </c>
      <c r="H591" t="n">
        <v>0</v>
      </c>
      <c r="I591" t="n">
        <v>0</v>
      </c>
      <c r="J591" t="n">
        <v>0</v>
      </c>
      <c r="K591" t="n">
        <v>0</v>
      </c>
      <c r="L591" t="n">
        <v>0</v>
      </c>
      <c r="M591" t="n">
        <v>0</v>
      </c>
      <c r="N591" t="n">
        <v>0</v>
      </c>
      <c r="O591" t="n">
        <v>0</v>
      </c>
      <c r="P591" t="n">
        <v>0</v>
      </c>
      <c r="Q591" t="n">
        <v>0</v>
      </c>
      <c r="R591" s="2" t="inlineStr"/>
    </row>
    <row r="592" ht="15" customHeight="1">
      <c r="A592" t="inlineStr">
        <is>
          <t>A 13910-2023</t>
        </is>
      </c>
      <c r="B592" s="1" t="n">
        <v>45008</v>
      </c>
      <c r="C592" s="1" t="n">
        <v>45635</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14635-2023</t>
        </is>
      </c>
      <c r="B593" s="1" t="n">
        <v>45013</v>
      </c>
      <c r="C593" s="1" t="n">
        <v>45635</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14704-2023</t>
        </is>
      </c>
      <c r="B594" s="1" t="n">
        <v>45014</v>
      </c>
      <c r="C594" s="1" t="n">
        <v>45635</v>
      </c>
      <c r="D594" t="inlineStr">
        <is>
          <t>GOTLANDS LÄN</t>
        </is>
      </c>
      <c r="E594" t="inlineStr">
        <is>
          <t>GOTLAND</t>
        </is>
      </c>
      <c r="G594" t="n">
        <v>4.4</v>
      </c>
      <c r="H594" t="n">
        <v>0</v>
      </c>
      <c r="I594" t="n">
        <v>0</v>
      </c>
      <c r="J594" t="n">
        <v>0</v>
      </c>
      <c r="K594" t="n">
        <v>0</v>
      </c>
      <c r="L594" t="n">
        <v>0</v>
      </c>
      <c r="M594" t="n">
        <v>0</v>
      </c>
      <c r="N594" t="n">
        <v>0</v>
      </c>
      <c r="O594" t="n">
        <v>0</v>
      </c>
      <c r="P594" t="n">
        <v>0</v>
      </c>
      <c r="Q594" t="n">
        <v>0</v>
      </c>
      <c r="R594" s="2" t="inlineStr"/>
    </row>
    <row r="595" ht="15" customHeight="1">
      <c r="A595" t="inlineStr">
        <is>
          <t>A 15182-2023</t>
        </is>
      </c>
      <c r="B595" s="1" t="n">
        <v>45016</v>
      </c>
      <c r="C595" s="1" t="n">
        <v>45635</v>
      </c>
      <c r="D595" t="inlineStr">
        <is>
          <t>GOTLANDS LÄN</t>
        </is>
      </c>
      <c r="E595" t="inlineStr">
        <is>
          <t>GOTLAND</t>
        </is>
      </c>
      <c r="G595" t="n">
        <v>3.9</v>
      </c>
      <c r="H595" t="n">
        <v>0</v>
      </c>
      <c r="I595" t="n">
        <v>0</v>
      </c>
      <c r="J595" t="n">
        <v>0</v>
      </c>
      <c r="K595" t="n">
        <v>0</v>
      </c>
      <c r="L595" t="n">
        <v>0</v>
      </c>
      <c r="M595" t="n">
        <v>0</v>
      </c>
      <c r="N595" t="n">
        <v>0</v>
      </c>
      <c r="O595" t="n">
        <v>0</v>
      </c>
      <c r="P595" t="n">
        <v>0</v>
      </c>
      <c r="Q595" t="n">
        <v>0</v>
      </c>
      <c r="R595" s="2" t="inlineStr"/>
    </row>
    <row r="596" ht="15" customHeight="1">
      <c r="A596" t="inlineStr">
        <is>
          <t>A 15216-2023</t>
        </is>
      </c>
      <c r="B596" s="1" t="n">
        <v>45019</v>
      </c>
      <c r="C596" s="1" t="n">
        <v>45635</v>
      </c>
      <c r="D596" t="inlineStr">
        <is>
          <t>GOTLANDS LÄN</t>
        </is>
      </c>
      <c r="E596" t="inlineStr">
        <is>
          <t>GOTLAND</t>
        </is>
      </c>
      <c r="G596" t="n">
        <v>5</v>
      </c>
      <c r="H596" t="n">
        <v>0</v>
      </c>
      <c r="I596" t="n">
        <v>0</v>
      </c>
      <c r="J596" t="n">
        <v>0</v>
      </c>
      <c r="K596" t="n">
        <v>0</v>
      </c>
      <c r="L596" t="n">
        <v>0</v>
      </c>
      <c r="M596" t="n">
        <v>0</v>
      </c>
      <c r="N596" t="n">
        <v>0</v>
      </c>
      <c r="O596" t="n">
        <v>0</v>
      </c>
      <c r="P596" t="n">
        <v>0</v>
      </c>
      <c r="Q596" t="n">
        <v>0</v>
      </c>
      <c r="R596" s="2" t="inlineStr"/>
    </row>
    <row r="597" ht="15" customHeight="1">
      <c r="A597" t="inlineStr">
        <is>
          <t>A 15617-2023</t>
        </is>
      </c>
      <c r="B597" s="1" t="n">
        <v>45020</v>
      </c>
      <c r="C597" s="1" t="n">
        <v>45635</v>
      </c>
      <c r="D597" t="inlineStr">
        <is>
          <t>GOTLANDS LÄN</t>
        </is>
      </c>
      <c r="E597" t="inlineStr">
        <is>
          <t>GOTLAND</t>
        </is>
      </c>
      <c r="G597" t="n">
        <v>6.1</v>
      </c>
      <c r="H597" t="n">
        <v>0</v>
      </c>
      <c r="I597" t="n">
        <v>0</v>
      </c>
      <c r="J597" t="n">
        <v>0</v>
      </c>
      <c r="K597" t="n">
        <v>0</v>
      </c>
      <c r="L597" t="n">
        <v>0</v>
      </c>
      <c r="M597" t="n">
        <v>0</v>
      </c>
      <c r="N597" t="n">
        <v>0</v>
      </c>
      <c r="O597" t="n">
        <v>0</v>
      </c>
      <c r="P597" t="n">
        <v>0</v>
      </c>
      <c r="Q597" t="n">
        <v>0</v>
      </c>
      <c r="R597" s="2" t="inlineStr"/>
    </row>
    <row r="598" ht="15" customHeight="1">
      <c r="A598" t="inlineStr">
        <is>
          <t>A 16501-2023</t>
        </is>
      </c>
      <c r="B598" s="1" t="n">
        <v>45029</v>
      </c>
      <c r="C598" s="1" t="n">
        <v>45635</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17080-2023</t>
        </is>
      </c>
      <c r="B599" s="1" t="n">
        <v>45033</v>
      </c>
      <c r="C599" s="1" t="n">
        <v>45635</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17901-2023</t>
        </is>
      </c>
      <c r="B600" s="1" t="n">
        <v>45039</v>
      </c>
      <c r="C600" s="1" t="n">
        <v>45635</v>
      </c>
      <c r="D600" t="inlineStr">
        <is>
          <t>GOTLANDS LÄN</t>
        </is>
      </c>
      <c r="E600" t="inlineStr">
        <is>
          <t>GOTLAND</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18889-2023</t>
        </is>
      </c>
      <c r="B601" s="1" t="n">
        <v>45044</v>
      </c>
      <c r="C601" s="1" t="n">
        <v>45635</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20993-2023</t>
        </is>
      </c>
      <c r="B602" s="1" t="n">
        <v>45056</v>
      </c>
      <c r="C602" s="1" t="n">
        <v>45635</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20855-2023</t>
        </is>
      </c>
      <c r="B603" s="1" t="n">
        <v>45058</v>
      </c>
      <c r="C603" s="1" t="n">
        <v>45635</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20856-2023</t>
        </is>
      </c>
      <c r="B604" s="1" t="n">
        <v>45058</v>
      </c>
      <c r="C604" s="1" t="n">
        <v>45635</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20857-2023</t>
        </is>
      </c>
      <c r="B605" s="1" t="n">
        <v>45058</v>
      </c>
      <c r="C605" s="1" t="n">
        <v>45635</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20854-2023</t>
        </is>
      </c>
      <c r="B606" s="1" t="n">
        <v>45058</v>
      </c>
      <c r="C606" s="1" t="n">
        <v>45635</v>
      </c>
      <c r="D606" t="inlineStr">
        <is>
          <t>GOTLANDS LÄN</t>
        </is>
      </c>
      <c r="E606" t="inlineStr">
        <is>
          <t>GOTLAND</t>
        </is>
      </c>
      <c r="G606" t="n">
        <v>2.6</v>
      </c>
      <c r="H606" t="n">
        <v>0</v>
      </c>
      <c r="I606" t="n">
        <v>0</v>
      </c>
      <c r="J606" t="n">
        <v>0</v>
      </c>
      <c r="K606" t="n">
        <v>0</v>
      </c>
      <c r="L606" t="n">
        <v>0</v>
      </c>
      <c r="M606" t="n">
        <v>0</v>
      </c>
      <c r="N606" t="n">
        <v>0</v>
      </c>
      <c r="O606" t="n">
        <v>0</v>
      </c>
      <c r="P606" t="n">
        <v>0</v>
      </c>
      <c r="Q606" t="n">
        <v>0</v>
      </c>
      <c r="R606" s="2" t="inlineStr"/>
    </row>
    <row r="607" ht="15" customHeight="1">
      <c r="A607" t="inlineStr">
        <is>
          <t>A 22275-2023</t>
        </is>
      </c>
      <c r="B607" s="1" t="n">
        <v>45070</v>
      </c>
      <c r="C607" s="1" t="n">
        <v>45635</v>
      </c>
      <c r="D607" t="inlineStr">
        <is>
          <t>GOTLANDS LÄN</t>
        </is>
      </c>
      <c r="E607" t="inlineStr">
        <is>
          <t>GOTLAND</t>
        </is>
      </c>
      <c r="G607" t="n">
        <v>7.2</v>
      </c>
      <c r="H607" t="n">
        <v>0</v>
      </c>
      <c r="I607" t="n">
        <v>0</v>
      </c>
      <c r="J607" t="n">
        <v>0</v>
      </c>
      <c r="K607" t="n">
        <v>0</v>
      </c>
      <c r="L607" t="n">
        <v>0</v>
      </c>
      <c r="M607" t="n">
        <v>0</v>
      </c>
      <c r="N607" t="n">
        <v>0</v>
      </c>
      <c r="O607" t="n">
        <v>0</v>
      </c>
      <c r="P607" t="n">
        <v>0</v>
      </c>
      <c r="Q607" t="n">
        <v>0</v>
      </c>
      <c r="R607" s="2" t="inlineStr"/>
    </row>
    <row r="608" ht="15" customHeight="1">
      <c r="A608" t="inlineStr">
        <is>
          <t>A 22412-2023</t>
        </is>
      </c>
      <c r="B608" s="1" t="n">
        <v>45070</v>
      </c>
      <c r="C608" s="1" t="n">
        <v>45635</v>
      </c>
      <c r="D608" t="inlineStr">
        <is>
          <t>GOTLANDS LÄN</t>
        </is>
      </c>
      <c r="E608" t="inlineStr">
        <is>
          <t>GOTLAND</t>
        </is>
      </c>
      <c r="G608" t="n">
        <v>7.3</v>
      </c>
      <c r="H608" t="n">
        <v>0</v>
      </c>
      <c r="I608" t="n">
        <v>0</v>
      </c>
      <c r="J608" t="n">
        <v>0</v>
      </c>
      <c r="K608" t="n">
        <v>0</v>
      </c>
      <c r="L608" t="n">
        <v>0</v>
      </c>
      <c r="M608" t="n">
        <v>0</v>
      </c>
      <c r="N608" t="n">
        <v>0</v>
      </c>
      <c r="O608" t="n">
        <v>0</v>
      </c>
      <c r="P608" t="n">
        <v>0</v>
      </c>
      <c r="Q608" t="n">
        <v>0</v>
      </c>
      <c r="R608" s="2" t="inlineStr"/>
    </row>
    <row r="609" ht="15" customHeight="1">
      <c r="A609" t="inlineStr">
        <is>
          <t>A 22709-2023</t>
        </is>
      </c>
      <c r="B609" s="1" t="n">
        <v>45071</v>
      </c>
      <c r="C609" s="1" t="n">
        <v>45635</v>
      </c>
      <c r="D609" t="inlineStr">
        <is>
          <t>GOTLANDS LÄN</t>
        </is>
      </c>
      <c r="E609" t="inlineStr">
        <is>
          <t>GOTLAND</t>
        </is>
      </c>
      <c r="G609" t="n">
        <v>0.9</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45635</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22708-2023</t>
        </is>
      </c>
      <c r="B611" s="1" t="n">
        <v>45071</v>
      </c>
      <c r="C611" s="1" t="n">
        <v>45635</v>
      </c>
      <c r="D611" t="inlineStr">
        <is>
          <t>GOTLANDS LÄN</t>
        </is>
      </c>
      <c r="E611" t="inlineStr">
        <is>
          <t>GOTLAND</t>
        </is>
      </c>
      <c r="G611" t="n">
        <v>0.6</v>
      </c>
      <c r="H611" t="n">
        <v>0</v>
      </c>
      <c r="I611" t="n">
        <v>0</v>
      </c>
      <c r="J611" t="n">
        <v>0</v>
      </c>
      <c r="K611" t="n">
        <v>0</v>
      </c>
      <c r="L611" t="n">
        <v>0</v>
      </c>
      <c r="M611" t="n">
        <v>0</v>
      </c>
      <c r="N611" t="n">
        <v>0</v>
      </c>
      <c r="O611" t="n">
        <v>0</v>
      </c>
      <c r="P611" t="n">
        <v>0</v>
      </c>
      <c r="Q611" t="n">
        <v>0</v>
      </c>
      <c r="R611" s="2" t="inlineStr"/>
    </row>
    <row r="612" ht="15" customHeight="1">
      <c r="A612" t="inlineStr">
        <is>
          <t>A 22707-2023</t>
        </is>
      </c>
      <c r="B612" s="1" t="n">
        <v>45071</v>
      </c>
      <c r="C612" s="1" t="n">
        <v>45635</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ht="15" customHeight="1">
      <c r="A613" t="inlineStr">
        <is>
          <t>A 22723-2023</t>
        </is>
      </c>
      <c r="B613" s="1" t="n">
        <v>45071</v>
      </c>
      <c r="C613" s="1" t="n">
        <v>45635</v>
      </c>
      <c r="D613" t="inlineStr">
        <is>
          <t>GOTLANDS LÄN</t>
        </is>
      </c>
      <c r="E613" t="inlineStr">
        <is>
          <t>GOTLAND</t>
        </is>
      </c>
      <c r="G613" t="n">
        <v>2.5</v>
      </c>
      <c r="H613" t="n">
        <v>0</v>
      </c>
      <c r="I613" t="n">
        <v>0</v>
      </c>
      <c r="J613" t="n">
        <v>0</v>
      </c>
      <c r="K613" t="n">
        <v>0</v>
      </c>
      <c r="L613" t="n">
        <v>0</v>
      </c>
      <c r="M613" t="n">
        <v>0</v>
      </c>
      <c r="N613" t="n">
        <v>0</v>
      </c>
      <c r="O613" t="n">
        <v>0</v>
      </c>
      <c r="P613" t="n">
        <v>0</v>
      </c>
      <c r="Q613" t="n">
        <v>0</v>
      </c>
      <c r="R613" s="2" t="inlineStr"/>
    </row>
    <row r="614" ht="15" customHeight="1">
      <c r="A614" t="inlineStr">
        <is>
          <t>A 22706-2023</t>
        </is>
      </c>
      <c r="B614" s="1" t="n">
        <v>45071</v>
      </c>
      <c r="C614" s="1" t="n">
        <v>45635</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22890-2023</t>
        </is>
      </c>
      <c r="B615" s="1" t="n">
        <v>45072</v>
      </c>
      <c r="C615" s="1" t="n">
        <v>45635</v>
      </c>
      <c r="D615" t="inlineStr">
        <is>
          <t>GOTLANDS LÄN</t>
        </is>
      </c>
      <c r="E615" t="inlineStr">
        <is>
          <t>GOTLAND</t>
        </is>
      </c>
      <c r="G615" t="n">
        <v>7.5</v>
      </c>
      <c r="H615" t="n">
        <v>0</v>
      </c>
      <c r="I615" t="n">
        <v>0</v>
      </c>
      <c r="J615" t="n">
        <v>0</v>
      </c>
      <c r="K615" t="n">
        <v>0</v>
      </c>
      <c r="L615" t="n">
        <v>0</v>
      </c>
      <c r="M615" t="n">
        <v>0</v>
      </c>
      <c r="N615" t="n">
        <v>0</v>
      </c>
      <c r="O615" t="n">
        <v>0</v>
      </c>
      <c r="P615" t="n">
        <v>0</v>
      </c>
      <c r="Q615" t="n">
        <v>0</v>
      </c>
      <c r="R615" s="2" t="inlineStr"/>
    </row>
    <row r="616" ht="15" customHeight="1">
      <c r="A616" t="inlineStr">
        <is>
          <t>A 22899-2023</t>
        </is>
      </c>
      <c r="B616" s="1" t="n">
        <v>45072</v>
      </c>
      <c r="C616" s="1" t="n">
        <v>45635</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22903-2023</t>
        </is>
      </c>
      <c r="B617" s="1" t="n">
        <v>45072</v>
      </c>
      <c r="C617" s="1" t="n">
        <v>45635</v>
      </c>
      <c r="D617" t="inlineStr">
        <is>
          <t>GOTLANDS LÄN</t>
        </is>
      </c>
      <c r="E617" t="inlineStr">
        <is>
          <t>GOTLAND</t>
        </is>
      </c>
      <c r="G617" t="n">
        <v>0.6</v>
      </c>
      <c r="H617" t="n">
        <v>0</v>
      </c>
      <c r="I617" t="n">
        <v>0</v>
      </c>
      <c r="J617" t="n">
        <v>0</v>
      </c>
      <c r="K617" t="n">
        <v>0</v>
      </c>
      <c r="L617" t="n">
        <v>0</v>
      </c>
      <c r="M617" t="n">
        <v>0</v>
      </c>
      <c r="N617" t="n">
        <v>0</v>
      </c>
      <c r="O617" t="n">
        <v>0</v>
      </c>
      <c r="P617" t="n">
        <v>0</v>
      </c>
      <c r="Q617" t="n">
        <v>0</v>
      </c>
      <c r="R617" s="2" t="inlineStr"/>
    </row>
    <row r="618" ht="15" customHeight="1">
      <c r="A618" t="inlineStr">
        <is>
          <t>A 22897-2023</t>
        </is>
      </c>
      <c r="B618" s="1" t="n">
        <v>45072</v>
      </c>
      <c r="C618" s="1" t="n">
        <v>45635</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23511-2023</t>
        </is>
      </c>
      <c r="B619" s="1" t="n">
        <v>45077</v>
      </c>
      <c r="C619" s="1" t="n">
        <v>45635</v>
      </c>
      <c r="D619" t="inlineStr">
        <is>
          <t>GOTLANDS LÄN</t>
        </is>
      </c>
      <c r="E619" t="inlineStr">
        <is>
          <t>GOTLAND</t>
        </is>
      </c>
      <c r="G619" t="n">
        <v>11.2</v>
      </c>
      <c r="H619" t="n">
        <v>0</v>
      </c>
      <c r="I619" t="n">
        <v>0</v>
      </c>
      <c r="J619" t="n">
        <v>0</v>
      </c>
      <c r="K619" t="n">
        <v>0</v>
      </c>
      <c r="L619" t="n">
        <v>0</v>
      </c>
      <c r="M619" t="n">
        <v>0</v>
      </c>
      <c r="N619" t="n">
        <v>0</v>
      </c>
      <c r="O619" t="n">
        <v>0</v>
      </c>
      <c r="P619" t="n">
        <v>0</v>
      </c>
      <c r="Q619" t="n">
        <v>0</v>
      </c>
      <c r="R619" s="2" t="inlineStr"/>
    </row>
    <row r="620" ht="15" customHeight="1">
      <c r="A620" t="inlineStr">
        <is>
          <t>A 23516-2023</t>
        </is>
      </c>
      <c r="B620" s="1" t="n">
        <v>45077</v>
      </c>
      <c r="C620" s="1" t="n">
        <v>45635</v>
      </c>
      <c r="D620" t="inlineStr">
        <is>
          <t>GOTLANDS LÄN</t>
        </is>
      </c>
      <c r="E620" t="inlineStr">
        <is>
          <t>GOTLAND</t>
        </is>
      </c>
      <c r="G620" t="n">
        <v>1.4</v>
      </c>
      <c r="H620" t="n">
        <v>0</v>
      </c>
      <c r="I620" t="n">
        <v>0</v>
      </c>
      <c r="J620" t="n">
        <v>0</v>
      </c>
      <c r="K620" t="n">
        <v>0</v>
      </c>
      <c r="L620" t="n">
        <v>0</v>
      </c>
      <c r="M620" t="n">
        <v>0</v>
      </c>
      <c r="N620" t="n">
        <v>0</v>
      </c>
      <c r="O620" t="n">
        <v>0</v>
      </c>
      <c r="P620" t="n">
        <v>0</v>
      </c>
      <c r="Q620" t="n">
        <v>0</v>
      </c>
      <c r="R620" s="2" t="inlineStr"/>
    </row>
    <row r="621" ht="15" customHeight="1">
      <c r="A621" t="inlineStr">
        <is>
          <t>A 23858-2023</t>
        </is>
      </c>
      <c r="B621" s="1" t="n">
        <v>45078</v>
      </c>
      <c r="C621" s="1" t="n">
        <v>45635</v>
      </c>
      <c r="D621" t="inlineStr">
        <is>
          <t>GOTLANDS LÄN</t>
        </is>
      </c>
      <c r="E621" t="inlineStr">
        <is>
          <t>GOTLAND</t>
        </is>
      </c>
      <c r="F621" t="inlineStr">
        <is>
          <t>Naturvårdsverket</t>
        </is>
      </c>
      <c r="G621" t="n">
        <v>4.2</v>
      </c>
      <c r="H621" t="n">
        <v>0</v>
      </c>
      <c r="I621" t="n">
        <v>0</v>
      </c>
      <c r="J621" t="n">
        <v>0</v>
      </c>
      <c r="K621" t="n">
        <v>0</v>
      </c>
      <c r="L621" t="n">
        <v>0</v>
      </c>
      <c r="M621" t="n">
        <v>0</v>
      </c>
      <c r="N621" t="n">
        <v>0</v>
      </c>
      <c r="O621" t="n">
        <v>0</v>
      </c>
      <c r="P621" t="n">
        <v>0</v>
      </c>
      <c r="Q621" t="n">
        <v>0</v>
      </c>
      <c r="R621" s="2" t="inlineStr"/>
    </row>
    <row r="622" ht="15" customHeight="1">
      <c r="A622" t="inlineStr">
        <is>
          <t>A 23966-2023</t>
        </is>
      </c>
      <c r="B622" s="1" t="n">
        <v>45078</v>
      </c>
      <c r="C622" s="1" t="n">
        <v>45635</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23978-2023</t>
        </is>
      </c>
      <c r="B623" s="1" t="n">
        <v>45078</v>
      </c>
      <c r="C623" s="1" t="n">
        <v>45635</v>
      </c>
      <c r="D623" t="inlineStr">
        <is>
          <t>GOTLANDS LÄN</t>
        </is>
      </c>
      <c r="E623" t="inlineStr">
        <is>
          <t>GOTLAND</t>
        </is>
      </c>
      <c r="F623" t="inlineStr">
        <is>
          <t>Naturvårdsverket</t>
        </is>
      </c>
      <c r="G623" t="n">
        <v>1.7</v>
      </c>
      <c r="H623" t="n">
        <v>0</v>
      </c>
      <c r="I623" t="n">
        <v>0</v>
      </c>
      <c r="J623" t="n">
        <v>0</v>
      </c>
      <c r="K623" t="n">
        <v>0</v>
      </c>
      <c r="L623" t="n">
        <v>0</v>
      </c>
      <c r="M623" t="n">
        <v>0</v>
      </c>
      <c r="N623" t="n">
        <v>0</v>
      </c>
      <c r="O623" t="n">
        <v>0</v>
      </c>
      <c r="P623" t="n">
        <v>0</v>
      </c>
      <c r="Q623" t="n">
        <v>0</v>
      </c>
      <c r="R623" s="2" t="inlineStr"/>
    </row>
    <row r="624" ht="15" customHeight="1">
      <c r="A624" t="inlineStr">
        <is>
          <t>A 24192-2023</t>
        </is>
      </c>
      <c r="B624" s="1" t="n">
        <v>45079</v>
      </c>
      <c r="C624" s="1" t="n">
        <v>45635</v>
      </c>
      <c r="D624" t="inlineStr">
        <is>
          <t>GOTLANDS LÄN</t>
        </is>
      </c>
      <c r="E624" t="inlineStr">
        <is>
          <t>GOTLAND</t>
        </is>
      </c>
      <c r="G624" t="n">
        <v>2.1</v>
      </c>
      <c r="H624" t="n">
        <v>0</v>
      </c>
      <c r="I624" t="n">
        <v>0</v>
      </c>
      <c r="J624" t="n">
        <v>0</v>
      </c>
      <c r="K624" t="n">
        <v>0</v>
      </c>
      <c r="L624" t="n">
        <v>0</v>
      </c>
      <c r="M624" t="n">
        <v>0</v>
      </c>
      <c r="N624" t="n">
        <v>0</v>
      </c>
      <c r="O624" t="n">
        <v>0</v>
      </c>
      <c r="P624" t="n">
        <v>0</v>
      </c>
      <c r="Q624" t="n">
        <v>0</v>
      </c>
      <c r="R624" s="2" t="inlineStr"/>
    </row>
    <row r="625" ht="15" customHeight="1">
      <c r="A625" t="inlineStr">
        <is>
          <t>A 24719-2023</t>
        </is>
      </c>
      <c r="B625" s="1" t="n">
        <v>45084</v>
      </c>
      <c r="C625" s="1" t="n">
        <v>45635</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24966-2023</t>
        </is>
      </c>
      <c r="B626" s="1" t="n">
        <v>45085</v>
      </c>
      <c r="C626" s="1" t="n">
        <v>45635</v>
      </c>
      <c r="D626" t="inlineStr">
        <is>
          <t>GOTLANDS LÄN</t>
        </is>
      </c>
      <c r="E626" t="inlineStr">
        <is>
          <t>GOTLAND</t>
        </is>
      </c>
      <c r="G626" t="n">
        <v>7</v>
      </c>
      <c r="H626" t="n">
        <v>0</v>
      </c>
      <c r="I626" t="n">
        <v>0</v>
      </c>
      <c r="J626" t="n">
        <v>0</v>
      </c>
      <c r="K626" t="n">
        <v>0</v>
      </c>
      <c r="L626" t="n">
        <v>0</v>
      </c>
      <c r="M626" t="n">
        <v>0</v>
      </c>
      <c r="N626" t="n">
        <v>0</v>
      </c>
      <c r="O626" t="n">
        <v>0</v>
      </c>
      <c r="P626" t="n">
        <v>0</v>
      </c>
      <c r="Q626" t="n">
        <v>0</v>
      </c>
      <c r="R626" s="2" t="inlineStr"/>
    </row>
    <row r="627" ht="15" customHeight="1">
      <c r="A627" t="inlineStr">
        <is>
          <t>A 25129-2023</t>
        </is>
      </c>
      <c r="B627" s="1" t="n">
        <v>45086</v>
      </c>
      <c r="C627" s="1" t="n">
        <v>45635</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27593-2023</t>
        </is>
      </c>
      <c r="B628" s="1" t="n">
        <v>45097</v>
      </c>
      <c r="C628" s="1" t="n">
        <v>45635</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27597-2023</t>
        </is>
      </c>
      <c r="B629" s="1" t="n">
        <v>45097</v>
      </c>
      <c r="C629" s="1" t="n">
        <v>45635</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27602-2023</t>
        </is>
      </c>
      <c r="B630" s="1" t="n">
        <v>45097</v>
      </c>
      <c r="C630" s="1" t="n">
        <v>45635</v>
      </c>
      <c r="D630" t="inlineStr">
        <is>
          <t>GOTLANDS LÄN</t>
        </is>
      </c>
      <c r="E630" t="inlineStr">
        <is>
          <t>GOTLAND</t>
        </is>
      </c>
      <c r="G630" t="n">
        <v>2.7</v>
      </c>
      <c r="H630" t="n">
        <v>0</v>
      </c>
      <c r="I630" t="n">
        <v>0</v>
      </c>
      <c r="J630" t="n">
        <v>0</v>
      </c>
      <c r="K630" t="n">
        <v>0</v>
      </c>
      <c r="L630" t="n">
        <v>0</v>
      </c>
      <c r="M630" t="n">
        <v>0</v>
      </c>
      <c r="N630" t="n">
        <v>0</v>
      </c>
      <c r="O630" t="n">
        <v>0</v>
      </c>
      <c r="P630" t="n">
        <v>0</v>
      </c>
      <c r="Q630" t="n">
        <v>0</v>
      </c>
      <c r="R630" s="2" t="inlineStr"/>
    </row>
    <row r="631" ht="15" customHeight="1">
      <c r="A631" t="inlineStr">
        <is>
          <t>A 27596-2023</t>
        </is>
      </c>
      <c r="B631" s="1" t="n">
        <v>45097</v>
      </c>
      <c r="C631" s="1" t="n">
        <v>45635</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28228-2023</t>
        </is>
      </c>
      <c r="B632" s="1" t="n">
        <v>45099</v>
      </c>
      <c r="C632" s="1" t="n">
        <v>45635</v>
      </c>
      <c r="D632" t="inlineStr">
        <is>
          <t>GOTLANDS LÄN</t>
        </is>
      </c>
      <c r="E632" t="inlineStr">
        <is>
          <t>GOTLAND</t>
        </is>
      </c>
      <c r="G632" t="n">
        <v>1</v>
      </c>
      <c r="H632" t="n">
        <v>0</v>
      </c>
      <c r="I632" t="n">
        <v>0</v>
      </c>
      <c r="J632" t="n">
        <v>0</v>
      </c>
      <c r="K632" t="n">
        <v>0</v>
      </c>
      <c r="L632" t="n">
        <v>0</v>
      </c>
      <c r="M632" t="n">
        <v>0</v>
      </c>
      <c r="N632" t="n">
        <v>0</v>
      </c>
      <c r="O632" t="n">
        <v>0</v>
      </c>
      <c r="P632" t="n">
        <v>0</v>
      </c>
      <c r="Q632" t="n">
        <v>0</v>
      </c>
      <c r="R632" s="2" t="inlineStr"/>
    </row>
    <row r="633" ht="15" customHeight="1">
      <c r="A633" t="inlineStr">
        <is>
          <t>A 28425-2023</t>
        </is>
      </c>
      <c r="B633" s="1" t="n">
        <v>45102</v>
      </c>
      <c r="C633" s="1" t="n">
        <v>45635</v>
      </c>
      <c r="D633" t="inlineStr">
        <is>
          <t>GOTLANDS LÄN</t>
        </is>
      </c>
      <c r="E633" t="inlineStr">
        <is>
          <t>GOTLAND</t>
        </is>
      </c>
      <c r="G633" t="n">
        <v>0.5</v>
      </c>
      <c r="H633" t="n">
        <v>0</v>
      </c>
      <c r="I633" t="n">
        <v>0</v>
      </c>
      <c r="J633" t="n">
        <v>0</v>
      </c>
      <c r="K633" t="n">
        <v>0</v>
      </c>
      <c r="L633" t="n">
        <v>0</v>
      </c>
      <c r="M633" t="n">
        <v>0</v>
      </c>
      <c r="N633" t="n">
        <v>0</v>
      </c>
      <c r="O633" t="n">
        <v>0</v>
      </c>
      <c r="P633" t="n">
        <v>0</v>
      </c>
      <c r="Q633" t="n">
        <v>0</v>
      </c>
      <c r="R633" s="2" t="inlineStr"/>
    </row>
    <row r="634" ht="15" customHeight="1">
      <c r="A634" t="inlineStr">
        <is>
          <t>A 28486-2023</t>
        </is>
      </c>
      <c r="B634" s="1" t="n">
        <v>45103</v>
      </c>
      <c r="C634" s="1" t="n">
        <v>45635</v>
      </c>
      <c r="D634" t="inlineStr">
        <is>
          <t>GOTLANDS LÄN</t>
        </is>
      </c>
      <c r="E634" t="inlineStr">
        <is>
          <t>GOTLAND</t>
        </is>
      </c>
      <c r="G634" t="n">
        <v>7.7</v>
      </c>
      <c r="H634" t="n">
        <v>0</v>
      </c>
      <c r="I634" t="n">
        <v>0</v>
      </c>
      <c r="J634" t="n">
        <v>0</v>
      </c>
      <c r="K634" t="n">
        <v>0</v>
      </c>
      <c r="L634" t="n">
        <v>0</v>
      </c>
      <c r="M634" t="n">
        <v>0</v>
      </c>
      <c r="N634" t="n">
        <v>0</v>
      </c>
      <c r="O634" t="n">
        <v>0</v>
      </c>
      <c r="P634" t="n">
        <v>0</v>
      </c>
      <c r="Q634" t="n">
        <v>0</v>
      </c>
      <c r="R634" s="2" t="inlineStr"/>
    </row>
    <row r="635" ht="15" customHeight="1">
      <c r="A635" t="inlineStr">
        <is>
          <t>A 28485-2023</t>
        </is>
      </c>
      <c r="B635" s="1" t="n">
        <v>45103</v>
      </c>
      <c r="C635" s="1" t="n">
        <v>45635</v>
      </c>
      <c r="D635" t="inlineStr">
        <is>
          <t>GOTLANDS LÄN</t>
        </is>
      </c>
      <c r="E635" t="inlineStr">
        <is>
          <t>GOTLAND</t>
        </is>
      </c>
      <c r="G635" t="n">
        <v>2.3</v>
      </c>
      <c r="H635" t="n">
        <v>0</v>
      </c>
      <c r="I635" t="n">
        <v>0</v>
      </c>
      <c r="J635" t="n">
        <v>0</v>
      </c>
      <c r="K635" t="n">
        <v>0</v>
      </c>
      <c r="L635" t="n">
        <v>0</v>
      </c>
      <c r="M635" t="n">
        <v>0</v>
      </c>
      <c r="N635" t="n">
        <v>0</v>
      </c>
      <c r="O635" t="n">
        <v>0</v>
      </c>
      <c r="P635" t="n">
        <v>0</v>
      </c>
      <c r="Q635" t="n">
        <v>0</v>
      </c>
      <c r="R635" s="2" t="inlineStr"/>
    </row>
    <row r="636" ht="15" customHeight="1">
      <c r="A636" t="inlineStr">
        <is>
          <t>A 28480-2023</t>
        </is>
      </c>
      <c r="B636" s="1" t="n">
        <v>45103</v>
      </c>
      <c r="C636" s="1" t="n">
        <v>45635</v>
      </c>
      <c r="D636" t="inlineStr">
        <is>
          <t>GOTLANDS LÄN</t>
        </is>
      </c>
      <c r="E636" t="inlineStr">
        <is>
          <t>GOTLAND</t>
        </is>
      </c>
      <c r="G636" t="n">
        <v>5.7</v>
      </c>
      <c r="H636" t="n">
        <v>0</v>
      </c>
      <c r="I636" t="n">
        <v>0</v>
      </c>
      <c r="J636" t="n">
        <v>0</v>
      </c>
      <c r="K636" t="n">
        <v>0</v>
      </c>
      <c r="L636" t="n">
        <v>0</v>
      </c>
      <c r="M636" t="n">
        <v>0</v>
      </c>
      <c r="N636" t="n">
        <v>0</v>
      </c>
      <c r="O636" t="n">
        <v>0</v>
      </c>
      <c r="P636" t="n">
        <v>0</v>
      </c>
      <c r="Q636" t="n">
        <v>0</v>
      </c>
      <c r="R636" s="2" t="inlineStr"/>
    </row>
    <row r="637" ht="15" customHeight="1">
      <c r="A637" t="inlineStr">
        <is>
          <t>A 28506-2023</t>
        </is>
      </c>
      <c r="B637" s="1" t="n">
        <v>45103</v>
      </c>
      <c r="C637" s="1" t="n">
        <v>45635</v>
      </c>
      <c r="D637" t="inlineStr">
        <is>
          <t>GOTLANDS LÄN</t>
        </is>
      </c>
      <c r="E637" t="inlineStr">
        <is>
          <t>GOTLAND</t>
        </is>
      </c>
      <c r="G637" t="n">
        <v>3.2</v>
      </c>
      <c r="H637" t="n">
        <v>0</v>
      </c>
      <c r="I637" t="n">
        <v>0</v>
      </c>
      <c r="J637" t="n">
        <v>0</v>
      </c>
      <c r="K637" t="n">
        <v>0</v>
      </c>
      <c r="L637" t="n">
        <v>0</v>
      </c>
      <c r="M637" t="n">
        <v>0</v>
      </c>
      <c r="N637" t="n">
        <v>0</v>
      </c>
      <c r="O637" t="n">
        <v>0</v>
      </c>
      <c r="P637" t="n">
        <v>0</v>
      </c>
      <c r="Q637" t="n">
        <v>0</v>
      </c>
      <c r="R637" s="2" t="inlineStr"/>
    </row>
    <row r="638" ht="15" customHeight="1">
      <c r="A638" t="inlineStr">
        <is>
          <t>A 28560-2023</t>
        </is>
      </c>
      <c r="B638" s="1" t="n">
        <v>45103</v>
      </c>
      <c r="C638" s="1" t="n">
        <v>45635</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29126-2023</t>
        </is>
      </c>
      <c r="B639" s="1" t="n">
        <v>45105</v>
      </c>
      <c r="C639" s="1" t="n">
        <v>45635</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29499-2023</t>
        </is>
      </c>
      <c r="B640" s="1" t="n">
        <v>45106</v>
      </c>
      <c r="C640" s="1" t="n">
        <v>45635</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30164-2023</t>
        </is>
      </c>
      <c r="B641" s="1" t="n">
        <v>45110</v>
      </c>
      <c r="C641" s="1" t="n">
        <v>45635</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30815-2023</t>
        </is>
      </c>
      <c r="B642" s="1" t="n">
        <v>45112</v>
      </c>
      <c r="C642" s="1" t="n">
        <v>45635</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32737-2023</t>
        </is>
      </c>
      <c r="B643" s="1" t="n">
        <v>45122</v>
      </c>
      <c r="C643" s="1" t="n">
        <v>45635</v>
      </c>
      <c r="D643" t="inlineStr">
        <is>
          <t>GOTLANDS LÄN</t>
        </is>
      </c>
      <c r="E643" t="inlineStr">
        <is>
          <t>GOTLAND</t>
        </is>
      </c>
      <c r="F643" t="inlineStr">
        <is>
          <t>Kyrkan</t>
        </is>
      </c>
      <c r="G643" t="n">
        <v>15.4</v>
      </c>
      <c r="H643" t="n">
        <v>0</v>
      </c>
      <c r="I643" t="n">
        <v>0</v>
      </c>
      <c r="J643" t="n">
        <v>0</v>
      </c>
      <c r="K643" t="n">
        <v>0</v>
      </c>
      <c r="L643" t="n">
        <v>0</v>
      </c>
      <c r="M643" t="n">
        <v>0</v>
      </c>
      <c r="N643" t="n">
        <v>0</v>
      </c>
      <c r="O643" t="n">
        <v>0</v>
      </c>
      <c r="P643" t="n">
        <v>0</v>
      </c>
      <c r="Q643" t="n">
        <v>0</v>
      </c>
      <c r="R643" s="2" t="inlineStr"/>
    </row>
    <row r="644" ht="15" customHeight="1">
      <c r="A644" t="inlineStr">
        <is>
          <t>A 32783-2023</t>
        </is>
      </c>
      <c r="B644" s="1" t="n">
        <v>45124</v>
      </c>
      <c r="C644" s="1" t="n">
        <v>45635</v>
      </c>
      <c r="D644" t="inlineStr">
        <is>
          <t>GOTLANDS LÄN</t>
        </is>
      </c>
      <c r="E644" t="inlineStr">
        <is>
          <t>GOTLAND</t>
        </is>
      </c>
      <c r="G644" t="n">
        <v>17.8</v>
      </c>
      <c r="H644" t="n">
        <v>0</v>
      </c>
      <c r="I644" t="n">
        <v>0</v>
      </c>
      <c r="J644" t="n">
        <v>0</v>
      </c>
      <c r="K644" t="n">
        <v>0</v>
      </c>
      <c r="L644" t="n">
        <v>0</v>
      </c>
      <c r="M644" t="n">
        <v>0</v>
      </c>
      <c r="N644" t="n">
        <v>0</v>
      </c>
      <c r="O644" t="n">
        <v>0</v>
      </c>
      <c r="P644" t="n">
        <v>0</v>
      </c>
      <c r="Q644" t="n">
        <v>0</v>
      </c>
      <c r="R644" s="2" t="inlineStr"/>
    </row>
    <row r="645" ht="15" customHeight="1">
      <c r="A645" t="inlineStr">
        <is>
          <t>A 34081-2023</t>
        </is>
      </c>
      <c r="B645" s="1" t="n">
        <v>45125</v>
      </c>
      <c r="C645" s="1" t="n">
        <v>45635</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34407-2023</t>
        </is>
      </c>
      <c r="B646" s="1" t="n">
        <v>45132</v>
      </c>
      <c r="C646" s="1" t="n">
        <v>45635</v>
      </c>
      <c r="D646" t="inlineStr">
        <is>
          <t>GOTLANDS LÄN</t>
        </is>
      </c>
      <c r="E646" t="inlineStr">
        <is>
          <t>GOTLAND</t>
        </is>
      </c>
      <c r="G646" t="n">
        <v>4.4</v>
      </c>
      <c r="H646" t="n">
        <v>0</v>
      </c>
      <c r="I646" t="n">
        <v>0</v>
      </c>
      <c r="J646" t="n">
        <v>0</v>
      </c>
      <c r="K646" t="n">
        <v>0</v>
      </c>
      <c r="L646" t="n">
        <v>0</v>
      </c>
      <c r="M646" t="n">
        <v>0</v>
      </c>
      <c r="N646" t="n">
        <v>0</v>
      </c>
      <c r="O646" t="n">
        <v>0</v>
      </c>
      <c r="P646" t="n">
        <v>0</v>
      </c>
      <c r="Q646" t="n">
        <v>0</v>
      </c>
      <c r="R646" s="2" t="inlineStr"/>
    </row>
    <row r="647" ht="15" customHeight="1">
      <c r="A647" t="inlineStr">
        <is>
          <t>A 35478-2023</t>
        </is>
      </c>
      <c r="B647" s="1" t="n">
        <v>45146</v>
      </c>
      <c r="C647" s="1" t="n">
        <v>45635</v>
      </c>
      <c r="D647" t="inlineStr">
        <is>
          <t>GOTLANDS LÄN</t>
        </is>
      </c>
      <c r="E647" t="inlineStr">
        <is>
          <t>GOTLAND</t>
        </is>
      </c>
      <c r="G647" t="n">
        <v>0.9</v>
      </c>
      <c r="H647" t="n">
        <v>0</v>
      </c>
      <c r="I647" t="n">
        <v>0</v>
      </c>
      <c r="J647" t="n">
        <v>0</v>
      </c>
      <c r="K647" t="n">
        <v>0</v>
      </c>
      <c r="L647" t="n">
        <v>0</v>
      </c>
      <c r="M647" t="n">
        <v>0</v>
      </c>
      <c r="N647" t="n">
        <v>0</v>
      </c>
      <c r="O647" t="n">
        <v>0</v>
      </c>
      <c r="P647" t="n">
        <v>0</v>
      </c>
      <c r="Q647" t="n">
        <v>0</v>
      </c>
      <c r="R647" s="2" t="inlineStr"/>
    </row>
    <row r="648" ht="15" customHeight="1">
      <c r="A648" t="inlineStr">
        <is>
          <t>A 35512-2023</t>
        </is>
      </c>
      <c r="B648" s="1" t="n">
        <v>45147</v>
      </c>
      <c r="C648" s="1" t="n">
        <v>45635</v>
      </c>
      <c r="D648" t="inlineStr">
        <is>
          <t>GOTLANDS LÄN</t>
        </is>
      </c>
      <c r="E648" t="inlineStr">
        <is>
          <t>GOTLAND</t>
        </is>
      </c>
      <c r="G648" t="n">
        <v>1.2</v>
      </c>
      <c r="H648" t="n">
        <v>0</v>
      </c>
      <c r="I648" t="n">
        <v>0</v>
      </c>
      <c r="J648" t="n">
        <v>0</v>
      </c>
      <c r="K648" t="n">
        <v>0</v>
      </c>
      <c r="L648" t="n">
        <v>0</v>
      </c>
      <c r="M648" t="n">
        <v>0</v>
      </c>
      <c r="N648" t="n">
        <v>0</v>
      </c>
      <c r="O648" t="n">
        <v>0</v>
      </c>
      <c r="P648" t="n">
        <v>0</v>
      </c>
      <c r="Q648" t="n">
        <v>0</v>
      </c>
      <c r="R648" s="2" t="inlineStr"/>
    </row>
    <row r="649" ht="15" customHeight="1">
      <c r="A649" t="inlineStr">
        <is>
          <t>A 35595-2023</t>
        </is>
      </c>
      <c r="B649" s="1" t="n">
        <v>45147</v>
      </c>
      <c r="C649" s="1" t="n">
        <v>45635</v>
      </c>
      <c r="D649" t="inlineStr">
        <is>
          <t>GOTLANDS LÄN</t>
        </is>
      </c>
      <c r="E649" t="inlineStr">
        <is>
          <t>GOTLAND</t>
        </is>
      </c>
      <c r="G649" t="n">
        <v>4.2</v>
      </c>
      <c r="H649" t="n">
        <v>0</v>
      </c>
      <c r="I649" t="n">
        <v>0</v>
      </c>
      <c r="J649" t="n">
        <v>0</v>
      </c>
      <c r="K649" t="n">
        <v>0</v>
      </c>
      <c r="L649" t="n">
        <v>0</v>
      </c>
      <c r="M649" t="n">
        <v>0</v>
      </c>
      <c r="N649" t="n">
        <v>0</v>
      </c>
      <c r="O649" t="n">
        <v>0</v>
      </c>
      <c r="P649" t="n">
        <v>0</v>
      </c>
      <c r="Q649" t="n">
        <v>0</v>
      </c>
      <c r="R649" s="2" t="inlineStr"/>
    </row>
    <row r="650" ht="15" customHeight="1">
      <c r="A650" t="inlineStr">
        <is>
          <t>A 35592-2023</t>
        </is>
      </c>
      <c r="B650" s="1" t="n">
        <v>45147</v>
      </c>
      <c r="C650" s="1" t="n">
        <v>45635</v>
      </c>
      <c r="D650" t="inlineStr">
        <is>
          <t>GOTLANDS LÄN</t>
        </is>
      </c>
      <c r="E650" t="inlineStr">
        <is>
          <t>GOTLAND</t>
        </is>
      </c>
      <c r="G650" t="n">
        <v>5.1</v>
      </c>
      <c r="H650" t="n">
        <v>0</v>
      </c>
      <c r="I650" t="n">
        <v>0</v>
      </c>
      <c r="J650" t="n">
        <v>0</v>
      </c>
      <c r="K650" t="n">
        <v>0</v>
      </c>
      <c r="L650" t="n">
        <v>0</v>
      </c>
      <c r="M650" t="n">
        <v>0</v>
      </c>
      <c r="N650" t="n">
        <v>0</v>
      </c>
      <c r="O650" t="n">
        <v>0</v>
      </c>
      <c r="P650" t="n">
        <v>0</v>
      </c>
      <c r="Q650" t="n">
        <v>0</v>
      </c>
      <c r="R650" s="2" t="inlineStr"/>
    </row>
    <row r="651" ht="15" customHeight="1">
      <c r="A651" t="inlineStr">
        <is>
          <t>A 37591-2023</t>
        </is>
      </c>
      <c r="B651" s="1" t="n">
        <v>45159</v>
      </c>
      <c r="C651" s="1" t="n">
        <v>45635</v>
      </c>
      <c r="D651" t="inlineStr">
        <is>
          <t>GOTLANDS LÄN</t>
        </is>
      </c>
      <c r="E651" t="inlineStr">
        <is>
          <t>GOTLAND</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38234-2023</t>
        </is>
      </c>
      <c r="B652" s="1" t="n">
        <v>45161</v>
      </c>
      <c r="C652" s="1" t="n">
        <v>45635</v>
      </c>
      <c r="D652" t="inlineStr">
        <is>
          <t>GOTLANDS LÄN</t>
        </is>
      </c>
      <c r="E652" t="inlineStr">
        <is>
          <t>GOTLAND</t>
        </is>
      </c>
      <c r="G652" t="n">
        <v>1.3</v>
      </c>
      <c r="H652" t="n">
        <v>0</v>
      </c>
      <c r="I652" t="n">
        <v>0</v>
      </c>
      <c r="J652" t="n">
        <v>0</v>
      </c>
      <c r="K652" t="n">
        <v>0</v>
      </c>
      <c r="L652" t="n">
        <v>0</v>
      </c>
      <c r="M652" t="n">
        <v>0</v>
      </c>
      <c r="N652" t="n">
        <v>0</v>
      </c>
      <c r="O652" t="n">
        <v>0</v>
      </c>
      <c r="P652" t="n">
        <v>0</v>
      </c>
      <c r="Q652" t="n">
        <v>0</v>
      </c>
      <c r="R652" s="2" t="inlineStr"/>
    </row>
    <row r="653" ht="15" customHeight="1">
      <c r="A653" t="inlineStr">
        <is>
          <t>A 38237-2023</t>
        </is>
      </c>
      <c r="B653" s="1" t="n">
        <v>45161</v>
      </c>
      <c r="C653" s="1" t="n">
        <v>45635</v>
      </c>
      <c r="D653" t="inlineStr">
        <is>
          <t>GOTLANDS LÄN</t>
        </is>
      </c>
      <c r="E653" t="inlineStr">
        <is>
          <t>GOTLAND</t>
        </is>
      </c>
      <c r="G653" t="n">
        <v>2.8</v>
      </c>
      <c r="H653" t="n">
        <v>0</v>
      </c>
      <c r="I653" t="n">
        <v>0</v>
      </c>
      <c r="J653" t="n">
        <v>0</v>
      </c>
      <c r="K653" t="n">
        <v>0</v>
      </c>
      <c r="L653" t="n">
        <v>0</v>
      </c>
      <c r="M653" t="n">
        <v>0</v>
      </c>
      <c r="N653" t="n">
        <v>0</v>
      </c>
      <c r="O653" t="n">
        <v>0</v>
      </c>
      <c r="P653" t="n">
        <v>0</v>
      </c>
      <c r="Q653" t="n">
        <v>0</v>
      </c>
      <c r="R653" s="2" t="inlineStr"/>
    </row>
    <row r="654" ht="15" customHeight="1">
      <c r="A654" t="inlineStr">
        <is>
          <t>A 38165-2023</t>
        </is>
      </c>
      <c r="B654" s="1" t="n">
        <v>45161</v>
      </c>
      <c r="C654" s="1" t="n">
        <v>45635</v>
      </c>
      <c r="D654" t="inlineStr">
        <is>
          <t>GOTLANDS LÄN</t>
        </is>
      </c>
      <c r="E654" t="inlineStr">
        <is>
          <t>GOTLAND</t>
        </is>
      </c>
      <c r="G654" t="n">
        <v>2.6</v>
      </c>
      <c r="H654" t="n">
        <v>0</v>
      </c>
      <c r="I654" t="n">
        <v>0</v>
      </c>
      <c r="J654" t="n">
        <v>0</v>
      </c>
      <c r="K654" t="n">
        <v>0</v>
      </c>
      <c r="L654" t="n">
        <v>0</v>
      </c>
      <c r="M654" t="n">
        <v>0</v>
      </c>
      <c r="N654" t="n">
        <v>0</v>
      </c>
      <c r="O654" t="n">
        <v>0</v>
      </c>
      <c r="P654" t="n">
        <v>0</v>
      </c>
      <c r="Q654" t="n">
        <v>0</v>
      </c>
      <c r="R654" s="2" t="inlineStr"/>
    </row>
    <row r="655" ht="15" customHeight="1">
      <c r="A655" t="inlineStr">
        <is>
          <t>A 38787-2023</t>
        </is>
      </c>
      <c r="B655" s="1" t="n">
        <v>45163</v>
      </c>
      <c r="C655" s="1" t="n">
        <v>45635</v>
      </c>
      <c r="D655" t="inlineStr">
        <is>
          <t>GOTLANDS LÄN</t>
        </is>
      </c>
      <c r="E655" t="inlineStr">
        <is>
          <t>GOTLAND</t>
        </is>
      </c>
      <c r="G655" t="n">
        <v>0.4</v>
      </c>
      <c r="H655" t="n">
        <v>0</v>
      </c>
      <c r="I655" t="n">
        <v>0</v>
      </c>
      <c r="J655" t="n">
        <v>0</v>
      </c>
      <c r="K655" t="n">
        <v>0</v>
      </c>
      <c r="L655" t="n">
        <v>0</v>
      </c>
      <c r="M655" t="n">
        <v>0</v>
      </c>
      <c r="N655" t="n">
        <v>0</v>
      </c>
      <c r="O655" t="n">
        <v>0</v>
      </c>
      <c r="P655" t="n">
        <v>0</v>
      </c>
      <c r="Q655" t="n">
        <v>0</v>
      </c>
      <c r="R655" s="2" t="inlineStr"/>
    </row>
    <row r="656" ht="15" customHeight="1">
      <c r="A656" t="inlineStr">
        <is>
          <t>A 39436-2023</t>
        </is>
      </c>
      <c r="B656" s="1" t="n">
        <v>45166</v>
      </c>
      <c r="C656" s="1" t="n">
        <v>45635</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39371-2023</t>
        </is>
      </c>
      <c r="B657" s="1" t="n">
        <v>45166</v>
      </c>
      <c r="C657" s="1" t="n">
        <v>45635</v>
      </c>
      <c r="D657" t="inlineStr">
        <is>
          <t>GOTLANDS LÄN</t>
        </is>
      </c>
      <c r="E657" t="inlineStr">
        <is>
          <t>GOTLAND</t>
        </is>
      </c>
      <c r="G657" t="n">
        <v>8.4</v>
      </c>
      <c r="H657" t="n">
        <v>0</v>
      </c>
      <c r="I657" t="n">
        <v>0</v>
      </c>
      <c r="J657" t="n">
        <v>0</v>
      </c>
      <c r="K657" t="n">
        <v>0</v>
      </c>
      <c r="L657" t="n">
        <v>0</v>
      </c>
      <c r="M657" t="n">
        <v>0</v>
      </c>
      <c r="N657" t="n">
        <v>0</v>
      </c>
      <c r="O657" t="n">
        <v>0</v>
      </c>
      <c r="P657" t="n">
        <v>0</v>
      </c>
      <c r="Q657" t="n">
        <v>0</v>
      </c>
      <c r="R657" s="2" t="inlineStr"/>
    </row>
    <row r="658" ht="15" customHeight="1">
      <c r="A658" t="inlineStr">
        <is>
          <t>A 39711-2023</t>
        </is>
      </c>
      <c r="B658" s="1" t="n">
        <v>45166</v>
      </c>
      <c r="C658" s="1" t="n">
        <v>45635</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41038-2023</t>
        </is>
      </c>
      <c r="B659" s="1" t="n">
        <v>45173</v>
      </c>
      <c r="C659" s="1" t="n">
        <v>45635</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41378-2023</t>
        </is>
      </c>
      <c r="B660" s="1" t="n">
        <v>45174</v>
      </c>
      <c r="C660" s="1" t="n">
        <v>45635</v>
      </c>
      <c r="D660" t="inlineStr">
        <is>
          <t>GOTLANDS LÄN</t>
        </is>
      </c>
      <c r="E660" t="inlineStr">
        <is>
          <t>GOTLAND</t>
        </is>
      </c>
      <c r="G660" t="n">
        <v>1.6</v>
      </c>
      <c r="H660" t="n">
        <v>0</v>
      </c>
      <c r="I660" t="n">
        <v>0</v>
      </c>
      <c r="J660" t="n">
        <v>0</v>
      </c>
      <c r="K660" t="n">
        <v>0</v>
      </c>
      <c r="L660" t="n">
        <v>0</v>
      </c>
      <c r="M660" t="n">
        <v>0</v>
      </c>
      <c r="N660" t="n">
        <v>0</v>
      </c>
      <c r="O660" t="n">
        <v>0</v>
      </c>
      <c r="P660" t="n">
        <v>0</v>
      </c>
      <c r="Q660" t="n">
        <v>0</v>
      </c>
      <c r="R660" s="2" t="inlineStr"/>
    </row>
    <row r="661" ht="15" customHeight="1">
      <c r="A661" t="inlineStr">
        <is>
          <t>A 41336-2023</t>
        </is>
      </c>
      <c r="B661" s="1" t="n">
        <v>45174</v>
      </c>
      <c r="C661" s="1" t="n">
        <v>45635</v>
      </c>
      <c r="D661" t="inlineStr">
        <is>
          <t>GOTLANDS LÄN</t>
        </is>
      </c>
      <c r="E661" t="inlineStr">
        <is>
          <t>GOTLAND</t>
        </is>
      </c>
      <c r="G661" t="n">
        <v>2.1</v>
      </c>
      <c r="H661" t="n">
        <v>0</v>
      </c>
      <c r="I661" t="n">
        <v>0</v>
      </c>
      <c r="J661" t="n">
        <v>0</v>
      </c>
      <c r="K661" t="n">
        <v>0</v>
      </c>
      <c r="L661" t="n">
        <v>0</v>
      </c>
      <c r="M661" t="n">
        <v>0</v>
      </c>
      <c r="N661" t="n">
        <v>0</v>
      </c>
      <c r="O661" t="n">
        <v>0</v>
      </c>
      <c r="P661" t="n">
        <v>0</v>
      </c>
      <c r="Q661" t="n">
        <v>0</v>
      </c>
      <c r="R661" s="2" t="inlineStr"/>
    </row>
    <row r="662" ht="15" customHeight="1">
      <c r="A662" t="inlineStr">
        <is>
          <t>A 41697-2023</t>
        </is>
      </c>
      <c r="B662" s="1" t="n">
        <v>45176</v>
      </c>
      <c r="C662" s="1" t="n">
        <v>45635</v>
      </c>
      <c r="D662" t="inlineStr">
        <is>
          <t>GOTLANDS LÄN</t>
        </is>
      </c>
      <c r="E662" t="inlineStr">
        <is>
          <t>GOTLAND</t>
        </is>
      </c>
      <c r="G662" t="n">
        <v>1.4</v>
      </c>
      <c r="H662" t="n">
        <v>0</v>
      </c>
      <c r="I662" t="n">
        <v>0</v>
      </c>
      <c r="J662" t="n">
        <v>0</v>
      </c>
      <c r="K662" t="n">
        <v>0</v>
      </c>
      <c r="L662" t="n">
        <v>0</v>
      </c>
      <c r="M662" t="n">
        <v>0</v>
      </c>
      <c r="N662" t="n">
        <v>0</v>
      </c>
      <c r="O662" t="n">
        <v>0</v>
      </c>
      <c r="P662" t="n">
        <v>0</v>
      </c>
      <c r="Q662" t="n">
        <v>0</v>
      </c>
      <c r="R662" s="2" t="inlineStr"/>
    </row>
    <row r="663" ht="15" customHeight="1">
      <c r="A663" t="inlineStr">
        <is>
          <t>A 41893-2023</t>
        </is>
      </c>
      <c r="B663" s="1" t="n">
        <v>45176</v>
      </c>
      <c r="C663" s="1" t="n">
        <v>45635</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42007-2023</t>
        </is>
      </c>
      <c r="B664" s="1" t="n">
        <v>45177</v>
      </c>
      <c r="C664" s="1" t="n">
        <v>45635</v>
      </c>
      <c r="D664" t="inlineStr">
        <is>
          <t>GOTLANDS LÄN</t>
        </is>
      </c>
      <c r="E664" t="inlineStr">
        <is>
          <t>GOTLAND</t>
        </is>
      </c>
      <c r="G664" t="n">
        <v>0.8</v>
      </c>
      <c r="H664" t="n">
        <v>0</v>
      </c>
      <c r="I664" t="n">
        <v>0</v>
      </c>
      <c r="J664" t="n">
        <v>0</v>
      </c>
      <c r="K664" t="n">
        <v>0</v>
      </c>
      <c r="L664" t="n">
        <v>0</v>
      </c>
      <c r="M664" t="n">
        <v>0</v>
      </c>
      <c r="N664" t="n">
        <v>0</v>
      </c>
      <c r="O664" t="n">
        <v>0</v>
      </c>
      <c r="P664" t="n">
        <v>0</v>
      </c>
      <c r="Q664" t="n">
        <v>0</v>
      </c>
      <c r="R664" s="2" t="inlineStr"/>
    </row>
    <row r="665" ht="15" customHeight="1">
      <c r="A665" t="inlineStr">
        <is>
          <t>A 42097-2023</t>
        </is>
      </c>
      <c r="B665" s="1" t="n">
        <v>45177</v>
      </c>
      <c r="C665" s="1" t="n">
        <v>45635</v>
      </c>
      <c r="D665" t="inlineStr">
        <is>
          <t>GOTLANDS LÄN</t>
        </is>
      </c>
      <c r="E665" t="inlineStr">
        <is>
          <t>GOTLAND</t>
        </is>
      </c>
      <c r="G665" t="n">
        <v>3.9</v>
      </c>
      <c r="H665" t="n">
        <v>0</v>
      </c>
      <c r="I665" t="n">
        <v>0</v>
      </c>
      <c r="J665" t="n">
        <v>0</v>
      </c>
      <c r="K665" t="n">
        <v>0</v>
      </c>
      <c r="L665" t="n">
        <v>0</v>
      </c>
      <c r="M665" t="n">
        <v>0</v>
      </c>
      <c r="N665" t="n">
        <v>0</v>
      </c>
      <c r="O665" t="n">
        <v>0</v>
      </c>
      <c r="P665" t="n">
        <v>0</v>
      </c>
      <c r="Q665" t="n">
        <v>0</v>
      </c>
      <c r="R665" s="2" t="inlineStr"/>
    </row>
    <row r="666" ht="15" customHeight="1">
      <c r="A666" t="inlineStr">
        <is>
          <t>A 42201-2023</t>
        </is>
      </c>
      <c r="B666" s="1" t="n">
        <v>45179</v>
      </c>
      <c r="C666" s="1" t="n">
        <v>45635</v>
      </c>
      <c r="D666" t="inlineStr">
        <is>
          <t>GOTLANDS LÄN</t>
        </is>
      </c>
      <c r="E666" t="inlineStr">
        <is>
          <t>GOTLAND</t>
        </is>
      </c>
      <c r="G666" t="n">
        <v>11.9</v>
      </c>
      <c r="H666" t="n">
        <v>0</v>
      </c>
      <c r="I666" t="n">
        <v>0</v>
      </c>
      <c r="J666" t="n">
        <v>0</v>
      </c>
      <c r="K666" t="n">
        <v>0</v>
      </c>
      <c r="L666" t="n">
        <v>0</v>
      </c>
      <c r="M666" t="n">
        <v>0</v>
      </c>
      <c r="N666" t="n">
        <v>0</v>
      </c>
      <c r="O666" t="n">
        <v>0</v>
      </c>
      <c r="P666" t="n">
        <v>0</v>
      </c>
      <c r="Q666" t="n">
        <v>0</v>
      </c>
      <c r="R666" s="2" t="inlineStr"/>
    </row>
    <row r="667" ht="15" customHeight="1">
      <c r="A667" t="inlineStr">
        <is>
          <t>A 42338-2023</t>
        </is>
      </c>
      <c r="B667" s="1" t="n">
        <v>45180</v>
      </c>
      <c r="C667" s="1" t="n">
        <v>45635</v>
      </c>
      <c r="D667" t="inlineStr">
        <is>
          <t>GOTLANDS LÄN</t>
        </is>
      </c>
      <c r="E667" t="inlineStr">
        <is>
          <t>GOTLAND</t>
        </is>
      </c>
      <c r="G667" t="n">
        <v>0.7</v>
      </c>
      <c r="H667" t="n">
        <v>0</v>
      </c>
      <c r="I667" t="n">
        <v>0</v>
      </c>
      <c r="J667" t="n">
        <v>0</v>
      </c>
      <c r="K667" t="n">
        <v>0</v>
      </c>
      <c r="L667" t="n">
        <v>0</v>
      </c>
      <c r="M667" t="n">
        <v>0</v>
      </c>
      <c r="N667" t="n">
        <v>0</v>
      </c>
      <c r="O667" t="n">
        <v>0</v>
      </c>
      <c r="P667" t="n">
        <v>0</v>
      </c>
      <c r="Q667" t="n">
        <v>0</v>
      </c>
      <c r="R667" s="2" t="inlineStr"/>
    </row>
    <row r="668" ht="15" customHeight="1">
      <c r="A668" t="inlineStr">
        <is>
          <t>A 42465-2023</t>
        </is>
      </c>
      <c r="B668" s="1" t="n">
        <v>45180</v>
      </c>
      <c r="C668" s="1" t="n">
        <v>45635</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43223-2023</t>
        </is>
      </c>
      <c r="B669" s="1" t="n">
        <v>45183</v>
      </c>
      <c r="C669" s="1" t="n">
        <v>45635</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43200-2023</t>
        </is>
      </c>
      <c r="B670" s="1" t="n">
        <v>45183</v>
      </c>
      <c r="C670" s="1" t="n">
        <v>45635</v>
      </c>
      <c r="D670" t="inlineStr">
        <is>
          <t>GOTLANDS LÄN</t>
        </is>
      </c>
      <c r="E670" t="inlineStr">
        <is>
          <t>GOTLAND</t>
        </is>
      </c>
      <c r="G670" t="n">
        <v>0.5</v>
      </c>
      <c r="H670" t="n">
        <v>0</v>
      </c>
      <c r="I670" t="n">
        <v>0</v>
      </c>
      <c r="J670" t="n">
        <v>0</v>
      </c>
      <c r="K670" t="n">
        <v>0</v>
      </c>
      <c r="L670" t="n">
        <v>0</v>
      </c>
      <c r="M670" t="n">
        <v>0</v>
      </c>
      <c r="N670" t="n">
        <v>0</v>
      </c>
      <c r="O670" t="n">
        <v>0</v>
      </c>
      <c r="P670" t="n">
        <v>0</v>
      </c>
      <c r="Q670" t="n">
        <v>0</v>
      </c>
      <c r="R670" s="2" t="inlineStr"/>
    </row>
    <row r="671" ht="15" customHeight="1">
      <c r="A671" t="inlineStr">
        <is>
          <t>A 43226-2023</t>
        </is>
      </c>
      <c r="B671" s="1" t="n">
        <v>45183</v>
      </c>
      <c r="C671" s="1" t="n">
        <v>45635</v>
      </c>
      <c r="D671" t="inlineStr">
        <is>
          <t>GOTLANDS LÄN</t>
        </is>
      </c>
      <c r="E671" t="inlineStr">
        <is>
          <t>GOTLAND</t>
        </is>
      </c>
      <c r="G671" t="n">
        <v>1.5</v>
      </c>
      <c r="H671" t="n">
        <v>0</v>
      </c>
      <c r="I671" t="n">
        <v>0</v>
      </c>
      <c r="J671" t="n">
        <v>0</v>
      </c>
      <c r="K671" t="n">
        <v>0</v>
      </c>
      <c r="L671" t="n">
        <v>0</v>
      </c>
      <c r="M671" t="n">
        <v>0</v>
      </c>
      <c r="N671" t="n">
        <v>0</v>
      </c>
      <c r="O671" t="n">
        <v>0</v>
      </c>
      <c r="P671" t="n">
        <v>0</v>
      </c>
      <c r="Q671" t="n">
        <v>0</v>
      </c>
      <c r="R671" s="2" t="inlineStr"/>
    </row>
    <row r="672" ht="15" customHeight="1">
      <c r="A672" t="inlineStr">
        <is>
          <t>A 43231-2023</t>
        </is>
      </c>
      <c r="B672" s="1" t="n">
        <v>45183</v>
      </c>
      <c r="C672" s="1" t="n">
        <v>45635</v>
      </c>
      <c r="D672" t="inlineStr">
        <is>
          <t>GOTLANDS LÄN</t>
        </is>
      </c>
      <c r="E672" t="inlineStr">
        <is>
          <t>GOTLAND</t>
        </is>
      </c>
      <c r="G672" t="n">
        <v>3.6</v>
      </c>
      <c r="H672" t="n">
        <v>0</v>
      </c>
      <c r="I672" t="n">
        <v>0</v>
      </c>
      <c r="J672" t="n">
        <v>0</v>
      </c>
      <c r="K672" t="n">
        <v>0</v>
      </c>
      <c r="L672" t="n">
        <v>0</v>
      </c>
      <c r="M672" t="n">
        <v>0</v>
      </c>
      <c r="N672" t="n">
        <v>0</v>
      </c>
      <c r="O672" t="n">
        <v>0</v>
      </c>
      <c r="P672" t="n">
        <v>0</v>
      </c>
      <c r="Q672" t="n">
        <v>0</v>
      </c>
      <c r="R672" s="2" t="inlineStr"/>
    </row>
    <row r="673" ht="15" customHeight="1">
      <c r="A673" t="inlineStr">
        <is>
          <t>A 43220-2023</t>
        </is>
      </c>
      <c r="B673" s="1" t="n">
        <v>45183</v>
      </c>
      <c r="C673" s="1" t="n">
        <v>45635</v>
      </c>
      <c r="D673" t="inlineStr">
        <is>
          <t>GOTLANDS LÄN</t>
        </is>
      </c>
      <c r="E673" t="inlineStr">
        <is>
          <t>GOTLAND</t>
        </is>
      </c>
      <c r="G673" t="n">
        <v>3.3</v>
      </c>
      <c r="H673" t="n">
        <v>0</v>
      </c>
      <c r="I673" t="n">
        <v>0</v>
      </c>
      <c r="J673" t="n">
        <v>0</v>
      </c>
      <c r="K673" t="n">
        <v>0</v>
      </c>
      <c r="L673" t="n">
        <v>0</v>
      </c>
      <c r="M673" t="n">
        <v>0</v>
      </c>
      <c r="N673" t="n">
        <v>0</v>
      </c>
      <c r="O673" t="n">
        <v>0</v>
      </c>
      <c r="P673" t="n">
        <v>0</v>
      </c>
      <c r="Q673" t="n">
        <v>0</v>
      </c>
      <c r="R673" s="2" t="inlineStr"/>
    </row>
    <row r="674" ht="15" customHeight="1">
      <c r="A674" t="inlineStr">
        <is>
          <t>A 43224-2023</t>
        </is>
      </c>
      <c r="B674" s="1" t="n">
        <v>45183</v>
      </c>
      <c r="C674" s="1" t="n">
        <v>45635</v>
      </c>
      <c r="D674" t="inlineStr">
        <is>
          <t>GOTLANDS LÄN</t>
        </is>
      </c>
      <c r="E674" t="inlineStr">
        <is>
          <t>GOTLAND</t>
        </is>
      </c>
      <c r="G674" t="n">
        <v>1.1</v>
      </c>
      <c r="H674" t="n">
        <v>0</v>
      </c>
      <c r="I674" t="n">
        <v>0</v>
      </c>
      <c r="J674" t="n">
        <v>0</v>
      </c>
      <c r="K674" t="n">
        <v>0</v>
      </c>
      <c r="L674" t="n">
        <v>0</v>
      </c>
      <c r="M674" t="n">
        <v>0</v>
      </c>
      <c r="N674" t="n">
        <v>0</v>
      </c>
      <c r="O674" t="n">
        <v>0</v>
      </c>
      <c r="P674" t="n">
        <v>0</v>
      </c>
      <c r="Q674" t="n">
        <v>0</v>
      </c>
      <c r="R674" s="2" t="inlineStr"/>
    </row>
    <row r="675" ht="15" customHeight="1">
      <c r="A675" t="inlineStr">
        <is>
          <t>A 43229-2023</t>
        </is>
      </c>
      <c r="B675" s="1" t="n">
        <v>45183</v>
      </c>
      <c r="C675" s="1" t="n">
        <v>45635</v>
      </c>
      <c r="D675" t="inlineStr">
        <is>
          <t>GOTLANDS LÄN</t>
        </is>
      </c>
      <c r="E675" t="inlineStr">
        <is>
          <t>GOTLAND</t>
        </is>
      </c>
      <c r="G675" t="n">
        <v>7.1</v>
      </c>
      <c r="H675" t="n">
        <v>0</v>
      </c>
      <c r="I675" t="n">
        <v>0</v>
      </c>
      <c r="J675" t="n">
        <v>0</v>
      </c>
      <c r="K675" t="n">
        <v>0</v>
      </c>
      <c r="L675" t="n">
        <v>0</v>
      </c>
      <c r="M675" t="n">
        <v>0</v>
      </c>
      <c r="N675" t="n">
        <v>0</v>
      </c>
      <c r="O675" t="n">
        <v>0</v>
      </c>
      <c r="P675" t="n">
        <v>0</v>
      </c>
      <c r="Q675" t="n">
        <v>0</v>
      </c>
      <c r="R675" s="2" t="inlineStr"/>
    </row>
    <row r="676" ht="15" customHeight="1">
      <c r="A676" t="inlineStr">
        <is>
          <t>A 43901-2023</t>
        </is>
      </c>
      <c r="B676" s="1" t="n">
        <v>45187</v>
      </c>
      <c r="C676" s="1" t="n">
        <v>45635</v>
      </c>
      <c r="D676" t="inlineStr">
        <is>
          <t>GOTLANDS LÄN</t>
        </is>
      </c>
      <c r="E676" t="inlineStr">
        <is>
          <t>GOTLAND</t>
        </is>
      </c>
      <c r="G676" t="n">
        <v>5.4</v>
      </c>
      <c r="H676" t="n">
        <v>0</v>
      </c>
      <c r="I676" t="n">
        <v>0</v>
      </c>
      <c r="J676" t="n">
        <v>0</v>
      </c>
      <c r="K676" t="n">
        <v>0</v>
      </c>
      <c r="L676" t="n">
        <v>0</v>
      </c>
      <c r="M676" t="n">
        <v>0</v>
      </c>
      <c r="N676" t="n">
        <v>0</v>
      </c>
      <c r="O676" t="n">
        <v>0</v>
      </c>
      <c r="P676" t="n">
        <v>0</v>
      </c>
      <c r="Q676" t="n">
        <v>0</v>
      </c>
      <c r="R676" s="2" t="inlineStr"/>
    </row>
    <row r="677" ht="15" customHeight="1">
      <c r="A677" t="inlineStr">
        <is>
          <t>A 44189-2023</t>
        </is>
      </c>
      <c r="B677" s="1" t="n">
        <v>45188</v>
      </c>
      <c r="C677" s="1" t="n">
        <v>45635</v>
      </c>
      <c r="D677" t="inlineStr">
        <is>
          <t>GOTLANDS LÄN</t>
        </is>
      </c>
      <c r="E677" t="inlineStr">
        <is>
          <t>GOTLAND</t>
        </is>
      </c>
      <c r="G677" t="n">
        <v>2.3</v>
      </c>
      <c r="H677" t="n">
        <v>0</v>
      </c>
      <c r="I677" t="n">
        <v>0</v>
      </c>
      <c r="J677" t="n">
        <v>0</v>
      </c>
      <c r="K677" t="n">
        <v>0</v>
      </c>
      <c r="L677" t="n">
        <v>0</v>
      </c>
      <c r="M677" t="n">
        <v>0</v>
      </c>
      <c r="N677" t="n">
        <v>0</v>
      </c>
      <c r="O677" t="n">
        <v>0</v>
      </c>
      <c r="P677" t="n">
        <v>0</v>
      </c>
      <c r="Q677" t="n">
        <v>0</v>
      </c>
      <c r="R677" s="2" t="inlineStr"/>
    </row>
    <row r="678" ht="15" customHeight="1">
      <c r="A678" t="inlineStr">
        <is>
          <t>A 44888-2023</t>
        </is>
      </c>
      <c r="B678" s="1" t="n">
        <v>45190</v>
      </c>
      <c r="C678" s="1" t="n">
        <v>45635</v>
      </c>
      <c r="D678" t="inlineStr">
        <is>
          <t>GOTLANDS LÄN</t>
        </is>
      </c>
      <c r="E678" t="inlineStr">
        <is>
          <t>GOTLAND</t>
        </is>
      </c>
      <c r="G678" t="n">
        <v>6.1</v>
      </c>
      <c r="H678" t="n">
        <v>0</v>
      </c>
      <c r="I678" t="n">
        <v>0</v>
      </c>
      <c r="J678" t="n">
        <v>0</v>
      </c>
      <c r="K678" t="n">
        <v>0</v>
      </c>
      <c r="L678" t="n">
        <v>0</v>
      </c>
      <c r="M678" t="n">
        <v>0</v>
      </c>
      <c r="N678" t="n">
        <v>0</v>
      </c>
      <c r="O678" t="n">
        <v>0</v>
      </c>
      <c r="P678" t="n">
        <v>0</v>
      </c>
      <c r="Q678" t="n">
        <v>0</v>
      </c>
      <c r="R678" s="2" t="inlineStr"/>
    </row>
    <row r="679" ht="15" customHeight="1">
      <c r="A679" t="inlineStr">
        <is>
          <t>A 44941-2023</t>
        </is>
      </c>
      <c r="B679" s="1" t="n">
        <v>45190</v>
      </c>
      <c r="C679" s="1" t="n">
        <v>45635</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44953-2023</t>
        </is>
      </c>
      <c r="B680" s="1" t="n">
        <v>45190</v>
      </c>
      <c r="C680" s="1" t="n">
        <v>45635</v>
      </c>
      <c r="D680" t="inlineStr">
        <is>
          <t>GOTLANDS LÄN</t>
        </is>
      </c>
      <c r="E680" t="inlineStr">
        <is>
          <t>GOTLAND</t>
        </is>
      </c>
      <c r="G680" t="n">
        <v>3.7</v>
      </c>
      <c r="H680" t="n">
        <v>0</v>
      </c>
      <c r="I680" t="n">
        <v>0</v>
      </c>
      <c r="J680" t="n">
        <v>0</v>
      </c>
      <c r="K680" t="n">
        <v>0</v>
      </c>
      <c r="L680" t="n">
        <v>0</v>
      </c>
      <c r="M680" t="n">
        <v>0</v>
      </c>
      <c r="N680" t="n">
        <v>0</v>
      </c>
      <c r="O680" t="n">
        <v>0</v>
      </c>
      <c r="P680" t="n">
        <v>0</v>
      </c>
      <c r="Q680" t="n">
        <v>0</v>
      </c>
      <c r="R680" s="2" t="inlineStr"/>
    </row>
    <row r="681" ht="15" customHeight="1">
      <c r="A681" t="inlineStr">
        <is>
          <t>A 44918-2023</t>
        </is>
      </c>
      <c r="B681" s="1" t="n">
        <v>45190</v>
      </c>
      <c r="C681" s="1" t="n">
        <v>45635</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44949-2023</t>
        </is>
      </c>
      <c r="B682" s="1" t="n">
        <v>45190</v>
      </c>
      <c r="C682" s="1" t="n">
        <v>45635</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45168-2023</t>
        </is>
      </c>
      <c r="B683" s="1" t="n">
        <v>45191</v>
      </c>
      <c r="C683" s="1" t="n">
        <v>45635</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45600-2023</t>
        </is>
      </c>
      <c r="B684" s="1" t="n">
        <v>45194</v>
      </c>
      <c r="C684" s="1" t="n">
        <v>45635</v>
      </c>
      <c r="D684" t="inlineStr">
        <is>
          <t>GOTLANDS LÄN</t>
        </is>
      </c>
      <c r="E684" t="inlineStr">
        <is>
          <t>GOTLAND</t>
        </is>
      </c>
      <c r="G684" t="n">
        <v>6.1</v>
      </c>
      <c r="H684" t="n">
        <v>0</v>
      </c>
      <c r="I684" t="n">
        <v>0</v>
      </c>
      <c r="J684" t="n">
        <v>0</v>
      </c>
      <c r="K684" t="n">
        <v>0</v>
      </c>
      <c r="L684" t="n">
        <v>0</v>
      </c>
      <c r="M684" t="n">
        <v>0</v>
      </c>
      <c r="N684" t="n">
        <v>0</v>
      </c>
      <c r="O684" t="n">
        <v>0</v>
      </c>
      <c r="P684" t="n">
        <v>0</v>
      </c>
      <c r="Q684" t="n">
        <v>0</v>
      </c>
      <c r="R684" s="2" t="inlineStr"/>
    </row>
    <row r="685" ht="15" customHeight="1">
      <c r="A685" t="inlineStr">
        <is>
          <t>A 45692-2023</t>
        </is>
      </c>
      <c r="B685" s="1" t="n">
        <v>45195</v>
      </c>
      <c r="C685" s="1" t="n">
        <v>45635</v>
      </c>
      <c r="D685" t="inlineStr">
        <is>
          <t>GOTLANDS LÄN</t>
        </is>
      </c>
      <c r="E685" t="inlineStr">
        <is>
          <t>GOTLAND</t>
        </is>
      </c>
      <c r="G685" t="n">
        <v>5.3</v>
      </c>
      <c r="H685" t="n">
        <v>0</v>
      </c>
      <c r="I685" t="n">
        <v>0</v>
      </c>
      <c r="J685" t="n">
        <v>0</v>
      </c>
      <c r="K685" t="n">
        <v>0</v>
      </c>
      <c r="L685" t="n">
        <v>0</v>
      </c>
      <c r="M685" t="n">
        <v>0</v>
      </c>
      <c r="N685" t="n">
        <v>0</v>
      </c>
      <c r="O685" t="n">
        <v>0</v>
      </c>
      <c r="P685" t="n">
        <v>0</v>
      </c>
      <c r="Q685" t="n">
        <v>0</v>
      </c>
      <c r="R685" s="2" t="inlineStr"/>
    </row>
    <row r="686" ht="15" customHeight="1">
      <c r="A686" t="inlineStr">
        <is>
          <t>A 46402-2023</t>
        </is>
      </c>
      <c r="B686" s="1" t="n">
        <v>45197</v>
      </c>
      <c r="C686" s="1" t="n">
        <v>45635</v>
      </c>
      <c r="D686" t="inlineStr">
        <is>
          <t>GOTLANDS LÄN</t>
        </is>
      </c>
      <c r="E686" t="inlineStr">
        <is>
          <t>GOTLAND</t>
        </is>
      </c>
      <c r="G686" t="n">
        <v>2.5</v>
      </c>
      <c r="H686" t="n">
        <v>0</v>
      </c>
      <c r="I686" t="n">
        <v>0</v>
      </c>
      <c r="J686" t="n">
        <v>0</v>
      </c>
      <c r="K686" t="n">
        <v>0</v>
      </c>
      <c r="L686" t="n">
        <v>0</v>
      </c>
      <c r="M686" t="n">
        <v>0</v>
      </c>
      <c r="N686" t="n">
        <v>0</v>
      </c>
      <c r="O686" t="n">
        <v>0</v>
      </c>
      <c r="P686" t="n">
        <v>0</v>
      </c>
      <c r="Q686" t="n">
        <v>0</v>
      </c>
      <c r="R686" s="2" t="inlineStr"/>
    </row>
    <row r="687" ht="15" customHeight="1">
      <c r="A687" t="inlineStr">
        <is>
          <t>A 46396-2023</t>
        </is>
      </c>
      <c r="B687" s="1" t="n">
        <v>45197</v>
      </c>
      <c r="C687" s="1" t="n">
        <v>45635</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46400-2023</t>
        </is>
      </c>
      <c r="B688" s="1" t="n">
        <v>45197</v>
      </c>
      <c r="C688" s="1" t="n">
        <v>45635</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47322-2023</t>
        </is>
      </c>
      <c r="B689" s="1" t="n">
        <v>45202</v>
      </c>
      <c r="C689" s="1" t="n">
        <v>45635</v>
      </c>
      <c r="D689" t="inlineStr">
        <is>
          <t>GOTLANDS LÄN</t>
        </is>
      </c>
      <c r="E689" t="inlineStr">
        <is>
          <t>GOTLAND</t>
        </is>
      </c>
      <c r="G689" t="n">
        <v>3.9</v>
      </c>
      <c r="H689" t="n">
        <v>0</v>
      </c>
      <c r="I689" t="n">
        <v>0</v>
      </c>
      <c r="J689" t="n">
        <v>0</v>
      </c>
      <c r="K689" t="n">
        <v>0</v>
      </c>
      <c r="L689" t="n">
        <v>0</v>
      </c>
      <c r="M689" t="n">
        <v>0</v>
      </c>
      <c r="N689" t="n">
        <v>0</v>
      </c>
      <c r="O689" t="n">
        <v>0</v>
      </c>
      <c r="P689" t="n">
        <v>0</v>
      </c>
      <c r="Q689" t="n">
        <v>0</v>
      </c>
      <c r="R689" s="2" t="inlineStr"/>
    </row>
    <row r="690" ht="15" customHeight="1">
      <c r="A690" t="inlineStr">
        <is>
          <t>A 47762-2023</t>
        </is>
      </c>
      <c r="B690" s="1" t="n">
        <v>45203</v>
      </c>
      <c r="C690" s="1" t="n">
        <v>45635</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49411-2023</t>
        </is>
      </c>
      <c r="B691" s="1" t="n">
        <v>45205</v>
      </c>
      <c r="C691" s="1" t="n">
        <v>45635</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48503-2023</t>
        </is>
      </c>
      <c r="B692" s="1" t="n">
        <v>45207</v>
      </c>
      <c r="C692" s="1" t="n">
        <v>45635</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48504-2023</t>
        </is>
      </c>
      <c r="B693" s="1" t="n">
        <v>45207</v>
      </c>
      <c r="C693" s="1" t="n">
        <v>45635</v>
      </c>
      <c r="D693" t="inlineStr">
        <is>
          <t>GOTLANDS LÄN</t>
        </is>
      </c>
      <c r="E693" t="inlineStr">
        <is>
          <t>GOTLAND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48745-2023</t>
        </is>
      </c>
      <c r="B694" s="1" t="n">
        <v>45208</v>
      </c>
      <c r="C694" s="1" t="n">
        <v>45635</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49693-2023</t>
        </is>
      </c>
      <c r="B695" s="1" t="n">
        <v>45212</v>
      </c>
      <c r="C695" s="1" t="n">
        <v>45635</v>
      </c>
      <c r="D695" t="inlineStr">
        <is>
          <t>GOTLANDS LÄN</t>
        </is>
      </c>
      <c r="E695" t="inlineStr">
        <is>
          <t>GOTLAND</t>
        </is>
      </c>
      <c r="G695" t="n">
        <v>2.4</v>
      </c>
      <c r="H695" t="n">
        <v>0</v>
      </c>
      <c r="I695" t="n">
        <v>0</v>
      </c>
      <c r="J695" t="n">
        <v>0</v>
      </c>
      <c r="K695" t="n">
        <v>0</v>
      </c>
      <c r="L695" t="n">
        <v>0</v>
      </c>
      <c r="M695" t="n">
        <v>0</v>
      </c>
      <c r="N695" t="n">
        <v>0</v>
      </c>
      <c r="O695" t="n">
        <v>0</v>
      </c>
      <c r="P695" t="n">
        <v>0</v>
      </c>
      <c r="Q695" t="n">
        <v>0</v>
      </c>
      <c r="R695" s="2" t="inlineStr"/>
    </row>
    <row r="696" ht="15" customHeight="1">
      <c r="A696" t="inlineStr">
        <is>
          <t>A 49697-2023</t>
        </is>
      </c>
      <c r="B696" s="1" t="n">
        <v>45212</v>
      </c>
      <c r="C696" s="1" t="n">
        <v>45635</v>
      </c>
      <c r="D696" t="inlineStr">
        <is>
          <t>GOTLANDS LÄN</t>
        </is>
      </c>
      <c r="E696" t="inlineStr">
        <is>
          <t>GOTLAND</t>
        </is>
      </c>
      <c r="G696" t="n">
        <v>4.4</v>
      </c>
      <c r="H696" t="n">
        <v>0</v>
      </c>
      <c r="I696" t="n">
        <v>0</v>
      </c>
      <c r="J696" t="n">
        <v>0</v>
      </c>
      <c r="K696" t="n">
        <v>0</v>
      </c>
      <c r="L696" t="n">
        <v>0</v>
      </c>
      <c r="M696" t="n">
        <v>0</v>
      </c>
      <c r="N696" t="n">
        <v>0</v>
      </c>
      <c r="O696" t="n">
        <v>0</v>
      </c>
      <c r="P696" t="n">
        <v>0</v>
      </c>
      <c r="Q696" t="n">
        <v>0</v>
      </c>
      <c r="R696" s="2" t="inlineStr"/>
    </row>
    <row r="697" ht="15" customHeight="1">
      <c r="A697" t="inlineStr">
        <is>
          <t>A 49846-2023</t>
        </is>
      </c>
      <c r="B697" s="1" t="n">
        <v>45212</v>
      </c>
      <c r="C697" s="1" t="n">
        <v>45635</v>
      </c>
      <c r="D697" t="inlineStr">
        <is>
          <t>GOTLANDS LÄN</t>
        </is>
      </c>
      <c r="E697" t="inlineStr">
        <is>
          <t>GOTLAND</t>
        </is>
      </c>
      <c r="G697" t="n">
        <v>16.9</v>
      </c>
      <c r="H697" t="n">
        <v>0</v>
      </c>
      <c r="I697" t="n">
        <v>0</v>
      </c>
      <c r="J697" t="n">
        <v>0</v>
      </c>
      <c r="K697" t="n">
        <v>0</v>
      </c>
      <c r="L697" t="n">
        <v>0</v>
      </c>
      <c r="M697" t="n">
        <v>0</v>
      </c>
      <c r="N697" t="n">
        <v>0</v>
      </c>
      <c r="O697" t="n">
        <v>0</v>
      </c>
      <c r="P697" t="n">
        <v>0</v>
      </c>
      <c r="Q697" t="n">
        <v>0</v>
      </c>
      <c r="R697" s="2" t="inlineStr"/>
    </row>
    <row r="698" ht="15" customHeight="1">
      <c r="A698" t="inlineStr">
        <is>
          <t>A 49884-2023</t>
        </is>
      </c>
      <c r="B698" s="1" t="n">
        <v>45213</v>
      </c>
      <c r="C698" s="1" t="n">
        <v>45635</v>
      </c>
      <c r="D698" t="inlineStr">
        <is>
          <t>GOTLANDS LÄN</t>
        </is>
      </c>
      <c r="E698" t="inlineStr">
        <is>
          <t>GOTLAND</t>
        </is>
      </c>
      <c r="G698" t="n">
        <v>8.9</v>
      </c>
      <c r="H698" t="n">
        <v>0</v>
      </c>
      <c r="I698" t="n">
        <v>0</v>
      </c>
      <c r="J698" t="n">
        <v>0</v>
      </c>
      <c r="K698" t="n">
        <v>0</v>
      </c>
      <c r="L698" t="n">
        <v>0</v>
      </c>
      <c r="M698" t="n">
        <v>0</v>
      </c>
      <c r="N698" t="n">
        <v>0</v>
      </c>
      <c r="O698" t="n">
        <v>0</v>
      </c>
      <c r="P698" t="n">
        <v>0</v>
      </c>
      <c r="Q698" t="n">
        <v>0</v>
      </c>
      <c r="R698" s="2" t="inlineStr"/>
    </row>
    <row r="699" ht="15" customHeight="1">
      <c r="A699" t="inlineStr">
        <is>
          <t>A 49962-2023</t>
        </is>
      </c>
      <c r="B699" s="1" t="n">
        <v>45215</v>
      </c>
      <c r="C699" s="1" t="n">
        <v>45635</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49966-2023</t>
        </is>
      </c>
      <c r="B700" s="1" t="n">
        <v>45215</v>
      </c>
      <c r="C700" s="1" t="n">
        <v>45635</v>
      </c>
      <c r="D700" t="inlineStr">
        <is>
          <t>GOTLANDS LÄN</t>
        </is>
      </c>
      <c r="E700" t="inlineStr">
        <is>
          <t>GOTLAND</t>
        </is>
      </c>
      <c r="G700" t="n">
        <v>5</v>
      </c>
      <c r="H700" t="n">
        <v>0</v>
      </c>
      <c r="I700" t="n">
        <v>0</v>
      </c>
      <c r="J700" t="n">
        <v>0</v>
      </c>
      <c r="K700" t="n">
        <v>0</v>
      </c>
      <c r="L700" t="n">
        <v>0</v>
      </c>
      <c r="M700" t="n">
        <v>0</v>
      </c>
      <c r="N700" t="n">
        <v>0</v>
      </c>
      <c r="O700" t="n">
        <v>0</v>
      </c>
      <c r="P700" t="n">
        <v>0</v>
      </c>
      <c r="Q700" t="n">
        <v>0</v>
      </c>
      <c r="R700" s="2" t="inlineStr"/>
    </row>
    <row r="701" ht="15" customHeight="1">
      <c r="A701" t="inlineStr">
        <is>
          <t>A 49964-2023</t>
        </is>
      </c>
      <c r="B701" s="1" t="n">
        <v>45215</v>
      </c>
      <c r="C701" s="1" t="n">
        <v>45635</v>
      </c>
      <c r="D701" t="inlineStr">
        <is>
          <t>GOTLANDS LÄN</t>
        </is>
      </c>
      <c r="E701" t="inlineStr">
        <is>
          <t>GOTLAND</t>
        </is>
      </c>
      <c r="G701" t="n">
        <v>3.1</v>
      </c>
      <c r="H701" t="n">
        <v>0</v>
      </c>
      <c r="I701" t="n">
        <v>0</v>
      </c>
      <c r="J701" t="n">
        <v>0</v>
      </c>
      <c r="K701" t="n">
        <v>0</v>
      </c>
      <c r="L701" t="n">
        <v>0</v>
      </c>
      <c r="M701" t="n">
        <v>0</v>
      </c>
      <c r="N701" t="n">
        <v>0</v>
      </c>
      <c r="O701" t="n">
        <v>0</v>
      </c>
      <c r="P701" t="n">
        <v>0</v>
      </c>
      <c r="Q701" t="n">
        <v>0</v>
      </c>
      <c r="R701" s="2" t="inlineStr"/>
    </row>
    <row r="702" ht="15" customHeight="1">
      <c r="A702" t="inlineStr">
        <is>
          <t>A 49968-2023</t>
        </is>
      </c>
      <c r="B702" s="1" t="n">
        <v>45215</v>
      </c>
      <c r="C702" s="1" t="n">
        <v>45635</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50566-2023</t>
        </is>
      </c>
      <c r="B703" s="1" t="n">
        <v>45217</v>
      </c>
      <c r="C703" s="1" t="n">
        <v>45635</v>
      </c>
      <c r="D703" t="inlineStr">
        <is>
          <t>GOTLANDS LÄN</t>
        </is>
      </c>
      <c r="E703" t="inlineStr">
        <is>
          <t>GOTLAND</t>
        </is>
      </c>
      <c r="G703" t="n">
        <v>5.8</v>
      </c>
      <c r="H703" t="n">
        <v>0</v>
      </c>
      <c r="I703" t="n">
        <v>0</v>
      </c>
      <c r="J703" t="n">
        <v>0</v>
      </c>
      <c r="K703" t="n">
        <v>0</v>
      </c>
      <c r="L703" t="n">
        <v>0</v>
      </c>
      <c r="M703" t="n">
        <v>0</v>
      </c>
      <c r="N703" t="n">
        <v>0</v>
      </c>
      <c r="O703" t="n">
        <v>0</v>
      </c>
      <c r="P703" t="n">
        <v>0</v>
      </c>
      <c r="Q703" t="n">
        <v>0</v>
      </c>
      <c r="R703" s="2" t="inlineStr"/>
    </row>
    <row r="704" ht="15" customHeight="1">
      <c r="A704" t="inlineStr">
        <is>
          <t>A 51035-2023</t>
        </is>
      </c>
      <c r="B704" s="1" t="n">
        <v>45218</v>
      </c>
      <c r="C704" s="1" t="n">
        <v>45635</v>
      </c>
      <c r="D704" t="inlineStr">
        <is>
          <t>GOTLANDS LÄN</t>
        </is>
      </c>
      <c r="E704" t="inlineStr">
        <is>
          <t>GOTLAND</t>
        </is>
      </c>
      <c r="G704" t="n">
        <v>1.3</v>
      </c>
      <c r="H704" t="n">
        <v>0</v>
      </c>
      <c r="I704" t="n">
        <v>0</v>
      </c>
      <c r="J704" t="n">
        <v>0</v>
      </c>
      <c r="K704" t="n">
        <v>0</v>
      </c>
      <c r="L704" t="n">
        <v>0</v>
      </c>
      <c r="M704" t="n">
        <v>0</v>
      </c>
      <c r="N704" t="n">
        <v>0</v>
      </c>
      <c r="O704" t="n">
        <v>0</v>
      </c>
      <c r="P704" t="n">
        <v>0</v>
      </c>
      <c r="Q704" t="n">
        <v>0</v>
      </c>
      <c r="R704" s="2" t="inlineStr"/>
    </row>
    <row r="705" ht="15" customHeight="1">
      <c r="A705" t="inlineStr">
        <is>
          <t>A 51782-2023</t>
        </is>
      </c>
      <c r="B705" s="1" t="n">
        <v>45222</v>
      </c>
      <c r="C705" s="1" t="n">
        <v>45635</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52684-2023</t>
        </is>
      </c>
      <c r="B706" s="1" t="n">
        <v>45225</v>
      </c>
      <c r="C706" s="1" t="n">
        <v>45635</v>
      </c>
      <c r="D706" t="inlineStr">
        <is>
          <t>GOTLANDS LÄN</t>
        </is>
      </c>
      <c r="E706" t="inlineStr">
        <is>
          <t>GOTLAND</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53913-2023</t>
        </is>
      </c>
      <c r="B707" s="1" t="n">
        <v>45231</v>
      </c>
      <c r="C707" s="1" t="n">
        <v>45635</v>
      </c>
      <c r="D707" t="inlineStr">
        <is>
          <t>GOTLANDS LÄN</t>
        </is>
      </c>
      <c r="E707" t="inlineStr">
        <is>
          <t>GOTLAND</t>
        </is>
      </c>
      <c r="G707" t="n">
        <v>6.2</v>
      </c>
      <c r="H707" t="n">
        <v>0</v>
      </c>
      <c r="I707" t="n">
        <v>0</v>
      </c>
      <c r="J707" t="n">
        <v>0</v>
      </c>
      <c r="K707" t="n">
        <v>0</v>
      </c>
      <c r="L707" t="n">
        <v>0</v>
      </c>
      <c r="M707" t="n">
        <v>0</v>
      </c>
      <c r="N707" t="n">
        <v>0</v>
      </c>
      <c r="O707" t="n">
        <v>0</v>
      </c>
      <c r="P707" t="n">
        <v>0</v>
      </c>
      <c r="Q707" t="n">
        <v>0</v>
      </c>
      <c r="R707" s="2" t="inlineStr"/>
    </row>
    <row r="708" ht="15" customHeight="1">
      <c r="A708" t="inlineStr">
        <is>
          <t>A 56115-2023</t>
        </is>
      </c>
      <c r="B708" s="1" t="n">
        <v>45236</v>
      </c>
      <c r="C708" s="1" t="n">
        <v>45635</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57356-2023</t>
        </is>
      </c>
      <c r="B709" s="1" t="n">
        <v>45240</v>
      </c>
      <c r="C709" s="1" t="n">
        <v>45635</v>
      </c>
      <c r="D709" t="inlineStr">
        <is>
          <t>GOTLANDS LÄN</t>
        </is>
      </c>
      <c r="E709" t="inlineStr">
        <is>
          <t>GOTLAND</t>
        </is>
      </c>
      <c r="G709" t="n">
        <v>6.4</v>
      </c>
      <c r="H709" t="n">
        <v>0</v>
      </c>
      <c r="I709" t="n">
        <v>0</v>
      </c>
      <c r="J709" t="n">
        <v>0</v>
      </c>
      <c r="K709" t="n">
        <v>0</v>
      </c>
      <c r="L709" t="n">
        <v>0</v>
      </c>
      <c r="M709" t="n">
        <v>0</v>
      </c>
      <c r="N709" t="n">
        <v>0</v>
      </c>
      <c r="O709" t="n">
        <v>0</v>
      </c>
      <c r="P709" t="n">
        <v>0</v>
      </c>
      <c r="Q709" t="n">
        <v>0</v>
      </c>
      <c r="R709" s="2" t="inlineStr"/>
    </row>
    <row r="710" ht="15" customHeight="1">
      <c r="A710" t="inlineStr">
        <is>
          <t>A 56303-2023</t>
        </is>
      </c>
      <c r="B710" s="1" t="n">
        <v>45242</v>
      </c>
      <c r="C710" s="1" t="n">
        <v>45635</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56568-2023</t>
        </is>
      </c>
      <c r="B711" s="1" t="n">
        <v>45243</v>
      </c>
      <c r="C711" s="1" t="n">
        <v>45635</v>
      </c>
      <c r="D711" t="inlineStr">
        <is>
          <t>GOTLANDS LÄN</t>
        </is>
      </c>
      <c r="E711" t="inlineStr">
        <is>
          <t>GOTLAND</t>
        </is>
      </c>
      <c r="G711" t="n">
        <v>3.3</v>
      </c>
      <c r="H711" t="n">
        <v>0</v>
      </c>
      <c r="I711" t="n">
        <v>0</v>
      </c>
      <c r="J711" t="n">
        <v>0</v>
      </c>
      <c r="K711" t="n">
        <v>0</v>
      </c>
      <c r="L711" t="n">
        <v>0</v>
      </c>
      <c r="M711" t="n">
        <v>0</v>
      </c>
      <c r="N711" t="n">
        <v>0</v>
      </c>
      <c r="O711" t="n">
        <v>0</v>
      </c>
      <c r="P711" t="n">
        <v>0</v>
      </c>
      <c r="Q711" t="n">
        <v>0</v>
      </c>
      <c r="R711" s="2" t="inlineStr"/>
    </row>
    <row r="712" ht="15" customHeight="1">
      <c r="A712" t="inlineStr">
        <is>
          <t>A 56877-2023</t>
        </is>
      </c>
      <c r="B712" s="1" t="n">
        <v>45244</v>
      </c>
      <c r="C712" s="1" t="n">
        <v>45635</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57573-2023</t>
        </is>
      </c>
      <c r="B713" s="1" t="n">
        <v>45246</v>
      </c>
      <c r="C713" s="1" t="n">
        <v>45635</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57652-2023</t>
        </is>
      </c>
      <c r="B714" s="1" t="n">
        <v>45246</v>
      </c>
      <c r="C714" s="1" t="n">
        <v>45635</v>
      </c>
      <c r="D714" t="inlineStr">
        <is>
          <t>GOTLANDS LÄN</t>
        </is>
      </c>
      <c r="E714" t="inlineStr">
        <is>
          <t>GOTLAND</t>
        </is>
      </c>
      <c r="G714" t="n">
        <v>7.2</v>
      </c>
      <c r="H714" t="n">
        <v>0</v>
      </c>
      <c r="I714" t="n">
        <v>0</v>
      </c>
      <c r="J714" t="n">
        <v>0</v>
      </c>
      <c r="K714" t="n">
        <v>0</v>
      </c>
      <c r="L714" t="n">
        <v>0</v>
      </c>
      <c r="M714" t="n">
        <v>0</v>
      </c>
      <c r="N714" t="n">
        <v>0</v>
      </c>
      <c r="O714" t="n">
        <v>0</v>
      </c>
      <c r="P714" t="n">
        <v>0</v>
      </c>
      <c r="Q714" t="n">
        <v>0</v>
      </c>
      <c r="R714" s="2" t="inlineStr"/>
    </row>
    <row r="715" ht="15" customHeight="1">
      <c r="A715" t="inlineStr">
        <is>
          <t>A 57765-2023</t>
        </is>
      </c>
      <c r="B715" s="1" t="n">
        <v>45246</v>
      </c>
      <c r="C715" s="1" t="n">
        <v>45635</v>
      </c>
      <c r="D715" t="inlineStr">
        <is>
          <t>GOTLANDS LÄN</t>
        </is>
      </c>
      <c r="E715" t="inlineStr">
        <is>
          <t>GOTLAND</t>
        </is>
      </c>
      <c r="G715" t="n">
        <v>1.8</v>
      </c>
      <c r="H715" t="n">
        <v>0</v>
      </c>
      <c r="I715" t="n">
        <v>0</v>
      </c>
      <c r="J715" t="n">
        <v>0</v>
      </c>
      <c r="K715" t="n">
        <v>0</v>
      </c>
      <c r="L715" t="n">
        <v>0</v>
      </c>
      <c r="M715" t="n">
        <v>0</v>
      </c>
      <c r="N715" t="n">
        <v>0</v>
      </c>
      <c r="O715" t="n">
        <v>0</v>
      </c>
      <c r="P715" t="n">
        <v>0</v>
      </c>
      <c r="Q715" t="n">
        <v>0</v>
      </c>
      <c r="R715" s="2" t="inlineStr"/>
    </row>
    <row r="716" ht="15" customHeight="1">
      <c r="A716" t="inlineStr">
        <is>
          <t>A 58132-2023</t>
        </is>
      </c>
      <c r="B716" s="1" t="n">
        <v>45250</v>
      </c>
      <c r="C716" s="1" t="n">
        <v>45635</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59559-2023</t>
        </is>
      </c>
      <c r="B717" s="1" t="n">
        <v>45254</v>
      </c>
      <c r="C717" s="1" t="n">
        <v>45635</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59554-2023</t>
        </is>
      </c>
      <c r="B718" s="1" t="n">
        <v>45254</v>
      </c>
      <c r="C718" s="1" t="n">
        <v>45635</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60269-2023</t>
        </is>
      </c>
      <c r="B719" s="1" t="n">
        <v>45258</v>
      </c>
      <c r="C719" s="1" t="n">
        <v>45635</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60273-2023</t>
        </is>
      </c>
      <c r="B720" s="1" t="n">
        <v>45258</v>
      </c>
      <c r="C720" s="1" t="n">
        <v>45635</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60709-2023</t>
        </is>
      </c>
      <c r="B721" s="1" t="n">
        <v>45260</v>
      </c>
      <c r="C721" s="1" t="n">
        <v>45635</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61175-2023</t>
        </is>
      </c>
      <c r="B722" s="1" t="n">
        <v>45263</v>
      </c>
      <c r="C722" s="1" t="n">
        <v>45635</v>
      </c>
      <c r="D722" t="inlineStr">
        <is>
          <t>GOTLANDS LÄN</t>
        </is>
      </c>
      <c r="E722" t="inlineStr">
        <is>
          <t>GOTLAND</t>
        </is>
      </c>
      <c r="G722" t="n">
        <v>0.9</v>
      </c>
      <c r="H722" t="n">
        <v>0</v>
      </c>
      <c r="I722" t="n">
        <v>0</v>
      </c>
      <c r="J722" t="n">
        <v>0</v>
      </c>
      <c r="K722" t="n">
        <v>0</v>
      </c>
      <c r="L722" t="n">
        <v>0</v>
      </c>
      <c r="M722" t="n">
        <v>0</v>
      </c>
      <c r="N722" t="n">
        <v>0</v>
      </c>
      <c r="O722" t="n">
        <v>0</v>
      </c>
      <c r="P722" t="n">
        <v>0</v>
      </c>
      <c r="Q722" t="n">
        <v>0</v>
      </c>
      <c r="R722" s="2" t="inlineStr"/>
    </row>
    <row r="723" ht="15" customHeight="1">
      <c r="A723" t="inlineStr">
        <is>
          <t>A 61386-2023</t>
        </is>
      </c>
      <c r="B723" s="1" t="n">
        <v>45264</v>
      </c>
      <c r="C723" s="1" t="n">
        <v>45635</v>
      </c>
      <c r="D723" t="inlineStr">
        <is>
          <t>GOTLANDS LÄN</t>
        </is>
      </c>
      <c r="E723" t="inlineStr">
        <is>
          <t>GOTLAND</t>
        </is>
      </c>
      <c r="G723" t="n">
        <v>0.7</v>
      </c>
      <c r="H723" t="n">
        <v>0</v>
      </c>
      <c r="I723" t="n">
        <v>0</v>
      </c>
      <c r="J723" t="n">
        <v>0</v>
      </c>
      <c r="K723" t="n">
        <v>0</v>
      </c>
      <c r="L723" t="n">
        <v>0</v>
      </c>
      <c r="M723" t="n">
        <v>0</v>
      </c>
      <c r="N723" t="n">
        <v>0</v>
      </c>
      <c r="O723" t="n">
        <v>0</v>
      </c>
      <c r="P723" t="n">
        <v>0</v>
      </c>
      <c r="Q723" t="n">
        <v>0</v>
      </c>
      <c r="R723" s="2" t="inlineStr"/>
    </row>
    <row r="724" ht="15" customHeight="1">
      <c r="A724" t="inlineStr">
        <is>
          <t>A 61694-2023</t>
        </is>
      </c>
      <c r="B724" s="1" t="n">
        <v>45264</v>
      </c>
      <c r="C724" s="1" t="n">
        <v>45635</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61596-2023</t>
        </is>
      </c>
      <c r="B725" s="1" t="n">
        <v>45265</v>
      </c>
      <c r="C725" s="1" t="n">
        <v>45635</v>
      </c>
      <c r="D725" t="inlineStr">
        <is>
          <t>GOTLANDS LÄN</t>
        </is>
      </c>
      <c r="E725" t="inlineStr">
        <is>
          <t>GOTLAND</t>
        </is>
      </c>
      <c r="G725" t="n">
        <v>1.7</v>
      </c>
      <c r="H725" t="n">
        <v>0</v>
      </c>
      <c r="I725" t="n">
        <v>0</v>
      </c>
      <c r="J725" t="n">
        <v>0</v>
      </c>
      <c r="K725" t="n">
        <v>0</v>
      </c>
      <c r="L725" t="n">
        <v>0</v>
      </c>
      <c r="M725" t="n">
        <v>0</v>
      </c>
      <c r="N725" t="n">
        <v>0</v>
      </c>
      <c r="O725" t="n">
        <v>0</v>
      </c>
      <c r="P725" t="n">
        <v>0</v>
      </c>
      <c r="Q725" t="n">
        <v>0</v>
      </c>
      <c r="R725" s="2" t="inlineStr"/>
    </row>
    <row r="726" ht="15" customHeight="1">
      <c r="A726" t="inlineStr">
        <is>
          <t>A 61634-2023</t>
        </is>
      </c>
      <c r="B726" s="1" t="n">
        <v>45265</v>
      </c>
      <c r="C726" s="1" t="n">
        <v>45635</v>
      </c>
      <c r="D726" t="inlineStr">
        <is>
          <t>GOTLANDS LÄN</t>
        </is>
      </c>
      <c r="E726" t="inlineStr">
        <is>
          <t>GOTLAND</t>
        </is>
      </c>
      <c r="G726" t="n">
        <v>7.4</v>
      </c>
      <c r="H726" t="n">
        <v>0</v>
      </c>
      <c r="I726" t="n">
        <v>0</v>
      </c>
      <c r="J726" t="n">
        <v>0</v>
      </c>
      <c r="K726" t="n">
        <v>0</v>
      </c>
      <c r="L726" t="n">
        <v>0</v>
      </c>
      <c r="M726" t="n">
        <v>0</v>
      </c>
      <c r="N726" t="n">
        <v>0</v>
      </c>
      <c r="O726" t="n">
        <v>0</v>
      </c>
      <c r="P726" t="n">
        <v>0</v>
      </c>
      <c r="Q726" t="n">
        <v>0</v>
      </c>
      <c r="R726" s="2" t="inlineStr"/>
    </row>
    <row r="727" ht="15" customHeight="1">
      <c r="A727" t="inlineStr">
        <is>
          <t>A 63246-2023</t>
        </is>
      </c>
      <c r="B727" s="1" t="n">
        <v>45273</v>
      </c>
      <c r="C727" s="1" t="n">
        <v>45635</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63303-2023</t>
        </is>
      </c>
      <c r="B728" s="1" t="n">
        <v>45274</v>
      </c>
      <c r="C728" s="1" t="n">
        <v>45635</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63516-2023</t>
        </is>
      </c>
      <c r="B729" s="1" t="n">
        <v>45274</v>
      </c>
      <c r="C729" s="1" t="n">
        <v>45635</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63773-2023</t>
        </is>
      </c>
      <c r="B730" s="1" t="n">
        <v>45278</v>
      </c>
      <c r="C730" s="1" t="n">
        <v>45635</v>
      </c>
      <c r="D730" t="inlineStr">
        <is>
          <t>GOTLANDS LÄN</t>
        </is>
      </c>
      <c r="E730" t="inlineStr">
        <is>
          <t>GOTLAND</t>
        </is>
      </c>
      <c r="G730" t="n">
        <v>8.5</v>
      </c>
      <c r="H730" t="n">
        <v>0</v>
      </c>
      <c r="I730" t="n">
        <v>0</v>
      </c>
      <c r="J730" t="n">
        <v>0</v>
      </c>
      <c r="K730" t="n">
        <v>0</v>
      </c>
      <c r="L730" t="n">
        <v>0</v>
      </c>
      <c r="M730" t="n">
        <v>0</v>
      </c>
      <c r="N730" t="n">
        <v>0</v>
      </c>
      <c r="O730" t="n">
        <v>0</v>
      </c>
      <c r="P730" t="n">
        <v>0</v>
      </c>
      <c r="Q730" t="n">
        <v>0</v>
      </c>
      <c r="R730" s="2" t="inlineStr"/>
    </row>
    <row r="731" ht="15" customHeight="1">
      <c r="A731" t="inlineStr">
        <is>
          <t>A 63763-2023</t>
        </is>
      </c>
      <c r="B731" s="1" t="n">
        <v>45278</v>
      </c>
      <c r="C731" s="1" t="n">
        <v>45635</v>
      </c>
      <c r="D731" t="inlineStr">
        <is>
          <t>GOTLANDS LÄN</t>
        </is>
      </c>
      <c r="E731" t="inlineStr">
        <is>
          <t>GOTLAND</t>
        </is>
      </c>
      <c r="G731" t="n">
        <v>0.5</v>
      </c>
      <c r="H731" t="n">
        <v>0</v>
      </c>
      <c r="I731" t="n">
        <v>0</v>
      </c>
      <c r="J731" t="n">
        <v>0</v>
      </c>
      <c r="K731" t="n">
        <v>0</v>
      </c>
      <c r="L731" t="n">
        <v>0</v>
      </c>
      <c r="M731" t="n">
        <v>0</v>
      </c>
      <c r="N731" t="n">
        <v>0</v>
      </c>
      <c r="O731" t="n">
        <v>0</v>
      </c>
      <c r="P731" t="n">
        <v>0</v>
      </c>
      <c r="Q731" t="n">
        <v>0</v>
      </c>
      <c r="R731" s="2" t="inlineStr"/>
    </row>
    <row r="732" ht="15" customHeight="1">
      <c r="A732" t="inlineStr">
        <is>
          <t>A 63996-2023</t>
        </is>
      </c>
      <c r="B732" s="1" t="n">
        <v>45278</v>
      </c>
      <c r="C732" s="1" t="n">
        <v>45635</v>
      </c>
      <c r="D732" t="inlineStr">
        <is>
          <t>GOTLANDS LÄN</t>
        </is>
      </c>
      <c r="E732" t="inlineStr">
        <is>
          <t>GOTLAND</t>
        </is>
      </c>
      <c r="G732" t="n">
        <v>3.8</v>
      </c>
      <c r="H732" t="n">
        <v>0</v>
      </c>
      <c r="I732" t="n">
        <v>0</v>
      </c>
      <c r="J732" t="n">
        <v>0</v>
      </c>
      <c r="K732" t="n">
        <v>0</v>
      </c>
      <c r="L732" t="n">
        <v>0</v>
      </c>
      <c r="M732" t="n">
        <v>0</v>
      </c>
      <c r="N732" t="n">
        <v>0</v>
      </c>
      <c r="O732" t="n">
        <v>0</v>
      </c>
      <c r="P732" t="n">
        <v>0</v>
      </c>
      <c r="Q732" t="n">
        <v>0</v>
      </c>
      <c r="R732" s="2" t="inlineStr"/>
    </row>
    <row r="733" ht="15" customHeight="1">
      <c r="A733" t="inlineStr">
        <is>
          <t>A 64555-2023</t>
        </is>
      </c>
      <c r="B733" s="1" t="n">
        <v>45281</v>
      </c>
      <c r="C733" s="1" t="n">
        <v>45635</v>
      </c>
      <c r="D733" t="inlineStr">
        <is>
          <t>GOTLANDS LÄN</t>
        </is>
      </c>
      <c r="E733" t="inlineStr">
        <is>
          <t>GOTLAND</t>
        </is>
      </c>
      <c r="G733" t="n">
        <v>3.5</v>
      </c>
      <c r="H733" t="n">
        <v>0</v>
      </c>
      <c r="I733" t="n">
        <v>0</v>
      </c>
      <c r="J733" t="n">
        <v>0</v>
      </c>
      <c r="K733" t="n">
        <v>0</v>
      </c>
      <c r="L733" t="n">
        <v>0</v>
      </c>
      <c r="M733" t="n">
        <v>0</v>
      </c>
      <c r="N733" t="n">
        <v>0</v>
      </c>
      <c r="O733" t="n">
        <v>0</v>
      </c>
      <c r="P733" t="n">
        <v>0</v>
      </c>
      <c r="Q733" t="n">
        <v>0</v>
      </c>
      <c r="R733" s="2" t="inlineStr"/>
    </row>
    <row r="734" ht="15" customHeight="1">
      <c r="A734" t="inlineStr">
        <is>
          <t>A 64660-2023</t>
        </is>
      </c>
      <c r="B734" s="1" t="n">
        <v>45281</v>
      </c>
      <c r="C734" s="1" t="n">
        <v>45635</v>
      </c>
      <c r="D734" t="inlineStr">
        <is>
          <t>GOTLANDS LÄN</t>
        </is>
      </c>
      <c r="E734" t="inlineStr">
        <is>
          <t>GOTLAND</t>
        </is>
      </c>
      <c r="G734" t="n">
        <v>6.3</v>
      </c>
      <c r="H734" t="n">
        <v>0</v>
      </c>
      <c r="I734" t="n">
        <v>0</v>
      </c>
      <c r="J734" t="n">
        <v>0</v>
      </c>
      <c r="K734" t="n">
        <v>0</v>
      </c>
      <c r="L734" t="n">
        <v>0</v>
      </c>
      <c r="M734" t="n">
        <v>0</v>
      </c>
      <c r="N734" t="n">
        <v>0</v>
      </c>
      <c r="O734" t="n">
        <v>0</v>
      </c>
      <c r="P734" t="n">
        <v>0</v>
      </c>
      <c r="Q734" t="n">
        <v>0</v>
      </c>
      <c r="R734" s="2" t="inlineStr"/>
    </row>
    <row r="735" ht="15" customHeight="1">
      <c r="A735" t="inlineStr">
        <is>
          <t>A 64831-2023</t>
        </is>
      </c>
      <c r="B735" s="1" t="n">
        <v>45282</v>
      </c>
      <c r="C735" s="1" t="n">
        <v>45635</v>
      </c>
      <c r="D735" t="inlineStr">
        <is>
          <t>GOTLANDS LÄN</t>
        </is>
      </c>
      <c r="E735" t="inlineStr">
        <is>
          <t>GOTLAND</t>
        </is>
      </c>
      <c r="G735" t="n">
        <v>1.9</v>
      </c>
      <c r="H735" t="n">
        <v>0</v>
      </c>
      <c r="I735" t="n">
        <v>0</v>
      </c>
      <c r="J735" t="n">
        <v>0</v>
      </c>
      <c r="K735" t="n">
        <v>0</v>
      </c>
      <c r="L735" t="n">
        <v>0</v>
      </c>
      <c r="M735" t="n">
        <v>0</v>
      </c>
      <c r="N735" t="n">
        <v>0</v>
      </c>
      <c r="O735" t="n">
        <v>0</v>
      </c>
      <c r="P735" t="n">
        <v>0</v>
      </c>
      <c r="Q735" t="n">
        <v>0</v>
      </c>
      <c r="R735" s="2" t="inlineStr"/>
    </row>
    <row r="736" ht="15" customHeight="1">
      <c r="A736" t="inlineStr">
        <is>
          <t>A 64838-2023</t>
        </is>
      </c>
      <c r="B736" s="1" t="n">
        <v>45282</v>
      </c>
      <c r="C736" s="1" t="n">
        <v>45635</v>
      </c>
      <c r="D736" t="inlineStr">
        <is>
          <t>GOTLANDS LÄN</t>
        </is>
      </c>
      <c r="E736" t="inlineStr">
        <is>
          <t>GOTLAND</t>
        </is>
      </c>
      <c r="G736" t="n">
        <v>7.5</v>
      </c>
      <c r="H736" t="n">
        <v>0</v>
      </c>
      <c r="I736" t="n">
        <v>0</v>
      </c>
      <c r="J736" t="n">
        <v>0</v>
      </c>
      <c r="K736" t="n">
        <v>0</v>
      </c>
      <c r="L736" t="n">
        <v>0</v>
      </c>
      <c r="M736" t="n">
        <v>0</v>
      </c>
      <c r="N736" t="n">
        <v>0</v>
      </c>
      <c r="O736" t="n">
        <v>0</v>
      </c>
      <c r="P736" t="n">
        <v>0</v>
      </c>
      <c r="Q736" t="n">
        <v>0</v>
      </c>
      <c r="R736" s="2" t="inlineStr"/>
    </row>
    <row r="737" ht="15" customHeight="1">
      <c r="A737" t="inlineStr">
        <is>
          <t>A 64969-2023</t>
        </is>
      </c>
      <c r="B737" s="1" t="n">
        <v>45284</v>
      </c>
      <c r="C737" s="1" t="n">
        <v>45635</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65088-2023</t>
        </is>
      </c>
      <c r="B738" s="1" t="n">
        <v>45287</v>
      </c>
      <c r="C738" s="1" t="n">
        <v>45635</v>
      </c>
      <c r="D738" t="inlineStr">
        <is>
          <t>GOTLANDS LÄN</t>
        </is>
      </c>
      <c r="E738" t="inlineStr">
        <is>
          <t>GOTLAND</t>
        </is>
      </c>
      <c r="G738" t="n">
        <v>2.5</v>
      </c>
      <c r="H738" t="n">
        <v>0</v>
      </c>
      <c r="I738" t="n">
        <v>0</v>
      </c>
      <c r="J738" t="n">
        <v>0</v>
      </c>
      <c r="K738" t="n">
        <v>0</v>
      </c>
      <c r="L738" t="n">
        <v>0</v>
      </c>
      <c r="M738" t="n">
        <v>0</v>
      </c>
      <c r="N738" t="n">
        <v>0</v>
      </c>
      <c r="O738" t="n">
        <v>0</v>
      </c>
      <c r="P738" t="n">
        <v>0</v>
      </c>
      <c r="Q738" t="n">
        <v>0</v>
      </c>
      <c r="R738" s="2" t="inlineStr"/>
    </row>
    <row r="739" ht="15" customHeight="1">
      <c r="A739" t="inlineStr">
        <is>
          <t>A 65097-2023</t>
        </is>
      </c>
      <c r="B739" s="1" t="n">
        <v>45287</v>
      </c>
      <c r="C739" s="1" t="n">
        <v>45635</v>
      </c>
      <c r="D739" t="inlineStr">
        <is>
          <t>GOTLANDS LÄN</t>
        </is>
      </c>
      <c r="E739" t="inlineStr">
        <is>
          <t>GOTLAND</t>
        </is>
      </c>
      <c r="G739" t="n">
        <v>15.4</v>
      </c>
      <c r="H739" t="n">
        <v>0</v>
      </c>
      <c r="I739" t="n">
        <v>0</v>
      </c>
      <c r="J739" t="n">
        <v>0</v>
      </c>
      <c r="K739" t="n">
        <v>0</v>
      </c>
      <c r="L739" t="n">
        <v>0</v>
      </c>
      <c r="M739" t="n">
        <v>0</v>
      </c>
      <c r="N739" t="n">
        <v>0</v>
      </c>
      <c r="O739" t="n">
        <v>0</v>
      </c>
      <c r="P739" t="n">
        <v>0</v>
      </c>
      <c r="Q739" t="n">
        <v>0</v>
      </c>
      <c r="R739" s="2" t="inlineStr"/>
    </row>
    <row r="740" ht="15" customHeight="1">
      <c r="A740" t="inlineStr">
        <is>
          <t>A 65249-2023</t>
        </is>
      </c>
      <c r="B740" s="1" t="n">
        <v>45290</v>
      </c>
      <c r="C740" s="1" t="n">
        <v>45635</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98-2024</t>
        </is>
      </c>
      <c r="B741" s="1" t="n">
        <v>45293</v>
      </c>
      <c r="C741" s="1" t="n">
        <v>45635</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450-2024</t>
        </is>
      </c>
      <c r="B742" s="1" t="n">
        <v>45296</v>
      </c>
      <c r="C742" s="1" t="n">
        <v>45635</v>
      </c>
      <c r="D742" t="inlineStr">
        <is>
          <t>GOTLANDS LÄN</t>
        </is>
      </c>
      <c r="E742" t="inlineStr">
        <is>
          <t>GOTLAND</t>
        </is>
      </c>
      <c r="G742" t="n">
        <v>10.1</v>
      </c>
      <c r="H742" t="n">
        <v>0</v>
      </c>
      <c r="I742" t="n">
        <v>0</v>
      </c>
      <c r="J742" t="n">
        <v>0</v>
      </c>
      <c r="K742" t="n">
        <v>0</v>
      </c>
      <c r="L742" t="n">
        <v>0</v>
      </c>
      <c r="M742" t="n">
        <v>0</v>
      </c>
      <c r="N742" t="n">
        <v>0</v>
      </c>
      <c r="O742" t="n">
        <v>0</v>
      </c>
      <c r="P742" t="n">
        <v>0</v>
      </c>
      <c r="Q742" t="n">
        <v>0</v>
      </c>
      <c r="R742" s="2" t="inlineStr"/>
    </row>
    <row r="743" ht="15" customHeight="1">
      <c r="A743" t="inlineStr">
        <is>
          <t>A 533-2024</t>
        </is>
      </c>
      <c r="B743" s="1" t="n">
        <v>45299</v>
      </c>
      <c r="C743" s="1" t="n">
        <v>45635</v>
      </c>
      <c r="D743" t="inlineStr">
        <is>
          <t>GOTLANDS LÄN</t>
        </is>
      </c>
      <c r="E743" t="inlineStr">
        <is>
          <t>GOTLAND</t>
        </is>
      </c>
      <c r="G743" t="n">
        <v>7.1</v>
      </c>
      <c r="H743" t="n">
        <v>0</v>
      </c>
      <c r="I743" t="n">
        <v>0</v>
      </c>
      <c r="J743" t="n">
        <v>0</v>
      </c>
      <c r="K743" t="n">
        <v>0</v>
      </c>
      <c r="L743" t="n">
        <v>0</v>
      </c>
      <c r="M743" t="n">
        <v>0</v>
      </c>
      <c r="N743" t="n">
        <v>0</v>
      </c>
      <c r="O743" t="n">
        <v>0</v>
      </c>
      <c r="P743" t="n">
        <v>0</v>
      </c>
      <c r="Q743" t="n">
        <v>0</v>
      </c>
      <c r="R743" s="2" t="inlineStr"/>
    </row>
    <row r="744" ht="15" customHeight="1">
      <c r="A744" t="inlineStr">
        <is>
          <t>A 796-2024</t>
        </is>
      </c>
      <c r="B744" s="1" t="n">
        <v>45300</v>
      </c>
      <c r="C744" s="1" t="n">
        <v>45635</v>
      </c>
      <c r="D744" t="inlineStr">
        <is>
          <t>GOTLANDS LÄN</t>
        </is>
      </c>
      <c r="E744" t="inlineStr">
        <is>
          <t>GOTLAND</t>
        </is>
      </c>
      <c r="G744" t="n">
        <v>0.8</v>
      </c>
      <c r="H744" t="n">
        <v>0</v>
      </c>
      <c r="I744" t="n">
        <v>0</v>
      </c>
      <c r="J744" t="n">
        <v>0</v>
      </c>
      <c r="K744" t="n">
        <v>0</v>
      </c>
      <c r="L744" t="n">
        <v>0</v>
      </c>
      <c r="M744" t="n">
        <v>0</v>
      </c>
      <c r="N744" t="n">
        <v>0</v>
      </c>
      <c r="O744" t="n">
        <v>0</v>
      </c>
      <c r="P744" t="n">
        <v>0</v>
      </c>
      <c r="Q744" t="n">
        <v>0</v>
      </c>
      <c r="R744" s="2" t="inlineStr"/>
    </row>
    <row r="745" ht="15" customHeight="1">
      <c r="A745" t="inlineStr">
        <is>
          <t>A 873-2024</t>
        </is>
      </c>
      <c r="B745" s="1" t="n">
        <v>45301</v>
      </c>
      <c r="C745" s="1" t="n">
        <v>45635</v>
      </c>
      <c r="D745" t="inlineStr">
        <is>
          <t>GOTLANDS LÄN</t>
        </is>
      </c>
      <c r="E745" t="inlineStr">
        <is>
          <t>GOTLAND</t>
        </is>
      </c>
      <c r="G745" t="n">
        <v>2.7</v>
      </c>
      <c r="H745" t="n">
        <v>0</v>
      </c>
      <c r="I745" t="n">
        <v>0</v>
      </c>
      <c r="J745" t="n">
        <v>0</v>
      </c>
      <c r="K745" t="n">
        <v>0</v>
      </c>
      <c r="L745" t="n">
        <v>0</v>
      </c>
      <c r="M745" t="n">
        <v>0</v>
      </c>
      <c r="N745" t="n">
        <v>0</v>
      </c>
      <c r="O745" t="n">
        <v>0</v>
      </c>
      <c r="P745" t="n">
        <v>0</v>
      </c>
      <c r="Q745" t="n">
        <v>0</v>
      </c>
      <c r="R745" s="2" t="inlineStr"/>
    </row>
    <row r="746" ht="15" customHeight="1">
      <c r="A746" t="inlineStr">
        <is>
          <t>A 876-2024</t>
        </is>
      </c>
      <c r="B746" s="1" t="n">
        <v>45301</v>
      </c>
      <c r="C746" s="1" t="n">
        <v>45635</v>
      </c>
      <c r="D746" t="inlineStr">
        <is>
          <t>GOTLANDS LÄN</t>
        </is>
      </c>
      <c r="E746" t="inlineStr">
        <is>
          <t>GOTLAND</t>
        </is>
      </c>
      <c r="G746" t="n">
        <v>5.3</v>
      </c>
      <c r="H746" t="n">
        <v>0</v>
      </c>
      <c r="I746" t="n">
        <v>0</v>
      </c>
      <c r="J746" t="n">
        <v>0</v>
      </c>
      <c r="K746" t="n">
        <v>0</v>
      </c>
      <c r="L746" t="n">
        <v>0</v>
      </c>
      <c r="M746" t="n">
        <v>0</v>
      </c>
      <c r="N746" t="n">
        <v>0</v>
      </c>
      <c r="O746" t="n">
        <v>0</v>
      </c>
      <c r="P746" t="n">
        <v>0</v>
      </c>
      <c r="Q746" t="n">
        <v>0</v>
      </c>
      <c r="R746" s="2" t="inlineStr"/>
    </row>
    <row r="747" ht="15" customHeight="1">
      <c r="A747" t="inlineStr">
        <is>
          <t>A 999-2024</t>
        </is>
      </c>
      <c r="B747" s="1" t="n">
        <v>45301</v>
      </c>
      <c r="C747" s="1" t="n">
        <v>45635</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1010-2024</t>
        </is>
      </c>
      <c r="B748" s="1" t="n">
        <v>45301</v>
      </c>
      <c r="C748" s="1" t="n">
        <v>45635</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1000-2024</t>
        </is>
      </c>
      <c r="B749" s="1" t="n">
        <v>45301</v>
      </c>
      <c r="C749" s="1" t="n">
        <v>45635</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1008-2024</t>
        </is>
      </c>
      <c r="B750" s="1" t="n">
        <v>45301</v>
      </c>
      <c r="C750" s="1" t="n">
        <v>45635</v>
      </c>
      <c r="D750" t="inlineStr">
        <is>
          <t>GOTLANDS LÄN</t>
        </is>
      </c>
      <c r="E750" t="inlineStr">
        <is>
          <t>GOTLAND</t>
        </is>
      </c>
      <c r="G750" t="n">
        <v>2.3</v>
      </c>
      <c r="H750" t="n">
        <v>0</v>
      </c>
      <c r="I750" t="n">
        <v>0</v>
      </c>
      <c r="J750" t="n">
        <v>0</v>
      </c>
      <c r="K750" t="n">
        <v>0</v>
      </c>
      <c r="L750" t="n">
        <v>0</v>
      </c>
      <c r="M750" t="n">
        <v>0</v>
      </c>
      <c r="N750" t="n">
        <v>0</v>
      </c>
      <c r="O750" t="n">
        <v>0</v>
      </c>
      <c r="P750" t="n">
        <v>0</v>
      </c>
      <c r="Q750" t="n">
        <v>0</v>
      </c>
      <c r="R750" s="2" t="inlineStr"/>
    </row>
    <row r="751" ht="15" customHeight="1">
      <c r="A751" t="inlineStr">
        <is>
          <t>A 1066-2024</t>
        </is>
      </c>
      <c r="B751" s="1" t="n">
        <v>45302</v>
      </c>
      <c r="C751" s="1" t="n">
        <v>45635</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1321-2024</t>
        </is>
      </c>
      <c r="B752" s="1" t="n">
        <v>45303</v>
      </c>
      <c r="C752" s="1" t="n">
        <v>45635</v>
      </c>
      <c r="D752" t="inlineStr">
        <is>
          <t>GOTLANDS LÄN</t>
        </is>
      </c>
      <c r="E752" t="inlineStr">
        <is>
          <t>GOTLAND</t>
        </is>
      </c>
      <c r="G752" t="n">
        <v>5.5</v>
      </c>
      <c r="H752" t="n">
        <v>0</v>
      </c>
      <c r="I752" t="n">
        <v>0</v>
      </c>
      <c r="J752" t="n">
        <v>0</v>
      </c>
      <c r="K752" t="n">
        <v>0</v>
      </c>
      <c r="L752" t="n">
        <v>0</v>
      </c>
      <c r="M752" t="n">
        <v>0</v>
      </c>
      <c r="N752" t="n">
        <v>0</v>
      </c>
      <c r="O752" t="n">
        <v>0</v>
      </c>
      <c r="P752" t="n">
        <v>0</v>
      </c>
      <c r="Q752" t="n">
        <v>0</v>
      </c>
      <c r="R752" s="2" t="inlineStr"/>
    </row>
    <row r="753" ht="15" customHeight="1">
      <c r="A753" t="inlineStr">
        <is>
          <t>A 1477-2024</t>
        </is>
      </c>
      <c r="B753" s="1" t="n">
        <v>45305</v>
      </c>
      <c r="C753" s="1" t="n">
        <v>45635</v>
      </c>
      <c r="D753" t="inlineStr">
        <is>
          <t>GOTLANDS LÄN</t>
        </is>
      </c>
      <c r="E753" t="inlineStr">
        <is>
          <t>GOTLAND</t>
        </is>
      </c>
      <c r="G753" t="n">
        <v>6.9</v>
      </c>
      <c r="H753" t="n">
        <v>0</v>
      </c>
      <c r="I753" t="n">
        <v>0</v>
      </c>
      <c r="J753" t="n">
        <v>0</v>
      </c>
      <c r="K753" t="n">
        <v>0</v>
      </c>
      <c r="L753" t="n">
        <v>0</v>
      </c>
      <c r="M753" t="n">
        <v>0</v>
      </c>
      <c r="N753" t="n">
        <v>0</v>
      </c>
      <c r="O753" t="n">
        <v>0</v>
      </c>
      <c r="P753" t="n">
        <v>0</v>
      </c>
      <c r="Q753" t="n">
        <v>0</v>
      </c>
      <c r="R753" s="2" t="inlineStr"/>
    </row>
    <row r="754" ht="15" customHeight="1">
      <c r="A754" t="inlineStr">
        <is>
          <t>A 2010-2024</t>
        </is>
      </c>
      <c r="B754" s="1" t="n">
        <v>45308</v>
      </c>
      <c r="C754" s="1" t="n">
        <v>45635</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2774-2024</t>
        </is>
      </c>
      <c r="B755" s="1" t="n">
        <v>45314</v>
      </c>
      <c r="C755" s="1" t="n">
        <v>45635</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2821-2024</t>
        </is>
      </c>
      <c r="B756" s="1" t="n">
        <v>45314</v>
      </c>
      <c r="C756" s="1" t="n">
        <v>45635</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2825-2024</t>
        </is>
      </c>
      <c r="B757" s="1" t="n">
        <v>45314</v>
      </c>
      <c r="C757" s="1" t="n">
        <v>45635</v>
      </c>
      <c r="D757" t="inlineStr">
        <is>
          <t>GOTLANDS LÄN</t>
        </is>
      </c>
      <c r="E757" t="inlineStr">
        <is>
          <t>GOTLAND</t>
        </is>
      </c>
      <c r="G757" t="n">
        <v>4.8</v>
      </c>
      <c r="H757" t="n">
        <v>0</v>
      </c>
      <c r="I757" t="n">
        <v>0</v>
      </c>
      <c r="J757" t="n">
        <v>0</v>
      </c>
      <c r="K757" t="n">
        <v>0</v>
      </c>
      <c r="L757" t="n">
        <v>0</v>
      </c>
      <c r="M757" t="n">
        <v>0</v>
      </c>
      <c r="N757" t="n">
        <v>0</v>
      </c>
      <c r="O757" t="n">
        <v>0</v>
      </c>
      <c r="P757" t="n">
        <v>0</v>
      </c>
      <c r="Q757" t="n">
        <v>0</v>
      </c>
      <c r="R757" s="2" t="inlineStr"/>
    </row>
    <row r="758" ht="15" customHeight="1">
      <c r="A758" t="inlineStr">
        <is>
          <t>A 2819-2024</t>
        </is>
      </c>
      <c r="B758" s="1" t="n">
        <v>45314</v>
      </c>
      <c r="C758" s="1" t="n">
        <v>45635</v>
      </c>
      <c r="D758" t="inlineStr">
        <is>
          <t>GOTLANDS LÄN</t>
        </is>
      </c>
      <c r="E758" t="inlineStr">
        <is>
          <t>GOTLAND</t>
        </is>
      </c>
      <c r="G758" t="n">
        <v>6.3</v>
      </c>
      <c r="H758" t="n">
        <v>0</v>
      </c>
      <c r="I758" t="n">
        <v>0</v>
      </c>
      <c r="J758" t="n">
        <v>0</v>
      </c>
      <c r="K758" t="n">
        <v>0</v>
      </c>
      <c r="L758" t="n">
        <v>0</v>
      </c>
      <c r="M758" t="n">
        <v>0</v>
      </c>
      <c r="N758" t="n">
        <v>0</v>
      </c>
      <c r="O758" t="n">
        <v>0</v>
      </c>
      <c r="P758" t="n">
        <v>0</v>
      </c>
      <c r="Q758" t="n">
        <v>0</v>
      </c>
      <c r="R758" s="2" t="inlineStr"/>
    </row>
    <row r="759" ht="15" customHeight="1">
      <c r="A759" t="inlineStr">
        <is>
          <t>A 3004-2024</t>
        </is>
      </c>
      <c r="B759" s="1" t="n">
        <v>45315</v>
      </c>
      <c r="C759" s="1" t="n">
        <v>45635</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3689-2024</t>
        </is>
      </c>
      <c r="B760" s="1" t="n">
        <v>45321</v>
      </c>
      <c r="C760" s="1" t="n">
        <v>45635</v>
      </c>
      <c r="D760" t="inlineStr">
        <is>
          <t>GOTLANDS LÄN</t>
        </is>
      </c>
      <c r="E760" t="inlineStr">
        <is>
          <t>GOTLAND</t>
        </is>
      </c>
      <c r="G760" t="n">
        <v>4.5</v>
      </c>
      <c r="H760" t="n">
        <v>0</v>
      </c>
      <c r="I760" t="n">
        <v>0</v>
      </c>
      <c r="J760" t="n">
        <v>0</v>
      </c>
      <c r="K760" t="n">
        <v>0</v>
      </c>
      <c r="L760" t="n">
        <v>0</v>
      </c>
      <c r="M760" t="n">
        <v>0</v>
      </c>
      <c r="N760" t="n">
        <v>0</v>
      </c>
      <c r="O760" t="n">
        <v>0</v>
      </c>
      <c r="P760" t="n">
        <v>0</v>
      </c>
      <c r="Q760" t="n">
        <v>0</v>
      </c>
      <c r="R760" s="2" t="inlineStr"/>
    </row>
    <row r="761" ht="15" customHeight="1">
      <c r="A761" t="inlineStr">
        <is>
          <t>A 3707-2024</t>
        </is>
      </c>
      <c r="B761" s="1" t="n">
        <v>45321</v>
      </c>
      <c r="C761" s="1" t="n">
        <v>45635</v>
      </c>
      <c r="D761" t="inlineStr">
        <is>
          <t>GOTLANDS LÄN</t>
        </is>
      </c>
      <c r="E761" t="inlineStr">
        <is>
          <t>GOTLAND</t>
        </is>
      </c>
      <c r="G761" t="n">
        <v>12.2</v>
      </c>
      <c r="H761" t="n">
        <v>0</v>
      </c>
      <c r="I761" t="n">
        <v>0</v>
      </c>
      <c r="J761" t="n">
        <v>0</v>
      </c>
      <c r="K761" t="n">
        <v>0</v>
      </c>
      <c r="L761" t="n">
        <v>0</v>
      </c>
      <c r="M761" t="n">
        <v>0</v>
      </c>
      <c r="N761" t="n">
        <v>0</v>
      </c>
      <c r="O761" t="n">
        <v>0</v>
      </c>
      <c r="P761" t="n">
        <v>0</v>
      </c>
      <c r="Q761" t="n">
        <v>0</v>
      </c>
      <c r="R761" s="2" t="inlineStr"/>
    </row>
    <row r="762" ht="15" customHeight="1">
      <c r="A762" t="inlineStr">
        <is>
          <t>A 3964-2024</t>
        </is>
      </c>
      <c r="B762" s="1" t="n">
        <v>45322</v>
      </c>
      <c r="C762" s="1" t="n">
        <v>45635</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4259-2024</t>
        </is>
      </c>
      <c r="B763" s="1" t="n">
        <v>45324</v>
      </c>
      <c r="C763" s="1" t="n">
        <v>45635</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4421-2024</t>
        </is>
      </c>
      <c r="B764" s="1" t="n">
        <v>45327</v>
      </c>
      <c r="C764" s="1" t="n">
        <v>45635</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4483-2024</t>
        </is>
      </c>
      <c r="B765" s="1" t="n">
        <v>45327</v>
      </c>
      <c r="C765" s="1" t="n">
        <v>45635</v>
      </c>
      <c r="D765" t="inlineStr">
        <is>
          <t>GOTLANDS LÄN</t>
        </is>
      </c>
      <c r="E765" t="inlineStr">
        <is>
          <t>GOTLAND</t>
        </is>
      </c>
      <c r="G765" t="n">
        <v>4.6</v>
      </c>
      <c r="H765" t="n">
        <v>0</v>
      </c>
      <c r="I765" t="n">
        <v>0</v>
      </c>
      <c r="J765" t="n">
        <v>0</v>
      </c>
      <c r="K765" t="n">
        <v>0</v>
      </c>
      <c r="L765" t="n">
        <v>0</v>
      </c>
      <c r="M765" t="n">
        <v>0</v>
      </c>
      <c r="N765" t="n">
        <v>0</v>
      </c>
      <c r="O765" t="n">
        <v>0</v>
      </c>
      <c r="P765" t="n">
        <v>0</v>
      </c>
      <c r="Q765" t="n">
        <v>0</v>
      </c>
      <c r="R765" s="2" t="inlineStr"/>
    </row>
    <row r="766" ht="15" customHeight="1">
      <c r="A766" t="inlineStr">
        <is>
          <t>A 4689-2024</t>
        </is>
      </c>
      <c r="B766" s="1" t="n">
        <v>45328</v>
      </c>
      <c r="C766" s="1" t="n">
        <v>45635</v>
      </c>
      <c r="D766" t="inlineStr">
        <is>
          <t>GOTLANDS LÄN</t>
        </is>
      </c>
      <c r="E766" t="inlineStr">
        <is>
          <t>GOTLAND</t>
        </is>
      </c>
      <c r="G766" t="n">
        <v>1.3</v>
      </c>
      <c r="H766" t="n">
        <v>0</v>
      </c>
      <c r="I766" t="n">
        <v>0</v>
      </c>
      <c r="J766" t="n">
        <v>0</v>
      </c>
      <c r="K766" t="n">
        <v>0</v>
      </c>
      <c r="L766" t="n">
        <v>0</v>
      </c>
      <c r="M766" t="n">
        <v>0</v>
      </c>
      <c r="N766" t="n">
        <v>0</v>
      </c>
      <c r="O766" t="n">
        <v>0</v>
      </c>
      <c r="P766" t="n">
        <v>0</v>
      </c>
      <c r="Q766" t="n">
        <v>0</v>
      </c>
      <c r="R766" s="2" t="inlineStr"/>
    </row>
    <row r="767" ht="15" customHeight="1">
      <c r="A767" t="inlineStr">
        <is>
          <t>A 4868-2024</t>
        </is>
      </c>
      <c r="B767" s="1" t="n">
        <v>45329</v>
      </c>
      <c r="C767" s="1" t="n">
        <v>45635</v>
      </c>
      <c r="D767" t="inlineStr">
        <is>
          <t>GOTLANDS LÄN</t>
        </is>
      </c>
      <c r="E767" t="inlineStr">
        <is>
          <t>GOTLAND</t>
        </is>
      </c>
      <c r="G767" t="n">
        <v>7.1</v>
      </c>
      <c r="H767" t="n">
        <v>0</v>
      </c>
      <c r="I767" t="n">
        <v>0</v>
      </c>
      <c r="J767" t="n">
        <v>0</v>
      </c>
      <c r="K767" t="n">
        <v>0</v>
      </c>
      <c r="L767" t="n">
        <v>0</v>
      </c>
      <c r="M767" t="n">
        <v>0</v>
      </c>
      <c r="N767" t="n">
        <v>0</v>
      </c>
      <c r="O767" t="n">
        <v>0</v>
      </c>
      <c r="P767" t="n">
        <v>0</v>
      </c>
      <c r="Q767" t="n">
        <v>0</v>
      </c>
      <c r="R767" s="2" t="inlineStr"/>
    </row>
    <row r="768" ht="15" customHeight="1">
      <c r="A768" t="inlineStr">
        <is>
          <t>A 5413-2024</t>
        </is>
      </c>
      <c r="B768" s="1" t="n">
        <v>45331</v>
      </c>
      <c r="C768" s="1" t="n">
        <v>45635</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5751-2024</t>
        </is>
      </c>
      <c r="B769" s="1" t="n">
        <v>45335</v>
      </c>
      <c r="C769" s="1" t="n">
        <v>45635</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5905-2024</t>
        </is>
      </c>
      <c r="B770" s="1" t="n">
        <v>45335</v>
      </c>
      <c r="C770" s="1" t="n">
        <v>45635</v>
      </c>
      <c r="D770" t="inlineStr">
        <is>
          <t>GOTLANDS LÄN</t>
        </is>
      </c>
      <c r="E770" t="inlineStr">
        <is>
          <t>GOTLAND</t>
        </is>
      </c>
      <c r="G770" t="n">
        <v>3</v>
      </c>
      <c r="H770" t="n">
        <v>0</v>
      </c>
      <c r="I770" t="n">
        <v>0</v>
      </c>
      <c r="J770" t="n">
        <v>0</v>
      </c>
      <c r="K770" t="n">
        <v>0</v>
      </c>
      <c r="L770" t="n">
        <v>0</v>
      </c>
      <c r="M770" t="n">
        <v>0</v>
      </c>
      <c r="N770" t="n">
        <v>0</v>
      </c>
      <c r="O770" t="n">
        <v>0</v>
      </c>
      <c r="P770" t="n">
        <v>0</v>
      </c>
      <c r="Q770" t="n">
        <v>0</v>
      </c>
      <c r="R770" s="2" t="inlineStr"/>
    </row>
    <row r="771" ht="15" customHeight="1">
      <c r="A771" t="inlineStr">
        <is>
          <t>A 5943-2024</t>
        </is>
      </c>
      <c r="B771" s="1" t="n">
        <v>45336</v>
      </c>
      <c r="C771" s="1" t="n">
        <v>45635</v>
      </c>
      <c r="D771" t="inlineStr">
        <is>
          <t>GOTLANDS LÄN</t>
        </is>
      </c>
      <c r="E771" t="inlineStr">
        <is>
          <t>GOTLAND</t>
        </is>
      </c>
      <c r="G771" t="n">
        <v>4.3</v>
      </c>
      <c r="H771" t="n">
        <v>0</v>
      </c>
      <c r="I771" t="n">
        <v>0</v>
      </c>
      <c r="J771" t="n">
        <v>0</v>
      </c>
      <c r="K771" t="n">
        <v>0</v>
      </c>
      <c r="L771" t="n">
        <v>0</v>
      </c>
      <c r="M771" t="n">
        <v>0</v>
      </c>
      <c r="N771" t="n">
        <v>0</v>
      </c>
      <c r="O771" t="n">
        <v>0</v>
      </c>
      <c r="P771" t="n">
        <v>0</v>
      </c>
      <c r="Q771" t="n">
        <v>0</v>
      </c>
      <c r="R771" s="2" t="inlineStr"/>
    </row>
    <row r="772" ht="15" customHeight="1">
      <c r="A772" t="inlineStr">
        <is>
          <t>A 6099-2024</t>
        </is>
      </c>
      <c r="B772" s="1" t="n">
        <v>45337</v>
      </c>
      <c r="C772" s="1" t="n">
        <v>45635</v>
      </c>
      <c r="D772" t="inlineStr">
        <is>
          <t>GOTLANDS LÄN</t>
        </is>
      </c>
      <c r="E772" t="inlineStr">
        <is>
          <t>GOTLAND</t>
        </is>
      </c>
      <c r="G772" t="n">
        <v>12.6</v>
      </c>
      <c r="H772" t="n">
        <v>0</v>
      </c>
      <c r="I772" t="n">
        <v>0</v>
      </c>
      <c r="J772" t="n">
        <v>0</v>
      </c>
      <c r="K772" t="n">
        <v>0</v>
      </c>
      <c r="L772" t="n">
        <v>0</v>
      </c>
      <c r="M772" t="n">
        <v>0</v>
      </c>
      <c r="N772" t="n">
        <v>0</v>
      </c>
      <c r="O772" t="n">
        <v>0</v>
      </c>
      <c r="P772" t="n">
        <v>0</v>
      </c>
      <c r="Q772" t="n">
        <v>0</v>
      </c>
      <c r="R772" s="2" t="inlineStr"/>
    </row>
    <row r="773" ht="15" customHeight="1">
      <c r="A773" t="inlineStr">
        <is>
          <t>A 6141-2024</t>
        </is>
      </c>
      <c r="B773" s="1" t="n">
        <v>45337</v>
      </c>
      <c r="C773" s="1" t="n">
        <v>45635</v>
      </c>
      <c r="D773" t="inlineStr">
        <is>
          <t>GOTLANDS LÄN</t>
        </is>
      </c>
      <c r="E773" t="inlineStr">
        <is>
          <t>GOTLAND</t>
        </is>
      </c>
      <c r="G773" t="n">
        <v>6.1</v>
      </c>
      <c r="H773" t="n">
        <v>0</v>
      </c>
      <c r="I773" t="n">
        <v>0</v>
      </c>
      <c r="J773" t="n">
        <v>0</v>
      </c>
      <c r="K773" t="n">
        <v>0</v>
      </c>
      <c r="L773" t="n">
        <v>0</v>
      </c>
      <c r="M773" t="n">
        <v>0</v>
      </c>
      <c r="N773" t="n">
        <v>0</v>
      </c>
      <c r="O773" t="n">
        <v>0</v>
      </c>
      <c r="P773" t="n">
        <v>0</v>
      </c>
      <c r="Q773" t="n">
        <v>0</v>
      </c>
      <c r="R773" s="2" t="inlineStr"/>
    </row>
    <row r="774" ht="15" customHeight="1">
      <c r="A774" t="inlineStr">
        <is>
          <t>A 6153-2024</t>
        </is>
      </c>
      <c r="B774" s="1" t="n">
        <v>45337</v>
      </c>
      <c r="C774" s="1" t="n">
        <v>45635</v>
      </c>
      <c r="D774" t="inlineStr">
        <is>
          <t>GOTLANDS LÄN</t>
        </is>
      </c>
      <c r="E774" t="inlineStr">
        <is>
          <t>GOTLAND</t>
        </is>
      </c>
      <c r="G774" t="n">
        <v>14.2</v>
      </c>
      <c r="H774" t="n">
        <v>0</v>
      </c>
      <c r="I774" t="n">
        <v>0</v>
      </c>
      <c r="J774" t="n">
        <v>0</v>
      </c>
      <c r="K774" t="n">
        <v>0</v>
      </c>
      <c r="L774" t="n">
        <v>0</v>
      </c>
      <c r="M774" t="n">
        <v>0</v>
      </c>
      <c r="N774" t="n">
        <v>0</v>
      </c>
      <c r="O774" t="n">
        <v>0</v>
      </c>
      <c r="P774" t="n">
        <v>0</v>
      </c>
      <c r="Q774" t="n">
        <v>0</v>
      </c>
      <c r="R774" s="2" t="inlineStr"/>
    </row>
    <row r="775" ht="15" customHeight="1">
      <c r="A775" t="inlineStr">
        <is>
          <t>A 6138-2024</t>
        </is>
      </c>
      <c r="B775" s="1" t="n">
        <v>45337</v>
      </c>
      <c r="C775" s="1" t="n">
        <v>45635</v>
      </c>
      <c r="D775" t="inlineStr">
        <is>
          <t>GOTLANDS LÄN</t>
        </is>
      </c>
      <c r="E775" t="inlineStr">
        <is>
          <t>GOTLAND</t>
        </is>
      </c>
      <c r="G775" t="n">
        <v>24.8</v>
      </c>
      <c r="H775" t="n">
        <v>0</v>
      </c>
      <c r="I775" t="n">
        <v>0</v>
      </c>
      <c r="J775" t="n">
        <v>0</v>
      </c>
      <c r="K775" t="n">
        <v>0</v>
      </c>
      <c r="L775" t="n">
        <v>0</v>
      </c>
      <c r="M775" t="n">
        <v>0</v>
      </c>
      <c r="N775" t="n">
        <v>0</v>
      </c>
      <c r="O775" t="n">
        <v>0</v>
      </c>
      <c r="P775" t="n">
        <v>0</v>
      </c>
      <c r="Q775" t="n">
        <v>0</v>
      </c>
      <c r="R775" s="2" t="inlineStr"/>
    </row>
    <row r="776" ht="15" customHeight="1">
      <c r="A776" t="inlineStr">
        <is>
          <t>A 7497-2024</t>
        </is>
      </c>
      <c r="B776" s="1" t="n">
        <v>45347</v>
      </c>
      <c r="C776" s="1" t="n">
        <v>45635</v>
      </c>
      <c r="D776" t="inlineStr">
        <is>
          <t>GOTLANDS LÄN</t>
        </is>
      </c>
      <c r="E776" t="inlineStr">
        <is>
          <t>GOTLAND</t>
        </is>
      </c>
      <c r="G776" t="n">
        <v>18.5</v>
      </c>
      <c r="H776" t="n">
        <v>0</v>
      </c>
      <c r="I776" t="n">
        <v>0</v>
      </c>
      <c r="J776" t="n">
        <v>0</v>
      </c>
      <c r="K776" t="n">
        <v>0</v>
      </c>
      <c r="L776" t="n">
        <v>0</v>
      </c>
      <c r="M776" t="n">
        <v>0</v>
      </c>
      <c r="N776" t="n">
        <v>0</v>
      </c>
      <c r="O776" t="n">
        <v>0</v>
      </c>
      <c r="P776" t="n">
        <v>0</v>
      </c>
      <c r="Q776" t="n">
        <v>0</v>
      </c>
      <c r="R776" s="2" t="inlineStr"/>
    </row>
    <row r="777" ht="15" customHeight="1">
      <c r="A777" t="inlineStr">
        <is>
          <t>A 7837-2024</t>
        </is>
      </c>
      <c r="B777" s="1" t="n">
        <v>45349</v>
      </c>
      <c r="C777" s="1" t="n">
        <v>45635</v>
      </c>
      <c r="D777" t="inlineStr">
        <is>
          <t>GOTLANDS LÄN</t>
        </is>
      </c>
      <c r="E777" t="inlineStr">
        <is>
          <t>GOTLAND</t>
        </is>
      </c>
      <c r="G777" t="n">
        <v>5</v>
      </c>
      <c r="H777" t="n">
        <v>0</v>
      </c>
      <c r="I777" t="n">
        <v>0</v>
      </c>
      <c r="J777" t="n">
        <v>0</v>
      </c>
      <c r="K777" t="n">
        <v>0</v>
      </c>
      <c r="L777" t="n">
        <v>0</v>
      </c>
      <c r="M777" t="n">
        <v>0</v>
      </c>
      <c r="N777" t="n">
        <v>0</v>
      </c>
      <c r="O777" t="n">
        <v>0</v>
      </c>
      <c r="P777" t="n">
        <v>0</v>
      </c>
      <c r="Q777" t="n">
        <v>0</v>
      </c>
      <c r="R777" s="2" t="inlineStr"/>
    </row>
    <row r="778" ht="15" customHeight="1">
      <c r="A778" t="inlineStr">
        <is>
          <t>A 7835-2024</t>
        </is>
      </c>
      <c r="B778" s="1" t="n">
        <v>45349</v>
      </c>
      <c r="C778" s="1" t="n">
        <v>45635</v>
      </c>
      <c r="D778" t="inlineStr">
        <is>
          <t>GOTLANDS LÄN</t>
        </is>
      </c>
      <c r="E778" t="inlineStr">
        <is>
          <t>GOTLAND</t>
        </is>
      </c>
      <c r="G778" t="n">
        <v>3.8</v>
      </c>
      <c r="H778" t="n">
        <v>0</v>
      </c>
      <c r="I778" t="n">
        <v>0</v>
      </c>
      <c r="J778" t="n">
        <v>0</v>
      </c>
      <c r="K778" t="n">
        <v>0</v>
      </c>
      <c r="L778" t="n">
        <v>0</v>
      </c>
      <c r="M778" t="n">
        <v>0</v>
      </c>
      <c r="N778" t="n">
        <v>0</v>
      </c>
      <c r="O778" t="n">
        <v>0</v>
      </c>
      <c r="P778" t="n">
        <v>0</v>
      </c>
      <c r="Q778" t="n">
        <v>0</v>
      </c>
      <c r="R778" s="2" t="inlineStr"/>
    </row>
    <row r="779" ht="15" customHeight="1">
      <c r="A779" t="inlineStr">
        <is>
          <t>A 8460-2024</t>
        </is>
      </c>
      <c r="B779" s="1" t="n">
        <v>45355</v>
      </c>
      <c r="C779" s="1" t="n">
        <v>45635</v>
      </c>
      <c r="D779" t="inlineStr">
        <is>
          <t>GOTLANDS LÄN</t>
        </is>
      </c>
      <c r="E779" t="inlineStr">
        <is>
          <t>GOTLAND</t>
        </is>
      </c>
      <c r="G779" t="n">
        <v>2.6</v>
      </c>
      <c r="H779" t="n">
        <v>0</v>
      </c>
      <c r="I779" t="n">
        <v>0</v>
      </c>
      <c r="J779" t="n">
        <v>0</v>
      </c>
      <c r="K779" t="n">
        <v>0</v>
      </c>
      <c r="L779" t="n">
        <v>0</v>
      </c>
      <c r="M779" t="n">
        <v>0</v>
      </c>
      <c r="N779" t="n">
        <v>0</v>
      </c>
      <c r="O779" t="n">
        <v>0</v>
      </c>
      <c r="P779" t="n">
        <v>0</v>
      </c>
      <c r="Q779" t="n">
        <v>0</v>
      </c>
      <c r="R779" s="2" t="inlineStr"/>
    </row>
    <row r="780" ht="15" customHeight="1">
      <c r="A780" t="inlineStr">
        <is>
          <t>A 9947-2024</t>
        </is>
      </c>
      <c r="B780" s="1" t="n">
        <v>45363</v>
      </c>
      <c r="C780" s="1" t="n">
        <v>45635</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10051-2024</t>
        </is>
      </c>
      <c r="B781" s="1" t="n">
        <v>45364</v>
      </c>
      <c r="C781" s="1" t="n">
        <v>45635</v>
      </c>
      <c r="D781" t="inlineStr">
        <is>
          <t>GOTLANDS LÄN</t>
        </is>
      </c>
      <c r="E781" t="inlineStr">
        <is>
          <t>GOTLAND</t>
        </is>
      </c>
      <c r="G781" t="n">
        <v>4.2</v>
      </c>
      <c r="H781" t="n">
        <v>0</v>
      </c>
      <c r="I781" t="n">
        <v>0</v>
      </c>
      <c r="J781" t="n">
        <v>0</v>
      </c>
      <c r="K781" t="n">
        <v>0</v>
      </c>
      <c r="L781" t="n">
        <v>0</v>
      </c>
      <c r="M781" t="n">
        <v>0</v>
      </c>
      <c r="N781" t="n">
        <v>0</v>
      </c>
      <c r="O781" t="n">
        <v>0</v>
      </c>
      <c r="P781" t="n">
        <v>0</v>
      </c>
      <c r="Q781" t="n">
        <v>0</v>
      </c>
      <c r="R781" s="2" t="inlineStr"/>
    </row>
    <row r="782" ht="15" customHeight="1">
      <c r="A782" t="inlineStr">
        <is>
          <t>A 10503-2024</t>
        </is>
      </c>
      <c r="B782" s="1" t="n">
        <v>45366</v>
      </c>
      <c r="C782" s="1" t="n">
        <v>45635</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10656-2024</t>
        </is>
      </c>
      <c r="B783" s="1" t="n">
        <v>45368</v>
      </c>
      <c r="C783" s="1" t="n">
        <v>45635</v>
      </c>
      <c r="D783" t="inlineStr">
        <is>
          <t>GOTLANDS LÄN</t>
        </is>
      </c>
      <c r="E783" t="inlineStr">
        <is>
          <t>GOTLAND</t>
        </is>
      </c>
      <c r="G783" t="n">
        <v>1.5</v>
      </c>
      <c r="H783" t="n">
        <v>0</v>
      </c>
      <c r="I783" t="n">
        <v>0</v>
      </c>
      <c r="J783" t="n">
        <v>0</v>
      </c>
      <c r="K783" t="n">
        <v>0</v>
      </c>
      <c r="L783" t="n">
        <v>0</v>
      </c>
      <c r="M783" t="n">
        <v>0</v>
      </c>
      <c r="N783" t="n">
        <v>0</v>
      </c>
      <c r="O783" t="n">
        <v>0</v>
      </c>
      <c r="P783" t="n">
        <v>0</v>
      </c>
      <c r="Q783" t="n">
        <v>0</v>
      </c>
      <c r="R783" s="2" t="inlineStr"/>
    </row>
    <row r="784" ht="15" customHeight="1">
      <c r="A784" t="inlineStr">
        <is>
          <t>A 11013-2024</t>
        </is>
      </c>
      <c r="B784" s="1" t="n">
        <v>45370</v>
      </c>
      <c r="C784" s="1" t="n">
        <v>45635</v>
      </c>
      <c r="D784" t="inlineStr">
        <is>
          <t>GOTLANDS LÄN</t>
        </is>
      </c>
      <c r="E784" t="inlineStr">
        <is>
          <t>GOTLAND</t>
        </is>
      </c>
      <c r="G784" t="n">
        <v>0.7</v>
      </c>
      <c r="H784" t="n">
        <v>0</v>
      </c>
      <c r="I784" t="n">
        <v>0</v>
      </c>
      <c r="J784" t="n">
        <v>0</v>
      </c>
      <c r="K784" t="n">
        <v>0</v>
      </c>
      <c r="L784" t="n">
        <v>0</v>
      </c>
      <c r="M784" t="n">
        <v>0</v>
      </c>
      <c r="N784" t="n">
        <v>0</v>
      </c>
      <c r="O784" t="n">
        <v>0</v>
      </c>
      <c r="P784" t="n">
        <v>0</v>
      </c>
      <c r="Q784" t="n">
        <v>0</v>
      </c>
      <c r="R784" s="2" t="inlineStr"/>
    </row>
    <row r="785" ht="15" customHeight="1">
      <c r="A785" t="inlineStr">
        <is>
          <t>A 11254-2024</t>
        </is>
      </c>
      <c r="B785" s="1" t="n">
        <v>45371</v>
      </c>
      <c r="C785" s="1" t="n">
        <v>45635</v>
      </c>
      <c r="D785" t="inlineStr">
        <is>
          <t>GOTLANDS LÄN</t>
        </is>
      </c>
      <c r="E785" t="inlineStr">
        <is>
          <t>GOTLAND</t>
        </is>
      </c>
      <c r="G785" t="n">
        <v>5.6</v>
      </c>
      <c r="H785" t="n">
        <v>0</v>
      </c>
      <c r="I785" t="n">
        <v>0</v>
      </c>
      <c r="J785" t="n">
        <v>0</v>
      </c>
      <c r="K785" t="n">
        <v>0</v>
      </c>
      <c r="L785" t="n">
        <v>0</v>
      </c>
      <c r="M785" t="n">
        <v>0</v>
      </c>
      <c r="N785" t="n">
        <v>0</v>
      </c>
      <c r="O785" t="n">
        <v>0</v>
      </c>
      <c r="P785" t="n">
        <v>0</v>
      </c>
      <c r="Q785" t="n">
        <v>0</v>
      </c>
      <c r="R785" s="2" t="inlineStr"/>
    </row>
    <row r="786" ht="15" customHeight="1">
      <c r="A786" t="inlineStr">
        <is>
          <t>A 11634-2024</t>
        </is>
      </c>
      <c r="B786" s="1" t="n">
        <v>45373</v>
      </c>
      <c r="C786" s="1" t="n">
        <v>45635</v>
      </c>
      <c r="D786" t="inlineStr">
        <is>
          <t>GOTLANDS LÄN</t>
        </is>
      </c>
      <c r="E786" t="inlineStr">
        <is>
          <t>GOTLAND</t>
        </is>
      </c>
      <c r="G786" t="n">
        <v>3</v>
      </c>
      <c r="H786" t="n">
        <v>0</v>
      </c>
      <c r="I786" t="n">
        <v>0</v>
      </c>
      <c r="J786" t="n">
        <v>0</v>
      </c>
      <c r="K786" t="n">
        <v>0</v>
      </c>
      <c r="L786" t="n">
        <v>0</v>
      </c>
      <c r="M786" t="n">
        <v>0</v>
      </c>
      <c r="N786" t="n">
        <v>0</v>
      </c>
      <c r="O786" t="n">
        <v>0</v>
      </c>
      <c r="P786" t="n">
        <v>0</v>
      </c>
      <c r="Q786" t="n">
        <v>0</v>
      </c>
      <c r="R786" s="2" t="inlineStr"/>
    </row>
    <row r="787" ht="15" customHeight="1">
      <c r="A787" t="inlineStr">
        <is>
          <t>A 11722-2024</t>
        </is>
      </c>
      <c r="B787" s="1" t="n">
        <v>45373</v>
      </c>
      <c r="C787" s="1" t="n">
        <v>45635</v>
      </c>
      <c r="D787" t="inlineStr">
        <is>
          <t>GOTLANDS LÄN</t>
        </is>
      </c>
      <c r="E787" t="inlineStr">
        <is>
          <t>GOTLAND</t>
        </is>
      </c>
      <c r="G787" t="n">
        <v>0.9</v>
      </c>
      <c r="H787" t="n">
        <v>0</v>
      </c>
      <c r="I787" t="n">
        <v>0</v>
      </c>
      <c r="J787" t="n">
        <v>0</v>
      </c>
      <c r="K787" t="n">
        <v>0</v>
      </c>
      <c r="L787" t="n">
        <v>0</v>
      </c>
      <c r="M787" t="n">
        <v>0</v>
      </c>
      <c r="N787" t="n">
        <v>0</v>
      </c>
      <c r="O787" t="n">
        <v>0</v>
      </c>
      <c r="P787" t="n">
        <v>0</v>
      </c>
      <c r="Q787" t="n">
        <v>0</v>
      </c>
      <c r="R787" s="2" t="inlineStr"/>
    </row>
    <row r="788" ht="15" customHeight="1">
      <c r="A788" t="inlineStr">
        <is>
          <t>A 11590-2024</t>
        </is>
      </c>
      <c r="B788" s="1" t="n">
        <v>45373</v>
      </c>
      <c r="C788" s="1" t="n">
        <v>45635</v>
      </c>
      <c r="D788" t="inlineStr">
        <is>
          <t>GOTLANDS LÄN</t>
        </is>
      </c>
      <c r="E788" t="inlineStr">
        <is>
          <t>GOTLAND</t>
        </is>
      </c>
      <c r="G788" t="n">
        <v>2.9</v>
      </c>
      <c r="H788" t="n">
        <v>0</v>
      </c>
      <c r="I788" t="n">
        <v>0</v>
      </c>
      <c r="J788" t="n">
        <v>0</v>
      </c>
      <c r="K788" t="n">
        <v>0</v>
      </c>
      <c r="L788" t="n">
        <v>0</v>
      </c>
      <c r="M788" t="n">
        <v>0</v>
      </c>
      <c r="N788" t="n">
        <v>0</v>
      </c>
      <c r="O788" t="n">
        <v>0</v>
      </c>
      <c r="P788" t="n">
        <v>0</v>
      </c>
      <c r="Q788" t="n">
        <v>0</v>
      </c>
      <c r="R788" s="2" t="inlineStr"/>
    </row>
    <row r="789" ht="15" customHeight="1">
      <c r="A789" t="inlineStr">
        <is>
          <t>A 11598-2024</t>
        </is>
      </c>
      <c r="B789" s="1" t="n">
        <v>45373</v>
      </c>
      <c r="C789" s="1" t="n">
        <v>45635</v>
      </c>
      <c r="D789" t="inlineStr">
        <is>
          <t>GOTLANDS LÄN</t>
        </is>
      </c>
      <c r="E789" t="inlineStr">
        <is>
          <t>GOTLAND</t>
        </is>
      </c>
      <c r="G789" t="n">
        <v>0.3</v>
      </c>
      <c r="H789" t="n">
        <v>0</v>
      </c>
      <c r="I789" t="n">
        <v>0</v>
      </c>
      <c r="J789" t="n">
        <v>0</v>
      </c>
      <c r="K789" t="n">
        <v>0</v>
      </c>
      <c r="L789" t="n">
        <v>0</v>
      </c>
      <c r="M789" t="n">
        <v>0</v>
      </c>
      <c r="N789" t="n">
        <v>0</v>
      </c>
      <c r="O789" t="n">
        <v>0</v>
      </c>
      <c r="P789" t="n">
        <v>0</v>
      </c>
      <c r="Q789" t="n">
        <v>0</v>
      </c>
      <c r="R789" s="2" t="inlineStr"/>
    </row>
    <row r="790" ht="15" customHeight="1">
      <c r="A790" t="inlineStr">
        <is>
          <t>A 11863-2024</t>
        </is>
      </c>
      <c r="B790" s="1" t="n">
        <v>45376</v>
      </c>
      <c r="C790" s="1" t="n">
        <v>45635</v>
      </c>
      <c r="D790" t="inlineStr">
        <is>
          <t>GOTLANDS LÄN</t>
        </is>
      </c>
      <c r="E790" t="inlineStr">
        <is>
          <t>GOTLAND</t>
        </is>
      </c>
      <c r="G790" t="n">
        <v>3.2</v>
      </c>
      <c r="H790" t="n">
        <v>0</v>
      </c>
      <c r="I790" t="n">
        <v>0</v>
      </c>
      <c r="J790" t="n">
        <v>0</v>
      </c>
      <c r="K790" t="n">
        <v>0</v>
      </c>
      <c r="L790" t="n">
        <v>0</v>
      </c>
      <c r="M790" t="n">
        <v>0</v>
      </c>
      <c r="N790" t="n">
        <v>0</v>
      </c>
      <c r="O790" t="n">
        <v>0</v>
      </c>
      <c r="P790" t="n">
        <v>0</v>
      </c>
      <c r="Q790" t="n">
        <v>0</v>
      </c>
      <c r="R790" s="2" t="inlineStr"/>
    </row>
    <row r="791" ht="15" customHeight="1">
      <c r="A791" t="inlineStr">
        <is>
          <t>A 11868-2024</t>
        </is>
      </c>
      <c r="B791" s="1" t="n">
        <v>45376</v>
      </c>
      <c r="C791" s="1" t="n">
        <v>45635</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11874-2024</t>
        </is>
      </c>
      <c r="B792" s="1" t="n">
        <v>45376</v>
      </c>
      <c r="C792" s="1" t="n">
        <v>45635</v>
      </c>
      <c r="D792" t="inlineStr">
        <is>
          <t>GOTLANDS LÄN</t>
        </is>
      </c>
      <c r="E792" t="inlineStr">
        <is>
          <t>GOTLAND</t>
        </is>
      </c>
      <c r="G792" t="n">
        <v>0.8</v>
      </c>
      <c r="H792" t="n">
        <v>0</v>
      </c>
      <c r="I792" t="n">
        <v>0</v>
      </c>
      <c r="J792" t="n">
        <v>0</v>
      </c>
      <c r="K792" t="n">
        <v>0</v>
      </c>
      <c r="L792" t="n">
        <v>0</v>
      </c>
      <c r="M792" t="n">
        <v>0</v>
      </c>
      <c r="N792" t="n">
        <v>0</v>
      </c>
      <c r="O792" t="n">
        <v>0</v>
      </c>
      <c r="P792" t="n">
        <v>0</v>
      </c>
      <c r="Q792" t="n">
        <v>0</v>
      </c>
      <c r="R792" s="2" t="inlineStr"/>
    </row>
    <row r="793" ht="15" customHeight="1">
      <c r="A793" t="inlineStr">
        <is>
          <t>A 12208-2024</t>
        </is>
      </c>
      <c r="B793" s="1" t="n">
        <v>45378</v>
      </c>
      <c r="C793" s="1" t="n">
        <v>45635</v>
      </c>
      <c r="D793" t="inlineStr">
        <is>
          <t>GOTLANDS LÄN</t>
        </is>
      </c>
      <c r="E793" t="inlineStr">
        <is>
          <t>GOTLAND</t>
        </is>
      </c>
      <c r="G793" t="n">
        <v>4.5</v>
      </c>
      <c r="H793" t="n">
        <v>0</v>
      </c>
      <c r="I793" t="n">
        <v>0</v>
      </c>
      <c r="J793" t="n">
        <v>0</v>
      </c>
      <c r="K793" t="n">
        <v>0</v>
      </c>
      <c r="L793" t="n">
        <v>0</v>
      </c>
      <c r="M793" t="n">
        <v>0</v>
      </c>
      <c r="N793" t="n">
        <v>0</v>
      </c>
      <c r="O793" t="n">
        <v>0</v>
      </c>
      <c r="P793" t="n">
        <v>0</v>
      </c>
      <c r="Q793" t="n">
        <v>0</v>
      </c>
      <c r="R793" s="2" t="inlineStr"/>
    </row>
    <row r="794" ht="15" customHeight="1">
      <c r="A794" t="inlineStr">
        <is>
          <t>A 12210-2024</t>
        </is>
      </c>
      <c r="B794" s="1" t="n">
        <v>45378</v>
      </c>
      <c r="C794" s="1" t="n">
        <v>45635</v>
      </c>
      <c r="D794" t="inlineStr">
        <is>
          <t>GOTLANDS LÄN</t>
        </is>
      </c>
      <c r="E794" t="inlineStr">
        <is>
          <t>GOTLAND</t>
        </is>
      </c>
      <c r="G794" t="n">
        <v>4.1</v>
      </c>
      <c r="H794" t="n">
        <v>0</v>
      </c>
      <c r="I794" t="n">
        <v>0</v>
      </c>
      <c r="J794" t="n">
        <v>0</v>
      </c>
      <c r="K794" t="n">
        <v>0</v>
      </c>
      <c r="L794" t="n">
        <v>0</v>
      </c>
      <c r="M794" t="n">
        <v>0</v>
      </c>
      <c r="N794" t="n">
        <v>0</v>
      </c>
      <c r="O794" t="n">
        <v>0</v>
      </c>
      <c r="P794" t="n">
        <v>0</v>
      </c>
      <c r="Q794" t="n">
        <v>0</v>
      </c>
      <c r="R794" s="2" t="inlineStr"/>
    </row>
    <row r="795" ht="15" customHeight="1">
      <c r="A795" t="inlineStr">
        <is>
          <t>A 12207-2024</t>
        </is>
      </c>
      <c r="B795" s="1" t="n">
        <v>45378</v>
      </c>
      <c r="C795" s="1" t="n">
        <v>45635</v>
      </c>
      <c r="D795" t="inlineStr">
        <is>
          <t>GOTLANDS LÄN</t>
        </is>
      </c>
      <c r="E795" t="inlineStr">
        <is>
          <t>GOTLAND</t>
        </is>
      </c>
      <c r="G795" t="n">
        <v>3.9</v>
      </c>
      <c r="H795" t="n">
        <v>0</v>
      </c>
      <c r="I795" t="n">
        <v>0</v>
      </c>
      <c r="J795" t="n">
        <v>0</v>
      </c>
      <c r="K795" t="n">
        <v>0</v>
      </c>
      <c r="L795" t="n">
        <v>0</v>
      </c>
      <c r="M795" t="n">
        <v>0</v>
      </c>
      <c r="N795" t="n">
        <v>0</v>
      </c>
      <c r="O795" t="n">
        <v>0</v>
      </c>
      <c r="P795" t="n">
        <v>0</v>
      </c>
      <c r="Q795" t="n">
        <v>0</v>
      </c>
      <c r="R795" s="2" t="inlineStr"/>
    </row>
    <row r="796" ht="15" customHeight="1">
      <c r="A796" t="inlineStr">
        <is>
          <t>A 12209-2024</t>
        </is>
      </c>
      <c r="B796" s="1" t="n">
        <v>45378</v>
      </c>
      <c r="C796" s="1" t="n">
        <v>45635</v>
      </c>
      <c r="D796" t="inlineStr">
        <is>
          <t>GOTLANDS LÄN</t>
        </is>
      </c>
      <c r="E796" t="inlineStr">
        <is>
          <t>GOTLAND</t>
        </is>
      </c>
      <c r="G796" t="n">
        <v>5.3</v>
      </c>
      <c r="H796" t="n">
        <v>0</v>
      </c>
      <c r="I796" t="n">
        <v>0</v>
      </c>
      <c r="J796" t="n">
        <v>0</v>
      </c>
      <c r="K796" t="n">
        <v>0</v>
      </c>
      <c r="L796" t="n">
        <v>0</v>
      </c>
      <c r="M796" t="n">
        <v>0</v>
      </c>
      <c r="N796" t="n">
        <v>0</v>
      </c>
      <c r="O796" t="n">
        <v>0</v>
      </c>
      <c r="P796" t="n">
        <v>0</v>
      </c>
      <c r="Q796" t="n">
        <v>0</v>
      </c>
      <c r="R796" s="2" t="inlineStr"/>
    </row>
    <row r="797" ht="15" customHeight="1">
      <c r="A797" t="inlineStr">
        <is>
          <t>A 12312-2024</t>
        </is>
      </c>
      <c r="B797" s="1" t="n">
        <v>45378</v>
      </c>
      <c r="C797" s="1" t="n">
        <v>45635</v>
      </c>
      <c r="D797" t="inlineStr">
        <is>
          <t>GOTLANDS LÄN</t>
        </is>
      </c>
      <c r="E797" t="inlineStr">
        <is>
          <t>GOTLAND</t>
        </is>
      </c>
      <c r="G797" t="n">
        <v>1.8</v>
      </c>
      <c r="H797" t="n">
        <v>0</v>
      </c>
      <c r="I797" t="n">
        <v>0</v>
      </c>
      <c r="J797" t="n">
        <v>0</v>
      </c>
      <c r="K797" t="n">
        <v>0</v>
      </c>
      <c r="L797" t="n">
        <v>0</v>
      </c>
      <c r="M797" t="n">
        <v>0</v>
      </c>
      <c r="N797" t="n">
        <v>0</v>
      </c>
      <c r="O797" t="n">
        <v>0</v>
      </c>
      <c r="P797" t="n">
        <v>0</v>
      </c>
      <c r="Q797" t="n">
        <v>0</v>
      </c>
      <c r="R797" s="2" t="inlineStr"/>
    </row>
    <row r="798" ht="15" customHeight="1">
      <c r="A798" t="inlineStr">
        <is>
          <t>A 12389-2024</t>
        </is>
      </c>
      <c r="B798" s="1" t="n">
        <v>45379</v>
      </c>
      <c r="C798" s="1" t="n">
        <v>45635</v>
      </c>
      <c r="D798" t="inlineStr">
        <is>
          <t>GOTLANDS LÄN</t>
        </is>
      </c>
      <c r="E798" t="inlineStr">
        <is>
          <t>GOTLAND</t>
        </is>
      </c>
      <c r="G798" t="n">
        <v>6.4</v>
      </c>
      <c r="H798" t="n">
        <v>0</v>
      </c>
      <c r="I798" t="n">
        <v>0</v>
      </c>
      <c r="J798" t="n">
        <v>0</v>
      </c>
      <c r="K798" t="n">
        <v>0</v>
      </c>
      <c r="L798" t="n">
        <v>0</v>
      </c>
      <c r="M798" t="n">
        <v>0</v>
      </c>
      <c r="N798" t="n">
        <v>0</v>
      </c>
      <c r="O798" t="n">
        <v>0</v>
      </c>
      <c r="P798" t="n">
        <v>0</v>
      </c>
      <c r="Q798" t="n">
        <v>0</v>
      </c>
      <c r="R798" s="2" t="inlineStr"/>
    </row>
    <row r="799" ht="15" customHeight="1">
      <c r="A799" t="inlineStr">
        <is>
          <t>A 12390-2024</t>
        </is>
      </c>
      <c r="B799" s="1" t="n">
        <v>45379</v>
      </c>
      <c r="C799" s="1" t="n">
        <v>45635</v>
      </c>
      <c r="D799" t="inlineStr">
        <is>
          <t>GOTLANDS LÄN</t>
        </is>
      </c>
      <c r="E799" t="inlineStr">
        <is>
          <t>GOTLAND</t>
        </is>
      </c>
      <c r="G799" t="n">
        <v>5.5</v>
      </c>
      <c r="H799" t="n">
        <v>0</v>
      </c>
      <c r="I799" t="n">
        <v>0</v>
      </c>
      <c r="J799" t="n">
        <v>0</v>
      </c>
      <c r="K799" t="n">
        <v>0</v>
      </c>
      <c r="L799" t="n">
        <v>0</v>
      </c>
      <c r="M799" t="n">
        <v>0</v>
      </c>
      <c r="N799" t="n">
        <v>0</v>
      </c>
      <c r="O799" t="n">
        <v>0</v>
      </c>
      <c r="P799" t="n">
        <v>0</v>
      </c>
      <c r="Q799" t="n">
        <v>0</v>
      </c>
      <c r="R799" s="2" t="inlineStr"/>
    </row>
    <row r="800" ht="15" customHeight="1">
      <c r="A800" t="inlineStr">
        <is>
          <t>A 13531-2024</t>
        </is>
      </c>
      <c r="B800" s="1" t="n">
        <v>45387</v>
      </c>
      <c r="C800" s="1" t="n">
        <v>45635</v>
      </c>
      <c r="D800" t="inlineStr">
        <is>
          <t>GOTLANDS LÄN</t>
        </is>
      </c>
      <c r="E800" t="inlineStr">
        <is>
          <t>GOTLAND</t>
        </is>
      </c>
      <c r="G800" t="n">
        <v>17.7</v>
      </c>
      <c r="H800" t="n">
        <v>0</v>
      </c>
      <c r="I800" t="n">
        <v>0</v>
      </c>
      <c r="J800" t="n">
        <v>0</v>
      </c>
      <c r="K800" t="n">
        <v>0</v>
      </c>
      <c r="L800" t="n">
        <v>0</v>
      </c>
      <c r="M800" t="n">
        <v>0</v>
      </c>
      <c r="N800" t="n">
        <v>0</v>
      </c>
      <c r="O800" t="n">
        <v>0</v>
      </c>
      <c r="P800" t="n">
        <v>0</v>
      </c>
      <c r="Q800" t="n">
        <v>0</v>
      </c>
      <c r="R800" s="2" t="inlineStr"/>
    </row>
    <row r="801" ht="15" customHeight="1">
      <c r="A801" t="inlineStr">
        <is>
          <t>A 13655-2024</t>
        </is>
      </c>
      <c r="B801" s="1" t="n">
        <v>45390</v>
      </c>
      <c r="C801" s="1" t="n">
        <v>45635</v>
      </c>
      <c r="D801" t="inlineStr">
        <is>
          <t>GOTLANDS LÄN</t>
        </is>
      </c>
      <c r="E801" t="inlineStr">
        <is>
          <t>GOTLAND</t>
        </is>
      </c>
      <c r="G801" t="n">
        <v>1.4</v>
      </c>
      <c r="H801" t="n">
        <v>0</v>
      </c>
      <c r="I801" t="n">
        <v>0</v>
      </c>
      <c r="J801" t="n">
        <v>0</v>
      </c>
      <c r="K801" t="n">
        <v>0</v>
      </c>
      <c r="L801" t="n">
        <v>0</v>
      </c>
      <c r="M801" t="n">
        <v>0</v>
      </c>
      <c r="N801" t="n">
        <v>0</v>
      </c>
      <c r="O801" t="n">
        <v>0</v>
      </c>
      <c r="P801" t="n">
        <v>0</v>
      </c>
      <c r="Q801" t="n">
        <v>0</v>
      </c>
      <c r="R801" s="2" t="inlineStr"/>
    </row>
    <row r="802" ht="15" customHeight="1">
      <c r="A802" t="inlineStr">
        <is>
          <t>A 14139-2024</t>
        </is>
      </c>
      <c r="B802" s="1" t="n">
        <v>45392</v>
      </c>
      <c r="C802" s="1" t="n">
        <v>45635</v>
      </c>
      <c r="D802" t="inlineStr">
        <is>
          <t>GOTLANDS LÄN</t>
        </is>
      </c>
      <c r="E802" t="inlineStr">
        <is>
          <t>GOTLAND</t>
        </is>
      </c>
      <c r="G802" t="n">
        <v>3.1</v>
      </c>
      <c r="H802" t="n">
        <v>0</v>
      </c>
      <c r="I802" t="n">
        <v>0</v>
      </c>
      <c r="J802" t="n">
        <v>0</v>
      </c>
      <c r="K802" t="n">
        <v>0</v>
      </c>
      <c r="L802" t="n">
        <v>0</v>
      </c>
      <c r="M802" t="n">
        <v>0</v>
      </c>
      <c r="N802" t="n">
        <v>0</v>
      </c>
      <c r="O802" t="n">
        <v>0</v>
      </c>
      <c r="P802" t="n">
        <v>0</v>
      </c>
      <c r="Q802" t="n">
        <v>0</v>
      </c>
      <c r="R802" s="2" t="inlineStr"/>
    </row>
    <row r="803" ht="15" customHeight="1">
      <c r="A803" t="inlineStr">
        <is>
          <t>A 14141-2024</t>
        </is>
      </c>
      <c r="B803" s="1" t="n">
        <v>45392</v>
      </c>
      <c r="C803" s="1" t="n">
        <v>45635</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14427-2024</t>
        </is>
      </c>
      <c r="B804" s="1" t="n">
        <v>45394</v>
      </c>
      <c r="C804" s="1" t="n">
        <v>45635</v>
      </c>
      <c r="D804" t="inlineStr">
        <is>
          <t>GOTLANDS LÄN</t>
        </is>
      </c>
      <c r="E804" t="inlineStr">
        <is>
          <t>GOTLAND</t>
        </is>
      </c>
      <c r="G804" t="n">
        <v>1.3</v>
      </c>
      <c r="H804" t="n">
        <v>0</v>
      </c>
      <c r="I804" t="n">
        <v>0</v>
      </c>
      <c r="J804" t="n">
        <v>0</v>
      </c>
      <c r="K804" t="n">
        <v>0</v>
      </c>
      <c r="L804" t="n">
        <v>0</v>
      </c>
      <c r="M804" t="n">
        <v>0</v>
      </c>
      <c r="N804" t="n">
        <v>0</v>
      </c>
      <c r="O804" t="n">
        <v>0</v>
      </c>
      <c r="P804" t="n">
        <v>0</v>
      </c>
      <c r="Q804" t="n">
        <v>0</v>
      </c>
      <c r="R804" s="2" t="inlineStr"/>
    </row>
    <row r="805" ht="15" customHeight="1">
      <c r="A805" t="inlineStr">
        <is>
          <t>A 14593-2024</t>
        </is>
      </c>
      <c r="B805" s="1" t="n">
        <v>45395</v>
      </c>
      <c r="C805" s="1" t="n">
        <v>45635</v>
      </c>
      <c r="D805" t="inlineStr">
        <is>
          <t>GOTLANDS LÄN</t>
        </is>
      </c>
      <c r="E805" t="inlineStr">
        <is>
          <t>GOTLAND</t>
        </is>
      </c>
      <c r="G805" t="n">
        <v>5.4</v>
      </c>
      <c r="H805" t="n">
        <v>0</v>
      </c>
      <c r="I805" t="n">
        <v>0</v>
      </c>
      <c r="J805" t="n">
        <v>0</v>
      </c>
      <c r="K805" t="n">
        <v>0</v>
      </c>
      <c r="L805" t="n">
        <v>0</v>
      </c>
      <c r="M805" t="n">
        <v>0</v>
      </c>
      <c r="N805" t="n">
        <v>0</v>
      </c>
      <c r="O805" t="n">
        <v>0</v>
      </c>
      <c r="P805" t="n">
        <v>0</v>
      </c>
      <c r="Q805" t="n">
        <v>0</v>
      </c>
      <c r="R805" s="2" t="inlineStr"/>
    </row>
    <row r="806" ht="15" customHeight="1">
      <c r="A806" t="inlineStr">
        <is>
          <t>A 14797-2024</t>
        </is>
      </c>
      <c r="B806" s="1" t="n">
        <v>45397</v>
      </c>
      <c r="C806" s="1" t="n">
        <v>45635</v>
      </c>
      <c r="D806" t="inlineStr">
        <is>
          <t>GOTLANDS LÄN</t>
        </is>
      </c>
      <c r="E806" t="inlineStr">
        <is>
          <t>GOTLAND</t>
        </is>
      </c>
      <c r="G806" t="n">
        <v>8.1</v>
      </c>
      <c r="H806" t="n">
        <v>0</v>
      </c>
      <c r="I806" t="n">
        <v>0</v>
      </c>
      <c r="J806" t="n">
        <v>0</v>
      </c>
      <c r="K806" t="n">
        <v>0</v>
      </c>
      <c r="L806" t="n">
        <v>0</v>
      </c>
      <c r="M806" t="n">
        <v>0</v>
      </c>
      <c r="N806" t="n">
        <v>0</v>
      </c>
      <c r="O806" t="n">
        <v>0</v>
      </c>
      <c r="P806" t="n">
        <v>0</v>
      </c>
      <c r="Q806" t="n">
        <v>0</v>
      </c>
      <c r="R806" s="2" t="inlineStr"/>
    </row>
    <row r="807" ht="15" customHeight="1">
      <c r="A807" t="inlineStr">
        <is>
          <t>A 15595-2024</t>
        </is>
      </c>
      <c r="B807" s="1" t="n">
        <v>45401</v>
      </c>
      <c r="C807" s="1" t="n">
        <v>45635</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15434-2024</t>
        </is>
      </c>
      <c r="B808" s="1" t="n">
        <v>45401</v>
      </c>
      <c r="C808" s="1" t="n">
        <v>45635</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15885-2024</t>
        </is>
      </c>
      <c r="B809" s="1" t="n">
        <v>45405</v>
      </c>
      <c r="C809" s="1" t="n">
        <v>45635</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16322-2024</t>
        </is>
      </c>
      <c r="B810" s="1" t="n">
        <v>45407</v>
      </c>
      <c r="C810" s="1" t="n">
        <v>45635</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16361-2024</t>
        </is>
      </c>
      <c r="B811" s="1" t="n">
        <v>45407</v>
      </c>
      <c r="C811" s="1" t="n">
        <v>45635</v>
      </c>
      <c r="D811" t="inlineStr">
        <is>
          <t>GOTLANDS LÄN</t>
        </is>
      </c>
      <c r="E811" t="inlineStr">
        <is>
          <t>GOTLAND</t>
        </is>
      </c>
      <c r="G811" t="n">
        <v>6</v>
      </c>
      <c r="H811" t="n">
        <v>0</v>
      </c>
      <c r="I811" t="n">
        <v>0</v>
      </c>
      <c r="J811" t="n">
        <v>0</v>
      </c>
      <c r="K811" t="n">
        <v>0</v>
      </c>
      <c r="L811" t="n">
        <v>0</v>
      </c>
      <c r="M811" t="n">
        <v>0</v>
      </c>
      <c r="N811" t="n">
        <v>0</v>
      </c>
      <c r="O811" t="n">
        <v>0</v>
      </c>
      <c r="P811" t="n">
        <v>0</v>
      </c>
      <c r="Q811" t="n">
        <v>0</v>
      </c>
      <c r="R811" s="2" t="inlineStr"/>
    </row>
    <row r="812" ht="15" customHeight="1">
      <c r="A812" t="inlineStr">
        <is>
          <t>A 16328-2024</t>
        </is>
      </c>
      <c r="B812" s="1" t="n">
        <v>45407</v>
      </c>
      <c r="C812" s="1" t="n">
        <v>45635</v>
      </c>
      <c r="D812" t="inlineStr">
        <is>
          <t>GOTLANDS LÄN</t>
        </is>
      </c>
      <c r="E812" t="inlineStr">
        <is>
          <t>GOTLAND</t>
        </is>
      </c>
      <c r="G812" t="n">
        <v>1.7</v>
      </c>
      <c r="H812" t="n">
        <v>0</v>
      </c>
      <c r="I812" t="n">
        <v>0</v>
      </c>
      <c r="J812" t="n">
        <v>0</v>
      </c>
      <c r="K812" t="n">
        <v>0</v>
      </c>
      <c r="L812" t="n">
        <v>0</v>
      </c>
      <c r="M812" t="n">
        <v>0</v>
      </c>
      <c r="N812" t="n">
        <v>0</v>
      </c>
      <c r="O812" t="n">
        <v>0</v>
      </c>
      <c r="P812" t="n">
        <v>0</v>
      </c>
      <c r="Q812" t="n">
        <v>0</v>
      </c>
      <c r="R812" s="2" t="inlineStr"/>
    </row>
    <row r="813" ht="15" customHeight="1">
      <c r="A813" t="inlineStr">
        <is>
          <t>A 17087-2024</t>
        </is>
      </c>
      <c r="B813" s="1" t="n">
        <v>45412</v>
      </c>
      <c r="C813" s="1" t="n">
        <v>45635</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17089-2024</t>
        </is>
      </c>
      <c r="B814" s="1" t="n">
        <v>45412</v>
      </c>
      <c r="C814" s="1" t="n">
        <v>45635</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17085-2024</t>
        </is>
      </c>
      <c r="B815" s="1" t="n">
        <v>45412</v>
      </c>
      <c r="C815" s="1" t="n">
        <v>45635</v>
      </c>
      <c r="D815" t="inlineStr">
        <is>
          <t>GOTLANDS LÄN</t>
        </is>
      </c>
      <c r="E815" t="inlineStr">
        <is>
          <t>GOTLAND</t>
        </is>
      </c>
      <c r="G815" t="n">
        <v>0.8</v>
      </c>
      <c r="H815" t="n">
        <v>0</v>
      </c>
      <c r="I815" t="n">
        <v>0</v>
      </c>
      <c r="J815" t="n">
        <v>0</v>
      </c>
      <c r="K815" t="n">
        <v>0</v>
      </c>
      <c r="L815" t="n">
        <v>0</v>
      </c>
      <c r="M815" t="n">
        <v>0</v>
      </c>
      <c r="N815" t="n">
        <v>0</v>
      </c>
      <c r="O815" t="n">
        <v>0</v>
      </c>
      <c r="P815" t="n">
        <v>0</v>
      </c>
      <c r="Q815" t="n">
        <v>0</v>
      </c>
      <c r="R815" s="2" t="inlineStr"/>
    </row>
    <row r="816" ht="15" customHeight="1">
      <c r="A816" t="inlineStr">
        <is>
          <t>A 17532-2024</t>
        </is>
      </c>
      <c r="B816" s="1" t="n">
        <v>45415</v>
      </c>
      <c r="C816" s="1" t="n">
        <v>45635</v>
      </c>
      <c r="D816" t="inlineStr">
        <is>
          <t>GOTLANDS LÄN</t>
        </is>
      </c>
      <c r="E816" t="inlineStr">
        <is>
          <t>GOTLAND</t>
        </is>
      </c>
      <c r="G816" t="n">
        <v>4.3</v>
      </c>
      <c r="H816" t="n">
        <v>0</v>
      </c>
      <c r="I816" t="n">
        <v>0</v>
      </c>
      <c r="J816" t="n">
        <v>0</v>
      </c>
      <c r="K816" t="n">
        <v>0</v>
      </c>
      <c r="L816" t="n">
        <v>0</v>
      </c>
      <c r="M816" t="n">
        <v>0</v>
      </c>
      <c r="N816" t="n">
        <v>0</v>
      </c>
      <c r="O816" t="n">
        <v>0</v>
      </c>
      <c r="P816" t="n">
        <v>0</v>
      </c>
      <c r="Q816" t="n">
        <v>0</v>
      </c>
      <c r="R816" s="2" t="inlineStr"/>
    </row>
    <row r="817" ht="15" customHeight="1">
      <c r="A817" t="inlineStr">
        <is>
          <t>A 17541-2024</t>
        </is>
      </c>
      <c r="B817" s="1" t="n">
        <v>45415</v>
      </c>
      <c r="C817" s="1" t="n">
        <v>45635</v>
      </c>
      <c r="D817" t="inlineStr">
        <is>
          <t>GOTLANDS LÄN</t>
        </is>
      </c>
      <c r="E817" t="inlineStr">
        <is>
          <t>GOTLAND</t>
        </is>
      </c>
      <c r="G817" t="n">
        <v>2.6</v>
      </c>
      <c r="H817" t="n">
        <v>0</v>
      </c>
      <c r="I817" t="n">
        <v>0</v>
      </c>
      <c r="J817" t="n">
        <v>0</v>
      </c>
      <c r="K817" t="n">
        <v>0</v>
      </c>
      <c r="L817" t="n">
        <v>0</v>
      </c>
      <c r="M817" t="n">
        <v>0</v>
      </c>
      <c r="N817" t="n">
        <v>0</v>
      </c>
      <c r="O817" t="n">
        <v>0</v>
      </c>
      <c r="P817" t="n">
        <v>0</v>
      </c>
      <c r="Q817" t="n">
        <v>0</v>
      </c>
      <c r="R817" s="2" t="inlineStr"/>
    </row>
    <row r="818" ht="15" customHeight="1">
      <c r="A818" t="inlineStr">
        <is>
          <t>A 17616-2024</t>
        </is>
      </c>
      <c r="B818" s="1" t="n">
        <v>45416</v>
      </c>
      <c r="C818" s="1" t="n">
        <v>45635</v>
      </c>
      <c r="D818" t="inlineStr">
        <is>
          <t>GOTLANDS LÄN</t>
        </is>
      </c>
      <c r="E818" t="inlineStr">
        <is>
          <t>GOTLAND</t>
        </is>
      </c>
      <c r="G818" t="n">
        <v>2.7</v>
      </c>
      <c r="H818" t="n">
        <v>0</v>
      </c>
      <c r="I818" t="n">
        <v>0</v>
      </c>
      <c r="J818" t="n">
        <v>0</v>
      </c>
      <c r="K818" t="n">
        <v>0</v>
      </c>
      <c r="L818" t="n">
        <v>0</v>
      </c>
      <c r="M818" t="n">
        <v>0</v>
      </c>
      <c r="N818" t="n">
        <v>0</v>
      </c>
      <c r="O818" t="n">
        <v>0</v>
      </c>
      <c r="P818" t="n">
        <v>0</v>
      </c>
      <c r="Q818" t="n">
        <v>0</v>
      </c>
      <c r="R818" s="2" t="inlineStr"/>
    </row>
    <row r="819" ht="15" customHeight="1">
      <c r="A819" t="inlineStr">
        <is>
          <t>A 17617-2024</t>
        </is>
      </c>
      <c r="B819" s="1" t="n">
        <v>45416</v>
      </c>
      <c r="C819" s="1" t="n">
        <v>45635</v>
      </c>
      <c r="D819" t="inlineStr">
        <is>
          <t>GOTLANDS LÄN</t>
        </is>
      </c>
      <c r="E819" t="inlineStr">
        <is>
          <t>GOTLAND</t>
        </is>
      </c>
      <c r="G819" t="n">
        <v>1.6</v>
      </c>
      <c r="H819" t="n">
        <v>0</v>
      </c>
      <c r="I819" t="n">
        <v>0</v>
      </c>
      <c r="J819" t="n">
        <v>0</v>
      </c>
      <c r="K819" t="n">
        <v>0</v>
      </c>
      <c r="L819" t="n">
        <v>0</v>
      </c>
      <c r="M819" t="n">
        <v>0</v>
      </c>
      <c r="N819" t="n">
        <v>0</v>
      </c>
      <c r="O819" t="n">
        <v>0</v>
      </c>
      <c r="P819" t="n">
        <v>0</v>
      </c>
      <c r="Q819" t="n">
        <v>0</v>
      </c>
      <c r="R819" s="2" t="inlineStr"/>
    </row>
    <row r="820" ht="15" customHeight="1">
      <c r="A820" t="inlineStr">
        <is>
          <t>A 17688-2024</t>
        </is>
      </c>
      <c r="B820" s="1" t="n">
        <v>45418</v>
      </c>
      <c r="C820" s="1" t="n">
        <v>45635</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17691-2024</t>
        </is>
      </c>
      <c r="B821" s="1" t="n">
        <v>45418</v>
      </c>
      <c r="C821" s="1" t="n">
        <v>45635</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17743-2024</t>
        </is>
      </c>
      <c r="B822" s="1" t="n">
        <v>45418</v>
      </c>
      <c r="C822" s="1" t="n">
        <v>45635</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17786-2024</t>
        </is>
      </c>
      <c r="B823" s="1" t="n">
        <v>45418</v>
      </c>
      <c r="C823" s="1" t="n">
        <v>45635</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17682-2024</t>
        </is>
      </c>
      <c r="B824" s="1" t="n">
        <v>45418</v>
      </c>
      <c r="C824" s="1" t="n">
        <v>45635</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17686-2024</t>
        </is>
      </c>
      <c r="B825" s="1" t="n">
        <v>45418</v>
      </c>
      <c r="C825" s="1" t="n">
        <v>45635</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17724-2024</t>
        </is>
      </c>
      <c r="B826" s="1" t="n">
        <v>45418</v>
      </c>
      <c r="C826" s="1" t="n">
        <v>45635</v>
      </c>
      <c r="D826" t="inlineStr">
        <is>
          <t>GOTLANDS LÄN</t>
        </is>
      </c>
      <c r="E826" t="inlineStr">
        <is>
          <t>GOTLAND</t>
        </is>
      </c>
      <c r="G826" t="n">
        <v>2</v>
      </c>
      <c r="H826" t="n">
        <v>0</v>
      </c>
      <c r="I826" t="n">
        <v>0</v>
      </c>
      <c r="J826" t="n">
        <v>0</v>
      </c>
      <c r="K826" t="n">
        <v>0</v>
      </c>
      <c r="L826" t="n">
        <v>0</v>
      </c>
      <c r="M826" t="n">
        <v>0</v>
      </c>
      <c r="N826" t="n">
        <v>0</v>
      </c>
      <c r="O826" t="n">
        <v>0</v>
      </c>
      <c r="P826" t="n">
        <v>0</v>
      </c>
      <c r="Q826" t="n">
        <v>0</v>
      </c>
      <c r="R826" s="2" t="inlineStr"/>
    </row>
    <row r="827" ht="15" customHeight="1">
      <c r="A827" t="inlineStr">
        <is>
          <t>A 17742-2024</t>
        </is>
      </c>
      <c r="B827" s="1" t="n">
        <v>45418</v>
      </c>
      <c r="C827" s="1" t="n">
        <v>45635</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18056-2024</t>
        </is>
      </c>
      <c r="B828" s="1" t="n">
        <v>45420</v>
      </c>
      <c r="C828" s="1" t="n">
        <v>45635</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18380-2024</t>
        </is>
      </c>
      <c r="B829" s="1" t="n">
        <v>45424</v>
      </c>
      <c r="C829" s="1" t="n">
        <v>45635</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18896-2024</t>
        </is>
      </c>
      <c r="B830" s="1" t="n">
        <v>45427</v>
      </c>
      <c r="C830" s="1" t="n">
        <v>45635</v>
      </c>
      <c r="D830" t="inlineStr">
        <is>
          <t>GOTLANDS LÄN</t>
        </is>
      </c>
      <c r="E830" t="inlineStr">
        <is>
          <t>GOTLAND</t>
        </is>
      </c>
      <c r="G830" t="n">
        <v>5.1</v>
      </c>
      <c r="H830" t="n">
        <v>0</v>
      </c>
      <c r="I830" t="n">
        <v>0</v>
      </c>
      <c r="J830" t="n">
        <v>0</v>
      </c>
      <c r="K830" t="n">
        <v>0</v>
      </c>
      <c r="L830" t="n">
        <v>0</v>
      </c>
      <c r="M830" t="n">
        <v>0</v>
      </c>
      <c r="N830" t="n">
        <v>0</v>
      </c>
      <c r="O830" t="n">
        <v>0</v>
      </c>
      <c r="P830" t="n">
        <v>0</v>
      </c>
      <c r="Q830" t="n">
        <v>0</v>
      </c>
      <c r="R830" s="2" t="inlineStr"/>
    </row>
    <row r="831" ht="15" customHeight="1">
      <c r="A831" t="inlineStr">
        <is>
          <t>A 20290-2024</t>
        </is>
      </c>
      <c r="B831" s="1" t="n">
        <v>45435</v>
      </c>
      <c r="C831" s="1" t="n">
        <v>45635</v>
      </c>
      <c r="D831" t="inlineStr">
        <is>
          <t>GOTLANDS LÄN</t>
        </is>
      </c>
      <c r="E831" t="inlineStr">
        <is>
          <t>GOTLAND</t>
        </is>
      </c>
      <c r="G831" t="n">
        <v>10.9</v>
      </c>
      <c r="H831" t="n">
        <v>0</v>
      </c>
      <c r="I831" t="n">
        <v>0</v>
      </c>
      <c r="J831" t="n">
        <v>0</v>
      </c>
      <c r="K831" t="n">
        <v>0</v>
      </c>
      <c r="L831" t="n">
        <v>0</v>
      </c>
      <c r="M831" t="n">
        <v>0</v>
      </c>
      <c r="N831" t="n">
        <v>0</v>
      </c>
      <c r="O831" t="n">
        <v>0</v>
      </c>
      <c r="P831" t="n">
        <v>0</v>
      </c>
      <c r="Q831" t="n">
        <v>0</v>
      </c>
      <c r="R831" s="2" t="inlineStr"/>
    </row>
    <row r="832" ht="15" customHeight="1">
      <c r="A832" t="inlineStr">
        <is>
          <t>A 20292-2024</t>
        </is>
      </c>
      <c r="B832" s="1" t="n">
        <v>45435</v>
      </c>
      <c r="C832" s="1" t="n">
        <v>45635</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21164-2024</t>
        </is>
      </c>
      <c r="B833" s="1" t="n">
        <v>45440</v>
      </c>
      <c r="C833" s="1" t="n">
        <v>45635</v>
      </c>
      <c r="D833" t="inlineStr">
        <is>
          <t>GOTLANDS LÄN</t>
        </is>
      </c>
      <c r="E833" t="inlineStr">
        <is>
          <t>GOTLAND</t>
        </is>
      </c>
      <c r="G833" t="n">
        <v>6.3</v>
      </c>
      <c r="H833" t="n">
        <v>0</v>
      </c>
      <c r="I833" t="n">
        <v>0</v>
      </c>
      <c r="J833" t="n">
        <v>0</v>
      </c>
      <c r="K833" t="n">
        <v>0</v>
      </c>
      <c r="L833" t="n">
        <v>0</v>
      </c>
      <c r="M833" t="n">
        <v>0</v>
      </c>
      <c r="N833" t="n">
        <v>0</v>
      </c>
      <c r="O833" t="n">
        <v>0</v>
      </c>
      <c r="P833" t="n">
        <v>0</v>
      </c>
      <c r="Q833" t="n">
        <v>0</v>
      </c>
      <c r="R833" s="2" t="inlineStr"/>
    </row>
    <row r="834" ht="15" customHeight="1">
      <c r="A834" t="inlineStr">
        <is>
          <t>A 21154-2024</t>
        </is>
      </c>
      <c r="B834" s="1" t="n">
        <v>45440</v>
      </c>
      <c r="C834" s="1" t="n">
        <v>45635</v>
      </c>
      <c r="D834" t="inlineStr">
        <is>
          <t>GOTLANDS LÄN</t>
        </is>
      </c>
      <c r="E834" t="inlineStr">
        <is>
          <t>GOTLAND</t>
        </is>
      </c>
      <c r="G834" t="n">
        <v>2.4</v>
      </c>
      <c r="H834" t="n">
        <v>0</v>
      </c>
      <c r="I834" t="n">
        <v>0</v>
      </c>
      <c r="J834" t="n">
        <v>0</v>
      </c>
      <c r="K834" t="n">
        <v>0</v>
      </c>
      <c r="L834" t="n">
        <v>0</v>
      </c>
      <c r="M834" t="n">
        <v>0</v>
      </c>
      <c r="N834" t="n">
        <v>0</v>
      </c>
      <c r="O834" t="n">
        <v>0</v>
      </c>
      <c r="P834" t="n">
        <v>0</v>
      </c>
      <c r="Q834" t="n">
        <v>0</v>
      </c>
      <c r="R834" s="2" t="inlineStr"/>
    </row>
    <row r="835" ht="15" customHeight="1">
      <c r="A835" t="inlineStr">
        <is>
          <t>A 21420-2024</t>
        </is>
      </c>
      <c r="B835" s="1" t="n">
        <v>45441</v>
      </c>
      <c r="C835" s="1" t="n">
        <v>45635</v>
      </c>
      <c r="D835" t="inlineStr">
        <is>
          <t>GOTLANDS LÄN</t>
        </is>
      </c>
      <c r="E835" t="inlineStr">
        <is>
          <t>GOTLAND</t>
        </is>
      </c>
      <c r="G835" t="n">
        <v>4.1</v>
      </c>
      <c r="H835" t="n">
        <v>0</v>
      </c>
      <c r="I835" t="n">
        <v>0</v>
      </c>
      <c r="J835" t="n">
        <v>0</v>
      </c>
      <c r="K835" t="n">
        <v>0</v>
      </c>
      <c r="L835" t="n">
        <v>0</v>
      </c>
      <c r="M835" t="n">
        <v>0</v>
      </c>
      <c r="N835" t="n">
        <v>0</v>
      </c>
      <c r="O835" t="n">
        <v>0</v>
      </c>
      <c r="P835" t="n">
        <v>0</v>
      </c>
      <c r="Q835" t="n">
        <v>0</v>
      </c>
      <c r="R835" s="2" t="inlineStr"/>
    </row>
    <row r="836" ht="15" customHeight="1">
      <c r="A836" t="inlineStr">
        <is>
          <t>A 21493-2024</t>
        </is>
      </c>
      <c r="B836" s="1" t="n">
        <v>45441</v>
      </c>
      <c r="C836" s="1" t="n">
        <v>45635</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21500-2024</t>
        </is>
      </c>
      <c r="B837" s="1" t="n">
        <v>45441</v>
      </c>
      <c r="C837" s="1" t="n">
        <v>45635</v>
      </c>
      <c r="D837" t="inlineStr">
        <is>
          <t>GOTLANDS LÄN</t>
        </is>
      </c>
      <c r="E837" t="inlineStr">
        <is>
          <t>GOTLAND</t>
        </is>
      </c>
      <c r="G837" t="n">
        <v>0.9</v>
      </c>
      <c r="H837" t="n">
        <v>0</v>
      </c>
      <c r="I837" t="n">
        <v>0</v>
      </c>
      <c r="J837" t="n">
        <v>0</v>
      </c>
      <c r="K837" t="n">
        <v>0</v>
      </c>
      <c r="L837" t="n">
        <v>0</v>
      </c>
      <c r="M837" t="n">
        <v>0</v>
      </c>
      <c r="N837" t="n">
        <v>0</v>
      </c>
      <c r="O837" t="n">
        <v>0</v>
      </c>
      <c r="P837" t="n">
        <v>0</v>
      </c>
      <c r="Q837" t="n">
        <v>0</v>
      </c>
      <c r="R837" s="2" t="inlineStr"/>
    </row>
    <row r="838" ht="15" customHeight="1">
      <c r="A838" t="inlineStr">
        <is>
          <t>A 21817-2024</t>
        </is>
      </c>
      <c r="B838" s="1" t="n">
        <v>45442</v>
      </c>
      <c r="C838" s="1" t="n">
        <v>45635</v>
      </c>
      <c r="D838" t="inlineStr">
        <is>
          <t>GOTLANDS LÄN</t>
        </is>
      </c>
      <c r="E838" t="inlineStr">
        <is>
          <t>GOTLAND</t>
        </is>
      </c>
      <c r="G838" t="n">
        <v>3.7</v>
      </c>
      <c r="H838" t="n">
        <v>0</v>
      </c>
      <c r="I838" t="n">
        <v>0</v>
      </c>
      <c r="J838" t="n">
        <v>0</v>
      </c>
      <c r="K838" t="n">
        <v>0</v>
      </c>
      <c r="L838" t="n">
        <v>0</v>
      </c>
      <c r="M838" t="n">
        <v>0</v>
      </c>
      <c r="N838" t="n">
        <v>0</v>
      </c>
      <c r="O838" t="n">
        <v>0</v>
      </c>
      <c r="P838" t="n">
        <v>0</v>
      </c>
      <c r="Q838" t="n">
        <v>0</v>
      </c>
      <c r="R838" s="2" t="inlineStr"/>
    </row>
    <row r="839" ht="15" customHeight="1">
      <c r="A839" t="inlineStr">
        <is>
          <t>A 21792-2024</t>
        </is>
      </c>
      <c r="B839" s="1" t="n">
        <v>45442</v>
      </c>
      <c r="C839" s="1" t="n">
        <v>45635</v>
      </c>
      <c r="D839" t="inlineStr">
        <is>
          <t>GOTLANDS LÄN</t>
        </is>
      </c>
      <c r="E839" t="inlineStr">
        <is>
          <t>GOTLAND</t>
        </is>
      </c>
      <c r="G839" t="n">
        <v>1</v>
      </c>
      <c r="H839" t="n">
        <v>0</v>
      </c>
      <c r="I839" t="n">
        <v>0</v>
      </c>
      <c r="J839" t="n">
        <v>0</v>
      </c>
      <c r="K839" t="n">
        <v>0</v>
      </c>
      <c r="L839" t="n">
        <v>0</v>
      </c>
      <c r="M839" t="n">
        <v>0</v>
      </c>
      <c r="N839" t="n">
        <v>0</v>
      </c>
      <c r="O839" t="n">
        <v>0</v>
      </c>
      <c r="P839" t="n">
        <v>0</v>
      </c>
      <c r="Q839" t="n">
        <v>0</v>
      </c>
      <c r="R839" s="2" t="inlineStr"/>
    </row>
    <row r="840" ht="15" customHeight="1">
      <c r="A840" t="inlineStr">
        <is>
          <t>A 22031-2024</t>
        </is>
      </c>
      <c r="B840" s="1" t="n">
        <v>45443</v>
      </c>
      <c r="C840" s="1" t="n">
        <v>45635</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22860-2024</t>
        </is>
      </c>
      <c r="B841" s="1" t="n">
        <v>45448</v>
      </c>
      <c r="C841" s="1" t="n">
        <v>45635</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22851-2024</t>
        </is>
      </c>
      <c r="B842" s="1" t="n">
        <v>45448</v>
      </c>
      <c r="C842" s="1" t="n">
        <v>45635</v>
      </c>
      <c r="D842" t="inlineStr">
        <is>
          <t>GOTLANDS LÄN</t>
        </is>
      </c>
      <c r="E842" t="inlineStr">
        <is>
          <t>GOTLAND</t>
        </is>
      </c>
      <c r="G842" t="n">
        <v>5.2</v>
      </c>
      <c r="H842" t="n">
        <v>0</v>
      </c>
      <c r="I842" t="n">
        <v>0</v>
      </c>
      <c r="J842" t="n">
        <v>0</v>
      </c>
      <c r="K842" t="n">
        <v>0</v>
      </c>
      <c r="L842" t="n">
        <v>0</v>
      </c>
      <c r="M842" t="n">
        <v>0</v>
      </c>
      <c r="N842" t="n">
        <v>0</v>
      </c>
      <c r="O842" t="n">
        <v>0</v>
      </c>
      <c r="P842" t="n">
        <v>0</v>
      </c>
      <c r="Q842" t="n">
        <v>0</v>
      </c>
      <c r="R842" s="2" t="inlineStr"/>
    </row>
    <row r="843" ht="15" customHeight="1">
      <c r="A843" t="inlineStr">
        <is>
          <t>A 22883-2024</t>
        </is>
      </c>
      <c r="B843" s="1" t="n">
        <v>45448</v>
      </c>
      <c r="C843" s="1" t="n">
        <v>45635</v>
      </c>
      <c r="D843" t="inlineStr">
        <is>
          <t>GOTLANDS LÄN</t>
        </is>
      </c>
      <c r="E843" t="inlineStr">
        <is>
          <t>GOTLAND</t>
        </is>
      </c>
      <c r="G843" t="n">
        <v>0.5</v>
      </c>
      <c r="H843" t="n">
        <v>0</v>
      </c>
      <c r="I843" t="n">
        <v>0</v>
      </c>
      <c r="J843" t="n">
        <v>0</v>
      </c>
      <c r="K843" t="n">
        <v>0</v>
      </c>
      <c r="L843" t="n">
        <v>0</v>
      </c>
      <c r="M843" t="n">
        <v>0</v>
      </c>
      <c r="N843" t="n">
        <v>0</v>
      </c>
      <c r="O843" t="n">
        <v>0</v>
      </c>
      <c r="P843" t="n">
        <v>0</v>
      </c>
      <c r="Q843" t="n">
        <v>0</v>
      </c>
      <c r="R843" s="2" t="inlineStr"/>
    </row>
    <row r="844" ht="15" customHeight="1">
      <c r="A844" t="inlineStr">
        <is>
          <t>A 23518-2024</t>
        </is>
      </c>
      <c r="B844" s="1" t="n">
        <v>45453</v>
      </c>
      <c r="C844" s="1" t="n">
        <v>45635</v>
      </c>
      <c r="D844" t="inlineStr">
        <is>
          <t>GOTLANDS LÄN</t>
        </is>
      </c>
      <c r="E844" t="inlineStr">
        <is>
          <t>GOTLAND</t>
        </is>
      </c>
      <c r="G844" t="n">
        <v>1.9</v>
      </c>
      <c r="H844" t="n">
        <v>0</v>
      </c>
      <c r="I844" t="n">
        <v>0</v>
      </c>
      <c r="J844" t="n">
        <v>0</v>
      </c>
      <c r="K844" t="n">
        <v>0</v>
      </c>
      <c r="L844" t="n">
        <v>0</v>
      </c>
      <c r="M844" t="n">
        <v>0</v>
      </c>
      <c r="N844" t="n">
        <v>0</v>
      </c>
      <c r="O844" t="n">
        <v>0</v>
      </c>
      <c r="P844" t="n">
        <v>0</v>
      </c>
      <c r="Q844" t="n">
        <v>0</v>
      </c>
      <c r="R844" s="2" t="inlineStr"/>
    </row>
    <row r="845" ht="15" customHeight="1">
      <c r="A845" t="inlineStr">
        <is>
          <t>A 23658-2024</t>
        </is>
      </c>
      <c r="B845" s="1" t="n">
        <v>45454</v>
      </c>
      <c r="C845" s="1" t="n">
        <v>45635</v>
      </c>
      <c r="D845" t="inlineStr">
        <is>
          <t>GOTLANDS LÄN</t>
        </is>
      </c>
      <c r="E845" t="inlineStr">
        <is>
          <t>GOTLAND</t>
        </is>
      </c>
      <c r="G845" t="n">
        <v>4.8</v>
      </c>
      <c r="H845" t="n">
        <v>0</v>
      </c>
      <c r="I845" t="n">
        <v>0</v>
      </c>
      <c r="J845" t="n">
        <v>0</v>
      </c>
      <c r="K845" t="n">
        <v>0</v>
      </c>
      <c r="L845" t="n">
        <v>0</v>
      </c>
      <c r="M845" t="n">
        <v>0</v>
      </c>
      <c r="N845" t="n">
        <v>0</v>
      </c>
      <c r="O845" t="n">
        <v>0</v>
      </c>
      <c r="P845" t="n">
        <v>0</v>
      </c>
      <c r="Q845" t="n">
        <v>0</v>
      </c>
      <c r="R845" s="2" t="inlineStr"/>
    </row>
    <row r="846" ht="15" customHeight="1">
      <c r="A846" t="inlineStr">
        <is>
          <t>A 23617-2024</t>
        </is>
      </c>
      <c r="B846" s="1" t="n">
        <v>45454</v>
      </c>
      <c r="C846" s="1" t="n">
        <v>45635</v>
      </c>
      <c r="D846" t="inlineStr">
        <is>
          <t>GOTLANDS LÄN</t>
        </is>
      </c>
      <c r="E846" t="inlineStr">
        <is>
          <t>GOTLAND</t>
        </is>
      </c>
      <c r="G846" t="n">
        <v>2</v>
      </c>
      <c r="H846" t="n">
        <v>0</v>
      </c>
      <c r="I846" t="n">
        <v>0</v>
      </c>
      <c r="J846" t="n">
        <v>0</v>
      </c>
      <c r="K846" t="n">
        <v>0</v>
      </c>
      <c r="L846" t="n">
        <v>0</v>
      </c>
      <c r="M846" t="n">
        <v>0</v>
      </c>
      <c r="N846" t="n">
        <v>0</v>
      </c>
      <c r="O846" t="n">
        <v>0</v>
      </c>
      <c r="P846" t="n">
        <v>0</v>
      </c>
      <c r="Q846" t="n">
        <v>0</v>
      </c>
      <c r="R846" s="2" t="inlineStr"/>
    </row>
    <row r="847" ht="15" customHeight="1">
      <c r="A847" t="inlineStr">
        <is>
          <t>A 24358-2024</t>
        </is>
      </c>
      <c r="B847" s="1" t="n">
        <v>45457</v>
      </c>
      <c r="C847" s="1" t="n">
        <v>45635</v>
      </c>
      <c r="D847" t="inlineStr">
        <is>
          <t>GOTLANDS LÄN</t>
        </is>
      </c>
      <c r="E847" t="inlineStr">
        <is>
          <t>GOTLAND</t>
        </is>
      </c>
      <c r="G847" t="n">
        <v>1.1</v>
      </c>
      <c r="H847" t="n">
        <v>0</v>
      </c>
      <c r="I847" t="n">
        <v>0</v>
      </c>
      <c r="J847" t="n">
        <v>0</v>
      </c>
      <c r="K847" t="n">
        <v>0</v>
      </c>
      <c r="L847" t="n">
        <v>0</v>
      </c>
      <c r="M847" t="n">
        <v>0</v>
      </c>
      <c r="N847" t="n">
        <v>0</v>
      </c>
      <c r="O847" t="n">
        <v>0</v>
      </c>
      <c r="P847" t="n">
        <v>0</v>
      </c>
      <c r="Q847" t="n">
        <v>0</v>
      </c>
      <c r="R847" s="2" t="inlineStr"/>
    </row>
    <row r="848" ht="15" customHeight="1">
      <c r="A848" t="inlineStr">
        <is>
          <t>A 24746-2024</t>
        </is>
      </c>
      <c r="B848" s="1" t="n">
        <v>45460</v>
      </c>
      <c r="C848" s="1" t="n">
        <v>45635</v>
      </c>
      <c r="D848" t="inlineStr">
        <is>
          <t>GOTLANDS LÄN</t>
        </is>
      </c>
      <c r="E848" t="inlineStr">
        <is>
          <t>GOTLAND</t>
        </is>
      </c>
      <c r="G848" t="n">
        <v>1.4</v>
      </c>
      <c r="H848" t="n">
        <v>0</v>
      </c>
      <c r="I848" t="n">
        <v>0</v>
      </c>
      <c r="J848" t="n">
        <v>0</v>
      </c>
      <c r="K848" t="n">
        <v>0</v>
      </c>
      <c r="L848" t="n">
        <v>0</v>
      </c>
      <c r="M848" t="n">
        <v>0</v>
      </c>
      <c r="N848" t="n">
        <v>0</v>
      </c>
      <c r="O848" t="n">
        <v>0</v>
      </c>
      <c r="P848" t="n">
        <v>0</v>
      </c>
      <c r="Q848" t="n">
        <v>0</v>
      </c>
      <c r="R848" s="2" t="inlineStr"/>
    </row>
    <row r="849" ht="15" customHeight="1">
      <c r="A849" t="inlineStr">
        <is>
          <t>A 24825-2024</t>
        </is>
      </c>
      <c r="B849" s="1" t="n">
        <v>45461</v>
      </c>
      <c r="C849" s="1" t="n">
        <v>45635</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25463-2024</t>
        </is>
      </c>
      <c r="B850" s="1" t="n">
        <v>45463</v>
      </c>
      <c r="C850" s="1" t="n">
        <v>45635</v>
      </c>
      <c r="D850" t="inlineStr">
        <is>
          <t>GOTLANDS LÄN</t>
        </is>
      </c>
      <c r="E850" t="inlineStr">
        <is>
          <t>GOTLAND</t>
        </is>
      </c>
      <c r="G850" t="n">
        <v>17.3</v>
      </c>
      <c r="H850" t="n">
        <v>0</v>
      </c>
      <c r="I850" t="n">
        <v>0</v>
      </c>
      <c r="J850" t="n">
        <v>0</v>
      </c>
      <c r="K850" t="n">
        <v>0</v>
      </c>
      <c r="L850" t="n">
        <v>0</v>
      </c>
      <c r="M850" t="n">
        <v>0</v>
      </c>
      <c r="N850" t="n">
        <v>0</v>
      </c>
      <c r="O850" t="n">
        <v>0</v>
      </c>
      <c r="P850" t="n">
        <v>0</v>
      </c>
      <c r="Q850" t="n">
        <v>0</v>
      </c>
      <c r="R850" s="2" t="inlineStr"/>
    </row>
    <row r="851" ht="15" customHeight="1">
      <c r="A851" t="inlineStr">
        <is>
          <t>A 25739-2024</t>
        </is>
      </c>
      <c r="B851" s="1" t="n">
        <v>45465</v>
      </c>
      <c r="C851" s="1" t="n">
        <v>45635</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25740-2024</t>
        </is>
      </c>
      <c r="B852" s="1" t="n">
        <v>45465</v>
      </c>
      <c r="C852" s="1" t="n">
        <v>45635</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26221-2024</t>
        </is>
      </c>
      <c r="B853" s="1" t="n">
        <v>45468</v>
      </c>
      <c r="C853" s="1" t="n">
        <v>45635</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26194-2024</t>
        </is>
      </c>
      <c r="B854" s="1" t="n">
        <v>45468</v>
      </c>
      <c r="C854" s="1" t="n">
        <v>45635</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26206-2024</t>
        </is>
      </c>
      <c r="B855" s="1" t="n">
        <v>45468</v>
      </c>
      <c r="C855" s="1" t="n">
        <v>45635</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26110-2024</t>
        </is>
      </c>
      <c r="B856" s="1" t="n">
        <v>45468</v>
      </c>
      <c r="C856" s="1" t="n">
        <v>45635</v>
      </c>
      <c r="D856" t="inlineStr">
        <is>
          <t>GOTLANDS LÄN</t>
        </is>
      </c>
      <c r="E856" t="inlineStr">
        <is>
          <t>GOTLAND</t>
        </is>
      </c>
      <c r="G856" t="n">
        <v>6.6</v>
      </c>
      <c r="H856" t="n">
        <v>0</v>
      </c>
      <c r="I856" t="n">
        <v>0</v>
      </c>
      <c r="J856" t="n">
        <v>0</v>
      </c>
      <c r="K856" t="n">
        <v>0</v>
      </c>
      <c r="L856" t="n">
        <v>0</v>
      </c>
      <c r="M856" t="n">
        <v>0</v>
      </c>
      <c r="N856" t="n">
        <v>0</v>
      </c>
      <c r="O856" t="n">
        <v>0</v>
      </c>
      <c r="P856" t="n">
        <v>0</v>
      </c>
      <c r="Q856" t="n">
        <v>0</v>
      </c>
      <c r="R856" s="2" t="inlineStr"/>
    </row>
    <row r="857" ht="15" customHeight="1">
      <c r="A857" t="inlineStr">
        <is>
          <t>A 26891-2024</t>
        </is>
      </c>
      <c r="B857" s="1" t="n">
        <v>45470</v>
      </c>
      <c r="C857" s="1" t="n">
        <v>45635</v>
      </c>
      <c r="D857" t="inlineStr">
        <is>
          <t>GOTLANDS LÄN</t>
        </is>
      </c>
      <c r="E857" t="inlineStr">
        <is>
          <t>GOTLAND</t>
        </is>
      </c>
      <c r="G857" t="n">
        <v>0.8</v>
      </c>
      <c r="H857" t="n">
        <v>0</v>
      </c>
      <c r="I857" t="n">
        <v>0</v>
      </c>
      <c r="J857" t="n">
        <v>0</v>
      </c>
      <c r="K857" t="n">
        <v>0</v>
      </c>
      <c r="L857" t="n">
        <v>0</v>
      </c>
      <c r="M857" t="n">
        <v>0</v>
      </c>
      <c r="N857" t="n">
        <v>0</v>
      </c>
      <c r="O857" t="n">
        <v>0</v>
      </c>
      <c r="P857" t="n">
        <v>0</v>
      </c>
      <c r="Q857" t="n">
        <v>0</v>
      </c>
      <c r="R857" s="2" t="inlineStr"/>
    </row>
    <row r="858" ht="15" customHeight="1">
      <c r="A858" t="inlineStr">
        <is>
          <t>A 27850-2024</t>
        </is>
      </c>
      <c r="B858" s="1" t="n">
        <v>45475</v>
      </c>
      <c r="C858" s="1" t="n">
        <v>45635</v>
      </c>
      <c r="D858" t="inlineStr">
        <is>
          <t>GOTLANDS LÄN</t>
        </is>
      </c>
      <c r="E858" t="inlineStr">
        <is>
          <t>GOTLAND</t>
        </is>
      </c>
      <c r="G858" t="n">
        <v>4.1</v>
      </c>
      <c r="H858" t="n">
        <v>0</v>
      </c>
      <c r="I858" t="n">
        <v>0</v>
      </c>
      <c r="J858" t="n">
        <v>0</v>
      </c>
      <c r="K858" t="n">
        <v>0</v>
      </c>
      <c r="L858" t="n">
        <v>0</v>
      </c>
      <c r="M858" t="n">
        <v>0</v>
      </c>
      <c r="N858" t="n">
        <v>0</v>
      </c>
      <c r="O858" t="n">
        <v>0</v>
      </c>
      <c r="P858" t="n">
        <v>0</v>
      </c>
      <c r="Q858" t="n">
        <v>0</v>
      </c>
      <c r="R858" s="2" t="inlineStr"/>
    </row>
    <row r="859" ht="15" customHeight="1">
      <c r="A859" t="inlineStr">
        <is>
          <t>A 27694-2024</t>
        </is>
      </c>
      <c r="B859" s="1" t="n">
        <v>45475</v>
      </c>
      <c r="C859" s="1" t="n">
        <v>45635</v>
      </c>
      <c r="D859" t="inlineStr">
        <is>
          <t>GOTLANDS LÄN</t>
        </is>
      </c>
      <c r="E859" t="inlineStr">
        <is>
          <t>GOTLAND</t>
        </is>
      </c>
      <c r="G859" t="n">
        <v>1.2</v>
      </c>
      <c r="H859" t="n">
        <v>0</v>
      </c>
      <c r="I859" t="n">
        <v>0</v>
      </c>
      <c r="J859" t="n">
        <v>0</v>
      </c>
      <c r="K859" t="n">
        <v>0</v>
      </c>
      <c r="L859" t="n">
        <v>0</v>
      </c>
      <c r="M859" t="n">
        <v>0</v>
      </c>
      <c r="N859" t="n">
        <v>0</v>
      </c>
      <c r="O859" t="n">
        <v>0</v>
      </c>
      <c r="P859" t="n">
        <v>0</v>
      </c>
      <c r="Q859" t="n">
        <v>0</v>
      </c>
      <c r="R859" s="2" t="inlineStr"/>
    </row>
    <row r="860" ht="15" customHeight="1">
      <c r="A860" t="inlineStr">
        <is>
          <t>A 27696-2024</t>
        </is>
      </c>
      <c r="B860" s="1" t="n">
        <v>45475</v>
      </c>
      <c r="C860" s="1" t="n">
        <v>45635</v>
      </c>
      <c r="D860" t="inlineStr">
        <is>
          <t>GOTLANDS LÄN</t>
        </is>
      </c>
      <c r="E860" t="inlineStr">
        <is>
          <t>GOTLAND</t>
        </is>
      </c>
      <c r="G860" t="n">
        <v>2.1</v>
      </c>
      <c r="H860" t="n">
        <v>0</v>
      </c>
      <c r="I860" t="n">
        <v>0</v>
      </c>
      <c r="J860" t="n">
        <v>0</v>
      </c>
      <c r="K860" t="n">
        <v>0</v>
      </c>
      <c r="L860" t="n">
        <v>0</v>
      </c>
      <c r="M860" t="n">
        <v>0</v>
      </c>
      <c r="N860" t="n">
        <v>0</v>
      </c>
      <c r="O860" t="n">
        <v>0</v>
      </c>
      <c r="P860" t="n">
        <v>0</v>
      </c>
      <c r="Q860" t="n">
        <v>0</v>
      </c>
      <c r="R860" s="2" t="inlineStr"/>
    </row>
    <row r="861" ht="15" customHeight="1">
      <c r="A861" t="inlineStr">
        <is>
          <t>A 28285-2024</t>
        </is>
      </c>
      <c r="B861" s="1" t="n">
        <v>45477</v>
      </c>
      <c r="C861" s="1" t="n">
        <v>45635</v>
      </c>
      <c r="D861" t="inlineStr">
        <is>
          <t>GOTLANDS LÄN</t>
        </is>
      </c>
      <c r="E861" t="inlineStr">
        <is>
          <t>GOTLAND</t>
        </is>
      </c>
      <c r="G861" t="n">
        <v>1.6</v>
      </c>
      <c r="H861" t="n">
        <v>0</v>
      </c>
      <c r="I861" t="n">
        <v>0</v>
      </c>
      <c r="J861" t="n">
        <v>0</v>
      </c>
      <c r="K861" t="n">
        <v>0</v>
      </c>
      <c r="L861" t="n">
        <v>0</v>
      </c>
      <c r="M861" t="n">
        <v>0</v>
      </c>
      <c r="N861" t="n">
        <v>0</v>
      </c>
      <c r="O861" t="n">
        <v>0</v>
      </c>
      <c r="P861" t="n">
        <v>0</v>
      </c>
      <c r="Q861" t="n">
        <v>0</v>
      </c>
      <c r="R861" s="2" t="inlineStr"/>
    </row>
    <row r="862" ht="15" customHeight="1">
      <c r="A862" t="inlineStr">
        <is>
          <t>A 28309-2024</t>
        </is>
      </c>
      <c r="B862" s="1" t="n">
        <v>45477</v>
      </c>
      <c r="C862" s="1" t="n">
        <v>45635</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28328-2024</t>
        </is>
      </c>
      <c r="B863" s="1" t="n">
        <v>45477</v>
      </c>
      <c r="C863" s="1" t="n">
        <v>45635</v>
      </c>
      <c r="D863" t="inlineStr">
        <is>
          <t>GOTLANDS LÄN</t>
        </is>
      </c>
      <c r="E863" t="inlineStr">
        <is>
          <t>GOTLAND</t>
        </is>
      </c>
      <c r="G863" t="n">
        <v>1.7</v>
      </c>
      <c r="H863" t="n">
        <v>0</v>
      </c>
      <c r="I863" t="n">
        <v>0</v>
      </c>
      <c r="J863" t="n">
        <v>0</v>
      </c>
      <c r="K863" t="n">
        <v>0</v>
      </c>
      <c r="L863" t="n">
        <v>0</v>
      </c>
      <c r="M863" t="n">
        <v>0</v>
      </c>
      <c r="N863" t="n">
        <v>0</v>
      </c>
      <c r="O863" t="n">
        <v>0</v>
      </c>
      <c r="P863" t="n">
        <v>0</v>
      </c>
      <c r="Q863" t="n">
        <v>0</v>
      </c>
      <c r="R863" s="2" t="inlineStr"/>
    </row>
    <row r="864" ht="15" customHeight="1">
      <c r="A864" t="inlineStr">
        <is>
          <t>A 30365-2024</t>
        </is>
      </c>
      <c r="B864" s="1" t="n">
        <v>45491</v>
      </c>
      <c r="C864" s="1" t="n">
        <v>45635</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30595-2024</t>
        </is>
      </c>
      <c r="B865" s="1" t="n">
        <v>45493</v>
      </c>
      <c r="C865" s="1" t="n">
        <v>45635</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30596-2024</t>
        </is>
      </c>
      <c r="B866" s="1" t="n">
        <v>45493</v>
      </c>
      <c r="C866" s="1" t="n">
        <v>45635</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30597-2024</t>
        </is>
      </c>
      <c r="B867" s="1" t="n">
        <v>45493</v>
      </c>
      <c r="C867" s="1" t="n">
        <v>45635</v>
      </c>
      <c r="D867" t="inlineStr">
        <is>
          <t>GOTLANDS LÄN</t>
        </is>
      </c>
      <c r="E867" t="inlineStr">
        <is>
          <t>GOTLAND</t>
        </is>
      </c>
      <c r="G867" t="n">
        <v>1.9</v>
      </c>
      <c r="H867" t="n">
        <v>0</v>
      </c>
      <c r="I867" t="n">
        <v>0</v>
      </c>
      <c r="J867" t="n">
        <v>0</v>
      </c>
      <c r="K867" t="n">
        <v>0</v>
      </c>
      <c r="L867" t="n">
        <v>0</v>
      </c>
      <c r="M867" t="n">
        <v>0</v>
      </c>
      <c r="N867" t="n">
        <v>0</v>
      </c>
      <c r="O867" t="n">
        <v>0</v>
      </c>
      <c r="P867" t="n">
        <v>0</v>
      </c>
      <c r="Q867" t="n">
        <v>0</v>
      </c>
      <c r="R867" s="2" t="inlineStr"/>
    </row>
    <row r="868" ht="15" customHeight="1">
      <c r="A868" t="inlineStr">
        <is>
          <t>A 30956-2024</t>
        </is>
      </c>
      <c r="B868" s="1" t="n">
        <v>45499</v>
      </c>
      <c r="C868" s="1" t="n">
        <v>45635</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30954-2024</t>
        </is>
      </c>
      <c r="B869" s="1" t="n">
        <v>45499</v>
      </c>
      <c r="C869" s="1" t="n">
        <v>45635</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31352-2024</t>
        </is>
      </c>
      <c r="B870" s="1" t="n">
        <v>45505</v>
      </c>
      <c r="C870" s="1" t="n">
        <v>45635</v>
      </c>
      <c r="D870" t="inlineStr">
        <is>
          <t>GOTLANDS LÄN</t>
        </is>
      </c>
      <c r="E870" t="inlineStr">
        <is>
          <t>GOTLAND</t>
        </is>
      </c>
      <c r="G870" t="n">
        <v>5.4</v>
      </c>
      <c r="H870" t="n">
        <v>0</v>
      </c>
      <c r="I870" t="n">
        <v>0</v>
      </c>
      <c r="J870" t="n">
        <v>0</v>
      </c>
      <c r="K870" t="n">
        <v>0</v>
      </c>
      <c r="L870" t="n">
        <v>0</v>
      </c>
      <c r="M870" t="n">
        <v>0</v>
      </c>
      <c r="N870" t="n">
        <v>0</v>
      </c>
      <c r="O870" t="n">
        <v>0</v>
      </c>
      <c r="P870" t="n">
        <v>0</v>
      </c>
      <c r="Q870" t="n">
        <v>0</v>
      </c>
      <c r="R870" s="2" t="inlineStr"/>
    </row>
    <row r="871" ht="15" customHeight="1">
      <c r="A871" t="inlineStr">
        <is>
          <t>A 31401-2024</t>
        </is>
      </c>
      <c r="B871" s="1" t="n">
        <v>45505</v>
      </c>
      <c r="C871" s="1" t="n">
        <v>45635</v>
      </c>
      <c r="D871" t="inlineStr">
        <is>
          <t>GOTLANDS LÄN</t>
        </is>
      </c>
      <c r="E871" t="inlineStr">
        <is>
          <t>GOTLAND</t>
        </is>
      </c>
      <c r="G871" t="n">
        <v>4.9</v>
      </c>
      <c r="H871" t="n">
        <v>0</v>
      </c>
      <c r="I871" t="n">
        <v>0</v>
      </c>
      <c r="J871" t="n">
        <v>0</v>
      </c>
      <c r="K871" t="n">
        <v>0</v>
      </c>
      <c r="L871" t="n">
        <v>0</v>
      </c>
      <c r="M871" t="n">
        <v>0</v>
      </c>
      <c r="N871" t="n">
        <v>0</v>
      </c>
      <c r="O871" t="n">
        <v>0</v>
      </c>
      <c r="P871" t="n">
        <v>0</v>
      </c>
      <c r="Q871" t="n">
        <v>0</v>
      </c>
      <c r="R871" s="2" t="inlineStr"/>
    </row>
    <row r="872" ht="15" customHeight="1">
      <c r="A872" t="inlineStr">
        <is>
          <t>A 31802-2024</t>
        </is>
      </c>
      <c r="B872" s="1" t="n">
        <v>45509</v>
      </c>
      <c r="C872" s="1" t="n">
        <v>45635</v>
      </c>
      <c r="D872" t="inlineStr">
        <is>
          <t>GOTLANDS LÄN</t>
        </is>
      </c>
      <c r="E872" t="inlineStr">
        <is>
          <t>GOTLAND</t>
        </is>
      </c>
      <c r="G872" t="n">
        <v>2.8</v>
      </c>
      <c r="H872" t="n">
        <v>0</v>
      </c>
      <c r="I872" t="n">
        <v>0</v>
      </c>
      <c r="J872" t="n">
        <v>0</v>
      </c>
      <c r="K872" t="n">
        <v>0</v>
      </c>
      <c r="L872" t="n">
        <v>0</v>
      </c>
      <c r="M872" t="n">
        <v>0</v>
      </c>
      <c r="N872" t="n">
        <v>0</v>
      </c>
      <c r="O872" t="n">
        <v>0</v>
      </c>
      <c r="P872" t="n">
        <v>0</v>
      </c>
      <c r="Q872" t="n">
        <v>0</v>
      </c>
      <c r="R872" s="2" t="inlineStr"/>
    </row>
    <row r="873" ht="15" customHeight="1">
      <c r="A873" t="inlineStr">
        <is>
          <t>A 32322-2024</t>
        </is>
      </c>
      <c r="B873" s="1" t="n">
        <v>45512</v>
      </c>
      <c r="C873" s="1" t="n">
        <v>45635</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32330-2024</t>
        </is>
      </c>
      <c r="B874" s="1" t="n">
        <v>45512</v>
      </c>
      <c r="C874" s="1" t="n">
        <v>45635</v>
      </c>
      <c r="D874" t="inlineStr">
        <is>
          <t>GOTLANDS LÄN</t>
        </is>
      </c>
      <c r="E874" t="inlineStr">
        <is>
          <t>GOTLAND</t>
        </is>
      </c>
      <c r="G874" t="n">
        <v>2.6</v>
      </c>
      <c r="H874" t="n">
        <v>0</v>
      </c>
      <c r="I874" t="n">
        <v>0</v>
      </c>
      <c r="J874" t="n">
        <v>0</v>
      </c>
      <c r="K874" t="n">
        <v>0</v>
      </c>
      <c r="L874" t="n">
        <v>0</v>
      </c>
      <c r="M874" t="n">
        <v>0</v>
      </c>
      <c r="N874" t="n">
        <v>0</v>
      </c>
      <c r="O874" t="n">
        <v>0</v>
      </c>
      <c r="P874" t="n">
        <v>0</v>
      </c>
      <c r="Q874" t="n">
        <v>0</v>
      </c>
      <c r="R874" s="2" t="inlineStr"/>
    </row>
    <row r="875" ht="15" customHeight="1">
      <c r="A875" t="inlineStr">
        <is>
          <t>A 32669-2024</t>
        </is>
      </c>
      <c r="B875" s="1" t="n">
        <v>45514</v>
      </c>
      <c r="C875" s="1" t="n">
        <v>45635</v>
      </c>
      <c r="D875" t="inlineStr">
        <is>
          <t>GOTLANDS LÄN</t>
        </is>
      </c>
      <c r="E875" t="inlineStr">
        <is>
          <t>GOTLAND</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33518-2024</t>
        </is>
      </c>
      <c r="B876" s="1" t="n">
        <v>45519</v>
      </c>
      <c r="C876" s="1" t="n">
        <v>45635</v>
      </c>
      <c r="D876" t="inlineStr">
        <is>
          <t>GOTLANDS LÄN</t>
        </is>
      </c>
      <c r="E876" t="inlineStr">
        <is>
          <t>GOTLAND</t>
        </is>
      </c>
      <c r="G876" t="n">
        <v>7.2</v>
      </c>
      <c r="H876" t="n">
        <v>0</v>
      </c>
      <c r="I876" t="n">
        <v>0</v>
      </c>
      <c r="J876" t="n">
        <v>0</v>
      </c>
      <c r="K876" t="n">
        <v>0</v>
      </c>
      <c r="L876" t="n">
        <v>0</v>
      </c>
      <c r="M876" t="n">
        <v>0</v>
      </c>
      <c r="N876" t="n">
        <v>0</v>
      </c>
      <c r="O876" t="n">
        <v>0</v>
      </c>
      <c r="P876" t="n">
        <v>0</v>
      </c>
      <c r="Q876" t="n">
        <v>0</v>
      </c>
      <c r="R876" s="2" t="inlineStr"/>
    </row>
    <row r="877" ht="15" customHeight="1">
      <c r="A877" t="inlineStr">
        <is>
          <t>A 33853-2024</t>
        </is>
      </c>
      <c r="B877" s="1" t="n">
        <v>45520</v>
      </c>
      <c r="C877" s="1" t="n">
        <v>45635</v>
      </c>
      <c r="D877" t="inlineStr">
        <is>
          <t>GOTLANDS LÄN</t>
        </is>
      </c>
      <c r="E877" t="inlineStr">
        <is>
          <t>GOTLAND</t>
        </is>
      </c>
      <c r="G877" t="n">
        <v>3.9</v>
      </c>
      <c r="H877" t="n">
        <v>0</v>
      </c>
      <c r="I877" t="n">
        <v>0</v>
      </c>
      <c r="J877" t="n">
        <v>0</v>
      </c>
      <c r="K877" t="n">
        <v>0</v>
      </c>
      <c r="L877" t="n">
        <v>0</v>
      </c>
      <c r="M877" t="n">
        <v>0</v>
      </c>
      <c r="N877" t="n">
        <v>0</v>
      </c>
      <c r="O877" t="n">
        <v>0</v>
      </c>
      <c r="P877" t="n">
        <v>0</v>
      </c>
      <c r="Q877" t="n">
        <v>0</v>
      </c>
      <c r="R877" s="2" t="inlineStr"/>
    </row>
    <row r="878" ht="15" customHeight="1">
      <c r="A878" t="inlineStr">
        <is>
          <t>A 33876-2024</t>
        </is>
      </c>
      <c r="B878" s="1" t="n">
        <v>45521</v>
      </c>
      <c r="C878" s="1" t="n">
        <v>45635</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33928-2024</t>
        </is>
      </c>
      <c r="B879" s="1" t="n">
        <v>45523</v>
      </c>
      <c r="C879" s="1" t="n">
        <v>45635</v>
      </c>
      <c r="D879" t="inlineStr">
        <is>
          <t>GOTLANDS LÄN</t>
        </is>
      </c>
      <c r="E879" t="inlineStr">
        <is>
          <t>GOTLAND</t>
        </is>
      </c>
      <c r="G879" t="n">
        <v>0.7</v>
      </c>
      <c r="H879" t="n">
        <v>0</v>
      </c>
      <c r="I879" t="n">
        <v>0</v>
      </c>
      <c r="J879" t="n">
        <v>0</v>
      </c>
      <c r="K879" t="n">
        <v>0</v>
      </c>
      <c r="L879" t="n">
        <v>0</v>
      </c>
      <c r="M879" t="n">
        <v>0</v>
      </c>
      <c r="N879" t="n">
        <v>0</v>
      </c>
      <c r="O879" t="n">
        <v>0</v>
      </c>
      <c r="P879" t="n">
        <v>0</v>
      </c>
      <c r="Q879" t="n">
        <v>0</v>
      </c>
      <c r="R879" s="2" t="inlineStr"/>
    </row>
    <row r="880" ht="15" customHeight="1">
      <c r="A880" t="inlineStr">
        <is>
          <t>A 34167-2024</t>
        </is>
      </c>
      <c r="B880" s="1" t="n">
        <v>45524</v>
      </c>
      <c r="C880" s="1" t="n">
        <v>45635</v>
      </c>
      <c r="D880" t="inlineStr">
        <is>
          <t>GOTLANDS LÄN</t>
        </is>
      </c>
      <c r="E880" t="inlineStr">
        <is>
          <t>GOTLAND</t>
        </is>
      </c>
      <c r="G880" t="n">
        <v>1.3</v>
      </c>
      <c r="H880" t="n">
        <v>0</v>
      </c>
      <c r="I880" t="n">
        <v>0</v>
      </c>
      <c r="J880" t="n">
        <v>0</v>
      </c>
      <c r="K880" t="n">
        <v>0</v>
      </c>
      <c r="L880" t="n">
        <v>0</v>
      </c>
      <c r="M880" t="n">
        <v>0</v>
      </c>
      <c r="N880" t="n">
        <v>0</v>
      </c>
      <c r="O880" t="n">
        <v>0</v>
      </c>
      <c r="P880" t="n">
        <v>0</v>
      </c>
      <c r="Q880" t="n">
        <v>0</v>
      </c>
      <c r="R880" s="2" t="inlineStr"/>
    </row>
    <row r="881" ht="15" customHeight="1">
      <c r="A881" t="inlineStr">
        <is>
          <t>A 34157-2024</t>
        </is>
      </c>
      <c r="B881" s="1" t="n">
        <v>45524</v>
      </c>
      <c r="C881" s="1" t="n">
        <v>45635</v>
      </c>
      <c r="D881" t="inlineStr">
        <is>
          <t>GOTLANDS LÄN</t>
        </is>
      </c>
      <c r="E881" t="inlineStr">
        <is>
          <t>GOTLAND</t>
        </is>
      </c>
      <c r="G881" t="n">
        <v>3.3</v>
      </c>
      <c r="H881" t="n">
        <v>0</v>
      </c>
      <c r="I881" t="n">
        <v>0</v>
      </c>
      <c r="J881" t="n">
        <v>0</v>
      </c>
      <c r="K881" t="n">
        <v>0</v>
      </c>
      <c r="L881" t="n">
        <v>0</v>
      </c>
      <c r="M881" t="n">
        <v>0</v>
      </c>
      <c r="N881" t="n">
        <v>0</v>
      </c>
      <c r="O881" t="n">
        <v>0</v>
      </c>
      <c r="P881" t="n">
        <v>0</v>
      </c>
      <c r="Q881" t="n">
        <v>0</v>
      </c>
      <c r="R881" s="2" t="inlineStr"/>
    </row>
    <row r="882" ht="15" customHeight="1">
      <c r="A882" t="inlineStr">
        <is>
          <t>A 34142-2024</t>
        </is>
      </c>
      <c r="B882" s="1" t="n">
        <v>45524</v>
      </c>
      <c r="C882" s="1" t="n">
        <v>45635</v>
      </c>
      <c r="D882" t="inlineStr">
        <is>
          <t>GOTLANDS LÄN</t>
        </is>
      </c>
      <c r="E882" t="inlineStr">
        <is>
          <t>GOTLAND</t>
        </is>
      </c>
      <c r="G882" t="n">
        <v>6</v>
      </c>
      <c r="H882" t="n">
        <v>0</v>
      </c>
      <c r="I882" t="n">
        <v>0</v>
      </c>
      <c r="J882" t="n">
        <v>0</v>
      </c>
      <c r="K882" t="n">
        <v>0</v>
      </c>
      <c r="L882" t="n">
        <v>0</v>
      </c>
      <c r="M882" t="n">
        <v>0</v>
      </c>
      <c r="N882" t="n">
        <v>0</v>
      </c>
      <c r="O882" t="n">
        <v>0</v>
      </c>
      <c r="P882" t="n">
        <v>0</v>
      </c>
      <c r="Q882" t="n">
        <v>0</v>
      </c>
      <c r="R882" s="2" t="inlineStr"/>
    </row>
    <row r="883" ht="15" customHeight="1">
      <c r="A883" t="inlineStr">
        <is>
          <t>A 34154-2024</t>
        </is>
      </c>
      <c r="B883" s="1" t="n">
        <v>45524</v>
      </c>
      <c r="C883" s="1" t="n">
        <v>45635</v>
      </c>
      <c r="D883" t="inlineStr">
        <is>
          <t>GOTLANDS LÄN</t>
        </is>
      </c>
      <c r="E883" t="inlineStr">
        <is>
          <t>GOTLAND</t>
        </is>
      </c>
      <c r="G883" t="n">
        <v>9.9</v>
      </c>
      <c r="H883" t="n">
        <v>0</v>
      </c>
      <c r="I883" t="n">
        <v>0</v>
      </c>
      <c r="J883" t="n">
        <v>0</v>
      </c>
      <c r="K883" t="n">
        <v>0</v>
      </c>
      <c r="L883" t="n">
        <v>0</v>
      </c>
      <c r="M883" t="n">
        <v>0</v>
      </c>
      <c r="N883" t="n">
        <v>0</v>
      </c>
      <c r="O883" t="n">
        <v>0</v>
      </c>
      <c r="P883" t="n">
        <v>0</v>
      </c>
      <c r="Q883" t="n">
        <v>0</v>
      </c>
      <c r="R883" s="2" t="inlineStr"/>
    </row>
    <row r="884" ht="15" customHeight="1">
      <c r="A884" t="inlineStr">
        <is>
          <t>A 34170-2024</t>
        </is>
      </c>
      <c r="B884" s="1" t="n">
        <v>45524</v>
      </c>
      <c r="C884" s="1" t="n">
        <v>45635</v>
      </c>
      <c r="D884" t="inlineStr">
        <is>
          <t>GOTLANDS LÄN</t>
        </is>
      </c>
      <c r="E884" t="inlineStr">
        <is>
          <t>GOTLAND</t>
        </is>
      </c>
      <c r="G884" t="n">
        <v>3.2</v>
      </c>
      <c r="H884" t="n">
        <v>0</v>
      </c>
      <c r="I884" t="n">
        <v>0</v>
      </c>
      <c r="J884" t="n">
        <v>0</v>
      </c>
      <c r="K884" t="n">
        <v>0</v>
      </c>
      <c r="L884" t="n">
        <v>0</v>
      </c>
      <c r="M884" t="n">
        <v>0</v>
      </c>
      <c r="N884" t="n">
        <v>0</v>
      </c>
      <c r="O884" t="n">
        <v>0</v>
      </c>
      <c r="P884" t="n">
        <v>0</v>
      </c>
      <c r="Q884" t="n">
        <v>0</v>
      </c>
      <c r="R884" s="2" t="inlineStr"/>
    </row>
    <row r="885" ht="15" customHeight="1">
      <c r="A885" t="inlineStr">
        <is>
          <t>A 34312-2024</t>
        </is>
      </c>
      <c r="B885" s="1" t="n">
        <v>45524</v>
      </c>
      <c r="C885" s="1" t="n">
        <v>45635</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35093-2024</t>
        </is>
      </c>
      <c r="B886" s="1" t="n">
        <v>45527</v>
      </c>
      <c r="C886" s="1" t="n">
        <v>45635</v>
      </c>
      <c r="D886" t="inlineStr">
        <is>
          <t>GOTLANDS LÄN</t>
        </is>
      </c>
      <c r="E886" t="inlineStr">
        <is>
          <t>GOTLAND</t>
        </is>
      </c>
      <c r="G886" t="n">
        <v>2.4</v>
      </c>
      <c r="H886" t="n">
        <v>0</v>
      </c>
      <c r="I886" t="n">
        <v>0</v>
      </c>
      <c r="J886" t="n">
        <v>0</v>
      </c>
      <c r="K886" t="n">
        <v>0</v>
      </c>
      <c r="L886" t="n">
        <v>0</v>
      </c>
      <c r="M886" t="n">
        <v>0</v>
      </c>
      <c r="N886" t="n">
        <v>0</v>
      </c>
      <c r="O886" t="n">
        <v>0</v>
      </c>
      <c r="P886" t="n">
        <v>0</v>
      </c>
      <c r="Q886" t="n">
        <v>0</v>
      </c>
      <c r="R886" s="2" t="inlineStr"/>
    </row>
    <row r="887" ht="15" customHeight="1">
      <c r="A887" t="inlineStr">
        <is>
          <t>A 36539-2024</t>
        </is>
      </c>
      <c r="B887" s="1" t="n">
        <v>45537</v>
      </c>
      <c r="C887" s="1" t="n">
        <v>45635</v>
      </c>
      <c r="D887" t="inlineStr">
        <is>
          <t>GOTLANDS LÄN</t>
        </is>
      </c>
      <c r="E887" t="inlineStr">
        <is>
          <t>GOTLAND</t>
        </is>
      </c>
      <c r="G887" t="n">
        <v>5.9</v>
      </c>
      <c r="H887" t="n">
        <v>0</v>
      </c>
      <c r="I887" t="n">
        <v>0</v>
      </c>
      <c r="J887" t="n">
        <v>0</v>
      </c>
      <c r="K887" t="n">
        <v>0</v>
      </c>
      <c r="L887" t="n">
        <v>0</v>
      </c>
      <c r="M887" t="n">
        <v>0</v>
      </c>
      <c r="N887" t="n">
        <v>0</v>
      </c>
      <c r="O887" t="n">
        <v>0</v>
      </c>
      <c r="P887" t="n">
        <v>0</v>
      </c>
      <c r="Q887" t="n">
        <v>0</v>
      </c>
      <c r="R887" s="2" t="inlineStr"/>
    </row>
    <row r="888" ht="15" customHeight="1">
      <c r="A888" t="inlineStr">
        <is>
          <t>A 37225-2024</t>
        </is>
      </c>
      <c r="B888" s="1" t="n">
        <v>45539</v>
      </c>
      <c r="C888" s="1" t="n">
        <v>45635</v>
      </c>
      <c r="D888" t="inlineStr">
        <is>
          <t>GOTLANDS LÄN</t>
        </is>
      </c>
      <c r="E888" t="inlineStr">
        <is>
          <t>GOTLAND</t>
        </is>
      </c>
      <c r="G888" t="n">
        <v>2.9</v>
      </c>
      <c r="H888" t="n">
        <v>0</v>
      </c>
      <c r="I888" t="n">
        <v>0</v>
      </c>
      <c r="J888" t="n">
        <v>0</v>
      </c>
      <c r="K888" t="n">
        <v>0</v>
      </c>
      <c r="L888" t="n">
        <v>0</v>
      </c>
      <c r="M888" t="n">
        <v>0</v>
      </c>
      <c r="N888" t="n">
        <v>0</v>
      </c>
      <c r="O888" t="n">
        <v>0</v>
      </c>
      <c r="P888" t="n">
        <v>0</v>
      </c>
      <c r="Q888" t="n">
        <v>0</v>
      </c>
      <c r="R888" s="2" t="inlineStr"/>
    </row>
    <row r="889" ht="15" customHeight="1">
      <c r="A889" t="inlineStr">
        <is>
          <t>A 37202-2024</t>
        </is>
      </c>
      <c r="B889" s="1" t="n">
        <v>45539</v>
      </c>
      <c r="C889" s="1" t="n">
        <v>45635</v>
      </c>
      <c r="D889" t="inlineStr">
        <is>
          <t>GOTLANDS LÄN</t>
        </is>
      </c>
      <c r="E889" t="inlineStr">
        <is>
          <t>GOTLAND</t>
        </is>
      </c>
      <c r="G889" t="n">
        <v>0.3</v>
      </c>
      <c r="H889" t="n">
        <v>0</v>
      </c>
      <c r="I889" t="n">
        <v>0</v>
      </c>
      <c r="J889" t="n">
        <v>0</v>
      </c>
      <c r="K889" t="n">
        <v>0</v>
      </c>
      <c r="L889" t="n">
        <v>0</v>
      </c>
      <c r="M889" t="n">
        <v>0</v>
      </c>
      <c r="N889" t="n">
        <v>0</v>
      </c>
      <c r="O889" t="n">
        <v>0</v>
      </c>
      <c r="P889" t="n">
        <v>0</v>
      </c>
      <c r="Q889" t="n">
        <v>0</v>
      </c>
      <c r="R889" s="2" t="inlineStr"/>
    </row>
    <row r="890" ht="15" customHeight="1">
      <c r="A890" t="inlineStr">
        <is>
          <t>A 37376-2024</t>
        </is>
      </c>
      <c r="B890" s="1" t="n">
        <v>45540</v>
      </c>
      <c r="C890" s="1" t="n">
        <v>45635</v>
      </c>
      <c r="D890" t="inlineStr">
        <is>
          <t>GOTLANDS LÄN</t>
        </is>
      </c>
      <c r="E890" t="inlineStr">
        <is>
          <t>GOTLAND</t>
        </is>
      </c>
      <c r="G890" t="n">
        <v>4.9</v>
      </c>
      <c r="H890" t="n">
        <v>0</v>
      </c>
      <c r="I890" t="n">
        <v>0</v>
      </c>
      <c r="J890" t="n">
        <v>0</v>
      </c>
      <c r="K890" t="n">
        <v>0</v>
      </c>
      <c r="L890" t="n">
        <v>0</v>
      </c>
      <c r="M890" t="n">
        <v>0</v>
      </c>
      <c r="N890" t="n">
        <v>0</v>
      </c>
      <c r="O890" t="n">
        <v>0</v>
      </c>
      <c r="P890" t="n">
        <v>0</v>
      </c>
      <c r="Q890" t="n">
        <v>0</v>
      </c>
      <c r="R890" s="2" t="inlineStr"/>
    </row>
    <row r="891" ht="15" customHeight="1">
      <c r="A891" t="inlineStr">
        <is>
          <t>A 37442-2024</t>
        </is>
      </c>
      <c r="B891" s="1" t="n">
        <v>45540</v>
      </c>
      <c r="C891" s="1" t="n">
        <v>45635</v>
      </c>
      <c r="D891" t="inlineStr">
        <is>
          <t>GOTLANDS LÄN</t>
        </is>
      </c>
      <c r="E891" t="inlineStr">
        <is>
          <t>GOTLAND</t>
        </is>
      </c>
      <c r="G891" t="n">
        <v>4.3</v>
      </c>
      <c r="H891" t="n">
        <v>0</v>
      </c>
      <c r="I891" t="n">
        <v>0</v>
      </c>
      <c r="J891" t="n">
        <v>0</v>
      </c>
      <c r="K891" t="n">
        <v>0</v>
      </c>
      <c r="L891" t="n">
        <v>0</v>
      </c>
      <c r="M891" t="n">
        <v>0</v>
      </c>
      <c r="N891" t="n">
        <v>0</v>
      </c>
      <c r="O891" t="n">
        <v>0</v>
      </c>
      <c r="P891" t="n">
        <v>0</v>
      </c>
      <c r="Q891" t="n">
        <v>0</v>
      </c>
      <c r="R891" s="2" t="inlineStr"/>
    </row>
    <row r="892" ht="15" customHeight="1">
      <c r="A892" t="inlineStr">
        <is>
          <t>A 37440-2024</t>
        </is>
      </c>
      <c r="B892" s="1" t="n">
        <v>45540</v>
      </c>
      <c r="C892" s="1" t="n">
        <v>45635</v>
      </c>
      <c r="D892" t="inlineStr">
        <is>
          <t>GOTLANDS LÄN</t>
        </is>
      </c>
      <c r="E892" t="inlineStr">
        <is>
          <t>GOTLAND</t>
        </is>
      </c>
      <c r="G892" t="n">
        <v>1</v>
      </c>
      <c r="H892" t="n">
        <v>0</v>
      </c>
      <c r="I892" t="n">
        <v>0</v>
      </c>
      <c r="J892" t="n">
        <v>0</v>
      </c>
      <c r="K892" t="n">
        <v>0</v>
      </c>
      <c r="L892" t="n">
        <v>0</v>
      </c>
      <c r="M892" t="n">
        <v>0</v>
      </c>
      <c r="N892" t="n">
        <v>0</v>
      </c>
      <c r="O892" t="n">
        <v>0</v>
      </c>
      <c r="P892" t="n">
        <v>0</v>
      </c>
      <c r="Q892" t="n">
        <v>0</v>
      </c>
      <c r="R892" s="2" t="inlineStr"/>
    </row>
    <row r="893" ht="15" customHeight="1">
      <c r="A893" t="inlineStr">
        <is>
          <t>A 37728-2024</t>
        </is>
      </c>
      <c r="B893" s="1" t="n">
        <v>45541</v>
      </c>
      <c r="C893" s="1" t="n">
        <v>45635</v>
      </c>
      <c r="D893" t="inlineStr">
        <is>
          <t>GOTLANDS LÄN</t>
        </is>
      </c>
      <c r="E893" t="inlineStr">
        <is>
          <t>GOTLAND</t>
        </is>
      </c>
      <c r="G893" t="n">
        <v>0.4</v>
      </c>
      <c r="H893" t="n">
        <v>0</v>
      </c>
      <c r="I893" t="n">
        <v>0</v>
      </c>
      <c r="J893" t="n">
        <v>0</v>
      </c>
      <c r="K893" t="n">
        <v>0</v>
      </c>
      <c r="L893" t="n">
        <v>0</v>
      </c>
      <c r="M893" t="n">
        <v>0</v>
      </c>
      <c r="N893" t="n">
        <v>0</v>
      </c>
      <c r="O893" t="n">
        <v>0</v>
      </c>
      <c r="P893" t="n">
        <v>0</v>
      </c>
      <c r="Q893" t="n">
        <v>0</v>
      </c>
      <c r="R893" s="2" t="inlineStr"/>
    </row>
    <row r="894" ht="15" customHeight="1">
      <c r="A894" t="inlineStr">
        <is>
          <t>A 37808-2024</t>
        </is>
      </c>
      <c r="B894" s="1" t="n">
        <v>45543</v>
      </c>
      <c r="C894" s="1" t="n">
        <v>45635</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39311-2024</t>
        </is>
      </c>
      <c r="B895" s="1" t="n">
        <v>45551</v>
      </c>
      <c r="C895" s="1" t="n">
        <v>45635</v>
      </c>
      <c r="D895" t="inlineStr">
        <is>
          <t>GOTLANDS LÄN</t>
        </is>
      </c>
      <c r="E895" t="inlineStr">
        <is>
          <t>GOTLAND</t>
        </is>
      </c>
      <c r="G895" t="n">
        <v>2.8</v>
      </c>
      <c r="H895" t="n">
        <v>0</v>
      </c>
      <c r="I895" t="n">
        <v>0</v>
      </c>
      <c r="J895" t="n">
        <v>0</v>
      </c>
      <c r="K895" t="n">
        <v>0</v>
      </c>
      <c r="L895" t="n">
        <v>0</v>
      </c>
      <c r="M895" t="n">
        <v>0</v>
      </c>
      <c r="N895" t="n">
        <v>0</v>
      </c>
      <c r="O895" t="n">
        <v>0</v>
      </c>
      <c r="P895" t="n">
        <v>0</v>
      </c>
      <c r="Q895" t="n">
        <v>0</v>
      </c>
      <c r="R895" s="2" t="inlineStr"/>
    </row>
    <row r="896" ht="15" customHeight="1">
      <c r="A896" t="inlineStr">
        <is>
          <t>A 41373-2024</t>
        </is>
      </c>
      <c r="B896" s="1" t="n">
        <v>45559</v>
      </c>
      <c r="C896" s="1" t="n">
        <v>45635</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41372-2024</t>
        </is>
      </c>
      <c r="B897" s="1" t="n">
        <v>45559</v>
      </c>
      <c r="C897" s="1" t="n">
        <v>45635</v>
      </c>
      <c r="D897" t="inlineStr">
        <is>
          <t>GOTLANDS LÄN</t>
        </is>
      </c>
      <c r="E897" t="inlineStr">
        <is>
          <t>GOTLAND</t>
        </is>
      </c>
      <c r="G897" t="n">
        <v>3.3</v>
      </c>
      <c r="H897" t="n">
        <v>0</v>
      </c>
      <c r="I897" t="n">
        <v>0</v>
      </c>
      <c r="J897" t="n">
        <v>0</v>
      </c>
      <c r="K897" t="n">
        <v>0</v>
      </c>
      <c r="L897" t="n">
        <v>0</v>
      </c>
      <c r="M897" t="n">
        <v>0</v>
      </c>
      <c r="N897" t="n">
        <v>0</v>
      </c>
      <c r="O897" t="n">
        <v>0</v>
      </c>
      <c r="P897" t="n">
        <v>0</v>
      </c>
      <c r="Q897" t="n">
        <v>0</v>
      </c>
      <c r="R897" s="2" t="inlineStr"/>
    </row>
    <row r="898" ht="15" customHeight="1">
      <c r="A898" t="inlineStr">
        <is>
          <t>A 41467-2024</t>
        </is>
      </c>
      <c r="B898" s="1" t="n">
        <v>45560</v>
      </c>
      <c r="C898" s="1" t="n">
        <v>45635</v>
      </c>
      <c r="D898" t="inlineStr">
        <is>
          <t>GOTLANDS LÄN</t>
        </is>
      </c>
      <c r="E898" t="inlineStr">
        <is>
          <t>GOTLAND</t>
        </is>
      </c>
      <c r="G898" t="n">
        <v>9</v>
      </c>
      <c r="H898" t="n">
        <v>0</v>
      </c>
      <c r="I898" t="n">
        <v>0</v>
      </c>
      <c r="J898" t="n">
        <v>0</v>
      </c>
      <c r="K898" t="n">
        <v>0</v>
      </c>
      <c r="L898" t="n">
        <v>0</v>
      </c>
      <c r="M898" t="n">
        <v>0</v>
      </c>
      <c r="N898" t="n">
        <v>0</v>
      </c>
      <c r="O898" t="n">
        <v>0</v>
      </c>
      <c r="P898" t="n">
        <v>0</v>
      </c>
      <c r="Q898" t="n">
        <v>0</v>
      </c>
      <c r="R898" s="2" t="inlineStr"/>
    </row>
    <row r="899" ht="15" customHeight="1">
      <c r="A899" t="inlineStr">
        <is>
          <t>A 42041-2024</t>
        </is>
      </c>
      <c r="B899" s="1" t="n">
        <v>45561</v>
      </c>
      <c r="C899" s="1" t="n">
        <v>45635</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42340-2024</t>
        </is>
      </c>
      <c r="B900" s="1" t="n">
        <v>45562</v>
      </c>
      <c r="C900" s="1" t="n">
        <v>45635</v>
      </c>
      <c r="D900" t="inlineStr">
        <is>
          <t>GOTLANDS LÄN</t>
        </is>
      </c>
      <c r="E900" t="inlineStr">
        <is>
          <t>GOTLAND</t>
        </is>
      </c>
      <c r="G900" t="n">
        <v>1.9</v>
      </c>
      <c r="H900" t="n">
        <v>0</v>
      </c>
      <c r="I900" t="n">
        <v>0</v>
      </c>
      <c r="J900" t="n">
        <v>0</v>
      </c>
      <c r="K900" t="n">
        <v>0</v>
      </c>
      <c r="L900" t="n">
        <v>0</v>
      </c>
      <c r="M900" t="n">
        <v>0</v>
      </c>
      <c r="N900" t="n">
        <v>0</v>
      </c>
      <c r="O900" t="n">
        <v>0</v>
      </c>
      <c r="P900" t="n">
        <v>0</v>
      </c>
      <c r="Q900" t="n">
        <v>0</v>
      </c>
      <c r="R900" s="2" t="inlineStr"/>
    </row>
    <row r="901" ht="15" customHeight="1">
      <c r="A901" t="inlineStr">
        <is>
          <t>A 42348-2024</t>
        </is>
      </c>
      <c r="B901" s="1" t="n">
        <v>45562</v>
      </c>
      <c r="C901" s="1" t="n">
        <v>45635</v>
      </c>
      <c r="D901" t="inlineStr">
        <is>
          <t>GOTLANDS LÄN</t>
        </is>
      </c>
      <c r="E901" t="inlineStr">
        <is>
          <t>GOTLAND</t>
        </is>
      </c>
      <c r="G901" t="n">
        <v>1.6</v>
      </c>
      <c r="H901" t="n">
        <v>0</v>
      </c>
      <c r="I901" t="n">
        <v>0</v>
      </c>
      <c r="J901" t="n">
        <v>0</v>
      </c>
      <c r="K901" t="n">
        <v>0</v>
      </c>
      <c r="L901" t="n">
        <v>0</v>
      </c>
      <c r="M901" t="n">
        <v>0</v>
      </c>
      <c r="N901" t="n">
        <v>0</v>
      </c>
      <c r="O901" t="n">
        <v>0</v>
      </c>
      <c r="P901" t="n">
        <v>0</v>
      </c>
      <c r="Q901" t="n">
        <v>0</v>
      </c>
      <c r="R901" s="2" t="inlineStr"/>
    </row>
    <row r="902" ht="15" customHeight="1">
      <c r="A902" t="inlineStr">
        <is>
          <t>A 42346-2024</t>
        </is>
      </c>
      <c r="B902" s="1" t="n">
        <v>45562</v>
      </c>
      <c r="C902" s="1" t="n">
        <v>45635</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43785-2024</t>
        </is>
      </c>
      <c r="B903" s="1" t="n">
        <v>45570</v>
      </c>
      <c r="C903" s="1" t="n">
        <v>45635</v>
      </c>
      <c r="D903" t="inlineStr">
        <is>
          <t>GOTLANDS LÄN</t>
        </is>
      </c>
      <c r="E903" t="inlineStr">
        <is>
          <t>GOTLAND</t>
        </is>
      </c>
      <c r="G903" t="n">
        <v>12.6</v>
      </c>
      <c r="H903" t="n">
        <v>0</v>
      </c>
      <c r="I903" t="n">
        <v>0</v>
      </c>
      <c r="J903" t="n">
        <v>0</v>
      </c>
      <c r="K903" t="n">
        <v>0</v>
      </c>
      <c r="L903" t="n">
        <v>0</v>
      </c>
      <c r="M903" t="n">
        <v>0</v>
      </c>
      <c r="N903" t="n">
        <v>0</v>
      </c>
      <c r="O903" t="n">
        <v>0</v>
      </c>
      <c r="P903" t="n">
        <v>0</v>
      </c>
      <c r="Q903" t="n">
        <v>0</v>
      </c>
      <c r="R903" s="2" t="inlineStr"/>
    </row>
    <row r="904" ht="15" customHeight="1">
      <c r="A904" t="inlineStr">
        <is>
          <t>A 43784-2024</t>
        </is>
      </c>
      <c r="B904" s="1" t="n">
        <v>45570</v>
      </c>
      <c r="C904" s="1" t="n">
        <v>45635</v>
      </c>
      <c r="D904" t="inlineStr">
        <is>
          <t>GOTLANDS LÄN</t>
        </is>
      </c>
      <c r="E904" t="inlineStr">
        <is>
          <t>GOTLAND</t>
        </is>
      </c>
      <c r="G904" t="n">
        <v>9.1</v>
      </c>
      <c r="H904" t="n">
        <v>0</v>
      </c>
      <c r="I904" t="n">
        <v>0</v>
      </c>
      <c r="J904" t="n">
        <v>0</v>
      </c>
      <c r="K904" t="n">
        <v>0</v>
      </c>
      <c r="L904" t="n">
        <v>0</v>
      </c>
      <c r="M904" t="n">
        <v>0</v>
      </c>
      <c r="N904" t="n">
        <v>0</v>
      </c>
      <c r="O904" t="n">
        <v>0</v>
      </c>
      <c r="P904" t="n">
        <v>0</v>
      </c>
      <c r="Q904" t="n">
        <v>0</v>
      </c>
      <c r="R904" s="2" t="inlineStr"/>
    </row>
    <row r="905" ht="15" customHeight="1">
      <c r="A905" t="inlineStr">
        <is>
          <t>A 43787-2024</t>
        </is>
      </c>
      <c r="B905" s="1" t="n">
        <v>45571</v>
      </c>
      <c r="C905" s="1" t="n">
        <v>45635</v>
      </c>
      <c r="D905" t="inlineStr">
        <is>
          <t>GOTLANDS LÄN</t>
        </is>
      </c>
      <c r="E905" t="inlineStr">
        <is>
          <t>GOTLAND</t>
        </is>
      </c>
      <c r="G905" t="n">
        <v>1.9</v>
      </c>
      <c r="H905" t="n">
        <v>0</v>
      </c>
      <c r="I905" t="n">
        <v>0</v>
      </c>
      <c r="J905" t="n">
        <v>0</v>
      </c>
      <c r="K905" t="n">
        <v>0</v>
      </c>
      <c r="L905" t="n">
        <v>0</v>
      </c>
      <c r="M905" t="n">
        <v>0</v>
      </c>
      <c r="N905" t="n">
        <v>0</v>
      </c>
      <c r="O905" t="n">
        <v>0</v>
      </c>
      <c r="P905" t="n">
        <v>0</v>
      </c>
      <c r="Q905" t="n">
        <v>0</v>
      </c>
      <c r="R905" s="2" t="inlineStr"/>
    </row>
    <row r="906" ht="15" customHeight="1">
      <c r="A906" t="inlineStr">
        <is>
          <t>A 43790-2024</t>
        </is>
      </c>
      <c r="B906" s="1" t="n">
        <v>45571</v>
      </c>
      <c r="C906" s="1" t="n">
        <v>45635</v>
      </c>
      <c r="D906" t="inlineStr">
        <is>
          <t>GOTLANDS LÄN</t>
        </is>
      </c>
      <c r="E906" t="inlineStr">
        <is>
          <t>GOTLAND</t>
        </is>
      </c>
      <c r="G906" t="n">
        <v>3.5</v>
      </c>
      <c r="H906" t="n">
        <v>0</v>
      </c>
      <c r="I906" t="n">
        <v>0</v>
      </c>
      <c r="J906" t="n">
        <v>0</v>
      </c>
      <c r="K906" t="n">
        <v>0</v>
      </c>
      <c r="L906" t="n">
        <v>0</v>
      </c>
      <c r="M906" t="n">
        <v>0</v>
      </c>
      <c r="N906" t="n">
        <v>0</v>
      </c>
      <c r="O906" t="n">
        <v>0</v>
      </c>
      <c r="P906" t="n">
        <v>0</v>
      </c>
      <c r="Q906" t="n">
        <v>0</v>
      </c>
      <c r="R906" s="2" t="inlineStr"/>
    </row>
    <row r="907" ht="15" customHeight="1">
      <c r="A907" t="inlineStr">
        <is>
          <t>A 43788-2024</t>
        </is>
      </c>
      <c r="B907" s="1" t="n">
        <v>45571</v>
      </c>
      <c r="C907" s="1" t="n">
        <v>45635</v>
      </c>
      <c r="D907" t="inlineStr">
        <is>
          <t>GOTLANDS LÄN</t>
        </is>
      </c>
      <c r="E907" t="inlineStr">
        <is>
          <t>GOTLAND</t>
        </is>
      </c>
      <c r="G907" t="n">
        <v>4.1</v>
      </c>
      <c r="H907" t="n">
        <v>0</v>
      </c>
      <c r="I907" t="n">
        <v>0</v>
      </c>
      <c r="J907" t="n">
        <v>0</v>
      </c>
      <c r="K907" t="n">
        <v>0</v>
      </c>
      <c r="L907" t="n">
        <v>0</v>
      </c>
      <c r="M907" t="n">
        <v>0</v>
      </c>
      <c r="N907" t="n">
        <v>0</v>
      </c>
      <c r="O907" t="n">
        <v>0</v>
      </c>
      <c r="P907" t="n">
        <v>0</v>
      </c>
      <c r="Q907" t="n">
        <v>0</v>
      </c>
      <c r="R907" s="2" t="inlineStr"/>
    </row>
    <row r="908" ht="15" customHeight="1">
      <c r="A908" t="inlineStr">
        <is>
          <t>A 44416-2024</t>
        </is>
      </c>
      <c r="B908" s="1" t="n">
        <v>45573</v>
      </c>
      <c r="C908" s="1" t="n">
        <v>45635</v>
      </c>
      <c r="D908" t="inlineStr">
        <is>
          <t>GOTLANDS LÄN</t>
        </is>
      </c>
      <c r="E908" t="inlineStr">
        <is>
          <t>GOTLAND</t>
        </is>
      </c>
      <c r="G908" t="n">
        <v>0.8</v>
      </c>
      <c r="H908" t="n">
        <v>0</v>
      </c>
      <c r="I908" t="n">
        <v>0</v>
      </c>
      <c r="J908" t="n">
        <v>0</v>
      </c>
      <c r="K908" t="n">
        <v>0</v>
      </c>
      <c r="L908" t="n">
        <v>0</v>
      </c>
      <c r="M908" t="n">
        <v>0</v>
      </c>
      <c r="N908" t="n">
        <v>0</v>
      </c>
      <c r="O908" t="n">
        <v>0</v>
      </c>
      <c r="P908" t="n">
        <v>0</v>
      </c>
      <c r="Q908" t="n">
        <v>0</v>
      </c>
      <c r="R908" s="2" t="inlineStr"/>
    </row>
    <row r="909" ht="15" customHeight="1">
      <c r="A909" t="inlineStr">
        <is>
          <t>A 44513-2024</t>
        </is>
      </c>
      <c r="B909" s="1" t="n">
        <v>45574</v>
      </c>
      <c r="C909" s="1" t="n">
        <v>45635</v>
      </c>
      <c r="D909" t="inlineStr">
        <is>
          <t>GOTLANDS LÄN</t>
        </is>
      </c>
      <c r="E909" t="inlineStr">
        <is>
          <t>GOTLAND</t>
        </is>
      </c>
      <c r="G909" t="n">
        <v>6.1</v>
      </c>
      <c r="H909" t="n">
        <v>0</v>
      </c>
      <c r="I909" t="n">
        <v>0</v>
      </c>
      <c r="J909" t="n">
        <v>0</v>
      </c>
      <c r="K909" t="n">
        <v>0</v>
      </c>
      <c r="L909" t="n">
        <v>0</v>
      </c>
      <c r="M909" t="n">
        <v>0</v>
      </c>
      <c r="N909" t="n">
        <v>0</v>
      </c>
      <c r="O909" t="n">
        <v>0</v>
      </c>
      <c r="P909" t="n">
        <v>0</v>
      </c>
      <c r="Q909" t="n">
        <v>0</v>
      </c>
      <c r="R909" s="2" t="inlineStr"/>
    </row>
    <row r="910" ht="15" customHeight="1">
      <c r="A910" t="inlineStr">
        <is>
          <t>A 45112-2024</t>
        </is>
      </c>
      <c r="B910" s="1" t="n">
        <v>45575</v>
      </c>
      <c r="C910" s="1" t="n">
        <v>45635</v>
      </c>
      <c r="D910" t="inlineStr">
        <is>
          <t>GOTLANDS LÄN</t>
        </is>
      </c>
      <c r="E910" t="inlineStr">
        <is>
          <t>GOTLAND</t>
        </is>
      </c>
      <c r="G910" t="n">
        <v>5.1</v>
      </c>
      <c r="H910" t="n">
        <v>0</v>
      </c>
      <c r="I910" t="n">
        <v>0</v>
      </c>
      <c r="J910" t="n">
        <v>0</v>
      </c>
      <c r="K910" t="n">
        <v>0</v>
      </c>
      <c r="L910" t="n">
        <v>0</v>
      </c>
      <c r="M910" t="n">
        <v>0</v>
      </c>
      <c r="N910" t="n">
        <v>0</v>
      </c>
      <c r="O910" t="n">
        <v>0</v>
      </c>
      <c r="P910" t="n">
        <v>0</v>
      </c>
      <c r="Q910" t="n">
        <v>0</v>
      </c>
      <c r="R910" s="2" t="inlineStr"/>
    </row>
    <row r="911" ht="15" customHeight="1">
      <c r="A911" t="inlineStr">
        <is>
          <t>A 45101-2024</t>
        </is>
      </c>
      <c r="B911" s="1" t="n">
        <v>45575</v>
      </c>
      <c r="C911" s="1" t="n">
        <v>45635</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45106-2024</t>
        </is>
      </c>
      <c r="B912" s="1" t="n">
        <v>45575</v>
      </c>
      <c r="C912" s="1" t="n">
        <v>45635</v>
      </c>
      <c r="D912" t="inlineStr">
        <is>
          <t>GOTLANDS LÄN</t>
        </is>
      </c>
      <c r="E912" t="inlineStr">
        <is>
          <t>GOTLAND</t>
        </is>
      </c>
      <c r="G912" t="n">
        <v>10</v>
      </c>
      <c r="H912" t="n">
        <v>0</v>
      </c>
      <c r="I912" t="n">
        <v>0</v>
      </c>
      <c r="J912" t="n">
        <v>0</v>
      </c>
      <c r="K912" t="n">
        <v>0</v>
      </c>
      <c r="L912" t="n">
        <v>0</v>
      </c>
      <c r="M912" t="n">
        <v>0</v>
      </c>
      <c r="N912" t="n">
        <v>0</v>
      </c>
      <c r="O912" t="n">
        <v>0</v>
      </c>
      <c r="P912" t="n">
        <v>0</v>
      </c>
      <c r="Q912" t="n">
        <v>0</v>
      </c>
      <c r="R912" s="2" t="inlineStr"/>
    </row>
    <row r="913" ht="15" customHeight="1">
      <c r="A913" t="inlineStr">
        <is>
          <t>A 44892-2024</t>
        </is>
      </c>
      <c r="B913" s="1" t="n">
        <v>45575</v>
      </c>
      <c r="C913" s="1" t="n">
        <v>45635</v>
      </c>
      <c r="D913" t="inlineStr">
        <is>
          <t>GOTLANDS LÄN</t>
        </is>
      </c>
      <c r="E913" t="inlineStr">
        <is>
          <t>GOTLAND</t>
        </is>
      </c>
      <c r="G913" t="n">
        <v>2.9</v>
      </c>
      <c r="H913" t="n">
        <v>0</v>
      </c>
      <c r="I913" t="n">
        <v>0</v>
      </c>
      <c r="J913" t="n">
        <v>0</v>
      </c>
      <c r="K913" t="n">
        <v>0</v>
      </c>
      <c r="L913" t="n">
        <v>0</v>
      </c>
      <c r="M913" t="n">
        <v>0</v>
      </c>
      <c r="N913" t="n">
        <v>0</v>
      </c>
      <c r="O913" t="n">
        <v>0</v>
      </c>
      <c r="P913" t="n">
        <v>0</v>
      </c>
      <c r="Q913" t="n">
        <v>0</v>
      </c>
      <c r="R913" s="2" t="inlineStr"/>
    </row>
    <row r="914" ht="15" customHeight="1">
      <c r="A914" t="inlineStr">
        <is>
          <t>A 45079-2024</t>
        </is>
      </c>
      <c r="B914" s="1" t="n">
        <v>45575</v>
      </c>
      <c r="C914" s="1" t="n">
        <v>45635</v>
      </c>
      <c r="D914" t="inlineStr">
        <is>
          <t>GOTLANDS LÄN</t>
        </is>
      </c>
      <c r="E914" t="inlineStr">
        <is>
          <t>GOTLAND</t>
        </is>
      </c>
      <c r="G914" t="n">
        <v>3.9</v>
      </c>
      <c r="H914" t="n">
        <v>0</v>
      </c>
      <c r="I914" t="n">
        <v>0</v>
      </c>
      <c r="J914" t="n">
        <v>0</v>
      </c>
      <c r="K914" t="n">
        <v>0</v>
      </c>
      <c r="L914" t="n">
        <v>0</v>
      </c>
      <c r="M914" t="n">
        <v>0</v>
      </c>
      <c r="N914" t="n">
        <v>0</v>
      </c>
      <c r="O914" t="n">
        <v>0</v>
      </c>
      <c r="P914" t="n">
        <v>0</v>
      </c>
      <c r="Q914" t="n">
        <v>0</v>
      </c>
      <c r="R914" s="2" t="inlineStr"/>
    </row>
    <row r="915" ht="15" customHeight="1">
      <c r="A915" t="inlineStr">
        <is>
          <t>A 45084-2024</t>
        </is>
      </c>
      <c r="B915" s="1" t="n">
        <v>45575</v>
      </c>
      <c r="C915" s="1" t="n">
        <v>45635</v>
      </c>
      <c r="D915" t="inlineStr">
        <is>
          <t>GOTLANDS LÄN</t>
        </is>
      </c>
      <c r="E915" t="inlineStr">
        <is>
          <t>GOTLAND</t>
        </is>
      </c>
      <c r="G915" t="n">
        <v>6.8</v>
      </c>
      <c r="H915" t="n">
        <v>0</v>
      </c>
      <c r="I915" t="n">
        <v>0</v>
      </c>
      <c r="J915" t="n">
        <v>0</v>
      </c>
      <c r="K915" t="n">
        <v>0</v>
      </c>
      <c r="L915" t="n">
        <v>0</v>
      </c>
      <c r="M915" t="n">
        <v>0</v>
      </c>
      <c r="N915" t="n">
        <v>0</v>
      </c>
      <c r="O915" t="n">
        <v>0</v>
      </c>
      <c r="P915" t="n">
        <v>0</v>
      </c>
      <c r="Q915" t="n">
        <v>0</v>
      </c>
      <c r="R915" s="2" t="inlineStr"/>
    </row>
    <row r="916" ht="15" customHeight="1">
      <c r="A916" t="inlineStr">
        <is>
          <t>A 44879-2024</t>
        </is>
      </c>
      <c r="B916" s="1" t="n">
        <v>45575</v>
      </c>
      <c r="C916" s="1" t="n">
        <v>45635</v>
      </c>
      <c r="D916" t="inlineStr">
        <is>
          <t>GOTLANDS LÄN</t>
        </is>
      </c>
      <c r="E916" t="inlineStr">
        <is>
          <t>GOTLAND</t>
        </is>
      </c>
      <c r="G916" t="n">
        <v>18.9</v>
      </c>
      <c r="H916" t="n">
        <v>0</v>
      </c>
      <c r="I916" t="n">
        <v>0</v>
      </c>
      <c r="J916" t="n">
        <v>0</v>
      </c>
      <c r="K916" t="n">
        <v>0</v>
      </c>
      <c r="L916" t="n">
        <v>0</v>
      </c>
      <c r="M916" t="n">
        <v>0</v>
      </c>
      <c r="N916" t="n">
        <v>0</v>
      </c>
      <c r="O916" t="n">
        <v>0</v>
      </c>
      <c r="P916" t="n">
        <v>0</v>
      </c>
      <c r="Q916" t="n">
        <v>0</v>
      </c>
      <c r="R916" s="2" t="inlineStr"/>
    </row>
    <row r="917" ht="15" customHeight="1">
      <c r="A917" t="inlineStr">
        <is>
          <t>A 45244-2024</t>
        </is>
      </c>
      <c r="B917" s="1" t="n">
        <v>45576</v>
      </c>
      <c r="C917" s="1" t="n">
        <v>45635</v>
      </c>
      <c r="D917" t="inlineStr">
        <is>
          <t>GOTLANDS LÄN</t>
        </is>
      </c>
      <c r="E917" t="inlineStr">
        <is>
          <t>GOTLAND</t>
        </is>
      </c>
      <c r="G917" t="n">
        <v>2.4</v>
      </c>
      <c r="H917" t="n">
        <v>0</v>
      </c>
      <c r="I917" t="n">
        <v>0</v>
      </c>
      <c r="J917" t="n">
        <v>0</v>
      </c>
      <c r="K917" t="n">
        <v>0</v>
      </c>
      <c r="L917" t="n">
        <v>0</v>
      </c>
      <c r="M917" t="n">
        <v>0</v>
      </c>
      <c r="N917" t="n">
        <v>0</v>
      </c>
      <c r="O917" t="n">
        <v>0</v>
      </c>
      <c r="P917" t="n">
        <v>0</v>
      </c>
      <c r="Q917" t="n">
        <v>0</v>
      </c>
      <c r="R917" s="2" t="inlineStr"/>
    </row>
    <row r="918" ht="15" customHeight="1">
      <c r="A918" t="inlineStr">
        <is>
          <t>A 46540-2024</t>
        </is>
      </c>
      <c r="B918" s="1" t="n">
        <v>45582</v>
      </c>
      <c r="C918" s="1" t="n">
        <v>45635</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46548-2024</t>
        </is>
      </c>
      <c r="B919" s="1" t="n">
        <v>45582</v>
      </c>
      <c r="C919" s="1" t="n">
        <v>45635</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46560-2024</t>
        </is>
      </c>
      <c r="B920" s="1" t="n">
        <v>45582</v>
      </c>
      <c r="C920" s="1" t="n">
        <v>45635</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46555-2024</t>
        </is>
      </c>
      <c r="B921" s="1" t="n">
        <v>45582</v>
      </c>
      <c r="C921" s="1" t="n">
        <v>45635</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46375-2024</t>
        </is>
      </c>
      <c r="B922" s="1" t="n">
        <v>45582</v>
      </c>
      <c r="C922" s="1" t="n">
        <v>45635</v>
      </c>
      <c r="D922" t="inlineStr">
        <is>
          <t>GOTLANDS LÄN</t>
        </is>
      </c>
      <c r="E922" t="inlineStr">
        <is>
          <t>GOTLAND</t>
        </is>
      </c>
      <c r="G922" t="n">
        <v>3</v>
      </c>
      <c r="H922" t="n">
        <v>0</v>
      </c>
      <c r="I922" t="n">
        <v>0</v>
      </c>
      <c r="J922" t="n">
        <v>0</v>
      </c>
      <c r="K922" t="n">
        <v>0</v>
      </c>
      <c r="L922" t="n">
        <v>0</v>
      </c>
      <c r="M922" t="n">
        <v>0</v>
      </c>
      <c r="N922" t="n">
        <v>0</v>
      </c>
      <c r="O922" t="n">
        <v>0</v>
      </c>
      <c r="P922" t="n">
        <v>0</v>
      </c>
      <c r="Q922" t="n">
        <v>0</v>
      </c>
      <c r="R922" s="2" t="inlineStr"/>
    </row>
    <row r="923" ht="15" customHeight="1">
      <c r="A923" t="inlineStr">
        <is>
          <t>A 46545-2024</t>
        </is>
      </c>
      <c r="B923" s="1" t="n">
        <v>45582</v>
      </c>
      <c r="C923" s="1" t="n">
        <v>45635</v>
      </c>
      <c r="D923" t="inlineStr">
        <is>
          <t>GOTLANDS LÄN</t>
        </is>
      </c>
      <c r="E923" t="inlineStr">
        <is>
          <t>GOTLAND</t>
        </is>
      </c>
      <c r="G923" t="n">
        <v>1.2</v>
      </c>
      <c r="H923" t="n">
        <v>0</v>
      </c>
      <c r="I923" t="n">
        <v>0</v>
      </c>
      <c r="J923" t="n">
        <v>0</v>
      </c>
      <c r="K923" t="n">
        <v>0</v>
      </c>
      <c r="L923" t="n">
        <v>0</v>
      </c>
      <c r="M923" t="n">
        <v>0</v>
      </c>
      <c r="N923" t="n">
        <v>0</v>
      </c>
      <c r="O923" t="n">
        <v>0</v>
      </c>
      <c r="P923" t="n">
        <v>0</v>
      </c>
      <c r="Q923" t="n">
        <v>0</v>
      </c>
      <c r="R923" s="2" t="inlineStr"/>
    </row>
    <row r="924" ht="15" customHeight="1">
      <c r="A924" t="inlineStr">
        <is>
          <t>A 46929-2024</t>
        </is>
      </c>
      <c r="B924" s="1" t="n">
        <v>45584</v>
      </c>
      <c r="C924" s="1" t="n">
        <v>45635</v>
      </c>
      <c r="D924" t="inlineStr">
        <is>
          <t>GOTLANDS LÄN</t>
        </is>
      </c>
      <c r="E924" t="inlineStr">
        <is>
          <t>GOTLAND</t>
        </is>
      </c>
      <c r="G924" t="n">
        <v>2.5</v>
      </c>
      <c r="H924" t="n">
        <v>0</v>
      </c>
      <c r="I924" t="n">
        <v>0</v>
      </c>
      <c r="J924" t="n">
        <v>0</v>
      </c>
      <c r="K924" t="n">
        <v>0</v>
      </c>
      <c r="L924" t="n">
        <v>0</v>
      </c>
      <c r="M924" t="n">
        <v>0</v>
      </c>
      <c r="N924" t="n">
        <v>0</v>
      </c>
      <c r="O924" t="n">
        <v>0</v>
      </c>
      <c r="P924" t="n">
        <v>0</v>
      </c>
      <c r="Q924" t="n">
        <v>0</v>
      </c>
      <c r="R924" s="2" t="inlineStr"/>
    </row>
    <row r="925" ht="15" customHeight="1">
      <c r="A925" t="inlineStr">
        <is>
          <t>A 46928-2024</t>
        </is>
      </c>
      <c r="B925" s="1" t="n">
        <v>45584</v>
      </c>
      <c r="C925" s="1" t="n">
        <v>45635</v>
      </c>
      <c r="D925" t="inlineStr">
        <is>
          <t>GOTLANDS LÄN</t>
        </is>
      </c>
      <c r="E925" t="inlineStr">
        <is>
          <t>GOTLAND</t>
        </is>
      </c>
      <c r="G925" t="n">
        <v>1.7</v>
      </c>
      <c r="H925" t="n">
        <v>0</v>
      </c>
      <c r="I925" t="n">
        <v>0</v>
      </c>
      <c r="J925" t="n">
        <v>0</v>
      </c>
      <c r="K925" t="n">
        <v>0</v>
      </c>
      <c r="L925" t="n">
        <v>0</v>
      </c>
      <c r="M925" t="n">
        <v>0</v>
      </c>
      <c r="N925" t="n">
        <v>0</v>
      </c>
      <c r="O925" t="n">
        <v>0</v>
      </c>
      <c r="P925" t="n">
        <v>0</v>
      </c>
      <c r="Q925" t="n">
        <v>0</v>
      </c>
      <c r="R925" s="2" t="inlineStr"/>
    </row>
    <row r="926" ht="15" customHeight="1">
      <c r="A926" t="inlineStr">
        <is>
          <t>A 46930-2024</t>
        </is>
      </c>
      <c r="B926" s="1" t="n">
        <v>45584</v>
      </c>
      <c r="C926" s="1" t="n">
        <v>45635</v>
      </c>
      <c r="D926" t="inlineStr">
        <is>
          <t>GOTLANDS LÄN</t>
        </is>
      </c>
      <c r="E926" t="inlineStr">
        <is>
          <t>GOTLAND</t>
        </is>
      </c>
      <c r="G926" t="n">
        <v>1.8</v>
      </c>
      <c r="H926" t="n">
        <v>0</v>
      </c>
      <c r="I926" t="n">
        <v>0</v>
      </c>
      <c r="J926" t="n">
        <v>0</v>
      </c>
      <c r="K926" t="n">
        <v>0</v>
      </c>
      <c r="L926" t="n">
        <v>0</v>
      </c>
      <c r="M926" t="n">
        <v>0</v>
      </c>
      <c r="N926" t="n">
        <v>0</v>
      </c>
      <c r="O926" t="n">
        <v>0</v>
      </c>
      <c r="P926" t="n">
        <v>0</v>
      </c>
      <c r="Q926" t="n">
        <v>0</v>
      </c>
      <c r="R926" s="2" t="inlineStr"/>
    </row>
    <row r="927" ht="15" customHeight="1">
      <c r="A927" t="inlineStr">
        <is>
          <t>A 46949-2024</t>
        </is>
      </c>
      <c r="B927" s="1" t="n">
        <v>45585</v>
      </c>
      <c r="C927" s="1" t="n">
        <v>45635</v>
      </c>
      <c r="D927" t="inlineStr">
        <is>
          <t>GOTLANDS LÄN</t>
        </is>
      </c>
      <c r="E927" t="inlineStr">
        <is>
          <t>GOTLAND</t>
        </is>
      </c>
      <c r="G927" t="n">
        <v>0.6</v>
      </c>
      <c r="H927" t="n">
        <v>0</v>
      </c>
      <c r="I927" t="n">
        <v>0</v>
      </c>
      <c r="J927" t="n">
        <v>0</v>
      </c>
      <c r="K927" t="n">
        <v>0</v>
      </c>
      <c r="L927" t="n">
        <v>0</v>
      </c>
      <c r="M927" t="n">
        <v>0</v>
      </c>
      <c r="N927" t="n">
        <v>0</v>
      </c>
      <c r="O927" t="n">
        <v>0</v>
      </c>
      <c r="P927" t="n">
        <v>0</v>
      </c>
      <c r="Q927" t="n">
        <v>0</v>
      </c>
      <c r="R927" s="2" t="inlineStr"/>
    </row>
    <row r="928" ht="15" customHeight="1">
      <c r="A928" t="inlineStr">
        <is>
          <t>A 47292-2024</t>
        </is>
      </c>
      <c r="B928" s="1" t="n">
        <v>45586</v>
      </c>
      <c r="C928" s="1" t="n">
        <v>45635</v>
      </c>
      <c r="D928" t="inlineStr">
        <is>
          <t>GOTLANDS LÄN</t>
        </is>
      </c>
      <c r="E928" t="inlineStr">
        <is>
          <t>GOTLAND</t>
        </is>
      </c>
      <c r="G928" t="n">
        <v>5.9</v>
      </c>
      <c r="H928" t="n">
        <v>0</v>
      </c>
      <c r="I928" t="n">
        <v>0</v>
      </c>
      <c r="J928" t="n">
        <v>0</v>
      </c>
      <c r="K928" t="n">
        <v>0</v>
      </c>
      <c r="L928" t="n">
        <v>0</v>
      </c>
      <c r="M928" t="n">
        <v>0</v>
      </c>
      <c r="N928" t="n">
        <v>0</v>
      </c>
      <c r="O928" t="n">
        <v>0</v>
      </c>
      <c r="P928" t="n">
        <v>0</v>
      </c>
      <c r="Q928" t="n">
        <v>0</v>
      </c>
      <c r="R928" s="2" t="inlineStr"/>
    </row>
    <row r="929" ht="15" customHeight="1">
      <c r="A929" t="inlineStr">
        <is>
          <t>A 48155-2024</t>
        </is>
      </c>
      <c r="B929" s="1" t="n">
        <v>45589</v>
      </c>
      <c r="C929" s="1" t="n">
        <v>45635</v>
      </c>
      <c r="D929" t="inlineStr">
        <is>
          <t>GOTLANDS LÄN</t>
        </is>
      </c>
      <c r="E929" t="inlineStr">
        <is>
          <t>GOTLAND</t>
        </is>
      </c>
      <c r="G929" t="n">
        <v>2.4</v>
      </c>
      <c r="H929" t="n">
        <v>0</v>
      </c>
      <c r="I929" t="n">
        <v>0</v>
      </c>
      <c r="J929" t="n">
        <v>0</v>
      </c>
      <c r="K929" t="n">
        <v>0</v>
      </c>
      <c r="L929" t="n">
        <v>0</v>
      </c>
      <c r="M929" t="n">
        <v>0</v>
      </c>
      <c r="N929" t="n">
        <v>0</v>
      </c>
      <c r="O929" t="n">
        <v>0</v>
      </c>
      <c r="P929" t="n">
        <v>0</v>
      </c>
      <c r="Q929" t="n">
        <v>0</v>
      </c>
      <c r="R929" s="2" t="inlineStr"/>
    </row>
    <row r="930" ht="15" customHeight="1">
      <c r="A930" t="inlineStr">
        <is>
          <t>A 48032-2024</t>
        </is>
      </c>
      <c r="B930" s="1" t="n">
        <v>45589</v>
      </c>
      <c r="C930" s="1" t="n">
        <v>45635</v>
      </c>
      <c r="D930" t="inlineStr">
        <is>
          <t>GOTLANDS LÄN</t>
        </is>
      </c>
      <c r="E930" t="inlineStr">
        <is>
          <t>GOTLAND</t>
        </is>
      </c>
      <c r="G930" t="n">
        <v>11.5</v>
      </c>
      <c r="H930" t="n">
        <v>0</v>
      </c>
      <c r="I930" t="n">
        <v>0</v>
      </c>
      <c r="J930" t="n">
        <v>0</v>
      </c>
      <c r="K930" t="n">
        <v>0</v>
      </c>
      <c r="L930" t="n">
        <v>0</v>
      </c>
      <c r="M930" t="n">
        <v>0</v>
      </c>
      <c r="N930" t="n">
        <v>0</v>
      </c>
      <c r="O930" t="n">
        <v>0</v>
      </c>
      <c r="P930" t="n">
        <v>0</v>
      </c>
      <c r="Q930" t="n">
        <v>0</v>
      </c>
      <c r="R930" s="2" t="inlineStr"/>
    </row>
    <row r="931" ht="15" customHeight="1">
      <c r="A931" t="inlineStr">
        <is>
          <t>A 48843-2024</t>
        </is>
      </c>
      <c r="B931" s="1" t="n">
        <v>45593</v>
      </c>
      <c r="C931" s="1" t="n">
        <v>45635</v>
      </c>
      <c r="D931" t="inlineStr">
        <is>
          <t>GOTLANDS LÄN</t>
        </is>
      </c>
      <c r="E931" t="inlineStr">
        <is>
          <t>GOTLAND</t>
        </is>
      </c>
      <c r="G931" t="n">
        <v>0.5</v>
      </c>
      <c r="H931" t="n">
        <v>0</v>
      </c>
      <c r="I931" t="n">
        <v>0</v>
      </c>
      <c r="J931" t="n">
        <v>0</v>
      </c>
      <c r="K931" t="n">
        <v>0</v>
      </c>
      <c r="L931" t="n">
        <v>0</v>
      </c>
      <c r="M931" t="n">
        <v>0</v>
      </c>
      <c r="N931" t="n">
        <v>0</v>
      </c>
      <c r="O931" t="n">
        <v>0</v>
      </c>
      <c r="P931" t="n">
        <v>0</v>
      </c>
      <c r="Q931" t="n">
        <v>0</v>
      </c>
      <c r="R931" s="2" t="inlineStr"/>
    </row>
    <row r="932" ht="15" customHeight="1">
      <c r="A932" t="inlineStr">
        <is>
          <t>A 49201-2024</t>
        </is>
      </c>
      <c r="B932" s="1" t="n">
        <v>45595</v>
      </c>
      <c r="C932" s="1" t="n">
        <v>45635</v>
      </c>
      <c r="D932" t="inlineStr">
        <is>
          <t>GOTLANDS LÄN</t>
        </is>
      </c>
      <c r="E932" t="inlineStr">
        <is>
          <t>GOTLAND</t>
        </is>
      </c>
      <c r="G932" t="n">
        <v>5.8</v>
      </c>
      <c r="H932" t="n">
        <v>0</v>
      </c>
      <c r="I932" t="n">
        <v>0</v>
      </c>
      <c r="J932" t="n">
        <v>0</v>
      </c>
      <c r="K932" t="n">
        <v>0</v>
      </c>
      <c r="L932" t="n">
        <v>0</v>
      </c>
      <c r="M932" t="n">
        <v>0</v>
      </c>
      <c r="N932" t="n">
        <v>0</v>
      </c>
      <c r="O932" t="n">
        <v>0</v>
      </c>
      <c r="P932" t="n">
        <v>0</v>
      </c>
      <c r="Q932" t="n">
        <v>0</v>
      </c>
      <c r="R932" s="2" t="inlineStr"/>
    </row>
    <row r="933" ht="15" customHeight="1">
      <c r="A933" t="inlineStr">
        <is>
          <t>A 49314-2024</t>
        </is>
      </c>
      <c r="B933" s="1" t="n">
        <v>45595</v>
      </c>
      <c r="C933" s="1" t="n">
        <v>45635</v>
      </c>
      <c r="D933" t="inlineStr">
        <is>
          <t>GOTLANDS LÄN</t>
        </is>
      </c>
      <c r="E933" t="inlineStr">
        <is>
          <t>GOTLAND</t>
        </is>
      </c>
      <c r="G933" t="n">
        <v>1.1</v>
      </c>
      <c r="H933" t="n">
        <v>0</v>
      </c>
      <c r="I933" t="n">
        <v>0</v>
      </c>
      <c r="J933" t="n">
        <v>0</v>
      </c>
      <c r="K933" t="n">
        <v>0</v>
      </c>
      <c r="L933" t="n">
        <v>0</v>
      </c>
      <c r="M933" t="n">
        <v>0</v>
      </c>
      <c r="N933" t="n">
        <v>0</v>
      </c>
      <c r="O933" t="n">
        <v>0</v>
      </c>
      <c r="P933" t="n">
        <v>0</v>
      </c>
      <c r="Q933" t="n">
        <v>0</v>
      </c>
      <c r="R933" s="2" t="inlineStr"/>
    </row>
    <row r="934" ht="15" customHeight="1">
      <c r="A934" t="inlineStr">
        <is>
          <t>A 49167-2024</t>
        </is>
      </c>
      <c r="B934" s="1" t="n">
        <v>45595</v>
      </c>
      <c r="C934" s="1" t="n">
        <v>45635</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49315-2024</t>
        </is>
      </c>
      <c r="B935" s="1" t="n">
        <v>45595</v>
      </c>
      <c r="C935" s="1" t="n">
        <v>45635</v>
      </c>
      <c r="D935" t="inlineStr">
        <is>
          <t>GOTLANDS LÄN</t>
        </is>
      </c>
      <c r="E935" t="inlineStr">
        <is>
          <t>GOTLAND</t>
        </is>
      </c>
      <c r="G935" t="n">
        <v>1.5</v>
      </c>
      <c r="H935" t="n">
        <v>0</v>
      </c>
      <c r="I935" t="n">
        <v>0</v>
      </c>
      <c r="J935" t="n">
        <v>0</v>
      </c>
      <c r="K935" t="n">
        <v>0</v>
      </c>
      <c r="L935" t="n">
        <v>0</v>
      </c>
      <c r="M935" t="n">
        <v>0</v>
      </c>
      <c r="N935" t="n">
        <v>0</v>
      </c>
      <c r="O935" t="n">
        <v>0</v>
      </c>
      <c r="P935" t="n">
        <v>0</v>
      </c>
      <c r="Q935" t="n">
        <v>0</v>
      </c>
      <c r="R935" s="2" t="inlineStr"/>
    </row>
    <row r="936" ht="15" customHeight="1">
      <c r="A936" t="inlineStr">
        <is>
          <t>A 49257-2024</t>
        </is>
      </c>
      <c r="B936" s="1" t="n">
        <v>45595</v>
      </c>
      <c r="C936" s="1" t="n">
        <v>45635</v>
      </c>
      <c r="D936" t="inlineStr">
        <is>
          <t>GOTLANDS LÄN</t>
        </is>
      </c>
      <c r="E936" t="inlineStr">
        <is>
          <t>GOTLAND</t>
        </is>
      </c>
      <c r="G936" t="n">
        <v>6.3</v>
      </c>
      <c r="H936" t="n">
        <v>0</v>
      </c>
      <c r="I936" t="n">
        <v>0</v>
      </c>
      <c r="J936" t="n">
        <v>0</v>
      </c>
      <c r="K936" t="n">
        <v>0</v>
      </c>
      <c r="L936" t="n">
        <v>0</v>
      </c>
      <c r="M936" t="n">
        <v>0</v>
      </c>
      <c r="N936" t="n">
        <v>0</v>
      </c>
      <c r="O936" t="n">
        <v>0</v>
      </c>
      <c r="P936" t="n">
        <v>0</v>
      </c>
      <c r="Q936" t="n">
        <v>0</v>
      </c>
      <c r="R936" s="2" t="inlineStr"/>
    </row>
    <row r="937" ht="15" customHeight="1">
      <c r="A937" t="inlineStr">
        <is>
          <t>A 49874-2024</t>
        </is>
      </c>
      <c r="B937" s="1" t="n">
        <v>45597</v>
      </c>
      <c r="C937" s="1" t="n">
        <v>45635</v>
      </c>
      <c r="D937" t="inlineStr">
        <is>
          <t>GOTLANDS LÄN</t>
        </is>
      </c>
      <c r="E937" t="inlineStr">
        <is>
          <t>GOTLAND</t>
        </is>
      </c>
      <c r="G937" t="n">
        <v>1.1</v>
      </c>
      <c r="H937" t="n">
        <v>0</v>
      </c>
      <c r="I937" t="n">
        <v>0</v>
      </c>
      <c r="J937" t="n">
        <v>0</v>
      </c>
      <c r="K937" t="n">
        <v>0</v>
      </c>
      <c r="L937" t="n">
        <v>0</v>
      </c>
      <c r="M937" t="n">
        <v>0</v>
      </c>
      <c r="N937" t="n">
        <v>0</v>
      </c>
      <c r="O937" t="n">
        <v>0</v>
      </c>
      <c r="P937" t="n">
        <v>0</v>
      </c>
      <c r="Q937" t="n">
        <v>0</v>
      </c>
      <c r="R937" s="2" t="inlineStr"/>
    </row>
    <row r="938" ht="15" customHeight="1">
      <c r="A938" t="inlineStr">
        <is>
          <t>A 50021-2024</t>
        </is>
      </c>
      <c r="B938" s="1" t="n">
        <v>45599</v>
      </c>
      <c r="C938" s="1" t="n">
        <v>45635</v>
      </c>
      <c r="D938" t="inlineStr">
        <is>
          <t>GOTLANDS LÄN</t>
        </is>
      </c>
      <c r="E938" t="inlineStr">
        <is>
          <t>GOTLAND</t>
        </is>
      </c>
      <c r="G938" t="n">
        <v>2.1</v>
      </c>
      <c r="H938" t="n">
        <v>0</v>
      </c>
      <c r="I938" t="n">
        <v>0</v>
      </c>
      <c r="J938" t="n">
        <v>0</v>
      </c>
      <c r="K938" t="n">
        <v>0</v>
      </c>
      <c r="L938" t="n">
        <v>0</v>
      </c>
      <c r="M938" t="n">
        <v>0</v>
      </c>
      <c r="N938" t="n">
        <v>0</v>
      </c>
      <c r="O938" t="n">
        <v>0</v>
      </c>
      <c r="P938" t="n">
        <v>0</v>
      </c>
      <c r="Q938" t="n">
        <v>0</v>
      </c>
      <c r="R938" s="2" t="inlineStr"/>
    </row>
    <row r="939" ht="15" customHeight="1">
      <c r="A939" t="inlineStr">
        <is>
          <t>A 50023-2024</t>
        </is>
      </c>
      <c r="B939" s="1" t="n">
        <v>45599</v>
      </c>
      <c r="C939" s="1" t="n">
        <v>45635</v>
      </c>
      <c r="D939" t="inlineStr">
        <is>
          <t>GOTLANDS LÄN</t>
        </is>
      </c>
      <c r="E939" t="inlineStr">
        <is>
          <t>GOTLAND</t>
        </is>
      </c>
      <c r="G939" t="n">
        <v>2</v>
      </c>
      <c r="H939" t="n">
        <v>0</v>
      </c>
      <c r="I939" t="n">
        <v>0</v>
      </c>
      <c r="J939" t="n">
        <v>0</v>
      </c>
      <c r="K939" t="n">
        <v>0</v>
      </c>
      <c r="L939" t="n">
        <v>0</v>
      </c>
      <c r="M939" t="n">
        <v>0</v>
      </c>
      <c r="N939" t="n">
        <v>0</v>
      </c>
      <c r="O939" t="n">
        <v>0</v>
      </c>
      <c r="P939" t="n">
        <v>0</v>
      </c>
      <c r="Q939" t="n">
        <v>0</v>
      </c>
      <c r="R939" s="2" t="inlineStr"/>
    </row>
    <row r="940" ht="15" customHeight="1">
      <c r="A940" t="inlineStr">
        <is>
          <t>A 50022-2024</t>
        </is>
      </c>
      <c r="B940" s="1" t="n">
        <v>45599</v>
      </c>
      <c r="C940" s="1" t="n">
        <v>45635</v>
      </c>
      <c r="D940" t="inlineStr">
        <is>
          <t>GOTLANDS LÄN</t>
        </is>
      </c>
      <c r="E940" t="inlineStr">
        <is>
          <t>GOTLAND</t>
        </is>
      </c>
      <c r="G940" t="n">
        <v>4</v>
      </c>
      <c r="H940" t="n">
        <v>0</v>
      </c>
      <c r="I940" t="n">
        <v>0</v>
      </c>
      <c r="J940" t="n">
        <v>0</v>
      </c>
      <c r="K940" t="n">
        <v>0</v>
      </c>
      <c r="L940" t="n">
        <v>0</v>
      </c>
      <c r="M940" t="n">
        <v>0</v>
      </c>
      <c r="N940" t="n">
        <v>0</v>
      </c>
      <c r="O940" t="n">
        <v>0</v>
      </c>
      <c r="P940" t="n">
        <v>0</v>
      </c>
      <c r="Q940" t="n">
        <v>0</v>
      </c>
      <c r="R940" s="2" t="inlineStr"/>
    </row>
    <row r="941" ht="15" customHeight="1">
      <c r="A941" t="inlineStr">
        <is>
          <t>A 50482-2024</t>
        </is>
      </c>
      <c r="B941" s="1" t="n">
        <v>45601</v>
      </c>
      <c r="C941" s="1" t="n">
        <v>45635</v>
      </c>
      <c r="D941" t="inlineStr">
        <is>
          <t>GOTLANDS LÄN</t>
        </is>
      </c>
      <c r="E941" t="inlineStr">
        <is>
          <t>GOTLAND</t>
        </is>
      </c>
      <c r="G941" t="n">
        <v>2.3</v>
      </c>
      <c r="H941" t="n">
        <v>0</v>
      </c>
      <c r="I941" t="n">
        <v>0</v>
      </c>
      <c r="J941" t="n">
        <v>0</v>
      </c>
      <c r="K941" t="n">
        <v>0</v>
      </c>
      <c r="L941" t="n">
        <v>0</v>
      </c>
      <c r="M941" t="n">
        <v>0</v>
      </c>
      <c r="N941" t="n">
        <v>0</v>
      </c>
      <c r="O941" t="n">
        <v>0</v>
      </c>
      <c r="P941" t="n">
        <v>0</v>
      </c>
      <c r="Q941" t="n">
        <v>0</v>
      </c>
      <c r="R941" s="2" t="inlineStr"/>
    </row>
    <row r="942" ht="15" customHeight="1">
      <c r="A942" t="inlineStr">
        <is>
          <t>A 50470-2024</t>
        </is>
      </c>
      <c r="B942" s="1" t="n">
        <v>45601</v>
      </c>
      <c r="C942" s="1" t="n">
        <v>45635</v>
      </c>
      <c r="D942" t="inlineStr">
        <is>
          <t>GOTLANDS LÄN</t>
        </is>
      </c>
      <c r="E942" t="inlineStr">
        <is>
          <t>GOTLAND</t>
        </is>
      </c>
      <c r="G942" t="n">
        <v>3.4</v>
      </c>
      <c r="H942" t="n">
        <v>0</v>
      </c>
      <c r="I942" t="n">
        <v>0</v>
      </c>
      <c r="J942" t="n">
        <v>0</v>
      </c>
      <c r="K942" t="n">
        <v>0</v>
      </c>
      <c r="L942" t="n">
        <v>0</v>
      </c>
      <c r="M942" t="n">
        <v>0</v>
      </c>
      <c r="N942" t="n">
        <v>0</v>
      </c>
      <c r="O942" t="n">
        <v>0</v>
      </c>
      <c r="P942" t="n">
        <v>0</v>
      </c>
      <c r="Q942" t="n">
        <v>0</v>
      </c>
      <c r="R942" s="2" t="inlineStr"/>
    </row>
    <row r="943" ht="15" customHeight="1">
      <c r="A943" t="inlineStr">
        <is>
          <t>A 50744-2024</t>
        </is>
      </c>
      <c r="B943" s="1" t="n">
        <v>45602</v>
      </c>
      <c r="C943" s="1" t="n">
        <v>45635</v>
      </c>
      <c r="D943" t="inlineStr">
        <is>
          <t>GOTLANDS LÄN</t>
        </is>
      </c>
      <c r="E943" t="inlineStr">
        <is>
          <t>GOTLAND</t>
        </is>
      </c>
      <c r="G943" t="n">
        <v>3.2</v>
      </c>
      <c r="H943" t="n">
        <v>0</v>
      </c>
      <c r="I943" t="n">
        <v>0</v>
      </c>
      <c r="J943" t="n">
        <v>0</v>
      </c>
      <c r="K943" t="n">
        <v>0</v>
      </c>
      <c r="L943" t="n">
        <v>0</v>
      </c>
      <c r="M943" t="n">
        <v>0</v>
      </c>
      <c r="N943" t="n">
        <v>0</v>
      </c>
      <c r="O943" t="n">
        <v>0</v>
      </c>
      <c r="P943" t="n">
        <v>0</v>
      </c>
      <c r="Q943" t="n">
        <v>0</v>
      </c>
      <c r="R943" s="2" t="inlineStr"/>
    </row>
    <row r="944" ht="15" customHeight="1">
      <c r="A944" t="inlineStr">
        <is>
          <t>A 50958-2024</t>
        </is>
      </c>
      <c r="B944" s="1" t="n">
        <v>45603</v>
      </c>
      <c r="C944" s="1" t="n">
        <v>45635</v>
      </c>
      <c r="D944" t="inlineStr">
        <is>
          <t>GOTLANDS LÄN</t>
        </is>
      </c>
      <c r="E944" t="inlineStr">
        <is>
          <t>GOTLAND</t>
        </is>
      </c>
      <c r="G944" t="n">
        <v>1.7</v>
      </c>
      <c r="H944" t="n">
        <v>0</v>
      </c>
      <c r="I944" t="n">
        <v>0</v>
      </c>
      <c r="J944" t="n">
        <v>0</v>
      </c>
      <c r="K944" t="n">
        <v>0</v>
      </c>
      <c r="L944" t="n">
        <v>0</v>
      </c>
      <c r="M944" t="n">
        <v>0</v>
      </c>
      <c r="N944" t="n">
        <v>0</v>
      </c>
      <c r="O944" t="n">
        <v>0</v>
      </c>
      <c r="P944" t="n">
        <v>0</v>
      </c>
      <c r="Q944" t="n">
        <v>0</v>
      </c>
      <c r="R944" s="2" t="inlineStr"/>
    </row>
    <row r="945" ht="15" customHeight="1">
      <c r="A945" t="inlineStr">
        <is>
          <t>A 50962-2024</t>
        </is>
      </c>
      <c r="B945" s="1" t="n">
        <v>45603</v>
      </c>
      <c r="C945" s="1" t="n">
        <v>45635</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51321-2024</t>
        </is>
      </c>
      <c r="B946" s="1" t="n">
        <v>45604</v>
      </c>
      <c r="C946" s="1" t="n">
        <v>45635</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51963-2024</t>
        </is>
      </c>
      <c r="B947" s="1" t="n">
        <v>45607</v>
      </c>
      <c r="C947" s="1" t="n">
        <v>45635</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52831-2024</t>
        </is>
      </c>
      <c r="B948" s="1" t="n">
        <v>45610</v>
      </c>
      <c r="C948" s="1" t="n">
        <v>45635</v>
      </c>
      <c r="D948" t="inlineStr">
        <is>
          <t>GOTLANDS LÄN</t>
        </is>
      </c>
      <c r="E948" t="inlineStr">
        <is>
          <t>GOTLAND</t>
        </is>
      </c>
      <c r="G948" t="n">
        <v>1.2</v>
      </c>
      <c r="H948" t="n">
        <v>0</v>
      </c>
      <c r="I948" t="n">
        <v>0</v>
      </c>
      <c r="J948" t="n">
        <v>0</v>
      </c>
      <c r="K948" t="n">
        <v>0</v>
      </c>
      <c r="L948" t="n">
        <v>0</v>
      </c>
      <c r="M948" t="n">
        <v>0</v>
      </c>
      <c r="N948" t="n">
        <v>0</v>
      </c>
      <c r="O948" t="n">
        <v>0</v>
      </c>
      <c r="P948" t="n">
        <v>0</v>
      </c>
      <c r="Q948" t="n">
        <v>0</v>
      </c>
      <c r="R948" s="2" t="inlineStr"/>
    </row>
    <row r="949" ht="15" customHeight="1">
      <c r="A949" t="inlineStr">
        <is>
          <t>A 53129-2024</t>
        </is>
      </c>
      <c r="B949" s="1" t="n">
        <v>45611</v>
      </c>
      <c r="C949" s="1" t="n">
        <v>45635</v>
      </c>
      <c r="D949" t="inlineStr">
        <is>
          <t>GOTLANDS LÄN</t>
        </is>
      </c>
      <c r="E949" t="inlineStr">
        <is>
          <t>GOTLAND</t>
        </is>
      </c>
      <c r="G949" t="n">
        <v>4.2</v>
      </c>
      <c r="H949" t="n">
        <v>0</v>
      </c>
      <c r="I949" t="n">
        <v>0</v>
      </c>
      <c r="J949" t="n">
        <v>0</v>
      </c>
      <c r="K949" t="n">
        <v>0</v>
      </c>
      <c r="L949" t="n">
        <v>0</v>
      </c>
      <c r="M949" t="n">
        <v>0</v>
      </c>
      <c r="N949" t="n">
        <v>0</v>
      </c>
      <c r="O949" t="n">
        <v>0</v>
      </c>
      <c r="P949" t="n">
        <v>0</v>
      </c>
      <c r="Q949" t="n">
        <v>0</v>
      </c>
      <c r="R949" s="2" t="inlineStr"/>
    </row>
    <row r="950" ht="15" customHeight="1">
      <c r="A950" t="inlineStr">
        <is>
          <t>A 53934-2024</t>
        </is>
      </c>
      <c r="B950" s="1" t="n">
        <v>45615</v>
      </c>
      <c r="C950" s="1" t="n">
        <v>45635</v>
      </c>
      <c r="D950" t="inlineStr">
        <is>
          <t>GOTLANDS LÄN</t>
        </is>
      </c>
      <c r="E950" t="inlineStr">
        <is>
          <t>GOTLAND</t>
        </is>
      </c>
      <c r="G950" t="n">
        <v>5</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45635</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54081-2024</t>
        </is>
      </c>
      <c r="B952" s="1" t="n">
        <v>45616</v>
      </c>
      <c r="C952" s="1" t="n">
        <v>45635</v>
      </c>
      <c r="D952" t="inlineStr">
        <is>
          <t>GOTLANDS LÄN</t>
        </is>
      </c>
      <c r="E952" t="inlineStr">
        <is>
          <t>GOTLAND</t>
        </is>
      </c>
      <c r="G952" t="n">
        <v>3.5</v>
      </c>
      <c r="H952" t="n">
        <v>0</v>
      </c>
      <c r="I952" t="n">
        <v>0</v>
      </c>
      <c r="J952" t="n">
        <v>0</v>
      </c>
      <c r="K952" t="n">
        <v>0</v>
      </c>
      <c r="L952" t="n">
        <v>0</v>
      </c>
      <c r="M952" t="n">
        <v>0</v>
      </c>
      <c r="N952" t="n">
        <v>0</v>
      </c>
      <c r="O952" t="n">
        <v>0</v>
      </c>
      <c r="P952" t="n">
        <v>0</v>
      </c>
      <c r="Q952" t="n">
        <v>0</v>
      </c>
      <c r="R952" s="2" t="inlineStr"/>
    </row>
    <row r="953" ht="15" customHeight="1">
      <c r="A953" t="inlineStr">
        <is>
          <t>A 54355-2024</t>
        </is>
      </c>
      <c r="B953" s="1" t="n">
        <v>45617</v>
      </c>
      <c r="C953" s="1" t="n">
        <v>45635</v>
      </c>
      <c r="D953" t="inlineStr">
        <is>
          <t>GOTLANDS LÄN</t>
        </is>
      </c>
      <c r="E953" t="inlineStr">
        <is>
          <t>GOTLAND</t>
        </is>
      </c>
      <c r="G953" t="n">
        <v>2.6</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45635</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45635</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55102-2024</t>
        </is>
      </c>
      <c r="B956" s="1" t="n">
        <v>45621</v>
      </c>
      <c r="C956" s="1" t="n">
        <v>45635</v>
      </c>
      <c r="D956" t="inlineStr">
        <is>
          <t>GOTLANDS LÄN</t>
        </is>
      </c>
      <c r="E956" t="inlineStr">
        <is>
          <t>GOTLAND</t>
        </is>
      </c>
      <c r="G956" t="n">
        <v>0.8</v>
      </c>
      <c r="H956" t="n">
        <v>0</v>
      </c>
      <c r="I956" t="n">
        <v>0</v>
      </c>
      <c r="J956" t="n">
        <v>0</v>
      </c>
      <c r="K956" t="n">
        <v>0</v>
      </c>
      <c r="L956" t="n">
        <v>0</v>
      </c>
      <c r="M956" t="n">
        <v>0</v>
      </c>
      <c r="N956" t="n">
        <v>0</v>
      </c>
      <c r="O956" t="n">
        <v>0</v>
      </c>
      <c r="P956" t="n">
        <v>0</v>
      </c>
      <c r="Q956" t="n">
        <v>0</v>
      </c>
      <c r="R956" s="2" t="inlineStr"/>
    </row>
    <row r="957" ht="15" customHeight="1">
      <c r="A957" t="inlineStr">
        <is>
          <t>A 55435-2024</t>
        </is>
      </c>
      <c r="B957" s="1" t="n">
        <v>45621</v>
      </c>
      <c r="C957" s="1" t="n">
        <v>45635</v>
      </c>
      <c r="D957" t="inlineStr">
        <is>
          <t>GOTLANDS LÄN</t>
        </is>
      </c>
      <c r="E957" t="inlineStr">
        <is>
          <t>GOTLAND</t>
        </is>
      </c>
      <c r="G957" t="n">
        <v>3.1</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45635</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45635</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55653-2024</t>
        </is>
      </c>
      <c r="B960" s="1" t="n">
        <v>45622</v>
      </c>
      <c r="C960" s="1" t="n">
        <v>45635</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56009-2024</t>
        </is>
      </c>
      <c r="B961" s="1" t="n">
        <v>45623</v>
      </c>
      <c r="C961" s="1" t="n">
        <v>45635</v>
      </c>
      <c r="D961" t="inlineStr">
        <is>
          <t>GOTLANDS LÄN</t>
        </is>
      </c>
      <c r="E961" t="inlineStr">
        <is>
          <t>GOTLAND</t>
        </is>
      </c>
      <c r="G961" t="n">
        <v>2.8</v>
      </c>
      <c r="H961" t="n">
        <v>0</v>
      </c>
      <c r="I961" t="n">
        <v>0</v>
      </c>
      <c r="J961" t="n">
        <v>0</v>
      </c>
      <c r="K961" t="n">
        <v>0</v>
      </c>
      <c r="L961" t="n">
        <v>0</v>
      </c>
      <c r="M961" t="n">
        <v>0</v>
      </c>
      <c r="N961" t="n">
        <v>0</v>
      </c>
      <c r="O961" t="n">
        <v>0</v>
      </c>
      <c r="P961" t="n">
        <v>0</v>
      </c>
      <c r="Q961" t="n">
        <v>0</v>
      </c>
      <c r="R961" s="2" t="inlineStr"/>
    </row>
    <row r="962" ht="15" customHeight="1">
      <c r="A962" t="inlineStr">
        <is>
          <t>A 57374-2024</t>
        </is>
      </c>
      <c r="B962" s="1" t="n">
        <v>45629</v>
      </c>
      <c r="C962" s="1" t="n">
        <v>45635</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58160-2024</t>
        </is>
      </c>
      <c r="B963" s="1" t="n">
        <v>45632</v>
      </c>
      <c r="C963" s="1" t="n">
        <v>45635</v>
      </c>
      <c r="D963" t="inlineStr">
        <is>
          <t>GOTLANDS LÄN</t>
        </is>
      </c>
      <c r="E963" t="inlineStr">
        <is>
          <t>GOTLAND</t>
        </is>
      </c>
      <c r="G963" t="n">
        <v>5.6</v>
      </c>
      <c r="H963" t="n">
        <v>0</v>
      </c>
      <c r="I963" t="n">
        <v>0</v>
      </c>
      <c r="J963" t="n">
        <v>0</v>
      </c>
      <c r="K963" t="n">
        <v>0</v>
      </c>
      <c r="L963" t="n">
        <v>0</v>
      </c>
      <c r="M963" t="n">
        <v>0</v>
      </c>
      <c r="N963" t="n">
        <v>0</v>
      </c>
      <c r="O963" t="n">
        <v>0</v>
      </c>
      <c r="P963" t="n">
        <v>0</v>
      </c>
      <c r="Q963" t="n">
        <v>0</v>
      </c>
      <c r="R963" s="2" t="inlineStr"/>
    </row>
    <row r="964" ht="15" customHeight="1">
      <c r="A964" t="inlineStr">
        <is>
          <t>A 58230-2024</t>
        </is>
      </c>
      <c r="B964" s="1" t="n">
        <v>45632</v>
      </c>
      <c r="C964" s="1" t="n">
        <v>45635</v>
      </c>
      <c r="D964" t="inlineStr">
        <is>
          <t>GOTLANDS LÄN</t>
        </is>
      </c>
      <c r="E964" t="inlineStr">
        <is>
          <t>GOTLAND</t>
        </is>
      </c>
      <c r="G964" t="n">
        <v>7.3</v>
      </c>
      <c r="H964" t="n">
        <v>0</v>
      </c>
      <c r="I964" t="n">
        <v>0</v>
      </c>
      <c r="J964" t="n">
        <v>0</v>
      </c>
      <c r="K964" t="n">
        <v>0</v>
      </c>
      <c r="L964" t="n">
        <v>0</v>
      </c>
      <c r="M964" t="n">
        <v>0</v>
      </c>
      <c r="N964" t="n">
        <v>0</v>
      </c>
      <c r="O964" t="n">
        <v>0</v>
      </c>
      <c r="P964" t="n">
        <v>0</v>
      </c>
      <c r="Q964" t="n">
        <v>0</v>
      </c>
      <c r="R964" s="2" t="inlineStr"/>
    </row>
    <row r="965">
      <c r="A965" t="inlineStr">
        <is>
          <t>A 58211-2024</t>
        </is>
      </c>
      <c r="B965" s="1" t="n">
        <v>45632</v>
      </c>
      <c r="C965" s="1" t="n">
        <v>45635</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2024-12-09T15:04:08Z</dcterms:created>
  <dcterms:modified xmlns:dcterms="http://purl.org/dc/terms/" xmlns:xsi="http://www.w3.org/2001/XMLSchema-instance" xsi:type="dcterms:W3CDTF">2024-12-09T15:04:09Z</dcterms:modified>
</cp:coreProperties>
</file>