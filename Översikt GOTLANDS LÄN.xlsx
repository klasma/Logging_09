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45829</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45829</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45829</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45829</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45829</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45829</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45829</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45829</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45829</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45829</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45829</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45829</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45829</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45829</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45829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45829</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45829</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45829</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45829</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45829</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45829</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45829</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45829</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45829</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45829</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45829</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45829</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45829</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45829</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45829</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45829</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45829</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45829</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45829</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45829</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45829</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45829</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45829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45829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45829</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45829</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45829</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45829</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45829</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45829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45829</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45829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45829</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45829</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45829</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45829</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45829</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45829</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45829</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45829</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45829</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45829</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45829</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45829</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45829</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45829</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45829</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45829</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45829</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45829</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45829</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45829</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45829</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45829</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45829</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45829</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45829</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45829</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45829</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45829</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45829</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45829</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45829</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45829</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45829</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45829</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45829</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45829</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45829</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45829</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45829</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45829</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45829</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45829</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45829</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45829</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45829</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45829</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45829</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45829</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45829</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45829</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45829</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45829</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45829</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45829</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45829</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45829</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45829</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45829</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45829</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45829</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45829</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45829</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45829</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45829</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45829</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45829</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45829</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45829</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45829</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45829</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45829</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45829</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45829</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45829</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45829</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45829</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45829</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45829</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45829</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45829</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45829</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45829</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45829</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45829</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45829</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45829</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45829</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45829</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45829</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45829</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45829</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45829</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45829</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45829</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45829</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45829</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45829</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45829</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45829</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45829</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45829</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45829</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45829</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45829</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45829</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45829</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45829</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21897-2019</t>
        </is>
      </c>
      <c r="B161" s="1" t="n">
        <v>43584</v>
      </c>
      <c r="C161" s="1" t="n">
        <v>45829</v>
      </c>
      <c r="D161" t="inlineStr">
        <is>
          <t>GOTLANDS LÄN</t>
        </is>
      </c>
      <c r="E161" t="inlineStr">
        <is>
          <t>GOTLAND</t>
        </is>
      </c>
      <c r="G161" t="n">
        <v>7.4</v>
      </c>
      <c r="H161" t="n">
        <v>2</v>
      </c>
      <c r="I161" t="n">
        <v>1</v>
      </c>
      <c r="J161" t="n">
        <v>0</v>
      </c>
      <c r="K161" t="n">
        <v>0</v>
      </c>
      <c r="L161" t="n">
        <v>0</v>
      </c>
      <c r="M161" t="n">
        <v>0</v>
      </c>
      <c r="N161" t="n">
        <v>0</v>
      </c>
      <c r="O161" t="n">
        <v>0</v>
      </c>
      <c r="P161" t="n">
        <v>0</v>
      </c>
      <c r="Q161" t="n">
        <v>2</v>
      </c>
      <c r="R161" s="2" t="inlineStr">
        <is>
          <t>Korallrot
Nattviol</t>
        </is>
      </c>
      <c r="S161">
        <f>HYPERLINK("https://klasma.github.io/Logging_0980/artfynd/A 21897-2019 artfynd.xlsx", "A 21897-2019")</f>
        <v/>
      </c>
      <c r="T161">
        <f>HYPERLINK("https://klasma.github.io/Logging_0980/kartor/A 21897-2019 karta.png", "A 21897-2019")</f>
        <v/>
      </c>
      <c r="V161">
        <f>HYPERLINK("https://klasma.github.io/Logging_0980/klagomål/A 21897-2019 FSC-klagomål.docx", "A 21897-2019")</f>
        <v/>
      </c>
      <c r="W161">
        <f>HYPERLINK("https://klasma.github.io/Logging_0980/klagomålsmail/A 21897-2019 FSC-klagomål mail.docx", "A 21897-2019")</f>
        <v/>
      </c>
      <c r="X161">
        <f>HYPERLINK("https://klasma.github.io/Logging_0980/tillsyn/A 21897-2019 tillsynsbegäran.docx", "A 21897-2019")</f>
        <v/>
      </c>
      <c r="Y161">
        <f>HYPERLINK("https://klasma.github.io/Logging_0980/tillsynsmail/A 21897-2019 tillsynsbegäran mail.docx", "A 21897-2019")</f>
        <v/>
      </c>
    </row>
    <row r="162" ht="15" customHeight="1">
      <c r="A162" t="inlineStr">
        <is>
          <t>A 32969-2019</t>
        </is>
      </c>
      <c r="B162" s="1" t="n">
        <v>43648</v>
      </c>
      <c r="C162" s="1" t="n">
        <v>45829</v>
      </c>
      <c r="D162" t="inlineStr">
        <is>
          <t>GOTLANDS LÄN</t>
        </is>
      </c>
      <c r="E162" t="inlineStr">
        <is>
          <t>GOTLAND</t>
        </is>
      </c>
      <c r="G162" t="n">
        <v>5.1</v>
      </c>
      <c r="H162" t="n">
        <v>0</v>
      </c>
      <c r="I162" t="n">
        <v>1</v>
      </c>
      <c r="J162" t="n">
        <v>1</v>
      </c>
      <c r="K162" t="n">
        <v>0</v>
      </c>
      <c r="L162" t="n">
        <v>0</v>
      </c>
      <c r="M162" t="n">
        <v>0</v>
      </c>
      <c r="N162" t="n">
        <v>0</v>
      </c>
      <c r="O162" t="n">
        <v>1</v>
      </c>
      <c r="P162" t="n">
        <v>0</v>
      </c>
      <c r="Q162" t="n">
        <v>2</v>
      </c>
      <c r="R162" s="2" t="inlineStr">
        <is>
          <t>Odörspindling
Anisspindling</t>
        </is>
      </c>
      <c r="S162">
        <f>HYPERLINK("https://klasma.github.io/Logging_0980/artfynd/A 32969-2019 artfynd.xlsx", "A 32969-2019")</f>
        <v/>
      </c>
      <c r="T162">
        <f>HYPERLINK("https://klasma.github.io/Logging_0980/kartor/A 32969-2019 karta.png", "A 32969-2019")</f>
        <v/>
      </c>
      <c r="V162">
        <f>HYPERLINK("https://klasma.github.io/Logging_0980/klagomål/A 32969-2019 FSC-klagomål.docx", "A 32969-2019")</f>
        <v/>
      </c>
      <c r="W162">
        <f>HYPERLINK("https://klasma.github.io/Logging_0980/klagomålsmail/A 32969-2019 FSC-klagomål mail.docx", "A 32969-2019")</f>
        <v/>
      </c>
      <c r="X162">
        <f>HYPERLINK("https://klasma.github.io/Logging_0980/tillsyn/A 32969-2019 tillsynsbegäran.docx", "A 32969-2019")</f>
        <v/>
      </c>
      <c r="Y162">
        <f>HYPERLINK("https://klasma.github.io/Logging_0980/tillsynsmail/A 32969-2019 tillsynsbegäran mail.docx", "A 32969-2019")</f>
        <v/>
      </c>
    </row>
    <row r="163" ht="15" customHeight="1">
      <c r="A163" t="inlineStr">
        <is>
          <t>A 32966-2019</t>
        </is>
      </c>
      <c r="B163" s="1" t="n">
        <v>43648</v>
      </c>
      <c r="C163" s="1" t="n">
        <v>45829</v>
      </c>
      <c r="D163" t="inlineStr">
        <is>
          <t>GOTLANDS LÄN</t>
        </is>
      </c>
      <c r="E163" t="inlineStr">
        <is>
          <t>GOTLAND</t>
        </is>
      </c>
      <c r="G163" t="n">
        <v>4</v>
      </c>
      <c r="H163" t="n">
        <v>1</v>
      </c>
      <c r="I163" t="n">
        <v>1</v>
      </c>
      <c r="J163" t="n">
        <v>0</v>
      </c>
      <c r="K163" t="n">
        <v>0</v>
      </c>
      <c r="L163" t="n">
        <v>0</v>
      </c>
      <c r="M163" t="n">
        <v>0</v>
      </c>
      <c r="N163" t="n">
        <v>0</v>
      </c>
      <c r="O163" t="n">
        <v>0</v>
      </c>
      <c r="P163" t="n">
        <v>0</v>
      </c>
      <c r="Q163" t="n">
        <v>2</v>
      </c>
      <c r="R163" s="2" t="inlineStr">
        <is>
          <t>Kattfotslav
Blåsippa</t>
        </is>
      </c>
      <c r="S163">
        <f>HYPERLINK("https://klasma.github.io/Logging_0980/artfynd/A 32966-2019 artfynd.xlsx", "A 32966-2019")</f>
        <v/>
      </c>
      <c r="T163">
        <f>HYPERLINK("https://klasma.github.io/Logging_0980/kartor/A 32966-2019 karta.png", "A 32966-2019")</f>
        <v/>
      </c>
      <c r="V163">
        <f>HYPERLINK("https://klasma.github.io/Logging_0980/klagomål/A 32966-2019 FSC-klagomål.docx", "A 32966-2019")</f>
        <v/>
      </c>
      <c r="W163">
        <f>HYPERLINK("https://klasma.github.io/Logging_0980/klagomålsmail/A 32966-2019 FSC-klagomål mail.docx", "A 32966-2019")</f>
        <v/>
      </c>
      <c r="X163">
        <f>HYPERLINK("https://klasma.github.io/Logging_0980/tillsyn/A 32966-2019 tillsynsbegäran.docx", "A 32966-2019")</f>
        <v/>
      </c>
      <c r="Y163">
        <f>HYPERLINK("https://klasma.github.io/Logging_0980/tillsynsmail/A 32966-2019 tillsynsbegäran mail.docx", "A 32966-2019")</f>
        <v/>
      </c>
    </row>
    <row r="164" ht="15" customHeight="1">
      <c r="A164" t="inlineStr">
        <is>
          <t>A 43304-2019</t>
        </is>
      </c>
      <c r="B164" s="1" t="n">
        <v>43706</v>
      </c>
      <c r="C164" s="1" t="n">
        <v>45829</v>
      </c>
      <c r="D164" t="inlineStr">
        <is>
          <t>GOTLANDS LÄN</t>
        </is>
      </c>
      <c r="E164" t="inlineStr">
        <is>
          <t>GOTLAND</t>
        </is>
      </c>
      <c r="G164" t="n">
        <v>3.2</v>
      </c>
      <c r="H164" t="n">
        <v>2</v>
      </c>
      <c r="I164" t="n">
        <v>1</v>
      </c>
      <c r="J164" t="n">
        <v>0</v>
      </c>
      <c r="K164" t="n">
        <v>0</v>
      </c>
      <c r="L164" t="n">
        <v>0</v>
      </c>
      <c r="M164" t="n">
        <v>0</v>
      </c>
      <c r="N164" t="n">
        <v>0</v>
      </c>
      <c r="O164" t="n">
        <v>0</v>
      </c>
      <c r="P164" t="n">
        <v>0</v>
      </c>
      <c r="Q164" t="n">
        <v>2</v>
      </c>
      <c r="R164" s="2" t="inlineStr">
        <is>
          <t>Skogsknipprot
Blåsippa</t>
        </is>
      </c>
      <c r="S164">
        <f>HYPERLINK("https://klasma.github.io/Logging_0980/artfynd/A 43304-2019 artfynd.xlsx", "A 43304-2019")</f>
        <v/>
      </c>
      <c r="T164">
        <f>HYPERLINK("https://klasma.github.io/Logging_0980/kartor/A 43304-2019 karta.png", "A 43304-2019")</f>
        <v/>
      </c>
      <c r="V164">
        <f>HYPERLINK("https://klasma.github.io/Logging_0980/klagomål/A 43304-2019 FSC-klagomål.docx", "A 43304-2019")</f>
        <v/>
      </c>
      <c r="W164">
        <f>HYPERLINK("https://klasma.github.io/Logging_0980/klagomålsmail/A 43304-2019 FSC-klagomål mail.docx", "A 43304-2019")</f>
        <v/>
      </c>
      <c r="X164">
        <f>HYPERLINK("https://klasma.github.io/Logging_0980/tillsyn/A 43304-2019 tillsynsbegäran.docx", "A 43304-2019")</f>
        <v/>
      </c>
      <c r="Y164">
        <f>HYPERLINK("https://klasma.github.io/Logging_0980/tillsynsmail/A 43304-2019 tillsynsbegäran mail.docx", "A 43304-2019")</f>
        <v/>
      </c>
    </row>
    <row r="165" ht="15" customHeight="1">
      <c r="A165" t="inlineStr">
        <is>
          <t>A 334-2020</t>
        </is>
      </c>
      <c r="B165" s="1" t="n">
        <v>43837</v>
      </c>
      <c r="C165" s="1" t="n">
        <v>45829</v>
      </c>
      <c r="D165" t="inlineStr">
        <is>
          <t>GOTLANDS LÄN</t>
        </is>
      </c>
      <c r="E165" t="inlineStr">
        <is>
          <t>GOTLAND</t>
        </is>
      </c>
      <c r="G165" t="n">
        <v>5.3</v>
      </c>
      <c r="H165" t="n">
        <v>2</v>
      </c>
      <c r="I165" t="n">
        <v>0</v>
      </c>
      <c r="J165" t="n">
        <v>1</v>
      </c>
      <c r="K165" t="n">
        <v>0</v>
      </c>
      <c r="L165" t="n">
        <v>0</v>
      </c>
      <c r="M165" t="n">
        <v>0</v>
      </c>
      <c r="N165" t="n">
        <v>0</v>
      </c>
      <c r="O165" t="n">
        <v>1</v>
      </c>
      <c r="P165" t="n">
        <v>0</v>
      </c>
      <c r="Q165" t="n">
        <v>2</v>
      </c>
      <c r="R165" s="2" t="inlineStr">
        <is>
          <t>Smådopping
Mindre vattensalamander</t>
        </is>
      </c>
      <c r="S165">
        <f>HYPERLINK("https://klasma.github.io/Logging_0980/artfynd/A 334-2020 artfynd.xlsx", "A 334-2020")</f>
        <v/>
      </c>
      <c r="T165">
        <f>HYPERLINK("https://klasma.github.io/Logging_0980/kartor/A 334-2020 karta.png", "A 334-2020")</f>
        <v/>
      </c>
      <c r="V165">
        <f>HYPERLINK("https://klasma.github.io/Logging_0980/klagomål/A 334-2020 FSC-klagomål.docx", "A 334-2020")</f>
        <v/>
      </c>
      <c r="W165">
        <f>HYPERLINK("https://klasma.github.io/Logging_0980/klagomålsmail/A 334-2020 FSC-klagomål mail.docx", "A 334-2020")</f>
        <v/>
      </c>
      <c r="X165">
        <f>HYPERLINK("https://klasma.github.io/Logging_0980/tillsyn/A 334-2020 tillsynsbegäran.docx", "A 334-2020")</f>
        <v/>
      </c>
      <c r="Y165">
        <f>HYPERLINK("https://klasma.github.io/Logging_0980/tillsynsmail/A 334-2020 tillsynsbegäran mail.docx", "A 334-2020")</f>
        <v/>
      </c>
    </row>
    <row r="166" ht="15" customHeight="1">
      <c r="A166" t="inlineStr">
        <is>
          <t>A 4812-2020</t>
        </is>
      </c>
      <c r="B166" s="1" t="n">
        <v>43852</v>
      </c>
      <c r="C166" s="1" t="n">
        <v>45829</v>
      </c>
      <c r="D166" t="inlineStr">
        <is>
          <t>GOTLANDS LÄN</t>
        </is>
      </c>
      <c r="E166" t="inlineStr">
        <is>
          <t>GOTLAND</t>
        </is>
      </c>
      <c r="G166" t="n">
        <v>3.9</v>
      </c>
      <c r="H166" t="n">
        <v>1</v>
      </c>
      <c r="I166" t="n">
        <v>1</v>
      </c>
      <c r="J166" t="n">
        <v>0</v>
      </c>
      <c r="K166" t="n">
        <v>1</v>
      </c>
      <c r="L166" t="n">
        <v>0</v>
      </c>
      <c r="M166" t="n">
        <v>0</v>
      </c>
      <c r="N166" t="n">
        <v>0</v>
      </c>
      <c r="O166" t="n">
        <v>1</v>
      </c>
      <c r="P166" t="n">
        <v>1</v>
      </c>
      <c r="Q166" t="n">
        <v>2</v>
      </c>
      <c r="R166" s="2" t="inlineStr">
        <is>
          <t>Gotlandsmåra
Nästrot</t>
        </is>
      </c>
      <c r="S166">
        <f>HYPERLINK("https://klasma.github.io/Logging_0980/artfynd/A 4812-2020 artfynd.xlsx", "A 4812-2020")</f>
        <v/>
      </c>
      <c r="T166">
        <f>HYPERLINK("https://klasma.github.io/Logging_0980/kartor/A 4812-2020 karta.png", "A 4812-2020")</f>
        <v/>
      </c>
      <c r="V166">
        <f>HYPERLINK("https://klasma.github.io/Logging_0980/klagomål/A 4812-2020 FSC-klagomål.docx", "A 4812-2020")</f>
        <v/>
      </c>
      <c r="W166">
        <f>HYPERLINK("https://klasma.github.io/Logging_0980/klagomålsmail/A 4812-2020 FSC-klagomål mail.docx", "A 4812-2020")</f>
        <v/>
      </c>
      <c r="X166">
        <f>HYPERLINK("https://klasma.github.io/Logging_0980/tillsyn/A 4812-2020 tillsynsbegäran.docx", "A 4812-2020")</f>
        <v/>
      </c>
      <c r="Y166">
        <f>HYPERLINK("https://klasma.github.io/Logging_0980/tillsynsmail/A 4812-2020 tillsynsbegäran mail.docx", "A 4812-2020")</f>
        <v/>
      </c>
    </row>
    <row r="167" ht="15" customHeight="1">
      <c r="A167" t="inlineStr">
        <is>
          <t>A 40879-2020</t>
        </is>
      </c>
      <c r="B167" s="1" t="n">
        <v>44070</v>
      </c>
      <c r="C167" s="1" t="n">
        <v>45829</v>
      </c>
      <c r="D167" t="inlineStr">
        <is>
          <t>GOTLANDS LÄN</t>
        </is>
      </c>
      <c r="E167" t="inlineStr">
        <is>
          <t>GOTLAND</t>
        </is>
      </c>
      <c r="G167" t="n">
        <v>6.4</v>
      </c>
      <c r="H167" t="n">
        <v>0</v>
      </c>
      <c r="I167" t="n">
        <v>1</v>
      </c>
      <c r="J167" t="n">
        <v>1</v>
      </c>
      <c r="K167" t="n">
        <v>0</v>
      </c>
      <c r="L167" t="n">
        <v>0</v>
      </c>
      <c r="M167" t="n">
        <v>0</v>
      </c>
      <c r="N167" t="n">
        <v>0</v>
      </c>
      <c r="O167" t="n">
        <v>1</v>
      </c>
      <c r="P167" t="n">
        <v>0</v>
      </c>
      <c r="Q167" t="n">
        <v>2</v>
      </c>
      <c r="R167" s="2" t="inlineStr">
        <is>
          <t>Odörspindling
Olivspindling</t>
        </is>
      </c>
      <c r="S167">
        <f>HYPERLINK("https://klasma.github.io/Logging_0980/artfynd/A 40879-2020 artfynd.xlsx", "A 40879-2020")</f>
        <v/>
      </c>
      <c r="T167">
        <f>HYPERLINK("https://klasma.github.io/Logging_0980/kartor/A 40879-2020 karta.png", "A 40879-2020")</f>
        <v/>
      </c>
      <c r="V167">
        <f>HYPERLINK("https://klasma.github.io/Logging_0980/klagomål/A 40879-2020 FSC-klagomål.docx", "A 40879-2020")</f>
        <v/>
      </c>
      <c r="W167">
        <f>HYPERLINK("https://klasma.github.io/Logging_0980/klagomålsmail/A 40879-2020 FSC-klagomål mail.docx", "A 40879-2020")</f>
        <v/>
      </c>
      <c r="X167">
        <f>HYPERLINK("https://klasma.github.io/Logging_0980/tillsyn/A 40879-2020 tillsynsbegäran.docx", "A 40879-2020")</f>
        <v/>
      </c>
      <c r="Y167">
        <f>HYPERLINK("https://klasma.github.io/Logging_0980/tillsynsmail/A 40879-2020 tillsynsbegäran mail.docx", "A 40879-2020")</f>
        <v/>
      </c>
    </row>
    <row r="168" ht="15" customHeight="1">
      <c r="A168" t="inlineStr">
        <is>
          <t>A 43321-2020</t>
        </is>
      </c>
      <c r="B168" s="1" t="n">
        <v>44081</v>
      </c>
      <c r="C168" s="1" t="n">
        <v>45829</v>
      </c>
      <c r="D168" t="inlineStr">
        <is>
          <t>GOTLANDS LÄN</t>
        </is>
      </c>
      <c r="E168" t="inlineStr">
        <is>
          <t>GOTLAND</t>
        </is>
      </c>
      <c r="G168" t="n">
        <v>10</v>
      </c>
      <c r="H168" t="n">
        <v>1</v>
      </c>
      <c r="I168" t="n">
        <v>0</v>
      </c>
      <c r="J168" t="n">
        <v>2</v>
      </c>
      <c r="K168" t="n">
        <v>0</v>
      </c>
      <c r="L168" t="n">
        <v>0</v>
      </c>
      <c r="M168" t="n">
        <v>0</v>
      </c>
      <c r="N168" t="n">
        <v>0</v>
      </c>
      <c r="O168" t="n">
        <v>2</v>
      </c>
      <c r="P168" t="n">
        <v>0</v>
      </c>
      <c r="Q168" t="n">
        <v>2</v>
      </c>
      <c r="R168" s="2" t="inlineStr">
        <is>
          <t>Buskskvätta
Ängsnätfjäril</t>
        </is>
      </c>
      <c r="S168">
        <f>HYPERLINK("https://klasma.github.io/Logging_0980/artfynd/A 43321-2020 artfynd.xlsx", "A 43321-2020")</f>
        <v/>
      </c>
      <c r="T168">
        <f>HYPERLINK("https://klasma.github.io/Logging_0980/kartor/A 43321-2020 karta.png", "A 43321-2020")</f>
        <v/>
      </c>
      <c r="V168">
        <f>HYPERLINK("https://klasma.github.io/Logging_0980/klagomål/A 43321-2020 FSC-klagomål.docx", "A 43321-2020")</f>
        <v/>
      </c>
      <c r="W168">
        <f>HYPERLINK("https://klasma.github.io/Logging_0980/klagomålsmail/A 43321-2020 FSC-klagomål mail.docx", "A 43321-2020")</f>
        <v/>
      </c>
      <c r="X168">
        <f>HYPERLINK("https://klasma.github.io/Logging_0980/tillsyn/A 43321-2020 tillsynsbegäran.docx", "A 43321-2020")</f>
        <v/>
      </c>
      <c r="Y168">
        <f>HYPERLINK("https://klasma.github.io/Logging_0980/tillsynsmail/A 43321-2020 tillsynsbegäran mail.docx", "A 43321-2020")</f>
        <v/>
      </c>
      <c r="Z168">
        <f>HYPERLINK("https://klasma.github.io/Logging_0980/fåglar/A 43321-2020 prioriterade fågelarter.docx", "A 43321-2020")</f>
        <v/>
      </c>
    </row>
    <row r="169" ht="15" customHeight="1">
      <c r="A169" t="inlineStr">
        <is>
          <t>A 58701-2020</t>
        </is>
      </c>
      <c r="B169" s="1" t="n">
        <v>44146</v>
      </c>
      <c r="C169" s="1" t="n">
        <v>45829</v>
      </c>
      <c r="D169" t="inlineStr">
        <is>
          <t>GOTLANDS LÄN</t>
        </is>
      </c>
      <c r="E169" t="inlineStr">
        <is>
          <t>GOTLAND</t>
        </is>
      </c>
      <c r="G169" t="n">
        <v>5.5</v>
      </c>
      <c r="H169" t="n">
        <v>0</v>
      </c>
      <c r="I169" t="n">
        <v>0</v>
      </c>
      <c r="J169" t="n">
        <v>1</v>
      </c>
      <c r="K169" t="n">
        <v>1</v>
      </c>
      <c r="L169" t="n">
        <v>0</v>
      </c>
      <c r="M169" t="n">
        <v>0</v>
      </c>
      <c r="N169" t="n">
        <v>0</v>
      </c>
      <c r="O169" t="n">
        <v>2</v>
      </c>
      <c r="P169" t="n">
        <v>1</v>
      </c>
      <c r="Q169" t="n">
        <v>2</v>
      </c>
      <c r="R169" s="2" t="inlineStr">
        <is>
          <t>Vit taggsvamp
Odörspindling</t>
        </is>
      </c>
      <c r="S169">
        <f>HYPERLINK("https://klasma.github.io/Logging_0980/artfynd/A 58701-2020 artfynd.xlsx", "A 58701-2020")</f>
        <v/>
      </c>
      <c r="T169">
        <f>HYPERLINK("https://klasma.github.io/Logging_0980/kartor/A 58701-2020 karta.png", "A 58701-2020")</f>
        <v/>
      </c>
      <c r="V169">
        <f>HYPERLINK("https://klasma.github.io/Logging_0980/klagomål/A 58701-2020 FSC-klagomål.docx", "A 58701-2020")</f>
        <v/>
      </c>
      <c r="W169">
        <f>HYPERLINK("https://klasma.github.io/Logging_0980/klagomålsmail/A 58701-2020 FSC-klagomål mail.docx", "A 58701-2020")</f>
        <v/>
      </c>
      <c r="X169">
        <f>HYPERLINK("https://klasma.github.io/Logging_0980/tillsyn/A 58701-2020 tillsynsbegäran.docx", "A 58701-2020")</f>
        <v/>
      </c>
      <c r="Y169">
        <f>HYPERLINK("https://klasma.github.io/Logging_0980/tillsynsmail/A 58701-2020 tillsynsbegäran mail.docx", "A 58701-2020")</f>
        <v/>
      </c>
    </row>
    <row r="170" ht="15" customHeight="1">
      <c r="A170" t="inlineStr">
        <is>
          <t>A 64263-2020</t>
        </is>
      </c>
      <c r="B170" s="1" t="n">
        <v>44168</v>
      </c>
      <c r="C170" s="1" t="n">
        <v>45829</v>
      </c>
      <c r="D170" t="inlineStr">
        <is>
          <t>GOTLANDS LÄN</t>
        </is>
      </c>
      <c r="E170" t="inlineStr">
        <is>
          <t>GOTLAND</t>
        </is>
      </c>
      <c r="G170" t="n">
        <v>10.9</v>
      </c>
      <c r="H170" t="n">
        <v>1</v>
      </c>
      <c r="I170" t="n">
        <v>0</v>
      </c>
      <c r="J170" t="n">
        <v>2</v>
      </c>
      <c r="K170" t="n">
        <v>0</v>
      </c>
      <c r="L170" t="n">
        <v>0</v>
      </c>
      <c r="M170" t="n">
        <v>0</v>
      </c>
      <c r="N170" t="n">
        <v>0</v>
      </c>
      <c r="O170" t="n">
        <v>2</v>
      </c>
      <c r="P170" t="n">
        <v>0</v>
      </c>
      <c r="Q170" t="n">
        <v>2</v>
      </c>
      <c r="R170" s="2" t="inlineStr">
        <is>
          <t>Mindre hackspett
Ullticka</t>
        </is>
      </c>
      <c r="S170">
        <f>HYPERLINK("https://klasma.github.io/Logging_0980/artfynd/A 64263-2020 artfynd.xlsx", "A 64263-2020")</f>
        <v/>
      </c>
      <c r="T170">
        <f>HYPERLINK("https://klasma.github.io/Logging_0980/kartor/A 64263-2020 karta.png", "A 64263-2020")</f>
        <v/>
      </c>
      <c r="V170">
        <f>HYPERLINK("https://klasma.github.io/Logging_0980/klagomål/A 64263-2020 FSC-klagomål.docx", "A 64263-2020")</f>
        <v/>
      </c>
      <c r="W170">
        <f>HYPERLINK("https://klasma.github.io/Logging_0980/klagomålsmail/A 64263-2020 FSC-klagomål mail.docx", "A 64263-2020")</f>
        <v/>
      </c>
      <c r="X170">
        <f>HYPERLINK("https://klasma.github.io/Logging_0980/tillsyn/A 64263-2020 tillsynsbegäran.docx", "A 64263-2020")</f>
        <v/>
      </c>
      <c r="Y170">
        <f>HYPERLINK("https://klasma.github.io/Logging_0980/tillsynsmail/A 64263-2020 tillsynsbegäran mail.docx", "A 64263-2020")</f>
        <v/>
      </c>
      <c r="Z170">
        <f>HYPERLINK("https://klasma.github.io/Logging_0980/fåglar/A 64263-2020 prioriterade fågelarter.docx", "A 64263-2020")</f>
        <v/>
      </c>
    </row>
    <row r="171" ht="15" customHeight="1">
      <c r="A171" t="inlineStr">
        <is>
          <t>A 9930-2021</t>
        </is>
      </c>
      <c r="B171" s="1" t="n">
        <v>44252</v>
      </c>
      <c r="C171" s="1" t="n">
        <v>45829</v>
      </c>
      <c r="D171" t="inlineStr">
        <is>
          <t>GOTLANDS LÄN</t>
        </is>
      </c>
      <c r="E171" t="inlineStr">
        <is>
          <t>GOTLAND</t>
        </is>
      </c>
      <c r="G171" t="n">
        <v>1.9</v>
      </c>
      <c r="H171" t="n">
        <v>0</v>
      </c>
      <c r="I171" t="n">
        <v>0</v>
      </c>
      <c r="J171" t="n">
        <v>0</v>
      </c>
      <c r="K171" t="n">
        <v>0</v>
      </c>
      <c r="L171" t="n">
        <v>1</v>
      </c>
      <c r="M171" t="n">
        <v>1</v>
      </c>
      <c r="N171" t="n">
        <v>0</v>
      </c>
      <c r="O171" t="n">
        <v>2</v>
      </c>
      <c r="P171" t="n">
        <v>2</v>
      </c>
      <c r="Q171" t="n">
        <v>2</v>
      </c>
      <c r="R171" s="2" t="inlineStr">
        <is>
          <t>Lundalm
Ask</t>
        </is>
      </c>
      <c r="S171">
        <f>HYPERLINK("https://klasma.github.io/Logging_0980/artfynd/A 9930-2021 artfynd.xlsx", "A 9930-2021")</f>
        <v/>
      </c>
      <c r="T171">
        <f>HYPERLINK("https://klasma.github.io/Logging_0980/kartor/A 9930-2021 karta.png", "A 9930-2021")</f>
        <v/>
      </c>
      <c r="V171">
        <f>HYPERLINK("https://klasma.github.io/Logging_0980/klagomål/A 9930-2021 FSC-klagomål.docx", "A 9930-2021")</f>
        <v/>
      </c>
      <c r="W171">
        <f>HYPERLINK("https://klasma.github.io/Logging_0980/klagomålsmail/A 9930-2021 FSC-klagomål mail.docx", "A 9930-2021")</f>
        <v/>
      </c>
      <c r="X171">
        <f>HYPERLINK("https://klasma.github.io/Logging_0980/tillsyn/A 9930-2021 tillsynsbegäran.docx", "A 9930-2021")</f>
        <v/>
      </c>
      <c r="Y171">
        <f>HYPERLINK("https://klasma.github.io/Logging_0980/tillsynsmail/A 9930-2021 tillsynsbegäran mail.docx", "A 9930-2021")</f>
        <v/>
      </c>
    </row>
    <row r="172" ht="15" customHeight="1">
      <c r="A172" t="inlineStr">
        <is>
          <t>A 16429-2021</t>
        </is>
      </c>
      <c r="B172" s="1" t="n">
        <v>44293</v>
      </c>
      <c r="C172" s="1" t="n">
        <v>45829</v>
      </c>
      <c r="D172" t="inlineStr">
        <is>
          <t>GOTLANDS LÄN</t>
        </is>
      </c>
      <c r="E172" t="inlineStr">
        <is>
          <t>GOTLAND</t>
        </is>
      </c>
      <c r="G172" t="n">
        <v>3.4</v>
      </c>
      <c r="H172" t="n">
        <v>0</v>
      </c>
      <c r="I172" t="n">
        <v>0</v>
      </c>
      <c r="J172" t="n">
        <v>1</v>
      </c>
      <c r="K172" t="n">
        <v>1</v>
      </c>
      <c r="L172" t="n">
        <v>0</v>
      </c>
      <c r="M172" t="n">
        <v>0</v>
      </c>
      <c r="N172" t="n">
        <v>0</v>
      </c>
      <c r="O172" t="n">
        <v>2</v>
      </c>
      <c r="P172" t="n">
        <v>1</v>
      </c>
      <c r="Q172" t="n">
        <v>2</v>
      </c>
      <c r="R172" s="2" t="inlineStr">
        <is>
          <t>Gotlandsmåra
Barrviolspindling</t>
        </is>
      </c>
      <c r="S172">
        <f>HYPERLINK("https://klasma.github.io/Logging_0980/artfynd/A 16429-2021 artfynd.xlsx", "A 16429-2021")</f>
        <v/>
      </c>
      <c r="T172">
        <f>HYPERLINK("https://klasma.github.io/Logging_0980/kartor/A 16429-2021 karta.png", "A 16429-2021")</f>
        <v/>
      </c>
      <c r="V172">
        <f>HYPERLINK("https://klasma.github.io/Logging_0980/klagomål/A 16429-2021 FSC-klagomål.docx", "A 16429-2021")</f>
        <v/>
      </c>
      <c r="W172">
        <f>HYPERLINK("https://klasma.github.io/Logging_0980/klagomålsmail/A 16429-2021 FSC-klagomål mail.docx", "A 16429-2021")</f>
        <v/>
      </c>
      <c r="X172">
        <f>HYPERLINK("https://klasma.github.io/Logging_0980/tillsyn/A 16429-2021 tillsynsbegäran.docx", "A 16429-2021")</f>
        <v/>
      </c>
      <c r="Y172">
        <f>HYPERLINK("https://klasma.github.io/Logging_0980/tillsynsmail/A 16429-2021 tillsynsbegäran mail.docx", "A 16429-2021")</f>
        <v/>
      </c>
    </row>
    <row r="173" ht="15" customHeight="1">
      <c r="A173" t="inlineStr">
        <is>
          <t>A 29870-2021</t>
        </is>
      </c>
      <c r="B173" s="1" t="n">
        <v>44362</v>
      </c>
      <c r="C173" s="1" t="n">
        <v>45829</v>
      </c>
      <c r="D173" t="inlineStr">
        <is>
          <t>GOTLANDS LÄN</t>
        </is>
      </c>
      <c r="E173" t="inlineStr">
        <is>
          <t>GOTLAND</t>
        </is>
      </c>
      <c r="G173" t="n">
        <v>2.4</v>
      </c>
      <c r="H173" t="n">
        <v>0</v>
      </c>
      <c r="I173" t="n">
        <v>1</v>
      </c>
      <c r="J173" t="n">
        <v>0</v>
      </c>
      <c r="K173" t="n">
        <v>1</v>
      </c>
      <c r="L173" t="n">
        <v>0</v>
      </c>
      <c r="M173" t="n">
        <v>0</v>
      </c>
      <c r="N173" t="n">
        <v>0</v>
      </c>
      <c r="O173" t="n">
        <v>1</v>
      </c>
      <c r="P173" t="n">
        <v>1</v>
      </c>
      <c r="Q173" t="n">
        <v>2</v>
      </c>
      <c r="R173" s="2" t="inlineStr">
        <is>
          <t>Blåfotad fagerspindling
Olivspindling</t>
        </is>
      </c>
      <c r="S173">
        <f>HYPERLINK("https://klasma.github.io/Logging_0980/artfynd/A 29870-2021 artfynd.xlsx", "A 29870-2021")</f>
        <v/>
      </c>
      <c r="T173">
        <f>HYPERLINK("https://klasma.github.io/Logging_0980/kartor/A 29870-2021 karta.png", "A 29870-2021")</f>
        <v/>
      </c>
      <c r="V173">
        <f>HYPERLINK("https://klasma.github.io/Logging_0980/klagomål/A 29870-2021 FSC-klagomål.docx", "A 29870-2021")</f>
        <v/>
      </c>
      <c r="W173">
        <f>HYPERLINK("https://klasma.github.io/Logging_0980/klagomålsmail/A 29870-2021 FSC-klagomål mail.docx", "A 29870-2021")</f>
        <v/>
      </c>
      <c r="X173">
        <f>HYPERLINK("https://klasma.github.io/Logging_0980/tillsyn/A 29870-2021 tillsynsbegäran.docx", "A 29870-2021")</f>
        <v/>
      </c>
      <c r="Y173">
        <f>HYPERLINK("https://klasma.github.io/Logging_0980/tillsynsmail/A 29870-2021 tillsynsbegäran mail.docx", "A 29870-2021")</f>
        <v/>
      </c>
    </row>
    <row r="174" ht="15" customHeight="1">
      <c r="A174" t="inlineStr">
        <is>
          <t>A 41346-2021</t>
        </is>
      </c>
      <c r="B174" s="1" t="n">
        <v>44424</v>
      </c>
      <c r="C174" s="1" t="n">
        <v>45829</v>
      </c>
      <c r="D174" t="inlineStr">
        <is>
          <t>GOTLANDS LÄN</t>
        </is>
      </c>
      <c r="E174" t="inlineStr">
        <is>
          <t>GOTLAND</t>
        </is>
      </c>
      <c r="G174" t="n">
        <v>0.9</v>
      </c>
      <c r="H174" t="n">
        <v>0</v>
      </c>
      <c r="I174" t="n">
        <v>1</v>
      </c>
      <c r="J174" t="n">
        <v>0</v>
      </c>
      <c r="K174" t="n">
        <v>1</v>
      </c>
      <c r="L174" t="n">
        <v>0</v>
      </c>
      <c r="M174" t="n">
        <v>0</v>
      </c>
      <c r="N174" t="n">
        <v>0</v>
      </c>
      <c r="O174" t="n">
        <v>1</v>
      </c>
      <c r="P174" t="n">
        <v>1</v>
      </c>
      <c r="Q174" t="n">
        <v>2</v>
      </c>
      <c r="R174" s="2" t="inlineStr">
        <is>
          <t>Vit taggsvamp
Fjällig taggsvamp s.str.</t>
        </is>
      </c>
      <c r="S174">
        <f>HYPERLINK("https://klasma.github.io/Logging_0980/artfynd/A 41346-2021 artfynd.xlsx", "A 41346-2021")</f>
        <v/>
      </c>
      <c r="T174">
        <f>HYPERLINK("https://klasma.github.io/Logging_0980/kartor/A 41346-2021 karta.png", "A 41346-2021")</f>
        <v/>
      </c>
      <c r="V174">
        <f>HYPERLINK("https://klasma.github.io/Logging_0980/klagomål/A 41346-2021 FSC-klagomål.docx", "A 41346-2021")</f>
        <v/>
      </c>
      <c r="W174">
        <f>HYPERLINK("https://klasma.github.io/Logging_0980/klagomålsmail/A 41346-2021 FSC-klagomål mail.docx", "A 41346-2021")</f>
        <v/>
      </c>
      <c r="X174">
        <f>HYPERLINK("https://klasma.github.io/Logging_0980/tillsyn/A 41346-2021 tillsynsbegäran.docx", "A 41346-2021")</f>
        <v/>
      </c>
      <c r="Y174">
        <f>HYPERLINK("https://klasma.github.io/Logging_0980/tillsynsmail/A 41346-2021 tillsynsbegäran mail.docx", "A 41346-2021")</f>
        <v/>
      </c>
    </row>
    <row r="175" ht="15" customHeight="1">
      <c r="A175" t="inlineStr">
        <is>
          <t>A 51737-2021</t>
        </is>
      </c>
      <c r="B175" s="1" t="n">
        <v>44462</v>
      </c>
      <c r="C175" s="1" t="n">
        <v>45829</v>
      </c>
      <c r="D175" t="inlineStr">
        <is>
          <t>GOTLANDS LÄN</t>
        </is>
      </c>
      <c r="E175" t="inlineStr">
        <is>
          <t>GOTLAND</t>
        </is>
      </c>
      <c r="G175" t="n">
        <v>8.6</v>
      </c>
      <c r="H175" t="n">
        <v>0</v>
      </c>
      <c r="I175" t="n">
        <v>1</v>
      </c>
      <c r="J175" t="n">
        <v>1</v>
      </c>
      <c r="K175" t="n">
        <v>0</v>
      </c>
      <c r="L175" t="n">
        <v>0</v>
      </c>
      <c r="M175" t="n">
        <v>0</v>
      </c>
      <c r="N175" t="n">
        <v>0</v>
      </c>
      <c r="O175" t="n">
        <v>1</v>
      </c>
      <c r="P175" t="n">
        <v>0</v>
      </c>
      <c r="Q175" t="n">
        <v>2</v>
      </c>
      <c r="R175" s="2" t="inlineStr">
        <is>
          <t>Igelkott
Kambräken</t>
        </is>
      </c>
      <c r="S175">
        <f>HYPERLINK("https://klasma.github.io/Logging_0980/artfynd/A 51737-2021 artfynd.xlsx", "A 51737-2021")</f>
        <v/>
      </c>
      <c r="T175">
        <f>HYPERLINK("https://klasma.github.io/Logging_0980/kartor/A 51737-2021 karta.png", "A 51737-2021")</f>
        <v/>
      </c>
      <c r="V175">
        <f>HYPERLINK("https://klasma.github.io/Logging_0980/klagomål/A 51737-2021 FSC-klagomål.docx", "A 51737-2021")</f>
        <v/>
      </c>
      <c r="W175">
        <f>HYPERLINK("https://klasma.github.io/Logging_0980/klagomålsmail/A 51737-2021 FSC-klagomål mail.docx", "A 51737-2021")</f>
        <v/>
      </c>
      <c r="X175">
        <f>HYPERLINK("https://klasma.github.io/Logging_0980/tillsyn/A 51737-2021 tillsynsbegäran.docx", "A 51737-2021")</f>
        <v/>
      </c>
      <c r="Y175">
        <f>HYPERLINK("https://klasma.github.io/Logging_0980/tillsynsmail/A 51737-2021 tillsynsbegäran mail.docx", "A 51737-2021")</f>
        <v/>
      </c>
    </row>
    <row r="176" ht="15" customHeight="1">
      <c r="A176" t="inlineStr">
        <is>
          <t>A 60665-2021</t>
        </is>
      </c>
      <c r="B176" s="1" t="n">
        <v>44496</v>
      </c>
      <c r="C176" s="1" t="n">
        <v>45829</v>
      </c>
      <c r="D176" t="inlineStr">
        <is>
          <t>GOTLANDS LÄN</t>
        </is>
      </c>
      <c r="E176" t="inlineStr">
        <is>
          <t>GOTLAND</t>
        </is>
      </c>
      <c r="G176" t="n">
        <v>1.6</v>
      </c>
      <c r="H176" t="n">
        <v>0</v>
      </c>
      <c r="I176" t="n">
        <v>0</v>
      </c>
      <c r="J176" t="n">
        <v>0</v>
      </c>
      <c r="K176" t="n">
        <v>1</v>
      </c>
      <c r="L176" t="n">
        <v>1</v>
      </c>
      <c r="M176" t="n">
        <v>0</v>
      </c>
      <c r="N176" t="n">
        <v>0</v>
      </c>
      <c r="O176" t="n">
        <v>2</v>
      </c>
      <c r="P176" t="n">
        <v>2</v>
      </c>
      <c r="Q176" t="n">
        <v>2</v>
      </c>
      <c r="R176" s="2" t="inlineStr">
        <is>
          <t>Ädellav
Skogskorn</t>
        </is>
      </c>
      <c r="S176">
        <f>HYPERLINK("https://klasma.github.io/Logging_0980/artfynd/A 60665-2021 artfynd.xlsx", "A 60665-2021")</f>
        <v/>
      </c>
      <c r="T176">
        <f>HYPERLINK("https://klasma.github.io/Logging_0980/kartor/A 60665-2021 karta.png", "A 60665-2021")</f>
        <v/>
      </c>
      <c r="V176">
        <f>HYPERLINK("https://klasma.github.io/Logging_0980/klagomål/A 60665-2021 FSC-klagomål.docx", "A 60665-2021")</f>
        <v/>
      </c>
      <c r="W176">
        <f>HYPERLINK("https://klasma.github.io/Logging_0980/klagomålsmail/A 60665-2021 FSC-klagomål mail.docx", "A 60665-2021")</f>
        <v/>
      </c>
      <c r="X176">
        <f>HYPERLINK("https://klasma.github.io/Logging_0980/tillsyn/A 60665-2021 tillsynsbegäran.docx", "A 60665-2021")</f>
        <v/>
      </c>
      <c r="Y176">
        <f>HYPERLINK("https://klasma.github.io/Logging_0980/tillsynsmail/A 60665-2021 tillsynsbegäran mail.docx", "A 60665-2021")</f>
        <v/>
      </c>
    </row>
    <row r="177" ht="15" customHeight="1">
      <c r="A177" t="inlineStr">
        <is>
          <t>A 73144-2021</t>
        </is>
      </c>
      <c r="B177" s="1" t="n">
        <v>44550</v>
      </c>
      <c r="C177" s="1" t="n">
        <v>45829</v>
      </c>
      <c r="D177" t="inlineStr">
        <is>
          <t>GOTLANDS LÄN</t>
        </is>
      </c>
      <c r="E177" t="inlineStr">
        <is>
          <t>GOTLAND</t>
        </is>
      </c>
      <c r="G177" t="n">
        <v>1.9</v>
      </c>
      <c r="H177" t="n">
        <v>0</v>
      </c>
      <c r="I177" t="n">
        <v>1</v>
      </c>
      <c r="J177" t="n">
        <v>0</v>
      </c>
      <c r="K177" t="n">
        <v>1</v>
      </c>
      <c r="L177" t="n">
        <v>0</v>
      </c>
      <c r="M177" t="n">
        <v>0</v>
      </c>
      <c r="N177" t="n">
        <v>0</v>
      </c>
      <c r="O177" t="n">
        <v>1</v>
      </c>
      <c r="P177" t="n">
        <v>1</v>
      </c>
      <c r="Q177" t="n">
        <v>2</v>
      </c>
      <c r="R177" s="2" t="inlineStr">
        <is>
          <t>Skogskorn
Kambräken</t>
        </is>
      </c>
      <c r="S177">
        <f>HYPERLINK("https://klasma.github.io/Logging_0980/artfynd/A 73144-2021 artfynd.xlsx", "A 73144-2021")</f>
        <v/>
      </c>
      <c r="T177">
        <f>HYPERLINK("https://klasma.github.io/Logging_0980/kartor/A 73144-2021 karta.png", "A 73144-2021")</f>
        <v/>
      </c>
      <c r="V177">
        <f>HYPERLINK("https://klasma.github.io/Logging_0980/klagomål/A 73144-2021 FSC-klagomål.docx", "A 73144-2021")</f>
        <v/>
      </c>
      <c r="W177">
        <f>HYPERLINK("https://klasma.github.io/Logging_0980/klagomålsmail/A 73144-2021 FSC-klagomål mail.docx", "A 73144-2021")</f>
        <v/>
      </c>
      <c r="X177">
        <f>HYPERLINK("https://klasma.github.io/Logging_0980/tillsyn/A 73144-2021 tillsynsbegäran.docx", "A 73144-2021")</f>
        <v/>
      </c>
      <c r="Y177">
        <f>HYPERLINK("https://klasma.github.io/Logging_0980/tillsynsmail/A 73144-2021 tillsynsbegäran mail.docx", "A 73144-2021")</f>
        <v/>
      </c>
    </row>
    <row r="178" ht="15" customHeight="1">
      <c r="A178" t="inlineStr">
        <is>
          <t>A 7070-2022</t>
        </is>
      </c>
      <c r="B178" s="1" t="n">
        <v>44603</v>
      </c>
      <c r="C178" s="1" t="n">
        <v>45829</v>
      </c>
      <c r="D178" t="inlineStr">
        <is>
          <t>GOTLANDS LÄN</t>
        </is>
      </c>
      <c r="E178" t="inlineStr">
        <is>
          <t>GOTLAND</t>
        </is>
      </c>
      <c r="G178" t="n">
        <v>2.6</v>
      </c>
      <c r="H178" t="n">
        <v>0</v>
      </c>
      <c r="I178" t="n">
        <v>2</v>
      </c>
      <c r="J178" t="n">
        <v>0</v>
      </c>
      <c r="K178" t="n">
        <v>0</v>
      </c>
      <c r="L178" t="n">
        <v>0</v>
      </c>
      <c r="M178" t="n">
        <v>0</v>
      </c>
      <c r="N178" t="n">
        <v>0</v>
      </c>
      <c r="O178" t="n">
        <v>0</v>
      </c>
      <c r="P178" t="n">
        <v>0</v>
      </c>
      <c r="Q178" t="n">
        <v>2</v>
      </c>
      <c r="R178" s="2" t="inlineStr">
        <is>
          <t>Blåmossa
Kattfotslav</t>
        </is>
      </c>
      <c r="S178">
        <f>HYPERLINK("https://klasma.github.io/Logging_0980/artfynd/A 7070-2022 artfynd.xlsx", "A 7070-2022")</f>
        <v/>
      </c>
      <c r="T178">
        <f>HYPERLINK("https://klasma.github.io/Logging_0980/kartor/A 7070-2022 karta.png", "A 7070-2022")</f>
        <v/>
      </c>
      <c r="V178">
        <f>HYPERLINK("https://klasma.github.io/Logging_0980/klagomål/A 7070-2022 FSC-klagomål.docx", "A 7070-2022")</f>
        <v/>
      </c>
      <c r="W178">
        <f>HYPERLINK("https://klasma.github.io/Logging_0980/klagomålsmail/A 7070-2022 FSC-klagomål mail.docx", "A 7070-2022")</f>
        <v/>
      </c>
      <c r="X178">
        <f>HYPERLINK("https://klasma.github.io/Logging_0980/tillsyn/A 7070-2022 tillsynsbegäran.docx", "A 7070-2022")</f>
        <v/>
      </c>
      <c r="Y178">
        <f>HYPERLINK("https://klasma.github.io/Logging_0980/tillsynsmail/A 7070-2022 tillsynsbegäran mail.docx", "A 7070-2022")</f>
        <v/>
      </c>
    </row>
    <row r="179" ht="15" customHeight="1">
      <c r="A179" t="inlineStr">
        <is>
          <t>A 19175-2022</t>
        </is>
      </c>
      <c r="B179" s="1" t="n">
        <v>44691</v>
      </c>
      <c r="C179" s="1" t="n">
        <v>45829</v>
      </c>
      <c r="D179" t="inlineStr">
        <is>
          <t>GOTLANDS LÄN</t>
        </is>
      </c>
      <c r="E179" t="inlineStr">
        <is>
          <t>GOTLAND</t>
        </is>
      </c>
      <c r="G179" t="n">
        <v>8.5</v>
      </c>
      <c r="H179" t="n">
        <v>1</v>
      </c>
      <c r="I179" t="n">
        <v>0</v>
      </c>
      <c r="J179" t="n">
        <v>2</v>
      </c>
      <c r="K179" t="n">
        <v>0</v>
      </c>
      <c r="L179" t="n">
        <v>0</v>
      </c>
      <c r="M179" t="n">
        <v>0</v>
      </c>
      <c r="N179" t="n">
        <v>0</v>
      </c>
      <c r="O179" t="n">
        <v>2</v>
      </c>
      <c r="P179" t="n">
        <v>0</v>
      </c>
      <c r="Q179" t="n">
        <v>2</v>
      </c>
      <c r="R179" s="2" t="inlineStr">
        <is>
          <t>Jordtistel
Spillkråka</t>
        </is>
      </c>
      <c r="S179">
        <f>HYPERLINK("https://klasma.github.io/Logging_0980/artfynd/A 19175-2022 artfynd.xlsx", "A 19175-2022")</f>
        <v/>
      </c>
      <c r="T179">
        <f>HYPERLINK("https://klasma.github.io/Logging_0980/kartor/A 19175-2022 karta.png", "A 19175-2022")</f>
        <v/>
      </c>
      <c r="V179">
        <f>HYPERLINK("https://klasma.github.io/Logging_0980/klagomål/A 19175-2022 FSC-klagomål.docx", "A 19175-2022")</f>
        <v/>
      </c>
      <c r="W179">
        <f>HYPERLINK("https://klasma.github.io/Logging_0980/klagomålsmail/A 19175-2022 FSC-klagomål mail.docx", "A 19175-2022")</f>
        <v/>
      </c>
      <c r="X179">
        <f>HYPERLINK("https://klasma.github.io/Logging_0980/tillsyn/A 19175-2022 tillsynsbegäran.docx", "A 19175-2022")</f>
        <v/>
      </c>
      <c r="Y179">
        <f>HYPERLINK("https://klasma.github.io/Logging_0980/tillsynsmail/A 19175-2022 tillsynsbegäran mail.docx", "A 19175-2022")</f>
        <v/>
      </c>
      <c r="Z179">
        <f>HYPERLINK("https://klasma.github.io/Logging_0980/fåglar/A 19175-2022 prioriterade fågelarter.docx", "A 19175-2022")</f>
        <v/>
      </c>
    </row>
    <row r="180" ht="15" customHeight="1">
      <c r="A180" t="inlineStr">
        <is>
          <t>A 20218-2022</t>
        </is>
      </c>
      <c r="B180" s="1" t="n">
        <v>44698</v>
      </c>
      <c r="C180" s="1" t="n">
        <v>45829</v>
      </c>
      <c r="D180" t="inlineStr">
        <is>
          <t>GOTLANDS LÄN</t>
        </is>
      </c>
      <c r="E180" t="inlineStr">
        <is>
          <t>GOTLAND</t>
        </is>
      </c>
      <c r="G180" t="n">
        <v>4.3</v>
      </c>
      <c r="H180" t="n">
        <v>0</v>
      </c>
      <c r="I180" t="n">
        <v>1</v>
      </c>
      <c r="J180" t="n">
        <v>1</v>
      </c>
      <c r="K180" t="n">
        <v>0</v>
      </c>
      <c r="L180" t="n">
        <v>0</v>
      </c>
      <c r="M180" t="n">
        <v>0</v>
      </c>
      <c r="N180" t="n">
        <v>0</v>
      </c>
      <c r="O180" t="n">
        <v>1</v>
      </c>
      <c r="P180" t="n">
        <v>0</v>
      </c>
      <c r="Q180" t="n">
        <v>2</v>
      </c>
      <c r="R180" s="2" t="inlineStr">
        <is>
          <t>Flattoppad klubbsvamp
Rödgul trumpetsvamp</t>
        </is>
      </c>
      <c r="S180">
        <f>HYPERLINK("https://klasma.github.io/Logging_0980/artfynd/A 20218-2022 artfynd.xlsx", "A 20218-2022")</f>
        <v/>
      </c>
      <c r="T180">
        <f>HYPERLINK("https://klasma.github.io/Logging_0980/kartor/A 20218-2022 karta.png", "A 20218-2022")</f>
        <v/>
      </c>
      <c r="V180">
        <f>HYPERLINK("https://klasma.github.io/Logging_0980/klagomål/A 20218-2022 FSC-klagomål.docx", "A 20218-2022")</f>
        <v/>
      </c>
      <c r="W180">
        <f>HYPERLINK("https://klasma.github.io/Logging_0980/klagomålsmail/A 20218-2022 FSC-klagomål mail.docx", "A 20218-2022")</f>
        <v/>
      </c>
      <c r="X180">
        <f>HYPERLINK("https://klasma.github.io/Logging_0980/tillsyn/A 20218-2022 tillsynsbegäran.docx", "A 20218-2022")</f>
        <v/>
      </c>
      <c r="Y180">
        <f>HYPERLINK("https://klasma.github.io/Logging_0980/tillsynsmail/A 20218-2022 tillsynsbegäran mail.docx", "A 20218-2022")</f>
        <v/>
      </c>
    </row>
    <row r="181" ht="15" customHeight="1">
      <c r="A181" t="inlineStr">
        <is>
          <t>A 48126-2022</t>
        </is>
      </c>
      <c r="B181" s="1" t="n">
        <v>44857</v>
      </c>
      <c r="C181" s="1" t="n">
        <v>45829</v>
      </c>
      <c r="D181" t="inlineStr">
        <is>
          <t>GOTLANDS LÄN</t>
        </is>
      </c>
      <c r="E181" t="inlineStr">
        <is>
          <t>GOTLAND</t>
        </is>
      </c>
      <c r="G181" t="n">
        <v>9.800000000000001</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48126-2022 artfynd.xlsx", "A 48126-2022")</f>
        <v/>
      </c>
      <c r="T181">
        <f>HYPERLINK("https://klasma.github.io/Logging_0980/kartor/A 48126-2022 karta.png", "A 48126-2022")</f>
        <v/>
      </c>
      <c r="V181">
        <f>HYPERLINK("https://klasma.github.io/Logging_0980/klagomål/A 48126-2022 FSC-klagomål.docx", "A 48126-2022")</f>
        <v/>
      </c>
      <c r="W181">
        <f>HYPERLINK("https://klasma.github.io/Logging_0980/klagomålsmail/A 48126-2022 FSC-klagomål mail.docx", "A 48126-2022")</f>
        <v/>
      </c>
      <c r="X181">
        <f>HYPERLINK("https://klasma.github.io/Logging_0980/tillsyn/A 48126-2022 tillsynsbegäran.docx", "A 48126-2022")</f>
        <v/>
      </c>
      <c r="Y181">
        <f>HYPERLINK("https://klasma.github.io/Logging_0980/tillsynsmail/A 48126-2022 tillsynsbegäran mail.docx", "A 48126-2022")</f>
        <v/>
      </c>
      <c r="Z181">
        <f>HYPERLINK("https://klasma.github.io/Logging_0980/fåglar/A 48126-2022 prioriterade fågelarter.docx", "A 48126-2022")</f>
        <v/>
      </c>
    </row>
    <row r="182" ht="15" customHeight="1">
      <c r="A182" t="inlineStr">
        <is>
          <t>A 62193-2022</t>
        </is>
      </c>
      <c r="B182" s="1" t="n">
        <v>44922</v>
      </c>
      <c r="C182" s="1" t="n">
        <v>45829</v>
      </c>
      <c r="D182" t="inlineStr">
        <is>
          <t>GOTLANDS LÄN</t>
        </is>
      </c>
      <c r="E182" t="inlineStr">
        <is>
          <t>GOTLAND</t>
        </is>
      </c>
      <c r="G182" t="n">
        <v>5.6</v>
      </c>
      <c r="H182" t="n">
        <v>2</v>
      </c>
      <c r="I182" t="n">
        <v>0</v>
      </c>
      <c r="J182" t="n">
        <v>1</v>
      </c>
      <c r="K182" t="n">
        <v>0</v>
      </c>
      <c r="L182" t="n">
        <v>0</v>
      </c>
      <c r="M182" t="n">
        <v>0</v>
      </c>
      <c r="N182" t="n">
        <v>0</v>
      </c>
      <c r="O182" t="n">
        <v>1</v>
      </c>
      <c r="P182" t="n">
        <v>0</v>
      </c>
      <c r="Q182" t="n">
        <v>2</v>
      </c>
      <c r="R182" s="2" t="inlineStr">
        <is>
          <t>Grönsångare
Gullviva</t>
        </is>
      </c>
      <c r="S182">
        <f>HYPERLINK("https://klasma.github.io/Logging_0980/artfynd/A 62193-2022 artfynd.xlsx", "A 62193-2022")</f>
        <v/>
      </c>
      <c r="T182">
        <f>HYPERLINK("https://klasma.github.io/Logging_0980/kartor/A 62193-2022 karta.png", "A 62193-2022")</f>
        <v/>
      </c>
      <c r="V182">
        <f>HYPERLINK("https://klasma.github.io/Logging_0980/klagomål/A 62193-2022 FSC-klagomål.docx", "A 62193-2022")</f>
        <v/>
      </c>
      <c r="W182">
        <f>HYPERLINK("https://klasma.github.io/Logging_0980/klagomålsmail/A 62193-2022 FSC-klagomål mail.docx", "A 62193-2022")</f>
        <v/>
      </c>
      <c r="X182">
        <f>HYPERLINK("https://klasma.github.io/Logging_0980/tillsyn/A 62193-2022 tillsynsbegäran.docx", "A 62193-2022")</f>
        <v/>
      </c>
      <c r="Y182">
        <f>HYPERLINK("https://klasma.github.io/Logging_0980/tillsynsmail/A 62193-2022 tillsynsbegäran mail.docx", "A 62193-2022")</f>
        <v/>
      </c>
      <c r="Z182">
        <f>HYPERLINK("https://klasma.github.io/Logging_0980/fåglar/A 62193-2022 prioriterade fågelarter.docx", "A 62193-2022")</f>
        <v/>
      </c>
    </row>
    <row r="183" ht="15" customHeight="1">
      <c r="A183" t="inlineStr">
        <is>
          <t>A 3779-2023</t>
        </is>
      </c>
      <c r="B183" s="1" t="n">
        <v>44951</v>
      </c>
      <c r="C183" s="1" t="n">
        <v>45829</v>
      </c>
      <c r="D183" t="inlineStr">
        <is>
          <t>GOTLANDS LÄN</t>
        </is>
      </c>
      <c r="E183" t="inlineStr">
        <is>
          <t>GOTLAND</t>
        </is>
      </c>
      <c r="G183" t="n">
        <v>5.2</v>
      </c>
      <c r="H183" t="n">
        <v>0</v>
      </c>
      <c r="I183" t="n">
        <v>2</v>
      </c>
      <c r="J183" t="n">
        <v>0</v>
      </c>
      <c r="K183" t="n">
        <v>0</v>
      </c>
      <c r="L183" t="n">
        <v>0</v>
      </c>
      <c r="M183" t="n">
        <v>0</v>
      </c>
      <c r="N183" t="n">
        <v>0</v>
      </c>
      <c r="O183" t="n">
        <v>0</v>
      </c>
      <c r="P183" t="n">
        <v>0</v>
      </c>
      <c r="Q183" t="n">
        <v>2</v>
      </c>
      <c r="R183" s="2" t="inlineStr">
        <is>
          <t>Blå slemspindling
Olivspindling</t>
        </is>
      </c>
      <c r="S183">
        <f>HYPERLINK("https://klasma.github.io/Logging_0980/artfynd/A 3779-2023 artfynd.xlsx", "A 3779-2023")</f>
        <v/>
      </c>
      <c r="T183">
        <f>HYPERLINK("https://klasma.github.io/Logging_0980/kartor/A 3779-2023 karta.png", "A 3779-2023")</f>
        <v/>
      </c>
      <c r="V183">
        <f>HYPERLINK("https://klasma.github.io/Logging_0980/klagomål/A 3779-2023 FSC-klagomål.docx", "A 3779-2023")</f>
        <v/>
      </c>
      <c r="W183">
        <f>HYPERLINK("https://klasma.github.io/Logging_0980/klagomålsmail/A 3779-2023 FSC-klagomål mail.docx", "A 3779-2023")</f>
        <v/>
      </c>
      <c r="X183">
        <f>HYPERLINK("https://klasma.github.io/Logging_0980/tillsyn/A 3779-2023 tillsynsbegäran.docx", "A 3779-2023")</f>
        <v/>
      </c>
      <c r="Y183">
        <f>HYPERLINK("https://klasma.github.io/Logging_0980/tillsynsmail/A 3779-2023 tillsynsbegäran mail.docx", "A 3779-2023")</f>
        <v/>
      </c>
    </row>
    <row r="184" ht="15" customHeight="1">
      <c r="A184" t="inlineStr">
        <is>
          <t>A 35028-2023</t>
        </is>
      </c>
      <c r="B184" s="1" t="n">
        <v>45145</v>
      </c>
      <c r="C184" s="1" t="n">
        <v>45829</v>
      </c>
      <c r="D184" t="inlineStr">
        <is>
          <t>GOTLANDS LÄN</t>
        </is>
      </c>
      <c r="E184" t="inlineStr">
        <is>
          <t>GOTLAND</t>
        </is>
      </c>
      <c r="G184" t="n">
        <v>1.1</v>
      </c>
      <c r="H184" t="n">
        <v>0</v>
      </c>
      <c r="I184" t="n">
        <v>1</v>
      </c>
      <c r="J184" t="n">
        <v>0</v>
      </c>
      <c r="K184" t="n">
        <v>1</v>
      </c>
      <c r="L184" t="n">
        <v>0</v>
      </c>
      <c r="M184" t="n">
        <v>0</v>
      </c>
      <c r="N184" t="n">
        <v>0</v>
      </c>
      <c r="O184" t="n">
        <v>1</v>
      </c>
      <c r="P184" t="n">
        <v>1</v>
      </c>
      <c r="Q184" t="n">
        <v>2</v>
      </c>
      <c r="R184" s="2" t="inlineStr">
        <is>
          <t>Tät korallorangelav
Guldlockmossa</t>
        </is>
      </c>
      <c r="S184">
        <f>HYPERLINK("https://klasma.github.io/Logging_0980/artfynd/A 35028-2023 artfynd.xlsx", "A 35028-2023")</f>
        <v/>
      </c>
      <c r="T184">
        <f>HYPERLINK("https://klasma.github.io/Logging_0980/kartor/A 35028-2023 karta.png", "A 35028-2023")</f>
        <v/>
      </c>
      <c r="V184">
        <f>HYPERLINK("https://klasma.github.io/Logging_0980/klagomål/A 35028-2023 FSC-klagomål.docx", "A 35028-2023")</f>
        <v/>
      </c>
      <c r="W184">
        <f>HYPERLINK("https://klasma.github.io/Logging_0980/klagomålsmail/A 35028-2023 FSC-klagomål mail.docx", "A 35028-2023")</f>
        <v/>
      </c>
      <c r="X184">
        <f>HYPERLINK("https://klasma.github.io/Logging_0980/tillsyn/A 35028-2023 tillsynsbegäran.docx", "A 35028-2023")</f>
        <v/>
      </c>
      <c r="Y184">
        <f>HYPERLINK("https://klasma.github.io/Logging_0980/tillsynsmail/A 35028-2023 tillsynsbegäran mail.docx", "A 35028-2023")</f>
        <v/>
      </c>
    </row>
    <row r="185" ht="15" customHeight="1">
      <c r="A185" t="inlineStr">
        <is>
          <t>A 35029-2023</t>
        </is>
      </c>
      <c r="B185" s="1" t="n">
        <v>45145</v>
      </c>
      <c r="C185" s="1" t="n">
        <v>45829</v>
      </c>
      <c r="D185" t="inlineStr">
        <is>
          <t>GOTLANDS LÄN</t>
        </is>
      </c>
      <c r="E185" t="inlineStr">
        <is>
          <t>GOTLAND</t>
        </is>
      </c>
      <c r="G185" t="n">
        <v>1.7</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35029-2023 artfynd.xlsx", "A 35029-2023")</f>
        <v/>
      </c>
      <c r="T185">
        <f>HYPERLINK("https://klasma.github.io/Logging_0980/kartor/A 35029-2023 karta.png", "A 35029-2023")</f>
        <v/>
      </c>
      <c r="V185">
        <f>HYPERLINK("https://klasma.github.io/Logging_0980/klagomål/A 35029-2023 FSC-klagomål.docx", "A 35029-2023")</f>
        <v/>
      </c>
      <c r="W185">
        <f>HYPERLINK("https://klasma.github.io/Logging_0980/klagomålsmail/A 35029-2023 FSC-klagomål mail.docx", "A 35029-2023")</f>
        <v/>
      </c>
      <c r="X185">
        <f>HYPERLINK("https://klasma.github.io/Logging_0980/tillsyn/A 35029-2023 tillsynsbegäran.docx", "A 35029-2023")</f>
        <v/>
      </c>
      <c r="Y185">
        <f>HYPERLINK("https://klasma.github.io/Logging_0980/tillsynsmail/A 35029-2023 tillsynsbegäran mail.docx", "A 35029-2023")</f>
        <v/>
      </c>
    </row>
    <row r="186" ht="15" customHeight="1">
      <c r="A186" t="inlineStr">
        <is>
          <t>A 39430-2023</t>
        </is>
      </c>
      <c r="B186" s="1" t="n">
        <v>45166</v>
      </c>
      <c r="C186" s="1" t="n">
        <v>45829</v>
      </c>
      <c r="D186" t="inlineStr">
        <is>
          <t>GOTLANDS LÄN</t>
        </is>
      </c>
      <c r="E186" t="inlineStr">
        <is>
          <t>GOTLAND</t>
        </is>
      </c>
      <c r="G186" t="n">
        <v>2.3</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39430-2023 artfynd.xlsx", "A 39430-2023")</f>
        <v/>
      </c>
      <c r="T186">
        <f>HYPERLINK("https://klasma.github.io/Logging_0980/kartor/A 39430-2023 karta.png", "A 39430-2023")</f>
        <v/>
      </c>
      <c r="V186">
        <f>HYPERLINK("https://klasma.github.io/Logging_0980/klagomål/A 39430-2023 FSC-klagomål.docx", "A 39430-2023")</f>
        <v/>
      </c>
      <c r="W186">
        <f>HYPERLINK("https://klasma.github.io/Logging_0980/klagomålsmail/A 39430-2023 FSC-klagomål mail.docx", "A 39430-2023")</f>
        <v/>
      </c>
      <c r="X186">
        <f>HYPERLINK("https://klasma.github.io/Logging_0980/tillsyn/A 39430-2023 tillsynsbegäran.docx", "A 39430-2023")</f>
        <v/>
      </c>
      <c r="Y186">
        <f>HYPERLINK("https://klasma.github.io/Logging_0980/tillsynsmail/A 39430-2023 tillsynsbegäran mail.docx", "A 39430-2023")</f>
        <v/>
      </c>
    </row>
    <row r="187" ht="15" customHeight="1">
      <c r="A187" t="inlineStr">
        <is>
          <t>A 39749-2023</t>
        </is>
      </c>
      <c r="B187" s="1" t="n">
        <v>45167</v>
      </c>
      <c r="C187" s="1" t="n">
        <v>45829</v>
      </c>
      <c r="D187" t="inlineStr">
        <is>
          <t>GOTLANDS LÄN</t>
        </is>
      </c>
      <c r="E187" t="inlineStr">
        <is>
          <t>GOTLAND</t>
        </is>
      </c>
      <c r="G187" t="n">
        <v>8.300000000000001</v>
      </c>
      <c r="H187" t="n">
        <v>0</v>
      </c>
      <c r="I187" t="n">
        <v>1</v>
      </c>
      <c r="J187" t="n">
        <v>1</v>
      </c>
      <c r="K187" t="n">
        <v>0</v>
      </c>
      <c r="L187" t="n">
        <v>0</v>
      </c>
      <c r="M187" t="n">
        <v>0</v>
      </c>
      <c r="N187" t="n">
        <v>0</v>
      </c>
      <c r="O187" t="n">
        <v>1</v>
      </c>
      <c r="P187" t="n">
        <v>0</v>
      </c>
      <c r="Q187" t="n">
        <v>2</v>
      </c>
      <c r="R187" s="2" t="inlineStr">
        <is>
          <t>Majviva
Axag</t>
        </is>
      </c>
      <c r="S187">
        <f>HYPERLINK("https://klasma.github.io/Logging_0980/artfynd/A 39749-2023 artfynd.xlsx", "A 39749-2023")</f>
        <v/>
      </c>
      <c r="T187">
        <f>HYPERLINK("https://klasma.github.io/Logging_0980/kartor/A 39749-2023 karta.png", "A 39749-2023")</f>
        <v/>
      </c>
      <c r="V187">
        <f>HYPERLINK("https://klasma.github.io/Logging_0980/klagomål/A 39749-2023 FSC-klagomål.docx", "A 39749-2023")</f>
        <v/>
      </c>
      <c r="W187">
        <f>HYPERLINK("https://klasma.github.io/Logging_0980/klagomålsmail/A 39749-2023 FSC-klagomål mail.docx", "A 39749-2023")</f>
        <v/>
      </c>
      <c r="X187">
        <f>HYPERLINK("https://klasma.github.io/Logging_0980/tillsyn/A 39749-2023 tillsynsbegäran.docx", "A 39749-2023")</f>
        <v/>
      </c>
      <c r="Y187">
        <f>HYPERLINK("https://klasma.github.io/Logging_0980/tillsynsmail/A 39749-2023 tillsynsbegäran mail.docx", "A 39749-2023")</f>
        <v/>
      </c>
    </row>
    <row r="188" ht="15" customHeight="1">
      <c r="A188" t="inlineStr">
        <is>
          <t>A 2818-2024</t>
        </is>
      </c>
      <c r="B188" s="1" t="n">
        <v>45314</v>
      </c>
      <c r="C188" s="1" t="n">
        <v>45829</v>
      </c>
      <c r="D188" t="inlineStr">
        <is>
          <t>GOTLANDS LÄN</t>
        </is>
      </c>
      <c r="E188" t="inlineStr">
        <is>
          <t>GOTLAND</t>
        </is>
      </c>
      <c r="G188" t="n">
        <v>2.4</v>
      </c>
      <c r="H188" t="n">
        <v>1</v>
      </c>
      <c r="I188" t="n">
        <v>0</v>
      </c>
      <c r="J188" t="n">
        <v>1</v>
      </c>
      <c r="K188" t="n">
        <v>0</v>
      </c>
      <c r="L188" t="n">
        <v>0</v>
      </c>
      <c r="M188" t="n">
        <v>0</v>
      </c>
      <c r="N188" t="n">
        <v>0</v>
      </c>
      <c r="O188" t="n">
        <v>1</v>
      </c>
      <c r="P188" t="n">
        <v>0</v>
      </c>
      <c r="Q188" t="n">
        <v>2</v>
      </c>
      <c r="R188" s="2" t="inlineStr">
        <is>
          <t>Solvända
Gullviva</t>
        </is>
      </c>
      <c r="S188">
        <f>HYPERLINK("https://klasma.github.io/Logging_0980/artfynd/A 2818-2024 artfynd.xlsx", "A 2818-2024")</f>
        <v/>
      </c>
      <c r="T188">
        <f>HYPERLINK("https://klasma.github.io/Logging_0980/kartor/A 2818-2024 karta.png", "A 2818-2024")</f>
        <v/>
      </c>
      <c r="V188">
        <f>HYPERLINK("https://klasma.github.io/Logging_0980/klagomål/A 2818-2024 FSC-klagomål.docx", "A 2818-2024")</f>
        <v/>
      </c>
      <c r="W188">
        <f>HYPERLINK("https://klasma.github.io/Logging_0980/klagomålsmail/A 2818-2024 FSC-klagomål mail.docx", "A 2818-2024")</f>
        <v/>
      </c>
      <c r="X188">
        <f>HYPERLINK("https://klasma.github.io/Logging_0980/tillsyn/A 2818-2024 tillsynsbegäran.docx", "A 2818-2024")</f>
        <v/>
      </c>
      <c r="Y188">
        <f>HYPERLINK("https://klasma.github.io/Logging_0980/tillsynsmail/A 2818-2024 tillsynsbegäran mail.docx", "A 2818-2024")</f>
        <v/>
      </c>
    </row>
    <row r="189" ht="15" customHeight="1">
      <c r="A189" t="inlineStr">
        <is>
          <t>A 16331-2024</t>
        </is>
      </c>
      <c r="B189" s="1" t="n">
        <v>45407</v>
      </c>
      <c r="C189" s="1" t="n">
        <v>45829</v>
      </c>
      <c r="D189" t="inlineStr">
        <is>
          <t>GOTLANDS LÄN</t>
        </is>
      </c>
      <c r="E189" t="inlineStr">
        <is>
          <t>GOTLAND</t>
        </is>
      </c>
      <c r="G189" t="n">
        <v>4.2</v>
      </c>
      <c r="H189" t="n">
        <v>0</v>
      </c>
      <c r="I189" t="n">
        <v>2</v>
      </c>
      <c r="J189" t="n">
        <v>0</v>
      </c>
      <c r="K189" t="n">
        <v>0</v>
      </c>
      <c r="L189" t="n">
        <v>0</v>
      </c>
      <c r="M189" t="n">
        <v>0</v>
      </c>
      <c r="N189" t="n">
        <v>0</v>
      </c>
      <c r="O189" t="n">
        <v>0</v>
      </c>
      <c r="P189" t="n">
        <v>0</v>
      </c>
      <c r="Q189" t="n">
        <v>2</v>
      </c>
      <c r="R189" s="2" t="inlineStr">
        <is>
          <t>Blå slemspindling
Västlig hakmossa</t>
        </is>
      </c>
      <c r="S189">
        <f>HYPERLINK("https://klasma.github.io/Logging_0980/artfynd/A 16331-2024 artfynd.xlsx", "A 16331-2024")</f>
        <v/>
      </c>
      <c r="T189">
        <f>HYPERLINK("https://klasma.github.io/Logging_0980/kartor/A 16331-2024 karta.png", "A 16331-2024")</f>
        <v/>
      </c>
      <c r="V189">
        <f>HYPERLINK("https://klasma.github.io/Logging_0980/klagomål/A 16331-2024 FSC-klagomål.docx", "A 16331-2024")</f>
        <v/>
      </c>
      <c r="W189">
        <f>HYPERLINK("https://klasma.github.io/Logging_0980/klagomålsmail/A 16331-2024 FSC-klagomål mail.docx", "A 16331-2024")</f>
        <v/>
      </c>
      <c r="X189">
        <f>HYPERLINK("https://klasma.github.io/Logging_0980/tillsyn/A 16331-2024 tillsynsbegäran.docx", "A 16331-2024")</f>
        <v/>
      </c>
      <c r="Y189">
        <f>HYPERLINK("https://klasma.github.io/Logging_0980/tillsynsmail/A 16331-2024 tillsynsbegäran mail.docx", "A 16331-2024")</f>
        <v/>
      </c>
    </row>
    <row r="190" ht="15" customHeight="1">
      <c r="A190" t="inlineStr">
        <is>
          <t>A 17533-2024</t>
        </is>
      </c>
      <c r="B190" s="1" t="n">
        <v>45415</v>
      </c>
      <c r="C190" s="1" t="n">
        <v>45829</v>
      </c>
      <c r="D190" t="inlineStr">
        <is>
          <t>GOTLANDS LÄN</t>
        </is>
      </c>
      <c r="E190" t="inlineStr">
        <is>
          <t>GOTLAND</t>
        </is>
      </c>
      <c r="G190" t="n">
        <v>2.3</v>
      </c>
      <c r="H190" t="n">
        <v>0</v>
      </c>
      <c r="I190" t="n">
        <v>1</v>
      </c>
      <c r="J190" t="n">
        <v>0</v>
      </c>
      <c r="K190" t="n">
        <v>1</v>
      </c>
      <c r="L190" t="n">
        <v>0</v>
      </c>
      <c r="M190" t="n">
        <v>0</v>
      </c>
      <c r="N190" t="n">
        <v>0</v>
      </c>
      <c r="O190" t="n">
        <v>1</v>
      </c>
      <c r="P190" t="n">
        <v>1</v>
      </c>
      <c r="Q190" t="n">
        <v>2</v>
      </c>
      <c r="R190" s="2" t="inlineStr">
        <is>
          <t>Skogskorn
Strävlosta</t>
        </is>
      </c>
      <c r="S190">
        <f>HYPERLINK("https://klasma.github.io/Logging_0980/artfynd/A 17533-2024 artfynd.xlsx", "A 17533-2024")</f>
        <v/>
      </c>
      <c r="T190">
        <f>HYPERLINK("https://klasma.github.io/Logging_0980/kartor/A 17533-2024 karta.png", "A 17533-2024")</f>
        <v/>
      </c>
      <c r="V190">
        <f>HYPERLINK("https://klasma.github.io/Logging_0980/klagomål/A 17533-2024 FSC-klagomål.docx", "A 17533-2024")</f>
        <v/>
      </c>
      <c r="W190">
        <f>HYPERLINK("https://klasma.github.io/Logging_0980/klagomålsmail/A 17533-2024 FSC-klagomål mail.docx", "A 17533-2024")</f>
        <v/>
      </c>
      <c r="X190">
        <f>HYPERLINK("https://klasma.github.io/Logging_0980/tillsyn/A 17533-2024 tillsynsbegäran.docx", "A 17533-2024")</f>
        <v/>
      </c>
      <c r="Y190">
        <f>HYPERLINK("https://klasma.github.io/Logging_0980/tillsynsmail/A 17533-2024 tillsynsbegäran mail.docx", "A 17533-2024")</f>
        <v/>
      </c>
    </row>
    <row r="191" ht="15" customHeight="1">
      <c r="A191" t="inlineStr">
        <is>
          <t>A 25973-2024</t>
        </is>
      </c>
      <c r="B191" s="1" t="n">
        <v>45467</v>
      </c>
      <c r="C191" s="1" t="n">
        <v>45829</v>
      </c>
      <c r="D191" t="inlineStr">
        <is>
          <t>GOTLANDS LÄN</t>
        </is>
      </c>
      <c r="E191" t="inlineStr">
        <is>
          <t>GOTLAND</t>
        </is>
      </c>
      <c r="G191" t="n">
        <v>2.3</v>
      </c>
      <c r="H191" t="n">
        <v>1</v>
      </c>
      <c r="I191" t="n">
        <v>0</v>
      </c>
      <c r="J191" t="n">
        <v>2</v>
      </c>
      <c r="K191" t="n">
        <v>0</v>
      </c>
      <c r="L191" t="n">
        <v>0</v>
      </c>
      <c r="M191" t="n">
        <v>0</v>
      </c>
      <c r="N191" t="n">
        <v>0</v>
      </c>
      <c r="O191" t="n">
        <v>2</v>
      </c>
      <c r="P191" t="n">
        <v>0</v>
      </c>
      <c r="Q191" t="n">
        <v>2</v>
      </c>
      <c r="R191" s="2" t="inlineStr">
        <is>
          <t>Dårgräsfjäril
Svinrot</t>
        </is>
      </c>
      <c r="S191">
        <f>HYPERLINK("https://klasma.github.io/Logging_0980/artfynd/A 25973-2024 artfynd.xlsx", "A 25973-2024")</f>
        <v/>
      </c>
      <c r="T191">
        <f>HYPERLINK("https://klasma.github.io/Logging_0980/kartor/A 25973-2024 karta.png", "A 25973-2024")</f>
        <v/>
      </c>
      <c r="V191">
        <f>HYPERLINK("https://klasma.github.io/Logging_0980/klagomål/A 25973-2024 FSC-klagomål.docx", "A 25973-2024")</f>
        <v/>
      </c>
      <c r="W191">
        <f>HYPERLINK("https://klasma.github.io/Logging_0980/klagomålsmail/A 25973-2024 FSC-klagomål mail.docx", "A 25973-2024")</f>
        <v/>
      </c>
      <c r="X191">
        <f>HYPERLINK("https://klasma.github.io/Logging_0980/tillsyn/A 25973-2024 tillsynsbegäran.docx", "A 25973-2024")</f>
        <v/>
      </c>
      <c r="Y191">
        <f>HYPERLINK("https://klasma.github.io/Logging_0980/tillsynsmail/A 25973-2024 tillsynsbegäran mail.docx", "A 25973-2024")</f>
        <v/>
      </c>
    </row>
    <row r="192" ht="15" customHeight="1">
      <c r="A192" t="inlineStr">
        <is>
          <t>A 26077-2024</t>
        </is>
      </c>
      <c r="B192" s="1" t="n">
        <v>45467</v>
      </c>
      <c r="C192" s="1" t="n">
        <v>45829</v>
      </c>
      <c r="D192" t="inlineStr">
        <is>
          <t>GOTLANDS LÄN</t>
        </is>
      </c>
      <c r="E192" t="inlineStr">
        <is>
          <t>GOTLAND</t>
        </is>
      </c>
      <c r="G192" t="n">
        <v>4.6</v>
      </c>
      <c r="H192" t="n">
        <v>0</v>
      </c>
      <c r="I192" t="n">
        <v>0</v>
      </c>
      <c r="J192" t="n">
        <v>1</v>
      </c>
      <c r="K192" t="n">
        <v>0</v>
      </c>
      <c r="L192" t="n">
        <v>1</v>
      </c>
      <c r="M192" t="n">
        <v>0</v>
      </c>
      <c r="N192" t="n">
        <v>0</v>
      </c>
      <c r="O192" t="n">
        <v>2</v>
      </c>
      <c r="P192" t="n">
        <v>1</v>
      </c>
      <c r="Q192" t="n">
        <v>2</v>
      </c>
      <c r="R192" s="2" t="inlineStr">
        <is>
          <t>Ask
Tallticka</t>
        </is>
      </c>
      <c r="S192">
        <f>HYPERLINK("https://klasma.github.io/Logging_0980/artfynd/A 26077-2024 artfynd.xlsx", "A 26077-2024")</f>
        <v/>
      </c>
      <c r="T192">
        <f>HYPERLINK("https://klasma.github.io/Logging_0980/kartor/A 26077-2024 karta.png", "A 26077-2024")</f>
        <v/>
      </c>
      <c r="V192">
        <f>HYPERLINK("https://klasma.github.io/Logging_0980/klagomål/A 26077-2024 FSC-klagomål.docx", "A 26077-2024")</f>
        <v/>
      </c>
      <c r="W192">
        <f>HYPERLINK("https://klasma.github.io/Logging_0980/klagomålsmail/A 26077-2024 FSC-klagomål mail.docx", "A 26077-2024")</f>
        <v/>
      </c>
      <c r="X192">
        <f>HYPERLINK("https://klasma.github.io/Logging_0980/tillsyn/A 26077-2024 tillsynsbegäran.docx", "A 26077-2024")</f>
        <v/>
      </c>
      <c r="Y192">
        <f>HYPERLINK("https://klasma.github.io/Logging_0980/tillsynsmail/A 26077-2024 tillsynsbegäran mail.docx", "A 26077-2024")</f>
        <v/>
      </c>
    </row>
    <row r="193" ht="15" customHeight="1">
      <c r="A193" t="inlineStr">
        <is>
          <t>A 28261-2024</t>
        </is>
      </c>
      <c r="B193" s="1" t="n">
        <v>45477</v>
      </c>
      <c r="C193" s="1" t="n">
        <v>45829</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28261-2024 artfynd.xlsx", "A 28261-2024")</f>
        <v/>
      </c>
      <c r="T193">
        <f>HYPERLINK("https://klasma.github.io/Logging_0980/kartor/A 28261-2024 karta.png", "A 28261-2024")</f>
        <v/>
      </c>
      <c r="V193">
        <f>HYPERLINK("https://klasma.github.io/Logging_0980/klagomål/A 28261-2024 FSC-klagomål.docx", "A 28261-2024")</f>
        <v/>
      </c>
      <c r="W193">
        <f>HYPERLINK("https://klasma.github.io/Logging_0980/klagomålsmail/A 28261-2024 FSC-klagomål mail.docx", "A 28261-2024")</f>
        <v/>
      </c>
      <c r="X193">
        <f>HYPERLINK("https://klasma.github.io/Logging_0980/tillsyn/A 28261-2024 tillsynsbegäran.docx", "A 28261-2024")</f>
        <v/>
      </c>
      <c r="Y193">
        <f>HYPERLINK("https://klasma.github.io/Logging_0980/tillsynsmail/A 28261-2024 tillsynsbegäran mail.docx", "A 28261-2024")</f>
        <v/>
      </c>
    </row>
    <row r="194" ht="15" customHeight="1">
      <c r="A194" t="inlineStr">
        <is>
          <t>A 28276-2024</t>
        </is>
      </c>
      <c r="B194" s="1" t="n">
        <v>45477</v>
      </c>
      <c r="C194" s="1" t="n">
        <v>45829</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28276-2024 artfynd.xlsx", "A 28276-2024")</f>
        <v/>
      </c>
      <c r="T194">
        <f>HYPERLINK("https://klasma.github.io/Logging_0980/kartor/A 28276-2024 karta.png", "A 28276-2024")</f>
        <v/>
      </c>
      <c r="V194">
        <f>HYPERLINK("https://klasma.github.io/Logging_0980/klagomål/A 28276-2024 FSC-klagomål.docx", "A 28276-2024")</f>
        <v/>
      </c>
      <c r="W194">
        <f>HYPERLINK("https://klasma.github.io/Logging_0980/klagomålsmail/A 28276-2024 FSC-klagomål mail.docx", "A 28276-2024")</f>
        <v/>
      </c>
      <c r="X194">
        <f>HYPERLINK("https://klasma.github.io/Logging_0980/tillsyn/A 28276-2024 tillsynsbegäran.docx", "A 28276-2024")</f>
        <v/>
      </c>
      <c r="Y194">
        <f>HYPERLINK("https://klasma.github.io/Logging_0980/tillsynsmail/A 28276-2024 tillsynsbegäran mail.docx", "A 28276-2024")</f>
        <v/>
      </c>
    </row>
    <row r="195" ht="15" customHeight="1">
      <c r="A195" t="inlineStr">
        <is>
          <t>A 54357-2024</t>
        </is>
      </c>
      <c r="B195" s="1" t="n">
        <v>45617</v>
      </c>
      <c r="C195" s="1" t="n">
        <v>45829</v>
      </c>
      <c r="D195" t="inlineStr">
        <is>
          <t>GOTLANDS LÄN</t>
        </is>
      </c>
      <c r="E195" t="inlineStr">
        <is>
          <t>GOTLAND</t>
        </is>
      </c>
      <c r="G195" t="n">
        <v>1.5</v>
      </c>
      <c r="H195" t="n">
        <v>1</v>
      </c>
      <c r="I195" t="n">
        <v>0</v>
      </c>
      <c r="J195" t="n">
        <v>1</v>
      </c>
      <c r="K195" t="n">
        <v>0</v>
      </c>
      <c r="L195" t="n">
        <v>0</v>
      </c>
      <c r="M195" t="n">
        <v>0</v>
      </c>
      <c r="N195" t="n">
        <v>0</v>
      </c>
      <c r="O195" t="n">
        <v>1</v>
      </c>
      <c r="P195" t="n">
        <v>0</v>
      </c>
      <c r="Q195" t="n">
        <v>2</v>
      </c>
      <c r="R195" s="2" t="inlineStr">
        <is>
          <t>Loppstarr
Fläcknycklar</t>
        </is>
      </c>
      <c r="S195">
        <f>HYPERLINK("https://klasma.github.io/Logging_0980/artfynd/A 54357-2024 artfynd.xlsx", "A 54357-2024")</f>
        <v/>
      </c>
      <c r="T195">
        <f>HYPERLINK("https://klasma.github.io/Logging_0980/kartor/A 54357-2024 karta.png", "A 54357-2024")</f>
        <v/>
      </c>
      <c r="V195">
        <f>HYPERLINK("https://klasma.github.io/Logging_0980/klagomål/A 54357-2024 FSC-klagomål.docx", "A 54357-2024")</f>
        <v/>
      </c>
      <c r="W195">
        <f>HYPERLINK("https://klasma.github.io/Logging_0980/klagomålsmail/A 54357-2024 FSC-klagomål mail.docx", "A 54357-2024")</f>
        <v/>
      </c>
      <c r="X195">
        <f>HYPERLINK("https://klasma.github.io/Logging_0980/tillsyn/A 54357-2024 tillsynsbegäran.docx", "A 54357-2024")</f>
        <v/>
      </c>
      <c r="Y195">
        <f>HYPERLINK("https://klasma.github.io/Logging_0980/tillsynsmail/A 54357-2024 tillsynsbegäran mail.docx", "A 54357-2024")</f>
        <v/>
      </c>
    </row>
    <row r="196" ht="15" customHeight="1">
      <c r="A196" t="inlineStr">
        <is>
          <t>A 54647-2024</t>
        </is>
      </c>
      <c r="B196" s="1" t="n">
        <v>45617</v>
      </c>
      <c r="C196" s="1" t="n">
        <v>45829</v>
      </c>
      <c r="D196" t="inlineStr">
        <is>
          <t>GOTLANDS LÄN</t>
        </is>
      </c>
      <c r="E196" t="inlineStr">
        <is>
          <t>GOTLAND</t>
        </is>
      </c>
      <c r="G196" t="n">
        <v>2.2</v>
      </c>
      <c r="H196" t="n">
        <v>0</v>
      </c>
      <c r="I196" t="n">
        <v>2</v>
      </c>
      <c r="J196" t="n">
        <v>0</v>
      </c>
      <c r="K196" t="n">
        <v>0</v>
      </c>
      <c r="L196" t="n">
        <v>0</v>
      </c>
      <c r="M196" t="n">
        <v>0</v>
      </c>
      <c r="N196" t="n">
        <v>0</v>
      </c>
      <c r="O196" t="n">
        <v>0</v>
      </c>
      <c r="P196" t="n">
        <v>0</v>
      </c>
      <c r="Q196" t="n">
        <v>2</v>
      </c>
      <c r="R196" s="2" t="inlineStr">
        <is>
          <t>Kattfotslav
Olivspindling</t>
        </is>
      </c>
      <c r="S196">
        <f>HYPERLINK("https://klasma.github.io/Logging_0980/artfynd/A 54647-2024 artfynd.xlsx", "A 54647-2024")</f>
        <v/>
      </c>
      <c r="T196">
        <f>HYPERLINK("https://klasma.github.io/Logging_0980/kartor/A 54647-2024 karta.png", "A 54647-2024")</f>
        <v/>
      </c>
      <c r="V196">
        <f>HYPERLINK("https://klasma.github.io/Logging_0980/klagomål/A 54647-2024 FSC-klagomål.docx", "A 54647-2024")</f>
        <v/>
      </c>
      <c r="W196">
        <f>HYPERLINK("https://klasma.github.io/Logging_0980/klagomålsmail/A 54647-2024 FSC-klagomål mail.docx", "A 54647-2024")</f>
        <v/>
      </c>
      <c r="X196">
        <f>HYPERLINK("https://klasma.github.io/Logging_0980/tillsyn/A 54647-2024 tillsynsbegäran.docx", "A 54647-2024")</f>
        <v/>
      </c>
      <c r="Y196">
        <f>HYPERLINK("https://klasma.github.io/Logging_0980/tillsynsmail/A 54647-2024 tillsynsbegäran mail.docx", "A 54647-2024")</f>
        <v/>
      </c>
    </row>
    <row r="197" ht="15" customHeight="1">
      <c r="A197" t="inlineStr">
        <is>
          <t>A 55649-2024</t>
        </is>
      </c>
      <c r="B197" s="1" t="n">
        <v>45622</v>
      </c>
      <c r="C197" s="1" t="n">
        <v>45829</v>
      </c>
      <c r="D197" t="inlineStr">
        <is>
          <t>GOTLANDS LÄN</t>
        </is>
      </c>
      <c r="E197" t="inlineStr">
        <is>
          <t>GOTLAND</t>
        </is>
      </c>
      <c r="G197" t="n">
        <v>4.6</v>
      </c>
      <c r="H197" t="n">
        <v>2</v>
      </c>
      <c r="I197" t="n">
        <v>0</v>
      </c>
      <c r="J197" t="n">
        <v>0</v>
      </c>
      <c r="K197" t="n">
        <v>0</v>
      </c>
      <c r="L197" t="n">
        <v>0</v>
      </c>
      <c r="M197" t="n">
        <v>0</v>
      </c>
      <c r="N197" t="n">
        <v>0</v>
      </c>
      <c r="O197" t="n">
        <v>0</v>
      </c>
      <c r="P197" t="n">
        <v>0</v>
      </c>
      <c r="Q197" t="n">
        <v>2</v>
      </c>
      <c r="R197" s="2" t="inlineStr">
        <is>
          <t>Sankt pers nycklar
Blåsippa</t>
        </is>
      </c>
      <c r="S197">
        <f>HYPERLINK("https://klasma.github.io/Logging_0980/artfynd/A 55649-2024 artfynd.xlsx", "A 55649-2024")</f>
        <v/>
      </c>
      <c r="T197">
        <f>HYPERLINK("https://klasma.github.io/Logging_0980/kartor/A 55649-2024 karta.png", "A 55649-2024")</f>
        <v/>
      </c>
      <c r="V197">
        <f>HYPERLINK("https://klasma.github.io/Logging_0980/klagomål/A 55649-2024 FSC-klagomål.docx", "A 55649-2024")</f>
        <v/>
      </c>
      <c r="W197">
        <f>HYPERLINK("https://klasma.github.io/Logging_0980/klagomålsmail/A 55649-2024 FSC-klagomål mail.docx", "A 55649-2024")</f>
        <v/>
      </c>
      <c r="X197">
        <f>HYPERLINK("https://klasma.github.io/Logging_0980/tillsyn/A 55649-2024 tillsynsbegäran.docx", "A 55649-2024")</f>
        <v/>
      </c>
      <c r="Y197">
        <f>HYPERLINK("https://klasma.github.io/Logging_0980/tillsynsmail/A 55649-2024 tillsynsbegäran mail.docx", "A 55649-2024")</f>
        <v/>
      </c>
    </row>
    <row r="198" ht="15" customHeight="1">
      <c r="A198" t="inlineStr">
        <is>
          <t>A 1120-2025</t>
        </is>
      </c>
      <c r="B198" s="1" t="n">
        <v>45666</v>
      </c>
      <c r="C198" s="1" t="n">
        <v>45829</v>
      </c>
      <c r="D198" t="inlineStr">
        <is>
          <t>GOTLANDS LÄN</t>
        </is>
      </c>
      <c r="E198" t="inlineStr">
        <is>
          <t>GOTLAND</t>
        </is>
      </c>
      <c r="G198" t="n">
        <v>9.300000000000001</v>
      </c>
      <c r="H198" t="n">
        <v>1</v>
      </c>
      <c r="I198" t="n">
        <v>1</v>
      </c>
      <c r="J198" t="n">
        <v>1</v>
      </c>
      <c r="K198" t="n">
        <v>0</v>
      </c>
      <c r="L198" t="n">
        <v>0</v>
      </c>
      <c r="M198" t="n">
        <v>0</v>
      </c>
      <c r="N198" t="n">
        <v>0</v>
      </c>
      <c r="O198" t="n">
        <v>1</v>
      </c>
      <c r="P198" t="n">
        <v>0</v>
      </c>
      <c r="Q198" t="n">
        <v>2</v>
      </c>
      <c r="R198" s="2" t="inlineStr">
        <is>
          <t>Röd skogslilja
Vårärt</t>
        </is>
      </c>
      <c r="S198">
        <f>HYPERLINK("https://klasma.github.io/Logging_0980/artfynd/A 1120-2025 artfynd.xlsx", "A 1120-2025")</f>
        <v/>
      </c>
      <c r="T198">
        <f>HYPERLINK("https://klasma.github.io/Logging_0980/kartor/A 1120-2025 karta.png", "A 1120-2025")</f>
        <v/>
      </c>
      <c r="V198">
        <f>HYPERLINK("https://klasma.github.io/Logging_0980/klagomål/A 1120-2025 FSC-klagomål.docx", "A 1120-2025")</f>
        <v/>
      </c>
      <c r="W198">
        <f>HYPERLINK("https://klasma.github.io/Logging_0980/klagomålsmail/A 1120-2025 FSC-klagomål mail.docx", "A 1120-2025")</f>
        <v/>
      </c>
      <c r="X198">
        <f>HYPERLINK("https://klasma.github.io/Logging_0980/tillsyn/A 1120-2025 tillsynsbegäran.docx", "A 1120-2025")</f>
        <v/>
      </c>
      <c r="Y198">
        <f>HYPERLINK("https://klasma.github.io/Logging_0980/tillsynsmail/A 1120-2025 tillsynsbegäran mail.docx", "A 1120-2025")</f>
        <v/>
      </c>
    </row>
    <row r="199" ht="15" customHeight="1">
      <c r="A199" t="inlineStr">
        <is>
          <t>A 9209-2025</t>
        </is>
      </c>
      <c r="B199" s="1" t="n">
        <v>45714</v>
      </c>
      <c r="C199" s="1" t="n">
        <v>45829</v>
      </c>
      <c r="D199" t="inlineStr">
        <is>
          <t>GOTLANDS LÄN</t>
        </is>
      </c>
      <c r="E199" t="inlineStr">
        <is>
          <t>GOTLAND</t>
        </is>
      </c>
      <c r="G199" t="n">
        <v>11.6</v>
      </c>
      <c r="H199" t="n">
        <v>0</v>
      </c>
      <c r="I199" t="n">
        <v>1</v>
      </c>
      <c r="J199" t="n">
        <v>0</v>
      </c>
      <c r="K199" t="n">
        <v>1</v>
      </c>
      <c r="L199" t="n">
        <v>0</v>
      </c>
      <c r="M199" t="n">
        <v>0</v>
      </c>
      <c r="N199" t="n">
        <v>0</v>
      </c>
      <c r="O199" t="n">
        <v>1</v>
      </c>
      <c r="P199" t="n">
        <v>1</v>
      </c>
      <c r="Q199" t="n">
        <v>2</v>
      </c>
      <c r="R199" s="2" t="inlineStr">
        <is>
          <t>Skogskorn
Myskmadra</t>
        </is>
      </c>
      <c r="S199">
        <f>HYPERLINK("https://klasma.github.io/Logging_0980/artfynd/A 9209-2025 artfynd.xlsx", "A 9209-2025")</f>
        <v/>
      </c>
      <c r="T199">
        <f>HYPERLINK("https://klasma.github.io/Logging_0980/kartor/A 9209-2025 karta.png", "A 9209-2025")</f>
        <v/>
      </c>
      <c r="V199">
        <f>HYPERLINK("https://klasma.github.io/Logging_0980/klagomål/A 9209-2025 FSC-klagomål.docx", "A 9209-2025")</f>
        <v/>
      </c>
      <c r="W199">
        <f>HYPERLINK("https://klasma.github.io/Logging_0980/klagomålsmail/A 9209-2025 FSC-klagomål mail.docx", "A 9209-2025")</f>
        <v/>
      </c>
      <c r="X199">
        <f>HYPERLINK("https://klasma.github.io/Logging_0980/tillsyn/A 9209-2025 tillsynsbegäran.docx", "A 9209-2025")</f>
        <v/>
      </c>
      <c r="Y199">
        <f>HYPERLINK("https://klasma.github.io/Logging_0980/tillsynsmail/A 9209-2025 tillsynsbegäran mail.docx", "A 9209-2025")</f>
        <v/>
      </c>
    </row>
    <row r="200" ht="15" customHeight="1">
      <c r="A200" t="inlineStr">
        <is>
          <t>A 12914-2025</t>
        </is>
      </c>
      <c r="B200" s="1" t="n">
        <v>45733</v>
      </c>
      <c r="C200" s="1" t="n">
        <v>45829</v>
      </c>
      <c r="D200" t="inlineStr">
        <is>
          <t>GOTLANDS LÄN</t>
        </is>
      </c>
      <c r="E200" t="inlineStr">
        <is>
          <t>GOTLAND</t>
        </is>
      </c>
      <c r="G200" t="n">
        <v>24.8</v>
      </c>
      <c r="H200" t="n">
        <v>2</v>
      </c>
      <c r="I200" t="n">
        <v>1</v>
      </c>
      <c r="J200" t="n">
        <v>0</v>
      </c>
      <c r="K200" t="n">
        <v>0</v>
      </c>
      <c r="L200" t="n">
        <v>0</v>
      </c>
      <c r="M200" t="n">
        <v>0</v>
      </c>
      <c r="N200" t="n">
        <v>0</v>
      </c>
      <c r="O200" t="n">
        <v>0</v>
      </c>
      <c r="P200" t="n">
        <v>0</v>
      </c>
      <c r="Q200" t="n">
        <v>2</v>
      </c>
      <c r="R200" s="2" t="inlineStr">
        <is>
          <t>Purpurknipprot
Brudsporre</t>
        </is>
      </c>
      <c r="S200">
        <f>HYPERLINK("https://klasma.github.io/Logging_090980/artfynd/A 12914-2025 artfynd.xlsx", "A 12914-2025")</f>
        <v/>
      </c>
      <c r="T200">
        <f>HYPERLINK("https://klasma.github.io/Logging_090980/kartor/A 12914-2025 karta.png", "A 12914-2025")</f>
        <v/>
      </c>
      <c r="V200">
        <f>HYPERLINK("https://klasma.github.io/Logging_090980/klagomål/A 12914-2025 FSC-klagomål.docx", "A 12914-2025")</f>
        <v/>
      </c>
      <c r="W200">
        <f>HYPERLINK("https://klasma.github.io/Logging_090980/klagomålsmail/A 12914-2025 FSC-klagomål mail.docx", "A 12914-2025")</f>
        <v/>
      </c>
      <c r="X200">
        <f>HYPERLINK("https://klasma.github.io/Logging_090980/tillsyn/A 12914-2025 tillsynsbegäran.docx", "A 12914-2025")</f>
        <v/>
      </c>
      <c r="Y200">
        <f>HYPERLINK("https://klasma.github.io/Logging_090980/tillsynsmail/A 12914-2025 tillsynsbegäran mail.docx", "A 12914-2025")</f>
        <v/>
      </c>
    </row>
    <row r="201" ht="15" customHeight="1">
      <c r="A201" t="inlineStr">
        <is>
          <t>A 21879-2025</t>
        </is>
      </c>
      <c r="B201" s="1" t="n">
        <v>45784</v>
      </c>
      <c r="C201" s="1" t="n">
        <v>45829</v>
      </c>
      <c r="D201" t="inlineStr">
        <is>
          <t>GOTLANDS LÄN</t>
        </is>
      </c>
      <c r="E201" t="inlineStr">
        <is>
          <t>GOTLAND</t>
        </is>
      </c>
      <c r="G201" t="n">
        <v>11.1</v>
      </c>
      <c r="H201" t="n">
        <v>0</v>
      </c>
      <c r="I201" t="n">
        <v>1</v>
      </c>
      <c r="J201" t="n">
        <v>0</v>
      </c>
      <c r="K201" t="n">
        <v>0</v>
      </c>
      <c r="L201" t="n">
        <v>1</v>
      </c>
      <c r="M201" t="n">
        <v>0</v>
      </c>
      <c r="N201" t="n">
        <v>0</v>
      </c>
      <c r="O201" t="n">
        <v>1</v>
      </c>
      <c r="P201" t="n">
        <v>1</v>
      </c>
      <c r="Q201" t="n">
        <v>2</v>
      </c>
      <c r="R201" s="2" t="inlineStr">
        <is>
          <t>Ask
Murgröna</t>
        </is>
      </c>
      <c r="S201">
        <f>HYPERLINK("https://klasma.github.io/Logging_090980/artfynd/A 21879-2025 artfynd.xlsx", "A 21879-2025")</f>
        <v/>
      </c>
      <c r="T201">
        <f>HYPERLINK("https://klasma.github.io/Logging_090980/kartor/A 21879-2025 karta.png", "A 21879-2025")</f>
        <v/>
      </c>
      <c r="V201">
        <f>HYPERLINK("https://klasma.github.io/Logging_090980/klagomål/A 21879-2025 FSC-klagomål.docx", "A 21879-2025")</f>
        <v/>
      </c>
      <c r="W201">
        <f>HYPERLINK("https://klasma.github.io/Logging_090980/klagomålsmail/A 21879-2025 FSC-klagomål mail.docx", "A 21879-2025")</f>
        <v/>
      </c>
      <c r="X201">
        <f>HYPERLINK("https://klasma.github.io/Logging_090980/tillsyn/A 21879-2025 tillsynsbegäran.docx", "A 21879-2025")</f>
        <v/>
      </c>
      <c r="Y201">
        <f>HYPERLINK("https://klasma.github.io/Logging_090980/tillsynsmail/A 21879-2025 tillsynsbegäran mail.docx", "A 21879-2025")</f>
        <v/>
      </c>
    </row>
    <row r="202" ht="15" customHeight="1">
      <c r="A202" t="inlineStr">
        <is>
          <t>A 18223-2019</t>
        </is>
      </c>
      <c r="B202" s="1" t="n">
        <v>43558</v>
      </c>
      <c r="C202" s="1" t="n">
        <v>45829</v>
      </c>
      <c r="D202" t="inlineStr">
        <is>
          <t>GOTLANDS LÄN</t>
        </is>
      </c>
      <c r="E202" t="inlineStr">
        <is>
          <t>GOTLAND</t>
        </is>
      </c>
      <c r="G202" t="n">
        <v>1.1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18223-2019 artfynd.xlsx", "A 18223-2019")</f>
        <v/>
      </c>
      <c r="T202">
        <f>HYPERLINK("https://klasma.github.io/Logging_0980/kartor/A 18223-2019 karta.png", "A 18223-2019")</f>
        <v/>
      </c>
      <c r="V202">
        <f>HYPERLINK("https://klasma.github.io/Logging_0980/klagomål/A 18223-2019 FSC-klagomål.docx", "A 18223-2019")</f>
        <v/>
      </c>
      <c r="W202">
        <f>HYPERLINK("https://klasma.github.io/Logging_0980/klagomålsmail/A 18223-2019 FSC-klagomål mail.docx", "A 18223-2019")</f>
        <v/>
      </c>
      <c r="X202">
        <f>HYPERLINK("https://klasma.github.io/Logging_0980/tillsyn/A 18223-2019 tillsynsbegäran.docx", "A 18223-2019")</f>
        <v/>
      </c>
      <c r="Y202">
        <f>HYPERLINK("https://klasma.github.io/Logging_0980/tillsynsmail/A 18223-2019 tillsynsbegäran mail.docx", "A 18223-2019")</f>
        <v/>
      </c>
    </row>
    <row r="203" ht="15" customHeight="1">
      <c r="A203" t="inlineStr">
        <is>
          <t>A 23016-2019</t>
        </is>
      </c>
      <c r="B203" s="1" t="n">
        <v>43591</v>
      </c>
      <c r="C203" s="1" t="n">
        <v>45829</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Äkta lopplummer</t>
        </is>
      </c>
      <c r="S203">
        <f>HYPERLINK("https://klasma.github.io/Logging_0980/artfynd/A 23016-2019 artfynd.xlsx", "A 23016-2019")</f>
        <v/>
      </c>
      <c r="T203">
        <f>HYPERLINK("https://klasma.github.io/Logging_0980/kartor/A 23016-2019 karta.png", "A 23016-2019")</f>
        <v/>
      </c>
      <c r="V203">
        <f>HYPERLINK("https://klasma.github.io/Logging_0980/klagomål/A 23016-2019 FSC-klagomål.docx", "A 23016-2019")</f>
        <v/>
      </c>
      <c r="W203">
        <f>HYPERLINK("https://klasma.github.io/Logging_0980/klagomålsmail/A 23016-2019 FSC-klagomål mail.docx", "A 23016-2019")</f>
        <v/>
      </c>
      <c r="X203">
        <f>HYPERLINK("https://klasma.github.io/Logging_0980/tillsyn/A 23016-2019 tillsynsbegäran.docx", "A 23016-2019")</f>
        <v/>
      </c>
      <c r="Y203">
        <f>HYPERLINK("https://klasma.github.io/Logging_0980/tillsynsmail/A 23016-2019 tillsynsbegäran mail.docx", "A 23016-2019")</f>
        <v/>
      </c>
    </row>
    <row r="204" ht="15" customHeight="1">
      <c r="A204" t="inlineStr">
        <is>
          <t>A 32061-2019</t>
        </is>
      </c>
      <c r="B204" s="1" t="n">
        <v>43643</v>
      </c>
      <c r="C204" s="1" t="n">
        <v>45829</v>
      </c>
      <c r="D204" t="inlineStr">
        <is>
          <t>GOTLANDS LÄN</t>
        </is>
      </c>
      <c r="E204" t="inlineStr">
        <is>
          <t>GOTLAND</t>
        </is>
      </c>
      <c r="G204" t="n">
        <v>7.5</v>
      </c>
      <c r="H204" t="n">
        <v>1</v>
      </c>
      <c r="I204" t="n">
        <v>0</v>
      </c>
      <c r="J204" t="n">
        <v>1</v>
      </c>
      <c r="K204" t="n">
        <v>0</v>
      </c>
      <c r="L204" t="n">
        <v>0</v>
      </c>
      <c r="M204" t="n">
        <v>0</v>
      </c>
      <c r="N204" t="n">
        <v>0</v>
      </c>
      <c r="O204" t="n">
        <v>1</v>
      </c>
      <c r="P204" t="n">
        <v>0</v>
      </c>
      <c r="Q204" t="n">
        <v>1</v>
      </c>
      <c r="R204" s="2" t="inlineStr">
        <is>
          <t>Buskskvätta</t>
        </is>
      </c>
      <c r="S204">
        <f>HYPERLINK("https://klasma.github.io/Logging_0980/artfynd/A 32061-2019 artfynd.xlsx", "A 32061-2019")</f>
        <v/>
      </c>
      <c r="T204">
        <f>HYPERLINK("https://klasma.github.io/Logging_0980/kartor/A 32061-2019 karta.png", "A 32061-2019")</f>
        <v/>
      </c>
      <c r="V204">
        <f>HYPERLINK("https://klasma.github.io/Logging_0980/klagomål/A 32061-2019 FSC-klagomål.docx", "A 32061-2019")</f>
        <v/>
      </c>
      <c r="W204">
        <f>HYPERLINK("https://klasma.github.io/Logging_0980/klagomålsmail/A 32061-2019 FSC-klagomål mail.docx", "A 32061-2019")</f>
        <v/>
      </c>
      <c r="X204">
        <f>HYPERLINK("https://klasma.github.io/Logging_0980/tillsyn/A 32061-2019 tillsynsbegäran.docx", "A 32061-2019")</f>
        <v/>
      </c>
      <c r="Y204">
        <f>HYPERLINK("https://klasma.github.io/Logging_0980/tillsynsmail/A 32061-2019 tillsynsbegäran mail.docx", "A 32061-2019")</f>
        <v/>
      </c>
      <c r="Z204">
        <f>HYPERLINK("https://klasma.github.io/Logging_0980/fåglar/A 32061-2019 prioriterade fågelarter.docx", "A 32061-2019")</f>
        <v/>
      </c>
    </row>
    <row r="205" ht="15" customHeight="1">
      <c r="A205" t="inlineStr">
        <is>
          <t>A 32963-2019</t>
        </is>
      </c>
      <c r="B205" s="1" t="n">
        <v>43648</v>
      </c>
      <c r="C205" s="1" t="n">
        <v>45829</v>
      </c>
      <c r="D205" t="inlineStr">
        <is>
          <t>GOTLANDS LÄN</t>
        </is>
      </c>
      <c r="E205" t="inlineStr">
        <is>
          <t>GOTLAND</t>
        </is>
      </c>
      <c r="G205" t="n">
        <v>5.8</v>
      </c>
      <c r="H205" t="n">
        <v>0</v>
      </c>
      <c r="I205" t="n">
        <v>0</v>
      </c>
      <c r="J205" t="n">
        <v>1</v>
      </c>
      <c r="K205" t="n">
        <v>0</v>
      </c>
      <c r="L205" t="n">
        <v>0</v>
      </c>
      <c r="M205" t="n">
        <v>0</v>
      </c>
      <c r="N205" t="n">
        <v>0</v>
      </c>
      <c r="O205" t="n">
        <v>1</v>
      </c>
      <c r="P205" t="n">
        <v>0</v>
      </c>
      <c r="Q205" t="n">
        <v>1</v>
      </c>
      <c r="R205" s="2" t="inlineStr">
        <is>
          <t>Mindre blåvinge</t>
        </is>
      </c>
      <c r="S205">
        <f>HYPERLINK("https://klasma.github.io/Logging_0980/artfynd/A 32963-2019 artfynd.xlsx", "A 32963-2019")</f>
        <v/>
      </c>
      <c r="T205">
        <f>HYPERLINK("https://klasma.github.io/Logging_0980/kartor/A 32963-2019 karta.png", "A 32963-2019")</f>
        <v/>
      </c>
      <c r="V205">
        <f>HYPERLINK("https://klasma.github.io/Logging_0980/klagomål/A 32963-2019 FSC-klagomål.docx", "A 32963-2019")</f>
        <v/>
      </c>
      <c r="W205">
        <f>HYPERLINK("https://klasma.github.io/Logging_0980/klagomålsmail/A 32963-2019 FSC-klagomål mail.docx", "A 32963-2019")</f>
        <v/>
      </c>
      <c r="X205">
        <f>HYPERLINK("https://klasma.github.io/Logging_0980/tillsyn/A 32963-2019 tillsynsbegäran.docx", "A 32963-2019")</f>
        <v/>
      </c>
      <c r="Y205">
        <f>HYPERLINK("https://klasma.github.io/Logging_0980/tillsynsmail/A 32963-2019 tillsynsbegäran mail.docx", "A 32963-2019")</f>
        <v/>
      </c>
    </row>
    <row r="206" ht="15" customHeight="1">
      <c r="A206" t="inlineStr">
        <is>
          <t>A 35282-2019</t>
        </is>
      </c>
      <c r="B206" s="1" t="n">
        <v>43656</v>
      </c>
      <c r="C206" s="1" t="n">
        <v>45829</v>
      </c>
      <c r="D206" t="inlineStr">
        <is>
          <t>GOTLANDS LÄN</t>
        </is>
      </c>
      <c r="E206" t="inlineStr">
        <is>
          <t>GOTLAND</t>
        </is>
      </c>
      <c r="G206" t="n">
        <v>5.6</v>
      </c>
      <c r="H206" t="n">
        <v>1</v>
      </c>
      <c r="I206" t="n">
        <v>0</v>
      </c>
      <c r="J206" t="n">
        <v>1</v>
      </c>
      <c r="K206" t="n">
        <v>0</v>
      </c>
      <c r="L206" t="n">
        <v>0</v>
      </c>
      <c r="M206" t="n">
        <v>0</v>
      </c>
      <c r="N206" t="n">
        <v>0</v>
      </c>
      <c r="O206" t="n">
        <v>1</v>
      </c>
      <c r="P206" t="n">
        <v>0</v>
      </c>
      <c r="Q206" t="n">
        <v>1</v>
      </c>
      <c r="R206" s="2" t="inlineStr">
        <is>
          <t>Spillkråka</t>
        </is>
      </c>
      <c r="S206">
        <f>HYPERLINK("https://klasma.github.io/Logging_0980/artfynd/A 35282-2019 artfynd.xlsx", "A 35282-2019")</f>
        <v/>
      </c>
      <c r="T206">
        <f>HYPERLINK("https://klasma.github.io/Logging_0980/kartor/A 35282-2019 karta.png", "A 35282-2019")</f>
        <v/>
      </c>
      <c r="V206">
        <f>HYPERLINK("https://klasma.github.io/Logging_0980/klagomål/A 35282-2019 FSC-klagomål.docx", "A 35282-2019")</f>
        <v/>
      </c>
      <c r="W206">
        <f>HYPERLINK("https://klasma.github.io/Logging_0980/klagomålsmail/A 35282-2019 FSC-klagomål mail.docx", "A 35282-2019")</f>
        <v/>
      </c>
      <c r="X206">
        <f>HYPERLINK("https://klasma.github.io/Logging_0980/tillsyn/A 35282-2019 tillsynsbegäran.docx", "A 35282-2019")</f>
        <v/>
      </c>
      <c r="Y206">
        <f>HYPERLINK("https://klasma.github.io/Logging_0980/tillsynsmail/A 35282-2019 tillsynsbegäran mail.docx", "A 35282-2019")</f>
        <v/>
      </c>
      <c r="Z206">
        <f>HYPERLINK("https://klasma.github.io/Logging_0980/fåglar/A 35282-2019 prioriterade fågelarter.docx", "A 35282-2019")</f>
        <v/>
      </c>
    </row>
    <row r="207" ht="15" customHeight="1">
      <c r="A207" t="inlineStr">
        <is>
          <t>A 48584-2019</t>
        </is>
      </c>
      <c r="B207" s="1" t="n">
        <v>43727</v>
      </c>
      <c r="C207" s="1" t="n">
        <v>45829</v>
      </c>
      <c r="D207" t="inlineStr">
        <is>
          <t>GOTLANDS LÄN</t>
        </is>
      </c>
      <c r="E207" t="inlineStr">
        <is>
          <t>GOTLAND</t>
        </is>
      </c>
      <c r="G207" t="n">
        <v>4.4</v>
      </c>
      <c r="H207" t="n">
        <v>0</v>
      </c>
      <c r="I207" t="n">
        <v>1</v>
      </c>
      <c r="J207" t="n">
        <v>0</v>
      </c>
      <c r="K207" t="n">
        <v>0</v>
      </c>
      <c r="L207" t="n">
        <v>0</v>
      </c>
      <c r="M207" t="n">
        <v>0</v>
      </c>
      <c r="N207" t="n">
        <v>0</v>
      </c>
      <c r="O207" t="n">
        <v>0</v>
      </c>
      <c r="P207" t="n">
        <v>0</v>
      </c>
      <c r="Q207" t="n">
        <v>1</v>
      </c>
      <c r="R207" s="2" t="inlineStr">
        <is>
          <t>Scharlakansskål</t>
        </is>
      </c>
      <c r="S207">
        <f>HYPERLINK("https://klasma.github.io/Logging_0980/artfynd/A 48584-2019 artfynd.xlsx", "A 48584-2019")</f>
        <v/>
      </c>
      <c r="T207">
        <f>HYPERLINK("https://klasma.github.io/Logging_0980/kartor/A 48584-2019 karta.png", "A 48584-2019")</f>
        <v/>
      </c>
      <c r="V207">
        <f>HYPERLINK("https://klasma.github.io/Logging_0980/klagomål/A 48584-2019 FSC-klagomål.docx", "A 48584-2019")</f>
        <v/>
      </c>
      <c r="W207">
        <f>HYPERLINK("https://klasma.github.io/Logging_0980/klagomålsmail/A 48584-2019 FSC-klagomål mail.docx", "A 48584-2019")</f>
        <v/>
      </c>
      <c r="X207">
        <f>HYPERLINK("https://klasma.github.io/Logging_0980/tillsyn/A 48584-2019 tillsynsbegäran.docx", "A 48584-2019")</f>
        <v/>
      </c>
      <c r="Y207">
        <f>HYPERLINK("https://klasma.github.io/Logging_0980/tillsynsmail/A 48584-2019 tillsynsbegäran mail.docx", "A 48584-2019")</f>
        <v/>
      </c>
    </row>
    <row r="208" ht="15" customHeight="1">
      <c r="A208" t="inlineStr">
        <is>
          <t>A 68988-2019</t>
        </is>
      </c>
      <c r="B208" s="1" t="n">
        <v>43826</v>
      </c>
      <c r="C208" s="1" t="n">
        <v>45829</v>
      </c>
      <c r="D208" t="inlineStr">
        <is>
          <t>GOTLANDS LÄN</t>
        </is>
      </c>
      <c r="E208" t="inlineStr">
        <is>
          <t>GOTLAND</t>
        </is>
      </c>
      <c r="F208" t="inlineStr">
        <is>
          <t>Kyrkan</t>
        </is>
      </c>
      <c r="G208" t="n">
        <v>4.6</v>
      </c>
      <c r="H208" t="n">
        <v>0</v>
      </c>
      <c r="I208" t="n">
        <v>1</v>
      </c>
      <c r="J208" t="n">
        <v>0</v>
      </c>
      <c r="K208" t="n">
        <v>0</v>
      </c>
      <c r="L208" t="n">
        <v>0</v>
      </c>
      <c r="M208" t="n">
        <v>0</v>
      </c>
      <c r="N208" t="n">
        <v>0</v>
      </c>
      <c r="O208" t="n">
        <v>0</v>
      </c>
      <c r="P208" t="n">
        <v>0</v>
      </c>
      <c r="Q208" t="n">
        <v>1</v>
      </c>
      <c r="R208" s="2" t="inlineStr">
        <is>
          <t>Kattfotslav</t>
        </is>
      </c>
      <c r="S208">
        <f>HYPERLINK("https://klasma.github.io/Logging_0980/artfynd/A 68988-2019 artfynd.xlsx", "A 68988-2019")</f>
        <v/>
      </c>
      <c r="T208">
        <f>HYPERLINK("https://klasma.github.io/Logging_0980/kartor/A 68988-2019 karta.png", "A 68988-2019")</f>
        <v/>
      </c>
      <c r="V208">
        <f>HYPERLINK("https://klasma.github.io/Logging_0980/klagomål/A 68988-2019 FSC-klagomål.docx", "A 68988-2019")</f>
        <v/>
      </c>
      <c r="W208">
        <f>HYPERLINK("https://klasma.github.io/Logging_0980/klagomålsmail/A 68988-2019 FSC-klagomål mail.docx", "A 68988-2019")</f>
        <v/>
      </c>
      <c r="X208">
        <f>HYPERLINK("https://klasma.github.io/Logging_0980/tillsyn/A 68988-2019 tillsynsbegäran.docx", "A 68988-2019")</f>
        <v/>
      </c>
      <c r="Y208">
        <f>HYPERLINK("https://klasma.github.io/Logging_0980/tillsynsmail/A 68988-2019 tillsynsbegäran mail.docx", "A 68988-2019")</f>
        <v/>
      </c>
    </row>
    <row r="209" ht="15" customHeight="1">
      <c r="A209" t="inlineStr">
        <is>
          <t>A 14010-2020</t>
        </is>
      </c>
      <c r="B209" s="1" t="n">
        <v>43899</v>
      </c>
      <c r="C209" s="1" t="n">
        <v>45829</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Gulsparv</t>
        </is>
      </c>
      <c r="S209">
        <f>HYPERLINK("https://klasma.github.io/Logging_0980/artfynd/A 14010-2020 artfynd.xlsx", "A 14010-2020")</f>
        <v/>
      </c>
      <c r="T209">
        <f>HYPERLINK("https://klasma.github.io/Logging_0980/kartor/A 14010-2020 karta.png", "A 14010-2020")</f>
        <v/>
      </c>
      <c r="V209">
        <f>HYPERLINK("https://klasma.github.io/Logging_0980/klagomål/A 14010-2020 FSC-klagomål.docx", "A 14010-2020")</f>
        <v/>
      </c>
      <c r="W209">
        <f>HYPERLINK("https://klasma.github.io/Logging_0980/klagomålsmail/A 14010-2020 FSC-klagomål mail.docx", "A 14010-2020")</f>
        <v/>
      </c>
      <c r="X209">
        <f>HYPERLINK("https://klasma.github.io/Logging_0980/tillsyn/A 14010-2020 tillsynsbegäran.docx", "A 14010-2020")</f>
        <v/>
      </c>
      <c r="Y209">
        <f>HYPERLINK("https://klasma.github.io/Logging_0980/tillsynsmail/A 14010-2020 tillsynsbegäran mail.docx", "A 14010-2020")</f>
        <v/>
      </c>
      <c r="Z209">
        <f>HYPERLINK("https://klasma.github.io/Logging_0980/fåglar/A 14010-2020 prioriterade fågelarter.docx", "A 14010-2020")</f>
        <v/>
      </c>
    </row>
    <row r="210" ht="15" customHeight="1">
      <c r="A210" t="inlineStr">
        <is>
          <t>A 21753-2020</t>
        </is>
      </c>
      <c r="B210" s="1" t="n">
        <v>43957</v>
      </c>
      <c r="C210" s="1" t="n">
        <v>45829</v>
      </c>
      <c r="D210" t="inlineStr">
        <is>
          <t>GOTLANDS LÄN</t>
        </is>
      </c>
      <c r="E210" t="inlineStr">
        <is>
          <t>GOTLAND</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HYPERLINK("https://klasma.github.io/Logging_0980/artfynd/A 21753-2020 artfynd.xlsx", "A 21753-2020")</f>
        <v/>
      </c>
      <c r="T210">
        <f>HYPERLINK("https://klasma.github.io/Logging_0980/kartor/A 21753-2020 karta.png", "A 21753-2020")</f>
        <v/>
      </c>
      <c r="V210">
        <f>HYPERLINK("https://klasma.github.io/Logging_0980/klagomål/A 21753-2020 FSC-klagomål.docx", "A 21753-2020")</f>
        <v/>
      </c>
      <c r="W210">
        <f>HYPERLINK("https://klasma.github.io/Logging_0980/klagomålsmail/A 21753-2020 FSC-klagomål mail.docx", "A 21753-2020")</f>
        <v/>
      </c>
      <c r="X210">
        <f>HYPERLINK("https://klasma.github.io/Logging_0980/tillsyn/A 21753-2020 tillsynsbegäran.docx", "A 21753-2020")</f>
        <v/>
      </c>
      <c r="Y210">
        <f>HYPERLINK("https://klasma.github.io/Logging_0980/tillsynsmail/A 21753-2020 tillsynsbegäran mail.docx", "A 21753-2020")</f>
        <v/>
      </c>
    </row>
    <row r="211" ht="15" customHeight="1">
      <c r="A211" t="inlineStr">
        <is>
          <t>A 22203-2020</t>
        </is>
      </c>
      <c r="B211" s="1" t="n">
        <v>43962</v>
      </c>
      <c r="C211" s="1" t="n">
        <v>45829</v>
      </c>
      <c r="D211" t="inlineStr">
        <is>
          <t>GOTLANDS LÄN</t>
        </is>
      </c>
      <c r="E211" t="inlineStr">
        <is>
          <t>GOTLAND</t>
        </is>
      </c>
      <c r="G211" t="n">
        <v>3.2</v>
      </c>
      <c r="H211" t="n">
        <v>0</v>
      </c>
      <c r="I211" t="n">
        <v>0</v>
      </c>
      <c r="J211" t="n">
        <v>1</v>
      </c>
      <c r="K211" t="n">
        <v>0</v>
      </c>
      <c r="L211" t="n">
        <v>0</v>
      </c>
      <c r="M211" t="n">
        <v>0</v>
      </c>
      <c r="N211" t="n">
        <v>0</v>
      </c>
      <c r="O211" t="n">
        <v>1</v>
      </c>
      <c r="P211" t="n">
        <v>0</v>
      </c>
      <c r="Q211" t="n">
        <v>1</v>
      </c>
      <c r="R211" s="2" t="inlineStr">
        <is>
          <t>Svinrot</t>
        </is>
      </c>
      <c r="S211">
        <f>HYPERLINK("https://klasma.github.io/Logging_0980/artfynd/A 22203-2020 artfynd.xlsx", "A 22203-2020")</f>
        <v/>
      </c>
      <c r="T211">
        <f>HYPERLINK("https://klasma.github.io/Logging_0980/kartor/A 22203-2020 karta.png", "A 22203-2020")</f>
        <v/>
      </c>
      <c r="V211">
        <f>HYPERLINK("https://klasma.github.io/Logging_0980/klagomål/A 22203-2020 FSC-klagomål.docx", "A 22203-2020")</f>
        <v/>
      </c>
      <c r="W211">
        <f>HYPERLINK("https://klasma.github.io/Logging_0980/klagomålsmail/A 22203-2020 FSC-klagomål mail.docx", "A 22203-2020")</f>
        <v/>
      </c>
      <c r="X211">
        <f>HYPERLINK("https://klasma.github.io/Logging_0980/tillsyn/A 22203-2020 tillsynsbegäran.docx", "A 22203-2020")</f>
        <v/>
      </c>
      <c r="Y211">
        <f>HYPERLINK("https://klasma.github.io/Logging_0980/tillsynsmail/A 22203-2020 tillsynsbegäran mail.docx", "A 22203-2020")</f>
        <v/>
      </c>
    </row>
    <row r="212" ht="15" customHeight="1">
      <c r="A212" t="inlineStr">
        <is>
          <t>A 22628-2020</t>
        </is>
      </c>
      <c r="B212" s="1" t="n">
        <v>43963</v>
      </c>
      <c r="C212" s="1" t="n">
        <v>45829</v>
      </c>
      <c r="D212" t="inlineStr">
        <is>
          <t>GOTLANDS LÄN</t>
        </is>
      </c>
      <c r="E212" t="inlineStr">
        <is>
          <t>GOTLAND</t>
        </is>
      </c>
      <c r="G212" t="n">
        <v>4.3</v>
      </c>
      <c r="H212" t="n">
        <v>0</v>
      </c>
      <c r="I212" t="n">
        <v>0</v>
      </c>
      <c r="J212" t="n">
        <v>0</v>
      </c>
      <c r="K212" t="n">
        <v>1</v>
      </c>
      <c r="L212" t="n">
        <v>0</v>
      </c>
      <c r="M212" t="n">
        <v>0</v>
      </c>
      <c r="N212" t="n">
        <v>0</v>
      </c>
      <c r="O212" t="n">
        <v>1</v>
      </c>
      <c r="P212" t="n">
        <v>1</v>
      </c>
      <c r="Q212" t="n">
        <v>1</v>
      </c>
      <c r="R212" s="2" t="inlineStr">
        <is>
          <t>Gotlandsmåra</t>
        </is>
      </c>
      <c r="S212">
        <f>HYPERLINK("https://klasma.github.io/Logging_0980/artfynd/A 22628-2020 artfynd.xlsx", "A 22628-2020")</f>
        <v/>
      </c>
      <c r="T212">
        <f>HYPERLINK("https://klasma.github.io/Logging_0980/kartor/A 22628-2020 karta.png", "A 22628-2020")</f>
        <v/>
      </c>
      <c r="V212">
        <f>HYPERLINK("https://klasma.github.io/Logging_0980/klagomål/A 22628-2020 FSC-klagomål.docx", "A 22628-2020")</f>
        <v/>
      </c>
      <c r="W212">
        <f>HYPERLINK("https://klasma.github.io/Logging_0980/klagomålsmail/A 22628-2020 FSC-klagomål mail.docx", "A 22628-2020")</f>
        <v/>
      </c>
      <c r="X212">
        <f>HYPERLINK("https://klasma.github.io/Logging_0980/tillsyn/A 22628-2020 tillsynsbegäran.docx", "A 22628-2020")</f>
        <v/>
      </c>
      <c r="Y212">
        <f>HYPERLINK("https://klasma.github.io/Logging_0980/tillsynsmail/A 22628-2020 tillsynsbegäran mail.docx", "A 22628-2020")</f>
        <v/>
      </c>
    </row>
    <row r="213" ht="15" customHeight="1">
      <c r="A213" t="inlineStr">
        <is>
          <t>A 39999-2020</t>
        </is>
      </c>
      <c r="B213" s="1" t="n">
        <v>44067</v>
      </c>
      <c r="C213" s="1" t="n">
        <v>45829</v>
      </c>
      <c r="D213" t="inlineStr">
        <is>
          <t>GOTLANDS LÄN</t>
        </is>
      </c>
      <c r="E213" t="inlineStr">
        <is>
          <t>GOTLAND</t>
        </is>
      </c>
      <c r="G213" t="n">
        <v>1.8</v>
      </c>
      <c r="H213" t="n">
        <v>0</v>
      </c>
      <c r="I213" t="n">
        <v>1</v>
      </c>
      <c r="J213" t="n">
        <v>0</v>
      </c>
      <c r="K213" t="n">
        <v>0</v>
      </c>
      <c r="L213" t="n">
        <v>0</v>
      </c>
      <c r="M213" t="n">
        <v>0</v>
      </c>
      <c r="N213" t="n">
        <v>0</v>
      </c>
      <c r="O213" t="n">
        <v>0</v>
      </c>
      <c r="P213" t="n">
        <v>0</v>
      </c>
      <c r="Q213" t="n">
        <v>1</v>
      </c>
      <c r="R213" s="2" t="inlineStr">
        <is>
          <t>Strävlosta</t>
        </is>
      </c>
      <c r="S213">
        <f>HYPERLINK("https://klasma.github.io/Logging_0980/artfynd/A 39999-2020 artfynd.xlsx", "A 39999-2020")</f>
        <v/>
      </c>
      <c r="T213">
        <f>HYPERLINK("https://klasma.github.io/Logging_0980/kartor/A 39999-2020 karta.png", "A 39999-2020")</f>
        <v/>
      </c>
      <c r="V213">
        <f>HYPERLINK("https://klasma.github.io/Logging_0980/klagomål/A 39999-2020 FSC-klagomål.docx", "A 39999-2020")</f>
        <v/>
      </c>
      <c r="W213">
        <f>HYPERLINK("https://klasma.github.io/Logging_0980/klagomålsmail/A 39999-2020 FSC-klagomål mail.docx", "A 39999-2020")</f>
        <v/>
      </c>
      <c r="X213">
        <f>HYPERLINK("https://klasma.github.io/Logging_0980/tillsyn/A 39999-2020 tillsynsbegäran.docx", "A 39999-2020")</f>
        <v/>
      </c>
      <c r="Y213">
        <f>HYPERLINK("https://klasma.github.io/Logging_0980/tillsynsmail/A 39999-2020 tillsynsbegäran mail.docx", "A 39999-2020")</f>
        <v/>
      </c>
    </row>
    <row r="214" ht="15" customHeight="1">
      <c r="A214" t="inlineStr">
        <is>
          <t>A 40266-2020</t>
        </is>
      </c>
      <c r="B214" s="1" t="n">
        <v>44068</v>
      </c>
      <c r="C214" s="1" t="n">
        <v>45829</v>
      </c>
      <c r="D214" t="inlineStr">
        <is>
          <t>GOTLANDS LÄN</t>
        </is>
      </c>
      <c r="E214" t="inlineStr">
        <is>
          <t>GOTLAND</t>
        </is>
      </c>
      <c r="F214" t="inlineStr">
        <is>
          <t>Kyrkan</t>
        </is>
      </c>
      <c r="G214" t="n">
        <v>1.3</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40266-2020 artfynd.xlsx", "A 40266-2020")</f>
        <v/>
      </c>
      <c r="T214">
        <f>HYPERLINK("https://klasma.github.io/Logging_0980/kartor/A 40266-2020 karta.png", "A 40266-2020")</f>
        <v/>
      </c>
      <c r="V214">
        <f>HYPERLINK("https://klasma.github.io/Logging_0980/klagomål/A 40266-2020 FSC-klagomål.docx", "A 40266-2020")</f>
        <v/>
      </c>
      <c r="W214">
        <f>HYPERLINK("https://klasma.github.io/Logging_0980/klagomålsmail/A 40266-2020 FSC-klagomål mail.docx", "A 40266-2020")</f>
        <v/>
      </c>
      <c r="X214">
        <f>HYPERLINK("https://klasma.github.io/Logging_0980/tillsyn/A 40266-2020 tillsynsbegäran.docx", "A 40266-2020")</f>
        <v/>
      </c>
      <c r="Y214">
        <f>HYPERLINK("https://klasma.github.io/Logging_0980/tillsynsmail/A 40266-2020 tillsynsbegäran mail.docx", "A 40266-2020")</f>
        <v/>
      </c>
    </row>
    <row r="215" ht="15" customHeight="1">
      <c r="A215" t="inlineStr">
        <is>
          <t>A 41065-2020</t>
        </is>
      </c>
      <c r="B215" s="1" t="n">
        <v>44069</v>
      </c>
      <c r="C215" s="1" t="n">
        <v>45829</v>
      </c>
      <c r="D215" t="inlineStr">
        <is>
          <t>GOTLANDS LÄN</t>
        </is>
      </c>
      <c r="E215" t="inlineStr">
        <is>
          <t>GOTLAND</t>
        </is>
      </c>
      <c r="G215" t="n">
        <v>12</v>
      </c>
      <c r="H215" t="n">
        <v>0</v>
      </c>
      <c r="I215" t="n">
        <v>1</v>
      </c>
      <c r="J215" t="n">
        <v>0</v>
      </c>
      <c r="K215" t="n">
        <v>0</v>
      </c>
      <c r="L215" t="n">
        <v>0</v>
      </c>
      <c r="M215" t="n">
        <v>0</v>
      </c>
      <c r="N215" t="n">
        <v>0</v>
      </c>
      <c r="O215" t="n">
        <v>0</v>
      </c>
      <c r="P215" t="n">
        <v>0</v>
      </c>
      <c r="Q215" t="n">
        <v>1</v>
      </c>
      <c r="R215" s="2" t="inlineStr">
        <is>
          <t>Myskmadra</t>
        </is>
      </c>
      <c r="S215">
        <f>HYPERLINK("https://klasma.github.io/Logging_0980/artfynd/A 41065-2020 artfynd.xlsx", "A 41065-2020")</f>
        <v/>
      </c>
      <c r="T215">
        <f>HYPERLINK("https://klasma.github.io/Logging_0980/kartor/A 41065-2020 karta.png", "A 41065-2020")</f>
        <v/>
      </c>
      <c r="V215">
        <f>HYPERLINK("https://klasma.github.io/Logging_0980/klagomål/A 41065-2020 FSC-klagomål.docx", "A 41065-2020")</f>
        <v/>
      </c>
      <c r="W215">
        <f>HYPERLINK("https://klasma.github.io/Logging_0980/klagomålsmail/A 41065-2020 FSC-klagomål mail.docx", "A 41065-2020")</f>
        <v/>
      </c>
      <c r="X215">
        <f>HYPERLINK("https://klasma.github.io/Logging_0980/tillsyn/A 41065-2020 tillsynsbegäran.docx", "A 41065-2020")</f>
        <v/>
      </c>
      <c r="Y215">
        <f>HYPERLINK("https://klasma.github.io/Logging_0980/tillsynsmail/A 41065-2020 tillsynsbegäran mail.docx", "A 41065-2020")</f>
        <v/>
      </c>
    </row>
    <row r="216" ht="15" customHeight="1">
      <c r="A216" t="inlineStr">
        <is>
          <t>A 44958-2020</t>
        </is>
      </c>
      <c r="B216" s="1" t="n">
        <v>44088</v>
      </c>
      <c r="C216" s="1" t="n">
        <v>45829</v>
      </c>
      <c r="D216" t="inlineStr">
        <is>
          <t>GOTLANDS LÄN</t>
        </is>
      </c>
      <c r="E216" t="inlineStr">
        <is>
          <t>GOTLAND</t>
        </is>
      </c>
      <c r="G216" t="n">
        <v>0.6</v>
      </c>
      <c r="H216" t="n">
        <v>1</v>
      </c>
      <c r="I216" t="n">
        <v>0</v>
      </c>
      <c r="J216" t="n">
        <v>1</v>
      </c>
      <c r="K216" t="n">
        <v>0</v>
      </c>
      <c r="L216" t="n">
        <v>0</v>
      </c>
      <c r="M216" t="n">
        <v>0</v>
      </c>
      <c r="N216" t="n">
        <v>0</v>
      </c>
      <c r="O216" t="n">
        <v>1</v>
      </c>
      <c r="P216" t="n">
        <v>0</v>
      </c>
      <c r="Q216" t="n">
        <v>1</v>
      </c>
      <c r="R216" s="2" t="inlineStr">
        <is>
          <t>Hornuggla</t>
        </is>
      </c>
      <c r="S216">
        <f>HYPERLINK("https://klasma.github.io/Logging_0980/artfynd/A 44958-2020 artfynd.xlsx", "A 44958-2020")</f>
        <v/>
      </c>
      <c r="T216">
        <f>HYPERLINK("https://klasma.github.io/Logging_0980/kartor/A 44958-2020 karta.png", "A 44958-2020")</f>
        <v/>
      </c>
      <c r="V216">
        <f>HYPERLINK("https://klasma.github.io/Logging_0980/klagomål/A 44958-2020 FSC-klagomål.docx", "A 44958-2020")</f>
        <v/>
      </c>
      <c r="W216">
        <f>HYPERLINK("https://klasma.github.io/Logging_0980/klagomålsmail/A 44958-2020 FSC-klagomål mail.docx", "A 44958-2020")</f>
        <v/>
      </c>
      <c r="X216">
        <f>HYPERLINK("https://klasma.github.io/Logging_0980/tillsyn/A 44958-2020 tillsynsbegäran.docx", "A 44958-2020")</f>
        <v/>
      </c>
      <c r="Y216">
        <f>HYPERLINK("https://klasma.github.io/Logging_0980/tillsynsmail/A 44958-2020 tillsynsbegäran mail.docx", "A 44958-2020")</f>
        <v/>
      </c>
      <c r="Z216">
        <f>HYPERLINK("https://klasma.github.io/Logging_0980/fåglar/A 44958-2020 prioriterade fågelarter.docx", "A 44958-2020")</f>
        <v/>
      </c>
    </row>
    <row r="217" ht="15" customHeight="1">
      <c r="A217" t="inlineStr">
        <is>
          <t>A 45924-2020</t>
        </is>
      </c>
      <c r="B217" s="1" t="n">
        <v>44088</v>
      </c>
      <c r="C217" s="1" t="n">
        <v>45829</v>
      </c>
      <c r="D217" t="inlineStr">
        <is>
          <t>GOTLANDS LÄN</t>
        </is>
      </c>
      <c r="E217" t="inlineStr">
        <is>
          <t>GOTLAND</t>
        </is>
      </c>
      <c r="G217" t="n">
        <v>15</v>
      </c>
      <c r="H217" t="n">
        <v>0</v>
      </c>
      <c r="I217" t="n">
        <v>1</v>
      </c>
      <c r="J217" t="n">
        <v>0</v>
      </c>
      <c r="K217" t="n">
        <v>0</v>
      </c>
      <c r="L217" t="n">
        <v>0</v>
      </c>
      <c r="M217" t="n">
        <v>0</v>
      </c>
      <c r="N217" t="n">
        <v>0</v>
      </c>
      <c r="O217" t="n">
        <v>0</v>
      </c>
      <c r="P217" t="n">
        <v>0</v>
      </c>
      <c r="Q217" t="n">
        <v>1</v>
      </c>
      <c r="R217" s="2" t="inlineStr">
        <is>
          <t>Myskmadra</t>
        </is>
      </c>
      <c r="S217">
        <f>HYPERLINK("https://klasma.github.io/Logging_0980/artfynd/A 45924-2020 artfynd.xlsx", "A 45924-2020")</f>
        <v/>
      </c>
      <c r="T217">
        <f>HYPERLINK("https://klasma.github.io/Logging_0980/kartor/A 45924-2020 karta.png", "A 45924-2020")</f>
        <v/>
      </c>
      <c r="V217">
        <f>HYPERLINK("https://klasma.github.io/Logging_0980/klagomål/A 45924-2020 FSC-klagomål.docx", "A 45924-2020")</f>
        <v/>
      </c>
      <c r="W217">
        <f>HYPERLINK("https://klasma.github.io/Logging_0980/klagomålsmail/A 45924-2020 FSC-klagomål mail.docx", "A 45924-2020")</f>
        <v/>
      </c>
      <c r="X217">
        <f>HYPERLINK("https://klasma.github.io/Logging_0980/tillsyn/A 45924-2020 tillsynsbegäran.docx", "A 45924-2020")</f>
        <v/>
      </c>
      <c r="Y217">
        <f>HYPERLINK("https://klasma.github.io/Logging_0980/tillsynsmail/A 45924-2020 tillsynsbegäran mail.docx", "A 45924-2020")</f>
        <v/>
      </c>
    </row>
    <row r="218" ht="15" customHeight="1">
      <c r="A218" t="inlineStr">
        <is>
          <t>A 63299-2020</t>
        </is>
      </c>
      <c r="B218" s="1" t="n">
        <v>44165</v>
      </c>
      <c r="C218" s="1" t="n">
        <v>45829</v>
      </c>
      <c r="D218" t="inlineStr">
        <is>
          <t>GOTLANDS LÄN</t>
        </is>
      </c>
      <c r="E218" t="inlineStr">
        <is>
          <t>GOTLAND</t>
        </is>
      </c>
      <c r="G218" t="n">
        <v>12.9</v>
      </c>
      <c r="H218" t="n">
        <v>1</v>
      </c>
      <c r="I218" t="n">
        <v>0</v>
      </c>
      <c r="J218" t="n">
        <v>1</v>
      </c>
      <c r="K218" t="n">
        <v>0</v>
      </c>
      <c r="L218" t="n">
        <v>0</v>
      </c>
      <c r="M218" t="n">
        <v>0</v>
      </c>
      <c r="N218" t="n">
        <v>0</v>
      </c>
      <c r="O218" t="n">
        <v>1</v>
      </c>
      <c r="P218" t="n">
        <v>0</v>
      </c>
      <c r="Q218" t="n">
        <v>1</v>
      </c>
      <c r="R218" s="2" t="inlineStr">
        <is>
          <t>Svartfläckig blåvinge</t>
        </is>
      </c>
      <c r="S218">
        <f>HYPERLINK("https://klasma.github.io/Logging_0980/artfynd/A 63299-2020 artfynd.xlsx", "A 63299-2020")</f>
        <v/>
      </c>
      <c r="T218">
        <f>HYPERLINK("https://klasma.github.io/Logging_0980/kartor/A 63299-2020 karta.png", "A 63299-2020")</f>
        <v/>
      </c>
      <c r="V218">
        <f>HYPERLINK("https://klasma.github.io/Logging_0980/klagomål/A 63299-2020 FSC-klagomål.docx", "A 63299-2020")</f>
        <v/>
      </c>
      <c r="W218">
        <f>HYPERLINK("https://klasma.github.io/Logging_0980/klagomålsmail/A 63299-2020 FSC-klagomål mail.docx", "A 63299-2020")</f>
        <v/>
      </c>
      <c r="X218">
        <f>HYPERLINK("https://klasma.github.io/Logging_0980/tillsyn/A 63299-2020 tillsynsbegäran.docx", "A 63299-2020")</f>
        <v/>
      </c>
      <c r="Y218">
        <f>HYPERLINK("https://klasma.github.io/Logging_0980/tillsynsmail/A 63299-2020 tillsynsbegäran mail.docx", "A 63299-2020")</f>
        <v/>
      </c>
    </row>
    <row r="219" ht="15" customHeight="1">
      <c r="A219" t="inlineStr">
        <is>
          <t>A 24-2021</t>
        </is>
      </c>
      <c r="B219" s="1" t="n">
        <v>44197</v>
      </c>
      <c r="C219" s="1" t="n">
        <v>45829</v>
      </c>
      <c r="D219" t="inlineStr">
        <is>
          <t>GOTLANDS LÄN</t>
        </is>
      </c>
      <c r="E219" t="inlineStr">
        <is>
          <t>GOTLAND</t>
        </is>
      </c>
      <c r="F219" t="inlineStr">
        <is>
          <t>Kyrkan</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HYPERLINK("https://klasma.github.io/Logging_0980/artfynd/A 24-2021 artfynd.xlsx", "A 24-2021")</f>
        <v/>
      </c>
      <c r="T219">
        <f>HYPERLINK("https://klasma.github.io/Logging_0980/kartor/A 24-2021 karta.png", "A 24-2021")</f>
        <v/>
      </c>
      <c r="V219">
        <f>HYPERLINK("https://klasma.github.io/Logging_0980/klagomål/A 24-2021 FSC-klagomål.docx", "A 24-2021")</f>
        <v/>
      </c>
      <c r="W219">
        <f>HYPERLINK("https://klasma.github.io/Logging_0980/klagomålsmail/A 24-2021 FSC-klagomål mail.docx", "A 24-2021")</f>
        <v/>
      </c>
      <c r="X219">
        <f>HYPERLINK("https://klasma.github.io/Logging_0980/tillsyn/A 24-2021 tillsynsbegäran.docx", "A 24-2021")</f>
        <v/>
      </c>
      <c r="Y219">
        <f>HYPERLINK("https://klasma.github.io/Logging_0980/tillsynsmail/A 24-2021 tillsynsbegäran mail.docx", "A 24-2021")</f>
        <v/>
      </c>
    </row>
    <row r="220" ht="15" customHeight="1">
      <c r="A220" t="inlineStr">
        <is>
          <t>A 7485-2021</t>
        </is>
      </c>
      <c r="B220" s="1" t="n">
        <v>44238</v>
      </c>
      <c r="C220" s="1" t="n">
        <v>45829</v>
      </c>
      <c r="D220" t="inlineStr">
        <is>
          <t>GOTLANDS LÄN</t>
        </is>
      </c>
      <c r="E220" t="inlineStr">
        <is>
          <t>GOTLAND</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HYPERLINK("https://klasma.github.io/Logging_0980/artfynd/A 7485-2021 artfynd.xlsx", "A 7485-2021")</f>
        <v/>
      </c>
      <c r="T220">
        <f>HYPERLINK("https://klasma.github.io/Logging_0980/kartor/A 7485-2021 karta.png", "A 7485-2021")</f>
        <v/>
      </c>
      <c r="V220">
        <f>HYPERLINK("https://klasma.github.io/Logging_0980/klagomål/A 7485-2021 FSC-klagomål.docx", "A 7485-2021")</f>
        <v/>
      </c>
      <c r="W220">
        <f>HYPERLINK("https://klasma.github.io/Logging_0980/klagomålsmail/A 7485-2021 FSC-klagomål mail.docx", "A 7485-2021")</f>
        <v/>
      </c>
      <c r="X220">
        <f>HYPERLINK("https://klasma.github.io/Logging_0980/tillsyn/A 7485-2021 tillsynsbegäran.docx", "A 7485-2021")</f>
        <v/>
      </c>
      <c r="Y220">
        <f>HYPERLINK("https://klasma.github.io/Logging_0980/tillsynsmail/A 7485-2021 tillsynsbegäran mail.docx", "A 7485-2021")</f>
        <v/>
      </c>
      <c r="Z220">
        <f>HYPERLINK("https://klasma.github.io/Logging_0980/fåglar/A 7485-2021 prioriterade fågelarter.docx", "A 7485-2021")</f>
        <v/>
      </c>
    </row>
    <row r="221" ht="15" customHeight="1">
      <c r="A221" t="inlineStr">
        <is>
          <t>A 13939-2021</t>
        </is>
      </c>
      <c r="B221" s="1" t="n">
        <v>44277</v>
      </c>
      <c r="C221" s="1" t="n">
        <v>45829</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Axveronika</t>
        </is>
      </c>
      <c r="S221">
        <f>HYPERLINK("https://klasma.github.io/Logging_0980/artfynd/A 13939-2021 artfynd.xlsx", "A 13939-2021")</f>
        <v/>
      </c>
      <c r="T221">
        <f>HYPERLINK("https://klasma.github.io/Logging_0980/kartor/A 13939-2021 karta.png", "A 13939-2021")</f>
        <v/>
      </c>
      <c r="V221">
        <f>HYPERLINK("https://klasma.github.io/Logging_0980/klagomål/A 13939-2021 FSC-klagomål.docx", "A 13939-2021")</f>
        <v/>
      </c>
      <c r="W221">
        <f>HYPERLINK("https://klasma.github.io/Logging_0980/klagomålsmail/A 13939-2021 FSC-klagomål mail.docx", "A 13939-2021")</f>
        <v/>
      </c>
      <c r="X221">
        <f>HYPERLINK("https://klasma.github.io/Logging_0980/tillsyn/A 13939-2021 tillsynsbegäran.docx", "A 13939-2021")</f>
        <v/>
      </c>
      <c r="Y221">
        <f>HYPERLINK("https://klasma.github.io/Logging_0980/tillsynsmail/A 13939-2021 tillsynsbegäran mail.docx", "A 13939-2021")</f>
        <v/>
      </c>
    </row>
    <row r="222" ht="15" customHeight="1">
      <c r="A222" t="inlineStr">
        <is>
          <t>A 17723-2021</t>
        </is>
      </c>
      <c r="B222" s="1" t="n">
        <v>44300</v>
      </c>
      <c r="C222" s="1" t="n">
        <v>45829</v>
      </c>
      <c r="D222" t="inlineStr">
        <is>
          <t>GOTLANDS LÄN</t>
        </is>
      </c>
      <c r="E222" t="inlineStr">
        <is>
          <t>GOTLAND</t>
        </is>
      </c>
      <c r="G222" t="n">
        <v>1.5</v>
      </c>
      <c r="H222" t="n">
        <v>1</v>
      </c>
      <c r="I222" t="n">
        <v>1</v>
      </c>
      <c r="J222" t="n">
        <v>0</v>
      </c>
      <c r="K222" t="n">
        <v>0</v>
      </c>
      <c r="L222" t="n">
        <v>0</v>
      </c>
      <c r="M222" t="n">
        <v>0</v>
      </c>
      <c r="N222" t="n">
        <v>0</v>
      </c>
      <c r="O222" t="n">
        <v>0</v>
      </c>
      <c r="P222" t="n">
        <v>0</v>
      </c>
      <c r="Q222" t="n">
        <v>1</v>
      </c>
      <c r="R222" s="2" t="inlineStr">
        <is>
          <t>Vit skogslilja</t>
        </is>
      </c>
      <c r="S222">
        <f>HYPERLINK("https://klasma.github.io/Logging_0980/artfynd/A 17723-2021 artfynd.xlsx", "A 17723-2021")</f>
        <v/>
      </c>
      <c r="T222">
        <f>HYPERLINK("https://klasma.github.io/Logging_0980/kartor/A 17723-2021 karta.png", "A 17723-2021")</f>
        <v/>
      </c>
      <c r="V222">
        <f>HYPERLINK("https://klasma.github.io/Logging_0980/klagomål/A 17723-2021 FSC-klagomål.docx", "A 17723-2021")</f>
        <v/>
      </c>
      <c r="W222">
        <f>HYPERLINK("https://klasma.github.io/Logging_0980/klagomålsmail/A 17723-2021 FSC-klagomål mail.docx", "A 17723-2021")</f>
        <v/>
      </c>
      <c r="X222">
        <f>HYPERLINK("https://klasma.github.io/Logging_0980/tillsyn/A 17723-2021 tillsynsbegäran.docx", "A 17723-2021")</f>
        <v/>
      </c>
      <c r="Y222">
        <f>HYPERLINK("https://klasma.github.io/Logging_0980/tillsynsmail/A 17723-2021 tillsynsbegäran mail.docx", "A 17723-2021")</f>
        <v/>
      </c>
    </row>
    <row r="223" ht="15" customHeight="1">
      <c r="A223" t="inlineStr">
        <is>
          <t>A 29951-2021</t>
        </is>
      </c>
      <c r="B223" s="1" t="n">
        <v>44362</v>
      </c>
      <c r="C223" s="1" t="n">
        <v>45829</v>
      </c>
      <c r="D223" t="inlineStr">
        <is>
          <t>GOTLANDS LÄN</t>
        </is>
      </c>
      <c r="E223" t="inlineStr">
        <is>
          <t>GOTLAND</t>
        </is>
      </c>
      <c r="G223" t="n">
        <v>3.4</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29951-2021 artfynd.xlsx", "A 29951-2021")</f>
        <v/>
      </c>
      <c r="T223">
        <f>HYPERLINK("https://klasma.github.io/Logging_0980/kartor/A 29951-2021 karta.png", "A 29951-2021")</f>
        <v/>
      </c>
      <c r="V223">
        <f>HYPERLINK("https://klasma.github.io/Logging_0980/klagomål/A 29951-2021 FSC-klagomål.docx", "A 29951-2021")</f>
        <v/>
      </c>
      <c r="W223">
        <f>HYPERLINK("https://klasma.github.io/Logging_0980/klagomålsmail/A 29951-2021 FSC-klagomål mail.docx", "A 29951-2021")</f>
        <v/>
      </c>
      <c r="X223">
        <f>HYPERLINK("https://klasma.github.io/Logging_0980/tillsyn/A 29951-2021 tillsynsbegäran.docx", "A 29951-2021")</f>
        <v/>
      </c>
      <c r="Y223">
        <f>HYPERLINK("https://klasma.github.io/Logging_0980/tillsynsmail/A 29951-2021 tillsynsbegäran mail.docx", "A 29951-2021")</f>
        <v/>
      </c>
    </row>
    <row r="224" ht="15" customHeight="1">
      <c r="A224" t="inlineStr">
        <is>
          <t>A 35467-2021</t>
        </is>
      </c>
      <c r="B224" s="1" t="n">
        <v>44385</v>
      </c>
      <c r="C224" s="1" t="n">
        <v>45829</v>
      </c>
      <c r="D224" t="inlineStr">
        <is>
          <t>GOTLANDS LÄN</t>
        </is>
      </c>
      <c r="E224" t="inlineStr">
        <is>
          <t>GOTLAND</t>
        </is>
      </c>
      <c r="G224" t="n">
        <v>12.7</v>
      </c>
      <c r="H224" t="n">
        <v>0</v>
      </c>
      <c r="I224" t="n">
        <v>0</v>
      </c>
      <c r="J224" t="n">
        <v>1</v>
      </c>
      <c r="K224" t="n">
        <v>0</v>
      </c>
      <c r="L224" t="n">
        <v>0</v>
      </c>
      <c r="M224" t="n">
        <v>0</v>
      </c>
      <c r="N224" t="n">
        <v>0</v>
      </c>
      <c r="O224" t="n">
        <v>1</v>
      </c>
      <c r="P224" t="n">
        <v>0</v>
      </c>
      <c r="Q224" t="n">
        <v>1</v>
      </c>
      <c r="R224" s="2" t="inlineStr">
        <is>
          <t>Loppstarr</t>
        </is>
      </c>
      <c r="S224">
        <f>HYPERLINK("https://klasma.github.io/Logging_0980/artfynd/A 35467-2021 artfynd.xlsx", "A 35467-2021")</f>
        <v/>
      </c>
      <c r="T224">
        <f>HYPERLINK("https://klasma.github.io/Logging_0980/kartor/A 35467-2021 karta.png", "A 35467-2021")</f>
        <v/>
      </c>
      <c r="V224">
        <f>HYPERLINK("https://klasma.github.io/Logging_0980/klagomål/A 35467-2021 FSC-klagomål.docx", "A 35467-2021")</f>
        <v/>
      </c>
      <c r="W224">
        <f>HYPERLINK("https://klasma.github.io/Logging_0980/klagomålsmail/A 35467-2021 FSC-klagomål mail.docx", "A 35467-2021")</f>
        <v/>
      </c>
      <c r="X224">
        <f>HYPERLINK("https://klasma.github.io/Logging_0980/tillsyn/A 35467-2021 tillsynsbegäran.docx", "A 35467-2021")</f>
        <v/>
      </c>
      <c r="Y224">
        <f>HYPERLINK("https://klasma.github.io/Logging_0980/tillsynsmail/A 35467-2021 tillsynsbegäran mail.docx", "A 35467-2021")</f>
        <v/>
      </c>
    </row>
    <row r="225" ht="15" customHeight="1">
      <c r="A225" t="inlineStr">
        <is>
          <t>A 44308-2021</t>
        </is>
      </c>
      <c r="B225" s="1" t="n">
        <v>44434</v>
      </c>
      <c r="C225" s="1" t="n">
        <v>45829</v>
      </c>
      <c r="D225" t="inlineStr">
        <is>
          <t>GOTLANDS LÄN</t>
        </is>
      </c>
      <c r="E225" t="inlineStr">
        <is>
          <t>GOTLAND</t>
        </is>
      </c>
      <c r="G225" t="n">
        <v>5.9</v>
      </c>
      <c r="H225" t="n">
        <v>0</v>
      </c>
      <c r="I225" t="n">
        <v>1</v>
      </c>
      <c r="J225" t="n">
        <v>0</v>
      </c>
      <c r="K225" t="n">
        <v>0</v>
      </c>
      <c r="L225" t="n">
        <v>0</v>
      </c>
      <c r="M225" t="n">
        <v>0</v>
      </c>
      <c r="N225" t="n">
        <v>0</v>
      </c>
      <c r="O225" t="n">
        <v>0</v>
      </c>
      <c r="P225" t="n">
        <v>0</v>
      </c>
      <c r="Q225" t="n">
        <v>1</v>
      </c>
      <c r="R225" s="2" t="inlineStr">
        <is>
          <t>Svavelriska</t>
        </is>
      </c>
      <c r="S225">
        <f>HYPERLINK("https://klasma.github.io/Logging_0980/artfynd/A 44308-2021 artfynd.xlsx", "A 44308-2021")</f>
        <v/>
      </c>
      <c r="T225">
        <f>HYPERLINK("https://klasma.github.io/Logging_0980/kartor/A 44308-2021 karta.png", "A 44308-2021")</f>
        <v/>
      </c>
      <c r="V225">
        <f>HYPERLINK("https://klasma.github.io/Logging_0980/klagomål/A 44308-2021 FSC-klagomål.docx", "A 44308-2021")</f>
        <v/>
      </c>
      <c r="W225">
        <f>HYPERLINK("https://klasma.github.io/Logging_0980/klagomålsmail/A 44308-2021 FSC-klagomål mail.docx", "A 44308-2021")</f>
        <v/>
      </c>
      <c r="X225">
        <f>HYPERLINK("https://klasma.github.io/Logging_0980/tillsyn/A 44308-2021 tillsynsbegäran.docx", "A 44308-2021")</f>
        <v/>
      </c>
      <c r="Y225">
        <f>HYPERLINK("https://klasma.github.io/Logging_0980/tillsynsmail/A 44308-2021 tillsynsbegäran mail.docx", "A 44308-2021")</f>
        <v/>
      </c>
    </row>
    <row r="226" ht="15" customHeight="1">
      <c r="A226" t="inlineStr">
        <is>
          <t>A 47411-2021</t>
        </is>
      </c>
      <c r="B226" s="1" t="n">
        <v>44447</v>
      </c>
      <c r="C226" s="1" t="n">
        <v>45829</v>
      </c>
      <c r="D226" t="inlineStr">
        <is>
          <t>GOTLANDS LÄN</t>
        </is>
      </c>
      <c r="E226" t="inlineStr">
        <is>
          <t>GOTLAND</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HYPERLINK("https://klasma.github.io/Logging_0980/artfynd/A 47411-2021 artfynd.xlsx", "A 47411-2021")</f>
        <v/>
      </c>
      <c r="T226">
        <f>HYPERLINK("https://klasma.github.io/Logging_0980/kartor/A 47411-2021 karta.png", "A 47411-2021")</f>
        <v/>
      </c>
      <c r="V226">
        <f>HYPERLINK("https://klasma.github.io/Logging_0980/klagomål/A 47411-2021 FSC-klagomål.docx", "A 47411-2021")</f>
        <v/>
      </c>
      <c r="W226">
        <f>HYPERLINK("https://klasma.github.io/Logging_0980/klagomålsmail/A 47411-2021 FSC-klagomål mail.docx", "A 47411-2021")</f>
        <v/>
      </c>
      <c r="X226">
        <f>HYPERLINK("https://klasma.github.io/Logging_0980/tillsyn/A 47411-2021 tillsynsbegäran.docx", "A 47411-2021")</f>
        <v/>
      </c>
      <c r="Y226">
        <f>HYPERLINK("https://klasma.github.io/Logging_0980/tillsynsmail/A 47411-2021 tillsynsbegäran mail.docx", "A 47411-2021")</f>
        <v/>
      </c>
    </row>
    <row r="227" ht="15" customHeight="1">
      <c r="A227" t="inlineStr">
        <is>
          <t>A 63576-2021</t>
        </is>
      </c>
      <c r="B227" s="1" t="n">
        <v>44508</v>
      </c>
      <c r="C227" s="1" t="n">
        <v>45829</v>
      </c>
      <c r="D227" t="inlineStr">
        <is>
          <t>GOTLANDS LÄN</t>
        </is>
      </c>
      <c r="E227" t="inlineStr">
        <is>
          <t>GOTLAND</t>
        </is>
      </c>
      <c r="F227" t="inlineStr">
        <is>
          <t>Kyrkan</t>
        </is>
      </c>
      <c r="G227" t="n">
        <v>4.1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63576-2021 artfynd.xlsx", "A 63576-2021")</f>
        <v/>
      </c>
      <c r="T227">
        <f>HYPERLINK("https://klasma.github.io/Logging_0980/kartor/A 63576-2021 karta.png", "A 63576-2021")</f>
        <v/>
      </c>
      <c r="V227">
        <f>HYPERLINK("https://klasma.github.io/Logging_0980/klagomål/A 63576-2021 FSC-klagomål.docx", "A 63576-2021")</f>
        <v/>
      </c>
      <c r="W227">
        <f>HYPERLINK("https://klasma.github.io/Logging_0980/klagomålsmail/A 63576-2021 FSC-klagomål mail.docx", "A 63576-2021")</f>
        <v/>
      </c>
      <c r="X227">
        <f>HYPERLINK("https://klasma.github.io/Logging_0980/tillsyn/A 63576-2021 tillsynsbegäran.docx", "A 63576-2021")</f>
        <v/>
      </c>
      <c r="Y227">
        <f>HYPERLINK("https://klasma.github.io/Logging_0980/tillsynsmail/A 63576-2021 tillsynsbegäran mail.docx", "A 63576-2021")</f>
        <v/>
      </c>
    </row>
    <row r="228" ht="15" customHeight="1">
      <c r="A228" t="inlineStr">
        <is>
          <t>A 64700-2021</t>
        </is>
      </c>
      <c r="B228" s="1" t="n">
        <v>44511</v>
      </c>
      <c r="C228" s="1" t="n">
        <v>45829</v>
      </c>
      <c r="D228" t="inlineStr">
        <is>
          <t>GOTLANDS LÄN</t>
        </is>
      </c>
      <c r="E228" t="inlineStr">
        <is>
          <t>GOTLAND</t>
        </is>
      </c>
      <c r="F228" t="inlineStr">
        <is>
          <t>Naturvårdsverket</t>
        </is>
      </c>
      <c r="G228" t="n">
        <v>2.4</v>
      </c>
      <c r="H228" t="n">
        <v>1</v>
      </c>
      <c r="I228" t="n">
        <v>0</v>
      </c>
      <c r="J228" t="n">
        <v>0</v>
      </c>
      <c r="K228" t="n">
        <v>1</v>
      </c>
      <c r="L228" t="n">
        <v>0</v>
      </c>
      <c r="M228" t="n">
        <v>0</v>
      </c>
      <c r="N228" t="n">
        <v>0</v>
      </c>
      <c r="O228" t="n">
        <v>1</v>
      </c>
      <c r="P228" t="n">
        <v>1</v>
      </c>
      <c r="Q228" t="n">
        <v>1</v>
      </c>
      <c r="R228" s="2" t="inlineStr">
        <is>
          <t>Kalkdån</t>
        </is>
      </c>
      <c r="S228">
        <f>HYPERLINK("https://klasma.github.io/Logging_0980/artfynd/A 64700-2021 artfynd.xlsx", "A 64700-2021")</f>
        <v/>
      </c>
      <c r="T228">
        <f>HYPERLINK("https://klasma.github.io/Logging_0980/kartor/A 64700-2021 karta.png", "A 64700-2021")</f>
        <v/>
      </c>
      <c r="V228">
        <f>HYPERLINK("https://klasma.github.io/Logging_0980/klagomål/A 64700-2021 FSC-klagomål.docx", "A 64700-2021")</f>
        <v/>
      </c>
      <c r="W228">
        <f>HYPERLINK("https://klasma.github.io/Logging_0980/klagomålsmail/A 64700-2021 FSC-klagomål mail.docx", "A 64700-2021")</f>
        <v/>
      </c>
      <c r="X228">
        <f>HYPERLINK("https://klasma.github.io/Logging_0980/tillsyn/A 64700-2021 tillsynsbegäran.docx", "A 64700-2021")</f>
        <v/>
      </c>
      <c r="Y228">
        <f>HYPERLINK("https://klasma.github.io/Logging_0980/tillsynsmail/A 64700-2021 tillsynsbegäran mail.docx", "A 64700-2021")</f>
        <v/>
      </c>
    </row>
    <row r="229" ht="15" customHeight="1">
      <c r="A229" t="inlineStr">
        <is>
          <t>A 65927-2021</t>
        </is>
      </c>
      <c r="B229" s="1" t="n">
        <v>44516</v>
      </c>
      <c r="C229" s="1" t="n">
        <v>45829</v>
      </c>
      <c r="D229" t="inlineStr">
        <is>
          <t>GOTLANDS LÄN</t>
        </is>
      </c>
      <c r="E229" t="inlineStr">
        <is>
          <t>GOTLAND</t>
        </is>
      </c>
      <c r="G229" t="n">
        <v>3.1</v>
      </c>
      <c r="H229" t="n">
        <v>1</v>
      </c>
      <c r="I229" t="n">
        <v>0</v>
      </c>
      <c r="J229" t="n">
        <v>0</v>
      </c>
      <c r="K229" t="n">
        <v>1</v>
      </c>
      <c r="L229" t="n">
        <v>0</v>
      </c>
      <c r="M229" t="n">
        <v>0</v>
      </c>
      <c r="N229" t="n">
        <v>0</v>
      </c>
      <c r="O229" t="n">
        <v>1</v>
      </c>
      <c r="P229" t="n">
        <v>1</v>
      </c>
      <c r="Q229" t="n">
        <v>1</v>
      </c>
      <c r="R229" s="2" t="inlineStr">
        <is>
          <t>Grenigt kungsljus</t>
        </is>
      </c>
      <c r="S229">
        <f>HYPERLINK("https://klasma.github.io/Logging_0980/artfynd/A 65927-2021 artfynd.xlsx", "A 65927-2021")</f>
        <v/>
      </c>
      <c r="T229">
        <f>HYPERLINK("https://klasma.github.io/Logging_0980/kartor/A 65927-2021 karta.png", "A 65927-2021")</f>
        <v/>
      </c>
      <c r="V229">
        <f>HYPERLINK("https://klasma.github.io/Logging_0980/klagomål/A 65927-2021 FSC-klagomål.docx", "A 65927-2021")</f>
        <v/>
      </c>
      <c r="W229">
        <f>HYPERLINK("https://klasma.github.io/Logging_0980/klagomålsmail/A 65927-2021 FSC-klagomål mail.docx", "A 65927-2021")</f>
        <v/>
      </c>
      <c r="X229">
        <f>HYPERLINK("https://klasma.github.io/Logging_0980/tillsyn/A 65927-2021 tillsynsbegäran.docx", "A 65927-2021")</f>
        <v/>
      </c>
      <c r="Y229">
        <f>HYPERLINK("https://klasma.github.io/Logging_0980/tillsynsmail/A 65927-2021 tillsynsbegäran mail.docx", "A 65927-2021")</f>
        <v/>
      </c>
    </row>
    <row r="230" ht="15" customHeight="1">
      <c r="A230" t="inlineStr">
        <is>
          <t>A 66091-2021</t>
        </is>
      </c>
      <c r="B230" s="1" t="n">
        <v>44517</v>
      </c>
      <c r="C230" s="1" t="n">
        <v>45829</v>
      </c>
      <c r="D230" t="inlineStr">
        <is>
          <t>GOTLANDS LÄN</t>
        </is>
      </c>
      <c r="E230" t="inlineStr">
        <is>
          <t>GOTLAND</t>
        </is>
      </c>
      <c r="G230" t="n">
        <v>11.7</v>
      </c>
      <c r="H230" t="n">
        <v>1</v>
      </c>
      <c r="I230" t="n">
        <v>0</v>
      </c>
      <c r="J230" t="n">
        <v>0</v>
      </c>
      <c r="K230" t="n">
        <v>0</v>
      </c>
      <c r="L230" t="n">
        <v>0</v>
      </c>
      <c r="M230" t="n">
        <v>0</v>
      </c>
      <c r="N230" t="n">
        <v>0</v>
      </c>
      <c r="O230" t="n">
        <v>0</v>
      </c>
      <c r="P230" t="n">
        <v>0</v>
      </c>
      <c r="Q230" t="n">
        <v>1</v>
      </c>
      <c r="R230" s="2" t="inlineStr">
        <is>
          <t>Pärluggla</t>
        </is>
      </c>
      <c r="S230">
        <f>HYPERLINK("https://klasma.github.io/Logging_0980/artfynd/A 66091-2021 artfynd.xlsx", "A 66091-2021")</f>
        <v/>
      </c>
      <c r="T230">
        <f>HYPERLINK("https://klasma.github.io/Logging_0980/kartor/A 66091-2021 karta.png", "A 66091-2021")</f>
        <v/>
      </c>
      <c r="V230">
        <f>HYPERLINK("https://klasma.github.io/Logging_0980/klagomål/A 66091-2021 FSC-klagomål.docx", "A 66091-2021")</f>
        <v/>
      </c>
      <c r="W230">
        <f>HYPERLINK("https://klasma.github.io/Logging_0980/klagomålsmail/A 66091-2021 FSC-klagomål mail.docx", "A 66091-2021")</f>
        <v/>
      </c>
      <c r="X230">
        <f>HYPERLINK("https://klasma.github.io/Logging_0980/tillsyn/A 66091-2021 tillsynsbegäran.docx", "A 66091-2021")</f>
        <v/>
      </c>
      <c r="Y230">
        <f>HYPERLINK("https://klasma.github.io/Logging_0980/tillsynsmail/A 66091-2021 tillsynsbegäran mail.docx", "A 66091-2021")</f>
        <v/>
      </c>
      <c r="Z230">
        <f>HYPERLINK("https://klasma.github.io/Logging_0980/fåglar/A 66091-2021 prioriterade fågelarter.docx", "A 66091-2021")</f>
        <v/>
      </c>
    </row>
    <row r="231" ht="15" customHeight="1">
      <c r="A231" t="inlineStr">
        <is>
          <t>A 24245-2022</t>
        </is>
      </c>
      <c r="B231" s="1" t="n">
        <v>44725</v>
      </c>
      <c r="C231" s="1" t="n">
        <v>45829</v>
      </c>
      <c r="D231" t="inlineStr">
        <is>
          <t>GOTLANDS LÄN</t>
        </is>
      </c>
      <c r="E231" t="inlineStr">
        <is>
          <t>GOTLAND</t>
        </is>
      </c>
      <c r="G231" t="n">
        <v>4.9</v>
      </c>
      <c r="H231" t="n">
        <v>0</v>
      </c>
      <c r="I231" t="n">
        <v>0</v>
      </c>
      <c r="J231" t="n">
        <v>0</v>
      </c>
      <c r="K231" t="n">
        <v>0</v>
      </c>
      <c r="L231" t="n">
        <v>1</v>
      </c>
      <c r="M231" t="n">
        <v>0</v>
      </c>
      <c r="N231" t="n">
        <v>0</v>
      </c>
      <c r="O231" t="n">
        <v>1</v>
      </c>
      <c r="P231" t="n">
        <v>1</v>
      </c>
      <c r="Q231" t="n">
        <v>1</v>
      </c>
      <c r="R231" s="2" t="inlineStr">
        <is>
          <t>Slät taggsvamp</t>
        </is>
      </c>
      <c r="S231">
        <f>HYPERLINK("https://klasma.github.io/Logging_0980/artfynd/A 24245-2022 artfynd.xlsx", "A 24245-2022")</f>
        <v/>
      </c>
      <c r="T231">
        <f>HYPERLINK("https://klasma.github.io/Logging_0980/kartor/A 24245-2022 karta.png", "A 24245-2022")</f>
        <v/>
      </c>
      <c r="V231">
        <f>HYPERLINK("https://klasma.github.io/Logging_0980/klagomål/A 24245-2022 FSC-klagomål.docx", "A 24245-2022")</f>
        <v/>
      </c>
      <c r="W231">
        <f>HYPERLINK("https://klasma.github.io/Logging_0980/klagomålsmail/A 24245-2022 FSC-klagomål mail.docx", "A 24245-2022")</f>
        <v/>
      </c>
      <c r="X231">
        <f>HYPERLINK("https://klasma.github.io/Logging_0980/tillsyn/A 24245-2022 tillsynsbegäran.docx", "A 24245-2022")</f>
        <v/>
      </c>
      <c r="Y231">
        <f>HYPERLINK("https://klasma.github.io/Logging_0980/tillsynsmail/A 24245-2022 tillsynsbegäran mail.docx", "A 24245-2022")</f>
        <v/>
      </c>
    </row>
    <row r="232" ht="15" customHeight="1">
      <c r="A232" t="inlineStr">
        <is>
          <t>A 25783-2022</t>
        </is>
      </c>
      <c r="B232" s="1" t="n">
        <v>44733</v>
      </c>
      <c r="C232" s="1" t="n">
        <v>45829</v>
      </c>
      <c r="D232" t="inlineStr">
        <is>
          <t>GOTLANDS LÄN</t>
        </is>
      </c>
      <c r="E232" t="inlineStr">
        <is>
          <t>GOTLAND</t>
        </is>
      </c>
      <c r="G232" t="n">
        <v>1</v>
      </c>
      <c r="H232" t="n">
        <v>1</v>
      </c>
      <c r="I232" t="n">
        <v>1</v>
      </c>
      <c r="J232" t="n">
        <v>0</v>
      </c>
      <c r="K232" t="n">
        <v>0</v>
      </c>
      <c r="L232" t="n">
        <v>0</v>
      </c>
      <c r="M232" t="n">
        <v>0</v>
      </c>
      <c r="N232" t="n">
        <v>0</v>
      </c>
      <c r="O232" t="n">
        <v>0</v>
      </c>
      <c r="P232" t="n">
        <v>0</v>
      </c>
      <c r="Q232" t="n">
        <v>1</v>
      </c>
      <c r="R232" s="2" t="inlineStr">
        <is>
          <t>Vit skogslilja</t>
        </is>
      </c>
      <c r="S232">
        <f>HYPERLINK("https://klasma.github.io/Logging_0980/artfynd/A 25783-2022 artfynd.xlsx", "A 25783-2022")</f>
        <v/>
      </c>
      <c r="T232">
        <f>HYPERLINK("https://klasma.github.io/Logging_0980/kartor/A 25783-2022 karta.png", "A 25783-2022")</f>
        <v/>
      </c>
      <c r="V232">
        <f>HYPERLINK("https://klasma.github.io/Logging_0980/klagomål/A 25783-2022 FSC-klagomål.docx", "A 25783-2022")</f>
        <v/>
      </c>
      <c r="W232">
        <f>HYPERLINK("https://klasma.github.io/Logging_0980/klagomålsmail/A 25783-2022 FSC-klagomål mail.docx", "A 25783-2022")</f>
        <v/>
      </c>
      <c r="X232">
        <f>HYPERLINK("https://klasma.github.io/Logging_0980/tillsyn/A 25783-2022 tillsynsbegäran.docx", "A 25783-2022")</f>
        <v/>
      </c>
      <c r="Y232">
        <f>HYPERLINK("https://klasma.github.io/Logging_0980/tillsynsmail/A 25783-2022 tillsynsbegäran mail.docx", "A 25783-2022")</f>
        <v/>
      </c>
    </row>
    <row r="233" ht="15" customHeight="1">
      <c r="A233" t="inlineStr">
        <is>
          <t>A 27168-2022</t>
        </is>
      </c>
      <c r="B233" s="1" t="n">
        <v>44741</v>
      </c>
      <c r="C233" s="1" t="n">
        <v>45829</v>
      </c>
      <c r="D233" t="inlineStr">
        <is>
          <t>GOTLANDS LÄN</t>
        </is>
      </c>
      <c r="E233" t="inlineStr">
        <is>
          <t>GOTLAND</t>
        </is>
      </c>
      <c r="G233" t="n">
        <v>2.2</v>
      </c>
      <c r="H233" t="n">
        <v>1</v>
      </c>
      <c r="I233" t="n">
        <v>1</v>
      </c>
      <c r="J233" t="n">
        <v>0</v>
      </c>
      <c r="K233" t="n">
        <v>0</v>
      </c>
      <c r="L233" t="n">
        <v>0</v>
      </c>
      <c r="M233" t="n">
        <v>0</v>
      </c>
      <c r="N233" t="n">
        <v>0</v>
      </c>
      <c r="O233" t="n">
        <v>0</v>
      </c>
      <c r="P233" t="n">
        <v>0</v>
      </c>
      <c r="Q233" t="n">
        <v>1</v>
      </c>
      <c r="R233" s="2" t="inlineStr">
        <is>
          <t>Purpurknipprot</t>
        </is>
      </c>
      <c r="S233">
        <f>HYPERLINK("https://klasma.github.io/Logging_0980/artfynd/A 27168-2022 artfynd.xlsx", "A 27168-2022")</f>
        <v/>
      </c>
      <c r="T233">
        <f>HYPERLINK("https://klasma.github.io/Logging_0980/kartor/A 27168-2022 karta.png", "A 27168-2022")</f>
        <v/>
      </c>
      <c r="V233">
        <f>HYPERLINK("https://klasma.github.io/Logging_0980/klagomål/A 27168-2022 FSC-klagomål.docx", "A 27168-2022")</f>
        <v/>
      </c>
      <c r="W233">
        <f>HYPERLINK("https://klasma.github.io/Logging_0980/klagomålsmail/A 27168-2022 FSC-klagomål mail.docx", "A 27168-2022")</f>
        <v/>
      </c>
      <c r="X233">
        <f>HYPERLINK("https://klasma.github.io/Logging_0980/tillsyn/A 27168-2022 tillsynsbegäran.docx", "A 27168-2022")</f>
        <v/>
      </c>
      <c r="Y233">
        <f>HYPERLINK("https://klasma.github.io/Logging_0980/tillsynsmail/A 27168-2022 tillsynsbegäran mail.docx", "A 27168-2022")</f>
        <v/>
      </c>
    </row>
    <row r="234" ht="15" customHeight="1">
      <c r="A234" t="inlineStr">
        <is>
          <t>A 27814-2022</t>
        </is>
      </c>
      <c r="B234" s="1" t="n">
        <v>44743</v>
      </c>
      <c r="C234" s="1" t="n">
        <v>45829</v>
      </c>
      <c r="D234" t="inlineStr">
        <is>
          <t>GOTLANDS LÄN</t>
        </is>
      </c>
      <c r="E234" t="inlineStr">
        <is>
          <t>GOTLAND</t>
        </is>
      </c>
      <c r="G234" t="n">
        <v>25</v>
      </c>
      <c r="H234" t="n">
        <v>1</v>
      </c>
      <c r="I234" t="n">
        <v>0</v>
      </c>
      <c r="J234" t="n">
        <v>0</v>
      </c>
      <c r="K234" t="n">
        <v>0</v>
      </c>
      <c r="L234" t="n">
        <v>0</v>
      </c>
      <c r="M234" t="n">
        <v>0</v>
      </c>
      <c r="N234" t="n">
        <v>0</v>
      </c>
      <c r="O234" t="n">
        <v>0</v>
      </c>
      <c r="P234" t="n">
        <v>0</v>
      </c>
      <c r="Q234" t="n">
        <v>1</v>
      </c>
      <c r="R234" s="2" t="inlineStr">
        <is>
          <t>Mindre vattensalamander</t>
        </is>
      </c>
      <c r="S234">
        <f>HYPERLINK("https://klasma.github.io/Logging_0980/artfynd/A 27814-2022 artfynd.xlsx", "A 27814-2022")</f>
        <v/>
      </c>
      <c r="T234">
        <f>HYPERLINK("https://klasma.github.io/Logging_0980/kartor/A 27814-2022 karta.png", "A 27814-2022")</f>
        <v/>
      </c>
      <c r="V234">
        <f>HYPERLINK("https://klasma.github.io/Logging_0980/klagomål/A 27814-2022 FSC-klagomål.docx", "A 27814-2022")</f>
        <v/>
      </c>
      <c r="W234">
        <f>HYPERLINK("https://klasma.github.io/Logging_0980/klagomålsmail/A 27814-2022 FSC-klagomål mail.docx", "A 27814-2022")</f>
        <v/>
      </c>
      <c r="X234">
        <f>HYPERLINK("https://klasma.github.io/Logging_0980/tillsyn/A 27814-2022 tillsynsbegäran.docx", "A 27814-2022")</f>
        <v/>
      </c>
      <c r="Y234">
        <f>HYPERLINK("https://klasma.github.io/Logging_0980/tillsynsmail/A 27814-2022 tillsynsbegäran mail.docx", "A 27814-2022")</f>
        <v/>
      </c>
    </row>
    <row r="235" ht="15" customHeight="1">
      <c r="A235" t="inlineStr">
        <is>
          <t>A 44095-2022</t>
        </is>
      </c>
      <c r="B235" s="1" t="n">
        <v>44839</v>
      </c>
      <c r="C235" s="1" t="n">
        <v>45829</v>
      </c>
      <c r="D235" t="inlineStr">
        <is>
          <t>GOTLANDS LÄN</t>
        </is>
      </c>
      <c r="E235" t="inlineStr">
        <is>
          <t>GOTLAND</t>
        </is>
      </c>
      <c r="G235" t="n">
        <v>9</v>
      </c>
      <c r="H235" t="n">
        <v>0</v>
      </c>
      <c r="I235" t="n">
        <v>1</v>
      </c>
      <c r="J235" t="n">
        <v>0</v>
      </c>
      <c r="K235" t="n">
        <v>0</v>
      </c>
      <c r="L235" t="n">
        <v>0</v>
      </c>
      <c r="M235" t="n">
        <v>0</v>
      </c>
      <c r="N235" t="n">
        <v>0</v>
      </c>
      <c r="O235" t="n">
        <v>0</v>
      </c>
      <c r="P235" t="n">
        <v>0</v>
      </c>
      <c r="Q235" t="n">
        <v>1</v>
      </c>
      <c r="R235" s="2" t="inlineStr">
        <is>
          <t>Strävlosta</t>
        </is>
      </c>
      <c r="S235">
        <f>HYPERLINK("https://klasma.github.io/Logging_0980/artfynd/A 44095-2022 artfynd.xlsx", "A 44095-2022")</f>
        <v/>
      </c>
      <c r="T235">
        <f>HYPERLINK("https://klasma.github.io/Logging_0980/kartor/A 44095-2022 karta.png", "A 44095-2022")</f>
        <v/>
      </c>
      <c r="V235">
        <f>HYPERLINK("https://klasma.github.io/Logging_0980/klagomål/A 44095-2022 FSC-klagomål.docx", "A 44095-2022")</f>
        <v/>
      </c>
      <c r="W235">
        <f>HYPERLINK("https://klasma.github.io/Logging_0980/klagomålsmail/A 44095-2022 FSC-klagomål mail.docx", "A 44095-2022")</f>
        <v/>
      </c>
      <c r="X235">
        <f>HYPERLINK("https://klasma.github.io/Logging_0980/tillsyn/A 44095-2022 tillsynsbegäran.docx", "A 44095-2022")</f>
        <v/>
      </c>
      <c r="Y235">
        <f>HYPERLINK("https://klasma.github.io/Logging_0980/tillsynsmail/A 44095-2022 tillsynsbegäran mail.docx", "A 44095-2022")</f>
        <v/>
      </c>
    </row>
    <row r="236" ht="15" customHeight="1">
      <c r="A236" t="inlineStr">
        <is>
          <t>A 44088-2022</t>
        </is>
      </c>
      <c r="B236" s="1" t="n">
        <v>44839</v>
      </c>
      <c r="C236" s="1" t="n">
        <v>45829</v>
      </c>
      <c r="D236" t="inlineStr">
        <is>
          <t>GOTLANDS LÄN</t>
        </is>
      </c>
      <c r="E236" t="inlineStr">
        <is>
          <t>GOTLAND</t>
        </is>
      </c>
      <c r="G236" t="n">
        <v>1.5</v>
      </c>
      <c r="H236" t="n">
        <v>0</v>
      </c>
      <c r="I236" t="n">
        <v>1</v>
      </c>
      <c r="J236" t="n">
        <v>0</v>
      </c>
      <c r="K236" t="n">
        <v>0</v>
      </c>
      <c r="L236" t="n">
        <v>0</v>
      </c>
      <c r="M236" t="n">
        <v>0</v>
      </c>
      <c r="N236" t="n">
        <v>0</v>
      </c>
      <c r="O236" t="n">
        <v>0</v>
      </c>
      <c r="P236" t="n">
        <v>0</v>
      </c>
      <c r="Q236" t="n">
        <v>1</v>
      </c>
      <c r="R236" s="2" t="inlineStr">
        <is>
          <t>Strävlosta</t>
        </is>
      </c>
      <c r="S236">
        <f>HYPERLINK("https://klasma.github.io/Logging_0980/artfynd/A 44088-2022 artfynd.xlsx", "A 44088-2022")</f>
        <v/>
      </c>
      <c r="T236">
        <f>HYPERLINK("https://klasma.github.io/Logging_0980/kartor/A 44088-2022 karta.png", "A 44088-2022")</f>
        <v/>
      </c>
      <c r="V236">
        <f>HYPERLINK("https://klasma.github.io/Logging_0980/klagomål/A 44088-2022 FSC-klagomål.docx", "A 44088-2022")</f>
        <v/>
      </c>
      <c r="W236">
        <f>HYPERLINK("https://klasma.github.io/Logging_0980/klagomålsmail/A 44088-2022 FSC-klagomål mail.docx", "A 44088-2022")</f>
        <v/>
      </c>
      <c r="X236">
        <f>HYPERLINK("https://klasma.github.io/Logging_0980/tillsyn/A 44088-2022 tillsynsbegäran.docx", "A 44088-2022")</f>
        <v/>
      </c>
      <c r="Y236">
        <f>HYPERLINK("https://klasma.github.io/Logging_0980/tillsynsmail/A 44088-2022 tillsynsbegäran mail.docx", "A 44088-2022")</f>
        <v/>
      </c>
    </row>
    <row r="237" ht="15" customHeight="1">
      <c r="A237" t="inlineStr">
        <is>
          <t>A 61796-2022</t>
        </is>
      </c>
      <c r="B237" s="1" t="n">
        <v>44917</v>
      </c>
      <c r="C237" s="1" t="n">
        <v>45829</v>
      </c>
      <c r="D237" t="inlineStr">
        <is>
          <t>GOTLANDS LÄN</t>
        </is>
      </c>
      <c r="E237" t="inlineStr">
        <is>
          <t>GOTLAND</t>
        </is>
      </c>
      <c r="G237" t="n">
        <v>1.5</v>
      </c>
      <c r="H237" t="n">
        <v>1</v>
      </c>
      <c r="I237" t="n">
        <v>0</v>
      </c>
      <c r="J237" t="n">
        <v>0</v>
      </c>
      <c r="K237" t="n">
        <v>0</v>
      </c>
      <c r="L237" t="n">
        <v>0</v>
      </c>
      <c r="M237" t="n">
        <v>0</v>
      </c>
      <c r="N237" t="n">
        <v>0</v>
      </c>
      <c r="O237" t="n">
        <v>0</v>
      </c>
      <c r="P237" t="n">
        <v>0</v>
      </c>
      <c r="Q237" t="n">
        <v>1</v>
      </c>
      <c r="R237" s="2" t="inlineStr">
        <is>
          <t>Skogsduva</t>
        </is>
      </c>
      <c r="S237">
        <f>HYPERLINK("https://klasma.github.io/Logging_0980/artfynd/A 61796-2022 artfynd.xlsx", "A 61796-2022")</f>
        <v/>
      </c>
      <c r="T237">
        <f>HYPERLINK("https://klasma.github.io/Logging_0980/kartor/A 61796-2022 karta.png", "A 61796-2022")</f>
        <v/>
      </c>
      <c r="V237">
        <f>HYPERLINK("https://klasma.github.io/Logging_0980/klagomål/A 61796-2022 FSC-klagomål.docx", "A 61796-2022")</f>
        <v/>
      </c>
      <c r="W237">
        <f>HYPERLINK("https://klasma.github.io/Logging_0980/klagomålsmail/A 61796-2022 FSC-klagomål mail.docx", "A 61796-2022")</f>
        <v/>
      </c>
      <c r="X237">
        <f>HYPERLINK("https://klasma.github.io/Logging_0980/tillsyn/A 61796-2022 tillsynsbegäran.docx", "A 61796-2022")</f>
        <v/>
      </c>
      <c r="Y237">
        <f>HYPERLINK("https://klasma.github.io/Logging_0980/tillsynsmail/A 61796-2022 tillsynsbegäran mail.docx", "A 61796-2022")</f>
        <v/>
      </c>
      <c r="Z237">
        <f>HYPERLINK("https://klasma.github.io/Logging_0980/fåglar/A 61796-2022 prioriterade fågelarter.docx", "A 61796-2022")</f>
        <v/>
      </c>
    </row>
    <row r="238" ht="15" customHeight="1">
      <c r="A238" t="inlineStr">
        <is>
          <t>A 62552-2022</t>
        </is>
      </c>
      <c r="B238" s="1" t="n">
        <v>44924</v>
      </c>
      <c r="C238" s="1" t="n">
        <v>45829</v>
      </c>
      <c r="D238" t="inlineStr">
        <is>
          <t>GOTLANDS LÄN</t>
        </is>
      </c>
      <c r="E238" t="inlineStr">
        <is>
          <t>GOTLAND</t>
        </is>
      </c>
      <c r="G238" t="n">
        <v>1.6</v>
      </c>
      <c r="H238" t="n">
        <v>0</v>
      </c>
      <c r="I238" t="n">
        <v>0</v>
      </c>
      <c r="J238" t="n">
        <v>1</v>
      </c>
      <c r="K238" t="n">
        <v>0</v>
      </c>
      <c r="L238" t="n">
        <v>0</v>
      </c>
      <c r="M238" t="n">
        <v>0</v>
      </c>
      <c r="N238" t="n">
        <v>0</v>
      </c>
      <c r="O238" t="n">
        <v>1</v>
      </c>
      <c r="P238" t="n">
        <v>0</v>
      </c>
      <c r="Q238" t="n">
        <v>1</v>
      </c>
      <c r="R238" s="2" t="inlineStr">
        <is>
          <t>Äggspindling</t>
        </is>
      </c>
      <c r="S238">
        <f>HYPERLINK("https://klasma.github.io/Logging_0980/artfynd/A 62552-2022 artfynd.xlsx", "A 62552-2022")</f>
        <v/>
      </c>
      <c r="T238">
        <f>HYPERLINK("https://klasma.github.io/Logging_0980/kartor/A 62552-2022 karta.png", "A 62552-2022")</f>
        <v/>
      </c>
      <c r="V238">
        <f>HYPERLINK("https://klasma.github.io/Logging_0980/klagomål/A 62552-2022 FSC-klagomål.docx", "A 62552-2022")</f>
        <v/>
      </c>
      <c r="W238">
        <f>HYPERLINK("https://klasma.github.io/Logging_0980/klagomålsmail/A 62552-2022 FSC-klagomål mail.docx", "A 62552-2022")</f>
        <v/>
      </c>
      <c r="X238">
        <f>HYPERLINK("https://klasma.github.io/Logging_0980/tillsyn/A 62552-2022 tillsynsbegäran.docx", "A 62552-2022")</f>
        <v/>
      </c>
      <c r="Y238">
        <f>HYPERLINK("https://klasma.github.io/Logging_0980/tillsynsmail/A 62552-2022 tillsynsbegäran mail.docx", "A 62552-2022")</f>
        <v/>
      </c>
    </row>
    <row r="239" ht="15" customHeight="1">
      <c r="A239" t="inlineStr">
        <is>
          <t>A 447-2023</t>
        </is>
      </c>
      <c r="B239" s="1" t="n">
        <v>44929</v>
      </c>
      <c r="C239" s="1" t="n">
        <v>45829</v>
      </c>
      <c r="D239" t="inlineStr">
        <is>
          <t>GOTLANDS LÄN</t>
        </is>
      </c>
      <c r="E239" t="inlineStr">
        <is>
          <t>GOTLAND</t>
        </is>
      </c>
      <c r="G239" t="n">
        <v>5.1</v>
      </c>
      <c r="H239" t="n">
        <v>0</v>
      </c>
      <c r="I239" t="n">
        <v>0</v>
      </c>
      <c r="J239" t="n">
        <v>1</v>
      </c>
      <c r="K239" t="n">
        <v>0</v>
      </c>
      <c r="L239" t="n">
        <v>0</v>
      </c>
      <c r="M239" t="n">
        <v>0</v>
      </c>
      <c r="N239" t="n">
        <v>0</v>
      </c>
      <c r="O239" t="n">
        <v>1</v>
      </c>
      <c r="P239" t="n">
        <v>0</v>
      </c>
      <c r="Q239" t="n">
        <v>1</v>
      </c>
      <c r="R239" s="2" t="inlineStr">
        <is>
          <t>Äggspindling</t>
        </is>
      </c>
      <c r="S239">
        <f>HYPERLINK("https://klasma.github.io/Logging_0980/artfynd/A 447-2023 artfynd.xlsx", "A 447-2023")</f>
        <v/>
      </c>
      <c r="T239">
        <f>HYPERLINK("https://klasma.github.io/Logging_0980/kartor/A 447-2023 karta.png", "A 447-2023")</f>
        <v/>
      </c>
      <c r="V239">
        <f>HYPERLINK("https://klasma.github.io/Logging_0980/klagomål/A 447-2023 FSC-klagomål.docx", "A 447-2023")</f>
        <v/>
      </c>
      <c r="W239">
        <f>HYPERLINK("https://klasma.github.io/Logging_0980/klagomålsmail/A 447-2023 FSC-klagomål mail.docx", "A 447-2023")</f>
        <v/>
      </c>
      <c r="X239">
        <f>HYPERLINK("https://klasma.github.io/Logging_0980/tillsyn/A 447-2023 tillsynsbegäran.docx", "A 447-2023")</f>
        <v/>
      </c>
      <c r="Y239">
        <f>HYPERLINK("https://klasma.github.io/Logging_0980/tillsynsmail/A 447-2023 tillsynsbegäran mail.docx", "A 447-2023")</f>
        <v/>
      </c>
    </row>
    <row r="240" ht="15" customHeight="1">
      <c r="A240" t="inlineStr">
        <is>
          <t>A 947-2023</t>
        </is>
      </c>
      <c r="B240" s="1" t="n">
        <v>44934</v>
      </c>
      <c r="C240" s="1" t="n">
        <v>45829</v>
      </c>
      <c r="D240" t="inlineStr">
        <is>
          <t>GOTLANDS LÄN</t>
        </is>
      </c>
      <c r="E240" t="inlineStr">
        <is>
          <t>GOTLAND</t>
        </is>
      </c>
      <c r="G240" t="n">
        <v>0.7</v>
      </c>
      <c r="H240" t="n">
        <v>1</v>
      </c>
      <c r="I240" t="n">
        <v>0</v>
      </c>
      <c r="J240" t="n">
        <v>0</v>
      </c>
      <c r="K240" t="n">
        <v>1</v>
      </c>
      <c r="L240" t="n">
        <v>0</v>
      </c>
      <c r="M240" t="n">
        <v>0</v>
      </c>
      <c r="N240" t="n">
        <v>0</v>
      </c>
      <c r="O240" t="n">
        <v>1</v>
      </c>
      <c r="P240" t="n">
        <v>1</v>
      </c>
      <c r="Q240" t="n">
        <v>1</v>
      </c>
      <c r="R240" s="2" t="inlineStr">
        <is>
          <t>Garderönn</t>
        </is>
      </c>
      <c r="S240">
        <f>HYPERLINK("https://klasma.github.io/Logging_0980/artfynd/A 947-2023 artfynd.xlsx", "A 947-2023")</f>
        <v/>
      </c>
      <c r="T240">
        <f>HYPERLINK("https://klasma.github.io/Logging_0980/kartor/A 947-2023 karta.png", "A 947-2023")</f>
        <v/>
      </c>
      <c r="V240">
        <f>HYPERLINK("https://klasma.github.io/Logging_0980/klagomål/A 947-2023 FSC-klagomål.docx", "A 947-2023")</f>
        <v/>
      </c>
      <c r="W240">
        <f>HYPERLINK("https://klasma.github.io/Logging_0980/klagomålsmail/A 947-2023 FSC-klagomål mail.docx", "A 947-2023")</f>
        <v/>
      </c>
      <c r="X240">
        <f>HYPERLINK("https://klasma.github.io/Logging_0980/tillsyn/A 947-2023 tillsynsbegäran.docx", "A 947-2023")</f>
        <v/>
      </c>
      <c r="Y240">
        <f>HYPERLINK("https://klasma.github.io/Logging_0980/tillsynsmail/A 947-2023 tillsynsbegäran mail.docx", "A 947-2023")</f>
        <v/>
      </c>
    </row>
    <row r="241" ht="15" customHeight="1">
      <c r="A241" t="inlineStr">
        <is>
          <t>A 2213-2023</t>
        </is>
      </c>
      <c r="B241" s="1" t="n">
        <v>44942</v>
      </c>
      <c r="C241" s="1" t="n">
        <v>45829</v>
      </c>
      <c r="D241" t="inlineStr">
        <is>
          <t>GOTLANDS LÄN</t>
        </is>
      </c>
      <c r="E241" t="inlineStr">
        <is>
          <t>GOTLAND</t>
        </is>
      </c>
      <c r="G241" t="n">
        <v>2.7</v>
      </c>
      <c r="H241" t="n">
        <v>0</v>
      </c>
      <c r="I241" t="n">
        <v>0</v>
      </c>
      <c r="J241" t="n">
        <v>1</v>
      </c>
      <c r="K241" t="n">
        <v>0</v>
      </c>
      <c r="L241" t="n">
        <v>0</v>
      </c>
      <c r="M241" t="n">
        <v>0</v>
      </c>
      <c r="N241" t="n">
        <v>0</v>
      </c>
      <c r="O241" t="n">
        <v>1</v>
      </c>
      <c r="P241" t="n">
        <v>0</v>
      </c>
      <c r="Q241" t="n">
        <v>1</v>
      </c>
      <c r="R241" s="2" t="inlineStr">
        <is>
          <t>Odörspindling</t>
        </is>
      </c>
      <c r="S241">
        <f>HYPERLINK("https://klasma.github.io/Logging_0980/artfynd/A 2213-2023 artfynd.xlsx", "A 2213-2023")</f>
        <v/>
      </c>
      <c r="T241">
        <f>HYPERLINK("https://klasma.github.io/Logging_0980/kartor/A 2213-2023 karta.png", "A 2213-2023")</f>
        <v/>
      </c>
      <c r="V241">
        <f>HYPERLINK("https://klasma.github.io/Logging_0980/klagomål/A 2213-2023 FSC-klagomål.docx", "A 2213-2023")</f>
        <v/>
      </c>
      <c r="W241">
        <f>HYPERLINK("https://klasma.github.io/Logging_0980/klagomålsmail/A 2213-2023 FSC-klagomål mail.docx", "A 2213-2023")</f>
        <v/>
      </c>
      <c r="X241">
        <f>HYPERLINK("https://klasma.github.io/Logging_0980/tillsyn/A 2213-2023 tillsynsbegäran.docx", "A 2213-2023")</f>
        <v/>
      </c>
      <c r="Y241">
        <f>HYPERLINK("https://klasma.github.io/Logging_0980/tillsynsmail/A 2213-2023 tillsynsbegäran mail.docx", "A 2213-2023")</f>
        <v/>
      </c>
    </row>
    <row r="242" ht="15" customHeight="1">
      <c r="A242" t="inlineStr">
        <is>
          <t>A 10995-2023</t>
        </is>
      </c>
      <c r="B242" s="1" t="n">
        <v>44986</v>
      </c>
      <c r="C242" s="1" t="n">
        <v>45829</v>
      </c>
      <c r="D242" t="inlineStr">
        <is>
          <t>GOTLANDS LÄN</t>
        </is>
      </c>
      <c r="E242" t="inlineStr">
        <is>
          <t>GOTLAND</t>
        </is>
      </c>
      <c r="G242" t="n">
        <v>2.8</v>
      </c>
      <c r="H242" t="n">
        <v>0</v>
      </c>
      <c r="I242" t="n">
        <v>0</v>
      </c>
      <c r="J242" t="n">
        <v>0</v>
      </c>
      <c r="K242" t="n">
        <v>1</v>
      </c>
      <c r="L242" t="n">
        <v>0</v>
      </c>
      <c r="M242" t="n">
        <v>0</v>
      </c>
      <c r="N242" t="n">
        <v>0</v>
      </c>
      <c r="O242" t="n">
        <v>1</v>
      </c>
      <c r="P242" t="n">
        <v>1</v>
      </c>
      <c r="Q242" t="n">
        <v>1</v>
      </c>
      <c r="R242" s="2" t="inlineStr">
        <is>
          <t>Violettfläckig spindling</t>
        </is>
      </c>
      <c r="S242">
        <f>HYPERLINK("https://klasma.github.io/Logging_0980/artfynd/A 10995-2023 artfynd.xlsx", "A 10995-2023")</f>
        <v/>
      </c>
      <c r="T242">
        <f>HYPERLINK("https://klasma.github.io/Logging_0980/kartor/A 10995-2023 karta.png", "A 10995-2023")</f>
        <v/>
      </c>
      <c r="V242">
        <f>HYPERLINK("https://klasma.github.io/Logging_0980/klagomål/A 10995-2023 FSC-klagomål.docx", "A 10995-2023")</f>
        <v/>
      </c>
      <c r="W242">
        <f>HYPERLINK("https://klasma.github.io/Logging_0980/klagomålsmail/A 10995-2023 FSC-klagomål mail.docx", "A 10995-2023")</f>
        <v/>
      </c>
      <c r="X242">
        <f>HYPERLINK("https://klasma.github.io/Logging_0980/tillsyn/A 10995-2023 tillsynsbegäran.docx", "A 10995-2023")</f>
        <v/>
      </c>
      <c r="Y242">
        <f>HYPERLINK("https://klasma.github.io/Logging_0980/tillsynsmail/A 10995-2023 tillsynsbegäran mail.docx", "A 10995-2023")</f>
        <v/>
      </c>
    </row>
    <row r="243" ht="15" customHeight="1">
      <c r="A243" t="inlineStr">
        <is>
          <t>A 15212-2023</t>
        </is>
      </c>
      <c r="B243" s="1" t="n">
        <v>45019</v>
      </c>
      <c r="C243" s="1" t="n">
        <v>45829</v>
      </c>
      <c r="D243" t="inlineStr">
        <is>
          <t>GOTLANDS LÄN</t>
        </is>
      </c>
      <c r="E243" t="inlineStr">
        <is>
          <t>GOTLAND</t>
        </is>
      </c>
      <c r="G243" t="n">
        <v>3.1</v>
      </c>
      <c r="H243" t="n">
        <v>0</v>
      </c>
      <c r="I243" t="n">
        <v>0</v>
      </c>
      <c r="J243" t="n">
        <v>1</v>
      </c>
      <c r="K243" t="n">
        <v>0</v>
      </c>
      <c r="L243" t="n">
        <v>0</v>
      </c>
      <c r="M243" t="n">
        <v>0</v>
      </c>
      <c r="N243" t="n">
        <v>0</v>
      </c>
      <c r="O243" t="n">
        <v>1</v>
      </c>
      <c r="P243" t="n">
        <v>0</v>
      </c>
      <c r="Q243" t="n">
        <v>1</v>
      </c>
      <c r="R243" s="2" t="inlineStr">
        <is>
          <t>Grådådra</t>
        </is>
      </c>
      <c r="S243">
        <f>HYPERLINK("https://klasma.github.io/Logging_0980/artfynd/A 15212-2023 artfynd.xlsx", "A 15212-2023")</f>
        <v/>
      </c>
      <c r="T243">
        <f>HYPERLINK("https://klasma.github.io/Logging_0980/kartor/A 15212-2023 karta.png", "A 15212-2023")</f>
        <v/>
      </c>
      <c r="V243">
        <f>HYPERLINK("https://klasma.github.io/Logging_0980/klagomål/A 15212-2023 FSC-klagomål.docx", "A 15212-2023")</f>
        <v/>
      </c>
      <c r="W243">
        <f>HYPERLINK("https://klasma.github.io/Logging_0980/klagomålsmail/A 15212-2023 FSC-klagomål mail.docx", "A 15212-2023")</f>
        <v/>
      </c>
      <c r="X243">
        <f>HYPERLINK("https://klasma.github.io/Logging_0980/tillsyn/A 15212-2023 tillsynsbegäran.docx", "A 15212-2023")</f>
        <v/>
      </c>
      <c r="Y243">
        <f>HYPERLINK("https://klasma.github.io/Logging_0980/tillsynsmail/A 15212-2023 tillsynsbegäran mail.docx", "A 15212-2023")</f>
        <v/>
      </c>
    </row>
    <row r="244" ht="15" customHeight="1">
      <c r="A244" t="inlineStr">
        <is>
          <t>A 22782-2023</t>
        </is>
      </c>
      <c r="B244" s="1" t="n">
        <v>45072</v>
      </c>
      <c r="C244" s="1" t="n">
        <v>45829</v>
      </c>
      <c r="D244" t="inlineStr">
        <is>
          <t>GOTLANDS LÄN</t>
        </is>
      </c>
      <c r="E244" t="inlineStr">
        <is>
          <t>GOTLAND</t>
        </is>
      </c>
      <c r="F244" t="inlineStr">
        <is>
          <t>Kyrkan</t>
        </is>
      </c>
      <c r="G244" t="n">
        <v>3.1</v>
      </c>
      <c r="H244" t="n">
        <v>1</v>
      </c>
      <c r="I244" t="n">
        <v>0</v>
      </c>
      <c r="J244" t="n">
        <v>0</v>
      </c>
      <c r="K244" t="n">
        <v>0</v>
      </c>
      <c r="L244" t="n">
        <v>0</v>
      </c>
      <c r="M244" t="n">
        <v>0</v>
      </c>
      <c r="N244" t="n">
        <v>0</v>
      </c>
      <c r="O244" t="n">
        <v>0</v>
      </c>
      <c r="P244" t="n">
        <v>0</v>
      </c>
      <c r="Q244" t="n">
        <v>1</v>
      </c>
      <c r="R244" s="2" t="inlineStr">
        <is>
          <t>Ängsnycklar × skogsnycklar</t>
        </is>
      </c>
      <c r="S244">
        <f>HYPERLINK("https://klasma.github.io/Logging_0980/artfynd/A 22782-2023 artfynd.xlsx", "A 22782-2023")</f>
        <v/>
      </c>
      <c r="T244">
        <f>HYPERLINK("https://klasma.github.io/Logging_0980/kartor/A 22782-2023 karta.png", "A 22782-2023")</f>
        <v/>
      </c>
      <c r="V244">
        <f>HYPERLINK("https://klasma.github.io/Logging_0980/klagomål/A 22782-2023 FSC-klagomål.docx", "A 22782-2023")</f>
        <v/>
      </c>
      <c r="W244">
        <f>HYPERLINK("https://klasma.github.io/Logging_0980/klagomålsmail/A 22782-2023 FSC-klagomål mail.docx", "A 22782-2023")</f>
        <v/>
      </c>
      <c r="X244">
        <f>HYPERLINK("https://klasma.github.io/Logging_0980/tillsyn/A 22782-2023 tillsynsbegäran.docx", "A 22782-2023")</f>
        <v/>
      </c>
      <c r="Y244">
        <f>HYPERLINK("https://klasma.github.io/Logging_0980/tillsynsmail/A 22782-2023 tillsynsbegäran mail.docx", "A 22782-2023")</f>
        <v/>
      </c>
    </row>
    <row r="245" ht="15" customHeight="1">
      <c r="A245" t="inlineStr">
        <is>
          <t>A 24007-2023</t>
        </is>
      </c>
      <c r="B245" s="1" t="n">
        <v>45078</v>
      </c>
      <c r="C245" s="1" t="n">
        <v>45829</v>
      </c>
      <c r="D245" t="inlineStr">
        <is>
          <t>GOTLANDS LÄN</t>
        </is>
      </c>
      <c r="E245" t="inlineStr">
        <is>
          <t>GOTLAND</t>
        </is>
      </c>
      <c r="F245" t="inlineStr">
        <is>
          <t>Naturvårdsverket</t>
        </is>
      </c>
      <c r="G245" t="n">
        <v>2.5</v>
      </c>
      <c r="H245" t="n">
        <v>1</v>
      </c>
      <c r="I245" t="n">
        <v>1</v>
      </c>
      <c r="J245" t="n">
        <v>0</v>
      </c>
      <c r="K245" t="n">
        <v>0</v>
      </c>
      <c r="L245" t="n">
        <v>0</v>
      </c>
      <c r="M245" t="n">
        <v>0</v>
      </c>
      <c r="N245" t="n">
        <v>0</v>
      </c>
      <c r="O245" t="n">
        <v>0</v>
      </c>
      <c r="P245" t="n">
        <v>0</v>
      </c>
      <c r="Q245" t="n">
        <v>1</v>
      </c>
      <c r="R245" s="2" t="inlineStr">
        <is>
          <t>Nästrot</t>
        </is>
      </c>
      <c r="S245">
        <f>HYPERLINK("https://klasma.github.io/Logging_0980/artfynd/A 24007-2023 artfynd.xlsx", "A 24007-2023")</f>
        <v/>
      </c>
      <c r="T245">
        <f>HYPERLINK("https://klasma.github.io/Logging_0980/kartor/A 24007-2023 karta.png", "A 24007-2023")</f>
        <v/>
      </c>
      <c r="V245">
        <f>HYPERLINK("https://klasma.github.io/Logging_0980/klagomål/A 24007-2023 FSC-klagomål.docx", "A 24007-2023")</f>
        <v/>
      </c>
      <c r="W245">
        <f>HYPERLINK("https://klasma.github.io/Logging_0980/klagomålsmail/A 24007-2023 FSC-klagomål mail.docx", "A 24007-2023")</f>
        <v/>
      </c>
      <c r="X245">
        <f>HYPERLINK("https://klasma.github.io/Logging_0980/tillsyn/A 24007-2023 tillsynsbegäran.docx", "A 24007-2023")</f>
        <v/>
      </c>
      <c r="Y245">
        <f>HYPERLINK("https://klasma.github.io/Logging_0980/tillsynsmail/A 24007-2023 tillsynsbegäran mail.docx", "A 24007-2023")</f>
        <v/>
      </c>
    </row>
    <row r="246" ht="15" customHeight="1">
      <c r="A246" t="inlineStr">
        <is>
          <t>A 27589-2023</t>
        </is>
      </c>
      <c r="B246" s="1" t="n">
        <v>45097</v>
      </c>
      <c r="C246" s="1" t="n">
        <v>45829</v>
      </c>
      <c r="D246" t="inlineStr">
        <is>
          <t>GOTLANDS LÄN</t>
        </is>
      </c>
      <c r="E246" t="inlineStr">
        <is>
          <t>GOTLAND</t>
        </is>
      </c>
      <c r="G246" t="n">
        <v>5.4</v>
      </c>
      <c r="H246" t="n">
        <v>0</v>
      </c>
      <c r="I246" t="n">
        <v>0</v>
      </c>
      <c r="J246" t="n">
        <v>0</v>
      </c>
      <c r="K246" t="n">
        <v>0</v>
      </c>
      <c r="L246" t="n">
        <v>0</v>
      </c>
      <c r="M246" t="n">
        <v>1</v>
      </c>
      <c r="N246" t="n">
        <v>0</v>
      </c>
      <c r="O246" t="n">
        <v>1</v>
      </c>
      <c r="P246" t="n">
        <v>1</v>
      </c>
      <c r="Q246" t="n">
        <v>1</v>
      </c>
      <c r="R246" s="2" t="inlineStr">
        <is>
          <t>Skogsalm</t>
        </is>
      </c>
      <c r="S246">
        <f>HYPERLINK("https://klasma.github.io/Logging_0980/artfynd/A 27589-2023 artfynd.xlsx", "A 27589-2023")</f>
        <v/>
      </c>
      <c r="T246">
        <f>HYPERLINK("https://klasma.github.io/Logging_0980/kartor/A 27589-2023 karta.png", "A 27589-2023")</f>
        <v/>
      </c>
      <c r="V246">
        <f>HYPERLINK("https://klasma.github.io/Logging_0980/klagomål/A 27589-2023 FSC-klagomål.docx", "A 27589-2023")</f>
        <v/>
      </c>
      <c r="W246">
        <f>HYPERLINK("https://klasma.github.io/Logging_0980/klagomålsmail/A 27589-2023 FSC-klagomål mail.docx", "A 27589-2023")</f>
        <v/>
      </c>
      <c r="X246">
        <f>HYPERLINK("https://klasma.github.io/Logging_0980/tillsyn/A 27589-2023 tillsynsbegäran.docx", "A 27589-2023")</f>
        <v/>
      </c>
      <c r="Y246">
        <f>HYPERLINK("https://klasma.github.io/Logging_0980/tillsynsmail/A 27589-2023 tillsynsbegäran mail.docx", "A 27589-2023")</f>
        <v/>
      </c>
    </row>
    <row r="247" ht="15" customHeight="1">
      <c r="A247" t="inlineStr">
        <is>
          <t>A 28546-2023</t>
        </is>
      </c>
      <c r="B247" s="1" t="n">
        <v>45103</v>
      </c>
      <c r="C247" s="1" t="n">
        <v>45829</v>
      </c>
      <c r="D247" t="inlineStr">
        <is>
          <t>GOTLANDS LÄN</t>
        </is>
      </c>
      <c r="E247" t="inlineStr">
        <is>
          <t>GOTLAND</t>
        </is>
      </c>
      <c r="G247" t="n">
        <v>7.9</v>
      </c>
      <c r="H247" t="n">
        <v>1</v>
      </c>
      <c r="I247" t="n">
        <v>0</v>
      </c>
      <c r="J247" t="n">
        <v>0</v>
      </c>
      <c r="K247" t="n">
        <v>0</v>
      </c>
      <c r="L247" t="n">
        <v>0</v>
      </c>
      <c r="M247" t="n">
        <v>0</v>
      </c>
      <c r="N247" t="n">
        <v>0</v>
      </c>
      <c r="O247" t="n">
        <v>0</v>
      </c>
      <c r="P247" t="n">
        <v>0</v>
      </c>
      <c r="Q247" t="n">
        <v>1</v>
      </c>
      <c r="R247" s="2" t="inlineStr">
        <is>
          <t>Äkta lopplummer</t>
        </is>
      </c>
      <c r="S247">
        <f>HYPERLINK("https://klasma.github.io/Logging_0980/artfynd/A 28546-2023 artfynd.xlsx", "A 28546-2023")</f>
        <v/>
      </c>
      <c r="T247">
        <f>HYPERLINK("https://klasma.github.io/Logging_0980/kartor/A 28546-2023 karta.png", "A 28546-2023")</f>
        <v/>
      </c>
      <c r="V247">
        <f>HYPERLINK("https://klasma.github.io/Logging_0980/klagomål/A 28546-2023 FSC-klagomål.docx", "A 28546-2023")</f>
        <v/>
      </c>
      <c r="W247">
        <f>HYPERLINK("https://klasma.github.io/Logging_0980/klagomålsmail/A 28546-2023 FSC-klagomål mail.docx", "A 28546-2023")</f>
        <v/>
      </c>
      <c r="X247">
        <f>HYPERLINK("https://klasma.github.io/Logging_0980/tillsyn/A 28546-2023 tillsynsbegäran.docx", "A 28546-2023")</f>
        <v/>
      </c>
      <c r="Y247">
        <f>HYPERLINK("https://klasma.github.io/Logging_0980/tillsynsmail/A 28546-2023 tillsynsbegäran mail.docx", "A 28546-2023")</f>
        <v/>
      </c>
    </row>
    <row r="248" ht="15" customHeight="1">
      <c r="A248" t="inlineStr">
        <is>
          <t>A 35615-2023</t>
        </is>
      </c>
      <c r="B248" s="1" t="n">
        <v>45147</v>
      </c>
      <c r="C248" s="1" t="n">
        <v>45829</v>
      </c>
      <c r="D248" t="inlineStr">
        <is>
          <t>GOTLANDS LÄN</t>
        </is>
      </c>
      <c r="E248" t="inlineStr">
        <is>
          <t>GOTLAND</t>
        </is>
      </c>
      <c r="G248" t="n">
        <v>6.1</v>
      </c>
      <c r="H248" t="n">
        <v>0</v>
      </c>
      <c r="I248" t="n">
        <v>0</v>
      </c>
      <c r="J248" t="n">
        <v>1</v>
      </c>
      <c r="K248" t="n">
        <v>0</v>
      </c>
      <c r="L248" t="n">
        <v>0</v>
      </c>
      <c r="M248" t="n">
        <v>0</v>
      </c>
      <c r="N248" t="n">
        <v>0</v>
      </c>
      <c r="O248" t="n">
        <v>1</v>
      </c>
      <c r="P248" t="n">
        <v>0</v>
      </c>
      <c r="Q248" t="n">
        <v>1</v>
      </c>
      <c r="R248" s="2" t="inlineStr">
        <is>
          <t>Åkerranunkel</t>
        </is>
      </c>
      <c r="S248">
        <f>HYPERLINK("https://klasma.github.io/Logging_0980/artfynd/A 35615-2023 artfynd.xlsx", "A 35615-2023")</f>
        <v/>
      </c>
      <c r="T248">
        <f>HYPERLINK("https://klasma.github.io/Logging_0980/kartor/A 35615-2023 karta.png", "A 35615-2023")</f>
        <v/>
      </c>
      <c r="V248">
        <f>HYPERLINK("https://klasma.github.io/Logging_0980/klagomål/A 35615-2023 FSC-klagomål.docx", "A 35615-2023")</f>
        <v/>
      </c>
      <c r="W248">
        <f>HYPERLINK("https://klasma.github.io/Logging_0980/klagomålsmail/A 35615-2023 FSC-klagomål mail.docx", "A 35615-2023")</f>
        <v/>
      </c>
      <c r="X248">
        <f>HYPERLINK("https://klasma.github.io/Logging_0980/tillsyn/A 35615-2023 tillsynsbegäran.docx", "A 35615-2023")</f>
        <v/>
      </c>
      <c r="Y248">
        <f>HYPERLINK("https://klasma.github.io/Logging_0980/tillsynsmail/A 35615-2023 tillsynsbegäran mail.docx", "A 35615-2023")</f>
        <v/>
      </c>
    </row>
    <row r="249" ht="15" customHeight="1">
      <c r="A249" t="inlineStr">
        <is>
          <t>A 37584-2023</t>
        </is>
      </c>
      <c r="B249" s="1" t="n">
        <v>45159</v>
      </c>
      <c r="C249" s="1" t="n">
        <v>45829</v>
      </c>
      <c r="D249" t="inlineStr">
        <is>
          <t>GOTLANDS LÄN</t>
        </is>
      </c>
      <c r="E249" t="inlineStr">
        <is>
          <t>GOTLAND</t>
        </is>
      </c>
      <c r="G249" t="n">
        <v>5.4</v>
      </c>
      <c r="H249" t="n">
        <v>0</v>
      </c>
      <c r="I249" t="n">
        <v>1</v>
      </c>
      <c r="J249" t="n">
        <v>0</v>
      </c>
      <c r="K249" t="n">
        <v>0</v>
      </c>
      <c r="L249" t="n">
        <v>0</v>
      </c>
      <c r="M249" t="n">
        <v>0</v>
      </c>
      <c r="N249" t="n">
        <v>0</v>
      </c>
      <c r="O249" t="n">
        <v>0</v>
      </c>
      <c r="P249" t="n">
        <v>0</v>
      </c>
      <c r="Q249" t="n">
        <v>1</v>
      </c>
      <c r="R249" s="2" t="inlineStr">
        <is>
          <t>Myskmadra</t>
        </is>
      </c>
      <c r="S249">
        <f>HYPERLINK("https://klasma.github.io/Logging_0980/artfynd/A 37584-2023 artfynd.xlsx", "A 37584-2023")</f>
        <v/>
      </c>
      <c r="T249">
        <f>HYPERLINK("https://klasma.github.io/Logging_0980/kartor/A 37584-2023 karta.png", "A 37584-2023")</f>
        <v/>
      </c>
      <c r="V249">
        <f>HYPERLINK("https://klasma.github.io/Logging_0980/klagomål/A 37584-2023 FSC-klagomål.docx", "A 37584-2023")</f>
        <v/>
      </c>
      <c r="W249">
        <f>HYPERLINK("https://klasma.github.io/Logging_0980/klagomålsmail/A 37584-2023 FSC-klagomål mail.docx", "A 37584-2023")</f>
        <v/>
      </c>
      <c r="X249">
        <f>HYPERLINK("https://klasma.github.io/Logging_0980/tillsyn/A 37584-2023 tillsynsbegäran.docx", "A 37584-2023")</f>
        <v/>
      </c>
      <c r="Y249">
        <f>HYPERLINK("https://klasma.github.io/Logging_0980/tillsynsmail/A 37584-2023 tillsynsbegäran mail.docx", "A 37584-2023")</f>
        <v/>
      </c>
    </row>
    <row r="250" ht="15" customHeight="1">
      <c r="A250" t="inlineStr">
        <is>
          <t>A 42939-2023</t>
        </is>
      </c>
      <c r="B250" s="1" t="n">
        <v>45182</v>
      </c>
      <c r="C250" s="1" t="n">
        <v>45829</v>
      </c>
      <c r="D250" t="inlineStr">
        <is>
          <t>GOTLANDS LÄN</t>
        </is>
      </c>
      <c r="E250" t="inlineStr">
        <is>
          <t>GOTLAND</t>
        </is>
      </c>
      <c r="G250" t="n">
        <v>7.5</v>
      </c>
      <c r="H250" t="n">
        <v>0</v>
      </c>
      <c r="I250" t="n">
        <v>0</v>
      </c>
      <c r="J250" t="n">
        <v>0</v>
      </c>
      <c r="K250" t="n">
        <v>1</v>
      </c>
      <c r="L250" t="n">
        <v>0</v>
      </c>
      <c r="M250" t="n">
        <v>0</v>
      </c>
      <c r="N250" t="n">
        <v>0</v>
      </c>
      <c r="O250" t="n">
        <v>1</v>
      </c>
      <c r="P250" t="n">
        <v>1</v>
      </c>
      <c r="Q250" t="n">
        <v>1</v>
      </c>
      <c r="R250" s="2" t="inlineStr">
        <is>
          <t>Skogskorn</t>
        </is>
      </c>
      <c r="S250">
        <f>HYPERLINK("https://klasma.github.io/Logging_0980/artfynd/A 42939-2023 artfynd.xlsx", "A 42939-2023")</f>
        <v/>
      </c>
      <c r="T250">
        <f>HYPERLINK("https://klasma.github.io/Logging_0980/kartor/A 42939-2023 karta.png", "A 42939-2023")</f>
        <v/>
      </c>
      <c r="V250">
        <f>HYPERLINK("https://klasma.github.io/Logging_0980/klagomål/A 42939-2023 FSC-klagomål.docx", "A 42939-2023")</f>
        <v/>
      </c>
      <c r="W250">
        <f>HYPERLINK("https://klasma.github.io/Logging_0980/klagomålsmail/A 42939-2023 FSC-klagomål mail.docx", "A 42939-2023")</f>
        <v/>
      </c>
      <c r="X250">
        <f>HYPERLINK("https://klasma.github.io/Logging_0980/tillsyn/A 42939-2023 tillsynsbegäran.docx", "A 42939-2023")</f>
        <v/>
      </c>
      <c r="Y250">
        <f>HYPERLINK("https://klasma.github.io/Logging_0980/tillsynsmail/A 42939-2023 tillsynsbegäran mail.docx", "A 42939-2023")</f>
        <v/>
      </c>
    </row>
    <row r="251" ht="15" customHeight="1">
      <c r="A251" t="inlineStr">
        <is>
          <t>A 43219-2023</t>
        </is>
      </c>
      <c r="B251" s="1" t="n">
        <v>45183</v>
      </c>
      <c r="C251" s="1" t="n">
        <v>45829</v>
      </c>
      <c r="D251" t="inlineStr">
        <is>
          <t>GOTLANDS LÄN</t>
        </is>
      </c>
      <c r="E251" t="inlineStr">
        <is>
          <t>GOTLAND</t>
        </is>
      </c>
      <c r="G251" t="n">
        <v>3.6</v>
      </c>
      <c r="H251" t="n">
        <v>1</v>
      </c>
      <c r="I251" t="n">
        <v>0</v>
      </c>
      <c r="J251" t="n">
        <v>0</v>
      </c>
      <c r="K251" t="n">
        <v>0</v>
      </c>
      <c r="L251" t="n">
        <v>0</v>
      </c>
      <c r="M251" t="n">
        <v>0</v>
      </c>
      <c r="N251" t="n">
        <v>0</v>
      </c>
      <c r="O251" t="n">
        <v>0</v>
      </c>
      <c r="P251" t="n">
        <v>0</v>
      </c>
      <c r="Q251" t="n">
        <v>1</v>
      </c>
      <c r="R251" s="2" t="inlineStr">
        <is>
          <t>Skogsduva</t>
        </is>
      </c>
      <c r="S251">
        <f>HYPERLINK("https://klasma.github.io/Logging_0980/artfynd/A 43219-2023 artfynd.xlsx", "A 43219-2023")</f>
        <v/>
      </c>
      <c r="T251">
        <f>HYPERLINK("https://klasma.github.io/Logging_0980/kartor/A 43219-2023 karta.png", "A 43219-2023")</f>
        <v/>
      </c>
      <c r="V251">
        <f>HYPERLINK("https://klasma.github.io/Logging_0980/klagomål/A 43219-2023 FSC-klagomål.docx", "A 43219-2023")</f>
        <v/>
      </c>
      <c r="W251">
        <f>HYPERLINK("https://klasma.github.io/Logging_0980/klagomålsmail/A 43219-2023 FSC-klagomål mail.docx", "A 43219-2023")</f>
        <v/>
      </c>
      <c r="X251">
        <f>HYPERLINK("https://klasma.github.io/Logging_0980/tillsyn/A 43219-2023 tillsynsbegäran.docx", "A 43219-2023")</f>
        <v/>
      </c>
      <c r="Y251">
        <f>HYPERLINK("https://klasma.github.io/Logging_0980/tillsynsmail/A 43219-2023 tillsynsbegäran mail.docx", "A 43219-2023")</f>
        <v/>
      </c>
      <c r="Z251">
        <f>HYPERLINK("https://klasma.github.io/Logging_0980/fåglar/A 43219-2023 prioriterade fågelarter.docx", "A 43219-2023")</f>
        <v/>
      </c>
    </row>
    <row r="252" ht="15" customHeight="1">
      <c r="A252" t="inlineStr">
        <is>
          <t>A 46527-2023</t>
        </is>
      </c>
      <c r="B252" s="1" t="n">
        <v>45197</v>
      </c>
      <c r="C252" s="1" t="n">
        <v>45829</v>
      </c>
      <c r="D252" t="inlineStr">
        <is>
          <t>GOTLANDS LÄN</t>
        </is>
      </c>
      <c r="E252" t="inlineStr">
        <is>
          <t>GOTLAND</t>
        </is>
      </c>
      <c r="G252" t="n">
        <v>0.9</v>
      </c>
      <c r="H252" t="n">
        <v>0</v>
      </c>
      <c r="I252" t="n">
        <v>0</v>
      </c>
      <c r="J252" t="n">
        <v>1</v>
      </c>
      <c r="K252" t="n">
        <v>0</v>
      </c>
      <c r="L252" t="n">
        <v>0</v>
      </c>
      <c r="M252" t="n">
        <v>0</v>
      </c>
      <c r="N252" t="n">
        <v>0</v>
      </c>
      <c r="O252" t="n">
        <v>1</v>
      </c>
      <c r="P252" t="n">
        <v>0</v>
      </c>
      <c r="Q252" t="n">
        <v>1</v>
      </c>
      <c r="R252" s="2" t="inlineStr">
        <is>
          <t>Guldgräshoppa</t>
        </is>
      </c>
      <c r="S252">
        <f>HYPERLINK("https://klasma.github.io/Logging_0980/artfynd/A 46527-2023 artfynd.xlsx", "A 46527-2023")</f>
        <v/>
      </c>
      <c r="T252">
        <f>HYPERLINK("https://klasma.github.io/Logging_0980/kartor/A 46527-2023 karta.png", "A 46527-2023")</f>
        <v/>
      </c>
      <c r="V252">
        <f>HYPERLINK("https://klasma.github.io/Logging_0980/klagomål/A 46527-2023 FSC-klagomål.docx", "A 46527-2023")</f>
        <v/>
      </c>
      <c r="W252">
        <f>HYPERLINK("https://klasma.github.io/Logging_0980/klagomålsmail/A 46527-2023 FSC-klagomål mail.docx", "A 46527-2023")</f>
        <v/>
      </c>
      <c r="X252">
        <f>HYPERLINK("https://klasma.github.io/Logging_0980/tillsyn/A 46527-2023 tillsynsbegäran.docx", "A 46527-2023")</f>
        <v/>
      </c>
      <c r="Y252">
        <f>HYPERLINK("https://klasma.github.io/Logging_0980/tillsynsmail/A 46527-2023 tillsynsbegäran mail.docx", "A 46527-2023")</f>
        <v/>
      </c>
    </row>
    <row r="253" ht="15" customHeight="1">
      <c r="A253" t="inlineStr">
        <is>
          <t>A 49847-2023</t>
        </is>
      </c>
      <c r="B253" s="1" t="n">
        <v>45212</v>
      </c>
      <c r="C253" s="1" t="n">
        <v>45829</v>
      </c>
      <c r="D253" t="inlineStr">
        <is>
          <t>GOTLANDS LÄN</t>
        </is>
      </c>
      <c r="E253" t="inlineStr">
        <is>
          <t>GOTLAND</t>
        </is>
      </c>
      <c r="G253" t="n">
        <v>35.2</v>
      </c>
      <c r="H253" t="n">
        <v>0</v>
      </c>
      <c r="I253" t="n">
        <v>0</v>
      </c>
      <c r="J253" t="n">
        <v>0</v>
      </c>
      <c r="K253" t="n">
        <v>1</v>
      </c>
      <c r="L253" t="n">
        <v>0</v>
      </c>
      <c r="M253" t="n">
        <v>0</v>
      </c>
      <c r="N253" t="n">
        <v>0</v>
      </c>
      <c r="O253" t="n">
        <v>1</v>
      </c>
      <c r="P253" t="n">
        <v>1</v>
      </c>
      <c r="Q253" t="n">
        <v>1</v>
      </c>
      <c r="R253" s="2" t="inlineStr">
        <is>
          <t>Strandviol</t>
        </is>
      </c>
      <c r="S253">
        <f>HYPERLINK("https://klasma.github.io/Logging_0980/artfynd/A 49847-2023 artfynd.xlsx", "A 49847-2023")</f>
        <v/>
      </c>
      <c r="T253">
        <f>HYPERLINK("https://klasma.github.io/Logging_0980/kartor/A 49847-2023 karta.png", "A 49847-2023")</f>
        <v/>
      </c>
      <c r="V253">
        <f>HYPERLINK("https://klasma.github.io/Logging_0980/klagomål/A 49847-2023 FSC-klagomål.docx", "A 49847-2023")</f>
        <v/>
      </c>
      <c r="W253">
        <f>HYPERLINK("https://klasma.github.io/Logging_0980/klagomålsmail/A 49847-2023 FSC-klagomål mail.docx", "A 49847-2023")</f>
        <v/>
      </c>
      <c r="X253">
        <f>HYPERLINK("https://klasma.github.io/Logging_0980/tillsyn/A 49847-2023 tillsynsbegäran.docx", "A 49847-2023")</f>
        <v/>
      </c>
      <c r="Y253">
        <f>HYPERLINK("https://klasma.github.io/Logging_0980/tillsynsmail/A 49847-2023 tillsynsbegäran mail.docx", "A 49847-2023")</f>
        <v/>
      </c>
    </row>
    <row r="254" ht="15" customHeight="1">
      <c r="A254" t="inlineStr">
        <is>
          <t>A 53907-2023</t>
        </is>
      </c>
      <c r="B254" s="1" t="n">
        <v>45231</v>
      </c>
      <c r="C254" s="1" t="n">
        <v>45829</v>
      </c>
      <c r="D254" t="inlineStr">
        <is>
          <t>GOTLANDS LÄN</t>
        </is>
      </c>
      <c r="E254" t="inlineStr">
        <is>
          <t>GOTLAND</t>
        </is>
      </c>
      <c r="G254" t="n">
        <v>13.7</v>
      </c>
      <c r="H254" t="n">
        <v>0</v>
      </c>
      <c r="I254" t="n">
        <v>0</v>
      </c>
      <c r="J254" t="n">
        <v>0</v>
      </c>
      <c r="K254" t="n">
        <v>1</v>
      </c>
      <c r="L254" t="n">
        <v>0</v>
      </c>
      <c r="M254" t="n">
        <v>0</v>
      </c>
      <c r="N254" t="n">
        <v>0</v>
      </c>
      <c r="O254" t="n">
        <v>1</v>
      </c>
      <c r="P254" t="n">
        <v>1</v>
      </c>
      <c r="Q254" t="n">
        <v>1</v>
      </c>
      <c r="R254" s="2" t="inlineStr">
        <is>
          <t>Granrotsspindling</t>
        </is>
      </c>
      <c r="S254">
        <f>HYPERLINK("https://klasma.github.io/Logging_0980/artfynd/A 53907-2023 artfynd.xlsx", "A 53907-2023")</f>
        <v/>
      </c>
      <c r="T254">
        <f>HYPERLINK("https://klasma.github.io/Logging_0980/kartor/A 53907-2023 karta.png", "A 53907-2023")</f>
        <v/>
      </c>
      <c r="V254">
        <f>HYPERLINK("https://klasma.github.io/Logging_0980/klagomål/A 53907-2023 FSC-klagomål.docx", "A 53907-2023")</f>
        <v/>
      </c>
      <c r="W254">
        <f>HYPERLINK("https://klasma.github.io/Logging_0980/klagomålsmail/A 53907-2023 FSC-klagomål mail.docx", "A 53907-2023")</f>
        <v/>
      </c>
      <c r="X254">
        <f>HYPERLINK("https://klasma.github.io/Logging_0980/tillsyn/A 53907-2023 tillsynsbegäran.docx", "A 53907-2023")</f>
        <v/>
      </c>
      <c r="Y254">
        <f>HYPERLINK("https://klasma.github.io/Logging_0980/tillsynsmail/A 53907-2023 tillsynsbegäran mail.docx", "A 53907-2023")</f>
        <v/>
      </c>
    </row>
    <row r="255" ht="15" customHeight="1">
      <c r="A255" t="inlineStr">
        <is>
          <t>A 56304-2023</t>
        </is>
      </c>
      <c r="B255" s="1" t="n">
        <v>45242</v>
      </c>
      <c r="C255" s="1" t="n">
        <v>45829</v>
      </c>
      <c r="D255" t="inlineStr">
        <is>
          <t>GOTLANDS LÄN</t>
        </is>
      </c>
      <c r="E255" t="inlineStr">
        <is>
          <t>GOTLAND</t>
        </is>
      </c>
      <c r="G255" t="n">
        <v>0.9</v>
      </c>
      <c r="H255" t="n">
        <v>1</v>
      </c>
      <c r="I255" t="n">
        <v>0</v>
      </c>
      <c r="J255" t="n">
        <v>0</v>
      </c>
      <c r="K255" t="n">
        <v>1</v>
      </c>
      <c r="L255" t="n">
        <v>0</v>
      </c>
      <c r="M255" t="n">
        <v>0</v>
      </c>
      <c r="N255" t="n">
        <v>0</v>
      </c>
      <c r="O255" t="n">
        <v>1</v>
      </c>
      <c r="P255" t="n">
        <v>1</v>
      </c>
      <c r="Q255" t="n">
        <v>1</v>
      </c>
      <c r="R255" s="2" t="inlineStr">
        <is>
          <t>Garderönn</t>
        </is>
      </c>
      <c r="S255">
        <f>HYPERLINK("https://klasma.github.io/Logging_0980/artfynd/A 56304-2023 artfynd.xlsx", "A 56304-2023")</f>
        <v/>
      </c>
      <c r="T255">
        <f>HYPERLINK("https://klasma.github.io/Logging_0980/kartor/A 56304-2023 karta.png", "A 56304-2023")</f>
        <v/>
      </c>
      <c r="V255">
        <f>HYPERLINK("https://klasma.github.io/Logging_0980/klagomål/A 56304-2023 FSC-klagomål.docx", "A 56304-2023")</f>
        <v/>
      </c>
      <c r="W255">
        <f>HYPERLINK("https://klasma.github.io/Logging_0980/klagomålsmail/A 56304-2023 FSC-klagomål mail.docx", "A 56304-2023")</f>
        <v/>
      </c>
      <c r="X255">
        <f>HYPERLINK("https://klasma.github.io/Logging_0980/tillsyn/A 56304-2023 tillsynsbegäran.docx", "A 56304-2023")</f>
        <v/>
      </c>
      <c r="Y255">
        <f>HYPERLINK("https://klasma.github.io/Logging_0980/tillsynsmail/A 56304-2023 tillsynsbegäran mail.docx", "A 56304-2023")</f>
        <v/>
      </c>
    </row>
    <row r="256" ht="15" customHeight="1">
      <c r="A256" t="inlineStr">
        <is>
          <t>A 61561-2023</t>
        </is>
      </c>
      <c r="B256" s="1" t="n">
        <v>45265</v>
      </c>
      <c r="C256" s="1" t="n">
        <v>45829</v>
      </c>
      <c r="D256" t="inlineStr">
        <is>
          <t>GOTLANDS LÄN</t>
        </is>
      </c>
      <c r="E256" t="inlineStr">
        <is>
          <t>GOTLAND</t>
        </is>
      </c>
      <c r="G256" t="n">
        <v>7.4</v>
      </c>
      <c r="H256" t="n">
        <v>0</v>
      </c>
      <c r="I256" t="n">
        <v>0</v>
      </c>
      <c r="J256" t="n">
        <v>1</v>
      </c>
      <c r="K256" t="n">
        <v>0</v>
      </c>
      <c r="L256" t="n">
        <v>0</v>
      </c>
      <c r="M256" t="n">
        <v>0</v>
      </c>
      <c r="N256" t="n">
        <v>0</v>
      </c>
      <c r="O256" t="n">
        <v>1</v>
      </c>
      <c r="P256" t="n">
        <v>0</v>
      </c>
      <c r="Q256" t="n">
        <v>1</v>
      </c>
      <c r="R256" s="2" t="inlineStr">
        <is>
          <t>Loppstarr</t>
        </is>
      </c>
      <c r="S256">
        <f>HYPERLINK("https://klasma.github.io/Logging_0980/artfynd/A 61561-2023 artfynd.xlsx", "A 61561-2023")</f>
        <v/>
      </c>
      <c r="T256">
        <f>HYPERLINK("https://klasma.github.io/Logging_0980/kartor/A 61561-2023 karta.png", "A 61561-2023")</f>
        <v/>
      </c>
      <c r="V256">
        <f>HYPERLINK("https://klasma.github.io/Logging_0980/klagomål/A 61561-2023 FSC-klagomål.docx", "A 61561-2023")</f>
        <v/>
      </c>
      <c r="W256">
        <f>HYPERLINK("https://klasma.github.io/Logging_0980/klagomålsmail/A 61561-2023 FSC-klagomål mail.docx", "A 61561-2023")</f>
        <v/>
      </c>
      <c r="X256">
        <f>HYPERLINK("https://klasma.github.io/Logging_0980/tillsyn/A 61561-2023 tillsynsbegäran.docx", "A 61561-2023")</f>
        <v/>
      </c>
      <c r="Y256">
        <f>HYPERLINK("https://klasma.github.io/Logging_0980/tillsynsmail/A 61561-2023 tillsynsbegäran mail.docx", "A 61561-2023")</f>
        <v/>
      </c>
    </row>
    <row r="257" ht="15" customHeight="1">
      <c r="A257" t="inlineStr">
        <is>
          <t>A 61846-2023</t>
        </is>
      </c>
      <c r="B257" s="1" t="n">
        <v>45266</v>
      </c>
      <c r="C257" s="1" t="n">
        <v>45829</v>
      </c>
      <c r="D257" t="inlineStr">
        <is>
          <t>GOTLANDS LÄN</t>
        </is>
      </c>
      <c r="E257" t="inlineStr">
        <is>
          <t>GOTLAND</t>
        </is>
      </c>
      <c r="G257" t="n">
        <v>2.2</v>
      </c>
      <c r="H257" t="n">
        <v>1</v>
      </c>
      <c r="I257" t="n">
        <v>0</v>
      </c>
      <c r="J257" t="n">
        <v>1</v>
      </c>
      <c r="K257" t="n">
        <v>0</v>
      </c>
      <c r="L257" t="n">
        <v>0</v>
      </c>
      <c r="M257" t="n">
        <v>0</v>
      </c>
      <c r="N257" t="n">
        <v>0</v>
      </c>
      <c r="O257" t="n">
        <v>1</v>
      </c>
      <c r="P257" t="n">
        <v>0</v>
      </c>
      <c r="Q257" t="n">
        <v>1</v>
      </c>
      <c r="R257" s="2" t="inlineStr">
        <is>
          <t>Rosenfink</t>
        </is>
      </c>
      <c r="S257">
        <f>HYPERLINK("https://klasma.github.io/Logging_0980/artfynd/A 61846-2023 artfynd.xlsx", "A 61846-2023")</f>
        <v/>
      </c>
      <c r="T257">
        <f>HYPERLINK("https://klasma.github.io/Logging_0980/kartor/A 61846-2023 karta.png", "A 61846-2023")</f>
        <v/>
      </c>
      <c r="V257">
        <f>HYPERLINK("https://klasma.github.io/Logging_0980/klagomål/A 61846-2023 FSC-klagomål.docx", "A 61846-2023")</f>
        <v/>
      </c>
      <c r="W257">
        <f>HYPERLINK("https://klasma.github.io/Logging_0980/klagomålsmail/A 61846-2023 FSC-klagomål mail.docx", "A 61846-2023")</f>
        <v/>
      </c>
      <c r="X257">
        <f>HYPERLINK("https://klasma.github.io/Logging_0980/tillsyn/A 61846-2023 tillsynsbegäran.docx", "A 61846-2023")</f>
        <v/>
      </c>
      <c r="Y257">
        <f>HYPERLINK("https://klasma.github.io/Logging_0980/tillsynsmail/A 61846-2023 tillsynsbegäran mail.docx", "A 61846-2023")</f>
        <v/>
      </c>
      <c r="Z257">
        <f>HYPERLINK("https://klasma.github.io/Logging_0980/fåglar/A 61846-2023 prioriterade fågelarter.docx", "A 61846-2023")</f>
        <v/>
      </c>
    </row>
    <row r="258" ht="15" customHeight="1">
      <c r="A258" t="inlineStr">
        <is>
          <t>A 61994-2023</t>
        </is>
      </c>
      <c r="B258" s="1" t="n">
        <v>45266</v>
      </c>
      <c r="C258" s="1" t="n">
        <v>45829</v>
      </c>
      <c r="D258" t="inlineStr">
        <is>
          <t>GOTLANDS LÄN</t>
        </is>
      </c>
      <c r="E258" t="inlineStr">
        <is>
          <t>GOTLAND</t>
        </is>
      </c>
      <c r="G258" t="n">
        <v>2.9</v>
      </c>
      <c r="H258" t="n">
        <v>1</v>
      </c>
      <c r="I258" t="n">
        <v>0</v>
      </c>
      <c r="J258" t="n">
        <v>0</v>
      </c>
      <c r="K258" t="n">
        <v>0</v>
      </c>
      <c r="L258" t="n">
        <v>0</v>
      </c>
      <c r="M258" t="n">
        <v>0</v>
      </c>
      <c r="N258" t="n">
        <v>0</v>
      </c>
      <c r="O258" t="n">
        <v>0</v>
      </c>
      <c r="P258" t="n">
        <v>0</v>
      </c>
      <c r="Q258" t="n">
        <v>1</v>
      </c>
      <c r="R258" s="2" t="inlineStr">
        <is>
          <t>Revlummer</t>
        </is>
      </c>
      <c r="S258">
        <f>HYPERLINK("https://klasma.github.io/Logging_0980/artfynd/A 61994-2023 artfynd.xlsx", "A 61994-2023")</f>
        <v/>
      </c>
      <c r="T258">
        <f>HYPERLINK("https://klasma.github.io/Logging_0980/kartor/A 61994-2023 karta.png", "A 61994-2023")</f>
        <v/>
      </c>
      <c r="V258">
        <f>HYPERLINK("https://klasma.github.io/Logging_0980/klagomål/A 61994-2023 FSC-klagomål.docx", "A 61994-2023")</f>
        <v/>
      </c>
      <c r="W258">
        <f>HYPERLINK("https://klasma.github.io/Logging_0980/klagomålsmail/A 61994-2023 FSC-klagomål mail.docx", "A 61994-2023")</f>
        <v/>
      </c>
      <c r="X258">
        <f>HYPERLINK("https://klasma.github.io/Logging_0980/tillsyn/A 61994-2023 tillsynsbegäran.docx", "A 61994-2023")</f>
        <v/>
      </c>
      <c r="Y258">
        <f>HYPERLINK("https://klasma.github.io/Logging_0980/tillsynsmail/A 61994-2023 tillsynsbegäran mail.docx", "A 61994-2023")</f>
        <v/>
      </c>
    </row>
    <row r="259" ht="15" customHeight="1">
      <c r="A259" t="inlineStr">
        <is>
          <t>A 62376-2023</t>
        </is>
      </c>
      <c r="B259" s="1" t="n">
        <v>45268</v>
      </c>
      <c r="C259" s="1" t="n">
        <v>45829</v>
      </c>
      <c r="D259" t="inlineStr">
        <is>
          <t>GOTLANDS LÄN</t>
        </is>
      </c>
      <c r="E259" t="inlineStr">
        <is>
          <t>GOTLAND</t>
        </is>
      </c>
      <c r="G259" t="n">
        <v>4.2</v>
      </c>
      <c r="H259" t="n">
        <v>1</v>
      </c>
      <c r="I259" t="n">
        <v>0</v>
      </c>
      <c r="J259" t="n">
        <v>0</v>
      </c>
      <c r="K259" t="n">
        <v>0</v>
      </c>
      <c r="L259" t="n">
        <v>0</v>
      </c>
      <c r="M259" t="n">
        <v>0</v>
      </c>
      <c r="N259" t="n">
        <v>0</v>
      </c>
      <c r="O259" t="n">
        <v>0</v>
      </c>
      <c r="P259" t="n">
        <v>0</v>
      </c>
      <c r="Q259" t="n">
        <v>1</v>
      </c>
      <c r="R259" s="2" t="inlineStr">
        <is>
          <t>Fläcknycklar</t>
        </is>
      </c>
      <c r="S259">
        <f>HYPERLINK("https://klasma.github.io/Logging_0980/artfynd/A 62376-2023 artfynd.xlsx", "A 62376-2023")</f>
        <v/>
      </c>
      <c r="T259">
        <f>HYPERLINK("https://klasma.github.io/Logging_0980/kartor/A 62376-2023 karta.png", "A 62376-2023")</f>
        <v/>
      </c>
      <c r="V259">
        <f>HYPERLINK("https://klasma.github.io/Logging_0980/klagomål/A 62376-2023 FSC-klagomål.docx", "A 62376-2023")</f>
        <v/>
      </c>
      <c r="W259">
        <f>HYPERLINK("https://klasma.github.io/Logging_0980/klagomålsmail/A 62376-2023 FSC-klagomål mail.docx", "A 62376-2023")</f>
        <v/>
      </c>
      <c r="X259">
        <f>HYPERLINK("https://klasma.github.io/Logging_0980/tillsyn/A 62376-2023 tillsynsbegäran.docx", "A 62376-2023")</f>
        <v/>
      </c>
      <c r="Y259">
        <f>HYPERLINK("https://klasma.github.io/Logging_0980/tillsynsmail/A 62376-2023 tillsynsbegäran mail.docx", "A 62376-2023")</f>
        <v/>
      </c>
    </row>
    <row r="260" ht="15" customHeight="1">
      <c r="A260" t="inlineStr">
        <is>
          <t>A 63515-2023</t>
        </is>
      </c>
      <c r="B260" s="1" t="n">
        <v>45274</v>
      </c>
      <c r="C260" s="1" t="n">
        <v>45829</v>
      </c>
      <c r="D260" t="inlineStr">
        <is>
          <t>GOTLANDS LÄN</t>
        </is>
      </c>
      <c r="E260" t="inlineStr">
        <is>
          <t>GOTLAND</t>
        </is>
      </c>
      <c r="G260" t="n">
        <v>2.1</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63515-2023 artfynd.xlsx", "A 63515-2023")</f>
        <v/>
      </c>
      <c r="T260">
        <f>HYPERLINK("https://klasma.github.io/Logging_0980/kartor/A 63515-2023 karta.png", "A 63515-2023")</f>
        <v/>
      </c>
      <c r="V260">
        <f>HYPERLINK("https://klasma.github.io/Logging_0980/klagomål/A 63515-2023 FSC-klagomål.docx", "A 63515-2023")</f>
        <v/>
      </c>
      <c r="W260">
        <f>HYPERLINK("https://klasma.github.io/Logging_0980/klagomålsmail/A 63515-2023 FSC-klagomål mail.docx", "A 63515-2023")</f>
        <v/>
      </c>
      <c r="X260">
        <f>HYPERLINK("https://klasma.github.io/Logging_0980/tillsyn/A 63515-2023 tillsynsbegäran.docx", "A 63515-2023")</f>
        <v/>
      </c>
      <c r="Y260">
        <f>HYPERLINK("https://klasma.github.io/Logging_0980/tillsynsmail/A 63515-2023 tillsynsbegäran mail.docx", "A 63515-2023")</f>
        <v/>
      </c>
    </row>
    <row r="261" ht="15" customHeight="1">
      <c r="A261" t="inlineStr">
        <is>
          <t>A 63302-2023</t>
        </is>
      </c>
      <c r="B261" s="1" t="n">
        <v>45274</v>
      </c>
      <c r="C261" s="1" t="n">
        <v>45829</v>
      </c>
      <c r="D261" t="inlineStr">
        <is>
          <t>GOTLANDS LÄN</t>
        </is>
      </c>
      <c r="E261" t="inlineStr">
        <is>
          <t>GOTLAND</t>
        </is>
      </c>
      <c r="G261" t="n">
        <v>1.3</v>
      </c>
      <c r="H261" t="n">
        <v>1</v>
      </c>
      <c r="I261" t="n">
        <v>0</v>
      </c>
      <c r="J261" t="n">
        <v>0</v>
      </c>
      <c r="K261" t="n">
        <v>0</v>
      </c>
      <c r="L261" t="n">
        <v>0</v>
      </c>
      <c r="M261" t="n">
        <v>0</v>
      </c>
      <c r="N261" t="n">
        <v>0</v>
      </c>
      <c r="O261" t="n">
        <v>0</v>
      </c>
      <c r="P261" t="n">
        <v>0</v>
      </c>
      <c r="Q261" t="n">
        <v>1</v>
      </c>
      <c r="R261" s="2" t="inlineStr">
        <is>
          <t>Nattskärra</t>
        </is>
      </c>
      <c r="S261">
        <f>HYPERLINK("https://klasma.github.io/Logging_0980/artfynd/A 63302-2023 artfynd.xlsx", "A 63302-2023")</f>
        <v/>
      </c>
      <c r="T261">
        <f>HYPERLINK("https://klasma.github.io/Logging_0980/kartor/A 63302-2023 karta.png", "A 63302-2023")</f>
        <v/>
      </c>
      <c r="V261">
        <f>HYPERLINK("https://klasma.github.io/Logging_0980/klagomål/A 63302-2023 FSC-klagomål.docx", "A 63302-2023")</f>
        <v/>
      </c>
      <c r="W261">
        <f>HYPERLINK("https://klasma.github.io/Logging_0980/klagomålsmail/A 63302-2023 FSC-klagomål mail.docx", "A 63302-2023")</f>
        <v/>
      </c>
      <c r="X261">
        <f>HYPERLINK("https://klasma.github.io/Logging_0980/tillsyn/A 63302-2023 tillsynsbegäran.docx", "A 63302-2023")</f>
        <v/>
      </c>
      <c r="Y261">
        <f>HYPERLINK("https://klasma.github.io/Logging_0980/tillsynsmail/A 63302-2023 tillsynsbegäran mail.docx", "A 63302-2023")</f>
        <v/>
      </c>
      <c r="Z261">
        <f>HYPERLINK("https://klasma.github.io/Logging_0980/fåglar/A 63302-2023 prioriterade fågelarter.docx", "A 63302-2023")</f>
        <v/>
      </c>
    </row>
    <row r="262" ht="15" customHeight="1">
      <c r="A262" t="inlineStr">
        <is>
          <t>A 2534-2024</t>
        </is>
      </c>
      <c r="B262" s="1" t="n">
        <v>45313</v>
      </c>
      <c r="C262" s="1" t="n">
        <v>45829</v>
      </c>
      <c r="D262" t="inlineStr">
        <is>
          <t>GOTLANDS LÄN</t>
        </is>
      </c>
      <c r="E262" t="inlineStr">
        <is>
          <t>GOTLAND</t>
        </is>
      </c>
      <c r="G262" t="n">
        <v>1</v>
      </c>
      <c r="H262" t="n">
        <v>0</v>
      </c>
      <c r="I262" t="n">
        <v>0</v>
      </c>
      <c r="J262" t="n">
        <v>0</v>
      </c>
      <c r="K262" t="n">
        <v>0</v>
      </c>
      <c r="L262" t="n">
        <v>1</v>
      </c>
      <c r="M262" t="n">
        <v>0</v>
      </c>
      <c r="N262" t="n">
        <v>0</v>
      </c>
      <c r="O262" t="n">
        <v>1</v>
      </c>
      <c r="P262" t="n">
        <v>1</v>
      </c>
      <c r="Q262" t="n">
        <v>1</v>
      </c>
      <c r="R262" s="2" t="inlineStr">
        <is>
          <t>Ryl</t>
        </is>
      </c>
      <c r="S262">
        <f>HYPERLINK("https://klasma.github.io/Logging_0980/artfynd/A 2534-2024 artfynd.xlsx", "A 2534-2024")</f>
        <v/>
      </c>
      <c r="T262">
        <f>HYPERLINK("https://klasma.github.io/Logging_0980/kartor/A 2534-2024 karta.png", "A 2534-2024")</f>
        <v/>
      </c>
      <c r="V262">
        <f>HYPERLINK("https://klasma.github.io/Logging_0980/klagomål/A 2534-2024 FSC-klagomål.docx", "A 2534-2024")</f>
        <v/>
      </c>
      <c r="W262">
        <f>HYPERLINK("https://klasma.github.io/Logging_0980/klagomålsmail/A 2534-2024 FSC-klagomål mail.docx", "A 2534-2024")</f>
        <v/>
      </c>
      <c r="X262">
        <f>HYPERLINK("https://klasma.github.io/Logging_0980/tillsyn/A 2534-2024 tillsynsbegäran.docx", "A 2534-2024")</f>
        <v/>
      </c>
      <c r="Y262">
        <f>HYPERLINK("https://klasma.github.io/Logging_0980/tillsynsmail/A 2534-2024 tillsynsbegäran mail.docx", "A 2534-2024")</f>
        <v/>
      </c>
    </row>
    <row r="263" ht="15" customHeight="1">
      <c r="A263" t="inlineStr">
        <is>
          <t>A 6303-2024</t>
        </is>
      </c>
      <c r="B263" s="1" t="n">
        <v>45338</v>
      </c>
      <c r="C263" s="1" t="n">
        <v>45829</v>
      </c>
      <c r="D263" t="inlineStr">
        <is>
          <t>GOTLANDS LÄN</t>
        </is>
      </c>
      <c r="E263" t="inlineStr">
        <is>
          <t>GOTLAND</t>
        </is>
      </c>
      <c r="G263" t="n">
        <v>0.6</v>
      </c>
      <c r="H263" t="n">
        <v>0</v>
      </c>
      <c r="I263" t="n">
        <v>1</v>
      </c>
      <c r="J263" t="n">
        <v>0</v>
      </c>
      <c r="K263" t="n">
        <v>0</v>
      </c>
      <c r="L263" t="n">
        <v>0</v>
      </c>
      <c r="M263" t="n">
        <v>0</v>
      </c>
      <c r="N263" t="n">
        <v>0</v>
      </c>
      <c r="O263" t="n">
        <v>0</v>
      </c>
      <c r="P263" t="n">
        <v>0</v>
      </c>
      <c r="Q263" t="n">
        <v>1</v>
      </c>
      <c r="R263" s="2" t="inlineStr">
        <is>
          <t>Strävlosta</t>
        </is>
      </c>
      <c r="S263">
        <f>HYPERLINK("https://klasma.github.io/Logging_0980/artfynd/A 6303-2024 artfynd.xlsx", "A 6303-2024")</f>
        <v/>
      </c>
      <c r="T263">
        <f>HYPERLINK("https://klasma.github.io/Logging_0980/kartor/A 6303-2024 karta.png", "A 6303-2024")</f>
        <v/>
      </c>
      <c r="V263">
        <f>HYPERLINK("https://klasma.github.io/Logging_0980/klagomål/A 6303-2024 FSC-klagomål.docx", "A 6303-2024")</f>
        <v/>
      </c>
      <c r="W263">
        <f>HYPERLINK("https://klasma.github.io/Logging_0980/klagomålsmail/A 6303-2024 FSC-klagomål mail.docx", "A 6303-2024")</f>
        <v/>
      </c>
      <c r="X263">
        <f>HYPERLINK("https://klasma.github.io/Logging_0980/tillsyn/A 6303-2024 tillsynsbegäran.docx", "A 6303-2024")</f>
        <v/>
      </c>
      <c r="Y263">
        <f>HYPERLINK("https://klasma.github.io/Logging_0980/tillsynsmail/A 6303-2024 tillsynsbegäran mail.docx", "A 6303-2024")</f>
        <v/>
      </c>
    </row>
    <row r="264" ht="15" customHeight="1">
      <c r="A264" t="inlineStr">
        <is>
          <t>A 8291-2024</t>
        </is>
      </c>
      <c r="B264" s="1" t="n">
        <v>45352</v>
      </c>
      <c r="C264" s="1" t="n">
        <v>45829</v>
      </c>
      <c r="D264" t="inlineStr">
        <is>
          <t>GOTLANDS LÄN</t>
        </is>
      </c>
      <c r="E264" t="inlineStr">
        <is>
          <t>GOTLAND</t>
        </is>
      </c>
      <c r="G264" t="n">
        <v>5.4</v>
      </c>
      <c r="H264" t="n">
        <v>1</v>
      </c>
      <c r="I264" t="n">
        <v>0</v>
      </c>
      <c r="J264" t="n">
        <v>1</v>
      </c>
      <c r="K264" t="n">
        <v>0</v>
      </c>
      <c r="L264" t="n">
        <v>0</v>
      </c>
      <c r="M264" t="n">
        <v>0</v>
      </c>
      <c r="N264" t="n">
        <v>0</v>
      </c>
      <c r="O264" t="n">
        <v>1</v>
      </c>
      <c r="P264" t="n">
        <v>0</v>
      </c>
      <c r="Q264" t="n">
        <v>1</v>
      </c>
      <c r="R264" s="2" t="inlineStr">
        <is>
          <t>Ärtsångare</t>
        </is>
      </c>
      <c r="S264">
        <f>HYPERLINK("https://klasma.github.io/Logging_0980/artfynd/A 8291-2024 artfynd.xlsx", "A 8291-2024")</f>
        <v/>
      </c>
      <c r="T264">
        <f>HYPERLINK("https://klasma.github.io/Logging_0980/kartor/A 8291-2024 karta.png", "A 8291-2024")</f>
        <v/>
      </c>
      <c r="V264">
        <f>HYPERLINK("https://klasma.github.io/Logging_0980/klagomål/A 8291-2024 FSC-klagomål.docx", "A 8291-2024")</f>
        <v/>
      </c>
      <c r="W264">
        <f>HYPERLINK("https://klasma.github.io/Logging_0980/klagomålsmail/A 8291-2024 FSC-klagomål mail.docx", "A 8291-2024")</f>
        <v/>
      </c>
      <c r="X264">
        <f>HYPERLINK("https://klasma.github.io/Logging_0980/tillsyn/A 8291-2024 tillsynsbegäran.docx", "A 8291-2024")</f>
        <v/>
      </c>
      <c r="Y264">
        <f>HYPERLINK("https://klasma.github.io/Logging_0980/tillsynsmail/A 8291-2024 tillsynsbegäran mail.docx", "A 8291-2024")</f>
        <v/>
      </c>
      <c r="Z264">
        <f>HYPERLINK("https://klasma.github.io/Logging_0980/fåglar/A 8291-2024 prioriterade fågelarter.docx", "A 8291-2024")</f>
        <v/>
      </c>
    </row>
    <row r="265" ht="15" customHeight="1">
      <c r="A265" t="inlineStr">
        <is>
          <t>A 9862-2024</t>
        </is>
      </c>
      <c r="B265" s="1" t="n">
        <v>45363</v>
      </c>
      <c r="C265" s="1" t="n">
        <v>45829</v>
      </c>
      <c r="D265" t="inlineStr">
        <is>
          <t>GOTLANDS LÄN</t>
        </is>
      </c>
      <c r="E265" t="inlineStr">
        <is>
          <t>GOTLAND</t>
        </is>
      </c>
      <c r="G265" t="n">
        <v>3.5</v>
      </c>
      <c r="H265" t="n">
        <v>1</v>
      </c>
      <c r="I265" t="n">
        <v>0</v>
      </c>
      <c r="J265" t="n">
        <v>0</v>
      </c>
      <c r="K265" t="n">
        <v>0</v>
      </c>
      <c r="L265" t="n">
        <v>0</v>
      </c>
      <c r="M265" t="n">
        <v>0</v>
      </c>
      <c r="N265" t="n">
        <v>0</v>
      </c>
      <c r="O265" t="n">
        <v>0</v>
      </c>
      <c r="P265" t="n">
        <v>0</v>
      </c>
      <c r="Q265" t="n">
        <v>1</v>
      </c>
      <c r="R265" s="2" t="inlineStr">
        <is>
          <t>Nattviol</t>
        </is>
      </c>
      <c r="S265">
        <f>HYPERLINK("https://klasma.github.io/Logging_0980/artfynd/A 9862-2024 artfynd.xlsx", "A 9862-2024")</f>
        <v/>
      </c>
      <c r="T265">
        <f>HYPERLINK("https://klasma.github.io/Logging_0980/kartor/A 9862-2024 karta.png", "A 9862-2024")</f>
        <v/>
      </c>
      <c r="V265">
        <f>HYPERLINK("https://klasma.github.io/Logging_0980/klagomål/A 9862-2024 FSC-klagomål.docx", "A 9862-2024")</f>
        <v/>
      </c>
      <c r="W265">
        <f>HYPERLINK("https://klasma.github.io/Logging_0980/klagomålsmail/A 9862-2024 FSC-klagomål mail.docx", "A 9862-2024")</f>
        <v/>
      </c>
      <c r="X265">
        <f>HYPERLINK("https://klasma.github.io/Logging_0980/tillsyn/A 9862-2024 tillsynsbegäran.docx", "A 9862-2024")</f>
        <v/>
      </c>
      <c r="Y265">
        <f>HYPERLINK("https://klasma.github.io/Logging_0980/tillsynsmail/A 9862-2024 tillsynsbegäran mail.docx", "A 9862-2024")</f>
        <v/>
      </c>
    </row>
    <row r="266" ht="15" customHeight="1">
      <c r="A266" t="inlineStr">
        <is>
          <t>A 10440-2024</t>
        </is>
      </c>
      <c r="B266" s="1" t="n">
        <v>45366</v>
      </c>
      <c r="C266" s="1" t="n">
        <v>45829</v>
      </c>
      <c r="D266" t="inlineStr">
        <is>
          <t>GOTLANDS LÄN</t>
        </is>
      </c>
      <c r="E266" t="inlineStr">
        <is>
          <t>GOTLAND</t>
        </is>
      </c>
      <c r="G266" t="n">
        <v>2.5</v>
      </c>
      <c r="H266" t="n">
        <v>1</v>
      </c>
      <c r="I266" t="n">
        <v>0</v>
      </c>
      <c r="J266" t="n">
        <v>1</v>
      </c>
      <c r="K266" t="n">
        <v>0</v>
      </c>
      <c r="L266" t="n">
        <v>0</v>
      </c>
      <c r="M266" t="n">
        <v>0</v>
      </c>
      <c r="N266" t="n">
        <v>0</v>
      </c>
      <c r="O266" t="n">
        <v>1</v>
      </c>
      <c r="P266" t="n">
        <v>0</v>
      </c>
      <c r="Q266" t="n">
        <v>1</v>
      </c>
      <c r="R266" s="2" t="inlineStr">
        <is>
          <t>Mindre hackspett</t>
        </is>
      </c>
      <c r="S266">
        <f>HYPERLINK("https://klasma.github.io/Logging_0980/artfynd/A 10440-2024 artfynd.xlsx", "A 10440-2024")</f>
        <v/>
      </c>
      <c r="T266">
        <f>HYPERLINK("https://klasma.github.io/Logging_0980/kartor/A 10440-2024 karta.png", "A 10440-2024")</f>
        <v/>
      </c>
      <c r="V266">
        <f>HYPERLINK("https://klasma.github.io/Logging_0980/klagomål/A 10440-2024 FSC-klagomål.docx", "A 10440-2024")</f>
        <v/>
      </c>
      <c r="W266">
        <f>HYPERLINK("https://klasma.github.io/Logging_0980/klagomålsmail/A 10440-2024 FSC-klagomål mail.docx", "A 10440-2024")</f>
        <v/>
      </c>
      <c r="X266">
        <f>HYPERLINK("https://klasma.github.io/Logging_0980/tillsyn/A 10440-2024 tillsynsbegäran.docx", "A 10440-2024")</f>
        <v/>
      </c>
      <c r="Y266">
        <f>HYPERLINK("https://klasma.github.io/Logging_0980/tillsynsmail/A 10440-2024 tillsynsbegäran mail.docx", "A 10440-2024")</f>
        <v/>
      </c>
      <c r="Z266">
        <f>HYPERLINK("https://klasma.github.io/Logging_0980/fåglar/A 10440-2024 prioriterade fågelarter.docx", "A 10440-2024")</f>
        <v/>
      </c>
    </row>
    <row r="267" ht="15" customHeight="1">
      <c r="A267" t="inlineStr">
        <is>
          <t>A 12379-2024</t>
        </is>
      </c>
      <c r="B267" s="1" t="n">
        <v>45379</v>
      </c>
      <c r="C267" s="1" t="n">
        <v>45829</v>
      </c>
      <c r="D267" t="inlineStr">
        <is>
          <t>GOTLANDS LÄN</t>
        </is>
      </c>
      <c r="E267" t="inlineStr">
        <is>
          <t>GOTLAND</t>
        </is>
      </c>
      <c r="G267" t="n">
        <v>4.4</v>
      </c>
      <c r="H267" t="n">
        <v>0</v>
      </c>
      <c r="I267" t="n">
        <v>0</v>
      </c>
      <c r="J267" t="n">
        <v>1</v>
      </c>
      <c r="K267" t="n">
        <v>0</v>
      </c>
      <c r="L267" t="n">
        <v>0</v>
      </c>
      <c r="M267" t="n">
        <v>0</v>
      </c>
      <c r="N267" t="n">
        <v>0</v>
      </c>
      <c r="O267" t="n">
        <v>1</v>
      </c>
      <c r="P267" t="n">
        <v>0</v>
      </c>
      <c r="Q267" t="n">
        <v>1</v>
      </c>
      <c r="R267" s="2" t="inlineStr">
        <is>
          <t>Svinrot</t>
        </is>
      </c>
      <c r="S267">
        <f>HYPERLINK("https://klasma.github.io/Logging_0980/artfynd/A 12379-2024 artfynd.xlsx", "A 12379-2024")</f>
        <v/>
      </c>
      <c r="T267">
        <f>HYPERLINK("https://klasma.github.io/Logging_0980/kartor/A 12379-2024 karta.png", "A 12379-2024")</f>
        <v/>
      </c>
      <c r="V267">
        <f>HYPERLINK("https://klasma.github.io/Logging_0980/klagomål/A 12379-2024 FSC-klagomål.docx", "A 12379-2024")</f>
        <v/>
      </c>
      <c r="W267">
        <f>HYPERLINK("https://klasma.github.io/Logging_0980/klagomålsmail/A 12379-2024 FSC-klagomål mail.docx", "A 12379-2024")</f>
        <v/>
      </c>
      <c r="X267">
        <f>HYPERLINK("https://klasma.github.io/Logging_0980/tillsyn/A 12379-2024 tillsynsbegäran.docx", "A 12379-2024")</f>
        <v/>
      </c>
      <c r="Y267">
        <f>HYPERLINK("https://klasma.github.io/Logging_0980/tillsynsmail/A 12379-2024 tillsynsbegäran mail.docx", "A 12379-2024")</f>
        <v/>
      </c>
    </row>
    <row r="268" ht="15" customHeight="1">
      <c r="A268" t="inlineStr">
        <is>
          <t>A 15637-2024</t>
        </is>
      </c>
      <c r="B268" s="1" t="n">
        <v>45403</v>
      </c>
      <c r="C268" s="1" t="n">
        <v>45829</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45829</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45829</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45829</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45829</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45829</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45829</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45829</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45829</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45829</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45829</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45829</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45829</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45829</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45829</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45829</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45829</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45829</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45829</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45829</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45829</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45829</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45829</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45829</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45829</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45829</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45829</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45829</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45829</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45829</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45829</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45829</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45829</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45829</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45829</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45829</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45829</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45829</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45829</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45829</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45829</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45829</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45829</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45829</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45829</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45829</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45829</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45829</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45829</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45829</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45829</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45829</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45829</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45829</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45829</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45829</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45829</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45829</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45829</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45829</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45829</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45829</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45829</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45829</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45829</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45829</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45829</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45829</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45829</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45829</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45829</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45829</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45829</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45829</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45829</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45829</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45829</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45829</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45829</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45829</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45829</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45829</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45829</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45829</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45829</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45829</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45829</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45829</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45829</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45829</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45829</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45829</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45829</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45829</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45829</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45829</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45829</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45829</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45829</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45829</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45829</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45829</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45829</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45829</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45829</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45829</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45829</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45829</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45829</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45829</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45829</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45829</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45829</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45829</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45829</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45829</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45829</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45829</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45829</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45829</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45829</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45829</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45829</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45829</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45829</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45829</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45829</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45829</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45829</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45829</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45829</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45829</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45829</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45829</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45829</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45829</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45829</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45829</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45829</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45829</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45829</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45829</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45829</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45829</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45829</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45829</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45829</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45829</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45829</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45829</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45829</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45829</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45829</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45829</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45829</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45829</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45829</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45829</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45829</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45829</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45829</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45829</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45829</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45829</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45829</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45829</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45829</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45829</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45829</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45829</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45829</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45829</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45829</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45829</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45829</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45829</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45829</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45829</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45829</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45829</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45829</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45829</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45829</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45829</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45829</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45829</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45829</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45829</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45829</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45829</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45829</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45829</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45829</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45829</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45829</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45829</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45829</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45829</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45829</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45829</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45829</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45829</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45829</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45829</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45829</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45829</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45829</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45829</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45829</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45829</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45829</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45829</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45829</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45829</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45829</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45829</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45829</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45829</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45829</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45829</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45829</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45829</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45829</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45829</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45829</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45829</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45829</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45829</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45829</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45829</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45829</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45829</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45829</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45829</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45829</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45829</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45829</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45829</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45829</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45829</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45829</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45829</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45829</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45829</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45829</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45829</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45829</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45829</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45829</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45829</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45829</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45829</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45829</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45829</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45829</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45829</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45829</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45829</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45829</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45829</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45829</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45829</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45829</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45829</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45829</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45829</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45829</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45829</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45829</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45829</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45829</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45829</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45829</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45829</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45829</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45829</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45829</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45829</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45829</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45829</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45829</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45829</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45829</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45829</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45829</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45829</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45829</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45829</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45829</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45829</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45829</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45829</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45829</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45829</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45829</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45829</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45829</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45829</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45829</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45829</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45829</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45829</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45829</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45829</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45829</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45829</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45829</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45829</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45829</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45829</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45829</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45829</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45829</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45829</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45829</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45829</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45829</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45829</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45829</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45829</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45829</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45829</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45829</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45829</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45829</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45829</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45829</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45829</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45829</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45829</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45829</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45829</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45829</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45829</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45829</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45829</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45829</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45829</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45829</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45829</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45829</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45829</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45829</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45829</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45829</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45829</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45829</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45829</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45829</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45829</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45829</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45829</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45829</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45829</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45829</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45829</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45829</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45829</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45829</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45829</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45829</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45829</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45829</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45829</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45829</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45829</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45829</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45829</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45829</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45829</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45829</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45829</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45829</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45829</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45829</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45829</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45829</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45829</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45829</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45829</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45829</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45829</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45829</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45829</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45829</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45829</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45829</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45829</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45829</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45829</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45829</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45829</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45829</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45829</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45829</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45829</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45829</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45829</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45829</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45829</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45829</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45829</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45829</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45829</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45829</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45829</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45829</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45829</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45829</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45829</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45829</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45829</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45829</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45829</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45829</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45829</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45829</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45829</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45829</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45829</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45829</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45829</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45829</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45829</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45829</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45829</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45829</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45829</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45829</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45829</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45829</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45829</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45829</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45829</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45829</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45829</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45829</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45829</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45829</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45829</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45829</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45829</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45829</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45829</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45829</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45829</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45829</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45829</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45829</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45829</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45829</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45829</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45829</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45829</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45829</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45829</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45829</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45829</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45829</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45829</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45829</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45829</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45829</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45829</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45829</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45829</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45829</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45829</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45829</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45829</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45829</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45829</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45829</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45829</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45829</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45829</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45829</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45829</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45829</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45829</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45829</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45829</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45829</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45829</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45829</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45829</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45829</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45829</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45829</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45829</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45829</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45829</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45829</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45829</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45829</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45829</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45829</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45829</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45829</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45829</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45829</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45829</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45829</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45829</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45829</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45829</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45829</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45829</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45829</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45829</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45829</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45829</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45829</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45829</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45829</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45829</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45829</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45829</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45829</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45829</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45829</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45829</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45829</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45829</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45829</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45829</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45829</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45829</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45829</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45829</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45829</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45829</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45829</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45829</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45829</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45829</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45829</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45829</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45829</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45829</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45829</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45829</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45829</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45829</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45829</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45829</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45829</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45829</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45829</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45829</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45829</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45829</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45829</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45829</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45829</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45829</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45829</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45829</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45829</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45829</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45829</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45829</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45829</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45829</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45829</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45829</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45829</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45829</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45829</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45829</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45829</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45829</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45829</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45829</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45829</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45829</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45829</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45829</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45829</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45829</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45829</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45829</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45829</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45829</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45829</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45829</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45829</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45829</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45829</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45829</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45829</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45829</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45829</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45829</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45829</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45829</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45829</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45829</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45829</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45829</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45829</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45829</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45829</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45829</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45829</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45829</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45829</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45829</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45829</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45829</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45829</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45829</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45829</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45829</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45829</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45829</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45829</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45829</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45829</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45829</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45829</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45829</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45829</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45829</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45829</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45829</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45829</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45829</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45829</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45829</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45829</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45829</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45829</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45829</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45829</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45829</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45829</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45829</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45829</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45829</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45829</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45829</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45829</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45829</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45829</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45829</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45829</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45829</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45829</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45829</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45829</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45829</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45829</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45829</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45829</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45829</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45829</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45829</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45829</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45829</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45829</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45829</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45829</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45829</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45829</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45829</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45829</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45829</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45829</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45829</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45829</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45829</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45829</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45829</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45829</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45829</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45829</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45829</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45829</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45829</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45829</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45829</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45829</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45829</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45829</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45829</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45829</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45829</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45829</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45829</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45829</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45829</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45829</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45829</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45829</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45829</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45829</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45829</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45829</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45829</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45829</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45829</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45829</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45829</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45829</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45829</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45829</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45829</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45829</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45829</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45829</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45829</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45829</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45829</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45829</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45829</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45829</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45829</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45829</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45829</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45829</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45829</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45829</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45829</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45829</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45829</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45829</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45829</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45829</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45829</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45829</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45829</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45829</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45829</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45829</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45829</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45829</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45829</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45829</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45829</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45829</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45829</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45829</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45829</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45829</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45829</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45829</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45829</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45829</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45829</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45829</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45829</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45829</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45829</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45829</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45829</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45829</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45829</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45829</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45829</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45829</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45829</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45829</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45829</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45829</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45829</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45829</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45829</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45829</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45829</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45829</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45829</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45829</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45829</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45829</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45829</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45829</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45829</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45829</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45829</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45829</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45829</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45829</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45829</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45829</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45829</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45829</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45829</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45829</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45829</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45829</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45829</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45829</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45829</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45829</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45829</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45829</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45829</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45829</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45829</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45829</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45829</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45829</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45829</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45829</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45829</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45829</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45829</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45829</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45829</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45829</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45829</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45829</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45829</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45829</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45829</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45829</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45829</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45829</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45829</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45829</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45829</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45829</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45829</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45829</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45829</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45829</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45829</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45829</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45829</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45829</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45829</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45829</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45829</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45829</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45829</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45829</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45829</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45829</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45829</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26457-2025</t>
        </is>
      </c>
      <c r="B1141" s="1" t="n">
        <v>45807</v>
      </c>
      <c r="C1141" s="1" t="n">
        <v>45829</v>
      </c>
      <c r="D1141" t="inlineStr">
        <is>
          <t>GOTLANDS LÄN</t>
        </is>
      </c>
      <c r="E1141" t="inlineStr">
        <is>
          <t>GOTLAND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45829</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45829</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45829</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45829</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45829</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45829</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45829</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30061-2025</t>
        </is>
      </c>
      <c r="B1149" s="1" t="n">
        <v>45826</v>
      </c>
      <c r="C1149" s="1" t="n">
        <v>45829</v>
      </c>
      <c r="D1149" t="inlineStr">
        <is>
          <t>GOTLANDS LÄN</t>
        </is>
      </c>
      <c r="E1149" t="inlineStr">
        <is>
          <t>GOTLAND</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30104-2025</t>
        </is>
      </c>
      <c r="B1150" s="1" t="n">
        <v>45826</v>
      </c>
      <c r="C1150" s="1" t="n">
        <v>45829</v>
      </c>
      <c r="D1150" t="inlineStr">
        <is>
          <t>GOTLANDS LÄN</t>
        </is>
      </c>
      <c r="E1150" t="inlineStr">
        <is>
          <t>GOTLAND</t>
        </is>
      </c>
      <c r="G1150" t="n">
        <v>15.4</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45829</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45829</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c r="A1153" t="inlineStr">
        <is>
          <t>A 30236-2025</t>
        </is>
      </c>
      <c r="B1153" s="1" t="n">
        <v>45827</v>
      </c>
      <c r="C1153" s="1" t="n">
        <v>45829</v>
      </c>
      <c r="D1153" t="inlineStr">
        <is>
          <t>GOTLANDS LÄN</t>
        </is>
      </c>
      <c r="E1153" t="inlineStr">
        <is>
          <t>GOTLAND</t>
        </is>
      </c>
      <c r="G1153" t="n">
        <v>13.6</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2025-06-21T19:19:39Z</dcterms:created>
  <dcterms:modified xmlns:dcterms="http://purl.org/dc/terms/" xmlns:xsi="http://www.w3.org/2001/XMLSchema-instance" xsi:type="dcterms:W3CDTF">2025-06-21T19:19:41Z</dcterms:modified>
</cp:coreProperties>
</file>