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45638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45638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45638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45638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45638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45638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45638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45638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45638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45638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45638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45638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45638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45638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45638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45638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45638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45638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45638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45638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45638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45638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45638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45638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45638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45638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45638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45638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45638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45638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45638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45638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45638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45638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45638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45638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45638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45638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45638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45638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45638</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45638</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45638</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45638</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45638</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45638</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45638</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45638</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45638</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45638</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45638</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45638</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45638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45638</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45638</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45638</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45638</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45638</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45638</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45638</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45638</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45638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45638</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45638</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45638</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45638</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45638</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45638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45638</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45638</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45638</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45638</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45638</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45638</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45638</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45638</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45638</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45638</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45638</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45638</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45638</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45638</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45638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45638</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45638</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45638</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45638</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45638</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45638</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45638</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21537-2019</t>
        </is>
      </c>
      <c r="B95" s="1" t="n">
        <v>43580</v>
      </c>
      <c r="C95" s="1" t="n">
        <v>45638</v>
      </c>
      <c r="D95" t="inlineStr">
        <is>
          <t>GOTLANDS LÄN</t>
        </is>
      </c>
      <c r="E95" t="inlineStr">
        <is>
          <t>GOTLAND</t>
        </is>
      </c>
      <c r="G95" t="n">
        <v>5.3</v>
      </c>
      <c r="H95" t="n">
        <v>1</v>
      </c>
      <c r="I95" t="n">
        <v>4</v>
      </c>
      <c r="J95" t="n">
        <v>0</v>
      </c>
      <c r="K95" t="n">
        <v>0</v>
      </c>
      <c r="L95" t="n">
        <v>0</v>
      </c>
      <c r="M95" t="n">
        <v>0</v>
      </c>
      <c r="N95" t="n">
        <v>0</v>
      </c>
      <c r="O95" t="n">
        <v>0</v>
      </c>
      <c r="P95" t="n">
        <v>0</v>
      </c>
      <c r="Q95" t="n">
        <v>4</v>
      </c>
      <c r="R95" s="2" t="inlineStr">
        <is>
          <t>Blåmossa
Granbarkgnagare
Kattfotslav
Tvåblad</t>
        </is>
      </c>
      <c r="S95">
        <f>HYPERLINK("https://klasma.github.io/Logging_0980/artfynd/A 21537-2019 artfynd.xlsx", "A 21537-2019")</f>
        <v/>
      </c>
      <c r="T95">
        <f>HYPERLINK("https://klasma.github.io/Logging_0980/kartor/A 21537-2019 karta.png", "A 21537-2019")</f>
        <v/>
      </c>
      <c r="V95">
        <f>HYPERLINK("https://klasma.github.io/Logging_0980/klagomål/A 21537-2019 FSC-klagomål.docx", "A 21537-2019")</f>
        <v/>
      </c>
      <c r="W95">
        <f>HYPERLINK("https://klasma.github.io/Logging_0980/klagomålsmail/A 21537-2019 FSC-klagomål mail.docx", "A 21537-2019")</f>
        <v/>
      </c>
      <c r="X95">
        <f>HYPERLINK("https://klasma.github.io/Logging_0980/tillsyn/A 21537-2019 tillsynsbegäran.docx", "A 21537-2019")</f>
        <v/>
      </c>
      <c r="Y95">
        <f>HYPERLINK("https://klasma.github.io/Logging_0980/tillsynsmail/A 21537-2019 tillsynsbegäran mail.docx", "A 21537-2019")</f>
        <v/>
      </c>
    </row>
    <row r="96" ht="15" customHeight="1">
      <c r="A96" t="inlineStr">
        <is>
          <t>A 39839-2019</t>
        </is>
      </c>
      <c r="B96" s="1" t="n">
        <v>43689</v>
      </c>
      <c r="C96" s="1" t="n">
        <v>45638</v>
      </c>
      <c r="D96" t="inlineStr">
        <is>
          <t>GOTLANDS LÄN</t>
        </is>
      </c>
      <c r="E96" t="inlineStr">
        <is>
          <t>GOTLAND</t>
        </is>
      </c>
      <c r="G96" t="n">
        <v>18.9</v>
      </c>
      <c r="H96" t="n">
        <v>1</v>
      </c>
      <c r="I96" t="n">
        <v>1</v>
      </c>
      <c r="J96" t="n">
        <v>3</v>
      </c>
      <c r="K96" t="n">
        <v>0</v>
      </c>
      <c r="L96" t="n">
        <v>0</v>
      </c>
      <c r="M96" t="n">
        <v>0</v>
      </c>
      <c r="N96" t="n">
        <v>0</v>
      </c>
      <c r="O96" t="n">
        <v>3</v>
      </c>
      <c r="P96" t="n">
        <v>0</v>
      </c>
      <c r="Q96" t="n">
        <v>4</v>
      </c>
      <c r="R96" s="2" t="inlineStr">
        <is>
          <t>Apollofjäril
Hårig blombock
Sexfläckig bastardsvärmare
Åttafläckig praktbagge</t>
        </is>
      </c>
      <c r="S96">
        <f>HYPERLINK("https://klasma.github.io/Logging_0980/artfynd/A 39839-2019 artfynd.xlsx", "A 39839-2019")</f>
        <v/>
      </c>
      <c r="T96">
        <f>HYPERLINK("https://klasma.github.io/Logging_0980/kartor/A 39839-2019 karta.png", "A 39839-2019")</f>
        <v/>
      </c>
      <c r="V96">
        <f>HYPERLINK("https://klasma.github.io/Logging_0980/klagomål/A 39839-2019 FSC-klagomål.docx", "A 39839-2019")</f>
        <v/>
      </c>
      <c r="W96">
        <f>HYPERLINK("https://klasma.github.io/Logging_0980/klagomålsmail/A 39839-2019 FSC-klagomål mail.docx", "A 39839-2019")</f>
        <v/>
      </c>
      <c r="X96">
        <f>HYPERLINK("https://klasma.github.io/Logging_0980/tillsyn/A 39839-2019 tillsynsbegäran.docx", "A 39839-2019")</f>
        <v/>
      </c>
      <c r="Y96">
        <f>HYPERLINK("https://klasma.github.io/Logging_0980/tillsynsmail/A 39839-2019 tillsynsbegäran mail.docx", "A 39839-2019")</f>
        <v/>
      </c>
    </row>
    <row r="97" ht="15" customHeight="1">
      <c r="A97" t="inlineStr">
        <is>
          <t>A 64378-2020</t>
        </is>
      </c>
      <c r="B97" s="1" t="n">
        <v>44168</v>
      </c>
      <c r="C97" s="1" t="n">
        <v>45638</v>
      </c>
      <c r="D97" t="inlineStr">
        <is>
          <t>GOTLANDS LÄN</t>
        </is>
      </c>
      <c r="E97" t="inlineStr">
        <is>
          <t>GOTLAND</t>
        </is>
      </c>
      <c r="G97" t="n">
        <v>2.1</v>
      </c>
      <c r="H97" t="n">
        <v>0</v>
      </c>
      <c r="I97" t="n">
        <v>1</v>
      </c>
      <c r="J97" t="n">
        <v>0</v>
      </c>
      <c r="K97" t="n">
        <v>2</v>
      </c>
      <c r="L97" t="n">
        <v>1</v>
      </c>
      <c r="M97" t="n">
        <v>0</v>
      </c>
      <c r="N97" t="n">
        <v>0</v>
      </c>
      <c r="O97" t="n">
        <v>3</v>
      </c>
      <c r="P97" t="n">
        <v>3</v>
      </c>
      <c r="Q97" t="n">
        <v>4</v>
      </c>
      <c r="R97" s="2" t="inlineStr">
        <is>
          <t>Sienamusseron
Bitter taggsvamp
Duvspindling
Fjällig taggsvamp s.str.</t>
        </is>
      </c>
      <c r="S97">
        <f>HYPERLINK("https://klasma.github.io/Logging_0980/artfynd/A 64378-2020 artfynd.xlsx", "A 64378-2020")</f>
        <v/>
      </c>
      <c r="T97">
        <f>HYPERLINK("https://klasma.github.io/Logging_0980/kartor/A 64378-2020 karta.png", "A 64378-2020")</f>
        <v/>
      </c>
      <c r="V97">
        <f>HYPERLINK("https://klasma.github.io/Logging_0980/klagomål/A 64378-2020 FSC-klagomål.docx", "A 64378-2020")</f>
        <v/>
      </c>
      <c r="W97">
        <f>HYPERLINK("https://klasma.github.io/Logging_0980/klagomålsmail/A 64378-2020 FSC-klagomål mail.docx", "A 64378-2020")</f>
        <v/>
      </c>
      <c r="X97">
        <f>HYPERLINK("https://klasma.github.io/Logging_0980/tillsyn/A 64378-2020 tillsynsbegäran.docx", "A 64378-2020")</f>
        <v/>
      </c>
      <c r="Y97">
        <f>HYPERLINK("https://klasma.github.io/Logging_0980/tillsynsmail/A 64378-2020 tillsynsbegäran mail.docx", "A 64378-2020")</f>
        <v/>
      </c>
    </row>
    <row r="98" ht="15" customHeight="1">
      <c r="A98" t="inlineStr">
        <is>
          <t>A 2223-2021</t>
        </is>
      </c>
      <c r="B98" s="1" t="n">
        <v>44211</v>
      </c>
      <c r="C98" s="1" t="n">
        <v>45638</v>
      </c>
      <c r="D98" t="inlineStr">
        <is>
          <t>GOTLANDS LÄN</t>
        </is>
      </c>
      <c r="E98" t="inlineStr">
        <is>
          <t>GOTLAND</t>
        </is>
      </c>
      <c r="G98" t="n">
        <v>2.2</v>
      </c>
      <c r="H98" t="n">
        <v>2</v>
      </c>
      <c r="I98" t="n">
        <v>4</v>
      </c>
      <c r="J98" t="n">
        <v>0</v>
      </c>
      <c r="K98" t="n">
        <v>0</v>
      </c>
      <c r="L98" t="n">
        <v>0</v>
      </c>
      <c r="M98" t="n">
        <v>0</v>
      </c>
      <c r="N98" t="n">
        <v>0</v>
      </c>
      <c r="O98" t="n">
        <v>0</v>
      </c>
      <c r="P98" t="n">
        <v>0</v>
      </c>
      <c r="Q98" t="n">
        <v>4</v>
      </c>
      <c r="R98" s="2" t="inlineStr">
        <is>
          <t>Blåmossa
Granbarkgnagare
Nästrot
Tvåblad</t>
        </is>
      </c>
      <c r="S98">
        <f>HYPERLINK("https://klasma.github.io/Logging_0980/artfynd/A 2223-2021 artfynd.xlsx", "A 2223-2021")</f>
        <v/>
      </c>
      <c r="T98">
        <f>HYPERLINK("https://klasma.github.io/Logging_0980/kartor/A 2223-2021 karta.png", "A 2223-2021")</f>
        <v/>
      </c>
      <c r="V98">
        <f>HYPERLINK("https://klasma.github.io/Logging_0980/klagomål/A 2223-2021 FSC-klagomål.docx", "A 2223-2021")</f>
        <v/>
      </c>
      <c r="W98">
        <f>HYPERLINK("https://klasma.github.io/Logging_0980/klagomålsmail/A 2223-2021 FSC-klagomål mail.docx", "A 2223-2021")</f>
        <v/>
      </c>
      <c r="X98">
        <f>HYPERLINK("https://klasma.github.io/Logging_0980/tillsyn/A 2223-2021 tillsynsbegäran.docx", "A 2223-2021")</f>
        <v/>
      </c>
      <c r="Y98">
        <f>HYPERLINK("https://klasma.github.io/Logging_0980/tillsynsmail/A 2223-2021 tillsynsbegäran mail.docx", "A 2223-2021")</f>
        <v/>
      </c>
    </row>
    <row r="99" ht="15" customHeight="1">
      <c r="A99" t="inlineStr">
        <is>
          <t>A 29331-2021</t>
        </is>
      </c>
      <c r="B99" s="1" t="n">
        <v>44361</v>
      </c>
      <c r="C99" s="1" t="n">
        <v>45638</v>
      </c>
      <c r="D99" t="inlineStr">
        <is>
          <t>GOTLANDS LÄN</t>
        </is>
      </c>
      <c r="E99" t="inlineStr">
        <is>
          <t>GOTLAND</t>
        </is>
      </c>
      <c r="G99" t="n">
        <v>3.7</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29331-2021 artfynd.xlsx", "A 29331-2021")</f>
        <v/>
      </c>
      <c r="T99">
        <f>HYPERLINK("https://klasma.github.io/Logging_0980/kartor/A 29331-2021 karta.png", "A 29331-2021")</f>
        <v/>
      </c>
      <c r="V99">
        <f>HYPERLINK("https://klasma.github.io/Logging_0980/klagomål/A 29331-2021 FSC-klagomål.docx", "A 29331-2021")</f>
        <v/>
      </c>
      <c r="W99">
        <f>HYPERLINK("https://klasma.github.io/Logging_0980/klagomålsmail/A 29331-2021 FSC-klagomål mail.docx", "A 29331-2021")</f>
        <v/>
      </c>
      <c r="X99">
        <f>HYPERLINK("https://klasma.github.io/Logging_0980/tillsyn/A 29331-2021 tillsynsbegäran.docx", "A 29331-2021")</f>
        <v/>
      </c>
      <c r="Y99">
        <f>HYPERLINK("https://klasma.github.io/Logging_0980/tillsynsmail/A 29331-2021 tillsynsbegäran mail.docx", "A 29331-2021")</f>
        <v/>
      </c>
    </row>
    <row r="100" ht="15" customHeight="1">
      <c r="A100" t="inlineStr">
        <is>
          <t>A 44933-2022</t>
        </is>
      </c>
      <c r="B100" s="1" t="n">
        <v>44841</v>
      </c>
      <c r="C100" s="1" t="n">
        <v>45638</v>
      </c>
      <c r="D100" t="inlineStr">
        <is>
          <t>GOTLANDS LÄN</t>
        </is>
      </c>
      <c r="E100" t="inlineStr">
        <is>
          <t>GOTLAND</t>
        </is>
      </c>
      <c r="G100" t="n">
        <v>4.5</v>
      </c>
      <c r="H100" t="n">
        <v>1</v>
      </c>
      <c r="I100" t="n">
        <v>2</v>
      </c>
      <c r="J100" t="n">
        <v>2</v>
      </c>
      <c r="K100" t="n">
        <v>0</v>
      </c>
      <c r="L100" t="n">
        <v>0</v>
      </c>
      <c r="M100" t="n">
        <v>0</v>
      </c>
      <c r="N100" t="n">
        <v>0</v>
      </c>
      <c r="O100" t="n">
        <v>2</v>
      </c>
      <c r="P100" t="n">
        <v>0</v>
      </c>
      <c r="Q100" t="n">
        <v>4</v>
      </c>
      <c r="R100" s="2" t="inlineStr">
        <is>
          <t>Ekvaxskivling
Odörspindling
Skarp dropptaggsvamp
Skogsknipprot</t>
        </is>
      </c>
      <c r="S100">
        <f>HYPERLINK("https://klasma.github.io/Logging_0980/artfynd/A 44933-2022 artfynd.xlsx", "A 44933-2022")</f>
        <v/>
      </c>
      <c r="T100">
        <f>HYPERLINK("https://klasma.github.io/Logging_0980/kartor/A 44933-2022 karta.png", "A 44933-2022")</f>
        <v/>
      </c>
      <c r="V100">
        <f>HYPERLINK("https://klasma.github.io/Logging_0980/klagomål/A 44933-2022 FSC-klagomål.docx", "A 44933-2022")</f>
        <v/>
      </c>
      <c r="W100">
        <f>HYPERLINK("https://klasma.github.io/Logging_0980/klagomålsmail/A 44933-2022 FSC-klagomål mail.docx", "A 44933-2022")</f>
        <v/>
      </c>
      <c r="X100">
        <f>HYPERLINK("https://klasma.github.io/Logging_0980/tillsyn/A 44933-2022 tillsynsbegäran.docx", "A 44933-2022")</f>
        <v/>
      </c>
      <c r="Y100">
        <f>HYPERLINK("https://klasma.github.io/Logging_0980/tillsynsmail/A 44933-2022 tillsynsbegäran mail.docx", "A 44933-2022")</f>
        <v/>
      </c>
    </row>
    <row r="101" ht="15" customHeight="1">
      <c r="A101" t="inlineStr">
        <is>
          <t>A 47526-2022</t>
        </is>
      </c>
      <c r="B101" s="1" t="n">
        <v>44853</v>
      </c>
      <c r="C101" s="1" t="n">
        <v>45638</v>
      </c>
      <c r="D101" t="inlineStr">
        <is>
          <t>GOTLANDS LÄN</t>
        </is>
      </c>
      <c r="E101" t="inlineStr">
        <is>
          <t>GOTLAND</t>
        </is>
      </c>
      <c r="G101" t="n">
        <v>9.800000000000001</v>
      </c>
      <c r="H101" t="n">
        <v>3</v>
      </c>
      <c r="I101" t="n">
        <v>0</v>
      </c>
      <c r="J101" t="n">
        <v>2</v>
      </c>
      <c r="K101" t="n">
        <v>0</v>
      </c>
      <c r="L101" t="n">
        <v>0</v>
      </c>
      <c r="M101" t="n">
        <v>0</v>
      </c>
      <c r="N101" t="n">
        <v>0</v>
      </c>
      <c r="O101" t="n">
        <v>2</v>
      </c>
      <c r="P101" t="n">
        <v>0</v>
      </c>
      <c r="Q101" t="n">
        <v>4</v>
      </c>
      <c r="R101" s="2" t="inlineStr">
        <is>
          <t>Dårgräsfjäril
Svinrot
Sankt pers nycklar
Blåsippa</t>
        </is>
      </c>
      <c r="S101">
        <f>HYPERLINK("https://klasma.github.io/Logging_0980/artfynd/A 47526-2022 artfynd.xlsx", "A 47526-2022")</f>
        <v/>
      </c>
      <c r="T101">
        <f>HYPERLINK("https://klasma.github.io/Logging_0980/kartor/A 47526-2022 karta.png", "A 47526-2022")</f>
        <v/>
      </c>
      <c r="V101">
        <f>HYPERLINK("https://klasma.github.io/Logging_0980/klagomål/A 47526-2022 FSC-klagomål.docx", "A 47526-2022")</f>
        <v/>
      </c>
      <c r="W101">
        <f>HYPERLINK("https://klasma.github.io/Logging_0980/klagomålsmail/A 47526-2022 FSC-klagomål mail.docx", "A 47526-2022")</f>
        <v/>
      </c>
      <c r="X101">
        <f>HYPERLINK("https://klasma.github.io/Logging_0980/tillsyn/A 47526-2022 tillsynsbegäran.docx", "A 47526-2022")</f>
        <v/>
      </c>
      <c r="Y101">
        <f>HYPERLINK("https://klasma.github.io/Logging_0980/tillsynsmail/A 47526-2022 tillsynsbegäran mail.docx", "A 47526-2022")</f>
        <v/>
      </c>
    </row>
    <row r="102" ht="15" customHeight="1">
      <c r="A102" t="inlineStr">
        <is>
          <t>A 186-2023</t>
        </is>
      </c>
      <c r="B102" s="1" t="n">
        <v>44928</v>
      </c>
      <c r="C102" s="1" t="n">
        <v>45638</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584-2023</t>
        </is>
      </c>
      <c r="B103" s="1" t="n">
        <v>44930</v>
      </c>
      <c r="C103" s="1" t="n">
        <v>45638</v>
      </c>
      <c r="D103" t="inlineStr">
        <is>
          <t>GOTLANDS LÄN</t>
        </is>
      </c>
      <c r="E103" t="inlineStr">
        <is>
          <t>GOTLAND</t>
        </is>
      </c>
      <c r="G103" t="n">
        <v>27.2</v>
      </c>
      <c r="H103" t="n">
        <v>0</v>
      </c>
      <c r="I103" t="n">
        <v>2</v>
      </c>
      <c r="J103" t="n">
        <v>1</v>
      </c>
      <c r="K103" t="n">
        <v>1</v>
      </c>
      <c r="L103" t="n">
        <v>0</v>
      </c>
      <c r="M103" t="n">
        <v>0</v>
      </c>
      <c r="N103" t="n">
        <v>0</v>
      </c>
      <c r="O103" t="n">
        <v>2</v>
      </c>
      <c r="P103" t="n">
        <v>1</v>
      </c>
      <c r="Q103" t="n">
        <v>4</v>
      </c>
      <c r="R103" s="2" t="inlineStr">
        <is>
          <t>Granrotspindling
Gulfotad denisespindling
Rödgul trumpetsvamp
Vågbandad barkbock</t>
        </is>
      </c>
      <c r="S103">
        <f>HYPERLINK("https://klasma.github.io/Logging_0980/artfynd/A 584-2023 artfynd.xlsx", "A 584-2023")</f>
        <v/>
      </c>
      <c r="T103">
        <f>HYPERLINK("https://klasma.github.io/Logging_0980/kartor/A 584-2023 karta.png", "A 584-2023")</f>
        <v/>
      </c>
      <c r="V103">
        <f>HYPERLINK("https://klasma.github.io/Logging_0980/klagomål/A 584-2023 FSC-klagomål.docx", "A 584-2023")</f>
        <v/>
      </c>
      <c r="W103">
        <f>HYPERLINK("https://klasma.github.io/Logging_0980/klagomålsmail/A 584-2023 FSC-klagomål mail.docx", "A 584-2023")</f>
        <v/>
      </c>
      <c r="X103">
        <f>HYPERLINK("https://klasma.github.io/Logging_0980/tillsyn/A 584-2023 tillsynsbegäran.docx", "A 584-2023")</f>
        <v/>
      </c>
      <c r="Y103">
        <f>HYPERLINK("https://klasma.github.io/Logging_0980/tillsynsmail/A 584-2023 tillsynsbegäran mail.docx", "A 584-2023")</f>
        <v/>
      </c>
    </row>
    <row r="104" ht="15" customHeight="1">
      <c r="A104" t="inlineStr">
        <is>
          <t>A 1971-2023</t>
        </is>
      </c>
      <c r="B104" s="1" t="n">
        <v>44939</v>
      </c>
      <c r="C104" s="1" t="n">
        <v>45638</v>
      </c>
      <c r="D104" t="inlineStr">
        <is>
          <t>GOTLANDS LÄN</t>
        </is>
      </c>
      <c r="E104" t="inlineStr">
        <is>
          <t>GOTLAND</t>
        </is>
      </c>
      <c r="G104" t="n">
        <v>5.5</v>
      </c>
      <c r="H104" t="n">
        <v>0</v>
      </c>
      <c r="I104" t="n">
        <v>2</v>
      </c>
      <c r="J104" t="n">
        <v>1</v>
      </c>
      <c r="K104" t="n">
        <v>1</v>
      </c>
      <c r="L104" t="n">
        <v>0</v>
      </c>
      <c r="M104" t="n">
        <v>0</v>
      </c>
      <c r="N104" t="n">
        <v>0</v>
      </c>
      <c r="O104" t="n">
        <v>2</v>
      </c>
      <c r="P104" t="n">
        <v>1</v>
      </c>
      <c r="Q104" t="n">
        <v>4</v>
      </c>
      <c r="R104" s="2" t="inlineStr">
        <is>
          <t>Gulsträngad fagerspindling
Svinrot
Fjällig taggsvamp s.str.
Olivspindling</t>
        </is>
      </c>
      <c r="S104">
        <f>HYPERLINK("https://klasma.github.io/Logging_0980/artfynd/A 1971-2023 artfynd.xlsx", "A 1971-2023")</f>
        <v/>
      </c>
      <c r="T104">
        <f>HYPERLINK("https://klasma.github.io/Logging_0980/kartor/A 1971-2023 karta.png", "A 1971-2023")</f>
        <v/>
      </c>
      <c r="V104">
        <f>HYPERLINK("https://klasma.github.io/Logging_0980/klagomål/A 1971-2023 FSC-klagomål.docx", "A 1971-2023")</f>
        <v/>
      </c>
      <c r="W104">
        <f>HYPERLINK("https://klasma.github.io/Logging_0980/klagomålsmail/A 1971-2023 FSC-klagomål mail.docx", "A 1971-2023")</f>
        <v/>
      </c>
      <c r="X104">
        <f>HYPERLINK("https://klasma.github.io/Logging_0980/tillsyn/A 1971-2023 tillsynsbegäran.docx", "A 1971-2023")</f>
        <v/>
      </c>
      <c r="Y104">
        <f>HYPERLINK("https://klasma.github.io/Logging_0980/tillsynsmail/A 1971-2023 tillsynsbegäran mail.docx", "A 1971-2023")</f>
        <v/>
      </c>
    </row>
    <row r="105" ht="15" customHeight="1">
      <c r="A105" t="inlineStr">
        <is>
          <t>A 6159-2023</t>
        </is>
      </c>
      <c r="B105" s="1" t="n">
        <v>44964</v>
      </c>
      <c r="C105" s="1" t="n">
        <v>45638</v>
      </c>
      <c r="D105" t="inlineStr">
        <is>
          <t>GOTLANDS LÄN</t>
        </is>
      </c>
      <c r="E105" t="inlineStr">
        <is>
          <t>GOTLAND</t>
        </is>
      </c>
      <c r="G105" t="n">
        <v>2</v>
      </c>
      <c r="H105" t="n">
        <v>0</v>
      </c>
      <c r="I105" t="n">
        <v>2</v>
      </c>
      <c r="J105" t="n">
        <v>2</v>
      </c>
      <c r="K105" t="n">
        <v>0</v>
      </c>
      <c r="L105" t="n">
        <v>0</v>
      </c>
      <c r="M105" t="n">
        <v>0</v>
      </c>
      <c r="N105" t="n">
        <v>0</v>
      </c>
      <c r="O105" t="n">
        <v>2</v>
      </c>
      <c r="P105" t="n">
        <v>0</v>
      </c>
      <c r="Q105" t="n">
        <v>4</v>
      </c>
      <c r="R105" s="2" t="inlineStr">
        <is>
          <t>Dofttaggsvamp
Odörspindling
Anisspindling
Olivspindling</t>
        </is>
      </c>
      <c r="S105">
        <f>HYPERLINK("https://klasma.github.io/Logging_0980/artfynd/A 6159-2023 artfynd.xlsx", "A 6159-2023")</f>
        <v/>
      </c>
      <c r="T105">
        <f>HYPERLINK("https://klasma.github.io/Logging_0980/kartor/A 6159-2023 karta.png", "A 6159-2023")</f>
        <v/>
      </c>
      <c r="V105">
        <f>HYPERLINK("https://klasma.github.io/Logging_0980/klagomål/A 6159-2023 FSC-klagomål.docx", "A 6159-2023")</f>
        <v/>
      </c>
      <c r="W105">
        <f>HYPERLINK("https://klasma.github.io/Logging_0980/klagomålsmail/A 6159-2023 FSC-klagomål mail.docx", "A 6159-2023")</f>
        <v/>
      </c>
      <c r="X105">
        <f>HYPERLINK("https://klasma.github.io/Logging_0980/tillsyn/A 6159-2023 tillsynsbegäran.docx", "A 6159-2023")</f>
        <v/>
      </c>
      <c r="Y105">
        <f>HYPERLINK("https://klasma.github.io/Logging_0980/tillsynsmail/A 6159-2023 tillsynsbegäran mail.docx", "A 6159-2023")</f>
        <v/>
      </c>
    </row>
    <row r="106" ht="15" customHeight="1">
      <c r="A106" t="inlineStr">
        <is>
          <t>A 8265-2023</t>
        </is>
      </c>
      <c r="B106" s="1" t="n">
        <v>44974</v>
      </c>
      <c r="C106" s="1" t="n">
        <v>45638</v>
      </c>
      <c r="D106" t="inlineStr">
        <is>
          <t>GOTLANDS LÄN</t>
        </is>
      </c>
      <c r="E106" t="inlineStr">
        <is>
          <t>GOTLAND</t>
        </is>
      </c>
      <c r="G106" t="n">
        <v>3.3</v>
      </c>
      <c r="H106" t="n">
        <v>4</v>
      </c>
      <c r="I106" t="n">
        <v>3</v>
      </c>
      <c r="J106" t="n">
        <v>0</v>
      </c>
      <c r="K106" t="n">
        <v>0</v>
      </c>
      <c r="L106" t="n">
        <v>0</v>
      </c>
      <c r="M106" t="n">
        <v>0</v>
      </c>
      <c r="N106" t="n">
        <v>0</v>
      </c>
      <c r="O106" t="n">
        <v>0</v>
      </c>
      <c r="P106" t="n">
        <v>0</v>
      </c>
      <c r="Q106" t="n">
        <v>4</v>
      </c>
      <c r="R106" s="2" t="inlineStr">
        <is>
          <t>Flugblomster
Purpurknipprot
Tvåblad
Salepsrot</t>
        </is>
      </c>
      <c r="S106">
        <f>HYPERLINK("https://klasma.github.io/Logging_0980/artfynd/A 8265-2023 artfynd.xlsx", "A 8265-2023")</f>
        <v/>
      </c>
      <c r="T106">
        <f>HYPERLINK("https://klasma.github.io/Logging_0980/kartor/A 8265-2023 karta.png", "A 8265-2023")</f>
        <v/>
      </c>
      <c r="V106">
        <f>HYPERLINK("https://klasma.github.io/Logging_0980/klagomål/A 8265-2023 FSC-klagomål.docx", "A 8265-2023")</f>
        <v/>
      </c>
      <c r="W106">
        <f>HYPERLINK("https://klasma.github.io/Logging_0980/klagomålsmail/A 8265-2023 FSC-klagomål mail.docx", "A 8265-2023")</f>
        <v/>
      </c>
      <c r="X106">
        <f>HYPERLINK("https://klasma.github.io/Logging_0980/tillsyn/A 8265-2023 tillsynsbegäran.docx", "A 8265-2023")</f>
        <v/>
      </c>
      <c r="Y106">
        <f>HYPERLINK("https://klasma.github.io/Logging_0980/tillsynsmail/A 8265-2023 tillsynsbegäran mail.docx", "A 8265-2023")</f>
        <v/>
      </c>
    </row>
    <row r="107" ht="15" customHeight="1">
      <c r="A107" t="inlineStr">
        <is>
          <t>A 43197-2023</t>
        </is>
      </c>
      <c r="B107" s="1" t="n">
        <v>45183</v>
      </c>
      <c r="C107" s="1" t="n">
        <v>45638</v>
      </c>
      <c r="D107" t="inlineStr">
        <is>
          <t>GOTLANDS LÄN</t>
        </is>
      </c>
      <c r="E107" t="inlineStr">
        <is>
          <t>GOTLAND</t>
        </is>
      </c>
      <c r="G107" t="n">
        <v>3.7</v>
      </c>
      <c r="H107" t="n">
        <v>2</v>
      </c>
      <c r="I107" t="n">
        <v>1</v>
      </c>
      <c r="J107" t="n">
        <v>1</v>
      </c>
      <c r="K107" t="n">
        <v>1</v>
      </c>
      <c r="L107" t="n">
        <v>0</v>
      </c>
      <c r="M107" t="n">
        <v>0</v>
      </c>
      <c r="N107" t="n">
        <v>0</v>
      </c>
      <c r="O107" t="n">
        <v>2</v>
      </c>
      <c r="P107" t="n">
        <v>1</v>
      </c>
      <c r="Q107" t="n">
        <v>4</v>
      </c>
      <c r="R107" s="2" t="inlineStr">
        <is>
          <t>Allékantlav
Svinrot
Skogsknipprot
Revlummer</t>
        </is>
      </c>
      <c r="S107">
        <f>HYPERLINK("https://klasma.github.io/Logging_0980/artfynd/A 43197-2023 artfynd.xlsx", "A 43197-2023")</f>
        <v/>
      </c>
      <c r="T107">
        <f>HYPERLINK("https://klasma.github.io/Logging_0980/kartor/A 43197-2023 karta.png", "A 43197-2023")</f>
        <v/>
      </c>
      <c r="V107">
        <f>HYPERLINK("https://klasma.github.io/Logging_0980/klagomål/A 43197-2023 FSC-klagomål.docx", "A 43197-2023")</f>
        <v/>
      </c>
      <c r="W107">
        <f>HYPERLINK("https://klasma.github.io/Logging_0980/klagomålsmail/A 43197-2023 FSC-klagomål mail.docx", "A 43197-2023")</f>
        <v/>
      </c>
      <c r="X107">
        <f>HYPERLINK("https://klasma.github.io/Logging_0980/tillsyn/A 43197-2023 tillsynsbegäran.docx", "A 43197-2023")</f>
        <v/>
      </c>
      <c r="Y107">
        <f>HYPERLINK("https://klasma.github.io/Logging_0980/tillsynsmail/A 43197-2023 tillsynsbegäran mail.docx", "A 43197-2023")</f>
        <v/>
      </c>
    </row>
    <row r="108" ht="15" customHeight="1">
      <c r="A108" t="inlineStr">
        <is>
          <t>A 46969-2023</t>
        </is>
      </c>
      <c r="B108" s="1" t="n">
        <v>45195</v>
      </c>
      <c r="C108" s="1" t="n">
        <v>45638</v>
      </c>
      <c r="D108" t="inlineStr">
        <is>
          <t>GOTLANDS LÄN</t>
        </is>
      </c>
      <c r="E108" t="inlineStr">
        <is>
          <t>GOTLAND</t>
        </is>
      </c>
      <c r="G108" t="n">
        <v>7.3</v>
      </c>
      <c r="H108" t="n">
        <v>1</v>
      </c>
      <c r="I108" t="n">
        <v>1</v>
      </c>
      <c r="J108" t="n">
        <v>2</v>
      </c>
      <c r="K108" t="n">
        <v>0</v>
      </c>
      <c r="L108" t="n">
        <v>0</v>
      </c>
      <c r="M108" t="n">
        <v>0</v>
      </c>
      <c r="N108" t="n">
        <v>0</v>
      </c>
      <c r="O108" t="n">
        <v>2</v>
      </c>
      <c r="P108" t="n">
        <v>0</v>
      </c>
      <c r="Q108" t="n">
        <v>4</v>
      </c>
      <c r="R108" s="2" t="inlineStr">
        <is>
          <t>Backtimjan
Solvända
Svavelriska
Nattviol</t>
        </is>
      </c>
      <c r="S108">
        <f>HYPERLINK("https://klasma.github.io/Logging_0980/artfynd/A 46969-2023 artfynd.xlsx", "A 46969-2023")</f>
        <v/>
      </c>
      <c r="T108">
        <f>HYPERLINK("https://klasma.github.io/Logging_0980/kartor/A 46969-2023 karta.png", "A 46969-2023")</f>
        <v/>
      </c>
      <c r="V108">
        <f>HYPERLINK("https://klasma.github.io/Logging_0980/klagomål/A 46969-2023 FSC-klagomål.docx", "A 46969-2023")</f>
        <v/>
      </c>
      <c r="W108">
        <f>HYPERLINK("https://klasma.github.io/Logging_0980/klagomålsmail/A 46969-2023 FSC-klagomål mail.docx", "A 46969-2023")</f>
        <v/>
      </c>
      <c r="X108">
        <f>HYPERLINK("https://klasma.github.io/Logging_0980/tillsyn/A 46969-2023 tillsynsbegäran.docx", "A 46969-2023")</f>
        <v/>
      </c>
      <c r="Y108">
        <f>HYPERLINK("https://klasma.github.io/Logging_0980/tillsynsmail/A 46969-2023 tillsynsbegäran mail.docx", "A 46969-2023")</f>
        <v/>
      </c>
    </row>
    <row r="109" ht="15" customHeight="1">
      <c r="A109" t="inlineStr">
        <is>
          <t>A 45682-2023</t>
        </is>
      </c>
      <c r="B109" s="1" t="n">
        <v>45195</v>
      </c>
      <c r="C109" s="1" t="n">
        <v>45638</v>
      </c>
      <c r="D109" t="inlineStr">
        <is>
          <t>GOTLANDS LÄN</t>
        </is>
      </c>
      <c r="E109" t="inlineStr">
        <is>
          <t>GOTLAND</t>
        </is>
      </c>
      <c r="G109" t="n">
        <v>13.9</v>
      </c>
      <c r="H109" t="n">
        <v>2</v>
      </c>
      <c r="I109" t="n">
        <v>2</v>
      </c>
      <c r="J109" t="n">
        <v>1</v>
      </c>
      <c r="K109" t="n">
        <v>0</v>
      </c>
      <c r="L109" t="n">
        <v>0</v>
      </c>
      <c r="M109" t="n">
        <v>0</v>
      </c>
      <c r="N109" t="n">
        <v>0</v>
      </c>
      <c r="O109" t="n">
        <v>1</v>
      </c>
      <c r="P109" t="n">
        <v>0</v>
      </c>
      <c r="Q109" t="n">
        <v>4</v>
      </c>
      <c r="R109" s="2" t="inlineStr">
        <is>
          <t>Loppstarr
Flugblomster
Kalktallört
Dactylorhiza incarnata subsp. incarnata</t>
        </is>
      </c>
      <c r="S109">
        <f>HYPERLINK("https://klasma.github.io/Logging_0980/artfynd/A 45682-2023 artfynd.xlsx", "A 45682-2023")</f>
        <v/>
      </c>
      <c r="T109">
        <f>HYPERLINK("https://klasma.github.io/Logging_0980/kartor/A 45682-2023 karta.png", "A 45682-2023")</f>
        <v/>
      </c>
      <c r="V109">
        <f>HYPERLINK("https://klasma.github.io/Logging_0980/klagomål/A 45682-2023 FSC-klagomål.docx", "A 45682-2023")</f>
        <v/>
      </c>
      <c r="W109">
        <f>HYPERLINK("https://klasma.github.io/Logging_0980/klagomålsmail/A 45682-2023 FSC-klagomål mail.docx", "A 45682-2023")</f>
        <v/>
      </c>
      <c r="X109">
        <f>HYPERLINK("https://klasma.github.io/Logging_0980/tillsyn/A 45682-2023 tillsynsbegäran.docx", "A 45682-2023")</f>
        <v/>
      </c>
      <c r="Y109">
        <f>HYPERLINK("https://klasma.github.io/Logging_0980/tillsynsmail/A 45682-2023 tillsynsbegäran mail.docx", "A 45682-2023")</f>
        <v/>
      </c>
    </row>
    <row r="110" ht="15" customHeight="1">
      <c r="A110" t="inlineStr">
        <is>
          <t>A 54523-2023</t>
        </is>
      </c>
      <c r="B110" s="1" t="n">
        <v>45233</v>
      </c>
      <c r="C110" s="1" t="n">
        <v>45638</v>
      </c>
      <c r="D110" t="inlineStr">
        <is>
          <t>GOTLANDS LÄN</t>
        </is>
      </c>
      <c r="E110" t="inlineStr">
        <is>
          <t>GOTLAND</t>
        </is>
      </c>
      <c r="G110" t="n">
        <v>3.7</v>
      </c>
      <c r="H110" t="n">
        <v>2</v>
      </c>
      <c r="I110" t="n">
        <v>0</v>
      </c>
      <c r="J110" t="n">
        <v>1</v>
      </c>
      <c r="K110" t="n">
        <v>1</v>
      </c>
      <c r="L110" t="n">
        <v>0</v>
      </c>
      <c r="M110" t="n">
        <v>0</v>
      </c>
      <c r="N110" t="n">
        <v>0</v>
      </c>
      <c r="O110" t="n">
        <v>2</v>
      </c>
      <c r="P110" t="n">
        <v>1</v>
      </c>
      <c r="Q110" t="n">
        <v>4</v>
      </c>
      <c r="R110" s="2" t="inlineStr">
        <is>
          <t>Sommarklynne
Åkerkulla
Brudsporre
Kärrknipprot</t>
        </is>
      </c>
      <c r="S110">
        <f>HYPERLINK("https://klasma.github.io/Logging_0980/artfynd/A 54523-2023 artfynd.xlsx", "A 54523-2023")</f>
        <v/>
      </c>
      <c r="T110">
        <f>HYPERLINK("https://klasma.github.io/Logging_0980/kartor/A 54523-2023 karta.png", "A 54523-2023")</f>
        <v/>
      </c>
      <c r="V110">
        <f>HYPERLINK("https://klasma.github.io/Logging_0980/klagomål/A 54523-2023 FSC-klagomål.docx", "A 54523-2023")</f>
        <v/>
      </c>
      <c r="W110">
        <f>HYPERLINK("https://klasma.github.io/Logging_0980/klagomålsmail/A 54523-2023 FSC-klagomål mail.docx", "A 54523-2023")</f>
        <v/>
      </c>
      <c r="X110">
        <f>HYPERLINK("https://klasma.github.io/Logging_0980/tillsyn/A 54523-2023 tillsynsbegäran.docx", "A 54523-2023")</f>
        <v/>
      </c>
      <c r="Y110">
        <f>HYPERLINK("https://klasma.github.io/Logging_0980/tillsynsmail/A 54523-2023 tillsynsbegäran mail.docx", "A 54523-2023")</f>
        <v/>
      </c>
    </row>
    <row r="111" ht="15" customHeight="1">
      <c r="A111" t="inlineStr">
        <is>
          <t>A 5904-2024</t>
        </is>
      </c>
      <c r="B111" s="1" t="n">
        <v>45335</v>
      </c>
      <c r="C111" s="1" t="n">
        <v>45638</v>
      </c>
      <c r="D111" t="inlineStr">
        <is>
          <t>GOTLANDS LÄN</t>
        </is>
      </c>
      <c r="E111" t="inlineStr">
        <is>
          <t>GOTLAND</t>
        </is>
      </c>
      <c r="G111" t="n">
        <v>6.4</v>
      </c>
      <c r="H111" t="n">
        <v>1</v>
      </c>
      <c r="I111" t="n">
        <v>2</v>
      </c>
      <c r="J111" t="n">
        <v>1</v>
      </c>
      <c r="K111" t="n">
        <v>0</v>
      </c>
      <c r="L111" t="n">
        <v>0</v>
      </c>
      <c r="M111" t="n">
        <v>0</v>
      </c>
      <c r="N111" t="n">
        <v>0</v>
      </c>
      <c r="O111" t="n">
        <v>1</v>
      </c>
      <c r="P111" t="n">
        <v>0</v>
      </c>
      <c r="Q111" t="n">
        <v>4</v>
      </c>
      <c r="R111" s="2" t="inlineStr">
        <is>
          <t>Backstarr
Blåmossa
Kattfotslav
Sankt pers nycklar</t>
        </is>
      </c>
      <c r="S111">
        <f>HYPERLINK("https://klasma.github.io/Logging_0980/artfynd/A 5904-2024 artfynd.xlsx", "A 5904-2024")</f>
        <v/>
      </c>
      <c r="T111">
        <f>HYPERLINK("https://klasma.github.io/Logging_0980/kartor/A 5904-2024 karta.png", "A 5904-2024")</f>
        <v/>
      </c>
      <c r="V111">
        <f>HYPERLINK("https://klasma.github.io/Logging_0980/klagomål/A 5904-2024 FSC-klagomål.docx", "A 5904-2024")</f>
        <v/>
      </c>
      <c r="W111">
        <f>HYPERLINK("https://klasma.github.io/Logging_0980/klagomålsmail/A 5904-2024 FSC-klagomål mail.docx", "A 5904-2024")</f>
        <v/>
      </c>
      <c r="X111">
        <f>HYPERLINK("https://klasma.github.io/Logging_0980/tillsyn/A 5904-2024 tillsynsbegäran.docx", "A 5904-2024")</f>
        <v/>
      </c>
      <c r="Y111">
        <f>HYPERLINK("https://klasma.github.io/Logging_0980/tillsynsmail/A 5904-2024 tillsynsbegäran mail.docx", "A 5904-2024")</f>
        <v/>
      </c>
    </row>
    <row r="112" ht="15" customHeight="1">
      <c r="A112" t="inlineStr">
        <is>
          <t>A 14354-2024</t>
        </is>
      </c>
      <c r="B112" s="1" t="n">
        <v>45393</v>
      </c>
      <c r="C112" s="1" t="n">
        <v>45638</v>
      </c>
      <c r="D112" t="inlineStr">
        <is>
          <t>GOTLANDS LÄN</t>
        </is>
      </c>
      <c r="E112" t="inlineStr">
        <is>
          <t>GOTLAND</t>
        </is>
      </c>
      <c r="G112" t="n">
        <v>2.4</v>
      </c>
      <c r="H112" t="n">
        <v>1</v>
      </c>
      <c r="I112" t="n">
        <v>0</v>
      </c>
      <c r="J112" t="n">
        <v>4</v>
      </c>
      <c r="K112" t="n">
        <v>0</v>
      </c>
      <c r="L112" t="n">
        <v>0</v>
      </c>
      <c r="M112" t="n">
        <v>0</v>
      </c>
      <c r="N112" t="n">
        <v>0</v>
      </c>
      <c r="O112" t="n">
        <v>4</v>
      </c>
      <c r="P112" t="n">
        <v>0</v>
      </c>
      <c r="Q112" t="n">
        <v>4</v>
      </c>
      <c r="R112" s="2" t="inlineStr">
        <is>
          <t>Dårgräsfjäril
Smedbock
Svinrot
Ängsskära</t>
        </is>
      </c>
      <c r="S112">
        <f>HYPERLINK("https://klasma.github.io/Logging_0980/artfynd/A 14354-2024 artfynd.xlsx", "A 14354-2024")</f>
        <v/>
      </c>
      <c r="T112">
        <f>HYPERLINK("https://klasma.github.io/Logging_0980/kartor/A 14354-2024 karta.png", "A 14354-2024")</f>
        <v/>
      </c>
      <c r="V112">
        <f>HYPERLINK("https://klasma.github.io/Logging_0980/klagomål/A 14354-2024 FSC-klagomål.docx", "A 14354-2024")</f>
        <v/>
      </c>
      <c r="W112">
        <f>HYPERLINK("https://klasma.github.io/Logging_0980/klagomålsmail/A 14354-2024 FSC-klagomål mail.docx", "A 14354-2024")</f>
        <v/>
      </c>
      <c r="X112">
        <f>HYPERLINK("https://klasma.github.io/Logging_0980/tillsyn/A 14354-2024 tillsynsbegäran.docx", "A 14354-2024")</f>
        <v/>
      </c>
      <c r="Y112">
        <f>HYPERLINK("https://klasma.github.io/Logging_0980/tillsynsmail/A 14354-2024 tillsynsbegäran mail.docx", "A 14354-2024")</f>
        <v/>
      </c>
    </row>
    <row r="113" ht="15" customHeight="1">
      <c r="A113" t="inlineStr">
        <is>
          <t>A 25768-2024</t>
        </is>
      </c>
      <c r="B113" s="1" t="n">
        <v>45466</v>
      </c>
      <c r="C113" s="1" t="n">
        <v>45638</v>
      </c>
      <c r="D113" t="inlineStr">
        <is>
          <t>GOTLANDS LÄN</t>
        </is>
      </c>
      <c r="E113" t="inlineStr">
        <is>
          <t>GOTLAND</t>
        </is>
      </c>
      <c r="G113" t="n">
        <v>4.6</v>
      </c>
      <c r="H113" t="n">
        <v>4</v>
      </c>
      <c r="I113" t="n">
        <v>2</v>
      </c>
      <c r="J113" t="n">
        <v>0</v>
      </c>
      <c r="K113" t="n">
        <v>0</v>
      </c>
      <c r="L113" t="n">
        <v>0</v>
      </c>
      <c r="M113" t="n">
        <v>0</v>
      </c>
      <c r="N113" t="n">
        <v>0</v>
      </c>
      <c r="O113" t="n">
        <v>0</v>
      </c>
      <c r="P113" t="n">
        <v>0</v>
      </c>
      <c r="Q113" t="n">
        <v>4</v>
      </c>
      <c r="R113" s="2" t="inlineStr">
        <is>
          <t>Nästrot
Tvåblad
Fläcknycklar
Nattviol</t>
        </is>
      </c>
      <c r="S113">
        <f>HYPERLINK("https://klasma.github.io/Logging_0980/artfynd/A 25768-2024 artfynd.xlsx", "A 25768-2024")</f>
        <v/>
      </c>
      <c r="T113">
        <f>HYPERLINK("https://klasma.github.io/Logging_0980/kartor/A 25768-2024 karta.png", "A 25768-2024")</f>
        <v/>
      </c>
      <c r="V113">
        <f>HYPERLINK("https://klasma.github.io/Logging_0980/klagomål/A 25768-2024 FSC-klagomål.docx", "A 25768-2024")</f>
        <v/>
      </c>
      <c r="W113">
        <f>HYPERLINK("https://klasma.github.io/Logging_0980/klagomålsmail/A 25768-2024 FSC-klagomål mail.docx", "A 25768-2024")</f>
        <v/>
      </c>
      <c r="X113">
        <f>HYPERLINK("https://klasma.github.io/Logging_0980/tillsyn/A 25768-2024 tillsynsbegäran.docx", "A 25768-2024")</f>
        <v/>
      </c>
      <c r="Y113">
        <f>HYPERLINK("https://klasma.github.io/Logging_0980/tillsynsmail/A 25768-2024 tillsynsbegäran mail.docx", "A 25768-2024")</f>
        <v/>
      </c>
    </row>
    <row r="114" ht="15" customHeight="1">
      <c r="A114" t="inlineStr">
        <is>
          <t>A 34171-2024</t>
        </is>
      </c>
      <c r="B114" s="1" t="n">
        <v>45524</v>
      </c>
      <c r="C114" s="1" t="n">
        <v>45638</v>
      </c>
      <c r="D114" t="inlineStr">
        <is>
          <t>GOTLANDS LÄN</t>
        </is>
      </c>
      <c r="E114" t="inlineStr">
        <is>
          <t>GOTLAND</t>
        </is>
      </c>
      <c r="G114" t="n">
        <v>6.6</v>
      </c>
      <c r="H114" t="n">
        <v>0</v>
      </c>
      <c r="I114" t="n">
        <v>1</v>
      </c>
      <c r="J114" t="n">
        <v>1</v>
      </c>
      <c r="K114" t="n">
        <v>1</v>
      </c>
      <c r="L114" t="n">
        <v>1</v>
      </c>
      <c r="M114" t="n">
        <v>0</v>
      </c>
      <c r="N114" t="n">
        <v>0</v>
      </c>
      <c r="O114" t="n">
        <v>3</v>
      </c>
      <c r="P114" t="n">
        <v>2</v>
      </c>
      <c r="Q114" t="n">
        <v>4</v>
      </c>
      <c r="R114" s="2" t="inlineStr">
        <is>
          <t>Ädellav
Mörk kraterlav
Orangepudrad klotterlav
Strävlosta</t>
        </is>
      </c>
      <c r="S114">
        <f>HYPERLINK("https://klasma.github.io/Logging_0980/artfynd/A 34171-2024 artfynd.xlsx", "A 34171-2024")</f>
        <v/>
      </c>
      <c r="T114">
        <f>HYPERLINK("https://klasma.github.io/Logging_0980/kartor/A 34171-2024 karta.png", "A 34171-2024")</f>
        <v/>
      </c>
      <c r="V114">
        <f>HYPERLINK("https://klasma.github.io/Logging_0980/klagomål/A 34171-2024 FSC-klagomål.docx", "A 34171-2024")</f>
        <v/>
      </c>
      <c r="W114">
        <f>HYPERLINK("https://klasma.github.io/Logging_0980/klagomålsmail/A 34171-2024 FSC-klagomål mail.docx", "A 34171-2024")</f>
        <v/>
      </c>
      <c r="X114">
        <f>HYPERLINK("https://klasma.github.io/Logging_0980/tillsyn/A 34171-2024 tillsynsbegäran.docx", "A 34171-2024")</f>
        <v/>
      </c>
      <c r="Y114">
        <f>HYPERLINK("https://klasma.github.io/Logging_0980/tillsynsmail/A 34171-2024 tillsynsbegäran mail.docx", "A 34171-2024")</f>
        <v/>
      </c>
    </row>
    <row r="115" ht="15" customHeight="1">
      <c r="A115" t="inlineStr">
        <is>
          <t>A 48025-2024</t>
        </is>
      </c>
      <c r="B115" s="1" t="n">
        <v>45589</v>
      </c>
      <c r="C115" s="1" t="n">
        <v>45638</v>
      </c>
      <c r="D115" t="inlineStr">
        <is>
          <t>GOTLANDS LÄN</t>
        </is>
      </c>
      <c r="E115" t="inlineStr">
        <is>
          <t>GOTLAND</t>
        </is>
      </c>
      <c r="G115" t="n">
        <v>7.8</v>
      </c>
      <c r="H115" t="n">
        <v>0</v>
      </c>
      <c r="I115" t="n">
        <v>1</v>
      </c>
      <c r="J115" t="n">
        <v>0</v>
      </c>
      <c r="K115" t="n">
        <v>2</v>
      </c>
      <c r="L115" t="n">
        <v>1</v>
      </c>
      <c r="M115" t="n">
        <v>0</v>
      </c>
      <c r="N115" t="n">
        <v>0</v>
      </c>
      <c r="O115" t="n">
        <v>3</v>
      </c>
      <c r="P115" t="n">
        <v>3</v>
      </c>
      <c r="Q115" t="n">
        <v>4</v>
      </c>
      <c r="R115" s="2" t="inlineStr">
        <is>
          <t>Ädellav
Mörk kraterlav
Violettfläckig spindling
Kattfotslav</t>
        </is>
      </c>
      <c r="S115">
        <f>HYPERLINK("https://klasma.github.io/Logging_0980/artfynd/A 48025-2024 artfynd.xlsx", "A 48025-2024")</f>
        <v/>
      </c>
      <c r="T115">
        <f>HYPERLINK("https://klasma.github.io/Logging_0980/kartor/A 48025-2024 karta.png", "A 48025-2024")</f>
        <v/>
      </c>
      <c r="V115">
        <f>HYPERLINK("https://klasma.github.io/Logging_0980/klagomål/A 48025-2024 FSC-klagomål.docx", "A 48025-2024")</f>
        <v/>
      </c>
      <c r="W115">
        <f>HYPERLINK("https://klasma.github.io/Logging_0980/klagomålsmail/A 48025-2024 FSC-klagomål mail.docx", "A 48025-2024")</f>
        <v/>
      </c>
      <c r="X115">
        <f>HYPERLINK("https://klasma.github.io/Logging_0980/tillsyn/A 48025-2024 tillsynsbegäran.docx", "A 48025-2024")</f>
        <v/>
      </c>
      <c r="Y115">
        <f>HYPERLINK("https://klasma.github.io/Logging_0980/tillsynsmail/A 48025-2024 tillsynsbegäran mail.docx", "A 48025-2024")</f>
        <v/>
      </c>
    </row>
    <row r="116" ht="15" customHeight="1">
      <c r="A116" t="inlineStr">
        <is>
          <t>A 56717-2024</t>
        </is>
      </c>
      <c r="B116" s="1" t="n">
        <v>45628</v>
      </c>
      <c r="C116" s="1" t="n">
        <v>45638</v>
      </c>
      <c r="D116" t="inlineStr">
        <is>
          <t>GOTLANDS LÄN</t>
        </is>
      </c>
      <c r="E116" t="inlineStr">
        <is>
          <t>GOTLAND</t>
        </is>
      </c>
      <c r="G116" t="n">
        <v>9.699999999999999</v>
      </c>
      <c r="H116" t="n">
        <v>0</v>
      </c>
      <c r="I116" t="n">
        <v>2</v>
      </c>
      <c r="J116" t="n">
        <v>2</v>
      </c>
      <c r="K116" t="n">
        <v>0</v>
      </c>
      <c r="L116" t="n">
        <v>0</v>
      </c>
      <c r="M116" t="n">
        <v>0</v>
      </c>
      <c r="N116" t="n">
        <v>0</v>
      </c>
      <c r="O116" t="n">
        <v>2</v>
      </c>
      <c r="P116" t="n">
        <v>0</v>
      </c>
      <c r="Q116" t="n">
        <v>4</v>
      </c>
      <c r="R116" s="2" t="inlineStr">
        <is>
          <t>Ekvaxskivling
Odörspindling
Fjällig taggsvamp s.str.
Kattfotslav</t>
        </is>
      </c>
      <c r="S116">
        <f>HYPERLINK("https://klasma.github.io/Logging_0980/artfynd/A 56717-2024 artfynd.xlsx", "A 56717-2024")</f>
        <v/>
      </c>
      <c r="T116">
        <f>HYPERLINK("https://klasma.github.io/Logging_0980/kartor/A 56717-2024 karta.png", "A 56717-2024")</f>
        <v/>
      </c>
      <c r="V116">
        <f>HYPERLINK("https://klasma.github.io/Logging_0980/klagomål/A 56717-2024 FSC-klagomål.docx", "A 56717-2024")</f>
        <v/>
      </c>
      <c r="W116">
        <f>HYPERLINK("https://klasma.github.io/Logging_0980/klagomålsmail/A 56717-2024 FSC-klagomål mail.docx", "A 56717-2024")</f>
        <v/>
      </c>
      <c r="X116">
        <f>HYPERLINK("https://klasma.github.io/Logging_0980/tillsyn/A 56717-2024 tillsynsbegäran.docx", "A 56717-2024")</f>
        <v/>
      </c>
      <c r="Y116">
        <f>HYPERLINK("https://klasma.github.io/Logging_0980/tillsynsmail/A 56717-2024 tillsynsbegäran mail.docx", "A 56717-2024")</f>
        <v/>
      </c>
    </row>
    <row r="117" ht="15" customHeight="1">
      <c r="A117" t="inlineStr">
        <is>
          <t>A 21897-2019</t>
        </is>
      </c>
      <c r="B117" s="1" t="n">
        <v>43584</v>
      </c>
      <c r="C117" s="1" t="n">
        <v>45638</v>
      </c>
      <c r="D117" t="inlineStr">
        <is>
          <t>GOTLANDS LÄN</t>
        </is>
      </c>
      <c r="E117" t="inlineStr">
        <is>
          <t>GOTLAND</t>
        </is>
      </c>
      <c r="G117" t="n">
        <v>7.4</v>
      </c>
      <c r="H117" t="n">
        <v>3</v>
      </c>
      <c r="I117" t="n">
        <v>1</v>
      </c>
      <c r="J117" t="n">
        <v>0</v>
      </c>
      <c r="K117" t="n">
        <v>0</v>
      </c>
      <c r="L117" t="n">
        <v>0</v>
      </c>
      <c r="M117" t="n">
        <v>0</v>
      </c>
      <c r="N117" t="n">
        <v>0</v>
      </c>
      <c r="O117" t="n">
        <v>0</v>
      </c>
      <c r="P117" t="n">
        <v>0</v>
      </c>
      <c r="Q117" t="n">
        <v>3</v>
      </c>
      <c r="R117" s="2" t="inlineStr">
        <is>
          <t>Korallrot
Nattviol
Lopplummer</t>
        </is>
      </c>
      <c r="S117">
        <f>HYPERLINK("https://klasma.github.io/Logging_0980/artfynd/A 21897-2019 artfynd.xlsx", "A 21897-2019")</f>
        <v/>
      </c>
      <c r="T117">
        <f>HYPERLINK("https://klasma.github.io/Logging_0980/kartor/A 21897-2019 karta.png", "A 21897-2019")</f>
        <v/>
      </c>
      <c r="V117">
        <f>HYPERLINK("https://klasma.github.io/Logging_0980/klagomål/A 21897-2019 FSC-klagomål.docx", "A 21897-2019")</f>
        <v/>
      </c>
      <c r="W117">
        <f>HYPERLINK("https://klasma.github.io/Logging_0980/klagomålsmail/A 21897-2019 FSC-klagomål mail.docx", "A 21897-2019")</f>
        <v/>
      </c>
      <c r="X117">
        <f>HYPERLINK("https://klasma.github.io/Logging_0980/tillsyn/A 21897-2019 tillsynsbegäran.docx", "A 21897-2019")</f>
        <v/>
      </c>
      <c r="Y117">
        <f>HYPERLINK("https://klasma.github.io/Logging_0980/tillsynsmail/A 21897-2019 tillsynsbegäran mail.docx", "A 21897-2019")</f>
        <v/>
      </c>
    </row>
    <row r="118" ht="15" customHeight="1">
      <c r="A118" t="inlineStr">
        <is>
          <t>A 66053-2019</t>
        </is>
      </c>
      <c r="B118" s="1" t="n">
        <v>43806</v>
      </c>
      <c r="C118" s="1" t="n">
        <v>45638</v>
      </c>
      <c r="D118" t="inlineStr">
        <is>
          <t>GOTLANDS LÄN</t>
        </is>
      </c>
      <c r="E118" t="inlineStr">
        <is>
          <t>GOTLAND</t>
        </is>
      </c>
      <c r="G118" t="n">
        <v>58.6</v>
      </c>
      <c r="H118" t="n">
        <v>2</v>
      </c>
      <c r="I118" t="n">
        <v>0</v>
      </c>
      <c r="J118" t="n">
        <v>1</v>
      </c>
      <c r="K118" t="n">
        <v>2</v>
      </c>
      <c r="L118" t="n">
        <v>0</v>
      </c>
      <c r="M118" t="n">
        <v>0</v>
      </c>
      <c r="N118" t="n">
        <v>0</v>
      </c>
      <c r="O118" t="n">
        <v>3</v>
      </c>
      <c r="P118" t="n">
        <v>2</v>
      </c>
      <c r="Q118" t="n">
        <v>3</v>
      </c>
      <c r="R118" s="2" t="inlineStr">
        <is>
          <t>Falsk guldskivlav
Garderönn
Apollofjäril</t>
        </is>
      </c>
      <c r="S118">
        <f>HYPERLINK("https://klasma.github.io/Logging_0980/artfynd/A 66053-2019 artfynd.xlsx", "A 66053-2019")</f>
        <v/>
      </c>
      <c r="T118">
        <f>HYPERLINK("https://klasma.github.io/Logging_0980/kartor/A 66053-2019 karta.png", "A 66053-2019")</f>
        <v/>
      </c>
      <c r="V118">
        <f>HYPERLINK("https://klasma.github.io/Logging_0980/klagomål/A 66053-2019 FSC-klagomål.docx", "A 66053-2019")</f>
        <v/>
      </c>
      <c r="W118">
        <f>HYPERLINK("https://klasma.github.io/Logging_0980/klagomålsmail/A 66053-2019 FSC-klagomål mail.docx", "A 66053-2019")</f>
        <v/>
      </c>
      <c r="X118">
        <f>HYPERLINK("https://klasma.github.io/Logging_0980/tillsyn/A 66053-2019 tillsynsbegäran.docx", "A 66053-2019")</f>
        <v/>
      </c>
      <c r="Y118">
        <f>HYPERLINK("https://klasma.github.io/Logging_0980/tillsynsmail/A 66053-2019 tillsynsbegäran mail.docx", "A 66053-2019")</f>
        <v/>
      </c>
    </row>
    <row r="119" ht="15" customHeight="1">
      <c r="A119" t="inlineStr">
        <is>
          <t>A 2536-2020</t>
        </is>
      </c>
      <c r="B119" s="1" t="n">
        <v>43847</v>
      </c>
      <c r="C119" s="1" t="n">
        <v>45638</v>
      </c>
      <c r="D119" t="inlineStr">
        <is>
          <t>GOTLANDS LÄN</t>
        </is>
      </c>
      <c r="E119" t="inlineStr">
        <is>
          <t>GOTLAND</t>
        </is>
      </c>
      <c r="G119" t="n">
        <v>4.2</v>
      </c>
      <c r="H119" t="n">
        <v>1</v>
      </c>
      <c r="I119" t="n">
        <v>0</v>
      </c>
      <c r="J119" t="n">
        <v>2</v>
      </c>
      <c r="K119" t="n">
        <v>0</v>
      </c>
      <c r="L119" t="n">
        <v>0</v>
      </c>
      <c r="M119" t="n">
        <v>0</v>
      </c>
      <c r="N119" t="n">
        <v>0</v>
      </c>
      <c r="O119" t="n">
        <v>2</v>
      </c>
      <c r="P119" t="n">
        <v>0</v>
      </c>
      <c r="Q119" t="n">
        <v>3</v>
      </c>
      <c r="R119" s="2" t="inlineStr">
        <is>
          <t>Backklöver
Svinrot
Blåsippa</t>
        </is>
      </c>
      <c r="S119">
        <f>HYPERLINK("https://klasma.github.io/Logging_0980/artfynd/A 2536-2020 artfynd.xlsx", "A 2536-2020")</f>
        <v/>
      </c>
      <c r="T119">
        <f>HYPERLINK("https://klasma.github.io/Logging_0980/kartor/A 2536-2020 karta.png", "A 2536-2020")</f>
        <v/>
      </c>
      <c r="V119">
        <f>HYPERLINK("https://klasma.github.io/Logging_0980/klagomål/A 2536-2020 FSC-klagomål.docx", "A 2536-2020")</f>
        <v/>
      </c>
      <c r="W119">
        <f>HYPERLINK("https://klasma.github.io/Logging_0980/klagomålsmail/A 2536-2020 FSC-klagomål mail.docx", "A 2536-2020")</f>
        <v/>
      </c>
      <c r="X119">
        <f>HYPERLINK("https://klasma.github.io/Logging_0980/tillsyn/A 2536-2020 tillsynsbegäran.docx", "A 2536-2020")</f>
        <v/>
      </c>
      <c r="Y119">
        <f>HYPERLINK("https://klasma.github.io/Logging_0980/tillsynsmail/A 2536-2020 tillsynsbegäran mail.docx", "A 2536-2020")</f>
        <v/>
      </c>
    </row>
    <row r="120" ht="15" customHeight="1">
      <c r="A120" t="inlineStr">
        <is>
          <t>A 3218-2020</t>
        </is>
      </c>
      <c r="B120" s="1" t="n">
        <v>43851</v>
      </c>
      <c r="C120" s="1" t="n">
        <v>45638</v>
      </c>
      <c r="D120" t="inlineStr">
        <is>
          <t>GOTLANDS LÄN</t>
        </is>
      </c>
      <c r="E120" t="inlineStr">
        <is>
          <t>GOTLAND</t>
        </is>
      </c>
      <c r="G120" t="n">
        <v>7.8</v>
      </c>
      <c r="H120" t="n">
        <v>3</v>
      </c>
      <c r="I120" t="n">
        <v>0</v>
      </c>
      <c r="J120" t="n">
        <v>0</v>
      </c>
      <c r="K120" t="n">
        <v>0</v>
      </c>
      <c r="L120" t="n">
        <v>0</v>
      </c>
      <c r="M120" t="n">
        <v>0</v>
      </c>
      <c r="N120" t="n">
        <v>0</v>
      </c>
      <c r="O120" t="n">
        <v>0</v>
      </c>
      <c r="P120" t="n">
        <v>0</v>
      </c>
      <c r="Q120" t="n">
        <v>3</v>
      </c>
      <c r="R120" s="2" t="inlineStr">
        <is>
          <t>Åkergroda
Mindre vattensalamander
Vanlig padda</t>
        </is>
      </c>
      <c r="S120">
        <f>HYPERLINK("https://klasma.github.io/Logging_0980/artfynd/A 3218-2020 artfynd.xlsx", "A 3218-2020")</f>
        <v/>
      </c>
      <c r="T120">
        <f>HYPERLINK("https://klasma.github.io/Logging_0980/kartor/A 3218-2020 karta.png", "A 3218-2020")</f>
        <v/>
      </c>
      <c r="V120">
        <f>HYPERLINK("https://klasma.github.io/Logging_0980/klagomål/A 3218-2020 FSC-klagomål.docx", "A 3218-2020")</f>
        <v/>
      </c>
      <c r="W120">
        <f>HYPERLINK("https://klasma.github.io/Logging_0980/klagomålsmail/A 3218-2020 FSC-klagomål mail.docx", "A 3218-2020")</f>
        <v/>
      </c>
      <c r="X120">
        <f>HYPERLINK("https://klasma.github.io/Logging_0980/tillsyn/A 3218-2020 tillsynsbegäran.docx", "A 3218-2020")</f>
        <v/>
      </c>
      <c r="Y120">
        <f>HYPERLINK("https://klasma.github.io/Logging_0980/tillsynsmail/A 3218-2020 tillsynsbegäran mail.docx", "A 3218-2020")</f>
        <v/>
      </c>
    </row>
    <row r="121" ht="15" customHeight="1">
      <c r="A121" t="inlineStr">
        <is>
          <t>A 7156-2020</t>
        </is>
      </c>
      <c r="B121" s="1" t="n">
        <v>43870</v>
      </c>
      <c r="C121" s="1" t="n">
        <v>45638</v>
      </c>
      <c r="D121" t="inlineStr">
        <is>
          <t>GOTLANDS LÄN</t>
        </is>
      </c>
      <c r="E121" t="inlineStr">
        <is>
          <t>GOTLAND</t>
        </is>
      </c>
      <c r="G121" t="n">
        <v>1.5</v>
      </c>
      <c r="H121" t="n">
        <v>1</v>
      </c>
      <c r="I121" t="n">
        <v>0</v>
      </c>
      <c r="J121" t="n">
        <v>2</v>
      </c>
      <c r="K121" t="n">
        <v>0</v>
      </c>
      <c r="L121" t="n">
        <v>0</v>
      </c>
      <c r="M121" t="n">
        <v>0</v>
      </c>
      <c r="N121" t="n">
        <v>0</v>
      </c>
      <c r="O121" t="n">
        <v>2</v>
      </c>
      <c r="P121" t="n">
        <v>0</v>
      </c>
      <c r="Q121" t="n">
        <v>3</v>
      </c>
      <c r="R121" s="2" t="inlineStr">
        <is>
          <t>Bolmört
Solvända
Sankt pers nycklar</t>
        </is>
      </c>
      <c r="S121">
        <f>HYPERLINK("https://klasma.github.io/Logging_0980/artfynd/A 7156-2020 artfynd.xlsx", "A 7156-2020")</f>
        <v/>
      </c>
      <c r="T121">
        <f>HYPERLINK("https://klasma.github.io/Logging_0980/kartor/A 7156-2020 karta.png", "A 7156-2020")</f>
        <v/>
      </c>
      <c r="V121">
        <f>HYPERLINK("https://klasma.github.io/Logging_0980/klagomål/A 7156-2020 FSC-klagomål.docx", "A 7156-2020")</f>
        <v/>
      </c>
      <c r="W121">
        <f>HYPERLINK("https://klasma.github.io/Logging_0980/klagomålsmail/A 7156-2020 FSC-klagomål mail.docx", "A 7156-2020")</f>
        <v/>
      </c>
      <c r="X121">
        <f>HYPERLINK("https://klasma.github.io/Logging_0980/tillsyn/A 7156-2020 tillsynsbegäran.docx", "A 7156-2020")</f>
        <v/>
      </c>
      <c r="Y121">
        <f>HYPERLINK("https://klasma.github.io/Logging_0980/tillsynsmail/A 7156-2020 tillsynsbegäran mail.docx", "A 7156-2020")</f>
        <v/>
      </c>
    </row>
    <row r="122" ht="15" customHeight="1">
      <c r="A122" t="inlineStr">
        <is>
          <t>A 10707-2020</t>
        </is>
      </c>
      <c r="B122" s="1" t="n">
        <v>43888</v>
      </c>
      <c r="C122" s="1" t="n">
        <v>45638</v>
      </c>
      <c r="D122" t="inlineStr">
        <is>
          <t>GOTLANDS LÄN</t>
        </is>
      </c>
      <c r="E122" t="inlineStr">
        <is>
          <t>GOTLAND</t>
        </is>
      </c>
      <c r="F122" t="inlineStr">
        <is>
          <t>Övriga statliga verk och myndigheter</t>
        </is>
      </c>
      <c r="G122" t="n">
        <v>27.7</v>
      </c>
      <c r="H122" t="n">
        <v>0</v>
      </c>
      <c r="I122" t="n">
        <v>0</v>
      </c>
      <c r="J122" t="n">
        <v>3</v>
      </c>
      <c r="K122" t="n">
        <v>0</v>
      </c>
      <c r="L122" t="n">
        <v>0</v>
      </c>
      <c r="M122" t="n">
        <v>0</v>
      </c>
      <c r="N122" t="n">
        <v>0</v>
      </c>
      <c r="O122" t="n">
        <v>3</v>
      </c>
      <c r="P122" t="n">
        <v>0</v>
      </c>
      <c r="Q122" t="n">
        <v>3</v>
      </c>
      <c r="R122" s="2" t="inlineStr">
        <is>
          <t>Grådådra
Mindre blåvinge
Ängsnätfjäril</t>
        </is>
      </c>
      <c r="S122">
        <f>HYPERLINK("https://klasma.github.io/Logging_0980/artfynd/A 10707-2020 artfynd.xlsx", "A 10707-2020")</f>
        <v/>
      </c>
      <c r="T122">
        <f>HYPERLINK("https://klasma.github.io/Logging_0980/kartor/A 10707-2020 karta.png", "A 10707-2020")</f>
        <v/>
      </c>
      <c r="V122">
        <f>HYPERLINK("https://klasma.github.io/Logging_0980/klagomål/A 10707-2020 FSC-klagomål.docx", "A 10707-2020")</f>
        <v/>
      </c>
      <c r="W122">
        <f>HYPERLINK("https://klasma.github.io/Logging_0980/klagomålsmail/A 10707-2020 FSC-klagomål mail.docx", "A 10707-2020")</f>
        <v/>
      </c>
      <c r="X122">
        <f>HYPERLINK("https://klasma.github.io/Logging_0980/tillsyn/A 10707-2020 tillsynsbegäran.docx", "A 10707-2020")</f>
        <v/>
      </c>
      <c r="Y122">
        <f>HYPERLINK("https://klasma.github.io/Logging_0980/tillsynsmail/A 10707-2020 tillsynsbegäran mail.docx", "A 10707-2020")</f>
        <v/>
      </c>
    </row>
    <row r="123" ht="15" customHeight="1">
      <c r="A123" t="inlineStr">
        <is>
          <t>A 55029-2020</t>
        </is>
      </c>
      <c r="B123" s="1" t="n">
        <v>44130</v>
      </c>
      <c r="C123" s="1" t="n">
        <v>45638</v>
      </c>
      <c r="D123" t="inlineStr">
        <is>
          <t>GOTLANDS LÄN</t>
        </is>
      </c>
      <c r="E123" t="inlineStr">
        <is>
          <t>GOTLAND</t>
        </is>
      </c>
      <c r="G123" t="n">
        <v>6.9</v>
      </c>
      <c r="H123" t="n">
        <v>1</v>
      </c>
      <c r="I123" t="n">
        <v>2</v>
      </c>
      <c r="J123" t="n">
        <v>1</v>
      </c>
      <c r="K123" t="n">
        <v>0</v>
      </c>
      <c r="L123" t="n">
        <v>0</v>
      </c>
      <c r="M123" t="n">
        <v>0</v>
      </c>
      <c r="N123" t="n">
        <v>0</v>
      </c>
      <c r="O123" t="n">
        <v>1</v>
      </c>
      <c r="P123" t="n">
        <v>0</v>
      </c>
      <c r="Q123" t="n">
        <v>3</v>
      </c>
      <c r="R123" s="2" t="inlineStr">
        <is>
          <t>Dårgräsfjäril
Anisspindling
Granbarkgnagare</t>
        </is>
      </c>
      <c r="S123">
        <f>HYPERLINK("https://klasma.github.io/Logging_0980/artfynd/A 55029-2020 artfynd.xlsx", "A 55029-2020")</f>
        <v/>
      </c>
      <c r="T123">
        <f>HYPERLINK("https://klasma.github.io/Logging_0980/kartor/A 55029-2020 karta.png", "A 55029-2020")</f>
        <v/>
      </c>
      <c r="V123">
        <f>HYPERLINK("https://klasma.github.io/Logging_0980/klagomål/A 55029-2020 FSC-klagomål.docx", "A 55029-2020")</f>
        <v/>
      </c>
      <c r="W123">
        <f>HYPERLINK("https://klasma.github.io/Logging_0980/klagomålsmail/A 55029-2020 FSC-klagomål mail.docx", "A 55029-2020")</f>
        <v/>
      </c>
      <c r="X123">
        <f>HYPERLINK("https://klasma.github.io/Logging_0980/tillsyn/A 55029-2020 tillsynsbegäran.docx", "A 55029-2020")</f>
        <v/>
      </c>
      <c r="Y123">
        <f>HYPERLINK("https://klasma.github.io/Logging_0980/tillsynsmail/A 55029-2020 tillsynsbegäran mail.docx", "A 55029-2020")</f>
        <v/>
      </c>
    </row>
    <row r="124" ht="15" customHeight="1">
      <c r="A124" t="inlineStr">
        <is>
          <t>A 62326-2020</t>
        </is>
      </c>
      <c r="B124" s="1" t="n">
        <v>44160</v>
      </c>
      <c r="C124" s="1" t="n">
        <v>45638</v>
      </c>
      <c r="D124" t="inlineStr">
        <is>
          <t>GOTLANDS LÄN</t>
        </is>
      </c>
      <c r="E124" t="inlineStr">
        <is>
          <t>GOTLAND</t>
        </is>
      </c>
      <c r="G124" t="n">
        <v>7.4</v>
      </c>
      <c r="H124" t="n">
        <v>1</v>
      </c>
      <c r="I124" t="n">
        <v>3</v>
      </c>
      <c r="J124" t="n">
        <v>0</v>
      </c>
      <c r="K124" t="n">
        <v>0</v>
      </c>
      <c r="L124" t="n">
        <v>0</v>
      </c>
      <c r="M124" t="n">
        <v>0</v>
      </c>
      <c r="N124" t="n">
        <v>0</v>
      </c>
      <c r="O124" t="n">
        <v>0</v>
      </c>
      <c r="P124" t="n">
        <v>0</v>
      </c>
      <c r="Q124" t="n">
        <v>3</v>
      </c>
      <c r="R124" s="2" t="inlineStr">
        <is>
          <t>Anisspindling
Blåmossa
Skogsknipprot</t>
        </is>
      </c>
      <c r="S124">
        <f>HYPERLINK("https://klasma.github.io/Logging_0980/artfynd/A 62326-2020 artfynd.xlsx", "A 62326-2020")</f>
        <v/>
      </c>
      <c r="T124">
        <f>HYPERLINK("https://klasma.github.io/Logging_0980/kartor/A 62326-2020 karta.png", "A 62326-2020")</f>
        <v/>
      </c>
      <c r="V124">
        <f>HYPERLINK("https://klasma.github.io/Logging_0980/klagomål/A 62326-2020 FSC-klagomål.docx", "A 62326-2020")</f>
        <v/>
      </c>
      <c r="W124">
        <f>HYPERLINK("https://klasma.github.io/Logging_0980/klagomålsmail/A 62326-2020 FSC-klagomål mail.docx", "A 62326-2020")</f>
        <v/>
      </c>
      <c r="X124">
        <f>HYPERLINK("https://klasma.github.io/Logging_0980/tillsyn/A 62326-2020 tillsynsbegäran.docx", "A 62326-2020")</f>
        <v/>
      </c>
      <c r="Y124">
        <f>HYPERLINK("https://klasma.github.io/Logging_0980/tillsynsmail/A 62326-2020 tillsynsbegäran mail.docx", "A 62326-2020")</f>
        <v/>
      </c>
    </row>
    <row r="125" ht="15" customHeight="1">
      <c r="A125" t="inlineStr">
        <is>
          <t>A 2332-2021</t>
        </is>
      </c>
      <c r="B125" s="1" t="n">
        <v>44214</v>
      </c>
      <c r="C125" s="1" t="n">
        <v>45638</v>
      </c>
      <c r="D125" t="inlineStr">
        <is>
          <t>GOTLANDS LÄN</t>
        </is>
      </c>
      <c r="E125" t="inlineStr">
        <is>
          <t>GOTLAND</t>
        </is>
      </c>
      <c r="G125" t="n">
        <v>2.3</v>
      </c>
      <c r="H125" t="n">
        <v>2</v>
      </c>
      <c r="I125" t="n">
        <v>0</v>
      </c>
      <c r="J125" t="n">
        <v>1</v>
      </c>
      <c r="K125" t="n">
        <v>0</v>
      </c>
      <c r="L125" t="n">
        <v>0</v>
      </c>
      <c r="M125" t="n">
        <v>0</v>
      </c>
      <c r="N125" t="n">
        <v>0</v>
      </c>
      <c r="O125" t="n">
        <v>1</v>
      </c>
      <c r="P125" t="n">
        <v>0</v>
      </c>
      <c r="Q125" t="n">
        <v>3</v>
      </c>
      <c r="R125" s="2" t="inlineStr">
        <is>
          <t>Korpnopping
Sankt pers nycklar
Blåsippa</t>
        </is>
      </c>
      <c r="S125">
        <f>HYPERLINK("https://klasma.github.io/Logging_0980/artfynd/A 2332-2021 artfynd.xlsx", "A 2332-2021")</f>
        <v/>
      </c>
      <c r="T125">
        <f>HYPERLINK("https://klasma.github.io/Logging_0980/kartor/A 2332-2021 karta.png", "A 2332-2021")</f>
        <v/>
      </c>
      <c r="V125">
        <f>HYPERLINK("https://klasma.github.io/Logging_0980/klagomål/A 2332-2021 FSC-klagomål.docx", "A 2332-2021")</f>
        <v/>
      </c>
      <c r="W125">
        <f>HYPERLINK("https://klasma.github.io/Logging_0980/klagomålsmail/A 2332-2021 FSC-klagomål mail.docx", "A 2332-2021")</f>
        <v/>
      </c>
      <c r="X125">
        <f>HYPERLINK("https://klasma.github.io/Logging_0980/tillsyn/A 2332-2021 tillsynsbegäran.docx", "A 2332-2021")</f>
        <v/>
      </c>
      <c r="Y125">
        <f>HYPERLINK("https://klasma.github.io/Logging_0980/tillsynsmail/A 2332-2021 tillsynsbegäran mail.docx", "A 2332-2021")</f>
        <v/>
      </c>
    </row>
    <row r="126" ht="15" customHeight="1">
      <c r="A126" t="inlineStr">
        <is>
          <t>A 12519-2021</t>
        </is>
      </c>
      <c r="B126" s="1" t="n">
        <v>44269</v>
      </c>
      <c r="C126" s="1" t="n">
        <v>45638</v>
      </c>
      <c r="D126" t="inlineStr">
        <is>
          <t>GOTLANDS LÄN</t>
        </is>
      </c>
      <c r="E126" t="inlineStr">
        <is>
          <t>GOTLAND</t>
        </is>
      </c>
      <c r="F126" t="inlineStr">
        <is>
          <t>Kyrkan</t>
        </is>
      </c>
      <c r="G126" t="n">
        <v>3.4</v>
      </c>
      <c r="H126" t="n">
        <v>0</v>
      </c>
      <c r="I126" t="n">
        <v>2</v>
      </c>
      <c r="J126" t="n">
        <v>1</v>
      </c>
      <c r="K126" t="n">
        <v>0</v>
      </c>
      <c r="L126" t="n">
        <v>0</v>
      </c>
      <c r="M126" t="n">
        <v>0</v>
      </c>
      <c r="N126" t="n">
        <v>0</v>
      </c>
      <c r="O126" t="n">
        <v>1</v>
      </c>
      <c r="P126" t="n">
        <v>0</v>
      </c>
      <c r="Q126" t="n">
        <v>3</v>
      </c>
      <c r="R126" s="2" t="inlineStr">
        <is>
          <t>Loppstarr
Rödgul trumpetsvamp
Vågbandad barkbock</t>
        </is>
      </c>
      <c r="S126">
        <f>HYPERLINK("https://klasma.github.io/Logging_0980/artfynd/A 12519-2021 artfynd.xlsx", "A 12519-2021")</f>
        <v/>
      </c>
      <c r="T126">
        <f>HYPERLINK("https://klasma.github.io/Logging_0980/kartor/A 12519-2021 karta.png", "A 12519-2021")</f>
        <v/>
      </c>
      <c r="V126">
        <f>HYPERLINK("https://klasma.github.io/Logging_0980/klagomål/A 12519-2021 FSC-klagomål.docx", "A 12519-2021")</f>
        <v/>
      </c>
      <c r="W126">
        <f>HYPERLINK("https://klasma.github.io/Logging_0980/klagomålsmail/A 12519-2021 FSC-klagomål mail.docx", "A 12519-2021")</f>
        <v/>
      </c>
      <c r="X126">
        <f>HYPERLINK("https://klasma.github.io/Logging_0980/tillsyn/A 12519-2021 tillsynsbegäran.docx", "A 12519-2021")</f>
        <v/>
      </c>
      <c r="Y126">
        <f>HYPERLINK("https://klasma.github.io/Logging_0980/tillsynsmail/A 12519-2021 tillsynsbegäran mail.docx", "A 12519-2021")</f>
        <v/>
      </c>
    </row>
    <row r="127" ht="15" customHeight="1">
      <c r="A127" t="inlineStr">
        <is>
          <t>A 32666-2021</t>
        </is>
      </c>
      <c r="B127" s="1" t="n">
        <v>44375</v>
      </c>
      <c r="C127" s="1" t="n">
        <v>45638</v>
      </c>
      <c r="D127" t="inlineStr">
        <is>
          <t>GOTLANDS LÄN</t>
        </is>
      </c>
      <c r="E127" t="inlineStr">
        <is>
          <t>GOTLAND</t>
        </is>
      </c>
      <c r="G127" t="n">
        <v>0.9</v>
      </c>
      <c r="H127" t="n">
        <v>1</v>
      </c>
      <c r="I127" t="n">
        <v>2</v>
      </c>
      <c r="J127" t="n">
        <v>0</v>
      </c>
      <c r="K127" t="n">
        <v>1</v>
      </c>
      <c r="L127" t="n">
        <v>0</v>
      </c>
      <c r="M127" t="n">
        <v>0</v>
      </c>
      <c r="N127" t="n">
        <v>0</v>
      </c>
      <c r="O127" t="n">
        <v>1</v>
      </c>
      <c r="P127" t="n">
        <v>1</v>
      </c>
      <c r="Q127" t="n">
        <v>3</v>
      </c>
      <c r="R127" s="2" t="inlineStr">
        <is>
          <t>Skogskorn
Myskmadra
Vit skogslilja</t>
        </is>
      </c>
      <c r="S127">
        <f>HYPERLINK("https://klasma.github.io/Logging_0980/artfynd/A 32666-2021 artfynd.xlsx", "A 32666-2021")</f>
        <v/>
      </c>
      <c r="T127">
        <f>HYPERLINK("https://klasma.github.io/Logging_0980/kartor/A 32666-2021 karta.png", "A 32666-2021")</f>
        <v/>
      </c>
      <c r="V127">
        <f>HYPERLINK("https://klasma.github.io/Logging_0980/klagomål/A 32666-2021 FSC-klagomål.docx", "A 32666-2021")</f>
        <v/>
      </c>
      <c r="W127">
        <f>HYPERLINK("https://klasma.github.io/Logging_0980/klagomålsmail/A 32666-2021 FSC-klagomål mail.docx", "A 32666-2021")</f>
        <v/>
      </c>
      <c r="X127">
        <f>HYPERLINK("https://klasma.github.io/Logging_0980/tillsyn/A 32666-2021 tillsynsbegäran.docx", "A 32666-2021")</f>
        <v/>
      </c>
      <c r="Y127">
        <f>HYPERLINK("https://klasma.github.io/Logging_0980/tillsynsmail/A 32666-2021 tillsynsbegäran mail.docx", "A 32666-2021")</f>
        <v/>
      </c>
    </row>
    <row r="128" ht="15" customHeight="1">
      <c r="A128" t="inlineStr">
        <is>
          <t>A 32718-2021</t>
        </is>
      </c>
      <c r="B128" s="1" t="n">
        <v>44375</v>
      </c>
      <c r="C128" s="1" t="n">
        <v>45638</v>
      </c>
      <c r="D128" t="inlineStr">
        <is>
          <t>GOTLANDS LÄN</t>
        </is>
      </c>
      <c r="E128" t="inlineStr">
        <is>
          <t>GOTLAND</t>
        </is>
      </c>
      <c r="G128" t="n">
        <v>2.1</v>
      </c>
      <c r="H128" t="n">
        <v>0</v>
      </c>
      <c r="I128" t="n">
        <v>1</v>
      </c>
      <c r="J128" t="n">
        <v>1</v>
      </c>
      <c r="K128" t="n">
        <v>1</v>
      </c>
      <c r="L128" t="n">
        <v>0</v>
      </c>
      <c r="M128" t="n">
        <v>0</v>
      </c>
      <c r="N128" t="n">
        <v>0</v>
      </c>
      <c r="O128" t="n">
        <v>2</v>
      </c>
      <c r="P128" t="n">
        <v>1</v>
      </c>
      <c r="Q128" t="n">
        <v>3</v>
      </c>
      <c r="R128" s="2" t="inlineStr">
        <is>
          <t>Skogskorn
Skugglosta
Strävlosta</t>
        </is>
      </c>
      <c r="S128">
        <f>HYPERLINK("https://klasma.github.io/Logging_0980/artfynd/A 32718-2021 artfynd.xlsx", "A 32718-2021")</f>
        <v/>
      </c>
      <c r="T128">
        <f>HYPERLINK("https://klasma.github.io/Logging_0980/kartor/A 32718-2021 karta.png", "A 32718-2021")</f>
        <v/>
      </c>
      <c r="V128">
        <f>HYPERLINK("https://klasma.github.io/Logging_0980/klagomål/A 32718-2021 FSC-klagomål.docx", "A 32718-2021")</f>
        <v/>
      </c>
      <c r="W128">
        <f>HYPERLINK("https://klasma.github.io/Logging_0980/klagomålsmail/A 32718-2021 FSC-klagomål mail.docx", "A 32718-2021")</f>
        <v/>
      </c>
      <c r="X128">
        <f>HYPERLINK("https://klasma.github.io/Logging_0980/tillsyn/A 32718-2021 tillsynsbegäran.docx", "A 32718-2021")</f>
        <v/>
      </c>
      <c r="Y128">
        <f>HYPERLINK("https://klasma.github.io/Logging_0980/tillsynsmail/A 32718-2021 tillsynsbegäran mail.docx", "A 32718-2021")</f>
        <v/>
      </c>
    </row>
    <row r="129" ht="15" customHeight="1">
      <c r="A129" t="inlineStr">
        <is>
          <t>A 44323-2021</t>
        </is>
      </c>
      <c r="B129" s="1" t="n">
        <v>44434</v>
      </c>
      <c r="C129" s="1" t="n">
        <v>45638</v>
      </c>
      <c r="D129" t="inlineStr">
        <is>
          <t>GOTLANDS LÄN</t>
        </is>
      </c>
      <c r="E129" t="inlineStr">
        <is>
          <t>GOTLAND</t>
        </is>
      </c>
      <c r="G129" t="n">
        <v>7.5</v>
      </c>
      <c r="H129" t="n">
        <v>1</v>
      </c>
      <c r="I129" t="n">
        <v>3</v>
      </c>
      <c r="J129" t="n">
        <v>0</v>
      </c>
      <c r="K129" t="n">
        <v>0</v>
      </c>
      <c r="L129" t="n">
        <v>0</v>
      </c>
      <c r="M129" t="n">
        <v>0</v>
      </c>
      <c r="N129" t="n">
        <v>0</v>
      </c>
      <c r="O129" t="n">
        <v>0</v>
      </c>
      <c r="P129" t="n">
        <v>0</v>
      </c>
      <c r="Q129" t="n">
        <v>3</v>
      </c>
      <c r="R129" s="2" t="inlineStr">
        <is>
          <t>Anisspindling
Barrfagerspindling
Skogsknipprot</t>
        </is>
      </c>
      <c r="S129">
        <f>HYPERLINK("https://klasma.github.io/Logging_0980/artfynd/A 44323-2021 artfynd.xlsx", "A 44323-2021")</f>
        <v/>
      </c>
      <c r="T129">
        <f>HYPERLINK("https://klasma.github.io/Logging_0980/kartor/A 44323-2021 karta.png", "A 44323-2021")</f>
        <v/>
      </c>
      <c r="V129">
        <f>HYPERLINK("https://klasma.github.io/Logging_0980/klagomål/A 44323-2021 FSC-klagomål.docx", "A 44323-2021")</f>
        <v/>
      </c>
      <c r="W129">
        <f>HYPERLINK("https://klasma.github.io/Logging_0980/klagomålsmail/A 44323-2021 FSC-klagomål mail.docx", "A 44323-2021")</f>
        <v/>
      </c>
      <c r="X129">
        <f>HYPERLINK("https://klasma.github.io/Logging_0980/tillsyn/A 44323-2021 tillsynsbegäran.docx", "A 44323-2021")</f>
        <v/>
      </c>
      <c r="Y129">
        <f>HYPERLINK("https://klasma.github.io/Logging_0980/tillsynsmail/A 44323-2021 tillsynsbegäran mail.docx", "A 44323-2021")</f>
        <v/>
      </c>
    </row>
    <row r="130" ht="15" customHeight="1">
      <c r="A130" t="inlineStr">
        <is>
          <t>A 53552-2021</t>
        </is>
      </c>
      <c r="B130" s="1" t="n">
        <v>44468</v>
      </c>
      <c r="C130" s="1" t="n">
        <v>45638</v>
      </c>
      <c r="D130" t="inlineStr">
        <is>
          <t>GOTLANDS LÄN</t>
        </is>
      </c>
      <c r="E130" t="inlineStr">
        <is>
          <t>GOTLAND</t>
        </is>
      </c>
      <c r="G130" t="n">
        <v>6.2</v>
      </c>
      <c r="H130" t="n">
        <v>2</v>
      </c>
      <c r="I130" t="n">
        <v>0</v>
      </c>
      <c r="J130" t="n">
        <v>1</v>
      </c>
      <c r="K130" t="n">
        <v>0</v>
      </c>
      <c r="L130" t="n">
        <v>0</v>
      </c>
      <c r="M130" t="n">
        <v>0</v>
      </c>
      <c r="N130" t="n">
        <v>0</v>
      </c>
      <c r="O130" t="n">
        <v>1</v>
      </c>
      <c r="P130" t="n">
        <v>0</v>
      </c>
      <c r="Q130" t="n">
        <v>3</v>
      </c>
      <c r="R130" s="2" t="inlineStr">
        <is>
          <t>Bredbrämad bastardsvärmare
Grönvit nattviol
Gullviva</t>
        </is>
      </c>
      <c r="S130">
        <f>HYPERLINK("https://klasma.github.io/Logging_0980/artfynd/A 53552-2021 artfynd.xlsx", "A 53552-2021")</f>
        <v/>
      </c>
      <c r="T130">
        <f>HYPERLINK("https://klasma.github.io/Logging_0980/kartor/A 53552-2021 karta.png", "A 53552-2021")</f>
        <v/>
      </c>
      <c r="V130">
        <f>HYPERLINK("https://klasma.github.io/Logging_0980/klagomål/A 53552-2021 FSC-klagomål.docx", "A 53552-2021")</f>
        <v/>
      </c>
      <c r="W130">
        <f>HYPERLINK("https://klasma.github.io/Logging_0980/klagomålsmail/A 53552-2021 FSC-klagomål mail.docx", "A 53552-2021")</f>
        <v/>
      </c>
      <c r="X130">
        <f>HYPERLINK("https://klasma.github.io/Logging_0980/tillsyn/A 53552-2021 tillsynsbegäran.docx", "A 53552-2021")</f>
        <v/>
      </c>
      <c r="Y130">
        <f>HYPERLINK("https://klasma.github.io/Logging_0980/tillsynsmail/A 53552-2021 tillsynsbegäran mail.docx", "A 53552-2021")</f>
        <v/>
      </c>
    </row>
    <row r="131" ht="15" customHeight="1">
      <c r="A131" t="inlineStr">
        <is>
          <t>A 58821-2021</t>
        </is>
      </c>
      <c r="B131" s="1" t="n">
        <v>44489</v>
      </c>
      <c r="C131" s="1" t="n">
        <v>45638</v>
      </c>
      <c r="D131" t="inlineStr">
        <is>
          <t>GOTLANDS LÄN</t>
        </is>
      </c>
      <c r="E131" t="inlineStr">
        <is>
          <t>GOTLAND</t>
        </is>
      </c>
      <c r="G131" t="n">
        <v>2.5</v>
      </c>
      <c r="H131" t="n">
        <v>3</v>
      </c>
      <c r="I131" t="n">
        <v>1</v>
      </c>
      <c r="J131" t="n">
        <v>2</v>
      </c>
      <c r="K131" t="n">
        <v>0</v>
      </c>
      <c r="L131" t="n">
        <v>0</v>
      </c>
      <c r="M131" t="n">
        <v>0</v>
      </c>
      <c r="N131" t="n">
        <v>0</v>
      </c>
      <c r="O131" t="n">
        <v>2</v>
      </c>
      <c r="P131" t="n">
        <v>0</v>
      </c>
      <c r="Q131" t="n">
        <v>3</v>
      </c>
      <c r="R131" s="2" t="inlineStr">
        <is>
          <t>Apollofjäril
Svartfläckig blåvinge
Nästrot</t>
        </is>
      </c>
      <c r="S131">
        <f>HYPERLINK("https://klasma.github.io/Logging_0980/artfynd/A 58821-2021 artfynd.xlsx", "A 58821-2021")</f>
        <v/>
      </c>
      <c r="T131">
        <f>HYPERLINK("https://klasma.github.io/Logging_0980/kartor/A 58821-2021 karta.png", "A 58821-2021")</f>
        <v/>
      </c>
      <c r="V131">
        <f>HYPERLINK("https://klasma.github.io/Logging_0980/klagomål/A 58821-2021 FSC-klagomål.docx", "A 58821-2021")</f>
        <v/>
      </c>
      <c r="W131">
        <f>HYPERLINK("https://klasma.github.io/Logging_0980/klagomålsmail/A 58821-2021 FSC-klagomål mail.docx", "A 58821-2021")</f>
        <v/>
      </c>
      <c r="X131">
        <f>HYPERLINK("https://klasma.github.io/Logging_0980/tillsyn/A 58821-2021 tillsynsbegäran.docx", "A 58821-2021")</f>
        <v/>
      </c>
      <c r="Y131">
        <f>HYPERLINK("https://klasma.github.io/Logging_0980/tillsynsmail/A 58821-2021 tillsynsbegäran mail.docx", "A 58821-2021")</f>
        <v/>
      </c>
    </row>
    <row r="132" ht="15" customHeight="1">
      <c r="A132" t="inlineStr">
        <is>
          <t>A 13499-2022</t>
        </is>
      </c>
      <c r="B132" s="1" t="n">
        <v>44647</v>
      </c>
      <c r="C132" s="1" t="n">
        <v>45638</v>
      </c>
      <c r="D132" t="inlineStr">
        <is>
          <t>GOTLANDS LÄN</t>
        </is>
      </c>
      <c r="E132" t="inlineStr">
        <is>
          <t>GOTLAND</t>
        </is>
      </c>
      <c r="G132" t="n">
        <v>6.8</v>
      </c>
      <c r="H132" t="n">
        <v>3</v>
      </c>
      <c r="I132" t="n">
        <v>0</v>
      </c>
      <c r="J132" t="n">
        <v>1</v>
      </c>
      <c r="K132" t="n">
        <v>0</v>
      </c>
      <c r="L132" t="n">
        <v>0</v>
      </c>
      <c r="M132" t="n">
        <v>0</v>
      </c>
      <c r="N132" t="n">
        <v>0</v>
      </c>
      <c r="O132" t="n">
        <v>1</v>
      </c>
      <c r="P132" t="n">
        <v>0</v>
      </c>
      <c r="Q132" t="n">
        <v>3</v>
      </c>
      <c r="R132" s="2" t="inlineStr">
        <is>
          <t>Spillkråka
Sankt pers nycklar
Blåsippa</t>
        </is>
      </c>
      <c r="S132">
        <f>HYPERLINK("https://klasma.github.io/Logging_0980/artfynd/A 13499-2022 artfynd.xlsx", "A 13499-2022")</f>
        <v/>
      </c>
      <c r="T132">
        <f>HYPERLINK("https://klasma.github.io/Logging_0980/kartor/A 13499-2022 karta.png", "A 13499-2022")</f>
        <v/>
      </c>
      <c r="V132">
        <f>HYPERLINK("https://klasma.github.io/Logging_0980/klagomål/A 13499-2022 FSC-klagomål.docx", "A 13499-2022")</f>
        <v/>
      </c>
      <c r="W132">
        <f>HYPERLINK("https://klasma.github.io/Logging_0980/klagomålsmail/A 13499-2022 FSC-klagomål mail.docx", "A 13499-2022")</f>
        <v/>
      </c>
      <c r="X132">
        <f>HYPERLINK("https://klasma.github.io/Logging_0980/tillsyn/A 13499-2022 tillsynsbegäran.docx", "A 13499-2022")</f>
        <v/>
      </c>
      <c r="Y132">
        <f>HYPERLINK("https://klasma.github.io/Logging_0980/tillsynsmail/A 13499-2022 tillsynsbegäran mail.docx", "A 13499-2022")</f>
        <v/>
      </c>
      <c r="Z132">
        <f>HYPERLINK("https://klasma.github.io/Logging_0980/fåglar/A 13499-2022 prioriterade fågelarter.docx", "A 13499-2022")</f>
        <v/>
      </c>
    </row>
    <row r="133" ht="15" customHeight="1">
      <c r="A133" t="inlineStr">
        <is>
          <t>A 43013-2022</t>
        </is>
      </c>
      <c r="B133" s="1" t="n">
        <v>44833</v>
      </c>
      <c r="C133" s="1" t="n">
        <v>45638</v>
      </c>
      <c r="D133" t="inlineStr">
        <is>
          <t>GOTLANDS LÄN</t>
        </is>
      </c>
      <c r="E133" t="inlineStr">
        <is>
          <t>GOTLAND</t>
        </is>
      </c>
      <c r="G133" t="n">
        <v>9.300000000000001</v>
      </c>
      <c r="H133" t="n">
        <v>0</v>
      </c>
      <c r="I133" t="n">
        <v>2</v>
      </c>
      <c r="J133" t="n">
        <v>0</v>
      </c>
      <c r="K133" t="n">
        <v>1</v>
      </c>
      <c r="L133" t="n">
        <v>0</v>
      </c>
      <c r="M133" t="n">
        <v>0</v>
      </c>
      <c r="N133" t="n">
        <v>0</v>
      </c>
      <c r="O133" t="n">
        <v>1</v>
      </c>
      <c r="P133" t="n">
        <v>1</v>
      </c>
      <c r="Q133" t="n">
        <v>3</v>
      </c>
      <c r="R133" s="2" t="inlineStr">
        <is>
          <t>Violettfläckig spindling
Anisspindling
Blå slemspindling</t>
        </is>
      </c>
      <c r="S133">
        <f>HYPERLINK("https://klasma.github.io/Logging_0980/artfynd/A 43013-2022 artfynd.xlsx", "A 43013-2022")</f>
        <v/>
      </c>
      <c r="T133">
        <f>HYPERLINK("https://klasma.github.io/Logging_0980/kartor/A 43013-2022 karta.png", "A 43013-2022")</f>
        <v/>
      </c>
      <c r="V133">
        <f>HYPERLINK("https://klasma.github.io/Logging_0980/klagomål/A 43013-2022 FSC-klagomål.docx", "A 43013-2022")</f>
        <v/>
      </c>
      <c r="W133">
        <f>HYPERLINK("https://klasma.github.io/Logging_0980/klagomålsmail/A 43013-2022 FSC-klagomål mail.docx", "A 43013-2022")</f>
        <v/>
      </c>
      <c r="X133">
        <f>HYPERLINK("https://klasma.github.io/Logging_0980/tillsyn/A 43013-2022 tillsynsbegäran.docx", "A 43013-2022")</f>
        <v/>
      </c>
      <c r="Y133">
        <f>HYPERLINK("https://klasma.github.io/Logging_0980/tillsynsmail/A 43013-2022 tillsynsbegäran mail.docx", "A 43013-2022")</f>
        <v/>
      </c>
    </row>
    <row r="134" ht="15" customHeight="1">
      <c r="A134" t="inlineStr">
        <is>
          <t>A 44913-2022</t>
        </is>
      </c>
      <c r="B134" s="1" t="n">
        <v>44841</v>
      </c>
      <c r="C134" s="1" t="n">
        <v>45638</v>
      </c>
      <c r="D134" t="inlineStr">
        <is>
          <t>GOTLANDS LÄN</t>
        </is>
      </c>
      <c r="E134" t="inlineStr">
        <is>
          <t>GOTLAND</t>
        </is>
      </c>
      <c r="G134" t="n">
        <v>8.800000000000001</v>
      </c>
      <c r="H134" t="n">
        <v>1</v>
      </c>
      <c r="I134" t="n">
        <v>1</v>
      </c>
      <c r="J134" t="n">
        <v>1</v>
      </c>
      <c r="K134" t="n">
        <v>0</v>
      </c>
      <c r="L134" t="n">
        <v>0</v>
      </c>
      <c r="M134" t="n">
        <v>0</v>
      </c>
      <c r="N134" t="n">
        <v>0</v>
      </c>
      <c r="O134" t="n">
        <v>1</v>
      </c>
      <c r="P134" t="n">
        <v>0</v>
      </c>
      <c r="Q134" t="n">
        <v>3</v>
      </c>
      <c r="R134" s="2" t="inlineStr">
        <is>
          <t>Odörspindling
Granbarkgnagare
Kärrknipprot</t>
        </is>
      </c>
      <c r="S134">
        <f>HYPERLINK("https://klasma.github.io/Logging_0980/artfynd/A 44913-2022 artfynd.xlsx", "A 44913-2022")</f>
        <v/>
      </c>
      <c r="T134">
        <f>HYPERLINK("https://klasma.github.io/Logging_0980/kartor/A 44913-2022 karta.png", "A 44913-2022")</f>
        <v/>
      </c>
      <c r="V134">
        <f>HYPERLINK("https://klasma.github.io/Logging_0980/klagomål/A 44913-2022 FSC-klagomål.docx", "A 44913-2022")</f>
        <v/>
      </c>
      <c r="W134">
        <f>HYPERLINK("https://klasma.github.io/Logging_0980/klagomålsmail/A 44913-2022 FSC-klagomål mail.docx", "A 44913-2022")</f>
        <v/>
      </c>
      <c r="X134">
        <f>HYPERLINK("https://klasma.github.io/Logging_0980/tillsyn/A 44913-2022 tillsynsbegäran.docx", "A 44913-2022")</f>
        <v/>
      </c>
      <c r="Y134">
        <f>HYPERLINK("https://klasma.github.io/Logging_0980/tillsynsmail/A 44913-2022 tillsynsbegäran mail.docx", "A 44913-2022")</f>
        <v/>
      </c>
    </row>
    <row r="135" ht="15" customHeight="1">
      <c r="A135" t="inlineStr">
        <is>
          <t>A 17982-2023</t>
        </is>
      </c>
      <c r="B135" s="1" t="n">
        <v>45040</v>
      </c>
      <c r="C135" s="1" t="n">
        <v>45638</v>
      </c>
      <c r="D135" t="inlineStr">
        <is>
          <t>GOTLANDS LÄN</t>
        </is>
      </c>
      <c r="E135" t="inlineStr">
        <is>
          <t>GOTLAND</t>
        </is>
      </c>
      <c r="G135" t="n">
        <v>2.2</v>
      </c>
      <c r="H135" t="n">
        <v>0</v>
      </c>
      <c r="I135" t="n">
        <v>0</v>
      </c>
      <c r="J135" t="n">
        <v>2</v>
      </c>
      <c r="K135" t="n">
        <v>0</v>
      </c>
      <c r="L135" t="n">
        <v>0</v>
      </c>
      <c r="M135" t="n">
        <v>1</v>
      </c>
      <c r="N135" t="n">
        <v>0</v>
      </c>
      <c r="O135" t="n">
        <v>3</v>
      </c>
      <c r="P135" t="n">
        <v>1</v>
      </c>
      <c r="Q135" t="n">
        <v>3</v>
      </c>
      <c r="R135" s="2" t="inlineStr">
        <is>
          <t>Lundalm
Krusfrö
Ängsskära</t>
        </is>
      </c>
      <c r="S135">
        <f>HYPERLINK("https://klasma.github.io/Logging_0980/artfynd/A 17982-2023 artfynd.xlsx", "A 17982-2023")</f>
        <v/>
      </c>
      <c r="T135">
        <f>HYPERLINK("https://klasma.github.io/Logging_0980/kartor/A 17982-2023 karta.png", "A 17982-2023")</f>
        <v/>
      </c>
      <c r="V135">
        <f>HYPERLINK("https://klasma.github.io/Logging_0980/klagomål/A 17982-2023 FSC-klagomål.docx", "A 17982-2023")</f>
        <v/>
      </c>
      <c r="W135">
        <f>HYPERLINK("https://klasma.github.io/Logging_0980/klagomålsmail/A 17982-2023 FSC-klagomål mail.docx", "A 17982-2023")</f>
        <v/>
      </c>
      <c r="X135">
        <f>HYPERLINK("https://klasma.github.io/Logging_0980/tillsyn/A 17982-2023 tillsynsbegäran.docx", "A 17982-2023")</f>
        <v/>
      </c>
      <c r="Y135">
        <f>HYPERLINK("https://klasma.github.io/Logging_0980/tillsynsmail/A 17982-2023 tillsynsbegäran mail.docx", "A 17982-2023")</f>
        <v/>
      </c>
    </row>
    <row r="136" ht="15" customHeight="1">
      <c r="A136" t="inlineStr">
        <is>
          <t>A 27041-2023</t>
        </is>
      </c>
      <c r="B136" s="1" t="n">
        <v>45095</v>
      </c>
      <c r="C136" s="1" t="n">
        <v>45638</v>
      </c>
      <c r="D136" t="inlineStr">
        <is>
          <t>GOTLANDS LÄN</t>
        </is>
      </c>
      <c r="E136" t="inlineStr">
        <is>
          <t>GOTLAND</t>
        </is>
      </c>
      <c r="G136" t="n">
        <v>5.3</v>
      </c>
      <c r="H136" t="n">
        <v>0</v>
      </c>
      <c r="I136" t="n">
        <v>2</v>
      </c>
      <c r="J136" t="n">
        <v>1</v>
      </c>
      <c r="K136" t="n">
        <v>0</v>
      </c>
      <c r="L136" t="n">
        <v>0</v>
      </c>
      <c r="M136" t="n">
        <v>0</v>
      </c>
      <c r="N136" t="n">
        <v>0</v>
      </c>
      <c r="O136" t="n">
        <v>1</v>
      </c>
      <c r="P136" t="n">
        <v>0</v>
      </c>
      <c r="Q136" t="n">
        <v>3</v>
      </c>
      <c r="R136" s="2" t="inlineStr">
        <is>
          <t>Odörspindling
Anisspindling
Besk kastanjemusseron</t>
        </is>
      </c>
      <c r="S136">
        <f>HYPERLINK("https://klasma.github.io/Logging_0980/artfynd/A 27041-2023 artfynd.xlsx", "A 27041-2023")</f>
        <v/>
      </c>
      <c r="T136">
        <f>HYPERLINK("https://klasma.github.io/Logging_0980/kartor/A 27041-2023 karta.png", "A 27041-2023")</f>
        <v/>
      </c>
      <c r="V136">
        <f>HYPERLINK("https://klasma.github.io/Logging_0980/klagomål/A 27041-2023 FSC-klagomål.docx", "A 27041-2023")</f>
        <v/>
      </c>
      <c r="W136">
        <f>HYPERLINK("https://klasma.github.io/Logging_0980/klagomålsmail/A 27041-2023 FSC-klagomål mail.docx", "A 27041-2023")</f>
        <v/>
      </c>
      <c r="X136">
        <f>HYPERLINK("https://klasma.github.io/Logging_0980/tillsyn/A 27041-2023 tillsynsbegäran.docx", "A 27041-2023")</f>
        <v/>
      </c>
      <c r="Y136">
        <f>HYPERLINK("https://klasma.github.io/Logging_0980/tillsynsmail/A 27041-2023 tillsynsbegäran mail.docx", "A 27041-2023")</f>
        <v/>
      </c>
    </row>
    <row r="137" ht="15" customHeight="1">
      <c r="A137" t="inlineStr">
        <is>
          <t>A 16542-2024</t>
        </is>
      </c>
      <c r="B137" s="1" t="n">
        <v>45408</v>
      </c>
      <c r="C137" s="1" t="n">
        <v>45638</v>
      </c>
      <c r="D137" t="inlineStr">
        <is>
          <t>GOTLANDS LÄN</t>
        </is>
      </c>
      <c r="E137" t="inlineStr">
        <is>
          <t>GOTLAND</t>
        </is>
      </c>
      <c r="G137" t="n">
        <v>1.6</v>
      </c>
      <c r="H137" t="n">
        <v>2</v>
      </c>
      <c r="I137" t="n">
        <v>2</v>
      </c>
      <c r="J137" t="n">
        <v>1</v>
      </c>
      <c r="K137" t="n">
        <v>0</v>
      </c>
      <c r="L137" t="n">
        <v>0</v>
      </c>
      <c r="M137" t="n">
        <v>0</v>
      </c>
      <c r="N137" t="n">
        <v>0</v>
      </c>
      <c r="O137" t="n">
        <v>1</v>
      </c>
      <c r="P137" t="n">
        <v>0</v>
      </c>
      <c r="Q137" t="n">
        <v>3</v>
      </c>
      <c r="R137" s="2" t="inlineStr">
        <is>
          <t>Tallticka
Nästrot
Tvåblad</t>
        </is>
      </c>
      <c r="S137">
        <f>HYPERLINK("https://klasma.github.io/Logging_0980/artfynd/A 16542-2024 artfynd.xlsx", "A 16542-2024")</f>
        <v/>
      </c>
      <c r="T137">
        <f>HYPERLINK("https://klasma.github.io/Logging_0980/kartor/A 16542-2024 karta.png", "A 16542-2024")</f>
        <v/>
      </c>
      <c r="V137">
        <f>HYPERLINK("https://klasma.github.io/Logging_0980/klagomål/A 16542-2024 FSC-klagomål.docx", "A 16542-2024")</f>
        <v/>
      </c>
      <c r="W137">
        <f>HYPERLINK("https://klasma.github.io/Logging_0980/klagomålsmail/A 16542-2024 FSC-klagomål mail.docx", "A 16542-2024")</f>
        <v/>
      </c>
      <c r="X137">
        <f>HYPERLINK("https://klasma.github.io/Logging_0980/tillsyn/A 16542-2024 tillsynsbegäran.docx", "A 16542-2024")</f>
        <v/>
      </c>
      <c r="Y137">
        <f>HYPERLINK("https://klasma.github.io/Logging_0980/tillsynsmail/A 16542-2024 tillsynsbegäran mail.docx", "A 16542-2024")</f>
        <v/>
      </c>
    </row>
    <row r="138" ht="15" customHeight="1">
      <c r="A138" t="inlineStr">
        <is>
          <t>A 17975-2024</t>
        </is>
      </c>
      <c r="B138" s="1" t="n">
        <v>45419</v>
      </c>
      <c r="C138" s="1" t="n">
        <v>45638</v>
      </c>
      <c r="D138" t="inlineStr">
        <is>
          <t>GOTLANDS LÄN</t>
        </is>
      </c>
      <c r="E138" t="inlineStr">
        <is>
          <t>GOTLAND</t>
        </is>
      </c>
      <c r="G138" t="n">
        <v>7.9</v>
      </c>
      <c r="H138" t="n">
        <v>0</v>
      </c>
      <c r="I138" t="n">
        <v>1</v>
      </c>
      <c r="J138" t="n">
        <v>1</v>
      </c>
      <c r="K138" t="n">
        <v>0</v>
      </c>
      <c r="L138" t="n">
        <v>1</v>
      </c>
      <c r="M138" t="n">
        <v>0</v>
      </c>
      <c r="N138" t="n">
        <v>0</v>
      </c>
      <c r="O138" t="n">
        <v>2</v>
      </c>
      <c r="P138" t="n">
        <v>1</v>
      </c>
      <c r="Q138" t="n">
        <v>3</v>
      </c>
      <c r="R138" s="2" t="inlineStr">
        <is>
          <t>Ask
Skugglosta
Strävlosta</t>
        </is>
      </c>
      <c r="S138">
        <f>HYPERLINK("https://klasma.github.io/Logging_0980/artfynd/A 17975-2024 artfynd.xlsx", "A 17975-2024")</f>
        <v/>
      </c>
      <c r="T138">
        <f>HYPERLINK("https://klasma.github.io/Logging_0980/kartor/A 17975-2024 karta.png", "A 17975-2024")</f>
        <v/>
      </c>
      <c r="V138">
        <f>HYPERLINK("https://klasma.github.io/Logging_0980/klagomål/A 17975-2024 FSC-klagomål.docx", "A 17975-2024")</f>
        <v/>
      </c>
      <c r="W138">
        <f>HYPERLINK("https://klasma.github.io/Logging_0980/klagomålsmail/A 17975-2024 FSC-klagomål mail.docx", "A 17975-2024")</f>
        <v/>
      </c>
      <c r="X138">
        <f>HYPERLINK("https://klasma.github.io/Logging_0980/tillsyn/A 17975-2024 tillsynsbegäran.docx", "A 17975-2024")</f>
        <v/>
      </c>
      <c r="Y138">
        <f>HYPERLINK("https://klasma.github.io/Logging_0980/tillsynsmail/A 17975-2024 tillsynsbegäran mail.docx", "A 17975-2024")</f>
        <v/>
      </c>
    </row>
    <row r="139" ht="15" customHeight="1">
      <c r="A139" t="inlineStr">
        <is>
          <t>A 24345-2024</t>
        </is>
      </c>
      <c r="B139" s="1" t="n">
        <v>45457</v>
      </c>
      <c r="C139" s="1" t="n">
        <v>45638</v>
      </c>
      <c r="D139" t="inlineStr">
        <is>
          <t>GOTLANDS LÄN</t>
        </is>
      </c>
      <c r="E139" t="inlineStr">
        <is>
          <t>GOTLAND</t>
        </is>
      </c>
      <c r="G139" t="n">
        <v>5.2</v>
      </c>
      <c r="H139" t="n">
        <v>1</v>
      </c>
      <c r="I139" t="n">
        <v>1</v>
      </c>
      <c r="J139" t="n">
        <v>2</v>
      </c>
      <c r="K139" t="n">
        <v>0</v>
      </c>
      <c r="L139" t="n">
        <v>0</v>
      </c>
      <c r="M139" t="n">
        <v>0</v>
      </c>
      <c r="N139" t="n">
        <v>0</v>
      </c>
      <c r="O139" t="n">
        <v>2</v>
      </c>
      <c r="P139" t="n">
        <v>0</v>
      </c>
      <c r="Q139" t="n">
        <v>3</v>
      </c>
      <c r="R139" s="2" t="inlineStr">
        <is>
          <t>Backtimjan
Dårgräsfjäril
Rödgul trumpetsvamp</t>
        </is>
      </c>
      <c r="S139">
        <f>HYPERLINK("https://klasma.github.io/Logging_0980/artfynd/A 24345-2024 artfynd.xlsx", "A 24345-2024")</f>
        <v/>
      </c>
      <c r="T139">
        <f>HYPERLINK("https://klasma.github.io/Logging_0980/kartor/A 24345-2024 karta.png", "A 24345-2024")</f>
        <v/>
      </c>
      <c r="V139">
        <f>HYPERLINK("https://klasma.github.io/Logging_0980/klagomål/A 24345-2024 FSC-klagomål.docx", "A 24345-2024")</f>
        <v/>
      </c>
      <c r="W139">
        <f>HYPERLINK("https://klasma.github.io/Logging_0980/klagomålsmail/A 24345-2024 FSC-klagomål mail.docx", "A 24345-2024")</f>
        <v/>
      </c>
      <c r="X139">
        <f>HYPERLINK("https://klasma.github.io/Logging_0980/tillsyn/A 24345-2024 tillsynsbegäran.docx", "A 24345-2024")</f>
        <v/>
      </c>
      <c r="Y139">
        <f>HYPERLINK("https://klasma.github.io/Logging_0980/tillsynsmail/A 24345-2024 tillsynsbegäran mail.docx", "A 24345-2024")</f>
        <v/>
      </c>
    </row>
    <row r="140" ht="15" customHeight="1">
      <c r="A140" t="inlineStr">
        <is>
          <t>A 25981-2024</t>
        </is>
      </c>
      <c r="B140" s="1" t="n">
        <v>45467</v>
      </c>
      <c r="C140" s="1" t="n">
        <v>45638</v>
      </c>
      <c r="D140" t="inlineStr">
        <is>
          <t>GOTLANDS LÄN</t>
        </is>
      </c>
      <c r="E140" t="inlineStr">
        <is>
          <t>GOTLAND</t>
        </is>
      </c>
      <c r="G140" t="n">
        <v>5.9</v>
      </c>
      <c r="H140" t="n">
        <v>3</v>
      </c>
      <c r="I140" t="n">
        <v>2</v>
      </c>
      <c r="J140" t="n">
        <v>0</v>
      </c>
      <c r="K140" t="n">
        <v>0</v>
      </c>
      <c r="L140" t="n">
        <v>0</v>
      </c>
      <c r="M140" t="n">
        <v>0</v>
      </c>
      <c r="N140" t="n">
        <v>0</v>
      </c>
      <c r="O140" t="n">
        <v>0</v>
      </c>
      <c r="P140" t="n">
        <v>0</v>
      </c>
      <c r="Q140" t="n">
        <v>3</v>
      </c>
      <c r="R140" s="2" t="inlineStr">
        <is>
          <t>Purpurknipprot
Skogsknipprot
Fläcknycklar</t>
        </is>
      </c>
      <c r="S140">
        <f>HYPERLINK("https://klasma.github.io/Logging_0980/artfynd/A 25981-2024 artfynd.xlsx", "A 25981-2024")</f>
        <v/>
      </c>
      <c r="T140">
        <f>HYPERLINK("https://klasma.github.io/Logging_0980/kartor/A 25981-2024 karta.png", "A 25981-2024")</f>
        <v/>
      </c>
      <c r="V140">
        <f>HYPERLINK("https://klasma.github.io/Logging_0980/klagomål/A 25981-2024 FSC-klagomål.docx", "A 25981-2024")</f>
        <v/>
      </c>
      <c r="W140">
        <f>HYPERLINK("https://klasma.github.io/Logging_0980/klagomålsmail/A 25981-2024 FSC-klagomål mail.docx", "A 25981-2024")</f>
        <v/>
      </c>
      <c r="X140">
        <f>HYPERLINK("https://klasma.github.io/Logging_0980/tillsyn/A 25981-2024 tillsynsbegäran.docx", "A 25981-2024")</f>
        <v/>
      </c>
      <c r="Y140">
        <f>HYPERLINK("https://klasma.github.io/Logging_0980/tillsynsmail/A 25981-2024 tillsynsbegäran mail.docx", "A 25981-2024")</f>
        <v/>
      </c>
    </row>
    <row r="141" ht="15" customHeight="1">
      <c r="A141" t="inlineStr">
        <is>
          <t>A 54940-2024</t>
        </is>
      </c>
      <c r="B141" s="1" t="n">
        <v>45618</v>
      </c>
      <c r="C141" s="1" t="n">
        <v>45638</v>
      </c>
      <c r="D141" t="inlineStr">
        <is>
          <t>GOTLANDS LÄN</t>
        </is>
      </c>
      <c r="E141" t="inlineStr">
        <is>
          <t>GOTLAND</t>
        </is>
      </c>
      <c r="G141" t="n">
        <v>1.2</v>
      </c>
      <c r="H141" t="n">
        <v>2</v>
      </c>
      <c r="I141" t="n">
        <v>0</v>
      </c>
      <c r="J141" t="n">
        <v>1</v>
      </c>
      <c r="K141" t="n">
        <v>0</v>
      </c>
      <c r="L141" t="n">
        <v>0</v>
      </c>
      <c r="M141" t="n">
        <v>0</v>
      </c>
      <c r="N141" t="n">
        <v>0</v>
      </c>
      <c r="O141" t="n">
        <v>1</v>
      </c>
      <c r="P141" t="n">
        <v>0</v>
      </c>
      <c r="Q141" t="n">
        <v>3</v>
      </c>
      <c r="R141" s="2" t="inlineStr">
        <is>
          <t>Ängsstarr
Brudsporre
Dactylorhiza incarnata subsp. incarnata</t>
        </is>
      </c>
      <c r="S141">
        <f>HYPERLINK("https://klasma.github.io/Logging_0980/artfynd/A 54940-2024 artfynd.xlsx", "A 54940-2024")</f>
        <v/>
      </c>
      <c r="T141">
        <f>HYPERLINK("https://klasma.github.io/Logging_0980/kartor/A 54940-2024 karta.png", "A 54940-2024")</f>
        <v/>
      </c>
      <c r="V141">
        <f>HYPERLINK("https://klasma.github.io/Logging_0980/klagomål/A 54940-2024 FSC-klagomål.docx", "A 54940-2024")</f>
        <v/>
      </c>
      <c r="W141">
        <f>HYPERLINK("https://klasma.github.io/Logging_0980/klagomålsmail/A 54940-2024 FSC-klagomål mail.docx", "A 54940-2024")</f>
        <v/>
      </c>
      <c r="X141">
        <f>HYPERLINK("https://klasma.github.io/Logging_0980/tillsyn/A 54940-2024 tillsynsbegäran.docx", "A 54940-2024")</f>
        <v/>
      </c>
      <c r="Y141">
        <f>HYPERLINK("https://klasma.github.io/Logging_0980/tillsynsmail/A 54940-2024 tillsynsbegäran mail.docx", "A 54940-2024")</f>
        <v/>
      </c>
    </row>
    <row r="142" ht="15" customHeight="1">
      <c r="A142" t="inlineStr">
        <is>
          <t>A 58191-2024</t>
        </is>
      </c>
      <c r="B142" s="1" t="n">
        <v>45632</v>
      </c>
      <c r="C142" s="1" t="n">
        <v>45638</v>
      </c>
      <c r="D142" t="inlineStr">
        <is>
          <t>GOTLANDS LÄN</t>
        </is>
      </c>
      <c r="E142" t="inlineStr">
        <is>
          <t>GOTLAND</t>
        </is>
      </c>
      <c r="G142" t="n">
        <v>14.2</v>
      </c>
      <c r="H142" t="n">
        <v>2</v>
      </c>
      <c r="I142" t="n">
        <v>0</v>
      </c>
      <c r="J142" t="n">
        <v>3</v>
      </c>
      <c r="K142" t="n">
        <v>0</v>
      </c>
      <c r="L142" t="n">
        <v>0</v>
      </c>
      <c r="M142" t="n">
        <v>0</v>
      </c>
      <c r="N142" t="n">
        <v>0</v>
      </c>
      <c r="O142" t="n">
        <v>3</v>
      </c>
      <c r="P142" t="n">
        <v>0</v>
      </c>
      <c r="Q142" t="n">
        <v>3</v>
      </c>
      <c r="R142" s="2" t="inlineStr">
        <is>
          <t>Björktrast
Crepis tectorum subsp. tectorum
Spillkråka</t>
        </is>
      </c>
      <c r="S142">
        <f>HYPERLINK("https://klasma.github.io/Logging_0980/artfynd/A 58191-2024 artfynd.xlsx", "A 58191-2024")</f>
        <v/>
      </c>
      <c r="T142">
        <f>HYPERLINK("https://klasma.github.io/Logging_0980/kartor/A 58191-2024 karta.png", "A 58191-2024")</f>
        <v/>
      </c>
      <c r="V142">
        <f>HYPERLINK("https://klasma.github.io/Logging_0980/klagomål/A 58191-2024 FSC-klagomål.docx", "A 58191-2024")</f>
        <v/>
      </c>
      <c r="W142">
        <f>HYPERLINK("https://klasma.github.io/Logging_0980/klagomålsmail/A 58191-2024 FSC-klagomål mail.docx", "A 58191-2024")</f>
        <v/>
      </c>
      <c r="X142">
        <f>HYPERLINK("https://klasma.github.io/Logging_0980/tillsyn/A 58191-2024 tillsynsbegäran.docx", "A 58191-2024")</f>
        <v/>
      </c>
      <c r="Y142">
        <f>HYPERLINK("https://klasma.github.io/Logging_0980/tillsynsmail/A 58191-2024 tillsynsbegäran mail.docx", "A 58191-2024")</f>
        <v/>
      </c>
      <c r="Z142">
        <f>HYPERLINK("https://klasma.github.io/Logging_0980/fåglar/A 58191-2024 prioriterade fågelarter.docx", "A 58191-2024")</f>
        <v/>
      </c>
    </row>
    <row r="143" ht="15" customHeight="1">
      <c r="A143" t="inlineStr">
        <is>
          <t>A 32969-2019</t>
        </is>
      </c>
      <c r="B143" s="1" t="n">
        <v>43648</v>
      </c>
      <c r="C143" s="1" t="n">
        <v>45638</v>
      </c>
      <c r="D143" t="inlineStr">
        <is>
          <t>GOTLANDS LÄN</t>
        </is>
      </c>
      <c r="E143" t="inlineStr">
        <is>
          <t>GOTLAND</t>
        </is>
      </c>
      <c r="G143" t="n">
        <v>5.1</v>
      </c>
      <c r="H143" t="n">
        <v>0</v>
      </c>
      <c r="I143" t="n">
        <v>1</v>
      </c>
      <c r="J143" t="n">
        <v>1</v>
      </c>
      <c r="K143" t="n">
        <v>0</v>
      </c>
      <c r="L143" t="n">
        <v>0</v>
      </c>
      <c r="M143" t="n">
        <v>0</v>
      </c>
      <c r="N143" t="n">
        <v>0</v>
      </c>
      <c r="O143" t="n">
        <v>1</v>
      </c>
      <c r="P143" t="n">
        <v>0</v>
      </c>
      <c r="Q143" t="n">
        <v>2</v>
      </c>
      <c r="R143" s="2" t="inlineStr">
        <is>
          <t>Odörspindling
Anisspindling</t>
        </is>
      </c>
      <c r="S143">
        <f>HYPERLINK("https://klasma.github.io/Logging_0980/artfynd/A 32969-2019 artfynd.xlsx", "A 32969-2019")</f>
        <v/>
      </c>
      <c r="T143">
        <f>HYPERLINK("https://klasma.github.io/Logging_0980/kartor/A 32969-2019 karta.png", "A 32969-2019")</f>
        <v/>
      </c>
      <c r="V143">
        <f>HYPERLINK("https://klasma.github.io/Logging_0980/klagomål/A 32969-2019 FSC-klagomål.docx", "A 32969-2019")</f>
        <v/>
      </c>
      <c r="W143">
        <f>HYPERLINK("https://klasma.github.io/Logging_0980/klagomålsmail/A 32969-2019 FSC-klagomål mail.docx", "A 32969-2019")</f>
        <v/>
      </c>
      <c r="X143">
        <f>HYPERLINK("https://klasma.github.io/Logging_0980/tillsyn/A 32969-2019 tillsynsbegäran.docx", "A 32969-2019")</f>
        <v/>
      </c>
      <c r="Y143">
        <f>HYPERLINK("https://klasma.github.io/Logging_0980/tillsynsmail/A 32969-2019 tillsynsbegäran mail.docx", "A 32969-2019")</f>
        <v/>
      </c>
    </row>
    <row r="144" ht="15" customHeight="1">
      <c r="A144" t="inlineStr">
        <is>
          <t>A 32966-2019</t>
        </is>
      </c>
      <c r="B144" s="1" t="n">
        <v>43648</v>
      </c>
      <c r="C144" s="1" t="n">
        <v>45638</v>
      </c>
      <c r="D144" t="inlineStr">
        <is>
          <t>GOTLANDS LÄN</t>
        </is>
      </c>
      <c r="E144" t="inlineStr">
        <is>
          <t>GOTLAND</t>
        </is>
      </c>
      <c r="G144" t="n">
        <v>4</v>
      </c>
      <c r="H144" t="n">
        <v>1</v>
      </c>
      <c r="I144" t="n">
        <v>1</v>
      </c>
      <c r="J144" t="n">
        <v>0</v>
      </c>
      <c r="K144" t="n">
        <v>0</v>
      </c>
      <c r="L144" t="n">
        <v>0</v>
      </c>
      <c r="M144" t="n">
        <v>0</v>
      </c>
      <c r="N144" t="n">
        <v>0</v>
      </c>
      <c r="O144" t="n">
        <v>0</v>
      </c>
      <c r="P144" t="n">
        <v>0</v>
      </c>
      <c r="Q144" t="n">
        <v>2</v>
      </c>
      <c r="R144" s="2" t="inlineStr">
        <is>
          <t>Kattfotslav
Blåsippa</t>
        </is>
      </c>
      <c r="S144">
        <f>HYPERLINK("https://klasma.github.io/Logging_0980/artfynd/A 32966-2019 artfynd.xlsx", "A 32966-2019")</f>
        <v/>
      </c>
      <c r="T144">
        <f>HYPERLINK("https://klasma.github.io/Logging_0980/kartor/A 32966-2019 karta.png", "A 32966-2019")</f>
        <v/>
      </c>
      <c r="V144">
        <f>HYPERLINK("https://klasma.github.io/Logging_0980/klagomål/A 32966-2019 FSC-klagomål.docx", "A 32966-2019")</f>
        <v/>
      </c>
      <c r="W144">
        <f>HYPERLINK("https://klasma.github.io/Logging_0980/klagomålsmail/A 32966-2019 FSC-klagomål mail.docx", "A 32966-2019")</f>
        <v/>
      </c>
      <c r="X144">
        <f>HYPERLINK("https://klasma.github.io/Logging_0980/tillsyn/A 32966-2019 tillsynsbegäran.docx", "A 32966-2019")</f>
        <v/>
      </c>
      <c r="Y144">
        <f>HYPERLINK("https://klasma.github.io/Logging_0980/tillsynsmail/A 32966-2019 tillsynsbegäran mail.docx", "A 32966-2019")</f>
        <v/>
      </c>
    </row>
    <row r="145" ht="15" customHeight="1">
      <c r="A145" t="inlineStr">
        <is>
          <t>A 43304-2019</t>
        </is>
      </c>
      <c r="B145" s="1" t="n">
        <v>43706</v>
      </c>
      <c r="C145" s="1" t="n">
        <v>45638</v>
      </c>
      <c r="D145" t="inlineStr">
        <is>
          <t>GOTLANDS LÄN</t>
        </is>
      </c>
      <c r="E145" t="inlineStr">
        <is>
          <t>GOTLAND</t>
        </is>
      </c>
      <c r="G145" t="n">
        <v>3.2</v>
      </c>
      <c r="H145" t="n">
        <v>2</v>
      </c>
      <c r="I145" t="n">
        <v>1</v>
      </c>
      <c r="J145" t="n">
        <v>0</v>
      </c>
      <c r="K145" t="n">
        <v>0</v>
      </c>
      <c r="L145" t="n">
        <v>0</v>
      </c>
      <c r="M145" t="n">
        <v>0</v>
      </c>
      <c r="N145" t="n">
        <v>0</v>
      </c>
      <c r="O145" t="n">
        <v>0</v>
      </c>
      <c r="P145" t="n">
        <v>0</v>
      </c>
      <c r="Q145" t="n">
        <v>2</v>
      </c>
      <c r="R145" s="2" t="inlineStr">
        <is>
          <t>Skogsknipprot
Blåsippa</t>
        </is>
      </c>
      <c r="S145">
        <f>HYPERLINK("https://klasma.github.io/Logging_0980/artfynd/A 43304-2019 artfynd.xlsx", "A 43304-2019")</f>
        <v/>
      </c>
      <c r="T145">
        <f>HYPERLINK("https://klasma.github.io/Logging_0980/kartor/A 43304-2019 karta.png", "A 43304-2019")</f>
        <v/>
      </c>
      <c r="V145">
        <f>HYPERLINK("https://klasma.github.io/Logging_0980/klagomål/A 43304-2019 FSC-klagomål.docx", "A 43304-2019")</f>
        <v/>
      </c>
      <c r="W145">
        <f>HYPERLINK("https://klasma.github.io/Logging_0980/klagomålsmail/A 43304-2019 FSC-klagomål mail.docx", "A 43304-2019")</f>
        <v/>
      </c>
      <c r="X145">
        <f>HYPERLINK("https://klasma.github.io/Logging_0980/tillsyn/A 43304-2019 tillsynsbegäran.docx", "A 43304-2019")</f>
        <v/>
      </c>
      <c r="Y145">
        <f>HYPERLINK("https://klasma.github.io/Logging_0980/tillsynsmail/A 43304-2019 tillsynsbegäran mail.docx", "A 43304-2019")</f>
        <v/>
      </c>
    </row>
    <row r="146" ht="15" customHeight="1">
      <c r="A146" t="inlineStr">
        <is>
          <t>A 334-2020</t>
        </is>
      </c>
      <c r="B146" s="1" t="n">
        <v>43837</v>
      </c>
      <c r="C146" s="1" t="n">
        <v>45638</v>
      </c>
      <c r="D146" t="inlineStr">
        <is>
          <t>GOTLANDS LÄN</t>
        </is>
      </c>
      <c r="E146" t="inlineStr">
        <is>
          <t>GOTLAND</t>
        </is>
      </c>
      <c r="G146" t="n">
        <v>5.3</v>
      </c>
      <c r="H146" t="n">
        <v>2</v>
      </c>
      <c r="I146" t="n">
        <v>0</v>
      </c>
      <c r="J146" t="n">
        <v>1</v>
      </c>
      <c r="K146" t="n">
        <v>0</v>
      </c>
      <c r="L146" t="n">
        <v>0</v>
      </c>
      <c r="M146" t="n">
        <v>0</v>
      </c>
      <c r="N146" t="n">
        <v>0</v>
      </c>
      <c r="O146" t="n">
        <v>1</v>
      </c>
      <c r="P146" t="n">
        <v>0</v>
      </c>
      <c r="Q146" t="n">
        <v>2</v>
      </c>
      <c r="R146" s="2" t="inlineStr">
        <is>
          <t>Smådopping
Mindre vattensalamander</t>
        </is>
      </c>
      <c r="S146">
        <f>HYPERLINK("https://klasma.github.io/Logging_0980/artfynd/A 334-2020 artfynd.xlsx", "A 334-2020")</f>
        <v/>
      </c>
      <c r="T146">
        <f>HYPERLINK("https://klasma.github.io/Logging_0980/kartor/A 334-2020 karta.png", "A 334-2020")</f>
        <v/>
      </c>
      <c r="V146">
        <f>HYPERLINK("https://klasma.github.io/Logging_0980/klagomål/A 334-2020 FSC-klagomål.docx", "A 334-2020")</f>
        <v/>
      </c>
      <c r="W146">
        <f>HYPERLINK("https://klasma.github.io/Logging_0980/klagomålsmail/A 334-2020 FSC-klagomål mail.docx", "A 334-2020")</f>
        <v/>
      </c>
      <c r="X146">
        <f>HYPERLINK("https://klasma.github.io/Logging_0980/tillsyn/A 334-2020 tillsynsbegäran.docx", "A 334-2020")</f>
        <v/>
      </c>
      <c r="Y146">
        <f>HYPERLINK("https://klasma.github.io/Logging_0980/tillsynsmail/A 334-2020 tillsynsbegäran mail.docx", "A 334-2020")</f>
        <v/>
      </c>
    </row>
    <row r="147" ht="15" customHeight="1">
      <c r="A147" t="inlineStr">
        <is>
          <t>A 4812-2020</t>
        </is>
      </c>
      <c r="B147" s="1" t="n">
        <v>43852</v>
      </c>
      <c r="C147" s="1" t="n">
        <v>45638</v>
      </c>
      <c r="D147" t="inlineStr">
        <is>
          <t>GOTLANDS LÄN</t>
        </is>
      </c>
      <c r="E147" t="inlineStr">
        <is>
          <t>GOTLAND</t>
        </is>
      </c>
      <c r="G147" t="n">
        <v>3.9</v>
      </c>
      <c r="H147" t="n">
        <v>1</v>
      </c>
      <c r="I147" t="n">
        <v>1</v>
      </c>
      <c r="J147" t="n">
        <v>0</v>
      </c>
      <c r="K147" t="n">
        <v>1</v>
      </c>
      <c r="L147" t="n">
        <v>0</v>
      </c>
      <c r="M147" t="n">
        <v>0</v>
      </c>
      <c r="N147" t="n">
        <v>0</v>
      </c>
      <c r="O147" t="n">
        <v>1</v>
      </c>
      <c r="P147" t="n">
        <v>1</v>
      </c>
      <c r="Q147" t="n">
        <v>2</v>
      </c>
      <c r="R147" s="2" t="inlineStr">
        <is>
          <t>Gotlandsmåra
Nästrot</t>
        </is>
      </c>
      <c r="S147">
        <f>HYPERLINK("https://klasma.github.io/Logging_0980/artfynd/A 4812-2020 artfynd.xlsx", "A 4812-2020")</f>
        <v/>
      </c>
      <c r="T147">
        <f>HYPERLINK("https://klasma.github.io/Logging_0980/kartor/A 4812-2020 karta.png", "A 4812-2020")</f>
        <v/>
      </c>
      <c r="V147">
        <f>HYPERLINK("https://klasma.github.io/Logging_0980/klagomål/A 4812-2020 FSC-klagomål.docx", "A 4812-2020")</f>
        <v/>
      </c>
      <c r="W147">
        <f>HYPERLINK("https://klasma.github.io/Logging_0980/klagomålsmail/A 4812-2020 FSC-klagomål mail.docx", "A 4812-2020")</f>
        <v/>
      </c>
      <c r="X147">
        <f>HYPERLINK("https://klasma.github.io/Logging_0980/tillsyn/A 4812-2020 tillsynsbegäran.docx", "A 4812-2020")</f>
        <v/>
      </c>
      <c r="Y147">
        <f>HYPERLINK("https://klasma.github.io/Logging_0980/tillsynsmail/A 4812-2020 tillsynsbegäran mail.docx", "A 4812-2020")</f>
        <v/>
      </c>
    </row>
    <row r="148" ht="15" customHeight="1">
      <c r="A148" t="inlineStr">
        <is>
          <t>A 40879-2020</t>
        </is>
      </c>
      <c r="B148" s="1" t="n">
        <v>44070</v>
      </c>
      <c r="C148" s="1" t="n">
        <v>45638</v>
      </c>
      <c r="D148" t="inlineStr">
        <is>
          <t>GOTLANDS LÄN</t>
        </is>
      </c>
      <c r="E148" t="inlineStr">
        <is>
          <t>GOTLAND</t>
        </is>
      </c>
      <c r="G148" t="n">
        <v>6.4</v>
      </c>
      <c r="H148" t="n">
        <v>0</v>
      </c>
      <c r="I148" t="n">
        <v>1</v>
      </c>
      <c r="J148" t="n">
        <v>1</v>
      </c>
      <c r="K148" t="n">
        <v>0</v>
      </c>
      <c r="L148" t="n">
        <v>0</v>
      </c>
      <c r="M148" t="n">
        <v>0</v>
      </c>
      <c r="N148" t="n">
        <v>0</v>
      </c>
      <c r="O148" t="n">
        <v>1</v>
      </c>
      <c r="P148" t="n">
        <v>0</v>
      </c>
      <c r="Q148" t="n">
        <v>2</v>
      </c>
      <c r="R148" s="2" t="inlineStr">
        <is>
          <t>Odörspindling
Olivspindling</t>
        </is>
      </c>
      <c r="S148">
        <f>HYPERLINK("https://klasma.github.io/Logging_0980/artfynd/A 40879-2020 artfynd.xlsx", "A 40879-2020")</f>
        <v/>
      </c>
      <c r="T148">
        <f>HYPERLINK("https://klasma.github.io/Logging_0980/kartor/A 40879-2020 karta.png", "A 40879-2020")</f>
        <v/>
      </c>
      <c r="V148">
        <f>HYPERLINK("https://klasma.github.io/Logging_0980/klagomål/A 40879-2020 FSC-klagomål.docx", "A 40879-2020")</f>
        <v/>
      </c>
      <c r="W148">
        <f>HYPERLINK("https://klasma.github.io/Logging_0980/klagomålsmail/A 40879-2020 FSC-klagomål mail.docx", "A 40879-2020")</f>
        <v/>
      </c>
      <c r="X148">
        <f>HYPERLINK("https://klasma.github.io/Logging_0980/tillsyn/A 40879-2020 tillsynsbegäran.docx", "A 40879-2020")</f>
        <v/>
      </c>
      <c r="Y148">
        <f>HYPERLINK("https://klasma.github.io/Logging_0980/tillsynsmail/A 40879-2020 tillsynsbegäran mail.docx", "A 40879-2020")</f>
        <v/>
      </c>
    </row>
    <row r="149" ht="15" customHeight="1">
      <c r="A149" t="inlineStr">
        <is>
          <t>A 43321-2020</t>
        </is>
      </c>
      <c r="B149" s="1" t="n">
        <v>44081</v>
      </c>
      <c r="C149" s="1" t="n">
        <v>45638</v>
      </c>
      <c r="D149" t="inlineStr">
        <is>
          <t>GOTLANDS LÄN</t>
        </is>
      </c>
      <c r="E149" t="inlineStr">
        <is>
          <t>GOTLAND</t>
        </is>
      </c>
      <c r="G149" t="n">
        <v>10</v>
      </c>
      <c r="H149" t="n">
        <v>1</v>
      </c>
      <c r="I149" t="n">
        <v>0</v>
      </c>
      <c r="J149" t="n">
        <v>2</v>
      </c>
      <c r="K149" t="n">
        <v>0</v>
      </c>
      <c r="L149" t="n">
        <v>0</v>
      </c>
      <c r="M149" t="n">
        <v>0</v>
      </c>
      <c r="N149" t="n">
        <v>0</v>
      </c>
      <c r="O149" t="n">
        <v>2</v>
      </c>
      <c r="P149" t="n">
        <v>0</v>
      </c>
      <c r="Q149" t="n">
        <v>2</v>
      </c>
      <c r="R149" s="2" t="inlineStr">
        <is>
          <t>Buskskvätta
Ängsnätfjäril</t>
        </is>
      </c>
      <c r="S149">
        <f>HYPERLINK("https://klasma.github.io/Logging_0980/artfynd/A 43321-2020 artfynd.xlsx", "A 43321-2020")</f>
        <v/>
      </c>
      <c r="T149">
        <f>HYPERLINK("https://klasma.github.io/Logging_0980/kartor/A 43321-2020 karta.png", "A 43321-2020")</f>
        <v/>
      </c>
      <c r="V149">
        <f>HYPERLINK("https://klasma.github.io/Logging_0980/klagomål/A 43321-2020 FSC-klagomål.docx", "A 43321-2020")</f>
        <v/>
      </c>
      <c r="W149">
        <f>HYPERLINK("https://klasma.github.io/Logging_0980/klagomålsmail/A 43321-2020 FSC-klagomål mail.docx", "A 43321-2020")</f>
        <v/>
      </c>
      <c r="X149">
        <f>HYPERLINK("https://klasma.github.io/Logging_0980/tillsyn/A 43321-2020 tillsynsbegäran.docx", "A 43321-2020")</f>
        <v/>
      </c>
      <c r="Y149">
        <f>HYPERLINK("https://klasma.github.io/Logging_0980/tillsynsmail/A 43321-2020 tillsynsbegäran mail.docx", "A 43321-2020")</f>
        <v/>
      </c>
      <c r="Z149">
        <f>HYPERLINK("https://klasma.github.io/Logging_0980/fåglar/A 43321-2020 prioriterade fågelarter.docx", "A 43321-2020")</f>
        <v/>
      </c>
    </row>
    <row r="150" ht="15" customHeight="1">
      <c r="A150" t="inlineStr">
        <is>
          <t>A 58701-2020</t>
        </is>
      </c>
      <c r="B150" s="1" t="n">
        <v>44146</v>
      </c>
      <c r="C150" s="1" t="n">
        <v>45638</v>
      </c>
      <c r="D150" t="inlineStr">
        <is>
          <t>GOTLANDS LÄN</t>
        </is>
      </c>
      <c r="E150" t="inlineStr">
        <is>
          <t>GOTLAND</t>
        </is>
      </c>
      <c r="G150" t="n">
        <v>5.5</v>
      </c>
      <c r="H150" t="n">
        <v>0</v>
      </c>
      <c r="I150" t="n">
        <v>0</v>
      </c>
      <c r="J150" t="n">
        <v>1</v>
      </c>
      <c r="K150" t="n">
        <v>1</v>
      </c>
      <c r="L150" t="n">
        <v>0</v>
      </c>
      <c r="M150" t="n">
        <v>0</v>
      </c>
      <c r="N150" t="n">
        <v>0</v>
      </c>
      <c r="O150" t="n">
        <v>2</v>
      </c>
      <c r="P150" t="n">
        <v>1</v>
      </c>
      <c r="Q150" t="n">
        <v>2</v>
      </c>
      <c r="R150" s="2" t="inlineStr">
        <is>
          <t>Vit taggsvamp
Odörspindling</t>
        </is>
      </c>
      <c r="S150">
        <f>HYPERLINK("https://klasma.github.io/Logging_0980/artfynd/A 58701-2020 artfynd.xlsx", "A 58701-2020")</f>
        <v/>
      </c>
      <c r="T150">
        <f>HYPERLINK("https://klasma.github.io/Logging_0980/kartor/A 58701-2020 karta.png", "A 58701-2020")</f>
        <v/>
      </c>
      <c r="V150">
        <f>HYPERLINK("https://klasma.github.io/Logging_0980/klagomål/A 58701-2020 FSC-klagomål.docx", "A 58701-2020")</f>
        <v/>
      </c>
      <c r="W150">
        <f>HYPERLINK("https://klasma.github.io/Logging_0980/klagomålsmail/A 58701-2020 FSC-klagomål mail.docx", "A 58701-2020")</f>
        <v/>
      </c>
      <c r="X150">
        <f>HYPERLINK("https://klasma.github.io/Logging_0980/tillsyn/A 58701-2020 tillsynsbegäran.docx", "A 58701-2020")</f>
        <v/>
      </c>
      <c r="Y150">
        <f>HYPERLINK("https://klasma.github.io/Logging_0980/tillsynsmail/A 58701-2020 tillsynsbegäran mail.docx", "A 58701-2020")</f>
        <v/>
      </c>
    </row>
    <row r="151" ht="15" customHeight="1">
      <c r="A151" t="inlineStr">
        <is>
          <t>A 64263-2020</t>
        </is>
      </c>
      <c r="B151" s="1" t="n">
        <v>44168</v>
      </c>
      <c r="C151" s="1" t="n">
        <v>45638</v>
      </c>
      <c r="D151" t="inlineStr">
        <is>
          <t>GOTLANDS LÄN</t>
        </is>
      </c>
      <c r="E151" t="inlineStr">
        <is>
          <t>GOTLAND</t>
        </is>
      </c>
      <c r="G151" t="n">
        <v>10.9</v>
      </c>
      <c r="H151" t="n">
        <v>1</v>
      </c>
      <c r="I151" t="n">
        <v>0</v>
      </c>
      <c r="J151" t="n">
        <v>2</v>
      </c>
      <c r="K151" t="n">
        <v>0</v>
      </c>
      <c r="L151" t="n">
        <v>0</v>
      </c>
      <c r="M151" t="n">
        <v>0</v>
      </c>
      <c r="N151" t="n">
        <v>0</v>
      </c>
      <c r="O151" t="n">
        <v>2</v>
      </c>
      <c r="P151" t="n">
        <v>0</v>
      </c>
      <c r="Q151" t="n">
        <v>2</v>
      </c>
      <c r="R151" s="2" t="inlineStr">
        <is>
          <t>Mindre hackspett
Ullticka</t>
        </is>
      </c>
      <c r="S151">
        <f>HYPERLINK("https://klasma.github.io/Logging_0980/artfynd/A 64263-2020 artfynd.xlsx", "A 64263-2020")</f>
        <v/>
      </c>
      <c r="T151">
        <f>HYPERLINK("https://klasma.github.io/Logging_0980/kartor/A 64263-2020 karta.png", "A 64263-2020")</f>
        <v/>
      </c>
      <c r="V151">
        <f>HYPERLINK("https://klasma.github.io/Logging_0980/klagomål/A 64263-2020 FSC-klagomål.docx", "A 64263-2020")</f>
        <v/>
      </c>
      <c r="W151">
        <f>HYPERLINK("https://klasma.github.io/Logging_0980/klagomålsmail/A 64263-2020 FSC-klagomål mail.docx", "A 64263-2020")</f>
        <v/>
      </c>
      <c r="X151">
        <f>HYPERLINK("https://klasma.github.io/Logging_0980/tillsyn/A 64263-2020 tillsynsbegäran.docx", "A 64263-2020")</f>
        <v/>
      </c>
      <c r="Y151">
        <f>HYPERLINK("https://klasma.github.io/Logging_0980/tillsynsmail/A 64263-2020 tillsynsbegäran mail.docx", "A 64263-2020")</f>
        <v/>
      </c>
      <c r="Z151">
        <f>HYPERLINK("https://klasma.github.io/Logging_0980/fåglar/A 64263-2020 prioriterade fågelarter.docx", "A 64263-2020")</f>
        <v/>
      </c>
    </row>
    <row r="152" ht="15" customHeight="1">
      <c r="A152" t="inlineStr">
        <is>
          <t>A 9930-2021</t>
        </is>
      </c>
      <c r="B152" s="1" t="n">
        <v>44252</v>
      </c>
      <c r="C152" s="1" t="n">
        <v>45638</v>
      </c>
      <c r="D152" t="inlineStr">
        <is>
          <t>GOTLANDS LÄN</t>
        </is>
      </c>
      <c r="E152" t="inlineStr">
        <is>
          <t>GOTLAND</t>
        </is>
      </c>
      <c r="G152" t="n">
        <v>1.9</v>
      </c>
      <c r="H152" t="n">
        <v>0</v>
      </c>
      <c r="I152" t="n">
        <v>0</v>
      </c>
      <c r="J152" t="n">
        <v>0</v>
      </c>
      <c r="K152" t="n">
        <v>0</v>
      </c>
      <c r="L152" t="n">
        <v>1</v>
      </c>
      <c r="M152" t="n">
        <v>1</v>
      </c>
      <c r="N152" t="n">
        <v>0</v>
      </c>
      <c r="O152" t="n">
        <v>2</v>
      </c>
      <c r="P152" t="n">
        <v>2</v>
      </c>
      <c r="Q152" t="n">
        <v>2</v>
      </c>
      <c r="R152" s="2" t="inlineStr">
        <is>
          <t>Lundalm
Ask</t>
        </is>
      </c>
      <c r="S152">
        <f>HYPERLINK("https://klasma.github.io/Logging_0980/artfynd/A 9930-2021 artfynd.xlsx", "A 9930-2021")</f>
        <v/>
      </c>
      <c r="T152">
        <f>HYPERLINK("https://klasma.github.io/Logging_0980/kartor/A 9930-2021 karta.png", "A 9930-2021")</f>
        <v/>
      </c>
      <c r="V152">
        <f>HYPERLINK("https://klasma.github.io/Logging_0980/klagomål/A 9930-2021 FSC-klagomål.docx", "A 9930-2021")</f>
        <v/>
      </c>
      <c r="W152">
        <f>HYPERLINK("https://klasma.github.io/Logging_0980/klagomålsmail/A 9930-2021 FSC-klagomål mail.docx", "A 9930-2021")</f>
        <v/>
      </c>
      <c r="X152">
        <f>HYPERLINK("https://klasma.github.io/Logging_0980/tillsyn/A 9930-2021 tillsynsbegäran.docx", "A 9930-2021")</f>
        <v/>
      </c>
      <c r="Y152">
        <f>HYPERLINK("https://klasma.github.io/Logging_0980/tillsynsmail/A 9930-2021 tillsynsbegäran mail.docx", "A 9930-2021")</f>
        <v/>
      </c>
    </row>
    <row r="153" ht="15" customHeight="1">
      <c r="A153" t="inlineStr">
        <is>
          <t>A 16429-2021</t>
        </is>
      </c>
      <c r="B153" s="1" t="n">
        <v>44293</v>
      </c>
      <c r="C153" s="1" t="n">
        <v>45638</v>
      </c>
      <c r="D153" t="inlineStr">
        <is>
          <t>GOTLANDS LÄN</t>
        </is>
      </c>
      <c r="E153" t="inlineStr">
        <is>
          <t>GOTLAND</t>
        </is>
      </c>
      <c r="G153" t="n">
        <v>3.4</v>
      </c>
      <c r="H153" t="n">
        <v>0</v>
      </c>
      <c r="I153" t="n">
        <v>0</v>
      </c>
      <c r="J153" t="n">
        <v>1</v>
      </c>
      <c r="K153" t="n">
        <v>1</v>
      </c>
      <c r="L153" t="n">
        <v>0</v>
      </c>
      <c r="M153" t="n">
        <v>0</v>
      </c>
      <c r="N153" t="n">
        <v>0</v>
      </c>
      <c r="O153" t="n">
        <v>2</v>
      </c>
      <c r="P153" t="n">
        <v>1</v>
      </c>
      <c r="Q153" t="n">
        <v>2</v>
      </c>
      <c r="R153" s="2" t="inlineStr">
        <is>
          <t>Gotlandsmåra
Barrviolspindling</t>
        </is>
      </c>
      <c r="S153">
        <f>HYPERLINK("https://klasma.github.io/Logging_0980/artfynd/A 16429-2021 artfynd.xlsx", "A 16429-2021")</f>
        <v/>
      </c>
      <c r="T153">
        <f>HYPERLINK("https://klasma.github.io/Logging_0980/kartor/A 16429-2021 karta.png", "A 16429-2021")</f>
        <v/>
      </c>
      <c r="V153">
        <f>HYPERLINK("https://klasma.github.io/Logging_0980/klagomål/A 16429-2021 FSC-klagomål.docx", "A 16429-2021")</f>
        <v/>
      </c>
      <c r="W153">
        <f>HYPERLINK("https://klasma.github.io/Logging_0980/klagomålsmail/A 16429-2021 FSC-klagomål mail.docx", "A 16429-2021")</f>
        <v/>
      </c>
      <c r="X153">
        <f>HYPERLINK("https://klasma.github.io/Logging_0980/tillsyn/A 16429-2021 tillsynsbegäran.docx", "A 16429-2021")</f>
        <v/>
      </c>
      <c r="Y153">
        <f>HYPERLINK("https://klasma.github.io/Logging_0980/tillsynsmail/A 16429-2021 tillsynsbegäran mail.docx", "A 16429-2021")</f>
        <v/>
      </c>
    </row>
    <row r="154" ht="15" customHeight="1">
      <c r="A154" t="inlineStr">
        <is>
          <t>A 29870-2021</t>
        </is>
      </c>
      <c r="B154" s="1" t="n">
        <v>44362</v>
      </c>
      <c r="C154" s="1" t="n">
        <v>45638</v>
      </c>
      <c r="D154" t="inlineStr">
        <is>
          <t>GOTLANDS LÄN</t>
        </is>
      </c>
      <c r="E154" t="inlineStr">
        <is>
          <t>GOTLAND</t>
        </is>
      </c>
      <c r="G154" t="n">
        <v>2.4</v>
      </c>
      <c r="H154" t="n">
        <v>0</v>
      </c>
      <c r="I154" t="n">
        <v>1</v>
      </c>
      <c r="J154" t="n">
        <v>0</v>
      </c>
      <c r="K154" t="n">
        <v>1</v>
      </c>
      <c r="L154" t="n">
        <v>0</v>
      </c>
      <c r="M154" t="n">
        <v>0</v>
      </c>
      <c r="N154" t="n">
        <v>0</v>
      </c>
      <c r="O154" t="n">
        <v>1</v>
      </c>
      <c r="P154" t="n">
        <v>1</v>
      </c>
      <c r="Q154" t="n">
        <v>2</v>
      </c>
      <c r="R154" s="2" t="inlineStr">
        <is>
          <t>Blåfotad fagerspindling
Olivspindling</t>
        </is>
      </c>
      <c r="S154">
        <f>HYPERLINK("https://klasma.github.io/Logging_0980/artfynd/A 29870-2021 artfynd.xlsx", "A 29870-2021")</f>
        <v/>
      </c>
      <c r="T154">
        <f>HYPERLINK("https://klasma.github.io/Logging_0980/kartor/A 29870-2021 karta.png", "A 29870-2021")</f>
        <v/>
      </c>
      <c r="V154">
        <f>HYPERLINK("https://klasma.github.io/Logging_0980/klagomål/A 29870-2021 FSC-klagomål.docx", "A 29870-2021")</f>
        <v/>
      </c>
      <c r="W154">
        <f>HYPERLINK("https://klasma.github.io/Logging_0980/klagomålsmail/A 29870-2021 FSC-klagomål mail.docx", "A 29870-2021")</f>
        <v/>
      </c>
      <c r="X154">
        <f>HYPERLINK("https://klasma.github.io/Logging_0980/tillsyn/A 29870-2021 tillsynsbegäran.docx", "A 29870-2021")</f>
        <v/>
      </c>
      <c r="Y154">
        <f>HYPERLINK("https://klasma.github.io/Logging_0980/tillsynsmail/A 29870-2021 tillsynsbegäran mail.docx", "A 29870-2021")</f>
        <v/>
      </c>
    </row>
    <row r="155" ht="15" customHeight="1">
      <c r="A155" t="inlineStr">
        <is>
          <t>A 41346-2021</t>
        </is>
      </c>
      <c r="B155" s="1" t="n">
        <v>44424</v>
      </c>
      <c r="C155" s="1" t="n">
        <v>45638</v>
      </c>
      <c r="D155" t="inlineStr">
        <is>
          <t>GOTLANDS LÄN</t>
        </is>
      </c>
      <c r="E155" t="inlineStr">
        <is>
          <t>GOTLAND</t>
        </is>
      </c>
      <c r="G155" t="n">
        <v>0.9</v>
      </c>
      <c r="H155" t="n">
        <v>0</v>
      </c>
      <c r="I155" t="n">
        <v>1</v>
      </c>
      <c r="J155" t="n">
        <v>0</v>
      </c>
      <c r="K155" t="n">
        <v>1</v>
      </c>
      <c r="L155" t="n">
        <v>0</v>
      </c>
      <c r="M155" t="n">
        <v>0</v>
      </c>
      <c r="N155" t="n">
        <v>0</v>
      </c>
      <c r="O155" t="n">
        <v>1</v>
      </c>
      <c r="P155" t="n">
        <v>1</v>
      </c>
      <c r="Q155" t="n">
        <v>2</v>
      </c>
      <c r="R155" s="2" t="inlineStr">
        <is>
          <t>Vit taggsvamp
Fjällig taggsvamp s.str.</t>
        </is>
      </c>
      <c r="S155">
        <f>HYPERLINK("https://klasma.github.io/Logging_0980/artfynd/A 41346-2021 artfynd.xlsx", "A 41346-2021")</f>
        <v/>
      </c>
      <c r="T155">
        <f>HYPERLINK("https://klasma.github.io/Logging_0980/kartor/A 41346-2021 karta.png", "A 41346-2021")</f>
        <v/>
      </c>
      <c r="V155">
        <f>HYPERLINK("https://klasma.github.io/Logging_0980/klagomål/A 41346-2021 FSC-klagomål.docx", "A 41346-2021")</f>
        <v/>
      </c>
      <c r="W155">
        <f>HYPERLINK("https://klasma.github.io/Logging_0980/klagomålsmail/A 41346-2021 FSC-klagomål mail.docx", "A 41346-2021")</f>
        <v/>
      </c>
      <c r="X155">
        <f>HYPERLINK("https://klasma.github.io/Logging_0980/tillsyn/A 41346-2021 tillsynsbegäran.docx", "A 41346-2021")</f>
        <v/>
      </c>
      <c r="Y155">
        <f>HYPERLINK("https://klasma.github.io/Logging_0980/tillsynsmail/A 41346-2021 tillsynsbegäran mail.docx", "A 41346-2021")</f>
        <v/>
      </c>
    </row>
    <row r="156" ht="15" customHeight="1">
      <c r="A156" t="inlineStr">
        <is>
          <t>A 51737-2021</t>
        </is>
      </c>
      <c r="B156" s="1" t="n">
        <v>44462</v>
      </c>
      <c r="C156" s="1" t="n">
        <v>45638</v>
      </c>
      <c r="D156" t="inlineStr">
        <is>
          <t>GOTLANDS LÄN</t>
        </is>
      </c>
      <c r="E156" t="inlineStr">
        <is>
          <t>GOTLAND</t>
        </is>
      </c>
      <c r="G156" t="n">
        <v>8.6</v>
      </c>
      <c r="H156" t="n">
        <v>0</v>
      </c>
      <c r="I156" t="n">
        <v>1</v>
      </c>
      <c r="J156" t="n">
        <v>1</v>
      </c>
      <c r="K156" t="n">
        <v>0</v>
      </c>
      <c r="L156" t="n">
        <v>0</v>
      </c>
      <c r="M156" t="n">
        <v>0</v>
      </c>
      <c r="N156" t="n">
        <v>0</v>
      </c>
      <c r="O156" t="n">
        <v>1</v>
      </c>
      <c r="P156" t="n">
        <v>0</v>
      </c>
      <c r="Q156" t="n">
        <v>2</v>
      </c>
      <c r="R156" s="2" t="inlineStr">
        <is>
          <t>Igelkott
Kambräken</t>
        </is>
      </c>
      <c r="S156">
        <f>HYPERLINK("https://klasma.github.io/Logging_0980/artfynd/A 51737-2021 artfynd.xlsx", "A 51737-2021")</f>
        <v/>
      </c>
      <c r="T156">
        <f>HYPERLINK("https://klasma.github.io/Logging_0980/kartor/A 51737-2021 karta.png", "A 51737-2021")</f>
        <v/>
      </c>
      <c r="V156">
        <f>HYPERLINK("https://klasma.github.io/Logging_0980/klagomål/A 51737-2021 FSC-klagomål.docx", "A 51737-2021")</f>
        <v/>
      </c>
      <c r="W156">
        <f>HYPERLINK("https://klasma.github.io/Logging_0980/klagomålsmail/A 51737-2021 FSC-klagomål mail.docx", "A 51737-2021")</f>
        <v/>
      </c>
      <c r="X156">
        <f>HYPERLINK("https://klasma.github.io/Logging_0980/tillsyn/A 51737-2021 tillsynsbegäran.docx", "A 51737-2021")</f>
        <v/>
      </c>
      <c r="Y156">
        <f>HYPERLINK("https://klasma.github.io/Logging_0980/tillsynsmail/A 51737-2021 tillsynsbegäran mail.docx", "A 51737-2021")</f>
        <v/>
      </c>
    </row>
    <row r="157" ht="15" customHeight="1">
      <c r="A157" t="inlineStr">
        <is>
          <t>A 60665-2021</t>
        </is>
      </c>
      <c r="B157" s="1" t="n">
        <v>44496</v>
      </c>
      <c r="C157" s="1" t="n">
        <v>45638</v>
      </c>
      <c r="D157" t="inlineStr">
        <is>
          <t>GOTLANDS LÄN</t>
        </is>
      </c>
      <c r="E157" t="inlineStr">
        <is>
          <t>GOTLAND</t>
        </is>
      </c>
      <c r="G157" t="n">
        <v>1.6</v>
      </c>
      <c r="H157" t="n">
        <v>0</v>
      </c>
      <c r="I157" t="n">
        <v>0</v>
      </c>
      <c r="J157" t="n">
        <v>0</v>
      </c>
      <c r="K157" t="n">
        <v>1</v>
      </c>
      <c r="L157" t="n">
        <v>1</v>
      </c>
      <c r="M157" t="n">
        <v>0</v>
      </c>
      <c r="N157" t="n">
        <v>0</v>
      </c>
      <c r="O157" t="n">
        <v>2</v>
      </c>
      <c r="P157" t="n">
        <v>2</v>
      </c>
      <c r="Q157" t="n">
        <v>2</v>
      </c>
      <c r="R157" s="2" t="inlineStr">
        <is>
          <t>Ädellav
Skogskorn</t>
        </is>
      </c>
      <c r="S157">
        <f>HYPERLINK("https://klasma.github.io/Logging_0980/artfynd/A 60665-2021 artfynd.xlsx", "A 60665-2021")</f>
        <v/>
      </c>
      <c r="T157">
        <f>HYPERLINK("https://klasma.github.io/Logging_0980/kartor/A 60665-2021 karta.png", "A 60665-2021")</f>
        <v/>
      </c>
      <c r="V157">
        <f>HYPERLINK("https://klasma.github.io/Logging_0980/klagomål/A 60665-2021 FSC-klagomål.docx", "A 60665-2021")</f>
        <v/>
      </c>
      <c r="W157">
        <f>HYPERLINK("https://klasma.github.io/Logging_0980/klagomålsmail/A 60665-2021 FSC-klagomål mail.docx", "A 60665-2021")</f>
        <v/>
      </c>
      <c r="X157">
        <f>HYPERLINK("https://klasma.github.io/Logging_0980/tillsyn/A 60665-2021 tillsynsbegäran.docx", "A 60665-2021")</f>
        <v/>
      </c>
      <c r="Y157">
        <f>HYPERLINK("https://klasma.github.io/Logging_0980/tillsynsmail/A 60665-2021 tillsynsbegäran mail.docx", "A 60665-2021")</f>
        <v/>
      </c>
    </row>
    <row r="158" ht="15" customHeight="1">
      <c r="A158" t="inlineStr">
        <is>
          <t>A 73144-2021</t>
        </is>
      </c>
      <c r="B158" s="1" t="n">
        <v>44550</v>
      </c>
      <c r="C158" s="1" t="n">
        <v>45638</v>
      </c>
      <c r="D158" t="inlineStr">
        <is>
          <t>GOTLANDS LÄN</t>
        </is>
      </c>
      <c r="E158" t="inlineStr">
        <is>
          <t>GOTLAND</t>
        </is>
      </c>
      <c r="G158" t="n">
        <v>1.9</v>
      </c>
      <c r="H158" t="n">
        <v>0</v>
      </c>
      <c r="I158" t="n">
        <v>1</v>
      </c>
      <c r="J158" t="n">
        <v>0</v>
      </c>
      <c r="K158" t="n">
        <v>1</v>
      </c>
      <c r="L158" t="n">
        <v>0</v>
      </c>
      <c r="M158" t="n">
        <v>0</v>
      </c>
      <c r="N158" t="n">
        <v>0</v>
      </c>
      <c r="O158" t="n">
        <v>1</v>
      </c>
      <c r="P158" t="n">
        <v>1</v>
      </c>
      <c r="Q158" t="n">
        <v>2</v>
      </c>
      <c r="R158" s="2" t="inlineStr">
        <is>
          <t>Skogskorn
Kambräken</t>
        </is>
      </c>
      <c r="S158">
        <f>HYPERLINK("https://klasma.github.io/Logging_0980/artfynd/A 73144-2021 artfynd.xlsx", "A 73144-2021")</f>
        <v/>
      </c>
      <c r="T158">
        <f>HYPERLINK("https://klasma.github.io/Logging_0980/kartor/A 73144-2021 karta.png", "A 73144-2021")</f>
        <v/>
      </c>
      <c r="V158">
        <f>HYPERLINK("https://klasma.github.io/Logging_0980/klagomål/A 73144-2021 FSC-klagomål.docx", "A 73144-2021")</f>
        <v/>
      </c>
      <c r="W158">
        <f>HYPERLINK("https://klasma.github.io/Logging_0980/klagomålsmail/A 73144-2021 FSC-klagomål mail.docx", "A 73144-2021")</f>
        <v/>
      </c>
      <c r="X158">
        <f>HYPERLINK("https://klasma.github.io/Logging_0980/tillsyn/A 73144-2021 tillsynsbegäran.docx", "A 73144-2021")</f>
        <v/>
      </c>
      <c r="Y158">
        <f>HYPERLINK("https://klasma.github.io/Logging_0980/tillsynsmail/A 73144-2021 tillsynsbegäran mail.docx", "A 73144-2021")</f>
        <v/>
      </c>
    </row>
    <row r="159" ht="15" customHeight="1">
      <c r="A159" t="inlineStr">
        <is>
          <t>A 7070-2022</t>
        </is>
      </c>
      <c r="B159" s="1" t="n">
        <v>44603</v>
      </c>
      <c r="C159" s="1" t="n">
        <v>45638</v>
      </c>
      <c r="D159" t="inlineStr">
        <is>
          <t>GOTLANDS LÄN</t>
        </is>
      </c>
      <c r="E159" t="inlineStr">
        <is>
          <t>GOTLAND</t>
        </is>
      </c>
      <c r="G159" t="n">
        <v>2.6</v>
      </c>
      <c r="H159" t="n">
        <v>0</v>
      </c>
      <c r="I159" t="n">
        <v>2</v>
      </c>
      <c r="J159" t="n">
        <v>0</v>
      </c>
      <c r="K159" t="n">
        <v>0</v>
      </c>
      <c r="L159" t="n">
        <v>0</v>
      </c>
      <c r="M159" t="n">
        <v>0</v>
      </c>
      <c r="N159" t="n">
        <v>0</v>
      </c>
      <c r="O159" t="n">
        <v>0</v>
      </c>
      <c r="P159" t="n">
        <v>0</v>
      </c>
      <c r="Q159" t="n">
        <v>2</v>
      </c>
      <c r="R159" s="2" t="inlineStr">
        <is>
          <t>Blåmossa
Kattfotslav</t>
        </is>
      </c>
      <c r="S159">
        <f>HYPERLINK("https://klasma.github.io/Logging_0980/artfynd/A 7070-2022 artfynd.xlsx", "A 7070-2022")</f>
        <v/>
      </c>
      <c r="T159">
        <f>HYPERLINK("https://klasma.github.io/Logging_0980/kartor/A 7070-2022 karta.png", "A 7070-2022")</f>
        <v/>
      </c>
      <c r="V159">
        <f>HYPERLINK("https://klasma.github.io/Logging_0980/klagomål/A 7070-2022 FSC-klagomål.docx", "A 7070-2022")</f>
        <v/>
      </c>
      <c r="W159">
        <f>HYPERLINK("https://klasma.github.io/Logging_0980/klagomålsmail/A 7070-2022 FSC-klagomål mail.docx", "A 7070-2022")</f>
        <v/>
      </c>
      <c r="X159">
        <f>HYPERLINK("https://klasma.github.io/Logging_0980/tillsyn/A 7070-2022 tillsynsbegäran.docx", "A 7070-2022")</f>
        <v/>
      </c>
      <c r="Y159">
        <f>HYPERLINK("https://klasma.github.io/Logging_0980/tillsynsmail/A 7070-2022 tillsynsbegäran mail.docx", "A 7070-2022")</f>
        <v/>
      </c>
    </row>
    <row r="160" ht="15" customHeight="1">
      <c r="A160" t="inlineStr">
        <is>
          <t>A 19175-2022</t>
        </is>
      </c>
      <c r="B160" s="1" t="n">
        <v>44691</v>
      </c>
      <c r="C160" s="1" t="n">
        <v>45638</v>
      </c>
      <c r="D160" t="inlineStr">
        <is>
          <t>GOTLANDS LÄN</t>
        </is>
      </c>
      <c r="E160" t="inlineStr">
        <is>
          <t>GOTLAND</t>
        </is>
      </c>
      <c r="G160" t="n">
        <v>8.5</v>
      </c>
      <c r="H160" t="n">
        <v>1</v>
      </c>
      <c r="I160" t="n">
        <v>0</v>
      </c>
      <c r="J160" t="n">
        <v>2</v>
      </c>
      <c r="K160" t="n">
        <v>0</v>
      </c>
      <c r="L160" t="n">
        <v>0</v>
      </c>
      <c r="M160" t="n">
        <v>0</v>
      </c>
      <c r="N160" t="n">
        <v>0</v>
      </c>
      <c r="O160" t="n">
        <v>2</v>
      </c>
      <c r="P160" t="n">
        <v>0</v>
      </c>
      <c r="Q160" t="n">
        <v>2</v>
      </c>
      <c r="R160" s="2" t="inlineStr">
        <is>
          <t>Jordtistel
Spillkråka</t>
        </is>
      </c>
      <c r="S160">
        <f>HYPERLINK("https://klasma.github.io/Logging_0980/artfynd/A 19175-2022 artfynd.xlsx", "A 19175-2022")</f>
        <v/>
      </c>
      <c r="T160">
        <f>HYPERLINK("https://klasma.github.io/Logging_0980/kartor/A 19175-2022 karta.png", "A 19175-2022")</f>
        <v/>
      </c>
      <c r="V160">
        <f>HYPERLINK("https://klasma.github.io/Logging_0980/klagomål/A 19175-2022 FSC-klagomål.docx", "A 19175-2022")</f>
        <v/>
      </c>
      <c r="W160">
        <f>HYPERLINK("https://klasma.github.io/Logging_0980/klagomålsmail/A 19175-2022 FSC-klagomål mail.docx", "A 19175-2022")</f>
        <v/>
      </c>
      <c r="X160">
        <f>HYPERLINK("https://klasma.github.io/Logging_0980/tillsyn/A 19175-2022 tillsynsbegäran.docx", "A 19175-2022")</f>
        <v/>
      </c>
      <c r="Y160">
        <f>HYPERLINK("https://klasma.github.io/Logging_0980/tillsynsmail/A 19175-2022 tillsynsbegäran mail.docx", "A 19175-2022")</f>
        <v/>
      </c>
      <c r="Z160">
        <f>HYPERLINK("https://klasma.github.io/Logging_0980/fåglar/A 19175-2022 prioriterade fågelarter.docx", "A 19175-2022")</f>
        <v/>
      </c>
    </row>
    <row r="161" ht="15" customHeight="1">
      <c r="A161" t="inlineStr">
        <is>
          <t>A 20218-2022</t>
        </is>
      </c>
      <c r="B161" s="1" t="n">
        <v>44698</v>
      </c>
      <c r="C161" s="1" t="n">
        <v>45638</v>
      </c>
      <c r="D161" t="inlineStr">
        <is>
          <t>GOTLANDS LÄN</t>
        </is>
      </c>
      <c r="E161" t="inlineStr">
        <is>
          <t>GOTLAND</t>
        </is>
      </c>
      <c r="G161" t="n">
        <v>4.3</v>
      </c>
      <c r="H161" t="n">
        <v>0</v>
      </c>
      <c r="I161" t="n">
        <v>1</v>
      </c>
      <c r="J161" t="n">
        <v>1</v>
      </c>
      <c r="K161" t="n">
        <v>0</v>
      </c>
      <c r="L161" t="n">
        <v>0</v>
      </c>
      <c r="M161" t="n">
        <v>0</v>
      </c>
      <c r="N161" t="n">
        <v>0</v>
      </c>
      <c r="O161" t="n">
        <v>1</v>
      </c>
      <c r="P161" t="n">
        <v>0</v>
      </c>
      <c r="Q161" t="n">
        <v>2</v>
      </c>
      <c r="R161" s="2" t="inlineStr">
        <is>
          <t>Flattoppad klubbsvamp
Rödgul trumpetsvamp</t>
        </is>
      </c>
      <c r="S161">
        <f>HYPERLINK("https://klasma.github.io/Logging_0980/artfynd/A 20218-2022 artfynd.xlsx", "A 20218-2022")</f>
        <v/>
      </c>
      <c r="T161">
        <f>HYPERLINK("https://klasma.github.io/Logging_0980/kartor/A 20218-2022 karta.png", "A 20218-2022")</f>
        <v/>
      </c>
      <c r="V161">
        <f>HYPERLINK("https://klasma.github.io/Logging_0980/klagomål/A 20218-2022 FSC-klagomål.docx", "A 20218-2022")</f>
        <v/>
      </c>
      <c r="W161">
        <f>HYPERLINK("https://klasma.github.io/Logging_0980/klagomålsmail/A 20218-2022 FSC-klagomål mail.docx", "A 20218-2022")</f>
        <v/>
      </c>
      <c r="X161">
        <f>HYPERLINK("https://klasma.github.io/Logging_0980/tillsyn/A 20218-2022 tillsynsbegäran.docx", "A 20218-2022")</f>
        <v/>
      </c>
      <c r="Y161">
        <f>HYPERLINK("https://klasma.github.io/Logging_0980/tillsynsmail/A 20218-2022 tillsynsbegäran mail.docx", "A 20218-2022")</f>
        <v/>
      </c>
    </row>
    <row r="162" ht="15" customHeight="1">
      <c r="A162" t="inlineStr">
        <is>
          <t>A 48126-2022</t>
        </is>
      </c>
      <c r="B162" s="1" t="n">
        <v>44857</v>
      </c>
      <c r="C162" s="1" t="n">
        <v>45638</v>
      </c>
      <c r="D162" t="inlineStr">
        <is>
          <t>GOTLANDS LÄN</t>
        </is>
      </c>
      <c r="E162" t="inlineStr">
        <is>
          <t>GOTLAND</t>
        </is>
      </c>
      <c r="G162" t="n">
        <v>9.800000000000001</v>
      </c>
      <c r="H162" t="n">
        <v>1</v>
      </c>
      <c r="I162" t="n">
        <v>0</v>
      </c>
      <c r="J162" t="n">
        <v>2</v>
      </c>
      <c r="K162" t="n">
        <v>0</v>
      </c>
      <c r="L162" t="n">
        <v>0</v>
      </c>
      <c r="M162" t="n">
        <v>0</v>
      </c>
      <c r="N162" t="n">
        <v>0</v>
      </c>
      <c r="O162" t="n">
        <v>2</v>
      </c>
      <c r="P162" t="n">
        <v>0</v>
      </c>
      <c r="Q162" t="n">
        <v>2</v>
      </c>
      <c r="R162" s="2" t="inlineStr">
        <is>
          <t>Jordtistel
Spillkråka</t>
        </is>
      </c>
      <c r="S162">
        <f>HYPERLINK("https://klasma.github.io/Logging_0980/artfynd/A 48126-2022 artfynd.xlsx", "A 48126-2022")</f>
        <v/>
      </c>
      <c r="T162">
        <f>HYPERLINK("https://klasma.github.io/Logging_0980/kartor/A 48126-2022 karta.png", "A 48126-2022")</f>
        <v/>
      </c>
      <c r="V162">
        <f>HYPERLINK("https://klasma.github.io/Logging_0980/klagomål/A 48126-2022 FSC-klagomål.docx", "A 48126-2022")</f>
        <v/>
      </c>
      <c r="W162">
        <f>HYPERLINK("https://klasma.github.io/Logging_0980/klagomålsmail/A 48126-2022 FSC-klagomål mail.docx", "A 48126-2022")</f>
        <v/>
      </c>
      <c r="X162">
        <f>HYPERLINK("https://klasma.github.io/Logging_0980/tillsyn/A 48126-2022 tillsynsbegäran.docx", "A 48126-2022")</f>
        <v/>
      </c>
      <c r="Y162">
        <f>HYPERLINK("https://klasma.github.io/Logging_0980/tillsynsmail/A 48126-2022 tillsynsbegäran mail.docx", "A 48126-2022")</f>
        <v/>
      </c>
      <c r="Z162">
        <f>HYPERLINK("https://klasma.github.io/Logging_0980/fåglar/A 48126-2022 prioriterade fågelarter.docx", "A 48126-2022")</f>
        <v/>
      </c>
    </row>
    <row r="163" ht="15" customHeight="1">
      <c r="A163" t="inlineStr">
        <is>
          <t>A 3779-2023</t>
        </is>
      </c>
      <c r="B163" s="1" t="n">
        <v>44951</v>
      </c>
      <c r="C163" s="1" t="n">
        <v>45638</v>
      </c>
      <c r="D163" t="inlineStr">
        <is>
          <t>GOTLANDS LÄN</t>
        </is>
      </c>
      <c r="E163" t="inlineStr">
        <is>
          <t>GOTLAND</t>
        </is>
      </c>
      <c r="G163" t="n">
        <v>5.2</v>
      </c>
      <c r="H163" t="n">
        <v>0</v>
      </c>
      <c r="I163" t="n">
        <v>2</v>
      </c>
      <c r="J163" t="n">
        <v>0</v>
      </c>
      <c r="K163" t="n">
        <v>0</v>
      </c>
      <c r="L163" t="n">
        <v>0</v>
      </c>
      <c r="M163" t="n">
        <v>0</v>
      </c>
      <c r="N163" t="n">
        <v>0</v>
      </c>
      <c r="O163" t="n">
        <v>0</v>
      </c>
      <c r="P163" t="n">
        <v>0</v>
      </c>
      <c r="Q163" t="n">
        <v>2</v>
      </c>
      <c r="R163" s="2" t="inlineStr">
        <is>
          <t>Blå slemspindling
Olivspindling</t>
        </is>
      </c>
      <c r="S163">
        <f>HYPERLINK("https://klasma.github.io/Logging_0980/artfynd/A 3779-2023 artfynd.xlsx", "A 3779-2023")</f>
        <v/>
      </c>
      <c r="T163">
        <f>HYPERLINK("https://klasma.github.io/Logging_0980/kartor/A 3779-2023 karta.png", "A 3779-2023")</f>
        <v/>
      </c>
      <c r="V163">
        <f>HYPERLINK("https://klasma.github.io/Logging_0980/klagomål/A 3779-2023 FSC-klagomål.docx", "A 3779-2023")</f>
        <v/>
      </c>
      <c r="W163">
        <f>HYPERLINK("https://klasma.github.io/Logging_0980/klagomålsmail/A 3779-2023 FSC-klagomål mail.docx", "A 3779-2023")</f>
        <v/>
      </c>
      <c r="X163">
        <f>HYPERLINK("https://klasma.github.io/Logging_0980/tillsyn/A 3779-2023 tillsynsbegäran.docx", "A 3779-2023")</f>
        <v/>
      </c>
      <c r="Y163">
        <f>HYPERLINK("https://klasma.github.io/Logging_0980/tillsynsmail/A 3779-2023 tillsynsbegäran mail.docx", "A 3779-2023")</f>
        <v/>
      </c>
    </row>
    <row r="164" ht="15" customHeight="1">
      <c r="A164" t="inlineStr">
        <is>
          <t>A 27280-2023</t>
        </is>
      </c>
      <c r="B164" s="1" t="n">
        <v>45096</v>
      </c>
      <c r="C164" s="1" t="n">
        <v>45638</v>
      </c>
      <c r="D164" t="inlineStr">
        <is>
          <t>GOTLANDS LÄN</t>
        </is>
      </c>
      <c r="E164" t="inlineStr">
        <is>
          <t>GOTLAND</t>
        </is>
      </c>
      <c r="G164" t="n">
        <v>2.7</v>
      </c>
      <c r="H164" t="n">
        <v>2</v>
      </c>
      <c r="I164" t="n">
        <v>0</v>
      </c>
      <c r="J164" t="n">
        <v>0</v>
      </c>
      <c r="K164" t="n">
        <v>0</v>
      </c>
      <c r="L164" t="n">
        <v>0</v>
      </c>
      <c r="M164" t="n">
        <v>0</v>
      </c>
      <c r="N164" t="n">
        <v>0</v>
      </c>
      <c r="O164" t="n">
        <v>0</v>
      </c>
      <c r="P164" t="n">
        <v>0</v>
      </c>
      <c r="Q164" t="n">
        <v>2</v>
      </c>
      <c r="R164" s="2" t="inlineStr">
        <is>
          <t>Fläcknycklar
Grönvit nattviol</t>
        </is>
      </c>
      <c r="S164">
        <f>HYPERLINK("https://klasma.github.io/Logging_0980/artfynd/A 27280-2023 artfynd.xlsx", "A 27280-2023")</f>
        <v/>
      </c>
      <c r="T164">
        <f>HYPERLINK("https://klasma.github.io/Logging_0980/kartor/A 27280-2023 karta.png", "A 27280-2023")</f>
        <v/>
      </c>
      <c r="V164">
        <f>HYPERLINK("https://klasma.github.io/Logging_0980/klagomål/A 27280-2023 FSC-klagomål.docx", "A 27280-2023")</f>
        <v/>
      </c>
      <c r="W164">
        <f>HYPERLINK("https://klasma.github.io/Logging_0980/klagomålsmail/A 27280-2023 FSC-klagomål mail.docx", "A 27280-2023")</f>
        <v/>
      </c>
      <c r="X164">
        <f>HYPERLINK("https://klasma.github.io/Logging_0980/tillsyn/A 27280-2023 tillsynsbegäran.docx", "A 27280-2023")</f>
        <v/>
      </c>
      <c r="Y164">
        <f>HYPERLINK("https://klasma.github.io/Logging_0980/tillsynsmail/A 27280-2023 tillsynsbegäran mail.docx", "A 27280-2023")</f>
        <v/>
      </c>
    </row>
    <row r="165" ht="15" customHeight="1">
      <c r="A165" t="inlineStr">
        <is>
          <t>A 35028-2023</t>
        </is>
      </c>
      <c r="B165" s="1" t="n">
        <v>45145</v>
      </c>
      <c r="C165" s="1" t="n">
        <v>45638</v>
      </c>
      <c r="D165" t="inlineStr">
        <is>
          <t>GOTLANDS LÄN</t>
        </is>
      </c>
      <c r="E165" t="inlineStr">
        <is>
          <t>GOTLAND</t>
        </is>
      </c>
      <c r="G165" t="n">
        <v>1.1</v>
      </c>
      <c r="H165" t="n">
        <v>0</v>
      </c>
      <c r="I165" t="n">
        <v>1</v>
      </c>
      <c r="J165" t="n">
        <v>0</v>
      </c>
      <c r="K165" t="n">
        <v>1</v>
      </c>
      <c r="L165" t="n">
        <v>0</v>
      </c>
      <c r="M165" t="n">
        <v>0</v>
      </c>
      <c r="N165" t="n">
        <v>0</v>
      </c>
      <c r="O165" t="n">
        <v>1</v>
      </c>
      <c r="P165" t="n">
        <v>1</v>
      </c>
      <c r="Q165" t="n">
        <v>2</v>
      </c>
      <c r="R165" s="2" t="inlineStr">
        <is>
          <t>Tät korallorangelav
Guldlockmossa</t>
        </is>
      </c>
      <c r="S165">
        <f>HYPERLINK("https://klasma.github.io/Logging_0980/artfynd/A 35028-2023 artfynd.xlsx", "A 35028-2023")</f>
        <v/>
      </c>
      <c r="T165">
        <f>HYPERLINK("https://klasma.github.io/Logging_0980/kartor/A 35028-2023 karta.png", "A 35028-2023")</f>
        <v/>
      </c>
      <c r="V165">
        <f>HYPERLINK("https://klasma.github.io/Logging_0980/klagomål/A 35028-2023 FSC-klagomål.docx", "A 35028-2023")</f>
        <v/>
      </c>
      <c r="W165">
        <f>HYPERLINK("https://klasma.github.io/Logging_0980/klagomålsmail/A 35028-2023 FSC-klagomål mail.docx", "A 35028-2023")</f>
        <v/>
      </c>
      <c r="X165">
        <f>HYPERLINK("https://klasma.github.io/Logging_0980/tillsyn/A 35028-2023 tillsynsbegäran.docx", "A 35028-2023")</f>
        <v/>
      </c>
      <c r="Y165">
        <f>HYPERLINK("https://klasma.github.io/Logging_0980/tillsynsmail/A 35028-2023 tillsynsbegäran mail.docx", "A 35028-2023")</f>
        <v/>
      </c>
    </row>
    <row r="166" ht="15" customHeight="1">
      <c r="A166" t="inlineStr">
        <is>
          <t>A 35029-2023</t>
        </is>
      </c>
      <c r="B166" s="1" t="n">
        <v>45145</v>
      </c>
      <c r="C166" s="1" t="n">
        <v>45638</v>
      </c>
      <c r="D166" t="inlineStr">
        <is>
          <t>GOTLANDS LÄN</t>
        </is>
      </c>
      <c r="E166" t="inlineStr">
        <is>
          <t>GOTLAND</t>
        </is>
      </c>
      <c r="G166" t="n">
        <v>1.7</v>
      </c>
      <c r="H166" t="n">
        <v>0</v>
      </c>
      <c r="I166" t="n">
        <v>1</v>
      </c>
      <c r="J166" t="n">
        <v>1</v>
      </c>
      <c r="K166" t="n">
        <v>0</v>
      </c>
      <c r="L166" t="n">
        <v>0</v>
      </c>
      <c r="M166" t="n">
        <v>0</v>
      </c>
      <c r="N166" t="n">
        <v>0</v>
      </c>
      <c r="O166" t="n">
        <v>1</v>
      </c>
      <c r="P166" t="n">
        <v>0</v>
      </c>
      <c r="Q166" t="n">
        <v>2</v>
      </c>
      <c r="R166" s="2" t="inlineStr">
        <is>
          <t>Odörspindling
Anisspindling</t>
        </is>
      </c>
      <c r="S166">
        <f>HYPERLINK("https://klasma.github.io/Logging_0980/artfynd/A 35029-2023 artfynd.xlsx", "A 35029-2023")</f>
        <v/>
      </c>
      <c r="T166">
        <f>HYPERLINK("https://klasma.github.io/Logging_0980/kartor/A 35029-2023 karta.png", "A 35029-2023")</f>
        <v/>
      </c>
      <c r="V166">
        <f>HYPERLINK("https://klasma.github.io/Logging_0980/klagomål/A 35029-2023 FSC-klagomål.docx", "A 35029-2023")</f>
        <v/>
      </c>
      <c r="W166">
        <f>HYPERLINK("https://klasma.github.io/Logging_0980/klagomålsmail/A 35029-2023 FSC-klagomål mail.docx", "A 35029-2023")</f>
        <v/>
      </c>
      <c r="X166">
        <f>HYPERLINK("https://klasma.github.io/Logging_0980/tillsyn/A 35029-2023 tillsynsbegäran.docx", "A 35029-2023")</f>
        <v/>
      </c>
      <c r="Y166">
        <f>HYPERLINK("https://klasma.github.io/Logging_0980/tillsynsmail/A 35029-2023 tillsynsbegäran mail.docx", "A 35029-2023")</f>
        <v/>
      </c>
    </row>
    <row r="167" ht="15" customHeight="1">
      <c r="A167" t="inlineStr">
        <is>
          <t>A 39430-2023</t>
        </is>
      </c>
      <c r="B167" s="1" t="n">
        <v>45166</v>
      </c>
      <c r="C167" s="1" t="n">
        <v>45638</v>
      </c>
      <c r="D167" t="inlineStr">
        <is>
          <t>GOTLANDS LÄN</t>
        </is>
      </c>
      <c r="E167" t="inlineStr">
        <is>
          <t>GOTLAND</t>
        </is>
      </c>
      <c r="G167" t="n">
        <v>2.3</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39430-2023 artfynd.xlsx", "A 39430-2023")</f>
        <v/>
      </c>
      <c r="T167">
        <f>HYPERLINK("https://klasma.github.io/Logging_0980/kartor/A 39430-2023 karta.png", "A 39430-2023")</f>
        <v/>
      </c>
      <c r="V167">
        <f>HYPERLINK("https://klasma.github.io/Logging_0980/klagomål/A 39430-2023 FSC-klagomål.docx", "A 39430-2023")</f>
        <v/>
      </c>
      <c r="W167">
        <f>HYPERLINK("https://klasma.github.io/Logging_0980/klagomålsmail/A 39430-2023 FSC-klagomål mail.docx", "A 39430-2023")</f>
        <v/>
      </c>
      <c r="X167">
        <f>HYPERLINK("https://klasma.github.io/Logging_0980/tillsyn/A 39430-2023 tillsynsbegäran.docx", "A 39430-2023")</f>
        <v/>
      </c>
      <c r="Y167">
        <f>HYPERLINK("https://klasma.github.io/Logging_0980/tillsynsmail/A 39430-2023 tillsynsbegäran mail.docx", "A 39430-2023")</f>
        <v/>
      </c>
    </row>
    <row r="168" ht="15" customHeight="1">
      <c r="A168" t="inlineStr">
        <is>
          <t>A 39749-2023</t>
        </is>
      </c>
      <c r="B168" s="1" t="n">
        <v>45167</v>
      </c>
      <c r="C168" s="1" t="n">
        <v>45638</v>
      </c>
      <c r="D168" t="inlineStr">
        <is>
          <t>GOTLANDS LÄN</t>
        </is>
      </c>
      <c r="E168" t="inlineStr">
        <is>
          <t>GOTLAND</t>
        </is>
      </c>
      <c r="G168" t="n">
        <v>8.300000000000001</v>
      </c>
      <c r="H168" t="n">
        <v>0</v>
      </c>
      <c r="I168" t="n">
        <v>1</v>
      </c>
      <c r="J168" t="n">
        <v>1</v>
      </c>
      <c r="K168" t="n">
        <v>0</v>
      </c>
      <c r="L168" t="n">
        <v>0</v>
      </c>
      <c r="M168" t="n">
        <v>0</v>
      </c>
      <c r="N168" t="n">
        <v>0</v>
      </c>
      <c r="O168" t="n">
        <v>1</v>
      </c>
      <c r="P168" t="n">
        <v>0</v>
      </c>
      <c r="Q168" t="n">
        <v>2</v>
      </c>
      <c r="R168" s="2" t="inlineStr">
        <is>
          <t>Majviva
Axag</t>
        </is>
      </c>
      <c r="S168">
        <f>HYPERLINK("https://klasma.github.io/Logging_0980/artfynd/A 39749-2023 artfynd.xlsx", "A 39749-2023")</f>
        <v/>
      </c>
      <c r="T168">
        <f>HYPERLINK("https://klasma.github.io/Logging_0980/kartor/A 39749-2023 karta.png", "A 39749-2023")</f>
        <v/>
      </c>
      <c r="V168">
        <f>HYPERLINK("https://klasma.github.io/Logging_0980/klagomål/A 39749-2023 FSC-klagomål.docx", "A 39749-2023")</f>
        <v/>
      </c>
      <c r="W168">
        <f>HYPERLINK("https://klasma.github.io/Logging_0980/klagomålsmail/A 39749-2023 FSC-klagomål mail.docx", "A 39749-2023")</f>
        <v/>
      </c>
      <c r="X168">
        <f>HYPERLINK("https://klasma.github.io/Logging_0980/tillsyn/A 39749-2023 tillsynsbegäran.docx", "A 39749-2023")</f>
        <v/>
      </c>
      <c r="Y168">
        <f>HYPERLINK("https://klasma.github.io/Logging_0980/tillsynsmail/A 39749-2023 tillsynsbegäran mail.docx", "A 39749-2023")</f>
        <v/>
      </c>
    </row>
    <row r="169" ht="15" customHeight="1">
      <c r="A169" t="inlineStr">
        <is>
          <t>A 2818-2024</t>
        </is>
      </c>
      <c r="B169" s="1" t="n">
        <v>45314</v>
      </c>
      <c r="C169" s="1" t="n">
        <v>45638</v>
      </c>
      <c r="D169" t="inlineStr">
        <is>
          <t>GOTLANDS LÄN</t>
        </is>
      </c>
      <c r="E169" t="inlineStr">
        <is>
          <t>GOTLAND</t>
        </is>
      </c>
      <c r="G169" t="n">
        <v>2.4</v>
      </c>
      <c r="H169" t="n">
        <v>1</v>
      </c>
      <c r="I169" t="n">
        <v>0</v>
      </c>
      <c r="J169" t="n">
        <v>1</v>
      </c>
      <c r="K169" t="n">
        <v>0</v>
      </c>
      <c r="L169" t="n">
        <v>0</v>
      </c>
      <c r="M169" t="n">
        <v>0</v>
      </c>
      <c r="N169" t="n">
        <v>0</v>
      </c>
      <c r="O169" t="n">
        <v>1</v>
      </c>
      <c r="P169" t="n">
        <v>0</v>
      </c>
      <c r="Q169" t="n">
        <v>2</v>
      </c>
      <c r="R169" s="2" t="inlineStr">
        <is>
          <t>Solvända
Gullviva</t>
        </is>
      </c>
      <c r="S169">
        <f>HYPERLINK("https://klasma.github.io/Logging_0980/artfynd/A 2818-2024 artfynd.xlsx", "A 2818-2024")</f>
        <v/>
      </c>
      <c r="T169">
        <f>HYPERLINK("https://klasma.github.io/Logging_0980/kartor/A 2818-2024 karta.png", "A 2818-2024")</f>
        <v/>
      </c>
      <c r="V169">
        <f>HYPERLINK("https://klasma.github.io/Logging_0980/klagomål/A 2818-2024 FSC-klagomål.docx", "A 2818-2024")</f>
        <v/>
      </c>
      <c r="W169">
        <f>HYPERLINK("https://klasma.github.io/Logging_0980/klagomålsmail/A 2818-2024 FSC-klagomål mail.docx", "A 2818-2024")</f>
        <v/>
      </c>
      <c r="X169">
        <f>HYPERLINK("https://klasma.github.io/Logging_0980/tillsyn/A 2818-2024 tillsynsbegäran.docx", "A 2818-2024")</f>
        <v/>
      </c>
      <c r="Y169">
        <f>HYPERLINK("https://klasma.github.io/Logging_0980/tillsynsmail/A 2818-2024 tillsynsbegäran mail.docx", "A 2818-2024")</f>
        <v/>
      </c>
    </row>
    <row r="170" ht="15" customHeight="1">
      <c r="A170" t="inlineStr">
        <is>
          <t>A 12315-2024</t>
        </is>
      </c>
      <c r="B170" s="1" t="n">
        <v>45378</v>
      </c>
      <c r="C170" s="1" t="n">
        <v>45638</v>
      </c>
      <c r="D170" t="inlineStr">
        <is>
          <t>GOTLANDS LÄN</t>
        </is>
      </c>
      <c r="E170" t="inlineStr">
        <is>
          <t>GOTLAND</t>
        </is>
      </c>
      <c r="G170" t="n">
        <v>6</v>
      </c>
      <c r="H170" t="n">
        <v>2</v>
      </c>
      <c r="I170" t="n">
        <v>1</v>
      </c>
      <c r="J170" t="n">
        <v>0</v>
      </c>
      <c r="K170" t="n">
        <v>0</v>
      </c>
      <c r="L170" t="n">
        <v>0</v>
      </c>
      <c r="M170" t="n">
        <v>0</v>
      </c>
      <c r="N170" t="n">
        <v>0</v>
      </c>
      <c r="O170" t="n">
        <v>0</v>
      </c>
      <c r="P170" t="n">
        <v>0</v>
      </c>
      <c r="Q170" t="n">
        <v>2</v>
      </c>
      <c r="R170" s="2" t="inlineStr">
        <is>
          <t>Tvåblad
Fläcknycklar</t>
        </is>
      </c>
      <c r="S170">
        <f>HYPERLINK("https://klasma.github.io/Logging_0980/artfynd/A 12315-2024 artfynd.xlsx", "A 12315-2024")</f>
        <v/>
      </c>
      <c r="T170">
        <f>HYPERLINK("https://klasma.github.io/Logging_0980/kartor/A 12315-2024 karta.png", "A 12315-2024")</f>
        <v/>
      </c>
      <c r="V170">
        <f>HYPERLINK("https://klasma.github.io/Logging_0980/klagomål/A 12315-2024 FSC-klagomål.docx", "A 12315-2024")</f>
        <v/>
      </c>
      <c r="W170">
        <f>HYPERLINK("https://klasma.github.io/Logging_0980/klagomålsmail/A 12315-2024 FSC-klagomål mail.docx", "A 12315-2024")</f>
        <v/>
      </c>
      <c r="X170">
        <f>HYPERLINK("https://klasma.github.io/Logging_0980/tillsyn/A 12315-2024 tillsynsbegäran.docx", "A 12315-2024")</f>
        <v/>
      </c>
      <c r="Y170">
        <f>HYPERLINK("https://klasma.github.io/Logging_0980/tillsynsmail/A 12315-2024 tillsynsbegäran mail.docx", "A 12315-2024")</f>
        <v/>
      </c>
    </row>
    <row r="171" ht="15" customHeight="1">
      <c r="A171" t="inlineStr">
        <is>
          <t>A 16331-2024</t>
        </is>
      </c>
      <c r="B171" s="1" t="n">
        <v>45407</v>
      </c>
      <c r="C171" s="1" t="n">
        <v>45638</v>
      </c>
      <c r="D171" t="inlineStr">
        <is>
          <t>GOTLANDS LÄN</t>
        </is>
      </c>
      <c r="E171" t="inlineStr">
        <is>
          <t>GOTLAND</t>
        </is>
      </c>
      <c r="G171" t="n">
        <v>4.2</v>
      </c>
      <c r="H171" t="n">
        <v>0</v>
      </c>
      <c r="I171" t="n">
        <v>2</v>
      </c>
      <c r="J171" t="n">
        <v>0</v>
      </c>
      <c r="K171" t="n">
        <v>0</v>
      </c>
      <c r="L171" t="n">
        <v>0</v>
      </c>
      <c r="M171" t="n">
        <v>0</v>
      </c>
      <c r="N171" t="n">
        <v>0</v>
      </c>
      <c r="O171" t="n">
        <v>0</v>
      </c>
      <c r="P171" t="n">
        <v>0</v>
      </c>
      <c r="Q171" t="n">
        <v>2</v>
      </c>
      <c r="R171" s="2" t="inlineStr">
        <is>
          <t>Blå slemspindling
Västlig hakmossa</t>
        </is>
      </c>
      <c r="S171">
        <f>HYPERLINK("https://klasma.github.io/Logging_0980/artfynd/A 16331-2024 artfynd.xlsx", "A 16331-2024")</f>
        <v/>
      </c>
      <c r="T171">
        <f>HYPERLINK("https://klasma.github.io/Logging_0980/kartor/A 16331-2024 karta.png", "A 16331-2024")</f>
        <v/>
      </c>
      <c r="V171">
        <f>HYPERLINK("https://klasma.github.io/Logging_0980/klagomål/A 16331-2024 FSC-klagomål.docx", "A 16331-2024")</f>
        <v/>
      </c>
      <c r="W171">
        <f>HYPERLINK("https://klasma.github.io/Logging_0980/klagomålsmail/A 16331-2024 FSC-klagomål mail.docx", "A 16331-2024")</f>
        <v/>
      </c>
      <c r="X171">
        <f>HYPERLINK("https://klasma.github.io/Logging_0980/tillsyn/A 16331-2024 tillsynsbegäran.docx", "A 16331-2024")</f>
        <v/>
      </c>
      <c r="Y171">
        <f>HYPERLINK("https://klasma.github.io/Logging_0980/tillsynsmail/A 16331-2024 tillsynsbegäran mail.docx", "A 16331-2024")</f>
        <v/>
      </c>
    </row>
    <row r="172" ht="15" customHeight="1">
      <c r="A172" t="inlineStr">
        <is>
          <t>A 17533-2024</t>
        </is>
      </c>
      <c r="B172" s="1" t="n">
        <v>45415</v>
      </c>
      <c r="C172" s="1" t="n">
        <v>45638</v>
      </c>
      <c r="D172" t="inlineStr">
        <is>
          <t>GOTLANDS LÄN</t>
        </is>
      </c>
      <c r="E172" t="inlineStr">
        <is>
          <t>GOTLAND</t>
        </is>
      </c>
      <c r="G172" t="n">
        <v>2.3</v>
      </c>
      <c r="H172" t="n">
        <v>0</v>
      </c>
      <c r="I172" t="n">
        <v>1</v>
      </c>
      <c r="J172" t="n">
        <v>0</v>
      </c>
      <c r="K172" t="n">
        <v>1</v>
      </c>
      <c r="L172" t="n">
        <v>0</v>
      </c>
      <c r="M172" t="n">
        <v>0</v>
      </c>
      <c r="N172" t="n">
        <v>0</v>
      </c>
      <c r="O172" t="n">
        <v>1</v>
      </c>
      <c r="P172" t="n">
        <v>1</v>
      </c>
      <c r="Q172" t="n">
        <v>2</v>
      </c>
      <c r="R172" s="2" t="inlineStr">
        <is>
          <t>Skogskorn
Strävlosta</t>
        </is>
      </c>
      <c r="S172">
        <f>HYPERLINK("https://klasma.github.io/Logging_0980/artfynd/A 17533-2024 artfynd.xlsx", "A 17533-2024")</f>
        <v/>
      </c>
      <c r="T172">
        <f>HYPERLINK("https://klasma.github.io/Logging_0980/kartor/A 17533-2024 karta.png", "A 17533-2024")</f>
        <v/>
      </c>
      <c r="V172">
        <f>HYPERLINK("https://klasma.github.io/Logging_0980/klagomål/A 17533-2024 FSC-klagomål.docx", "A 17533-2024")</f>
        <v/>
      </c>
      <c r="W172">
        <f>HYPERLINK("https://klasma.github.io/Logging_0980/klagomålsmail/A 17533-2024 FSC-klagomål mail.docx", "A 17533-2024")</f>
        <v/>
      </c>
      <c r="X172">
        <f>HYPERLINK("https://klasma.github.io/Logging_0980/tillsyn/A 17533-2024 tillsynsbegäran.docx", "A 17533-2024")</f>
        <v/>
      </c>
      <c r="Y172">
        <f>HYPERLINK("https://klasma.github.io/Logging_0980/tillsynsmail/A 17533-2024 tillsynsbegäran mail.docx", "A 17533-2024")</f>
        <v/>
      </c>
    </row>
    <row r="173" ht="15" customHeight="1">
      <c r="A173" t="inlineStr">
        <is>
          <t>A 25973-2024</t>
        </is>
      </c>
      <c r="B173" s="1" t="n">
        <v>45467</v>
      </c>
      <c r="C173" s="1" t="n">
        <v>45638</v>
      </c>
      <c r="D173" t="inlineStr">
        <is>
          <t>GOTLANDS LÄN</t>
        </is>
      </c>
      <c r="E173" t="inlineStr">
        <is>
          <t>GOTLAND</t>
        </is>
      </c>
      <c r="G173" t="n">
        <v>2.3</v>
      </c>
      <c r="H173" t="n">
        <v>1</v>
      </c>
      <c r="I173" t="n">
        <v>0</v>
      </c>
      <c r="J173" t="n">
        <v>2</v>
      </c>
      <c r="K173" t="n">
        <v>0</v>
      </c>
      <c r="L173" t="n">
        <v>0</v>
      </c>
      <c r="M173" t="n">
        <v>0</v>
      </c>
      <c r="N173" t="n">
        <v>0</v>
      </c>
      <c r="O173" t="n">
        <v>2</v>
      </c>
      <c r="P173" t="n">
        <v>0</v>
      </c>
      <c r="Q173" t="n">
        <v>2</v>
      </c>
      <c r="R173" s="2" t="inlineStr">
        <is>
          <t>Dårgräsfjäril
Svinrot</t>
        </is>
      </c>
      <c r="S173">
        <f>HYPERLINK("https://klasma.github.io/Logging_0980/artfynd/A 25973-2024 artfynd.xlsx", "A 25973-2024")</f>
        <v/>
      </c>
      <c r="T173">
        <f>HYPERLINK("https://klasma.github.io/Logging_0980/kartor/A 25973-2024 karta.png", "A 25973-2024")</f>
        <v/>
      </c>
      <c r="V173">
        <f>HYPERLINK("https://klasma.github.io/Logging_0980/klagomål/A 25973-2024 FSC-klagomål.docx", "A 25973-2024")</f>
        <v/>
      </c>
      <c r="W173">
        <f>HYPERLINK("https://klasma.github.io/Logging_0980/klagomålsmail/A 25973-2024 FSC-klagomål mail.docx", "A 25973-2024")</f>
        <v/>
      </c>
      <c r="X173">
        <f>HYPERLINK("https://klasma.github.io/Logging_0980/tillsyn/A 25973-2024 tillsynsbegäran.docx", "A 25973-2024")</f>
        <v/>
      </c>
      <c r="Y173">
        <f>HYPERLINK("https://klasma.github.io/Logging_0980/tillsynsmail/A 25973-2024 tillsynsbegäran mail.docx", "A 25973-2024")</f>
        <v/>
      </c>
    </row>
    <row r="174" ht="15" customHeight="1">
      <c r="A174" t="inlineStr">
        <is>
          <t>A 26077-2024</t>
        </is>
      </c>
      <c r="B174" s="1" t="n">
        <v>45467</v>
      </c>
      <c r="C174" s="1" t="n">
        <v>45638</v>
      </c>
      <c r="D174" t="inlineStr">
        <is>
          <t>GOTLANDS LÄN</t>
        </is>
      </c>
      <c r="E174" t="inlineStr">
        <is>
          <t>GOTLAND</t>
        </is>
      </c>
      <c r="G174" t="n">
        <v>4.6</v>
      </c>
      <c r="H174" t="n">
        <v>0</v>
      </c>
      <c r="I174" t="n">
        <v>0</v>
      </c>
      <c r="J174" t="n">
        <v>1</v>
      </c>
      <c r="K174" t="n">
        <v>0</v>
      </c>
      <c r="L174" t="n">
        <v>1</v>
      </c>
      <c r="M174" t="n">
        <v>0</v>
      </c>
      <c r="N174" t="n">
        <v>0</v>
      </c>
      <c r="O174" t="n">
        <v>2</v>
      </c>
      <c r="P174" t="n">
        <v>1</v>
      </c>
      <c r="Q174" t="n">
        <v>2</v>
      </c>
      <c r="R174" s="2" t="inlineStr">
        <is>
          <t>Ask
Tallticka</t>
        </is>
      </c>
      <c r="S174">
        <f>HYPERLINK("https://klasma.github.io/Logging_0980/artfynd/A 26077-2024 artfynd.xlsx", "A 26077-2024")</f>
        <v/>
      </c>
      <c r="T174">
        <f>HYPERLINK("https://klasma.github.io/Logging_0980/kartor/A 26077-2024 karta.png", "A 26077-2024")</f>
        <v/>
      </c>
      <c r="V174">
        <f>HYPERLINK("https://klasma.github.io/Logging_0980/klagomål/A 26077-2024 FSC-klagomål.docx", "A 26077-2024")</f>
        <v/>
      </c>
      <c r="W174">
        <f>HYPERLINK("https://klasma.github.io/Logging_0980/klagomålsmail/A 26077-2024 FSC-klagomål mail.docx", "A 26077-2024")</f>
        <v/>
      </c>
      <c r="X174">
        <f>HYPERLINK("https://klasma.github.io/Logging_0980/tillsyn/A 26077-2024 tillsynsbegäran.docx", "A 26077-2024")</f>
        <v/>
      </c>
      <c r="Y174">
        <f>HYPERLINK("https://klasma.github.io/Logging_0980/tillsynsmail/A 26077-2024 tillsynsbegäran mail.docx", "A 26077-2024")</f>
        <v/>
      </c>
    </row>
    <row r="175" ht="15" customHeight="1">
      <c r="A175" t="inlineStr">
        <is>
          <t>A 28261-2024</t>
        </is>
      </c>
      <c r="B175" s="1" t="n">
        <v>45477</v>
      </c>
      <c r="C175" s="1" t="n">
        <v>45638</v>
      </c>
      <c r="D175" t="inlineStr">
        <is>
          <t>GOTLANDS LÄN</t>
        </is>
      </c>
      <c r="E175" t="inlineStr">
        <is>
          <t>GOTLAND</t>
        </is>
      </c>
      <c r="G175" t="n">
        <v>22.8</v>
      </c>
      <c r="H175" t="n">
        <v>0</v>
      </c>
      <c r="I175" t="n">
        <v>0</v>
      </c>
      <c r="J175" t="n">
        <v>2</v>
      </c>
      <c r="K175" t="n">
        <v>0</v>
      </c>
      <c r="L175" t="n">
        <v>0</v>
      </c>
      <c r="M175" t="n">
        <v>0</v>
      </c>
      <c r="N175" t="n">
        <v>0</v>
      </c>
      <c r="O175" t="n">
        <v>2</v>
      </c>
      <c r="P175" t="n">
        <v>0</v>
      </c>
      <c r="Q175" t="n">
        <v>2</v>
      </c>
      <c r="R175" s="2" t="inlineStr">
        <is>
          <t>Grådådra
Åkerkulla</t>
        </is>
      </c>
      <c r="S175">
        <f>HYPERLINK("https://klasma.github.io/Logging_0980/artfynd/A 28261-2024 artfynd.xlsx", "A 28261-2024")</f>
        <v/>
      </c>
      <c r="T175">
        <f>HYPERLINK("https://klasma.github.io/Logging_0980/kartor/A 28261-2024 karta.png", "A 28261-2024")</f>
        <v/>
      </c>
      <c r="V175">
        <f>HYPERLINK("https://klasma.github.io/Logging_0980/klagomål/A 28261-2024 FSC-klagomål.docx", "A 28261-2024")</f>
        <v/>
      </c>
      <c r="W175">
        <f>HYPERLINK("https://klasma.github.io/Logging_0980/klagomålsmail/A 28261-2024 FSC-klagomål mail.docx", "A 28261-2024")</f>
        <v/>
      </c>
      <c r="X175">
        <f>HYPERLINK("https://klasma.github.io/Logging_0980/tillsyn/A 28261-2024 tillsynsbegäran.docx", "A 28261-2024")</f>
        <v/>
      </c>
      <c r="Y175">
        <f>HYPERLINK("https://klasma.github.io/Logging_0980/tillsynsmail/A 28261-2024 tillsynsbegäran mail.docx", "A 28261-2024")</f>
        <v/>
      </c>
    </row>
    <row r="176" ht="15" customHeight="1">
      <c r="A176" t="inlineStr">
        <is>
          <t>A 28276-2024</t>
        </is>
      </c>
      <c r="B176" s="1" t="n">
        <v>45477</v>
      </c>
      <c r="C176" s="1" t="n">
        <v>45638</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28276-2024 artfynd.xlsx", "A 28276-2024")</f>
        <v/>
      </c>
      <c r="T176">
        <f>HYPERLINK("https://klasma.github.io/Logging_0980/kartor/A 28276-2024 karta.png", "A 28276-2024")</f>
        <v/>
      </c>
      <c r="V176">
        <f>HYPERLINK("https://klasma.github.io/Logging_0980/klagomål/A 28276-2024 FSC-klagomål.docx", "A 28276-2024")</f>
        <v/>
      </c>
      <c r="W176">
        <f>HYPERLINK("https://klasma.github.io/Logging_0980/klagomålsmail/A 28276-2024 FSC-klagomål mail.docx", "A 28276-2024")</f>
        <v/>
      </c>
      <c r="X176">
        <f>HYPERLINK("https://klasma.github.io/Logging_0980/tillsyn/A 28276-2024 tillsynsbegäran.docx", "A 28276-2024")</f>
        <v/>
      </c>
      <c r="Y176">
        <f>HYPERLINK("https://klasma.github.io/Logging_0980/tillsynsmail/A 28276-2024 tillsynsbegäran mail.docx", "A 28276-2024")</f>
        <v/>
      </c>
    </row>
    <row r="177" ht="15" customHeight="1">
      <c r="A177" t="inlineStr">
        <is>
          <t>A 54357-2024</t>
        </is>
      </c>
      <c r="B177" s="1" t="n">
        <v>45617</v>
      </c>
      <c r="C177" s="1" t="n">
        <v>45638</v>
      </c>
      <c r="D177" t="inlineStr">
        <is>
          <t>GOTLANDS LÄN</t>
        </is>
      </c>
      <c r="E177" t="inlineStr">
        <is>
          <t>GOTLAND</t>
        </is>
      </c>
      <c r="G177" t="n">
        <v>1.5</v>
      </c>
      <c r="H177" t="n">
        <v>1</v>
      </c>
      <c r="I177" t="n">
        <v>0</v>
      </c>
      <c r="J177" t="n">
        <v>1</v>
      </c>
      <c r="K177" t="n">
        <v>0</v>
      </c>
      <c r="L177" t="n">
        <v>0</v>
      </c>
      <c r="M177" t="n">
        <v>0</v>
      </c>
      <c r="N177" t="n">
        <v>0</v>
      </c>
      <c r="O177" t="n">
        <v>1</v>
      </c>
      <c r="P177" t="n">
        <v>0</v>
      </c>
      <c r="Q177" t="n">
        <v>2</v>
      </c>
      <c r="R177" s="2" t="inlineStr">
        <is>
          <t>Loppstarr
Fläcknycklar</t>
        </is>
      </c>
      <c r="S177">
        <f>HYPERLINK("https://klasma.github.io/Logging_0980/artfynd/A 54357-2024 artfynd.xlsx", "A 54357-2024")</f>
        <v/>
      </c>
      <c r="T177">
        <f>HYPERLINK("https://klasma.github.io/Logging_0980/kartor/A 54357-2024 karta.png", "A 54357-2024")</f>
        <v/>
      </c>
      <c r="V177">
        <f>HYPERLINK("https://klasma.github.io/Logging_0980/klagomål/A 54357-2024 FSC-klagomål.docx", "A 54357-2024")</f>
        <v/>
      </c>
      <c r="W177">
        <f>HYPERLINK("https://klasma.github.io/Logging_0980/klagomålsmail/A 54357-2024 FSC-klagomål mail.docx", "A 54357-2024")</f>
        <v/>
      </c>
      <c r="X177">
        <f>HYPERLINK("https://klasma.github.io/Logging_0980/tillsyn/A 54357-2024 tillsynsbegäran.docx", "A 54357-2024")</f>
        <v/>
      </c>
      <c r="Y177">
        <f>HYPERLINK("https://klasma.github.io/Logging_0980/tillsynsmail/A 54357-2024 tillsynsbegäran mail.docx", "A 54357-2024")</f>
        <v/>
      </c>
    </row>
    <row r="178" ht="15" customHeight="1">
      <c r="A178" t="inlineStr">
        <is>
          <t>A 54647-2024</t>
        </is>
      </c>
      <c r="B178" s="1" t="n">
        <v>45617</v>
      </c>
      <c r="C178" s="1" t="n">
        <v>45638</v>
      </c>
      <c r="D178" t="inlineStr">
        <is>
          <t>GOTLANDS LÄN</t>
        </is>
      </c>
      <c r="E178" t="inlineStr">
        <is>
          <t>GOTLAND</t>
        </is>
      </c>
      <c r="G178" t="n">
        <v>2.2</v>
      </c>
      <c r="H178" t="n">
        <v>0</v>
      </c>
      <c r="I178" t="n">
        <v>2</v>
      </c>
      <c r="J178" t="n">
        <v>0</v>
      </c>
      <c r="K178" t="n">
        <v>0</v>
      </c>
      <c r="L178" t="n">
        <v>0</v>
      </c>
      <c r="M178" t="n">
        <v>0</v>
      </c>
      <c r="N178" t="n">
        <v>0</v>
      </c>
      <c r="O178" t="n">
        <v>0</v>
      </c>
      <c r="P178" t="n">
        <v>0</v>
      </c>
      <c r="Q178" t="n">
        <v>2</v>
      </c>
      <c r="R178" s="2" t="inlineStr">
        <is>
          <t>Kattfotslav
Olivspindling</t>
        </is>
      </c>
      <c r="S178">
        <f>HYPERLINK("https://klasma.github.io/Logging_0980/artfynd/A 54647-2024 artfynd.xlsx", "A 54647-2024")</f>
        <v/>
      </c>
      <c r="T178">
        <f>HYPERLINK("https://klasma.github.io/Logging_0980/kartor/A 54647-2024 karta.png", "A 54647-2024")</f>
        <v/>
      </c>
      <c r="V178">
        <f>HYPERLINK("https://klasma.github.io/Logging_0980/klagomål/A 54647-2024 FSC-klagomål.docx", "A 54647-2024")</f>
        <v/>
      </c>
      <c r="W178">
        <f>HYPERLINK("https://klasma.github.io/Logging_0980/klagomålsmail/A 54647-2024 FSC-klagomål mail.docx", "A 54647-2024")</f>
        <v/>
      </c>
      <c r="X178">
        <f>HYPERLINK("https://klasma.github.io/Logging_0980/tillsyn/A 54647-2024 tillsynsbegäran.docx", "A 54647-2024")</f>
        <v/>
      </c>
      <c r="Y178">
        <f>HYPERLINK("https://klasma.github.io/Logging_0980/tillsynsmail/A 54647-2024 tillsynsbegäran mail.docx", "A 54647-2024")</f>
        <v/>
      </c>
    </row>
    <row r="179" ht="15" customHeight="1">
      <c r="A179" t="inlineStr">
        <is>
          <t>A 55649-2024</t>
        </is>
      </c>
      <c r="B179" s="1" t="n">
        <v>45622</v>
      </c>
      <c r="C179" s="1" t="n">
        <v>45638</v>
      </c>
      <c r="D179" t="inlineStr">
        <is>
          <t>GOTLANDS LÄN</t>
        </is>
      </c>
      <c r="E179" t="inlineStr">
        <is>
          <t>GOTLAND</t>
        </is>
      </c>
      <c r="G179" t="n">
        <v>4.6</v>
      </c>
      <c r="H179" t="n">
        <v>2</v>
      </c>
      <c r="I179" t="n">
        <v>0</v>
      </c>
      <c r="J179" t="n">
        <v>0</v>
      </c>
      <c r="K179" t="n">
        <v>0</v>
      </c>
      <c r="L179" t="n">
        <v>0</v>
      </c>
      <c r="M179" t="n">
        <v>0</v>
      </c>
      <c r="N179" t="n">
        <v>0</v>
      </c>
      <c r="O179" t="n">
        <v>0</v>
      </c>
      <c r="P179" t="n">
        <v>0</v>
      </c>
      <c r="Q179" t="n">
        <v>2</v>
      </c>
      <c r="R179" s="2" t="inlineStr">
        <is>
          <t>Sankt pers nycklar
Blåsippa</t>
        </is>
      </c>
      <c r="S179">
        <f>HYPERLINK("https://klasma.github.io/Logging_0980/artfynd/A 55649-2024 artfynd.xlsx", "A 55649-2024")</f>
        <v/>
      </c>
      <c r="T179">
        <f>HYPERLINK("https://klasma.github.io/Logging_0980/kartor/A 55649-2024 karta.png", "A 55649-2024")</f>
        <v/>
      </c>
      <c r="V179">
        <f>HYPERLINK("https://klasma.github.io/Logging_0980/klagomål/A 55649-2024 FSC-klagomål.docx", "A 55649-2024")</f>
        <v/>
      </c>
      <c r="W179">
        <f>HYPERLINK("https://klasma.github.io/Logging_0980/klagomålsmail/A 55649-2024 FSC-klagomål mail.docx", "A 55649-2024")</f>
        <v/>
      </c>
      <c r="X179">
        <f>HYPERLINK("https://klasma.github.io/Logging_0980/tillsyn/A 55649-2024 tillsynsbegäran.docx", "A 55649-2024")</f>
        <v/>
      </c>
      <c r="Y179">
        <f>HYPERLINK("https://klasma.github.io/Logging_0980/tillsynsmail/A 55649-2024 tillsynsbegäran mail.docx", "A 55649-2024")</f>
        <v/>
      </c>
    </row>
    <row r="180" ht="15" customHeight="1">
      <c r="A180" t="inlineStr">
        <is>
          <t>A 18223-2019</t>
        </is>
      </c>
      <c r="B180" s="1" t="n">
        <v>43558</v>
      </c>
      <c r="C180" s="1" t="n">
        <v>45638</v>
      </c>
      <c r="D180" t="inlineStr">
        <is>
          <t>GOTLANDS LÄN</t>
        </is>
      </c>
      <c r="E180" t="inlineStr">
        <is>
          <t>GOTLAND</t>
        </is>
      </c>
      <c r="G180" t="n">
        <v>1.1</v>
      </c>
      <c r="H180" t="n">
        <v>1</v>
      </c>
      <c r="I180" t="n">
        <v>0</v>
      </c>
      <c r="J180" t="n">
        <v>1</v>
      </c>
      <c r="K180" t="n">
        <v>0</v>
      </c>
      <c r="L180" t="n">
        <v>0</v>
      </c>
      <c r="M180" t="n">
        <v>0</v>
      </c>
      <c r="N180" t="n">
        <v>0</v>
      </c>
      <c r="O180" t="n">
        <v>1</v>
      </c>
      <c r="P180" t="n">
        <v>0</v>
      </c>
      <c r="Q180" t="n">
        <v>1</v>
      </c>
      <c r="R180" s="2" t="inlineStr">
        <is>
          <t>Dårgräsfjäril</t>
        </is>
      </c>
      <c r="S180">
        <f>HYPERLINK("https://klasma.github.io/Logging_0980/artfynd/A 18223-2019 artfynd.xlsx", "A 18223-2019")</f>
        <v/>
      </c>
      <c r="T180">
        <f>HYPERLINK("https://klasma.github.io/Logging_0980/kartor/A 18223-2019 karta.png", "A 18223-2019")</f>
        <v/>
      </c>
      <c r="V180">
        <f>HYPERLINK("https://klasma.github.io/Logging_0980/klagomål/A 18223-2019 FSC-klagomål.docx", "A 18223-2019")</f>
        <v/>
      </c>
      <c r="W180">
        <f>HYPERLINK("https://klasma.github.io/Logging_0980/klagomålsmail/A 18223-2019 FSC-klagomål mail.docx", "A 18223-2019")</f>
        <v/>
      </c>
      <c r="X180">
        <f>HYPERLINK("https://klasma.github.io/Logging_0980/tillsyn/A 18223-2019 tillsynsbegäran.docx", "A 18223-2019")</f>
        <v/>
      </c>
      <c r="Y180">
        <f>HYPERLINK("https://klasma.github.io/Logging_0980/tillsynsmail/A 18223-2019 tillsynsbegäran mail.docx", "A 18223-2019")</f>
        <v/>
      </c>
    </row>
    <row r="181" ht="15" customHeight="1">
      <c r="A181" t="inlineStr">
        <is>
          <t>A 23016-2019</t>
        </is>
      </c>
      <c r="B181" s="1" t="n">
        <v>43591</v>
      </c>
      <c r="C181" s="1" t="n">
        <v>45638</v>
      </c>
      <c r="D181" t="inlineStr">
        <is>
          <t>GOTLANDS LÄN</t>
        </is>
      </c>
      <c r="E181" t="inlineStr">
        <is>
          <t>GOTLAND</t>
        </is>
      </c>
      <c r="G181" t="n">
        <v>7.9</v>
      </c>
      <c r="H181" t="n">
        <v>1</v>
      </c>
      <c r="I181" t="n">
        <v>0</v>
      </c>
      <c r="J181" t="n">
        <v>0</v>
      </c>
      <c r="K181" t="n">
        <v>0</v>
      </c>
      <c r="L181" t="n">
        <v>0</v>
      </c>
      <c r="M181" t="n">
        <v>0</v>
      </c>
      <c r="N181" t="n">
        <v>0</v>
      </c>
      <c r="O181" t="n">
        <v>0</v>
      </c>
      <c r="P181" t="n">
        <v>0</v>
      </c>
      <c r="Q181" t="n">
        <v>1</v>
      </c>
      <c r="R181" s="2" t="inlineStr">
        <is>
          <t>Lopplummer</t>
        </is>
      </c>
      <c r="S181">
        <f>HYPERLINK("https://klasma.github.io/Logging_0980/artfynd/A 23016-2019 artfynd.xlsx", "A 23016-2019")</f>
        <v/>
      </c>
      <c r="T181">
        <f>HYPERLINK("https://klasma.github.io/Logging_0980/kartor/A 23016-2019 karta.png", "A 23016-2019")</f>
        <v/>
      </c>
      <c r="V181">
        <f>HYPERLINK("https://klasma.github.io/Logging_0980/klagomål/A 23016-2019 FSC-klagomål.docx", "A 23016-2019")</f>
        <v/>
      </c>
      <c r="W181">
        <f>HYPERLINK("https://klasma.github.io/Logging_0980/klagomålsmail/A 23016-2019 FSC-klagomål mail.docx", "A 23016-2019")</f>
        <v/>
      </c>
      <c r="X181">
        <f>HYPERLINK("https://klasma.github.io/Logging_0980/tillsyn/A 23016-2019 tillsynsbegäran.docx", "A 23016-2019")</f>
        <v/>
      </c>
      <c r="Y181">
        <f>HYPERLINK("https://klasma.github.io/Logging_0980/tillsynsmail/A 23016-2019 tillsynsbegäran mail.docx", "A 23016-2019")</f>
        <v/>
      </c>
    </row>
    <row r="182" ht="15" customHeight="1">
      <c r="A182" t="inlineStr">
        <is>
          <t>A 32963-2019</t>
        </is>
      </c>
      <c r="B182" s="1" t="n">
        <v>43648</v>
      </c>
      <c r="C182" s="1" t="n">
        <v>45638</v>
      </c>
      <c r="D182" t="inlineStr">
        <is>
          <t>GOTLANDS LÄN</t>
        </is>
      </c>
      <c r="E182" t="inlineStr">
        <is>
          <t>GOTLAND</t>
        </is>
      </c>
      <c r="G182" t="n">
        <v>5.8</v>
      </c>
      <c r="H182" t="n">
        <v>0</v>
      </c>
      <c r="I182" t="n">
        <v>0</v>
      </c>
      <c r="J182" t="n">
        <v>1</v>
      </c>
      <c r="K182" t="n">
        <v>0</v>
      </c>
      <c r="L182" t="n">
        <v>0</v>
      </c>
      <c r="M182" t="n">
        <v>0</v>
      </c>
      <c r="N182" t="n">
        <v>0</v>
      </c>
      <c r="O182" t="n">
        <v>1</v>
      </c>
      <c r="P182" t="n">
        <v>0</v>
      </c>
      <c r="Q182" t="n">
        <v>1</v>
      </c>
      <c r="R182" s="2" t="inlineStr">
        <is>
          <t>Mindre blåvinge</t>
        </is>
      </c>
      <c r="S182">
        <f>HYPERLINK("https://klasma.github.io/Logging_0980/artfynd/A 32963-2019 artfynd.xlsx", "A 32963-2019")</f>
        <v/>
      </c>
      <c r="T182">
        <f>HYPERLINK("https://klasma.github.io/Logging_0980/kartor/A 32963-2019 karta.png", "A 32963-2019")</f>
        <v/>
      </c>
      <c r="V182">
        <f>HYPERLINK("https://klasma.github.io/Logging_0980/klagomål/A 32963-2019 FSC-klagomål.docx", "A 32963-2019")</f>
        <v/>
      </c>
      <c r="W182">
        <f>HYPERLINK("https://klasma.github.io/Logging_0980/klagomålsmail/A 32963-2019 FSC-klagomål mail.docx", "A 32963-2019")</f>
        <v/>
      </c>
      <c r="X182">
        <f>HYPERLINK("https://klasma.github.io/Logging_0980/tillsyn/A 32963-2019 tillsynsbegäran.docx", "A 32963-2019")</f>
        <v/>
      </c>
      <c r="Y182">
        <f>HYPERLINK("https://klasma.github.io/Logging_0980/tillsynsmail/A 32963-2019 tillsynsbegäran mail.docx", "A 32963-2019")</f>
        <v/>
      </c>
    </row>
    <row r="183" ht="15" customHeight="1">
      <c r="A183" t="inlineStr">
        <is>
          <t>A 35282-2019</t>
        </is>
      </c>
      <c r="B183" s="1" t="n">
        <v>43656</v>
      </c>
      <c r="C183" s="1" t="n">
        <v>45638</v>
      </c>
      <c r="D183" t="inlineStr">
        <is>
          <t>GOTLANDS LÄN</t>
        </is>
      </c>
      <c r="E183" t="inlineStr">
        <is>
          <t>GOTLAND</t>
        </is>
      </c>
      <c r="G183" t="n">
        <v>5.6</v>
      </c>
      <c r="H183" t="n">
        <v>1</v>
      </c>
      <c r="I183" t="n">
        <v>0</v>
      </c>
      <c r="J183" t="n">
        <v>1</v>
      </c>
      <c r="K183" t="n">
        <v>0</v>
      </c>
      <c r="L183" t="n">
        <v>0</v>
      </c>
      <c r="M183" t="n">
        <v>0</v>
      </c>
      <c r="N183" t="n">
        <v>0</v>
      </c>
      <c r="O183" t="n">
        <v>1</v>
      </c>
      <c r="P183" t="n">
        <v>0</v>
      </c>
      <c r="Q183" t="n">
        <v>1</v>
      </c>
      <c r="R183" s="2" t="inlineStr">
        <is>
          <t>Spillkråka</t>
        </is>
      </c>
      <c r="S183">
        <f>HYPERLINK("https://klasma.github.io/Logging_0980/artfynd/A 35282-2019 artfynd.xlsx", "A 35282-2019")</f>
        <v/>
      </c>
      <c r="T183">
        <f>HYPERLINK("https://klasma.github.io/Logging_0980/kartor/A 35282-2019 karta.png", "A 35282-2019")</f>
        <v/>
      </c>
      <c r="V183">
        <f>HYPERLINK("https://klasma.github.io/Logging_0980/klagomål/A 35282-2019 FSC-klagomål.docx", "A 35282-2019")</f>
        <v/>
      </c>
      <c r="W183">
        <f>HYPERLINK("https://klasma.github.io/Logging_0980/klagomålsmail/A 35282-2019 FSC-klagomål mail.docx", "A 35282-2019")</f>
        <v/>
      </c>
      <c r="X183">
        <f>HYPERLINK("https://klasma.github.io/Logging_0980/tillsyn/A 35282-2019 tillsynsbegäran.docx", "A 35282-2019")</f>
        <v/>
      </c>
      <c r="Y183">
        <f>HYPERLINK("https://klasma.github.io/Logging_0980/tillsynsmail/A 35282-2019 tillsynsbegäran mail.docx", "A 35282-2019")</f>
        <v/>
      </c>
      <c r="Z183">
        <f>HYPERLINK("https://klasma.github.io/Logging_0980/fåglar/A 35282-2019 prioriterade fågelarter.docx", "A 35282-2019")</f>
        <v/>
      </c>
    </row>
    <row r="184" ht="15" customHeight="1">
      <c r="A184" t="inlineStr">
        <is>
          <t>A 48584-2019</t>
        </is>
      </c>
      <c r="B184" s="1" t="n">
        <v>43727</v>
      </c>
      <c r="C184" s="1" t="n">
        <v>45638</v>
      </c>
      <c r="D184" t="inlineStr">
        <is>
          <t>GOTLANDS LÄN</t>
        </is>
      </c>
      <c r="E184" t="inlineStr">
        <is>
          <t>GOTLAND</t>
        </is>
      </c>
      <c r="G184" t="n">
        <v>4.4</v>
      </c>
      <c r="H184" t="n">
        <v>0</v>
      </c>
      <c r="I184" t="n">
        <v>1</v>
      </c>
      <c r="J184" t="n">
        <v>0</v>
      </c>
      <c r="K184" t="n">
        <v>0</v>
      </c>
      <c r="L184" t="n">
        <v>0</v>
      </c>
      <c r="M184" t="n">
        <v>0</v>
      </c>
      <c r="N184" t="n">
        <v>0</v>
      </c>
      <c r="O184" t="n">
        <v>0</v>
      </c>
      <c r="P184" t="n">
        <v>0</v>
      </c>
      <c r="Q184" t="n">
        <v>1</v>
      </c>
      <c r="R184" s="2" t="inlineStr">
        <is>
          <t>Scharlakansskål</t>
        </is>
      </c>
      <c r="S184">
        <f>HYPERLINK("https://klasma.github.io/Logging_0980/artfynd/A 48584-2019 artfynd.xlsx", "A 48584-2019")</f>
        <v/>
      </c>
      <c r="T184">
        <f>HYPERLINK("https://klasma.github.io/Logging_0980/kartor/A 48584-2019 karta.png", "A 48584-2019")</f>
        <v/>
      </c>
      <c r="V184">
        <f>HYPERLINK("https://klasma.github.io/Logging_0980/klagomål/A 48584-2019 FSC-klagomål.docx", "A 48584-2019")</f>
        <v/>
      </c>
      <c r="W184">
        <f>HYPERLINK("https://klasma.github.io/Logging_0980/klagomålsmail/A 48584-2019 FSC-klagomål mail.docx", "A 48584-2019")</f>
        <v/>
      </c>
      <c r="X184">
        <f>HYPERLINK("https://klasma.github.io/Logging_0980/tillsyn/A 48584-2019 tillsynsbegäran.docx", "A 48584-2019")</f>
        <v/>
      </c>
      <c r="Y184">
        <f>HYPERLINK("https://klasma.github.io/Logging_0980/tillsynsmail/A 48584-2019 tillsynsbegäran mail.docx", "A 48584-2019")</f>
        <v/>
      </c>
    </row>
    <row r="185" ht="15" customHeight="1">
      <c r="A185" t="inlineStr">
        <is>
          <t>A 68988-2019</t>
        </is>
      </c>
      <c r="B185" s="1" t="n">
        <v>43826</v>
      </c>
      <c r="C185" s="1" t="n">
        <v>45638</v>
      </c>
      <c r="D185" t="inlineStr">
        <is>
          <t>GOTLANDS LÄN</t>
        </is>
      </c>
      <c r="E185" t="inlineStr">
        <is>
          <t>GOTLAND</t>
        </is>
      </c>
      <c r="F185" t="inlineStr">
        <is>
          <t>Kyrkan</t>
        </is>
      </c>
      <c r="G185" t="n">
        <v>4.6</v>
      </c>
      <c r="H185" t="n">
        <v>0</v>
      </c>
      <c r="I185" t="n">
        <v>1</v>
      </c>
      <c r="J185" t="n">
        <v>0</v>
      </c>
      <c r="K185" t="n">
        <v>0</v>
      </c>
      <c r="L185" t="n">
        <v>0</v>
      </c>
      <c r="M185" t="n">
        <v>0</v>
      </c>
      <c r="N185" t="n">
        <v>0</v>
      </c>
      <c r="O185" t="n">
        <v>0</v>
      </c>
      <c r="P185" t="n">
        <v>0</v>
      </c>
      <c r="Q185" t="n">
        <v>1</v>
      </c>
      <c r="R185" s="2" t="inlineStr">
        <is>
          <t>Kattfotslav</t>
        </is>
      </c>
      <c r="S185">
        <f>HYPERLINK("https://klasma.github.io/Logging_0980/artfynd/A 68988-2019 artfynd.xlsx", "A 68988-2019")</f>
        <v/>
      </c>
      <c r="T185">
        <f>HYPERLINK("https://klasma.github.io/Logging_0980/kartor/A 68988-2019 karta.png", "A 68988-2019")</f>
        <v/>
      </c>
      <c r="V185">
        <f>HYPERLINK("https://klasma.github.io/Logging_0980/klagomål/A 68988-2019 FSC-klagomål.docx", "A 68988-2019")</f>
        <v/>
      </c>
      <c r="W185">
        <f>HYPERLINK("https://klasma.github.io/Logging_0980/klagomålsmail/A 68988-2019 FSC-klagomål mail.docx", "A 68988-2019")</f>
        <v/>
      </c>
      <c r="X185">
        <f>HYPERLINK("https://klasma.github.io/Logging_0980/tillsyn/A 68988-2019 tillsynsbegäran.docx", "A 68988-2019")</f>
        <v/>
      </c>
      <c r="Y185">
        <f>HYPERLINK("https://klasma.github.io/Logging_0980/tillsynsmail/A 68988-2019 tillsynsbegäran mail.docx", "A 68988-2019")</f>
        <v/>
      </c>
    </row>
    <row r="186" ht="15" customHeight="1">
      <c r="A186" t="inlineStr">
        <is>
          <t>A 14010-2020</t>
        </is>
      </c>
      <c r="B186" s="1" t="n">
        <v>43899</v>
      </c>
      <c r="C186" s="1" t="n">
        <v>45638</v>
      </c>
      <c r="D186" t="inlineStr">
        <is>
          <t>GOTLANDS LÄN</t>
        </is>
      </c>
      <c r="E186" t="inlineStr">
        <is>
          <t>GOTLAND</t>
        </is>
      </c>
      <c r="G186" t="n">
        <v>0.6</v>
      </c>
      <c r="H186" t="n">
        <v>1</v>
      </c>
      <c r="I186" t="n">
        <v>0</v>
      </c>
      <c r="J186" t="n">
        <v>1</v>
      </c>
      <c r="K186" t="n">
        <v>0</v>
      </c>
      <c r="L186" t="n">
        <v>0</v>
      </c>
      <c r="M186" t="n">
        <v>0</v>
      </c>
      <c r="N186" t="n">
        <v>0</v>
      </c>
      <c r="O186" t="n">
        <v>1</v>
      </c>
      <c r="P186" t="n">
        <v>0</v>
      </c>
      <c r="Q186" t="n">
        <v>1</v>
      </c>
      <c r="R186" s="2" t="inlineStr">
        <is>
          <t>Gulsparv</t>
        </is>
      </c>
      <c r="S186">
        <f>HYPERLINK("https://klasma.github.io/Logging_0980/artfynd/A 14010-2020 artfynd.xlsx", "A 14010-2020")</f>
        <v/>
      </c>
      <c r="T186">
        <f>HYPERLINK("https://klasma.github.io/Logging_0980/kartor/A 14010-2020 karta.png", "A 14010-2020")</f>
        <v/>
      </c>
      <c r="V186">
        <f>HYPERLINK("https://klasma.github.io/Logging_0980/klagomål/A 14010-2020 FSC-klagomål.docx", "A 14010-2020")</f>
        <v/>
      </c>
      <c r="W186">
        <f>HYPERLINK("https://klasma.github.io/Logging_0980/klagomålsmail/A 14010-2020 FSC-klagomål mail.docx", "A 14010-2020")</f>
        <v/>
      </c>
      <c r="X186">
        <f>HYPERLINK("https://klasma.github.io/Logging_0980/tillsyn/A 14010-2020 tillsynsbegäran.docx", "A 14010-2020")</f>
        <v/>
      </c>
      <c r="Y186">
        <f>HYPERLINK("https://klasma.github.io/Logging_0980/tillsynsmail/A 14010-2020 tillsynsbegäran mail.docx", "A 14010-2020")</f>
        <v/>
      </c>
      <c r="Z186">
        <f>HYPERLINK("https://klasma.github.io/Logging_0980/fåglar/A 14010-2020 prioriterade fågelarter.docx", "A 14010-2020")</f>
        <v/>
      </c>
    </row>
    <row r="187" ht="15" customHeight="1">
      <c r="A187" t="inlineStr">
        <is>
          <t>A 21753-2020</t>
        </is>
      </c>
      <c r="B187" s="1" t="n">
        <v>43957</v>
      </c>
      <c r="C187" s="1" t="n">
        <v>45638</v>
      </c>
      <c r="D187" t="inlineStr">
        <is>
          <t>GOTLANDS LÄN</t>
        </is>
      </c>
      <c r="E187" t="inlineStr">
        <is>
          <t>GOTLAND</t>
        </is>
      </c>
      <c r="G187" t="n">
        <v>3.5</v>
      </c>
      <c r="H187" t="n">
        <v>0</v>
      </c>
      <c r="I187" t="n">
        <v>0</v>
      </c>
      <c r="J187" t="n">
        <v>0</v>
      </c>
      <c r="K187" t="n">
        <v>0</v>
      </c>
      <c r="L187" t="n">
        <v>0</v>
      </c>
      <c r="M187" t="n">
        <v>1</v>
      </c>
      <c r="N187" t="n">
        <v>0</v>
      </c>
      <c r="O187" t="n">
        <v>1</v>
      </c>
      <c r="P187" t="n">
        <v>1</v>
      </c>
      <c r="Q187" t="n">
        <v>1</v>
      </c>
      <c r="R187" s="2" t="inlineStr">
        <is>
          <t>Skogsalm</t>
        </is>
      </c>
      <c r="S187">
        <f>HYPERLINK("https://klasma.github.io/Logging_0980/artfynd/A 21753-2020 artfynd.xlsx", "A 21753-2020")</f>
        <v/>
      </c>
      <c r="T187">
        <f>HYPERLINK("https://klasma.github.io/Logging_0980/kartor/A 21753-2020 karta.png", "A 21753-2020")</f>
        <v/>
      </c>
      <c r="V187">
        <f>HYPERLINK("https://klasma.github.io/Logging_0980/klagomål/A 21753-2020 FSC-klagomål.docx", "A 21753-2020")</f>
        <v/>
      </c>
      <c r="W187">
        <f>HYPERLINK("https://klasma.github.io/Logging_0980/klagomålsmail/A 21753-2020 FSC-klagomål mail.docx", "A 21753-2020")</f>
        <v/>
      </c>
      <c r="X187">
        <f>HYPERLINK("https://klasma.github.io/Logging_0980/tillsyn/A 21753-2020 tillsynsbegäran.docx", "A 21753-2020")</f>
        <v/>
      </c>
      <c r="Y187">
        <f>HYPERLINK("https://klasma.github.io/Logging_0980/tillsynsmail/A 21753-2020 tillsynsbegäran mail.docx", "A 21753-2020")</f>
        <v/>
      </c>
    </row>
    <row r="188" ht="15" customHeight="1">
      <c r="A188" t="inlineStr">
        <is>
          <t>A 22203-2020</t>
        </is>
      </c>
      <c r="B188" s="1" t="n">
        <v>43962</v>
      </c>
      <c r="C188" s="1" t="n">
        <v>45638</v>
      </c>
      <c r="D188" t="inlineStr">
        <is>
          <t>GOTLANDS LÄN</t>
        </is>
      </c>
      <c r="E188" t="inlineStr">
        <is>
          <t>GOTLAND</t>
        </is>
      </c>
      <c r="G188" t="n">
        <v>3.2</v>
      </c>
      <c r="H188" t="n">
        <v>0</v>
      </c>
      <c r="I188" t="n">
        <v>0</v>
      </c>
      <c r="J188" t="n">
        <v>1</v>
      </c>
      <c r="K188" t="n">
        <v>0</v>
      </c>
      <c r="L188" t="n">
        <v>0</v>
      </c>
      <c r="M188" t="n">
        <v>0</v>
      </c>
      <c r="N188" t="n">
        <v>0</v>
      </c>
      <c r="O188" t="n">
        <v>1</v>
      </c>
      <c r="P188" t="n">
        <v>0</v>
      </c>
      <c r="Q188" t="n">
        <v>1</v>
      </c>
      <c r="R188" s="2" t="inlineStr">
        <is>
          <t>Svinrot</t>
        </is>
      </c>
      <c r="S188">
        <f>HYPERLINK("https://klasma.github.io/Logging_0980/artfynd/A 22203-2020 artfynd.xlsx", "A 22203-2020")</f>
        <v/>
      </c>
      <c r="T188">
        <f>HYPERLINK("https://klasma.github.io/Logging_0980/kartor/A 22203-2020 karta.png", "A 22203-2020")</f>
        <v/>
      </c>
      <c r="V188">
        <f>HYPERLINK("https://klasma.github.io/Logging_0980/klagomål/A 22203-2020 FSC-klagomål.docx", "A 22203-2020")</f>
        <v/>
      </c>
      <c r="W188">
        <f>HYPERLINK("https://klasma.github.io/Logging_0980/klagomålsmail/A 22203-2020 FSC-klagomål mail.docx", "A 22203-2020")</f>
        <v/>
      </c>
      <c r="X188">
        <f>HYPERLINK("https://klasma.github.io/Logging_0980/tillsyn/A 22203-2020 tillsynsbegäran.docx", "A 22203-2020")</f>
        <v/>
      </c>
      <c r="Y188">
        <f>HYPERLINK("https://klasma.github.io/Logging_0980/tillsynsmail/A 22203-2020 tillsynsbegäran mail.docx", "A 22203-2020")</f>
        <v/>
      </c>
    </row>
    <row r="189" ht="15" customHeight="1">
      <c r="A189" t="inlineStr">
        <is>
          <t>A 22628-2020</t>
        </is>
      </c>
      <c r="B189" s="1" t="n">
        <v>43963</v>
      </c>
      <c r="C189" s="1" t="n">
        <v>45638</v>
      </c>
      <c r="D189" t="inlineStr">
        <is>
          <t>GOTLANDS LÄN</t>
        </is>
      </c>
      <c r="E189" t="inlineStr">
        <is>
          <t>GOTLAND</t>
        </is>
      </c>
      <c r="G189" t="n">
        <v>4.3</v>
      </c>
      <c r="H189" t="n">
        <v>0</v>
      </c>
      <c r="I189" t="n">
        <v>0</v>
      </c>
      <c r="J189" t="n">
        <v>0</v>
      </c>
      <c r="K189" t="n">
        <v>1</v>
      </c>
      <c r="L189" t="n">
        <v>0</v>
      </c>
      <c r="M189" t="n">
        <v>0</v>
      </c>
      <c r="N189" t="n">
        <v>0</v>
      </c>
      <c r="O189" t="n">
        <v>1</v>
      </c>
      <c r="P189" t="n">
        <v>1</v>
      </c>
      <c r="Q189" t="n">
        <v>1</v>
      </c>
      <c r="R189" s="2" t="inlineStr">
        <is>
          <t>Gotlandsmåra</t>
        </is>
      </c>
      <c r="S189">
        <f>HYPERLINK("https://klasma.github.io/Logging_0980/artfynd/A 22628-2020 artfynd.xlsx", "A 22628-2020")</f>
        <v/>
      </c>
      <c r="T189">
        <f>HYPERLINK("https://klasma.github.io/Logging_0980/kartor/A 22628-2020 karta.png", "A 22628-2020")</f>
        <v/>
      </c>
      <c r="V189">
        <f>HYPERLINK("https://klasma.github.io/Logging_0980/klagomål/A 22628-2020 FSC-klagomål.docx", "A 22628-2020")</f>
        <v/>
      </c>
      <c r="W189">
        <f>HYPERLINK("https://klasma.github.io/Logging_0980/klagomålsmail/A 22628-2020 FSC-klagomål mail.docx", "A 22628-2020")</f>
        <v/>
      </c>
      <c r="X189">
        <f>HYPERLINK("https://klasma.github.io/Logging_0980/tillsyn/A 22628-2020 tillsynsbegäran.docx", "A 22628-2020")</f>
        <v/>
      </c>
      <c r="Y189">
        <f>HYPERLINK("https://klasma.github.io/Logging_0980/tillsynsmail/A 22628-2020 tillsynsbegäran mail.docx", "A 22628-2020")</f>
        <v/>
      </c>
    </row>
    <row r="190" ht="15" customHeight="1">
      <c r="A190" t="inlineStr">
        <is>
          <t>A 39999-2020</t>
        </is>
      </c>
      <c r="B190" s="1" t="n">
        <v>44067</v>
      </c>
      <c r="C190" s="1" t="n">
        <v>45638</v>
      </c>
      <c r="D190" t="inlineStr">
        <is>
          <t>GOTLANDS LÄN</t>
        </is>
      </c>
      <c r="E190" t="inlineStr">
        <is>
          <t>GOTLAND</t>
        </is>
      </c>
      <c r="G190" t="n">
        <v>1.8</v>
      </c>
      <c r="H190" t="n">
        <v>0</v>
      </c>
      <c r="I190" t="n">
        <v>1</v>
      </c>
      <c r="J190" t="n">
        <v>0</v>
      </c>
      <c r="K190" t="n">
        <v>0</v>
      </c>
      <c r="L190" t="n">
        <v>0</v>
      </c>
      <c r="M190" t="n">
        <v>0</v>
      </c>
      <c r="N190" t="n">
        <v>0</v>
      </c>
      <c r="O190" t="n">
        <v>0</v>
      </c>
      <c r="P190" t="n">
        <v>0</v>
      </c>
      <c r="Q190" t="n">
        <v>1</v>
      </c>
      <c r="R190" s="2" t="inlineStr">
        <is>
          <t>Strävlosta</t>
        </is>
      </c>
      <c r="S190">
        <f>HYPERLINK("https://klasma.github.io/Logging_0980/artfynd/A 39999-2020 artfynd.xlsx", "A 39999-2020")</f>
        <v/>
      </c>
      <c r="T190">
        <f>HYPERLINK("https://klasma.github.io/Logging_0980/kartor/A 39999-2020 karta.png", "A 39999-2020")</f>
        <v/>
      </c>
      <c r="V190">
        <f>HYPERLINK("https://klasma.github.io/Logging_0980/klagomål/A 39999-2020 FSC-klagomål.docx", "A 39999-2020")</f>
        <v/>
      </c>
      <c r="W190">
        <f>HYPERLINK("https://klasma.github.io/Logging_0980/klagomålsmail/A 39999-2020 FSC-klagomål mail.docx", "A 39999-2020")</f>
        <v/>
      </c>
      <c r="X190">
        <f>HYPERLINK("https://klasma.github.io/Logging_0980/tillsyn/A 39999-2020 tillsynsbegäran.docx", "A 39999-2020")</f>
        <v/>
      </c>
      <c r="Y190">
        <f>HYPERLINK("https://klasma.github.io/Logging_0980/tillsynsmail/A 39999-2020 tillsynsbegäran mail.docx", "A 39999-2020")</f>
        <v/>
      </c>
    </row>
    <row r="191" ht="15" customHeight="1">
      <c r="A191" t="inlineStr">
        <is>
          <t>A 40266-2020</t>
        </is>
      </c>
      <c r="B191" s="1" t="n">
        <v>44068</v>
      </c>
      <c r="C191" s="1" t="n">
        <v>45638</v>
      </c>
      <c r="D191" t="inlineStr">
        <is>
          <t>GOTLANDS LÄN</t>
        </is>
      </c>
      <c r="E191" t="inlineStr">
        <is>
          <t>GOTLAND</t>
        </is>
      </c>
      <c r="F191" t="inlineStr">
        <is>
          <t>Kyrkan</t>
        </is>
      </c>
      <c r="G191" t="n">
        <v>1.3</v>
      </c>
      <c r="H191" t="n">
        <v>1</v>
      </c>
      <c r="I191" t="n">
        <v>0</v>
      </c>
      <c r="J191" t="n">
        <v>1</v>
      </c>
      <c r="K191" t="n">
        <v>0</v>
      </c>
      <c r="L191" t="n">
        <v>0</v>
      </c>
      <c r="M191" t="n">
        <v>0</v>
      </c>
      <c r="N191" t="n">
        <v>0</v>
      </c>
      <c r="O191" t="n">
        <v>1</v>
      </c>
      <c r="P191" t="n">
        <v>0</v>
      </c>
      <c r="Q191" t="n">
        <v>1</v>
      </c>
      <c r="R191" s="2" t="inlineStr">
        <is>
          <t>Dårgräsfjäril</t>
        </is>
      </c>
      <c r="S191">
        <f>HYPERLINK("https://klasma.github.io/Logging_0980/artfynd/A 40266-2020 artfynd.xlsx", "A 40266-2020")</f>
        <v/>
      </c>
      <c r="T191">
        <f>HYPERLINK("https://klasma.github.io/Logging_0980/kartor/A 40266-2020 karta.png", "A 40266-2020")</f>
        <v/>
      </c>
      <c r="V191">
        <f>HYPERLINK("https://klasma.github.io/Logging_0980/klagomål/A 40266-2020 FSC-klagomål.docx", "A 40266-2020")</f>
        <v/>
      </c>
      <c r="W191">
        <f>HYPERLINK("https://klasma.github.io/Logging_0980/klagomålsmail/A 40266-2020 FSC-klagomål mail.docx", "A 40266-2020")</f>
        <v/>
      </c>
      <c r="X191">
        <f>HYPERLINK("https://klasma.github.io/Logging_0980/tillsyn/A 40266-2020 tillsynsbegäran.docx", "A 40266-2020")</f>
        <v/>
      </c>
      <c r="Y191">
        <f>HYPERLINK("https://klasma.github.io/Logging_0980/tillsynsmail/A 40266-2020 tillsynsbegäran mail.docx", "A 40266-2020")</f>
        <v/>
      </c>
    </row>
    <row r="192" ht="15" customHeight="1">
      <c r="A192" t="inlineStr">
        <is>
          <t>A 41065-2020</t>
        </is>
      </c>
      <c r="B192" s="1" t="n">
        <v>44069</v>
      </c>
      <c r="C192" s="1" t="n">
        <v>45638</v>
      </c>
      <c r="D192" t="inlineStr">
        <is>
          <t>GOTLANDS LÄN</t>
        </is>
      </c>
      <c r="E192" t="inlineStr">
        <is>
          <t>GOTLAND</t>
        </is>
      </c>
      <c r="G192" t="n">
        <v>12</v>
      </c>
      <c r="H192" t="n">
        <v>0</v>
      </c>
      <c r="I192" t="n">
        <v>1</v>
      </c>
      <c r="J192" t="n">
        <v>0</v>
      </c>
      <c r="K192" t="n">
        <v>0</v>
      </c>
      <c r="L192" t="n">
        <v>0</v>
      </c>
      <c r="M192" t="n">
        <v>0</v>
      </c>
      <c r="N192" t="n">
        <v>0</v>
      </c>
      <c r="O192" t="n">
        <v>0</v>
      </c>
      <c r="P192" t="n">
        <v>0</v>
      </c>
      <c r="Q192" t="n">
        <v>1</v>
      </c>
      <c r="R192" s="2" t="inlineStr">
        <is>
          <t>Myskmadra</t>
        </is>
      </c>
      <c r="S192">
        <f>HYPERLINK("https://klasma.github.io/Logging_0980/artfynd/A 41065-2020 artfynd.xlsx", "A 41065-2020")</f>
        <v/>
      </c>
      <c r="T192">
        <f>HYPERLINK("https://klasma.github.io/Logging_0980/kartor/A 41065-2020 karta.png", "A 41065-2020")</f>
        <v/>
      </c>
      <c r="V192">
        <f>HYPERLINK("https://klasma.github.io/Logging_0980/klagomål/A 41065-2020 FSC-klagomål.docx", "A 41065-2020")</f>
        <v/>
      </c>
      <c r="W192">
        <f>HYPERLINK("https://klasma.github.io/Logging_0980/klagomålsmail/A 41065-2020 FSC-klagomål mail.docx", "A 41065-2020")</f>
        <v/>
      </c>
      <c r="X192">
        <f>HYPERLINK("https://klasma.github.io/Logging_0980/tillsyn/A 41065-2020 tillsynsbegäran.docx", "A 41065-2020")</f>
        <v/>
      </c>
      <c r="Y192">
        <f>HYPERLINK("https://klasma.github.io/Logging_0980/tillsynsmail/A 41065-2020 tillsynsbegäran mail.docx", "A 41065-2020")</f>
        <v/>
      </c>
    </row>
    <row r="193" ht="15" customHeight="1">
      <c r="A193" t="inlineStr">
        <is>
          <t>A 44958-2020</t>
        </is>
      </c>
      <c r="B193" s="1" t="n">
        <v>44088</v>
      </c>
      <c r="C193" s="1" t="n">
        <v>45638</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Hornuggla</t>
        </is>
      </c>
      <c r="S193">
        <f>HYPERLINK("https://klasma.github.io/Logging_0980/artfynd/A 44958-2020 artfynd.xlsx", "A 44958-2020")</f>
        <v/>
      </c>
      <c r="T193">
        <f>HYPERLINK("https://klasma.github.io/Logging_0980/kartor/A 44958-2020 karta.png", "A 44958-2020")</f>
        <v/>
      </c>
      <c r="V193">
        <f>HYPERLINK("https://klasma.github.io/Logging_0980/klagomål/A 44958-2020 FSC-klagomål.docx", "A 44958-2020")</f>
        <v/>
      </c>
      <c r="W193">
        <f>HYPERLINK("https://klasma.github.io/Logging_0980/klagomålsmail/A 44958-2020 FSC-klagomål mail.docx", "A 44958-2020")</f>
        <v/>
      </c>
      <c r="X193">
        <f>HYPERLINK("https://klasma.github.io/Logging_0980/tillsyn/A 44958-2020 tillsynsbegäran.docx", "A 44958-2020")</f>
        <v/>
      </c>
      <c r="Y193">
        <f>HYPERLINK("https://klasma.github.io/Logging_0980/tillsynsmail/A 44958-2020 tillsynsbegäran mail.docx", "A 44958-2020")</f>
        <v/>
      </c>
      <c r="Z193">
        <f>HYPERLINK("https://klasma.github.io/Logging_0980/fåglar/A 44958-2020 prioriterade fågelarter.docx", "A 44958-2020")</f>
        <v/>
      </c>
    </row>
    <row r="194" ht="15" customHeight="1">
      <c r="A194" t="inlineStr">
        <is>
          <t>A 45924-2020</t>
        </is>
      </c>
      <c r="B194" s="1" t="n">
        <v>44088</v>
      </c>
      <c r="C194" s="1" t="n">
        <v>45638</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Myskmadra</t>
        </is>
      </c>
      <c r="S194">
        <f>HYPERLINK("https://klasma.github.io/Logging_0980/artfynd/A 45924-2020 artfynd.xlsx", "A 45924-2020")</f>
        <v/>
      </c>
      <c r="T194">
        <f>HYPERLINK("https://klasma.github.io/Logging_0980/kartor/A 45924-2020 karta.png", "A 45924-2020")</f>
        <v/>
      </c>
      <c r="V194">
        <f>HYPERLINK("https://klasma.github.io/Logging_0980/klagomål/A 45924-2020 FSC-klagomål.docx", "A 45924-2020")</f>
        <v/>
      </c>
      <c r="W194">
        <f>HYPERLINK("https://klasma.github.io/Logging_0980/klagomålsmail/A 45924-2020 FSC-klagomål mail.docx", "A 45924-2020")</f>
        <v/>
      </c>
      <c r="X194">
        <f>HYPERLINK("https://klasma.github.io/Logging_0980/tillsyn/A 45924-2020 tillsynsbegäran.docx", "A 45924-2020")</f>
        <v/>
      </c>
      <c r="Y194">
        <f>HYPERLINK("https://klasma.github.io/Logging_0980/tillsynsmail/A 45924-2020 tillsynsbegäran mail.docx", "A 45924-2020")</f>
        <v/>
      </c>
    </row>
    <row r="195" ht="15" customHeight="1">
      <c r="A195" t="inlineStr">
        <is>
          <t>A 63299-2020</t>
        </is>
      </c>
      <c r="B195" s="1" t="n">
        <v>44165</v>
      </c>
      <c r="C195" s="1" t="n">
        <v>45638</v>
      </c>
      <c r="D195" t="inlineStr">
        <is>
          <t>GOTLANDS LÄN</t>
        </is>
      </c>
      <c r="E195" t="inlineStr">
        <is>
          <t>GOTLAND</t>
        </is>
      </c>
      <c r="G195" t="n">
        <v>12.9</v>
      </c>
      <c r="H195" t="n">
        <v>1</v>
      </c>
      <c r="I195" t="n">
        <v>0</v>
      </c>
      <c r="J195" t="n">
        <v>1</v>
      </c>
      <c r="K195" t="n">
        <v>0</v>
      </c>
      <c r="L195" t="n">
        <v>0</v>
      </c>
      <c r="M195" t="n">
        <v>0</v>
      </c>
      <c r="N195" t="n">
        <v>0</v>
      </c>
      <c r="O195" t="n">
        <v>1</v>
      </c>
      <c r="P195" t="n">
        <v>0</v>
      </c>
      <c r="Q195" t="n">
        <v>1</v>
      </c>
      <c r="R195" s="2" t="inlineStr">
        <is>
          <t>Svartfläckig blåvinge</t>
        </is>
      </c>
      <c r="S195">
        <f>HYPERLINK("https://klasma.github.io/Logging_0980/artfynd/A 63299-2020 artfynd.xlsx", "A 63299-2020")</f>
        <v/>
      </c>
      <c r="T195">
        <f>HYPERLINK("https://klasma.github.io/Logging_0980/kartor/A 63299-2020 karta.png", "A 63299-2020")</f>
        <v/>
      </c>
      <c r="V195">
        <f>HYPERLINK("https://klasma.github.io/Logging_0980/klagomål/A 63299-2020 FSC-klagomål.docx", "A 63299-2020")</f>
        <v/>
      </c>
      <c r="W195">
        <f>HYPERLINK("https://klasma.github.io/Logging_0980/klagomålsmail/A 63299-2020 FSC-klagomål mail.docx", "A 63299-2020")</f>
        <v/>
      </c>
      <c r="X195">
        <f>HYPERLINK("https://klasma.github.io/Logging_0980/tillsyn/A 63299-2020 tillsynsbegäran.docx", "A 63299-2020")</f>
        <v/>
      </c>
      <c r="Y195">
        <f>HYPERLINK("https://klasma.github.io/Logging_0980/tillsynsmail/A 63299-2020 tillsynsbegäran mail.docx", "A 63299-2020")</f>
        <v/>
      </c>
    </row>
    <row r="196" ht="15" customHeight="1">
      <c r="A196" t="inlineStr">
        <is>
          <t>A 24-2021</t>
        </is>
      </c>
      <c r="B196" s="1" t="n">
        <v>44197</v>
      </c>
      <c r="C196" s="1" t="n">
        <v>45638</v>
      </c>
      <c r="D196" t="inlineStr">
        <is>
          <t>GOTLANDS LÄN</t>
        </is>
      </c>
      <c r="E196" t="inlineStr">
        <is>
          <t>GOTLAND</t>
        </is>
      </c>
      <c r="F196" t="inlineStr">
        <is>
          <t>Kyrkan</t>
        </is>
      </c>
      <c r="G196" t="n">
        <v>1.7</v>
      </c>
      <c r="H196" t="n">
        <v>0</v>
      </c>
      <c r="I196" t="n">
        <v>1</v>
      </c>
      <c r="J196" t="n">
        <v>0</v>
      </c>
      <c r="K196" t="n">
        <v>0</v>
      </c>
      <c r="L196" t="n">
        <v>0</v>
      </c>
      <c r="M196" t="n">
        <v>0</v>
      </c>
      <c r="N196" t="n">
        <v>0</v>
      </c>
      <c r="O196" t="n">
        <v>0</v>
      </c>
      <c r="P196" t="n">
        <v>0</v>
      </c>
      <c r="Q196" t="n">
        <v>1</v>
      </c>
      <c r="R196" s="2" t="inlineStr">
        <is>
          <t>Svavelriska</t>
        </is>
      </c>
      <c r="S196">
        <f>HYPERLINK("https://klasma.github.io/Logging_0980/artfynd/A 24-2021 artfynd.xlsx", "A 24-2021")</f>
        <v/>
      </c>
      <c r="T196">
        <f>HYPERLINK("https://klasma.github.io/Logging_0980/kartor/A 24-2021 karta.png", "A 24-2021")</f>
        <v/>
      </c>
      <c r="V196">
        <f>HYPERLINK("https://klasma.github.io/Logging_0980/klagomål/A 24-2021 FSC-klagomål.docx", "A 24-2021")</f>
        <v/>
      </c>
      <c r="W196">
        <f>HYPERLINK("https://klasma.github.io/Logging_0980/klagomålsmail/A 24-2021 FSC-klagomål mail.docx", "A 24-2021")</f>
        <v/>
      </c>
      <c r="X196">
        <f>HYPERLINK("https://klasma.github.io/Logging_0980/tillsyn/A 24-2021 tillsynsbegäran.docx", "A 24-2021")</f>
        <v/>
      </c>
      <c r="Y196">
        <f>HYPERLINK("https://klasma.github.io/Logging_0980/tillsynsmail/A 24-2021 tillsynsbegäran mail.docx", "A 24-2021")</f>
        <v/>
      </c>
    </row>
    <row r="197" ht="15" customHeight="1">
      <c r="A197" t="inlineStr">
        <is>
          <t>A 7485-2021</t>
        </is>
      </c>
      <c r="B197" s="1" t="n">
        <v>44238</v>
      </c>
      <c r="C197" s="1" t="n">
        <v>45638</v>
      </c>
      <c r="D197" t="inlineStr">
        <is>
          <t>GOTLANDS LÄN</t>
        </is>
      </c>
      <c r="E197" t="inlineStr">
        <is>
          <t>GOTLAND</t>
        </is>
      </c>
      <c r="G197" t="n">
        <v>2.9</v>
      </c>
      <c r="H197" t="n">
        <v>1</v>
      </c>
      <c r="I197" t="n">
        <v>0</v>
      </c>
      <c r="J197" t="n">
        <v>1</v>
      </c>
      <c r="K197" t="n">
        <v>0</v>
      </c>
      <c r="L197" t="n">
        <v>0</v>
      </c>
      <c r="M197" t="n">
        <v>0</v>
      </c>
      <c r="N197" t="n">
        <v>0</v>
      </c>
      <c r="O197" t="n">
        <v>1</v>
      </c>
      <c r="P197" t="n">
        <v>0</v>
      </c>
      <c r="Q197" t="n">
        <v>1</v>
      </c>
      <c r="R197" s="2" t="inlineStr">
        <is>
          <t>Spillkråka</t>
        </is>
      </c>
      <c r="S197">
        <f>HYPERLINK("https://klasma.github.io/Logging_0980/artfynd/A 7485-2021 artfynd.xlsx", "A 7485-2021")</f>
        <v/>
      </c>
      <c r="T197">
        <f>HYPERLINK("https://klasma.github.io/Logging_0980/kartor/A 7485-2021 karta.png", "A 7485-2021")</f>
        <v/>
      </c>
      <c r="V197">
        <f>HYPERLINK("https://klasma.github.io/Logging_0980/klagomål/A 7485-2021 FSC-klagomål.docx", "A 7485-2021")</f>
        <v/>
      </c>
      <c r="W197">
        <f>HYPERLINK("https://klasma.github.io/Logging_0980/klagomålsmail/A 7485-2021 FSC-klagomål mail.docx", "A 7485-2021")</f>
        <v/>
      </c>
      <c r="X197">
        <f>HYPERLINK("https://klasma.github.io/Logging_0980/tillsyn/A 7485-2021 tillsynsbegäran.docx", "A 7485-2021")</f>
        <v/>
      </c>
      <c r="Y197">
        <f>HYPERLINK("https://klasma.github.io/Logging_0980/tillsynsmail/A 7485-2021 tillsynsbegäran mail.docx", "A 7485-2021")</f>
        <v/>
      </c>
      <c r="Z197">
        <f>HYPERLINK("https://klasma.github.io/Logging_0980/fåglar/A 7485-2021 prioriterade fågelarter.docx", "A 7485-2021")</f>
        <v/>
      </c>
    </row>
    <row r="198" ht="15" customHeight="1">
      <c r="A198" t="inlineStr">
        <is>
          <t>A 13939-2021</t>
        </is>
      </c>
      <c r="B198" s="1" t="n">
        <v>44277</v>
      </c>
      <c r="C198" s="1" t="n">
        <v>45638</v>
      </c>
      <c r="D198" t="inlineStr">
        <is>
          <t>GOTLANDS LÄN</t>
        </is>
      </c>
      <c r="E198" t="inlineStr">
        <is>
          <t>GOTLAND</t>
        </is>
      </c>
      <c r="G198" t="n">
        <v>1</v>
      </c>
      <c r="H198" t="n">
        <v>0</v>
      </c>
      <c r="I198" t="n">
        <v>0</v>
      </c>
      <c r="J198" t="n">
        <v>1</v>
      </c>
      <c r="K198" t="n">
        <v>0</v>
      </c>
      <c r="L198" t="n">
        <v>0</v>
      </c>
      <c r="M198" t="n">
        <v>0</v>
      </c>
      <c r="N198" t="n">
        <v>0</v>
      </c>
      <c r="O198" t="n">
        <v>1</v>
      </c>
      <c r="P198" t="n">
        <v>0</v>
      </c>
      <c r="Q198" t="n">
        <v>1</v>
      </c>
      <c r="R198" s="2" t="inlineStr">
        <is>
          <t>Axveronika</t>
        </is>
      </c>
      <c r="S198">
        <f>HYPERLINK("https://klasma.github.io/Logging_0980/artfynd/A 13939-2021 artfynd.xlsx", "A 13939-2021")</f>
        <v/>
      </c>
      <c r="T198">
        <f>HYPERLINK("https://klasma.github.io/Logging_0980/kartor/A 13939-2021 karta.png", "A 13939-2021")</f>
        <v/>
      </c>
      <c r="V198">
        <f>HYPERLINK("https://klasma.github.io/Logging_0980/klagomål/A 13939-2021 FSC-klagomål.docx", "A 13939-2021")</f>
        <v/>
      </c>
      <c r="W198">
        <f>HYPERLINK("https://klasma.github.io/Logging_0980/klagomålsmail/A 13939-2021 FSC-klagomål mail.docx", "A 13939-2021")</f>
        <v/>
      </c>
      <c r="X198">
        <f>HYPERLINK("https://klasma.github.io/Logging_0980/tillsyn/A 13939-2021 tillsynsbegäran.docx", "A 13939-2021")</f>
        <v/>
      </c>
      <c r="Y198">
        <f>HYPERLINK("https://klasma.github.io/Logging_0980/tillsynsmail/A 13939-2021 tillsynsbegäran mail.docx", "A 13939-2021")</f>
        <v/>
      </c>
    </row>
    <row r="199" ht="15" customHeight="1">
      <c r="A199" t="inlineStr">
        <is>
          <t>A 17723-2021</t>
        </is>
      </c>
      <c r="B199" s="1" t="n">
        <v>44300</v>
      </c>
      <c r="C199" s="1" t="n">
        <v>45638</v>
      </c>
      <c r="D199" t="inlineStr">
        <is>
          <t>GOTLANDS LÄN</t>
        </is>
      </c>
      <c r="E199" t="inlineStr">
        <is>
          <t>GOTLAND</t>
        </is>
      </c>
      <c r="G199" t="n">
        <v>1.5</v>
      </c>
      <c r="H199" t="n">
        <v>1</v>
      </c>
      <c r="I199" t="n">
        <v>1</v>
      </c>
      <c r="J199" t="n">
        <v>0</v>
      </c>
      <c r="K199" t="n">
        <v>0</v>
      </c>
      <c r="L199" t="n">
        <v>0</v>
      </c>
      <c r="M199" t="n">
        <v>0</v>
      </c>
      <c r="N199" t="n">
        <v>0</v>
      </c>
      <c r="O199" t="n">
        <v>0</v>
      </c>
      <c r="P199" t="n">
        <v>0</v>
      </c>
      <c r="Q199" t="n">
        <v>1</v>
      </c>
      <c r="R199" s="2" t="inlineStr">
        <is>
          <t>Vit skogslilja</t>
        </is>
      </c>
      <c r="S199">
        <f>HYPERLINK("https://klasma.github.io/Logging_0980/artfynd/A 17723-2021 artfynd.xlsx", "A 17723-2021")</f>
        <v/>
      </c>
      <c r="T199">
        <f>HYPERLINK("https://klasma.github.io/Logging_0980/kartor/A 17723-2021 karta.png", "A 17723-2021")</f>
        <v/>
      </c>
      <c r="V199">
        <f>HYPERLINK("https://klasma.github.io/Logging_0980/klagomål/A 17723-2021 FSC-klagomål.docx", "A 17723-2021")</f>
        <v/>
      </c>
      <c r="W199">
        <f>HYPERLINK("https://klasma.github.io/Logging_0980/klagomålsmail/A 17723-2021 FSC-klagomål mail.docx", "A 17723-2021")</f>
        <v/>
      </c>
      <c r="X199">
        <f>HYPERLINK("https://klasma.github.io/Logging_0980/tillsyn/A 17723-2021 tillsynsbegäran.docx", "A 17723-2021")</f>
        <v/>
      </c>
      <c r="Y199">
        <f>HYPERLINK("https://klasma.github.io/Logging_0980/tillsynsmail/A 17723-2021 tillsynsbegäran mail.docx", "A 17723-2021")</f>
        <v/>
      </c>
    </row>
    <row r="200" ht="15" customHeight="1">
      <c r="A200" t="inlineStr">
        <is>
          <t>A 29951-2021</t>
        </is>
      </c>
      <c r="B200" s="1" t="n">
        <v>44362</v>
      </c>
      <c r="C200" s="1" t="n">
        <v>45638</v>
      </c>
      <c r="D200" t="inlineStr">
        <is>
          <t>GOTLANDS LÄN</t>
        </is>
      </c>
      <c r="E200" t="inlineStr">
        <is>
          <t>GOTLAND</t>
        </is>
      </c>
      <c r="G200" t="n">
        <v>3.4</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29951-2021 artfynd.xlsx", "A 29951-2021")</f>
        <v/>
      </c>
      <c r="T200">
        <f>HYPERLINK("https://klasma.github.io/Logging_0980/kartor/A 29951-2021 karta.png", "A 29951-2021")</f>
        <v/>
      </c>
      <c r="V200">
        <f>HYPERLINK("https://klasma.github.io/Logging_0980/klagomål/A 29951-2021 FSC-klagomål.docx", "A 29951-2021")</f>
        <v/>
      </c>
      <c r="W200">
        <f>HYPERLINK("https://klasma.github.io/Logging_0980/klagomålsmail/A 29951-2021 FSC-klagomål mail.docx", "A 29951-2021")</f>
        <v/>
      </c>
      <c r="X200">
        <f>HYPERLINK("https://klasma.github.io/Logging_0980/tillsyn/A 29951-2021 tillsynsbegäran.docx", "A 29951-2021")</f>
        <v/>
      </c>
      <c r="Y200">
        <f>HYPERLINK("https://klasma.github.io/Logging_0980/tillsynsmail/A 29951-2021 tillsynsbegäran mail.docx", "A 29951-2021")</f>
        <v/>
      </c>
    </row>
    <row r="201" ht="15" customHeight="1">
      <c r="A201" t="inlineStr">
        <is>
          <t>A 35467-2021</t>
        </is>
      </c>
      <c r="B201" s="1" t="n">
        <v>44385</v>
      </c>
      <c r="C201" s="1" t="n">
        <v>45638</v>
      </c>
      <c r="D201" t="inlineStr">
        <is>
          <t>GOTLANDS LÄN</t>
        </is>
      </c>
      <c r="E201" t="inlineStr">
        <is>
          <t>GOTLAND</t>
        </is>
      </c>
      <c r="G201" t="n">
        <v>12.7</v>
      </c>
      <c r="H201" t="n">
        <v>0</v>
      </c>
      <c r="I201" t="n">
        <v>0</v>
      </c>
      <c r="J201" t="n">
        <v>1</v>
      </c>
      <c r="K201" t="n">
        <v>0</v>
      </c>
      <c r="L201" t="n">
        <v>0</v>
      </c>
      <c r="M201" t="n">
        <v>0</v>
      </c>
      <c r="N201" t="n">
        <v>0</v>
      </c>
      <c r="O201" t="n">
        <v>1</v>
      </c>
      <c r="P201" t="n">
        <v>0</v>
      </c>
      <c r="Q201" t="n">
        <v>1</v>
      </c>
      <c r="R201" s="2" t="inlineStr">
        <is>
          <t>Loppstarr</t>
        </is>
      </c>
      <c r="S201">
        <f>HYPERLINK("https://klasma.github.io/Logging_0980/artfynd/A 35467-2021 artfynd.xlsx", "A 35467-2021")</f>
        <v/>
      </c>
      <c r="T201">
        <f>HYPERLINK("https://klasma.github.io/Logging_0980/kartor/A 35467-2021 karta.png", "A 35467-2021")</f>
        <v/>
      </c>
      <c r="V201">
        <f>HYPERLINK("https://klasma.github.io/Logging_0980/klagomål/A 35467-2021 FSC-klagomål.docx", "A 35467-2021")</f>
        <v/>
      </c>
      <c r="W201">
        <f>HYPERLINK("https://klasma.github.io/Logging_0980/klagomålsmail/A 35467-2021 FSC-klagomål mail.docx", "A 35467-2021")</f>
        <v/>
      </c>
      <c r="X201">
        <f>HYPERLINK("https://klasma.github.io/Logging_0980/tillsyn/A 35467-2021 tillsynsbegäran.docx", "A 35467-2021")</f>
        <v/>
      </c>
      <c r="Y201">
        <f>HYPERLINK("https://klasma.github.io/Logging_0980/tillsynsmail/A 35467-2021 tillsynsbegäran mail.docx", "A 35467-2021")</f>
        <v/>
      </c>
    </row>
    <row r="202" ht="15" customHeight="1">
      <c r="A202" t="inlineStr">
        <is>
          <t>A 44308-2021</t>
        </is>
      </c>
      <c r="B202" s="1" t="n">
        <v>44434</v>
      </c>
      <c r="C202" s="1" t="n">
        <v>45638</v>
      </c>
      <c r="D202" t="inlineStr">
        <is>
          <t>GOTLANDS LÄN</t>
        </is>
      </c>
      <c r="E202" t="inlineStr">
        <is>
          <t>GOTLAND</t>
        </is>
      </c>
      <c r="G202" t="n">
        <v>5.9</v>
      </c>
      <c r="H202" t="n">
        <v>0</v>
      </c>
      <c r="I202" t="n">
        <v>1</v>
      </c>
      <c r="J202" t="n">
        <v>0</v>
      </c>
      <c r="K202" t="n">
        <v>0</v>
      </c>
      <c r="L202" t="n">
        <v>0</v>
      </c>
      <c r="M202" t="n">
        <v>0</v>
      </c>
      <c r="N202" t="n">
        <v>0</v>
      </c>
      <c r="O202" t="n">
        <v>0</v>
      </c>
      <c r="P202" t="n">
        <v>0</v>
      </c>
      <c r="Q202" t="n">
        <v>1</v>
      </c>
      <c r="R202" s="2" t="inlineStr">
        <is>
          <t>Svavelriska</t>
        </is>
      </c>
      <c r="S202">
        <f>HYPERLINK("https://klasma.github.io/Logging_0980/artfynd/A 44308-2021 artfynd.xlsx", "A 44308-2021")</f>
        <v/>
      </c>
      <c r="T202">
        <f>HYPERLINK("https://klasma.github.io/Logging_0980/kartor/A 44308-2021 karta.png", "A 44308-2021")</f>
        <v/>
      </c>
      <c r="V202">
        <f>HYPERLINK("https://klasma.github.io/Logging_0980/klagomål/A 44308-2021 FSC-klagomål.docx", "A 44308-2021")</f>
        <v/>
      </c>
      <c r="W202">
        <f>HYPERLINK("https://klasma.github.io/Logging_0980/klagomålsmail/A 44308-2021 FSC-klagomål mail.docx", "A 44308-2021")</f>
        <v/>
      </c>
      <c r="X202">
        <f>HYPERLINK("https://klasma.github.io/Logging_0980/tillsyn/A 44308-2021 tillsynsbegäran.docx", "A 44308-2021")</f>
        <v/>
      </c>
      <c r="Y202">
        <f>HYPERLINK("https://klasma.github.io/Logging_0980/tillsynsmail/A 44308-2021 tillsynsbegäran mail.docx", "A 44308-2021")</f>
        <v/>
      </c>
    </row>
    <row r="203" ht="15" customHeight="1">
      <c r="A203" t="inlineStr">
        <is>
          <t>A 47411-2021</t>
        </is>
      </c>
      <c r="B203" s="1" t="n">
        <v>44447</v>
      </c>
      <c r="C203" s="1" t="n">
        <v>45638</v>
      </c>
      <c r="D203" t="inlineStr">
        <is>
          <t>GOTLANDS LÄN</t>
        </is>
      </c>
      <c r="E203" t="inlineStr">
        <is>
          <t>GOTLAND</t>
        </is>
      </c>
      <c r="G203" t="n">
        <v>2.7</v>
      </c>
      <c r="H203" t="n">
        <v>1</v>
      </c>
      <c r="I203" t="n">
        <v>0</v>
      </c>
      <c r="J203" t="n">
        <v>0</v>
      </c>
      <c r="K203" t="n">
        <v>0</v>
      </c>
      <c r="L203" t="n">
        <v>0</v>
      </c>
      <c r="M203" t="n">
        <v>0</v>
      </c>
      <c r="N203" t="n">
        <v>0</v>
      </c>
      <c r="O203" t="n">
        <v>0</v>
      </c>
      <c r="P203" t="n">
        <v>0</v>
      </c>
      <c r="Q203" t="n">
        <v>1</v>
      </c>
      <c r="R203" s="2" t="inlineStr">
        <is>
          <t>Revlummer</t>
        </is>
      </c>
      <c r="S203">
        <f>HYPERLINK("https://klasma.github.io/Logging_0980/artfynd/A 47411-2021 artfynd.xlsx", "A 47411-2021")</f>
        <v/>
      </c>
      <c r="T203">
        <f>HYPERLINK("https://klasma.github.io/Logging_0980/kartor/A 47411-2021 karta.png", "A 47411-2021")</f>
        <v/>
      </c>
      <c r="V203">
        <f>HYPERLINK("https://klasma.github.io/Logging_0980/klagomål/A 47411-2021 FSC-klagomål.docx", "A 47411-2021")</f>
        <v/>
      </c>
      <c r="W203">
        <f>HYPERLINK("https://klasma.github.io/Logging_0980/klagomålsmail/A 47411-2021 FSC-klagomål mail.docx", "A 47411-2021")</f>
        <v/>
      </c>
      <c r="X203">
        <f>HYPERLINK("https://klasma.github.io/Logging_0980/tillsyn/A 47411-2021 tillsynsbegäran.docx", "A 47411-2021")</f>
        <v/>
      </c>
      <c r="Y203">
        <f>HYPERLINK("https://klasma.github.io/Logging_0980/tillsynsmail/A 47411-2021 tillsynsbegäran mail.docx", "A 47411-2021")</f>
        <v/>
      </c>
    </row>
    <row r="204" ht="15" customHeight="1">
      <c r="A204" t="inlineStr">
        <is>
          <t>A 63576-2021</t>
        </is>
      </c>
      <c r="B204" s="1" t="n">
        <v>44508</v>
      </c>
      <c r="C204" s="1" t="n">
        <v>45638</v>
      </c>
      <c r="D204" t="inlineStr">
        <is>
          <t>GOTLANDS LÄN</t>
        </is>
      </c>
      <c r="E204" t="inlineStr">
        <is>
          <t>GOTLAND</t>
        </is>
      </c>
      <c r="F204" t="inlineStr">
        <is>
          <t>Kyrkan</t>
        </is>
      </c>
      <c r="G204" t="n">
        <v>4.1</v>
      </c>
      <c r="H204" t="n">
        <v>1</v>
      </c>
      <c r="I204" t="n">
        <v>0</v>
      </c>
      <c r="J204" t="n">
        <v>1</v>
      </c>
      <c r="K204" t="n">
        <v>0</v>
      </c>
      <c r="L204" t="n">
        <v>0</v>
      </c>
      <c r="M204" t="n">
        <v>0</v>
      </c>
      <c r="N204" t="n">
        <v>0</v>
      </c>
      <c r="O204" t="n">
        <v>1</v>
      </c>
      <c r="P204" t="n">
        <v>0</v>
      </c>
      <c r="Q204" t="n">
        <v>1</v>
      </c>
      <c r="R204" s="2" t="inlineStr">
        <is>
          <t>Dårgräsfjäril</t>
        </is>
      </c>
      <c r="S204">
        <f>HYPERLINK("https://klasma.github.io/Logging_0980/artfynd/A 63576-2021 artfynd.xlsx", "A 63576-2021")</f>
        <v/>
      </c>
      <c r="T204">
        <f>HYPERLINK("https://klasma.github.io/Logging_0980/kartor/A 63576-2021 karta.png", "A 63576-2021")</f>
        <v/>
      </c>
      <c r="V204">
        <f>HYPERLINK("https://klasma.github.io/Logging_0980/klagomål/A 63576-2021 FSC-klagomål.docx", "A 63576-2021")</f>
        <v/>
      </c>
      <c r="W204">
        <f>HYPERLINK("https://klasma.github.io/Logging_0980/klagomålsmail/A 63576-2021 FSC-klagomål mail.docx", "A 63576-2021")</f>
        <v/>
      </c>
      <c r="X204">
        <f>HYPERLINK("https://klasma.github.io/Logging_0980/tillsyn/A 63576-2021 tillsynsbegäran.docx", "A 63576-2021")</f>
        <v/>
      </c>
      <c r="Y204">
        <f>HYPERLINK("https://klasma.github.io/Logging_0980/tillsynsmail/A 63576-2021 tillsynsbegäran mail.docx", "A 63576-2021")</f>
        <v/>
      </c>
    </row>
    <row r="205" ht="15" customHeight="1">
      <c r="A205" t="inlineStr">
        <is>
          <t>A 64700-2021</t>
        </is>
      </c>
      <c r="B205" s="1" t="n">
        <v>44511</v>
      </c>
      <c r="C205" s="1" t="n">
        <v>45638</v>
      </c>
      <c r="D205" t="inlineStr">
        <is>
          <t>GOTLANDS LÄN</t>
        </is>
      </c>
      <c r="E205" t="inlineStr">
        <is>
          <t>GOTLAND</t>
        </is>
      </c>
      <c r="F205" t="inlineStr">
        <is>
          <t>Naturvårdsverket</t>
        </is>
      </c>
      <c r="G205" t="n">
        <v>2.4</v>
      </c>
      <c r="H205" t="n">
        <v>1</v>
      </c>
      <c r="I205" t="n">
        <v>0</v>
      </c>
      <c r="J205" t="n">
        <v>0</v>
      </c>
      <c r="K205" t="n">
        <v>1</v>
      </c>
      <c r="L205" t="n">
        <v>0</v>
      </c>
      <c r="M205" t="n">
        <v>0</v>
      </c>
      <c r="N205" t="n">
        <v>0</v>
      </c>
      <c r="O205" t="n">
        <v>1</v>
      </c>
      <c r="P205" t="n">
        <v>1</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65927-2021</t>
        </is>
      </c>
      <c r="B206" s="1" t="n">
        <v>44516</v>
      </c>
      <c r="C206" s="1" t="n">
        <v>45638</v>
      </c>
      <c r="D206" t="inlineStr">
        <is>
          <t>GOTLANDS LÄN</t>
        </is>
      </c>
      <c r="E206" t="inlineStr">
        <is>
          <t>GOTLAND</t>
        </is>
      </c>
      <c r="G206" t="n">
        <v>3.1</v>
      </c>
      <c r="H206" t="n">
        <v>1</v>
      </c>
      <c r="I206" t="n">
        <v>0</v>
      </c>
      <c r="J206" t="n">
        <v>0</v>
      </c>
      <c r="K206" t="n">
        <v>1</v>
      </c>
      <c r="L206" t="n">
        <v>0</v>
      </c>
      <c r="M206" t="n">
        <v>0</v>
      </c>
      <c r="N206" t="n">
        <v>0</v>
      </c>
      <c r="O206" t="n">
        <v>1</v>
      </c>
      <c r="P206" t="n">
        <v>1</v>
      </c>
      <c r="Q206" t="n">
        <v>1</v>
      </c>
      <c r="R206" s="2" t="inlineStr">
        <is>
          <t>Grenigt kungsljus</t>
        </is>
      </c>
      <c r="S206">
        <f>HYPERLINK("https://klasma.github.io/Logging_0980/artfynd/A 65927-2021 artfynd.xlsx", "A 65927-2021")</f>
        <v/>
      </c>
      <c r="T206">
        <f>HYPERLINK("https://klasma.github.io/Logging_0980/kartor/A 65927-2021 karta.png", "A 65927-2021")</f>
        <v/>
      </c>
      <c r="V206">
        <f>HYPERLINK("https://klasma.github.io/Logging_0980/klagomål/A 65927-2021 FSC-klagomål.docx", "A 65927-2021")</f>
        <v/>
      </c>
      <c r="W206">
        <f>HYPERLINK("https://klasma.github.io/Logging_0980/klagomålsmail/A 65927-2021 FSC-klagomål mail.docx", "A 65927-2021")</f>
        <v/>
      </c>
      <c r="X206">
        <f>HYPERLINK("https://klasma.github.io/Logging_0980/tillsyn/A 65927-2021 tillsynsbegäran.docx", "A 65927-2021")</f>
        <v/>
      </c>
      <c r="Y206">
        <f>HYPERLINK("https://klasma.github.io/Logging_0980/tillsynsmail/A 65927-2021 tillsynsbegäran mail.docx", "A 65927-2021")</f>
        <v/>
      </c>
    </row>
    <row r="207" ht="15" customHeight="1">
      <c r="A207" t="inlineStr">
        <is>
          <t>A 66091-2021</t>
        </is>
      </c>
      <c r="B207" s="1" t="n">
        <v>44517</v>
      </c>
      <c r="C207" s="1" t="n">
        <v>45638</v>
      </c>
      <c r="D207" t="inlineStr">
        <is>
          <t>GOTLANDS LÄN</t>
        </is>
      </c>
      <c r="E207" t="inlineStr">
        <is>
          <t>GOTLAND</t>
        </is>
      </c>
      <c r="G207" t="n">
        <v>11.7</v>
      </c>
      <c r="H207" t="n">
        <v>1</v>
      </c>
      <c r="I207" t="n">
        <v>0</v>
      </c>
      <c r="J207" t="n">
        <v>0</v>
      </c>
      <c r="K207" t="n">
        <v>0</v>
      </c>
      <c r="L207" t="n">
        <v>0</v>
      </c>
      <c r="M207" t="n">
        <v>0</v>
      </c>
      <c r="N207" t="n">
        <v>0</v>
      </c>
      <c r="O207" t="n">
        <v>0</v>
      </c>
      <c r="P207" t="n">
        <v>0</v>
      </c>
      <c r="Q207" t="n">
        <v>1</v>
      </c>
      <c r="R207" s="2" t="inlineStr">
        <is>
          <t>Pärluggla</t>
        </is>
      </c>
      <c r="S207">
        <f>HYPERLINK("https://klasma.github.io/Logging_0980/artfynd/A 66091-2021 artfynd.xlsx", "A 66091-2021")</f>
        <v/>
      </c>
      <c r="T207">
        <f>HYPERLINK("https://klasma.github.io/Logging_0980/kartor/A 66091-2021 karta.png", "A 66091-2021")</f>
        <v/>
      </c>
      <c r="V207">
        <f>HYPERLINK("https://klasma.github.io/Logging_0980/klagomål/A 66091-2021 FSC-klagomål.docx", "A 66091-2021")</f>
        <v/>
      </c>
      <c r="W207">
        <f>HYPERLINK("https://klasma.github.io/Logging_0980/klagomålsmail/A 66091-2021 FSC-klagomål mail.docx", "A 66091-2021")</f>
        <v/>
      </c>
      <c r="X207">
        <f>HYPERLINK("https://klasma.github.io/Logging_0980/tillsyn/A 66091-2021 tillsynsbegäran.docx", "A 66091-2021")</f>
        <v/>
      </c>
      <c r="Y207">
        <f>HYPERLINK("https://klasma.github.io/Logging_0980/tillsynsmail/A 66091-2021 tillsynsbegäran mail.docx", "A 66091-2021")</f>
        <v/>
      </c>
      <c r="Z207">
        <f>HYPERLINK("https://klasma.github.io/Logging_0980/fåglar/A 66091-2021 prioriterade fågelarter.docx", "A 66091-2021")</f>
        <v/>
      </c>
    </row>
    <row r="208" ht="15" customHeight="1">
      <c r="A208" t="inlineStr">
        <is>
          <t>A 24245-2022</t>
        </is>
      </c>
      <c r="B208" s="1" t="n">
        <v>44725</v>
      </c>
      <c r="C208" s="1" t="n">
        <v>45638</v>
      </c>
      <c r="D208" t="inlineStr">
        <is>
          <t>GOTLANDS LÄN</t>
        </is>
      </c>
      <c r="E208" t="inlineStr">
        <is>
          <t>GOTLAND</t>
        </is>
      </c>
      <c r="G208" t="n">
        <v>4.9</v>
      </c>
      <c r="H208" t="n">
        <v>0</v>
      </c>
      <c r="I208" t="n">
        <v>0</v>
      </c>
      <c r="J208" t="n">
        <v>0</v>
      </c>
      <c r="K208" t="n">
        <v>0</v>
      </c>
      <c r="L208" t="n">
        <v>1</v>
      </c>
      <c r="M208" t="n">
        <v>0</v>
      </c>
      <c r="N208" t="n">
        <v>0</v>
      </c>
      <c r="O208" t="n">
        <v>1</v>
      </c>
      <c r="P208" t="n">
        <v>1</v>
      </c>
      <c r="Q208" t="n">
        <v>1</v>
      </c>
      <c r="R208" s="2" t="inlineStr">
        <is>
          <t>Slät taggsvamp</t>
        </is>
      </c>
      <c r="S208">
        <f>HYPERLINK("https://klasma.github.io/Logging_0980/artfynd/A 24245-2022 artfynd.xlsx", "A 24245-2022")</f>
        <v/>
      </c>
      <c r="T208">
        <f>HYPERLINK("https://klasma.github.io/Logging_0980/kartor/A 24245-2022 karta.png", "A 24245-2022")</f>
        <v/>
      </c>
      <c r="V208">
        <f>HYPERLINK("https://klasma.github.io/Logging_0980/klagomål/A 24245-2022 FSC-klagomål.docx", "A 24245-2022")</f>
        <v/>
      </c>
      <c r="W208">
        <f>HYPERLINK("https://klasma.github.io/Logging_0980/klagomålsmail/A 24245-2022 FSC-klagomål mail.docx", "A 24245-2022")</f>
        <v/>
      </c>
      <c r="X208">
        <f>HYPERLINK("https://klasma.github.io/Logging_0980/tillsyn/A 24245-2022 tillsynsbegäran.docx", "A 24245-2022")</f>
        <v/>
      </c>
      <c r="Y208">
        <f>HYPERLINK("https://klasma.github.io/Logging_0980/tillsynsmail/A 24245-2022 tillsynsbegäran mail.docx", "A 24245-2022")</f>
        <v/>
      </c>
    </row>
    <row r="209" ht="15" customHeight="1">
      <c r="A209" t="inlineStr">
        <is>
          <t>A 25783-2022</t>
        </is>
      </c>
      <c r="B209" s="1" t="n">
        <v>44733</v>
      </c>
      <c r="C209" s="1" t="n">
        <v>45638</v>
      </c>
      <c r="D209" t="inlineStr">
        <is>
          <t>GOTLANDS LÄN</t>
        </is>
      </c>
      <c r="E209" t="inlineStr">
        <is>
          <t>GOTLAND</t>
        </is>
      </c>
      <c r="G209" t="n">
        <v>1</v>
      </c>
      <c r="H209" t="n">
        <v>1</v>
      </c>
      <c r="I209" t="n">
        <v>1</v>
      </c>
      <c r="J209" t="n">
        <v>0</v>
      </c>
      <c r="K209" t="n">
        <v>0</v>
      </c>
      <c r="L209" t="n">
        <v>0</v>
      </c>
      <c r="M209" t="n">
        <v>0</v>
      </c>
      <c r="N209" t="n">
        <v>0</v>
      </c>
      <c r="O209" t="n">
        <v>0</v>
      </c>
      <c r="P209" t="n">
        <v>0</v>
      </c>
      <c r="Q209" t="n">
        <v>1</v>
      </c>
      <c r="R209" s="2" t="inlineStr">
        <is>
          <t>Vit skogslilja</t>
        </is>
      </c>
      <c r="S209">
        <f>HYPERLINK("https://klasma.github.io/Logging_0980/artfynd/A 25783-2022 artfynd.xlsx", "A 25783-2022")</f>
        <v/>
      </c>
      <c r="T209">
        <f>HYPERLINK("https://klasma.github.io/Logging_0980/kartor/A 25783-2022 karta.png", "A 25783-2022")</f>
        <v/>
      </c>
      <c r="V209">
        <f>HYPERLINK("https://klasma.github.io/Logging_0980/klagomål/A 25783-2022 FSC-klagomål.docx", "A 25783-2022")</f>
        <v/>
      </c>
      <c r="W209">
        <f>HYPERLINK("https://klasma.github.io/Logging_0980/klagomålsmail/A 25783-2022 FSC-klagomål mail.docx", "A 25783-2022")</f>
        <v/>
      </c>
      <c r="X209">
        <f>HYPERLINK("https://klasma.github.io/Logging_0980/tillsyn/A 25783-2022 tillsynsbegäran.docx", "A 25783-2022")</f>
        <v/>
      </c>
      <c r="Y209">
        <f>HYPERLINK("https://klasma.github.io/Logging_0980/tillsynsmail/A 25783-2022 tillsynsbegäran mail.docx", "A 25783-2022")</f>
        <v/>
      </c>
    </row>
    <row r="210" ht="15" customHeight="1">
      <c r="A210" t="inlineStr">
        <is>
          <t>A 27168-2022</t>
        </is>
      </c>
      <c r="B210" s="1" t="n">
        <v>44741</v>
      </c>
      <c r="C210" s="1" t="n">
        <v>45638</v>
      </c>
      <c r="D210" t="inlineStr">
        <is>
          <t>GOTLANDS LÄN</t>
        </is>
      </c>
      <c r="E210" t="inlineStr">
        <is>
          <t>GOTLAND</t>
        </is>
      </c>
      <c r="G210" t="n">
        <v>2.2</v>
      </c>
      <c r="H210" t="n">
        <v>1</v>
      </c>
      <c r="I210" t="n">
        <v>1</v>
      </c>
      <c r="J210" t="n">
        <v>0</v>
      </c>
      <c r="K210" t="n">
        <v>0</v>
      </c>
      <c r="L210" t="n">
        <v>0</v>
      </c>
      <c r="M210" t="n">
        <v>0</v>
      </c>
      <c r="N210" t="n">
        <v>0</v>
      </c>
      <c r="O210" t="n">
        <v>0</v>
      </c>
      <c r="P210" t="n">
        <v>0</v>
      </c>
      <c r="Q210" t="n">
        <v>1</v>
      </c>
      <c r="R210" s="2" t="inlineStr">
        <is>
          <t>Purpurknipprot</t>
        </is>
      </c>
      <c r="S210">
        <f>HYPERLINK("https://klasma.github.io/Logging_0980/artfynd/A 27168-2022 artfynd.xlsx", "A 27168-2022")</f>
        <v/>
      </c>
      <c r="T210">
        <f>HYPERLINK("https://klasma.github.io/Logging_0980/kartor/A 27168-2022 karta.png", "A 27168-2022")</f>
        <v/>
      </c>
      <c r="V210">
        <f>HYPERLINK("https://klasma.github.io/Logging_0980/klagomål/A 27168-2022 FSC-klagomål.docx", "A 27168-2022")</f>
        <v/>
      </c>
      <c r="W210">
        <f>HYPERLINK("https://klasma.github.io/Logging_0980/klagomålsmail/A 27168-2022 FSC-klagomål mail.docx", "A 27168-2022")</f>
        <v/>
      </c>
      <c r="X210">
        <f>HYPERLINK("https://klasma.github.io/Logging_0980/tillsyn/A 27168-2022 tillsynsbegäran.docx", "A 27168-2022")</f>
        <v/>
      </c>
      <c r="Y210">
        <f>HYPERLINK("https://klasma.github.io/Logging_0980/tillsynsmail/A 27168-2022 tillsynsbegäran mail.docx", "A 27168-2022")</f>
        <v/>
      </c>
    </row>
    <row r="211" ht="15" customHeight="1">
      <c r="A211" t="inlineStr">
        <is>
          <t>A 27814-2022</t>
        </is>
      </c>
      <c r="B211" s="1" t="n">
        <v>44743</v>
      </c>
      <c r="C211" s="1" t="n">
        <v>45638</v>
      </c>
      <c r="D211" t="inlineStr">
        <is>
          <t>GOTLANDS LÄN</t>
        </is>
      </c>
      <c r="E211" t="inlineStr">
        <is>
          <t>GOTLAND</t>
        </is>
      </c>
      <c r="G211" t="n">
        <v>25</v>
      </c>
      <c r="H211" t="n">
        <v>1</v>
      </c>
      <c r="I211" t="n">
        <v>0</v>
      </c>
      <c r="J211" t="n">
        <v>0</v>
      </c>
      <c r="K211" t="n">
        <v>0</v>
      </c>
      <c r="L211" t="n">
        <v>0</v>
      </c>
      <c r="M211" t="n">
        <v>0</v>
      </c>
      <c r="N211" t="n">
        <v>0</v>
      </c>
      <c r="O211" t="n">
        <v>0</v>
      </c>
      <c r="P211" t="n">
        <v>0</v>
      </c>
      <c r="Q211" t="n">
        <v>1</v>
      </c>
      <c r="R211" s="2" t="inlineStr">
        <is>
          <t>Mindre vattensalamander</t>
        </is>
      </c>
      <c r="S211">
        <f>HYPERLINK("https://klasma.github.io/Logging_0980/artfynd/A 27814-2022 artfynd.xlsx", "A 27814-2022")</f>
        <v/>
      </c>
      <c r="T211">
        <f>HYPERLINK("https://klasma.github.io/Logging_0980/kartor/A 27814-2022 karta.png", "A 27814-2022")</f>
        <v/>
      </c>
      <c r="V211">
        <f>HYPERLINK("https://klasma.github.io/Logging_0980/klagomål/A 27814-2022 FSC-klagomål.docx", "A 27814-2022")</f>
        <v/>
      </c>
      <c r="W211">
        <f>HYPERLINK("https://klasma.github.io/Logging_0980/klagomålsmail/A 27814-2022 FSC-klagomål mail.docx", "A 27814-2022")</f>
        <v/>
      </c>
      <c r="X211">
        <f>HYPERLINK("https://klasma.github.io/Logging_0980/tillsyn/A 27814-2022 tillsynsbegäran.docx", "A 27814-2022")</f>
        <v/>
      </c>
      <c r="Y211">
        <f>HYPERLINK("https://klasma.github.io/Logging_0980/tillsynsmail/A 27814-2022 tillsynsbegäran mail.docx", "A 27814-2022")</f>
        <v/>
      </c>
    </row>
    <row r="212" ht="15" customHeight="1">
      <c r="A212" t="inlineStr">
        <is>
          <t>A 44095-2022</t>
        </is>
      </c>
      <c r="B212" s="1" t="n">
        <v>44839</v>
      </c>
      <c r="C212" s="1" t="n">
        <v>45638</v>
      </c>
      <c r="D212" t="inlineStr">
        <is>
          <t>GOTLANDS LÄN</t>
        </is>
      </c>
      <c r="E212" t="inlineStr">
        <is>
          <t>GOTLAND</t>
        </is>
      </c>
      <c r="G212" t="n">
        <v>9</v>
      </c>
      <c r="H212" t="n">
        <v>0</v>
      </c>
      <c r="I212" t="n">
        <v>1</v>
      </c>
      <c r="J212" t="n">
        <v>0</v>
      </c>
      <c r="K212" t="n">
        <v>0</v>
      </c>
      <c r="L212" t="n">
        <v>0</v>
      </c>
      <c r="M212" t="n">
        <v>0</v>
      </c>
      <c r="N212" t="n">
        <v>0</v>
      </c>
      <c r="O212" t="n">
        <v>0</v>
      </c>
      <c r="P212" t="n">
        <v>0</v>
      </c>
      <c r="Q212" t="n">
        <v>1</v>
      </c>
      <c r="R212" s="2" t="inlineStr">
        <is>
          <t>Strävlosta</t>
        </is>
      </c>
      <c r="S212">
        <f>HYPERLINK("https://klasma.github.io/Logging_0980/artfynd/A 44095-2022 artfynd.xlsx", "A 44095-2022")</f>
        <v/>
      </c>
      <c r="T212">
        <f>HYPERLINK("https://klasma.github.io/Logging_0980/kartor/A 44095-2022 karta.png", "A 44095-2022")</f>
        <v/>
      </c>
      <c r="V212">
        <f>HYPERLINK("https://klasma.github.io/Logging_0980/klagomål/A 44095-2022 FSC-klagomål.docx", "A 44095-2022")</f>
        <v/>
      </c>
      <c r="W212">
        <f>HYPERLINK("https://klasma.github.io/Logging_0980/klagomålsmail/A 44095-2022 FSC-klagomål mail.docx", "A 44095-2022")</f>
        <v/>
      </c>
      <c r="X212">
        <f>HYPERLINK("https://klasma.github.io/Logging_0980/tillsyn/A 44095-2022 tillsynsbegäran.docx", "A 44095-2022")</f>
        <v/>
      </c>
      <c r="Y212">
        <f>HYPERLINK("https://klasma.github.io/Logging_0980/tillsynsmail/A 44095-2022 tillsynsbegäran mail.docx", "A 44095-2022")</f>
        <v/>
      </c>
    </row>
    <row r="213" ht="15" customHeight="1">
      <c r="A213" t="inlineStr">
        <is>
          <t>A 44088-2022</t>
        </is>
      </c>
      <c r="B213" s="1" t="n">
        <v>44839</v>
      </c>
      <c r="C213" s="1" t="n">
        <v>45638</v>
      </c>
      <c r="D213" t="inlineStr">
        <is>
          <t>GOTLANDS LÄN</t>
        </is>
      </c>
      <c r="E213" t="inlineStr">
        <is>
          <t>GOTLAND</t>
        </is>
      </c>
      <c r="G213" t="n">
        <v>1.5</v>
      </c>
      <c r="H213" t="n">
        <v>0</v>
      </c>
      <c r="I213" t="n">
        <v>1</v>
      </c>
      <c r="J213" t="n">
        <v>0</v>
      </c>
      <c r="K213" t="n">
        <v>0</v>
      </c>
      <c r="L213" t="n">
        <v>0</v>
      </c>
      <c r="M213" t="n">
        <v>0</v>
      </c>
      <c r="N213" t="n">
        <v>0</v>
      </c>
      <c r="O213" t="n">
        <v>0</v>
      </c>
      <c r="P213" t="n">
        <v>0</v>
      </c>
      <c r="Q213" t="n">
        <v>1</v>
      </c>
      <c r="R213" s="2" t="inlineStr">
        <is>
          <t>Strävlosta</t>
        </is>
      </c>
      <c r="S213">
        <f>HYPERLINK("https://klasma.github.io/Logging_0980/artfynd/A 44088-2022 artfynd.xlsx", "A 44088-2022")</f>
        <v/>
      </c>
      <c r="T213">
        <f>HYPERLINK("https://klasma.github.io/Logging_0980/kartor/A 44088-2022 karta.png", "A 44088-2022")</f>
        <v/>
      </c>
      <c r="V213">
        <f>HYPERLINK("https://klasma.github.io/Logging_0980/klagomål/A 44088-2022 FSC-klagomål.docx", "A 44088-2022")</f>
        <v/>
      </c>
      <c r="W213">
        <f>HYPERLINK("https://klasma.github.io/Logging_0980/klagomålsmail/A 44088-2022 FSC-klagomål mail.docx", "A 44088-2022")</f>
        <v/>
      </c>
      <c r="X213">
        <f>HYPERLINK("https://klasma.github.io/Logging_0980/tillsyn/A 44088-2022 tillsynsbegäran.docx", "A 44088-2022")</f>
        <v/>
      </c>
      <c r="Y213">
        <f>HYPERLINK("https://klasma.github.io/Logging_0980/tillsynsmail/A 44088-2022 tillsynsbegäran mail.docx", "A 44088-2022")</f>
        <v/>
      </c>
    </row>
    <row r="214" ht="15" customHeight="1">
      <c r="A214" t="inlineStr">
        <is>
          <t>A 61796-2022</t>
        </is>
      </c>
      <c r="B214" s="1" t="n">
        <v>44917</v>
      </c>
      <c r="C214" s="1" t="n">
        <v>45638</v>
      </c>
      <c r="D214" t="inlineStr">
        <is>
          <t>GOTLANDS LÄN</t>
        </is>
      </c>
      <c r="E214" t="inlineStr">
        <is>
          <t>GOTLAND</t>
        </is>
      </c>
      <c r="G214" t="n">
        <v>1.5</v>
      </c>
      <c r="H214" t="n">
        <v>1</v>
      </c>
      <c r="I214" t="n">
        <v>0</v>
      </c>
      <c r="J214" t="n">
        <v>0</v>
      </c>
      <c r="K214" t="n">
        <v>0</v>
      </c>
      <c r="L214" t="n">
        <v>0</v>
      </c>
      <c r="M214" t="n">
        <v>0</v>
      </c>
      <c r="N214" t="n">
        <v>0</v>
      </c>
      <c r="O214" t="n">
        <v>0</v>
      </c>
      <c r="P214" t="n">
        <v>0</v>
      </c>
      <c r="Q214" t="n">
        <v>1</v>
      </c>
      <c r="R214" s="2" t="inlineStr">
        <is>
          <t>Skogsduva</t>
        </is>
      </c>
      <c r="S214">
        <f>HYPERLINK("https://klasma.github.io/Logging_0980/artfynd/A 61796-2022 artfynd.xlsx", "A 61796-2022")</f>
        <v/>
      </c>
      <c r="T214">
        <f>HYPERLINK("https://klasma.github.io/Logging_0980/kartor/A 61796-2022 karta.png", "A 61796-2022")</f>
        <v/>
      </c>
      <c r="V214">
        <f>HYPERLINK("https://klasma.github.io/Logging_0980/klagomål/A 61796-2022 FSC-klagomål.docx", "A 61796-2022")</f>
        <v/>
      </c>
      <c r="W214">
        <f>HYPERLINK("https://klasma.github.io/Logging_0980/klagomålsmail/A 61796-2022 FSC-klagomål mail.docx", "A 61796-2022")</f>
        <v/>
      </c>
      <c r="X214">
        <f>HYPERLINK("https://klasma.github.io/Logging_0980/tillsyn/A 61796-2022 tillsynsbegäran.docx", "A 61796-2022")</f>
        <v/>
      </c>
      <c r="Y214">
        <f>HYPERLINK("https://klasma.github.io/Logging_0980/tillsynsmail/A 61796-2022 tillsynsbegäran mail.docx", "A 61796-2022")</f>
        <v/>
      </c>
      <c r="Z214">
        <f>HYPERLINK("https://klasma.github.io/Logging_0980/fåglar/A 61796-2022 prioriterade fågelarter.docx", "A 61796-2022")</f>
        <v/>
      </c>
    </row>
    <row r="215" ht="15" customHeight="1">
      <c r="A215" t="inlineStr">
        <is>
          <t>A 62552-2022</t>
        </is>
      </c>
      <c r="B215" s="1" t="n">
        <v>44924</v>
      </c>
      <c r="C215" s="1" t="n">
        <v>45638</v>
      </c>
      <c r="D215" t="inlineStr">
        <is>
          <t>GOTLANDS LÄN</t>
        </is>
      </c>
      <c r="E215" t="inlineStr">
        <is>
          <t>GOTLAND</t>
        </is>
      </c>
      <c r="G215" t="n">
        <v>1.6</v>
      </c>
      <c r="H215" t="n">
        <v>0</v>
      </c>
      <c r="I215" t="n">
        <v>0</v>
      </c>
      <c r="J215" t="n">
        <v>1</v>
      </c>
      <c r="K215" t="n">
        <v>0</v>
      </c>
      <c r="L215" t="n">
        <v>0</v>
      </c>
      <c r="M215" t="n">
        <v>0</v>
      </c>
      <c r="N215" t="n">
        <v>0</v>
      </c>
      <c r="O215" t="n">
        <v>1</v>
      </c>
      <c r="P215" t="n">
        <v>0</v>
      </c>
      <c r="Q215" t="n">
        <v>1</v>
      </c>
      <c r="R215" s="2" t="inlineStr">
        <is>
          <t>Äggspindling</t>
        </is>
      </c>
      <c r="S215">
        <f>HYPERLINK("https://klasma.github.io/Logging_0980/artfynd/A 62552-2022 artfynd.xlsx", "A 62552-2022")</f>
        <v/>
      </c>
      <c r="T215">
        <f>HYPERLINK("https://klasma.github.io/Logging_0980/kartor/A 62552-2022 karta.png", "A 62552-2022")</f>
        <v/>
      </c>
      <c r="V215">
        <f>HYPERLINK("https://klasma.github.io/Logging_0980/klagomål/A 62552-2022 FSC-klagomål.docx", "A 62552-2022")</f>
        <v/>
      </c>
      <c r="W215">
        <f>HYPERLINK("https://klasma.github.io/Logging_0980/klagomålsmail/A 62552-2022 FSC-klagomål mail.docx", "A 62552-2022")</f>
        <v/>
      </c>
      <c r="X215">
        <f>HYPERLINK("https://klasma.github.io/Logging_0980/tillsyn/A 62552-2022 tillsynsbegäran.docx", "A 62552-2022")</f>
        <v/>
      </c>
      <c r="Y215">
        <f>HYPERLINK("https://klasma.github.io/Logging_0980/tillsynsmail/A 62552-2022 tillsynsbegäran mail.docx", "A 62552-2022")</f>
        <v/>
      </c>
    </row>
    <row r="216" ht="15" customHeight="1">
      <c r="A216" t="inlineStr">
        <is>
          <t>A 447-2023</t>
        </is>
      </c>
      <c r="B216" s="1" t="n">
        <v>44929</v>
      </c>
      <c r="C216" s="1" t="n">
        <v>45638</v>
      </c>
      <c r="D216" t="inlineStr">
        <is>
          <t>GOTLANDS LÄN</t>
        </is>
      </c>
      <c r="E216" t="inlineStr">
        <is>
          <t>GOTLAND</t>
        </is>
      </c>
      <c r="G216" t="n">
        <v>5.1</v>
      </c>
      <c r="H216" t="n">
        <v>0</v>
      </c>
      <c r="I216" t="n">
        <v>0</v>
      </c>
      <c r="J216" t="n">
        <v>1</v>
      </c>
      <c r="K216" t="n">
        <v>0</v>
      </c>
      <c r="L216" t="n">
        <v>0</v>
      </c>
      <c r="M216" t="n">
        <v>0</v>
      </c>
      <c r="N216" t="n">
        <v>0</v>
      </c>
      <c r="O216" t="n">
        <v>1</v>
      </c>
      <c r="P216" t="n">
        <v>0</v>
      </c>
      <c r="Q216" t="n">
        <v>1</v>
      </c>
      <c r="R216" s="2" t="inlineStr">
        <is>
          <t>Äggspindling</t>
        </is>
      </c>
      <c r="S216">
        <f>HYPERLINK("https://klasma.github.io/Logging_0980/artfynd/A 447-2023 artfynd.xlsx", "A 447-2023")</f>
        <v/>
      </c>
      <c r="T216">
        <f>HYPERLINK("https://klasma.github.io/Logging_0980/kartor/A 447-2023 karta.png", "A 447-2023")</f>
        <v/>
      </c>
      <c r="V216">
        <f>HYPERLINK("https://klasma.github.io/Logging_0980/klagomål/A 447-2023 FSC-klagomål.docx", "A 447-2023")</f>
        <v/>
      </c>
      <c r="W216">
        <f>HYPERLINK("https://klasma.github.io/Logging_0980/klagomålsmail/A 447-2023 FSC-klagomål mail.docx", "A 447-2023")</f>
        <v/>
      </c>
      <c r="X216">
        <f>HYPERLINK("https://klasma.github.io/Logging_0980/tillsyn/A 447-2023 tillsynsbegäran.docx", "A 447-2023")</f>
        <v/>
      </c>
      <c r="Y216">
        <f>HYPERLINK("https://klasma.github.io/Logging_0980/tillsynsmail/A 447-2023 tillsynsbegäran mail.docx", "A 447-2023")</f>
        <v/>
      </c>
    </row>
    <row r="217" ht="15" customHeight="1">
      <c r="A217" t="inlineStr">
        <is>
          <t>A 947-2023</t>
        </is>
      </c>
      <c r="B217" s="1" t="n">
        <v>44934</v>
      </c>
      <c r="C217" s="1" t="n">
        <v>45638</v>
      </c>
      <c r="D217" t="inlineStr">
        <is>
          <t>GOTLANDS LÄN</t>
        </is>
      </c>
      <c r="E217" t="inlineStr">
        <is>
          <t>GOTLAND</t>
        </is>
      </c>
      <c r="G217" t="n">
        <v>0.7</v>
      </c>
      <c r="H217" t="n">
        <v>1</v>
      </c>
      <c r="I217" t="n">
        <v>0</v>
      </c>
      <c r="J217" t="n">
        <v>0</v>
      </c>
      <c r="K217" t="n">
        <v>1</v>
      </c>
      <c r="L217" t="n">
        <v>0</v>
      </c>
      <c r="M217" t="n">
        <v>0</v>
      </c>
      <c r="N217" t="n">
        <v>0</v>
      </c>
      <c r="O217" t="n">
        <v>1</v>
      </c>
      <c r="P217" t="n">
        <v>1</v>
      </c>
      <c r="Q217" t="n">
        <v>1</v>
      </c>
      <c r="R217" s="2" t="inlineStr">
        <is>
          <t>Garderönn</t>
        </is>
      </c>
      <c r="S217">
        <f>HYPERLINK("https://klasma.github.io/Logging_0980/artfynd/A 947-2023 artfynd.xlsx", "A 947-2023")</f>
        <v/>
      </c>
      <c r="T217">
        <f>HYPERLINK("https://klasma.github.io/Logging_0980/kartor/A 947-2023 karta.png", "A 947-2023")</f>
        <v/>
      </c>
      <c r="V217">
        <f>HYPERLINK("https://klasma.github.io/Logging_0980/klagomål/A 947-2023 FSC-klagomål.docx", "A 947-2023")</f>
        <v/>
      </c>
      <c r="W217">
        <f>HYPERLINK("https://klasma.github.io/Logging_0980/klagomålsmail/A 947-2023 FSC-klagomål mail.docx", "A 947-2023")</f>
        <v/>
      </c>
      <c r="X217">
        <f>HYPERLINK("https://klasma.github.io/Logging_0980/tillsyn/A 947-2023 tillsynsbegäran.docx", "A 947-2023")</f>
        <v/>
      </c>
      <c r="Y217">
        <f>HYPERLINK("https://klasma.github.io/Logging_0980/tillsynsmail/A 947-2023 tillsynsbegäran mail.docx", "A 947-2023")</f>
        <v/>
      </c>
    </row>
    <row r="218" ht="15" customHeight="1">
      <c r="A218" t="inlineStr">
        <is>
          <t>A 2213-2023</t>
        </is>
      </c>
      <c r="B218" s="1" t="n">
        <v>44942</v>
      </c>
      <c r="C218" s="1" t="n">
        <v>45638</v>
      </c>
      <c r="D218" t="inlineStr">
        <is>
          <t>GOTLANDS LÄN</t>
        </is>
      </c>
      <c r="E218" t="inlineStr">
        <is>
          <t>GOTLAND</t>
        </is>
      </c>
      <c r="G218" t="n">
        <v>2.7</v>
      </c>
      <c r="H218" t="n">
        <v>0</v>
      </c>
      <c r="I218" t="n">
        <v>0</v>
      </c>
      <c r="J218" t="n">
        <v>1</v>
      </c>
      <c r="K218" t="n">
        <v>0</v>
      </c>
      <c r="L218" t="n">
        <v>0</v>
      </c>
      <c r="M218" t="n">
        <v>0</v>
      </c>
      <c r="N218" t="n">
        <v>0</v>
      </c>
      <c r="O218" t="n">
        <v>1</v>
      </c>
      <c r="P218" t="n">
        <v>0</v>
      </c>
      <c r="Q218" t="n">
        <v>1</v>
      </c>
      <c r="R218" s="2" t="inlineStr">
        <is>
          <t>Odörspindling</t>
        </is>
      </c>
      <c r="S218">
        <f>HYPERLINK("https://klasma.github.io/Logging_0980/artfynd/A 2213-2023 artfynd.xlsx", "A 2213-2023")</f>
        <v/>
      </c>
      <c r="T218">
        <f>HYPERLINK("https://klasma.github.io/Logging_0980/kartor/A 2213-2023 karta.png", "A 2213-2023")</f>
        <v/>
      </c>
      <c r="V218">
        <f>HYPERLINK("https://klasma.github.io/Logging_0980/klagomål/A 2213-2023 FSC-klagomål.docx", "A 2213-2023")</f>
        <v/>
      </c>
      <c r="W218">
        <f>HYPERLINK("https://klasma.github.io/Logging_0980/klagomålsmail/A 2213-2023 FSC-klagomål mail.docx", "A 2213-2023")</f>
        <v/>
      </c>
      <c r="X218">
        <f>HYPERLINK("https://klasma.github.io/Logging_0980/tillsyn/A 2213-2023 tillsynsbegäran.docx", "A 2213-2023")</f>
        <v/>
      </c>
      <c r="Y218">
        <f>HYPERLINK("https://klasma.github.io/Logging_0980/tillsynsmail/A 2213-2023 tillsynsbegäran mail.docx", "A 2213-2023")</f>
        <v/>
      </c>
    </row>
    <row r="219" ht="15" customHeight="1">
      <c r="A219" t="inlineStr">
        <is>
          <t>A 10995-2023</t>
        </is>
      </c>
      <c r="B219" s="1" t="n">
        <v>44986</v>
      </c>
      <c r="C219" s="1" t="n">
        <v>45638</v>
      </c>
      <c r="D219" t="inlineStr">
        <is>
          <t>GOTLANDS LÄN</t>
        </is>
      </c>
      <c r="E219" t="inlineStr">
        <is>
          <t>GOTLAND</t>
        </is>
      </c>
      <c r="G219" t="n">
        <v>2.8</v>
      </c>
      <c r="H219" t="n">
        <v>0</v>
      </c>
      <c r="I219" t="n">
        <v>0</v>
      </c>
      <c r="J219" t="n">
        <v>0</v>
      </c>
      <c r="K219" t="n">
        <v>1</v>
      </c>
      <c r="L219" t="n">
        <v>0</v>
      </c>
      <c r="M219" t="n">
        <v>0</v>
      </c>
      <c r="N219" t="n">
        <v>0</v>
      </c>
      <c r="O219" t="n">
        <v>1</v>
      </c>
      <c r="P219" t="n">
        <v>1</v>
      </c>
      <c r="Q219" t="n">
        <v>1</v>
      </c>
      <c r="R219" s="2" t="inlineStr">
        <is>
          <t>Violettfläckig spindling</t>
        </is>
      </c>
      <c r="S219">
        <f>HYPERLINK("https://klasma.github.io/Logging_0980/artfynd/A 10995-2023 artfynd.xlsx", "A 10995-2023")</f>
        <v/>
      </c>
      <c r="T219">
        <f>HYPERLINK("https://klasma.github.io/Logging_0980/kartor/A 10995-2023 karta.png", "A 10995-2023")</f>
        <v/>
      </c>
      <c r="V219">
        <f>HYPERLINK("https://klasma.github.io/Logging_0980/klagomål/A 10995-2023 FSC-klagomål.docx", "A 10995-2023")</f>
        <v/>
      </c>
      <c r="W219">
        <f>HYPERLINK("https://klasma.github.io/Logging_0980/klagomålsmail/A 10995-2023 FSC-klagomål mail.docx", "A 10995-2023")</f>
        <v/>
      </c>
      <c r="X219">
        <f>HYPERLINK("https://klasma.github.io/Logging_0980/tillsyn/A 10995-2023 tillsynsbegäran.docx", "A 10995-2023")</f>
        <v/>
      </c>
      <c r="Y219">
        <f>HYPERLINK("https://klasma.github.io/Logging_0980/tillsynsmail/A 10995-2023 tillsynsbegäran mail.docx", "A 10995-2023")</f>
        <v/>
      </c>
    </row>
    <row r="220" ht="15" customHeight="1">
      <c r="A220" t="inlineStr">
        <is>
          <t>A 15212-2023</t>
        </is>
      </c>
      <c r="B220" s="1" t="n">
        <v>45019</v>
      </c>
      <c r="C220" s="1" t="n">
        <v>45638</v>
      </c>
      <c r="D220" t="inlineStr">
        <is>
          <t>GOTLANDS LÄN</t>
        </is>
      </c>
      <c r="E220" t="inlineStr">
        <is>
          <t>GOTLAND</t>
        </is>
      </c>
      <c r="G220" t="n">
        <v>3.1</v>
      </c>
      <c r="H220" t="n">
        <v>0</v>
      </c>
      <c r="I220" t="n">
        <v>0</v>
      </c>
      <c r="J220" t="n">
        <v>1</v>
      </c>
      <c r="K220" t="n">
        <v>0</v>
      </c>
      <c r="L220" t="n">
        <v>0</v>
      </c>
      <c r="M220" t="n">
        <v>0</v>
      </c>
      <c r="N220" t="n">
        <v>0</v>
      </c>
      <c r="O220" t="n">
        <v>1</v>
      </c>
      <c r="P220" t="n">
        <v>0</v>
      </c>
      <c r="Q220" t="n">
        <v>1</v>
      </c>
      <c r="R220" s="2" t="inlineStr">
        <is>
          <t>Grådådra</t>
        </is>
      </c>
      <c r="S220">
        <f>HYPERLINK("https://klasma.github.io/Logging_0980/artfynd/A 15212-2023 artfynd.xlsx", "A 15212-2023")</f>
        <v/>
      </c>
      <c r="T220">
        <f>HYPERLINK("https://klasma.github.io/Logging_0980/kartor/A 15212-2023 karta.png", "A 15212-2023")</f>
        <v/>
      </c>
      <c r="V220">
        <f>HYPERLINK("https://klasma.github.io/Logging_0980/klagomål/A 15212-2023 FSC-klagomål.docx", "A 15212-2023")</f>
        <v/>
      </c>
      <c r="W220">
        <f>HYPERLINK("https://klasma.github.io/Logging_0980/klagomålsmail/A 15212-2023 FSC-klagomål mail.docx", "A 15212-2023")</f>
        <v/>
      </c>
      <c r="X220">
        <f>HYPERLINK("https://klasma.github.io/Logging_0980/tillsyn/A 15212-2023 tillsynsbegäran.docx", "A 15212-2023")</f>
        <v/>
      </c>
      <c r="Y220">
        <f>HYPERLINK("https://klasma.github.io/Logging_0980/tillsynsmail/A 15212-2023 tillsynsbegäran mail.docx", "A 15212-2023")</f>
        <v/>
      </c>
    </row>
    <row r="221" ht="15" customHeight="1">
      <c r="A221" t="inlineStr">
        <is>
          <t>A 22782-2023</t>
        </is>
      </c>
      <c r="B221" s="1" t="n">
        <v>45072</v>
      </c>
      <c r="C221" s="1" t="n">
        <v>45638</v>
      </c>
      <c r="D221" t="inlineStr">
        <is>
          <t>GOTLANDS LÄN</t>
        </is>
      </c>
      <c r="E221" t="inlineStr">
        <is>
          <t>GOTLAND</t>
        </is>
      </c>
      <c r="F221" t="inlineStr">
        <is>
          <t>Kyrkan</t>
        </is>
      </c>
      <c r="G221" t="n">
        <v>3.1</v>
      </c>
      <c r="H221" t="n">
        <v>1</v>
      </c>
      <c r="I221" t="n">
        <v>0</v>
      </c>
      <c r="J221" t="n">
        <v>0</v>
      </c>
      <c r="K221" t="n">
        <v>0</v>
      </c>
      <c r="L221" t="n">
        <v>0</v>
      </c>
      <c r="M221" t="n">
        <v>0</v>
      </c>
      <c r="N221" t="n">
        <v>0</v>
      </c>
      <c r="O221" t="n">
        <v>0</v>
      </c>
      <c r="P221" t="n">
        <v>0</v>
      </c>
      <c r="Q221" t="n">
        <v>1</v>
      </c>
      <c r="R221" s="2" t="inlineStr">
        <is>
          <t>Ängsnycklar × skogsnycklar</t>
        </is>
      </c>
      <c r="S221">
        <f>HYPERLINK("https://klasma.github.io/Logging_0980/artfynd/A 22782-2023 artfynd.xlsx", "A 22782-2023")</f>
        <v/>
      </c>
      <c r="T221">
        <f>HYPERLINK("https://klasma.github.io/Logging_0980/kartor/A 22782-2023 karta.png", "A 22782-2023")</f>
        <v/>
      </c>
      <c r="V221">
        <f>HYPERLINK("https://klasma.github.io/Logging_0980/klagomål/A 22782-2023 FSC-klagomål.docx", "A 22782-2023")</f>
        <v/>
      </c>
      <c r="W221">
        <f>HYPERLINK("https://klasma.github.io/Logging_0980/klagomålsmail/A 22782-2023 FSC-klagomål mail.docx", "A 22782-2023")</f>
        <v/>
      </c>
      <c r="X221">
        <f>HYPERLINK("https://klasma.github.io/Logging_0980/tillsyn/A 22782-2023 tillsynsbegäran.docx", "A 22782-2023")</f>
        <v/>
      </c>
      <c r="Y221">
        <f>HYPERLINK("https://klasma.github.io/Logging_0980/tillsynsmail/A 22782-2023 tillsynsbegäran mail.docx", "A 22782-2023")</f>
        <v/>
      </c>
    </row>
    <row r="222" ht="15" customHeight="1">
      <c r="A222" t="inlineStr">
        <is>
          <t>A 24007-2023</t>
        </is>
      </c>
      <c r="B222" s="1" t="n">
        <v>45078</v>
      </c>
      <c r="C222" s="1" t="n">
        <v>45638</v>
      </c>
      <c r="D222" t="inlineStr">
        <is>
          <t>GOTLANDS LÄN</t>
        </is>
      </c>
      <c r="E222" t="inlineStr">
        <is>
          <t>GOTLAND</t>
        </is>
      </c>
      <c r="F222" t="inlineStr">
        <is>
          <t>Naturvårdsverket</t>
        </is>
      </c>
      <c r="G222" t="n">
        <v>2.5</v>
      </c>
      <c r="H222" t="n">
        <v>1</v>
      </c>
      <c r="I222" t="n">
        <v>1</v>
      </c>
      <c r="J222" t="n">
        <v>0</v>
      </c>
      <c r="K222" t="n">
        <v>0</v>
      </c>
      <c r="L222" t="n">
        <v>0</v>
      </c>
      <c r="M222" t="n">
        <v>0</v>
      </c>
      <c r="N222" t="n">
        <v>0</v>
      </c>
      <c r="O222" t="n">
        <v>0</v>
      </c>
      <c r="P222" t="n">
        <v>0</v>
      </c>
      <c r="Q222" t="n">
        <v>1</v>
      </c>
      <c r="R222" s="2" t="inlineStr">
        <is>
          <t>Nästrot</t>
        </is>
      </c>
      <c r="S222">
        <f>HYPERLINK("https://klasma.github.io/Logging_0980/artfynd/A 24007-2023 artfynd.xlsx", "A 24007-2023")</f>
        <v/>
      </c>
      <c r="T222">
        <f>HYPERLINK("https://klasma.github.io/Logging_0980/kartor/A 24007-2023 karta.png", "A 24007-2023")</f>
        <v/>
      </c>
      <c r="V222">
        <f>HYPERLINK("https://klasma.github.io/Logging_0980/klagomål/A 24007-2023 FSC-klagomål.docx", "A 24007-2023")</f>
        <v/>
      </c>
      <c r="W222">
        <f>HYPERLINK("https://klasma.github.io/Logging_0980/klagomålsmail/A 24007-2023 FSC-klagomål mail.docx", "A 24007-2023")</f>
        <v/>
      </c>
      <c r="X222">
        <f>HYPERLINK("https://klasma.github.io/Logging_0980/tillsyn/A 24007-2023 tillsynsbegäran.docx", "A 24007-2023")</f>
        <v/>
      </c>
      <c r="Y222">
        <f>HYPERLINK("https://klasma.github.io/Logging_0980/tillsynsmail/A 24007-2023 tillsynsbegäran mail.docx", "A 24007-2023")</f>
        <v/>
      </c>
    </row>
    <row r="223" ht="15" customHeight="1">
      <c r="A223" t="inlineStr">
        <is>
          <t>A 27589-2023</t>
        </is>
      </c>
      <c r="B223" s="1" t="n">
        <v>45097</v>
      </c>
      <c r="C223" s="1" t="n">
        <v>45638</v>
      </c>
      <c r="D223" t="inlineStr">
        <is>
          <t>GOTLANDS LÄN</t>
        </is>
      </c>
      <c r="E223" t="inlineStr">
        <is>
          <t>GOTLAND</t>
        </is>
      </c>
      <c r="G223" t="n">
        <v>5.4</v>
      </c>
      <c r="H223" t="n">
        <v>0</v>
      </c>
      <c r="I223" t="n">
        <v>0</v>
      </c>
      <c r="J223" t="n">
        <v>0</v>
      </c>
      <c r="K223" t="n">
        <v>0</v>
      </c>
      <c r="L223" t="n">
        <v>0</v>
      </c>
      <c r="M223" t="n">
        <v>1</v>
      </c>
      <c r="N223" t="n">
        <v>0</v>
      </c>
      <c r="O223" t="n">
        <v>1</v>
      </c>
      <c r="P223" t="n">
        <v>1</v>
      </c>
      <c r="Q223" t="n">
        <v>1</v>
      </c>
      <c r="R223" s="2" t="inlineStr">
        <is>
          <t>Skogsalm</t>
        </is>
      </c>
      <c r="S223">
        <f>HYPERLINK("https://klasma.github.io/Logging_0980/artfynd/A 27589-2023 artfynd.xlsx", "A 27589-2023")</f>
        <v/>
      </c>
      <c r="T223">
        <f>HYPERLINK("https://klasma.github.io/Logging_0980/kartor/A 27589-2023 karta.png", "A 27589-2023")</f>
        <v/>
      </c>
      <c r="V223">
        <f>HYPERLINK("https://klasma.github.io/Logging_0980/klagomål/A 27589-2023 FSC-klagomål.docx", "A 27589-2023")</f>
        <v/>
      </c>
      <c r="W223">
        <f>HYPERLINK("https://klasma.github.io/Logging_0980/klagomålsmail/A 27589-2023 FSC-klagomål mail.docx", "A 27589-2023")</f>
        <v/>
      </c>
      <c r="X223">
        <f>HYPERLINK("https://klasma.github.io/Logging_0980/tillsyn/A 27589-2023 tillsynsbegäran.docx", "A 27589-2023")</f>
        <v/>
      </c>
      <c r="Y223">
        <f>HYPERLINK("https://klasma.github.io/Logging_0980/tillsynsmail/A 27589-2023 tillsynsbegäran mail.docx", "A 27589-2023")</f>
        <v/>
      </c>
    </row>
    <row r="224" ht="15" customHeight="1">
      <c r="A224" t="inlineStr">
        <is>
          <t>A 28546-2023</t>
        </is>
      </c>
      <c r="B224" s="1" t="n">
        <v>45103</v>
      </c>
      <c r="C224" s="1" t="n">
        <v>45638</v>
      </c>
      <c r="D224" t="inlineStr">
        <is>
          <t>GOTLANDS LÄN</t>
        </is>
      </c>
      <c r="E224" t="inlineStr">
        <is>
          <t>GOTLAND</t>
        </is>
      </c>
      <c r="G224" t="n">
        <v>7.9</v>
      </c>
      <c r="H224" t="n">
        <v>1</v>
      </c>
      <c r="I224" t="n">
        <v>0</v>
      </c>
      <c r="J224" t="n">
        <v>0</v>
      </c>
      <c r="K224" t="n">
        <v>0</v>
      </c>
      <c r="L224" t="n">
        <v>0</v>
      </c>
      <c r="M224" t="n">
        <v>0</v>
      </c>
      <c r="N224" t="n">
        <v>0</v>
      </c>
      <c r="O224" t="n">
        <v>0</v>
      </c>
      <c r="P224" t="n">
        <v>0</v>
      </c>
      <c r="Q224" t="n">
        <v>1</v>
      </c>
      <c r="R224" s="2" t="inlineStr">
        <is>
          <t>Lopplummer</t>
        </is>
      </c>
      <c r="S224">
        <f>HYPERLINK("https://klasma.github.io/Logging_0980/artfynd/A 28546-2023 artfynd.xlsx", "A 28546-2023")</f>
        <v/>
      </c>
      <c r="T224">
        <f>HYPERLINK("https://klasma.github.io/Logging_0980/kartor/A 28546-2023 karta.png", "A 28546-2023")</f>
        <v/>
      </c>
      <c r="V224">
        <f>HYPERLINK("https://klasma.github.io/Logging_0980/klagomål/A 28546-2023 FSC-klagomål.docx", "A 28546-2023")</f>
        <v/>
      </c>
      <c r="W224">
        <f>HYPERLINK("https://klasma.github.io/Logging_0980/klagomålsmail/A 28546-2023 FSC-klagomål mail.docx", "A 28546-2023")</f>
        <v/>
      </c>
      <c r="X224">
        <f>HYPERLINK("https://klasma.github.io/Logging_0980/tillsyn/A 28546-2023 tillsynsbegäran.docx", "A 28546-2023")</f>
        <v/>
      </c>
      <c r="Y224">
        <f>HYPERLINK("https://klasma.github.io/Logging_0980/tillsynsmail/A 28546-2023 tillsynsbegäran mail.docx", "A 28546-2023")</f>
        <v/>
      </c>
    </row>
    <row r="225" ht="15" customHeight="1">
      <c r="A225" t="inlineStr">
        <is>
          <t>A 35615-2023</t>
        </is>
      </c>
      <c r="B225" s="1" t="n">
        <v>45147</v>
      </c>
      <c r="C225" s="1" t="n">
        <v>45638</v>
      </c>
      <c r="D225" t="inlineStr">
        <is>
          <t>GOTLANDS LÄN</t>
        </is>
      </c>
      <c r="E225" t="inlineStr">
        <is>
          <t>GOTLAND</t>
        </is>
      </c>
      <c r="G225" t="n">
        <v>6.1</v>
      </c>
      <c r="H225" t="n">
        <v>0</v>
      </c>
      <c r="I225" t="n">
        <v>0</v>
      </c>
      <c r="J225" t="n">
        <v>1</v>
      </c>
      <c r="K225" t="n">
        <v>0</v>
      </c>
      <c r="L225" t="n">
        <v>0</v>
      </c>
      <c r="M225" t="n">
        <v>0</v>
      </c>
      <c r="N225" t="n">
        <v>0</v>
      </c>
      <c r="O225" t="n">
        <v>1</v>
      </c>
      <c r="P225" t="n">
        <v>0</v>
      </c>
      <c r="Q225" t="n">
        <v>1</v>
      </c>
      <c r="R225" s="2" t="inlineStr">
        <is>
          <t>Åkerranunkel</t>
        </is>
      </c>
      <c r="S225">
        <f>HYPERLINK("https://klasma.github.io/Logging_0980/artfynd/A 35615-2023 artfynd.xlsx", "A 35615-2023")</f>
        <v/>
      </c>
      <c r="T225">
        <f>HYPERLINK("https://klasma.github.io/Logging_0980/kartor/A 35615-2023 karta.png", "A 35615-2023")</f>
        <v/>
      </c>
      <c r="V225">
        <f>HYPERLINK("https://klasma.github.io/Logging_0980/klagomål/A 35615-2023 FSC-klagomål.docx", "A 35615-2023")</f>
        <v/>
      </c>
      <c r="W225">
        <f>HYPERLINK("https://klasma.github.io/Logging_0980/klagomålsmail/A 35615-2023 FSC-klagomål mail.docx", "A 35615-2023")</f>
        <v/>
      </c>
      <c r="X225">
        <f>HYPERLINK("https://klasma.github.io/Logging_0980/tillsyn/A 35615-2023 tillsynsbegäran.docx", "A 35615-2023")</f>
        <v/>
      </c>
      <c r="Y225">
        <f>HYPERLINK("https://klasma.github.io/Logging_0980/tillsynsmail/A 35615-2023 tillsynsbegäran mail.docx", "A 35615-2023")</f>
        <v/>
      </c>
    </row>
    <row r="226" ht="15" customHeight="1">
      <c r="A226" t="inlineStr">
        <is>
          <t>A 37584-2023</t>
        </is>
      </c>
      <c r="B226" s="1" t="n">
        <v>45159</v>
      </c>
      <c r="C226" s="1" t="n">
        <v>45638</v>
      </c>
      <c r="D226" t="inlineStr">
        <is>
          <t>GOTLANDS LÄN</t>
        </is>
      </c>
      <c r="E226" t="inlineStr">
        <is>
          <t>GOTLAND</t>
        </is>
      </c>
      <c r="G226" t="n">
        <v>5.4</v>
      </c>
      <c r="H226" t="n">
        <v>0</v>
      </c>
      <c r="I226" t="n">
        <v>1</v>
      </c>
      <c r="J226" t="n">
        <v>0</v>
      </c>
      <c r="K226" t="n">
        <v>0</v>
      </c>
      <c r="L226" t="n">
        <v>0</v>
      </c>
      <c r="M226" t="n">
        <v>0</v>
      </c>
      <c r="N226" t="n">
        <v>0</v>
      </c>
      <c r="O226" t="n">
        <v>0</v>
      </c>
      <c r="P226" t="n">
        <v>0</v>
      </c>
      <c r="Q226" t="n">
        <v>1</v>
      </c>
      <c r="R226" s="2" t="inlineStr">
        <is>
          <t>Myskmadra</t>
        </is>
      </c>
      <c r="S226">
        <f>HYPERLINK("https://klasma.github.io/Logging_0980/artfynd/A 37584-2023 artfynd.xlsx", "A 37584-2023")</f>
        <v/>
      </c>
      <c r="T226">
        <f>HYPERLINK("https://klasma.github.io/Logging_0980/kartor/A 37584-2023 karta.png", "A 37584-2023")</f>
        <v/>
      </c>
      <c r="V226">
        <f>HYPERLINK("https://klasma.github.io/Logging_0980/klagomål/A 37584-2023 FSC-klagomål.docx", "A 37584-2023")</f>
        <v/>
      </c>
      <c r="W226">
        <f>HYPERLINK("https://klasma.github.io/Logging_0980/klagomålsmail/A 37584-2023 FSC-klagomål mail.docx", "A 37584-2023")</f>
        <v/>
      </c>
      <c r="X226">
        <f>HYPERLINK("https://klasma.github.io/Logging_0980/tillsyn/A 37584-2023 tillsynsbegäran.docx", "A 37584-2023")</f>
        <v/>
      </c>
      <c r="Y226">
        <f>HYPERLINK("https://klasma.github.io/Logging_0980/tillsynsmail/A 37584-2023 tillsynsbegäran mail.docx", "A 37584-2023")</f>
        <v/>
      </c>
    </row>
    <row r="227" ht="15" customHeight="1">
      <c r="A227" t="inlineStr">
        <is>
          <t>A 42939-2023</t>
        </is>
      </c>
      <c r="B227" s="1" t="n">
        <v>45182</v>
      </c>
      <c r="C227" s="1" t="n">
        <v>45638</v>
      </c>
      <c r="D227" t="inlineStr">
        <is>
          <t>GOTLANDS LÄN</t>
        </is>
      </c>
      <c r="E227" t="inlineStr">
        <is>
          <t>GOTLAND</t>
        </is>
      </c>
      <c r="G227" t="n">
        <v>7.5</v>
      </c>
      <c r="H227" t="n">
        <v>0</v>
      </c>
      <c r="I227" t="n">
        <v>0</v>
      </c>
      <c r="J227" t="n">
        <v>0</v>
      </c>
      <c r="K227" t="n">
        <v>1</v>
      </c>
      <c r="L227" t="n">
        <v>0</v>
      </c>
      <c r="M227" t="n">
        <v>0</v>
      </c>
      <c r="N227" t="n">
        <v>0</v>
      </c>
      <c r="O227" t="n">
        <v>1</v>
      </c>
      <c r="P227" t="n">
        <v>1</v>
      </c>
      <c r="Q227" t="n">
        <v>1</v>
      </c>
      <c r="R227" s="2" t="inlineStr">
        <is>
          <t>Skogskorn</t>
        </is>
      </c>
      <c r="S227">
        <f>HYPERLINK("https://klasma.github.io/Logging_0980/artfynd/A 42939-2023 artfynd.xlsx", "A 42939-2023")</f>
        <v/>
      </c>
      <c r="T227">
        <f>HYPERLINK("https://klasma.github.io/Logging_0980/kartor/A 42939-2023 karta.png", "A 42939-2023")</f>
        <v/>
      </c>
      <c r="V227">
        <f>HYPERLINK("https://klasma.github.io/Logging_0980/klagomål/A 42939-2023 FSC-klagomål.docx", "A 42939-2023")</f>
        <v/>
      </c>
      <c r="W227">
        <f>HYPERLINK("https://klasma.github.io/Logging_0980/klagomålsmail/A 42939-2023 FSC-klagomål mail.docx", "A 42939-2023")</f>
        <v/>
      </c>
      <c r="X227">
        <f>HYPERLINK("https://klasma.github.io/Logging_0980/tillsyn/A 42939-2023 tillsynsbegäran.docx", "A 42939-2023")</f>
        <v/>
      </c>
      <c r="Y227">
        <f>HYPERLINK("https://klasma.github.io/Logging_0980/tillsynsmail/A 42939-2023 tillsynsbegäran mail.docx", "A 42939-2023")</f>
        <v/>
      </c>
    </row>
    <row r="228" ht="15" customHeight="1">
      <c r="A228" t="inlineStr">
        <is>
          <t>A 43219-2023</t>
        </is>
      </c>
      <c r="B228" s="1" t="n">
        <v>45183</v>
      </c>
      <c r="C228" s="1" t="n">
        <v>45638</v>
      </c>
      <c r="D228" t="inlineStr">
        <is>
          <t>GOTLANDS LÄN</t>
        </is>
      </c>
      <c r="E228" t="inlineStr">
        <is>
          <t>GOTLAND</t>
        </is>
      </c>
      <c r="G228" t="n">
        <v>3.6</v>
      </c>
      <c r="H228" t="n">
        <v>1</v>
      </c>
      <c r="I228" t="n">
        <v>0</v>
      </c>
      <c r="J228" t="n">
        <v>0</v>
      </c>
      <c r="K228" t="n">
        <v>0</v>
      </c>
      <c r="L228" t="n">
        <v>0</v>
      </c>
      <c r="M228" t="n">
        <v>0</v>
      </c>
      <c r="N228" t="n">
        <v>0</v>
      </c>
      <c r="O228" t="n">
        <v>0</v>
      </c>
      <c r="P228" t="n">
        <v>0</v>
      </c>
      <c r="Q228" t="n">
        <v>1</v>
      </c>
      <c r="R228" s="2" t="inlineStr">
        <is>
          <t>Skogsduva</t>
        </is>
      </c>
      <c r="S228">
        <f>HYPERLINK("https://klasma.github.io/Logging_0980/artfynd/A 43219-2023 artfynd.xlsx", "A 43219-2023")</f>
        <v/>
      </c>
      <c r="T228">
        <f>HYPERLINK("https://klasma.github.io/Logging_0980/kartor/A 43219-2023 karta.png", "A 43219-2023")</f>
        <v/>
      </c>
      <c r="V228">
        <f>HYPERLINK("https://klasma.github.io/Logging_0980/klagomål/A 43219-2023 FSC-klagomål.docx", "A 43219-2023")</f>
        <v/>
      </c>
      <c r="W228">
        <f>HYPERLINK("https://klasma.github.io/Logging_0980/klagomålsmail/A 43219-2023 FSC-klagomål mail.docx", "A 43219-2023")</f>
        <v/>
      </c>
      <c r="X228">
        <f>HYPERLINK("https://klasma.github.io/Logging_0980/tillsyn/A 43219-2023 tillsynsbegäran.docx", "A 43219-2023")</f>
        <v/>
      </c>
      <c r="Y228">
        <f>HYPERLINK("https://klasma.github.io/Logging_0980/tillsynsmail/A 43219-2023 tillsynsbegäran mail.docx", "A 43219-2023")</f>
        <v/>
      </c>
      <c r="Z228">
        <f>HYPERLINK("https://klasma.github.io/Logging_0980/fåglar/A 43219-2023 prioriterade fågelarter.docx", "A 43219-2023")</f>
        <v/>
      </c>
    </row>
    <row r="229" ht="15" customHeight="1">
      <c r="A229" t="inlineStr">
        <is>
          <t>A 46527-2023</t>
        </is>
      </c>
      <c r="B229" s="1" t="n">
        <v>45197</v>
      </c>
      <c r="C229" s="1" t="n">
        <v>45638</v>
      </c>
      <c r="D229" t="inlineStr">
        <is>
          <t>GOTLANDS LÄN</t>
        </is>
      </c>
      <c r="E229" t="inlineStr">
        <is>
          <t>GOTLAND</t>
        </is>
      </c>
      <c r="G229" t="n">
        <v>0.9</v>
      </c>
      <c r="H229" t="n">
        <v>0</v>
      </c>
      <c r="I229" t="n">
        <v>0</v>
      </c>
      <c r="J229" t="n">
        <v>1</v>
      </c>
      <c r="K229" t="n">
        <v>0</v>
      </c>
      <c r="L229" t="n">
        <v>0</v>
      </c>
      <c r="M229" t="n">
        <v>0</v>
      </c>
      <c r="N229" t="n">
        <v>0</v>
      </c>
      <c r="O229" t="n">
        <v>1</v>
      </c>
      <c r="P229" t="n">
        <v>0</v>
      </c>
      <c r="Q229" t="n">
        <v>1</v>
      </c>
      <c r="R229" s="2" t="inlineStr">
        <is>
          <t>Guldgräshoppa</t>
        </is>
      </c>
      <c r="S229">
        <f>HYPERLINK("https://klasma.github.io/Logging_0980/artfynd/A 46527-2023 artfynd.xlsx", "A 46527-2023")</f>
        <v/>
      </c>
      <c r="T229">
        <f>HYPERLINK("https://klasma.github.io/Logging_0980/kartor/A 46527-2023 karta.png", "A 46527-2023")</f>
        <v/>
      </c>
      <c r="V229">
        <f>HYPERLINK("https://klasma.github.io/Logging_0980/klagomål/A 46527-2023 FSC-klagomål.docx", "A 46527-2023")</f>
        <v/>
      </c>
      <c r="W229">
        <f>HYPERLINK("https://klasma.github.io/Logging_0980/klagomålsmail/A 46527-2023 FSC-klagomål mail.docx", "A 46527-2023")</f>
        <v/>
      </c>
      <c r="X229">
        <f>HYPERLINK("https://klasma.github.io/Logging_0980/tillsyn/A 46527-2023 tillsynsbegäran.docx", "A 46527-2023")</f>
        <v/>
      </c>
      <c r="Y229">
        <f>HYPERLINK("https://klasma.github.io/Logging_0980/tillsynsmail/A 46527-2023 tillsynsbegäran mail.docx", "A 46527-2023")</f>
        <v/>
      </c>
    </row>
    <row r="230" ht="15" customHeight="1">
      <c r="A230" t="inlineStr">
        <is>
          <t>A 49847-2023</t>
        </is>
      </c>
      <c r="B230" s="1" t="n">
        <v>45212</v>
      </c>
      <c r="C230" s="1" t="n">
        <v>45638</v>
      </c>
      <c r="D230" t="inlineStr">
        <is>
          <t>GOTLANDS LÄN</t>
        </is>
      </c>
      <c r="E230" t="inlineStr">
        <is>
          <t>GOTLAND</t>
        </is>
      </c>
      <c r="G230" t="n">
        <v>35.2</v>
      </c>
      <c r="H230" t="n">
        <v>0</v>
      </c>
      <c r="I230" t="n">
        <v>0</v>
      </c>
      <c r="J230" t="n">
        <v>0</v>
      </c>
      <c r="K230" t="n">
        <v>1</v>
      </c>
      <c r="L230" t="n">
        <v>0</v>
      </c>
      <c r="M230" t="n">
        <v>0</v>
      </c>
      <c r="N230" t="n">
        <v>0</v>
      </c>
      <c r="O230" t="n">
        <v>1</v>
      </c>
      <c r="P230" t="n">
        <v>1</v>
      </c>
      <c r="Q230" t="n">
        <v>1</v>
      </c>
      <c r="R230" s="2" t="inlineStr">
        <is>
          <t>Strandviol</t>
        </is>
      </c>
      <c r="S230">
        <f>HYPERLINK("https://klasma.github.io/Logging_0980/artfynd/A 49847-2023 artfynd.xlsx", "A 49847-2023")</f>
        <v/>
      </c>
      <c r="T230">
        <f>HYPERLINK("https://klasma.github.io/Logging_0980/kartor/A 49847-2023 karta.png", "A 49847-2023")</f>
        <v/>
      </c>
      <c r="V230">
        <f>HYPERLINK("https://klasma.github.io/Logging_0980/klagomål/A 49847-2023 FSC-klagomål.docx", "A 49847-2023")</f>
        <v/>
      </c>
      <c r="W230">
        <f>HYPERLINK("https://klasma.github.io/Logging_0980/klagomålsmail/A 49847-2023 FSC-klagomål mail.docx", "A 49847-2023")</f>
        <v/>
      </c>
      <c r="X230">
        <f>HYPERLINK("https://klasma.github.io/Logging_0980/tillsyn/A 49847-2023 tillsynsbegäran.docx", "A 49847-2023")</f>
        <v/>
      </c>
      <c r="Y230">
        <f>HYPERLINK("https://klasma.github.io/Logging_0980/tillsynsmail/A 49847-2023 tillsynsbegäran mail.docx", "A 49847-2023")</f>
        <v/>
      </c>
    </row>
    <row r="231" ht="15" customHeight="1">
      <c r="A231" t="inlineStr">
        <is>
          <t>A 53907-2023</t>
        </is>
      </c>
      <c r="B231" s="1" t="n">
        <v>45231</v>
      </c>
      <c r="C231" s="1" t="n">
        <v>45638</v>
      </c>
      <c r="D231" t="inlineStr">
        <is>
          <t>GOTLANDS LÄN</t>
        </is>
      </c>
      <c r="E231" t="inlineStr">
        <is>
          <t>GOTLAND</t>
        </is>
      </c>
      <c r="G231" t="n">
        <v>13.7</v>
      </c>
      <c r="H231" t="n">
        <v>0</v>
      </c>
      <c r="I231" t="n">
        <v>0</v>
      </c>
      <c r="J231" t="n">
        <v>0</v>
      </c>
      <c r="K231" t="n">
        <v>1</v>
      </c>
      <c r="L231" t="n">
        <v>0</v>
      </c>
      <c r="M231" t="n">
        <v>0</v>
      </c>
      <c r="N231" t="n">
        <v>0</v>
      </c>
      <c r="O231" t="n">
        <v>1</v>
      </c>
      <c r="P231" t="n">
        <v>1</v>
      </c>
      <c r="Q231" t="n">
        <v>1</v>
      </c>
      <c r="R231" s="2" t="inlineStr">
        <is>
          <t>Granrotspindling</t>
        </is>
      </c>
      <c r="S231">
        <f>HYPERLINK("https://klasma.github.io/Logging_0980/artfynd/A 53907-2023 artfynd.xlsx", "A 53907-2023")</f>
        <v/>
      </c>
      <c r="T231">
        <f>HYPERLINK("https://klasma.github.io/Logging_0980/kartor/A 53907-2023 karta.png", "A 53907-2023")</f>
        <v/>
      </c>
      <c r="V231">
        <f>HYPERLINK("https://klasma.github.io/Logging_0980/klagomål/A 53907-2023 FSC-klagomål.docx", "A 53907-2023")</f>
        <v/>
      </c>
      <c r="W231">
        <f>HYPERLINK("https://klasma.github.io/Logging_0980/klagomålsmail/A 53907-2023 FSC-klagomål mail.docx", "A 53907-2023")</f>
        <v/>
      </c>
      <c r="X231">
        <f>HYPERLINK("https://klasma.github.io/Logging_0980/tillsyn/A 53907-2023 tillsynsbegäran.docx", "A 53907-2023")</f>
        <v/>
      </c>
      <c r="Y231">
        <f>HYPERLINK("https://klasma.github.io/Logging_0980/tillsynsmail/A 53907-2023 tillsynsbegäran mail.docx", "A 53907-2023")</f>
        <v/>
      </c>
    </row>
    <row r="232" ht="15" customHeight="1">
      <c r="A232" t="inlineStr">
        <is>
          <t>A 56304-2023</t>
        </is>
      </c>
      <c r="B232" s="1" t="n">
        <v>45242</v>
      </c>
      <c r="C232" s="1" t="n">
        <v>45638</v>
      </c>
      <c r="D232" t="inlineStr">
        <is>
          <t>GOTLANDS LÄN</t>
        </is>
      </c>
      <c r="E232" t="inlineStr">
        <is>
          <t>GOTLAND</t>
        </is>
      </c>
      <c r="G232" t="n">
        <v>0.9</v>
      </c>
      <c r="H232" t="n">
        <v>1</v>
      </c>
      <c r="I232" t="n">
        <v>0</v>
      </c>
      <c r="J232" t="n">
        <v>0</v>
      </c>
      <c r="K232" t="n">
        <v>1</v>
      </c>
      <c r="L232" t="n">
        <v>0</v>
      </c>
      <c r="M232" t="n">
        <v>0</v>
      </c>
      <c r="N232" t="n">
        <v>0</v>
      </c>
      <c r="O232" t="n">
        <v>1</v>
      </c>
      <c r="P232" t="n">
        <v>1</v>
      </c>
      <c r="Q232" t="n">
        <v>1</v>
      </c>
      <c r="R232" s="2" t="inlineStr">
        <is>
          <t>Garderönn</t>
        </is>
      </c>
      <c r="S232">
        <f>HYPERLINK("https://klasma.github.io/Logging_0980/artfynd/A 56304-2023 artfynd.xlsx", "A 56304-2023")</f>
        <v/>
      </c>
      <c r="T232">
        <f>HYPERLINK("https://klasma.github.io/Logging_0980/kartor/A 56304-2023 karta.png", "A 56304-2023")</f>
        <v/>
      </c>
      <c r="V232">
        <f>HYPERLINK("https://klasma.github.io/Logging_0980/klagomål/A 56304-2023 FSC-klagomål.docx", "A 56304-2023")</f>
        <v/>
      </c>
      <c r="W232">
        <f>HYPERLINK("https://klasma.github.io/Logging_0980/klagomålsmail/A 56304-2023 FSC-klagomål mail.docx", "A 56304-2023")</f>
        <v/>
      </c>
      <c r="X232">
        <f>HYPERLINK("https://klasma.github.io/Logging_0980/tillsyn/A 56304-2023 tillsynsbegäran.docx", "A 56304-2023")</f>
        <v/>
      </c>
      <c r="Y232">
        <f>HYPERLINK("https://klasma.github.io/Logging_0980/tillsynsmail/A 56304-2023 tillsynsbegäran mail.docx", "A 56304-2023")</f>
        <v/>
      </c>
    </row>
    <row r="233" ht="15" customHeight="1">
      <c r="A233" t="inlineStr">
        <is>
          <t>A 61561-2023</t>
        </is>
      </c>
      <c r="B233" s="1" t="n">
        <v>45265</v>
      </c>
      <c r="C233" s="1" t="n">
        <v>45638</v>
      </c>
      <c r="D233" t="inlineStr">
        <is>
          <t>GOTLANDS LÄN</t>
        </is>
      </c>
      <c r="E233" t="inlineStr">
        <is>
          <t>GOTLAND</t>
        </is>
      </c>
      <c r="G233" t="n">
        <v>7.4</v>
      </c>
      <c r="H233" t="n">
        <v>0</v>
      </c>
      <c r="I233" t="n">
        <v>0</v>
      </c>
      <c r="J233" t="n">
        <v>1</v>
      </c>
      <c r="K233" t="n">
        <v>0</v>
      </c>
      <c r="L233" t="n">
        <v>0</v>
      </c>
      <c r="M233" t="n">
        <v>0</v>
      </c>
      <c r="N233" t="n">
        <v>0</v>
      </c>
      <c r="O233" t="n">
        <v>1</v>
      </c>
      <c r="P233" t="n">
        <v>0</v>
      </c>
      <c r="Q233" t="n">
        <v>1</v>
      </c>
      <c r="R233" s="2" t="inlineStr">
        <is>
          <t>Loppstarr</t>
        </is>
      </c>
      <c r="S233">
        <f>HYPERLINK("https://klasma.github.io/Logging_0980/artfynd/A 61561-2023 artfynd.xlsx", "A 61561-2023")</f>
        <v/>
      </c>
      <c r="T233">
        <f>HYPERLINK("https://klasma.github.io/Logging_0980/kartor/A 61561-2023 karta.png", "A 61561-2023")</f>
        <v/>
      </c>
      <c r="V233">
        <f>HYPERLINK("https://klasma.github.io/Logging_0980/klagomål/A 61561-2023 FSC-klagomål.docx", "A 61561-2023")</f>
        <v/>
      </c>
      <c r="W233">
        <f>HYPERLINK("https://klasma.github.io/Logging_0980/klagomålsmail/A 61561-2023 FSC-klagomål mail.docx", "A 61561-2023")</f>
        <v/>
      </c>
      <c r="X233">
        <f>HYPERLINK("https://klasma.github.io/Logging_0980/tillsyn/A 61561-2023 tillsynsbegäran.docx", "A 61561-2023")</f>
        <v/>
      </c>
      <c r="Y233">
        <f>HYPERLINK("https://klasma.github.io/Logging_0980/tillsynsmail/A 61561-2023 tillsynsbegäran mail.docx", "A 61561-2023")</f>
        <v/>
      </c>
    </row>
    <row r="234" ht="15" customHeight="1">
      <c r="A234" t="inlineStr">
        <is>
          <t>A 61846-2023</t>
        </is>
      </c>
      <c r="B234" s="1" t="n">
        <v>45266</v>
      </c>
      <c r="C234" s="1" t="n">
        <v>45638</v>
      </c>
      <c r="D234" t="inlineStr">
        <is>
          <t>GOTLANDS LÄN</t>
        </is>
      </c>
      <c r="E234" t="inlineStr">
        <is>
          <t>GOTLAND</t>
        </is>
      </c>
      <c r="G234" t="n">
        <v>2.2</v>
      </c>
      <c r="H234" t="n">
        <v>1</v>
      </c>
      <c r="I234" t="n">
        <v>0</v>
      </c>
      <c r="J234" t="n">
        <v>1</v>
      </c>
      <c r="K234" t="n">
        <v>0</v>
      </c>
      <c r="L234" t="n">
        <v>0</v>
      </c>
      <c r="M234" t="n">
        <v>0</v>
      </c>
      <c r="N234" t="n">
        <v>0</v>
      </c>
      <c r="O234" t="n">
        <v>1</v>
      </c>
      <c r="P234" t="n">
        <v>0</v>
      </c>
      <c r="Q234" t="n">
        <v>1</v>
      </c>
      <c r="R234" s="2" t="inlineStr">
        <is>
          <t>Rosenfink</t>
        </is>
      </c>
      <c r="S234">
        <f>HYPERLINK("https://klasma.github.io/Logging_0980/artfynd/A 61846-2023 artfynd.xlsx", "A 61846-2023")</f>
        <v/>
      </c>
      <c r="T234">
        <f>HYPERLINK("https://klasma.github.io/Logging_0980/kartor/A 61846-2023 karta.png", "A 61846-2023")</f>
        <v/>
      </c>
      <c r="V234">
        <f>HYPERLINK("https://klasma.github.io/Logging_0980/klagomål/A 61846-2023 FSC-klagomål.docx", "A 61846-2023")</f>
        <v/>
      </c>
      <c r="W234">
        <f>HYPERLINK("https://klasma.github.io/Logging_0980/klagomålsmail/A 61846-2023 FSC-klagomål mail.docx", "A 61846-2023")</f>
        <v/>
      </c>
      <c r="X234">
        <f>HYPERLINK("https://klasma.github.io/Logging_0980/tillsyn/A 61846-2023 tillsynsbegäran.docx", "A 61846-2023")</f>
        <v/>
      </c>
      <c r="Y234">
        <f>HYPERLINK("https://klasma.github.io/Logging_0980/tillsynsmail/A 61846-2023 tillsynsbegäran mail.docx", "A 61846-2023")</f>
        <v/>
      </c>
      <c r="Z234">
        <f>HYPERLINK("https://klasma.github.io/Logging_0980/fåglar/A 61846-2023 prioriterade fågelarter.docx", "A 61846-2023")</f>
        <v/>
      </c>
    </row>
    <row r="235" ht="15" customHeight="1">
      <c r="A235" t="inlineStr">
        <is>
          <t>A 61994-2023</t>
        </is>
      </c>
      <c r="B235" s="1" t="n">
        <v>45266</v>
      </c>
      <c r="C235" s="1" t="n">
        <v>45638</v>
      </c>
      <c r="D235" t="inlineStr">
        <is>
          <t>GOTLANDS LÄN</t>
        </is>
      </c>
      <c r="E235" t="inlineStr">
        <is>
          <t>GOTLAND</t>
        </is>
      </c>
      <c r="G235" t="n">
        <v>2.9</v>
      </c>
      <c r="H235" t="n">
        <v>1</v>
      </c>
      <c r="I235" t="n">
        <v>0</v>
      </c>
      <c r="J235" t="n">
        <v>0</v>
      </c>
      <c r="K235" t="n">
        <v>0</v>
      </c>
      <c r="L235" t="n">
        <v>0</v>
      </c>
      <c r="M235" t="n">
        <v>0</v>
      </c>
      <c r="N235" t="n">
        <v>0</v>
      </c>
      <c r="O235" t="n">
        <v>0</v>
      </c>
      <c r="P235" t="n">
        <v>0</v>
      </c>
      <c r="Q235" t="n">
        <v>1</v>
      </c>
      <c r="R235" s="2" t="inlineStr">
        <is>
          <t>Revlummer</t>
        </is>
      </c>
      <c r="S235">
        <f>HYPERLINK("https://klasma.github.io/Logging_0980/artfynd/A 61994-2023 artfynd.xlsx", "A 61994-2023")</f>
        <v/>
      </c>
      <c r="T235">
        <f>HYPERLINK("https://klasma.github.io/Logging_0980/kartor/A 61994-2023 karta.png", "A 61994-2023")</f>
        <v/>
      </c>
      <c r="V235">
        <f>HYPERLINK("https://klasma.github.io/Logging_0980/klagomål/A 61994-2023 FSC-klagomål.docx", "A 61994-2023")</f>
        <v/>
      </c>
      <c r="W235">
        <f>HYPERLINK("https://klasma.github.io/Logging_0980/klagomålsmail/A 61994-2023 FSC-klagomål mail.docx", "A 61994-2023")</f>
        <v/>
      </c>
      <c r="X235">
        <f>HYPERLINK("https://klasma.github.io/Logging_0980/tillsyn/A 61994-2023 tillsynsbegäran.docx", "A 61994-2023")</f>
        <v/>
      </c>
      <c r="Y235">
        <f>HYPERLINK("https://klasma.github.io/Logging_0980/tillsynsmail/A 61994-2023 tillsynsbegäran mail.docx", "A 61994-2023")</f>
        <v/>
      </c>
    </row>
    <row r="236" ht="15" customHeight="1">
      <c r="A236" t="inlineStr">
        <is>
          <t>A 62376-2023</t>
        </is>
      </c>
      <c r="B236" s="1" t="n">
        <v>45268</v>
      </c>
      <c r="C236" s="1" t="n">
        <v>45638</v>
      </c>
      <c r="D236" t="inlineStr">
        <is>
          <t>GOTLANDS LÄN</t>
        </is>
      </c>
      <c r="E236" t="inlineStr">
        <is>
          <t>GOTLAND</t>
        </is>
      </c>
      <c r="G236" t="n">
        <v>4.2</v>
      </c>
      <c r="H236" t="n">
        <v>1</v>
      </c>
      <c r="I236" t="n">
        <v>0</v>
      </c>
      <c r="J236" t="n">
        <v>0</v>
      </c>
      <c r="K236" t="n">
        <v>0</v>
      </c>
      <c r="L236" t="n">
        <v>0</v>
      </c>
      <c r="M236" t="n">
        <v>0</v>
      </c>
      <c r="N236" t="n">
        <v>0</v>
      </c>
      <c r="O236" t="n">
        <v>0</v>
      </c>
      <c r="P236" t="n">
        <v>0</v>
      </c>
      <c r="Q236" t="n">
        <v>1</v>
      </c>
      <c r="R236" s="2" t="inlineStr">
        <is>
          <t>Fläcknycklar</t>
        </is>
      </c>
      <c r="S236">
        <f>HYPERLINK("https://klasma.github.io/Logging_0980/artfynd/A 62376-2023 artfynd.xlsx", "A 62376-2023")</f>
        <v/>
      </c>
      <c r="T236">
        <f>HYPERLINK("https://klasma.github.io/Logging_0980/kartor/A 62376-2023 karta.png", "A 62376-2023")</f>
        <v/>
      </c>
      <c r="V236">
        <f>HYPERLINK("https://klasma.github.io/Logging_0980/klagomål/A 62376-2023 FSC-klagomål.docx", "A 62376-2023")</f>
        <v/>
      </c>
      <c r="W236">
        <f>HYPERLINK("https://klasma.github.io/Logging_0980/klagomålsmail/A 62376-2023 FSC-klagomål mail.docx", "A 62376-2023")</f>
        <v/>
      </c>
      <c r="X236">
        <f>HYPERLINK("https://klasma.github.io/Logging_0980/tillsyn/A 62376-2023 tillsynsbegäran.docx", "A 62376-2023")</f>
        <v/>
      </c>
      <c r="Y236">
        <f>HYPERLINK("https://klasma.github.io/Logging_0980/tillsynsmail/A 62376-2023 tillsynsbegäran mail.docx", "A 62376-2023")</f>
        <v/>
      </c>
    </row>
    <row r="237" ht="15" customHeight="1">
      <c r="A237" t="inlineStr">
        <is>
          <t>A 63515-2023</t>
        </is>
      </c>
      <c r="B237" s="1" t="n">
        <v>45274</v>
      </c>
      <c r="C237" s="1" t="n">
        <v>45638</v>
      </c>
      <c r="D237" t="inlineStr">
        <is>
          <t>GOTLANDS LÄN</t>
        </is>
      </c>
      <c r="E237" t="inlineStr">
        <is>
          <t>GOTLAND</t>
        </is>
      </c>
      <c r="G237" t="n">
        <v>2.1</v>
      </c>
      <c r="H237" t="n">
        <v>1</v>
      </c>
      <c r="I237" t="n">
        <v>0</v>
      </c>
      <c r="J237" t="n">
        <v>1</v>
      </c>
      <c r="K237" t="n">
        <v>0</v>
      </c>
      <c r="L237" t="n">
        <v>0</v>
      </c>
      <c r="M237" t="n">
        <v>0</v>
      </c>
      <c r="N237" t="n">
        <v>0</v>
      </c>
      <c r="O237" t="n">
        <v>1</v>
      </c>
      <c r="P237" t="n">
        <v>0</v>
      </c>
      <c r="Q237" t="n">
        <v>1</v>
      </c>
      <c r="R237" s="2" t="inlineStr">
        <is>
          <t>Dårgräsfjäril</t>
        </is>
      </c>
      <c r="S237">
        <f>HYPERLINK("https://klasma.github.io/Logging_0980/artfynd/A 63515-2023 artfynd.xlsx", "A 63515-2023")</f>
        <v/>
      </c>
      <c r="T237">
        <f>HYPERLINK("https://klasma.github.io/Logging_0980/kartor/A 63515-2023 karta.png", "A 63515-2023")</f>
        <v/>
      </c>
      <c r="V237">
        <f>HYPERLINK("https://klasma.github.io/Logging_0980/klagomål/A 63515-2023 FSC-klagomål.docx", "A 63515-2023")</f>
        <v/>
      </c>
      <c r="W237">
        <f>HYPERLINK("https://klasma.github.io/Logging_0980/klagomålsmail/A 63515-2023 FSC-klagomål mail.docx", "A 63515-2023")</f>
        <v/>
      </c>
      <c r="X237">
        <f>HYPERLINK("https://klasma.github.io/Logging_0980/tillsyn/A 63515-2023 tillsynsbegäran.docx", "A 63515-2023")</f>
        <v/>
      </c>
      <c r="Y237">
        <f>HYPERLINK("https://klasma.github.io/Logging_0980/tillsynsmail/A 63515-2023 tillsynsbegäran mail.docx", "A 63515-2023")</f>
        <v/>
      </c>
    </row>
    <row r="238" ht="15" customHeight="1">
      <c r="A238" t="inlineStr">
        <is>
          <t>A 63302-2023</t>
        </is>
      </c>
      <c r="B238" s="1" t="n">
        <v>45274</v>
      </c>
      <c r="C238" s="1" t="n">
        <v>45638</v>
      </c>
      <c r="D238" t="inlineStr">
        <is>
          <t>GOTLANDS LÄN</t>
        </is>
      </c>
      <c r="E238" t="inlineStr">
        <is>
          <t>GOTLAND</t>
        </is>
      </c>
      <c r="G238" t="n">
        <v>1.3</v>
      </c>
      <c r="H238" t="n">
        <v>1</v>
      </c>
      <c r="I238" t="n">
        <v>0</v>
      </c>
      <c r="J238" t="n">
        <v>0</v>
      </c>
      <c r="K238" t="n">
        <v>0</v>
      </c>
      <c r="L238" t="n">
        <v>0</v>
      </c>
      <c r="M238" t="n">
        <v>0</v>
      </c>
      <c r="N238" t="n">
        <v>0</v>
      </c>
      <c r="O238" t="n">
        <v>0</v>
      </c>
      <c r="P238" t="n">
        <v>0</v>
      </c>
      <c r="Q238" t="n">
        <v>1</v>
      </c>
      <c r="R238" s="2" t="inlineStr">
        <is>
          <t>Nattskärra</t>
        </is>
      </c>
      <c r="S238">
        <f>HYPERLINK("https://klasma.github.io/Logging_0980/artfynd/A 63302-2023 artfynd.xlsx", "A 63302-2023")</f>
        <v/>
      </c>
      <c r="T238">
        <f>HYPERLINK("https://klasma.github.io/Logging_0980/kartor/A 63302-2023 karta.png", "A 63302-2023")</f>
        <v/>
      </c>
      <c r="V238">
        <f>HYPERLINK("https://klasma.github.io/Logging_0980/klagomål/A 63302-2023 FSC-klagomål.docx", "A 63302-2023")</f>
        <v/>
      </c>
      <c r="W238">
        <f>HYPERLINK("https://klasma.github.io/Logging_0980/klagomålsmail/A 63302-2023 FSC-klagomål mail.docx", "A 63302-2023")</f>
        <v/>
      </c>
      <c r="X238">
        <f>HYPERLINK("https://klasma.github.io/Logging_0980/tillsyn/A 63302-2023 tillsynsbegäran.docx", "A 63302-2023")</f>
        <v/>
      </c>
      <c r="Y238">
        <f>HYPERLINK("https://klasma.github.io/Logging_0980/tillsynsmail/A 63302-2023 tillsynsbegäran mail.docx", "A 63302-2023")</f>
        <v/>
      </c>
      <c r="Z238">
        <f>HYPERLINK("https://klasma.github.io/Logging_0980/fåglar/A 63302-2023 prioriterade fågelarter.docx", "A 63302-2023")</f>
        <v/>
      </c>
    </row>
    <row r="239" ht="15" customHeight="1">
      <c r="A239" t="inlineStr">
        <is>
          <t>A 2534-2024</t>
        </is>
      </c>
      <c r="B239" s="1" t="n">
        <v>45313</v>
      </c>
      <c r="C239" s="1" t="n">
        <v>45638</v>
      </c>
      <c r="D239" t="inlineStr">
        <is>
          <t>GOTLANDS LÄN</t>
        </is>
      </c>
      <c r="E239" t="inlineStr">
        <is>
          <t>GOTLAND</t>
        </is>
      </c>
      <c r="G239" t="n">
        <v>1</v>
      </c>
      <c r="H239" t="n">
        <v>0</v>
      </c>
      <c r="I239" t="n">
        <v>0</v>
      </c>
      <c r="J239" t="n">
        <v>0</v>
      </c>
      <c r="K239" t="n">
        <v>0</v>
      </c>
      <c r="L239" t="n">
        <v>1</v>
      </c>
      <c r="M239" t="n">
        <v>0</v>
      </c>
      <c r="N239" t="n">
        <v>0</v>
      </c>
      <c r="O239" t="n">
        <v>1</v>
      </c>
      <c r="P239" t="n">
        <v>1</v>
      </c>
      <c r="Q239" t="n">
        <v>1</v>
      </c>
      <c r="R239" s="2" t="inlineStr">
        <is>
          <t>Ryl</t>
        </is>
      </c>
      <c r="S239">
        <f>HYPERLINK("https://klasma.github.io/Logging_0980/artfynd/A 2534-2024 artfynd.xlsx", "A 2534-2024")</f>
        <v/>
      </c>
      <c r="T239">
        <f>HYPERLINK("https://klasma.github.io/Logging_0980/kartor/A 2534-2024 karta.png", "A 2534-2024")</f>
        <v/>
      </c>
      <c r="V239">
        <f>HYPERLINK("https://klasma.github.io/Logging_0980/klagomål/A 2534-2024 FSC-klagomål.docx", "A 2534-2024")</f>
        <v/>
      </c>
      <c r="W239">
        <f>HYPERLINK("https://klasma.github.io/Logging_0980/klagomålsmail/A 2534-2024 FSC-klagomål mail.docx", "A 2534-2024")</f>
        <v/>
      </c>
      <c r="X239">
        <f>HYPERLINK("https://klasma.github.io/Logging_0980/tillsyn/A 2534-2024 tillsynsbegäran.docx", "A 2534-2024")</f>
        <v/>
      </c>
      <c r="Y239">
        <f>HYPERLINK("https://klasma.github.io/Logging_0980/tillsynsmail/A 2534-2024 tillsynsbegäran mail.docx", "A 2534-2024")</f>
        <v/>
      </c>
    </row>
    <row r="240" ht="15" customHeight="1">
      <c r="A240" t="inlineStr">
        <is>
          <t>A 6303-2024</t>
        </is>
      </c>
      <c r="B240" s="1" t="n">
        <v>45338</v>
      </c>
      <c r="C240" s="1" t="n">
        <v>45638</v>
      </c>
      <c r="D240" t="inlineStr">
        <is>
          <t>GOTLANDS LÄN</t>
        </is>
      </c>
      <c r="E240" t="inlineStr">
        <is>
          <t>GOTLAND</t>
        </is>
      </c>
      <c r="G240" t="n">
        <v>0.6</v>
      </c>
      <c r="H240" t="n">
        <v>0</v>
      </c>
      <c r="I240" t="n">
        <v>1</v>
      </c>
      <c r="J240" t="n">
        <v>0</v>
      </c>
      <c r="K240" t="n">
        <v>0</v>
      </c>
      <c r="L240" t="n">
        <v>0</v>
      </c>
      <c r="M240" t="n">
        <v>0</v>
      </c>
      <c r="N240" t="n">
        <v>0</v>
      </c>
      <c r="O240" t="n">
        <v>0</v>
      </c>
      <c r="P240" t="n">
        <v>0</v>
      </c>
      <c r="Q240" t="n">
        <v>1</v>
      </c>
      <c r="R240" s="2" t="inlineStr">
        <is>
          <t>Strävlosta</t>
        </is>
      </c>
      <c r="S240">
        <f>HYPERLINK("https://klasma.github.io/Logging_0980/artfynd/A 6303-2024 artfynd.xlsx", "A 6303-2024")</f>
        <v/>
      </c>
      <c r="T240">
        <f>HYPERLINK("https://klasma.github.io/Logging_0980/kartor/A 6303-2024 karta.png", "A 6303-2024")</f>
        <v/>
      </c>
      <c r="V240">
        <f>HYPERLINK("https://klasma.github.io/Logging_0980/klagomål/A 6303-2024 FSC-klagomål.docx", "A 6303-2024")</f>
        <v/>
      </c>
      <c r="W240">
        <f>HYPERLINK("https://klasma.github.io/Logging_0980/klagomålsmail/A 6303-2024 FSC-klagomål mail.docx", "A 6303-2024")</f>
        <v/>
      </c>
      <c r="X240">
        <f>HYPERLINK("https://klasma.github.io/Logging_0980/tillsyn/A 6303-2024 tillsynsbegäran.docx", "A 6303-2024")</f>
        <v/>
      </c>
      <c r="Y240">
        <f>HYPERLINK("https://klasma.github.io/Logging_0980/tillsynsmail/A 6303-2024 tillsynsbegäran mail.docx", "A 6303-2024")</f>
        <v/>
      </c>
    </row>
    <row r="241" ht="15" customHeight="1">
      <c r="A241" t="inlineStr">
        <is>
          <t>A 8291-2024</t>
        </is>
      </c>
      <c r="B241" s="1" t="n">
        <v>45352</v>
      </c>
      <c r="C241" s="1" t="n">
        <v>45638</v>
      </c>
      <c r="D241" t="inlineStr">
        <is>
          <t>GOTLANDS LÄN</t>
        </is>
      </c>
      <c r="E241" t="inlineStr">
        <is>
          <t>GOTLAND</t>
        </is>
      </c>
      <c r="G241" t="n">
        <v>5.4</v>
      </c>
      <c r="H241" t="n">
        <v>1</v>
      </c>
      <c r="I241" t="n">
        <v>0</v>
      </c>
      <c r="J241" t="n">
        <v>1</v>
      </c>
      <c r="K241" t="n">
        <v>0</v>
      </c>
      <c r="L241" t="n">
        <v>0</v>
      </c>
      <c r="M241" t="n">
        <v>0</v>
      </c>
      <c r="N241" t="n">
        <v>0</v>
      </c>
      <c r="O241" t="n">
        <v>1</v>
      </c>
      <c r="P241" t="n">
        <v>0</v>
      </c>
      <c r="Q241" t="n">
        <v>1</v>
      </c>
      <c r="R241" s="2" t="inlineStr">
        <is>
          <t>Ärtsångare</t>
        </is>
      </c>
      <c r="S241">
        <f>HYPERLINK("https://klasma.github.io/Logging_0980/artfynd/A 8291-2024 artfynd.xlsx", "A 8291-2024")</f>
        <v/>
      </c>
      <c r="T241">
        <f>HYPERLINK("https://klasma.github.io/Logging_0980/kartor/A 8291-2024 karta.png", "A 8291-2024")</f>
        <v/>
      </c>
      <c r="V241">
        <f>HYPERLINK("https://klasma.github.io/Logging_0980/klagomål/A 8291-2024 FSC-klagomål.docx", "A 8291-2024")</f>
        <v/>
      </c>
      <c r="W241">
        <f>HYPERLINK("https://klasma.github.io/Logging_0980/klagomålsmail/A 8291-2024 FSC-klagomål mail.docx", "A 8291-2024")</f>
        <v/>
      </c>
      <c r="X241">
        <f>HYPERLINK("https://klasma.github.io/Logging_0980/tillsyn/A 8291-2024 tillsynsbegäran.docx", "A 8291-2024")</f>
        <v/>
      </c>
      <c r="Y241">
        <f>HYPERLINK("https://klasma.github.io/Logging_0980/tillsynsmail/A 8291-2024 tillsynsbegäran mail.docx", "A 8291-2024")</f>
        <v/>
      </c>
      <c r="Z241">
        <f>HYPERLINK("https://klasma.github.io/Logging_0980/fåglar/A 8291-2024 prioriterade fågelarter.docx", "A 8291-2024")</f>
        <v/>
      </c>
    </row>
    <row r="242" ht="15" customHeight="1">
      <c r="A242" t="inlineStr">
        <is>
          <t>A 9862-2024</t>
        </is>
      </c>
      <c r="B242" s="1" t="n">
        <v>45363</v>
      </c>
      <c r="C242" s="1" t="n">
        <v>45638</v>
      </c>
      <c r="D242" t="inlineStr">
        <is>
          <t>GOTLANDS LÄN</t>
        </is>
      </c>
      <c r="E242" t="inlineStr">
        <is>
          <t>GOTLAND</t>
        </is>
      </c>
      <c r="G242" t="n">
        <v>3.5</v>
      </c>
      <c r="H242" t="n">
        <v>1</v>
      </c>
      <c r="I242" t="n">
        <v>0</v>
      </c>
      <c r="J242" t="n">
        <v>0</v>
      </c>
      <c r="K242" t="n">
        <v>0</v>
      </c>
      <c r="L242" t="n">
        <v>0</v>
      </c>
      <c r="M242" t="n">
        <v>0</v>
      </c>
      <c r="N242" t="n">
        <v>0</v>
      </c>
      <c r="O242" t="n">
        <v>0</v>
      </c>
      <c r="P242" t="n">
        <v>0</v>
      </c>
      <c r="Q242" t="n">
        <v>1</v>
      </c>
      <c r="R242" s="2" t="inlineStr">
        <is>
          <t>Nattviol</t>
        </is>
      </c>
      <c r="S242">
        <f>HYPERLINK("https://klasma.github.io/Logging_0980/artfynd/A 9862-2024 artfynd.xlsx", "A 9862-2024")</f>
        <v/>
      </c>
      <c r="T242">
        <f>HYPERLINK("https://klasma.github.io/Logging_0980/kartor/A 9862-2024 karta.png", "A 9862-2024")</f>
        <v/>
      </c>
      <c r="V242">
        <f>HYPERLINK("https://klasma.github.io/Logging_0980/klagomål/A 9862-2024 FSC-klagomål.docx", "A 9862-2024")</f>
        <v/>
      </c>
      <c r="W242">
        <f>HYPERLINK("https://klasma.github.io/Logging_0980/klagomålsmail/A 9862-2024 FSC-klagomål mail.docx", "A 9862-2024")</f>
        <v/>
      </c>
      <c r="X242">
        <f>HYPERLINK("https://klasma.github.io/Logging_0980/tillsyn/A 9862-2024 tillsynsbegäran.docx", "A 9862-2024")</f>
        <v/>
      </c>
      <c r="Y242">
        <f>HYPERLINK("https://klasma.github.io/Logging_0980/tillsynsmail/A 9862-2024 tillsynsbegäran mail.docx", "A 9862-2024")</f>
        <v/>
      </c>
    </row>
    <row r="243" ht="15" customHeight="1">
      <c r="A243" t="inlineStr">
        <is>
          <t>A 10440-2024</t>
        </is>
      </c>
      <c r="B243" s="1" t="n">
        <v>45366</v>
      </c>
      <c r="C243" s="1" t="n">
        <v>45638</v>
      </c>
      <c r="D243" t="inlineStr">
        <is>
          <t>GOTLANDS LÄN</t>
        </is>
      </c>
      <c r="E243" t="inlineStr">
        <is>
          <t>GOTLAND</t>
        </is>
      </c>
      <c r="G243" t="n">
        <v>2.5</v>
      </c>
      <c r="H243" t="n">
        <v>1</v>
      </c>
      <c r="I243" t="n">
        <v>0</v>
      </c>
      <c r="J243" t="n">
        <v>1</v>
      </c>
      <c r="K243" t="n">
        <v>0</v>
      </c>
      <c r="L243" t="n">
        <v>0</v>
      </c>
      <c r="M243" t="n">
        <v>0</v>
      </c>
      <c r="N243" t="n">
        <v>0</v>
      </c>
      <c r="O243" t="n">
        <v>1</v>
      </c>
      <c r="P243" t="n">
        <v>0</v>
      </c>
      <c r="Q243" t="n">
        <v>1</v>
      </c>
      <c r="R243" s="2" t="inlineStr">
        <is>
          <t>Mindre hackspett</t>
        </is>
      </c>
      <c r="S243">
        <f>HYPERLINK("https://klasma.github.io/Logging_0980/artfynd/A 10440-2024 artfynd.xlsx", "A 10440-2024")</f>
        <v/>
      </c>
      <c r="T243">
        <f>HYPERLINK("https://klasma.github.io/Logging_0980/kartor/A 10440-2024 karta.png", "A 10440-2024")</f>
        <v/>
      </c>
      <c r="V243">
        <f>HYPERLINK("https://klasma.github.io/Logging_0980/klagomål/A 10440-2024 FSC-klagomål.docx", "A 10440-2024")</f>
        <v/>
      </c>
      <c r="W243">
        <f>HYPERLINK("https://klasma.github.io/Logging_0980/klagomålsmail/A 10440-2024 FSC-klagomål mail.docx", "A 10440-2024")</f>
        <v/>
      </c>
      <c r="X243">
        <f>HYPERLINK("https://klasma.github.io/Logging_0980/tillsyn/A 10440-2024 tillsynsbegäran.docx", "A 10440-2024")</f>
        <v/>
      </c>
      <c r="Y243">
        <f>HYPERLINK("https://klasma.github.io/Logging_0980/tillsynsmail/A 10440-2024 tillsynsbegäran mail.docx", "A 10440-2024")</f>
        <v/>
      </c>
      <c r="Z243">
        <f>HYPERLINK("https://klasma.github.io/Logging_0980/fåglar/A 10440-2024 prioriterade fågelarter.docx", "A 10440-2024")</f>
        <v/>
      </c>
    </row>
    <row r="244" ht="15" customHeight="1">
      <c r="A244" t="inlineStr">
        <is>
          <t>A 12379-2024</t>
        </is>
      </c>
      <c r="B244" s="1" t="n">
        <v>45379</v>
      </c>
      <c r="C244" s="1" t="n">
        <v>45638</v>
      </c>
      <c r="D244" t="inlineStr">
        <is>
          <t>GOTLANDS LÄN</t>
        </is>
      </c>
      <c r="E244" t="inlineStr">
        <is>
          <t>GOTLAND</t>
        </is>
      </c>
      <c r="G244" t="n">
        <v>4.4</v>
      </c>
      <c r="H244" t="n">
        <v>0</v>
      </c>
      <c r="I244" t="n">
        <v>0</v>
      </c>
      <c r="J244" t="n">
        <v>1</v>
      </c>
      <c r="K244" t="n">
        <v>0</v>
      </c>
      <c r="L244" t="n">
        <v>0</v>
      </c>
      <c r="M244" t="n">
        <v>0</v>
      </c>
      <c r="N244" t="n">
        <v>0</v>
      </c>
      <c r="O244" t="n">
        <v>1</v>
      </c>
      <c r="P244" t="n">
        <v>0</v>
      </c>
      <c r="Q244" t="n">
        <v>1</v>
      </c>
      <c r="R244" s="2" t="inlineStr">
        <is>
          <t>Svinrot</t>
        </is>
      </c>
      <c r="S244">
        <f>HYPERLINK("https://klasma.github.io/Logging_0980/artfynd/A 12379-2024 artfynd.xlsx", "A 12379-2024")</f>
        <v/>
      </c>
      <c r="T244">
        <f>HYPERLINK("https://klasma.github.io/Logging_0980/kartor/A 12379-2024 karta.png", "A 12379-2024")</f>
        <v/>
      </c>
      <c r="V244">
        <f>HYPERLINK("https://klasma.github.io/Logging_0980/klagomål/A 12379-2024 FSC-klagomål.docx", "A 12379-2024")</f>
        <v/>
      </c>
      <c r="W244">
        <f>HYPERLINK("https://klasma.github.io/Logging_0980/klagomålsmail/A 12379-2024 FSC-klagomål mail.docx", "A 12379-2024")</f>
        <v/>
      </c>
      <c r="X244">
        <f>HYPERLINK("https://klasma.github.io/Logging_0980/tillsyn/A 12379-2024 tillsynsbegäran.docx", "A 12379-2024")</f>
        <v/>
      </c>
      <c r="Y244">
        <f>HYPERLINK("https://klasma.github.io/Logging_0980/tillsynsmail/A 12379-2024 tillsynsbegäran mail.docx", "A 12379-2024")</f>
        <v/>
      </c>
    </row>
    <row r="245" ht="15" customHeight="1">
      <c r="A245" t="inlineStr">
        <is>
          <t>A 15629-2024</t>
        </is>
      </c>
      <c r="B245" s="1" t="n">
        <v>45402</v>
      </c>
      <c r="C245" s="1" t="n">
        <v>45638</v>
      </c>
      <c r="D245" t="inlineStr">
        <is>
          <t>GOTLANDS LÄN</t>
        </is>
      </c>
      <c r="E245" t="inlineStr">
        <is>
          <t>GOTLAND</t>
        </is>
      </c>
      <c r="G245" t="n">
        <v>6.3</v>
      </c>
      <c r="H245" t="n">
        <v>1</v>
      </c>
      <c r="I245" t="n">
        <v>0</v>
      </c>
      <c r="J245" t="n">
        <v>1</v>
      </c>
      <c r="K245" t="n">
        <v>0</v>
      </c>
      <c r="L245" t="n">
        <v>0</v>
      </c>
      <c r="M245" t="n">
        <v>0</v>
      </c>
      <c r="N245" t="n">
        <v>0</v>
      </c>
      <c r="O245" t="n">
        <v>1</v>
      </c>
      <c r="P245" t="n">
        <v>0</v>
      </c>
      <c r="Q245" t="n">
        <v>1</v>
      </c>
      <c r="R245" s="2" t="inlineStr">
        <is>
          <t>Apollofjäril</t>
        </is>
      </c>
      <c r="S245">
        <f>HYPERLINK("https://klasma.github.io/Logging_0980/artfynd/A 15629-2024 artfynd.xlsx", "A 15629-2024")</f>
        <v/>
      </c>
      <c r="T245">
        <f>HYPERLINK("https://klasma.github.io/Logging_0980/kartor/A 15629-2024 karta.png", "A 15629-2024")</f>
        <v/>
      </c>
      <c r="V245">
        <f>HYPERLINK("https://klasma.github.io/Logging_0980/klagomål/A 15629-2024 FSC-klagomål.docx", "A 15629-2024")</f>
        <v/>
      </c>
      <c r="W245">
        <f>HYPERLINK("https://klasma.github.io/Logging_0980/klagomålsmail/A 15629-2024 FSC-klagomål mail.docx", "A 15629-2024")</f>
        <v/>
      </c>
      <c r="X245">
        <f>HYPERLINK("https://klasma.github.io/Logging_0980/tillsyn/A 15629-2024 tillsynsbegäran.docx", "A 15629-2024")</f>
        <v/>
      </c>
      <c r="Y245">
        <f>HYPERLINK("https://klasma.github.io/Logging_0980/tillsynsmail/A 15629-2024 tillsynsbegäran mail.docx", "A 15629-2024")</f>
        <v/>
      </c>
    </row>
    <row r="246" ht="15" customHeight="1">
      <c r="A246" t="inlineStr">
        <is>
          <t>A 15637-2024</t>
        </is>
      </c>
      <c r="B246" s="1" t="n">
        <v>45403</v>
      </c>
      <c r="C246" s="1" t="n">
        <v>45638</v>
      </c>
      <c r="D246" t="inlineStr">
        <is>
          <t>GOTLANDS LÄN</t>
        </is>
      </c>
      <c r="E246" t="inlineStr">
        <is>
          <t>GOTLAND</t>
        </is>
      </c>
      <c r="G246" t="n">
        <v>4.1</v>
      </c>
      <c r="H246" t="n">
        <v>1</v>
      </c>
      <c r="I246" t="n">
        <v>0</v>
      </c>
      <c r="J246" t="n">
        <v>0</v>
      </c>
      <c r="K246" t="n">
        <v>0</v>
      </c>
      <c r="L246" t="n">
        <v>0</v>
      </c>
      <c r="M246" t="n">
        <v>0</v>
      </c>
      <c r="N246" t="n">
        <v>0</v>
      </c>
      <c r="O246" t="n">
        <v>0</v>
      </c>
      <c r="P246" t="n">
        <v>0</v>
      </c>
      <c r="Q246" t="n">
        <v>1</v>
      </c>
      <c r="R246" s="2" t="inlineStr">
        <is>
          <t>Blåsippa</t>
        </is>
      </c>
      <c r="S246">
        <f>HYPERLINK("https://klasma.github.io/Logging_0980/artfynd/A 15637-2024 artfynd.xlsx", "A 15637-2024")</f>
        <v/>
      </c>
      <c r="T246">
        <f>HYPERLINK("https://klasma.github.io/Logging_0980/kartor/A 15637-2024 karta.png", "A 15637-2024")</f>
        <v/>
      </c>
      <c r="V246">
        <f>HYPERLINK("https://klasma.github.io/Logging_0980/klagomål/A 15637-2024 FSC-klagomål.docx", "A 15637-2024")</f>
        <v/>
      </c>
      <c r="W246">
        <f>HYPERLINK("https://klasma.github.io/Logging_0980/klagomålsmail/A 15637-2024 FSC-klagomål mail.docx", "A 15637-2024")</f>
        <v/>
      </c>
      <c r="X246">
        <f>HYPERLINK("https://klasma.github.io/Logging_0980/tillsyn/A 15637-2024 tillsynsbegäran.docx", "A 15637-2024")</f>
        <v/>
      </c>
      <c r="Y246">
        <f>HYPERLINK("https://klasma.github.io/Logging_0980/tillsynsmail/A 15637-2024 tillsynsbegäran mail.docx", "A 15637-2024")</f>
        <v/>
      </c>
    </row>
    <row r="247" ht="15" customHeight="1">
      <c r="A247" t="inlineStr">
        <is>
          <t>A 17681-2024</t>
        </is>
      </c>
      <c r="B247" s="1" t="n">
        <v>45418</v>
      </c>
      <c r="C247" s="1" t="n">
        <v>45638</v>
      </c>
      <c r="D247" t="inlineStr">
        <is>
          <t>GOTLANDS LÄN</t>
        </is>
      </c>
      <c r="E247" t="inlineStr">
        <is>
          <t>GOTLAND</t>
        </is>
      </c>
      <c r="G247" t="n">
        <v>1.9</v>
      </c>
      <c r="H247" t="n">
        <v>0</v>
      </c>
      <c r="I247" t="n">
        <v>0</v>
      </c>
      <c r="J247" t="n">
        <v>1</v>
      </c>
      <c r="K247" t="n">
        <v>0</v>
      </c>
      <c r="L247" t="n">
        <v>0</v>
      </c>
      <c r="M247" t="n">
        <v>0</v>
      </c>
      <c r="N247" t="n">
        <v>0</v>
      </c>
      <c r="O247" t="n">
        <v>1</v>
      </c>
      <c r="P247" t="n">
        <v>0</v>
      </c>
      <c r="Q247" t="n">
        <v>1</v>
      </c>
      <c r="R247" s="2" t="inlineStr">
        <is>
          <t>Igelkott</t>
        </is>
      </c>
      <c r="S247">
        <f>HYPERLINK("https://klasma.github.io/Logging_0980/artfynd/A 17681-2024 artfynd.xlsx", "A 17681-2024")</f>
        <v/>
      </c>
      <c r="T247">
        <f>HYPERLINK("https://klasma.github.io/Logging_0980/kartor/A 17681-2024 karta.png", "A 17681-2024")</f>
        <v/>
      </c>
      <c r="V247">
        <f>HYPERLINK("https://klasma.github.io/Logging_0980/klagomål/A 17681-2024 FSC-klagomål.docx", "A 17681-2024")</f>
        <v/>
      </c>
      <c r="W247">
        <f>HYPERLINK("https://klasma.github.io/Logging_0980/klagomålsmail/A 17681-2024 FSC-klagomål mail.docx", "A 17681-2024")</f>
        <v/>
      </c>
      <c r="X247">
        <f>HYPERLINK("https://klasma.github.io/Logging_0980/tillsyn/A 17681-2024 tillsynsbegäran.docx", "A 17681-2024")</f>
        <v/>
      </c>
      <c r="Y247">
        <f>HYPERLINK("https://klasma.github.io/Logging_0980/tillsynsmail/A 17681-2024 tillsynsbegäran mail.docx", "A 17681-2024")</f>
        <v/>
      </c>
    </row>
    <row r="248" ht="15" customHeight="1">
      <c r="A248" t="inlineStr">
        <is>
          <t>A 17727-2024</t>
        </is>
      </c>
      <c r="B248" s="1" t="n">
        <v>45418</v>
      </c>
      <c r="C248" s="1" t="n">
        <v>45638</v>
      </c>
      <c r="D248" t="inlineStr">
        <is>
          <t>GOTLANDS LÄN</t>
        </is>
      </c>
      <c r="E248" t="inlineStr">
        <is>
          <t>GOTLAND</t>
        </is>
      </c>
      <c r="G248" t="n">
        <v>1</v>
      </c>
      <c r="H248" t="n">
        <v>0</v>
      </c>
      <c r="I248" t="n">
        <v>0</v>
      </c>
      <c r="J248" t="n">
        <v>1</v>
      </c>
      <c r="K248" t="n">
        <v>0</v>
      </c>
      <c r="L248" t="n">
        <v>0</v>
      </c>
      <c r="M248" t="n">
        <v>0</v>
      </c>
      <c r="N248" t="n">
        <v>0</v>
      </c>
      <c r="O248" t="n">
        <v>1</v>
      </c>
      <c r="P248" t="n">
        <v>0</v>
      </c>
      <c r="Q248" t="n">
        <v>1</v>
      </c>
      <c r="R248" s="2" t="inlineStr">
        <is>
          <t>Åkerranunkel</t>
        </is>
      </c>
      <c r="S248">
        <f>HYPERLINK("https://klasma.github.io/Logging_0980/artfynd/A 17727-2024 artfynd.xlsx", "A 17727-2024")</f>
        <v/>
      </c>
      <c r="T248">
        <f>HYPERLINK("https://klasma.github.io/Logging_0980/kartor/A 17727-2024 karta.png", "A 17727-2024")</f>
        <v/>
      </c>
      <c r="V248">
        <f>HYPERLINK("https://klasma.github.io/Logging_0980/klagomål/A 17727-2024 FSC-klagomål.docx", "A 17727-2024")</f>
        <v/>
      </c>
      <c r="W248">
        <f>HYPERLINK("https://klasma.github.io/Logging_0980/klagomålsmail/A 17727-2024 FSC-klagomål mail.docx", "A 17727-2024")</f>
        <v/>
      </c>
      <c r="X248">
        <f>HYPERLINK("https://klasma.github.io/Logging_0980/tillsyn/A 17727-2024 tillsynsbegäran.docx", "A 17727-2024")</f>
        <v/>
      </c>
      <c r="Y248">
        <f>HYPERLINK("https://klasma.github.io/Logging_0980/tillsynsmail/A 17727-2024 tillsynsbegäran mail.docx", "A 17727-2024")</f>
        <v/>
      </c>
    </row>
    <row r="249" ht="15" customHeight="1">
      <c r="A249" t="inlineStr">
        <is>
          <t>A 20831-2024</t>
        </is>
      </c>
      <c r="B249" s="1" t="n">
        <v>45439</v>
      </c>
      <c r="C249" s="1" t="n">
        <v>45638</v>
      </c>
      <c r="D249" t="inlineStr">
        <is>
          <t>GOTLANDS LÄN</t>
        </is>
      </c>
      <c r="E249" t="inlineStr">
        <is>
          <t>GOTLAND</t>
        </is>
      </c>
      <c r="G249" t="n">
        <v>2.9</v>
      </c>
      <c r="H249" t="n">
        <v>1</v>
      </c>
      <c r="I249" t="n">
        <v>0</v>
      </c>
      <c r="J249" t="n">
        <v>1</v>
      </c>
      <c r="K249" t="n">
        <v>0</v>
      </c>
      <c r="L249" t="n">
        <v>0</v>
      </c>
      <c r="M249" t="n">
        <v>0</v>
      </c>
      <c r="N249" t="n">
        <v>0</v>
      </c>
      <c r="O249" t="n">
        <v>1</v>
      </c>
      <c r="P249" t="n">
        <v>0</v>
      </c>
      <c r="Q249" t="n">
        <v>1</v>
      </c>
      <c r="R249" s="2" t="inlineStr">
        <is>
          <t>Dårgräsfjäril</t>
        </is>
      </c>
      <c r="S249">
        <f>HYPERLINK("https://klasma.github.io/Logging_0980/artfynd/A 20831-2024 artfynd.xlsx", "A 20831-2024")</f>
        <v/>
      </c>
      <c r="T249">
        <f>HYPERLINK("https://klasma.github.io/Logging_0980/kartor/A 20831-2024 karta.png", "A 20831-2024")</f>
        <v/>
      </c>
      <c r="V249">
        <f>HYPERLINK("https://klasma.github.io/Logging_0980/klagomål/A 20831-2024 FSC-klagomål.docx", "A 20831-2024")</f>
        <v/>
      </c>
      <c r="W249">
        <f>HYPERLINK("https://klasma.github.io/Logging_0980/klagomålsmail/A 20831-2024 FSC-klagomål mail.docx", "A 20831-2024")</f>
        <v/>
      </c>
      <c r="X249">
        <f>HYPERLINK("https://klasma.github.io/Logging_0980/tillsyn/A 20831-2024 tillsynsbegäran.docx", "A 20831-2024")</f>
        <v/>
      </c>
      <c r="Y249">
        <f>HYPERLINK("https://klasma.github.io/Logging_0980/tillsynsmail/A 20831-2024 tillsynsbegäran mail.docx", "A 20831-2024")</f>
        <v/>
      </c>
    </row>
    <row r="250" ht="15" customHeight="1">
      <c r="A250" t="inlineStr">
        <is>
          <t>A 20838-2024</t>
        </is>
      </c>
      <c r="B250" s="1" t="n">
        <v>45439</v>
      </c>
      <c r="C250" s="1" t="n">
        <v>45638</v>
      </c>
      <c r="D250" t="inlineStr">
        <is>
          <t>GOTLANDS LÄN</t>
        </is>
      </c>
      <c r="E250" t="inlineStr">
        <is>
          <t>GOTLAND</t>
        </is>
      </c>
      <c r="G250" t="n">
        <v>0.7</v>
      </c>
      <c r="H250" t="n">
        <v>1</v>
      </c>
      <c r="I250" t="n">
        <v>1</v>
      </c>
      <c r="J250" t="n">
        <v>0</v>
      </c>
      <c r="K250" t="n">
        <v>0</v>
      </c>
      <c r="L250" t="n">
        <v>0</v>
      </c>
      <c r="M250" t="n">
        <v>0</v>
      </c>
      <c r="N250" t="n">
        <v>0</v>
      </c>
      <c r="O250" t="n">
        <v>0</v>
      </c>
      <c r="P250" t="n">
        <v>0</v>
      </c>
      <c r="Q250" t="n">
        <v>1</v>
      </c>
      <c r="R250" s="2" t="inlineStr">
        <is>
          <t>Skogsknipprot</t>
        </is>
      </c>
      <c r="S250">
        <f>HYPERLINK("https://klasma.github.io/Logging_0980/artfynd/A 20838-2024 artfynd.xlsx", "A 20838-2024")</f>
        <v/>
      </c>
      <c r="T250">
        <f>HYPERLINK("https://klasma.github.io/Logging_0980/kartor/A 20838-2024 karta.png", "A 20838-2024")</f>
        <v/>
      </c>
      <c r="V250">
        <f>HYPERLINK("https://klasma.github.io/Logging_0980/klagomål/A 20838-2024 FSC-klagomål.docx", "A 20838-2024")</f>
        <v/>
      </c>
      <c r="W250">
        <f>HYPERLINK("https://klasma.github.io/Logging_0980/klagomålsmail/A 20838-2024 FSC-klagomål mail.docx", "A 20838-2024")</f>
        <v/>
      </c>
      <c r="X250">
        <f>HYPERLINK("https://klasma.github.io/Logging_0980/tillsyn/A 20838-2024 tillsynsbegäran.docx", "A 20838-2024")</f>
        <v/>
      </c>
      <c r="Y250">
        <f>HYPERLINK("https://klasma.github.io/Logging_0980/tillsynsmail/A 20838-2024 tillsynsbegäran mail.docx", "A 20838-2024")</f>
        <v/>
      </c>
    </row>
    <row r="251" ht="15" customHeight="1">
      <c r="A251" t="inlineStr">
        <is>
          <t>A 20833-2024</t>
        </is>
      </c>
      <c r="B251" s="1" t="n">
        <v>45439</v>
      </c>
      <c r="C251" s="1" t="n">
        <v>45638</v>
      </c>
      <c r="D251" t="inlineStr">
        <is>
          <t>GOTLANDS LÄN</t>
        </is>
      </c>
      <c r="E251" t="inlineStr">
        <is>
          <t>GOTLAND</t>
        </is>
      </c>
      <c r="G251" t="n">
        <v>0.9</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20833-2024 artfynd.xlsx", "A 20833-2024")</f>
        <v/>
      </c>
      <c r="T251">
        <f>HYPERLINK("https://klasma.github.io/Logging_0980/kartor/A 20833-2024 karta.png", "A 20833-2024")</f>
        <v/>
      </c>
      <c r="V251">
        <f>HYPERLINK("https://klasma.github.io/Logging_0980/klagomål/A 20833-2024 FSC-klagomål.docx", "A 20833-2024")</f>
        <v/>
      </c>
      <c r="W251">
        <f>HYPERLINK("https://klasma.github.io/Logging_0980/klagomålsmail/A 20833-2024 FSC-klagomål mail.docx", "A 20833-2024")</f>
        <v/>
      </c>
      <c r="X251">
        <f>HYPERLINK("https://klasma.github.io/Logging_0980/tillsyn/A 20833-2024 tillsynsbegäran.docx", "A 20833-2024")</f>
        <v/>
      </c>
      <c r="Y251">
        <f>HYPERLINK("https://klasma.github.io/Logging_0980/tillsynsmail/A 20833-2024 tillsynsbegäran mail.docx", "A 20833-2024")</f>
        <v/>
      </c>
    </row>
    <row r="252" ht="15" customHeight="1">
      <c r="A252" t="inlineStr">
        <is>
          <t>A 25977-2024</t>
        </is>
      </c>
      <c r="B252" s="1" t="n">
        <v>45467</v>
      </c>
      <c r="C252" s="1" t="n">
        <v>45638</v>
      </c>
      <c r="D252" t="inlineStr">
        <is>
          <t>GOTLANDS LÄN</t>
        </is>
      </c>
      <c r="E252" t="inlineStr">
        <is>
          <t>GOTLAND</t>
        </is>
      </c>
      <c r="G252" t="n">
        <v>3</v>
      </c>
      <c r="H252" t="n">
        <v>1</v>
      </c>
      <c r="I252" t="n">
        <v>0</v>
      </c>
      <c r="J252" t="n">
        <v>0</v>
      </c>
      <c r="K252" t="n">
        <v>0</v>
      </c>
      <c r="L252" t="n">
        <v>0</v>
      </c>
      <c r="M252" t="n">
        <v>0</v>
      </c>
      <c r="N252" t="n">
        <v>0</v>
      </c>
      <c r="O252" t="n">
        <v>0</v>
      </c>
      <c r="P252" t="n">
        <v>0</v>
      </c>
      <c r="Q252" t="n">
        <v>1</v>
      </c>
      <c r="R252" s="2" t="inlineStr">
        <is>
          <t>Nattviol</t>
        </is>
      </c>
      <c r="S252">
        <f>HYPERLINK("https://klasma.github.io/Logging_0980/artfynd/A 25977-2024 artfynd.xlsx", "A 25977-2024")</f>
        <v/>
      </c>
      <c r="T252">
        <f>HYPERLINK("https://klasma.github.io/Logging_0980/kartor/A 25977-2024 karta.png", "A 25977-2024")</f>
        <v/>
      </c>
      <c r="V252">
        <f>HYPERLINK("https://klasma.github.io/Logging_0980/klagomål/A 25977-2024 FSC-klagomål.docx", "A 25977-2024")</f>
        <v/>
      </c>
      <c r="W252">
        <f>HYPERLINK("https://klasma.github.io/Logging_0980/klagomålsmail/A 25977-2024 FSC-klagomål mail.docx", "A 25977-2024")</f>
        <v/>
      </c>
      <c r="X252">
        <f>HYPERLINK("https://klasma.github.io/Logging_0980/tillsyn/A 25977-2024 tillsynsbegäran.docx", "A 25977-2024")</f>
        <v/>
      </c>
      <c r="Y252">
        <f>HYPERLINK("https://klasma.github.io/Logging_0980/tillsynsmail/A 25977-2024 tillsynsbegäran mail.docx", "A 25977-2024")</f>
        <v/>
      </c>
    </row>
    <row r="253" ht="15" customHeight="1">
      <c r="A253" t="inlineStr">
        <is>
          <t>A 30892-2024</t>
        </is>
      </c>
      <c r="B253" s="1" t="n">
        <v>45491</v>
      </c>
      <c r="C253" s="1" t="n">
        <v>45638</v>
      </c>
      <c r="D253" t="inlineStr">
        <is>
          <t>GOTLANDS LÄN</t>
        </is>
      </c>
      <c r="E253" t="inlineStr">
        <is>
          <t>GOTLAND</t>
        </is>
      </c>
      <c r="G253" t="n">
        <v>16.3</v>
      </c>
      <c r="H253" t="n">
        <v>1</v>
      </c>
      <c r="I253" t="n">
        <v>0</v>
      </c>
      <c r="J253" t="n">
        <v>1</v>
      </c>
      <c r="K253" t="n">
        <v>0</v>
      </c>
      <c r="L253" t="n">
        <v>0</v>
      </c>
      <c r="M253" t="n">
        <v>0</v>
      </c>
      <c r="N253" t="n">
        <v>0</v>
      </c>
      <c r="O253" t="n">
        <v>1</v>
      </c>
      <c r="P253" t="n">
        <v>0</v>
      </c>
      <c r="Q253" t="n">
        <v>1</v>
      </c>
      <c r="R253" s="2" t="inlineStr">
        <is>
          <t>Brun ögontröst</t>
        </is>
      </c>
      <c r="S253">
        <f>HYPERLINK("https://klasma.github.io/Logging_0980/artfynd/A 30892-2024 artfynd.xlsx", "A 30892-2024")</f>
        <v/>
      </c>
      <c r="T253">
        <f>HYPERLINK("https://klasma.github.io/Logging_0980/kartor/A 30892-2024 karta.png", "A 30892-2024")</f>
        <v/>
      </c>
      <c r="V253">
        <f>HYPERLINK("https://klasma.github.io/Logging_0980/klagomål/A 30892-2024 FSC-klagomål.docx", "A 30892-2024")</f>
        <v/>
      </c>
      <c r="W253">
        <f>HYPERLINK("https://klasma.github.io/Logging_0980/klagomålsmail/A 30892-2024 FSC-klagomål mail.docx", "A 30892-2024")</f>
        <v/>
      </c>
      <c r="X253">
        <f>HYPERLINK("https://klasma.github.io/Logging_0980/tillsyn/A 30892-2024 tillsynsbegäran.docx", "A 30892-2024")</f>
        <v/>
      </c>
      <c r="Y253">
        <f>HYPERLINK("https://klasma.github.io/Logging_0980/tillsynsmail/A 30892-2024 tillsynsbegäran mail.docx", "A 30892-2024")</f>
        <v/>
      </c>
    </row>
    <row r="254" ht="15" customHeight="1">
      <c r="A254" t="inlineStr">
        <is>
          <t>A 30410-2024</t>
        </is>
      </c>
      <c r="B254" s="1" t="n">
        <v>45491</v>
      </c>
      <c r="C254" s="1" t="n">
        <v>45638</v>
      </c>
      <c r="D254" t="inlineStr">
        <is>
          <t>GOTLANDS LÄN</t>
        </is>
      </c>
      <c r="E254" t="inlineStr">
        <is>
          <t>GOTLAND</t>
        </is>
      </c>
      <c r="G254" t="n">
        <v>4</v>
      </c>
      <c r="H254" t="n">
        <v>0</v>
      </c>
      <c r="I254" t="n">
        <v>0</v>
      </c>
      <c r="J254" t="n">
        <v>1</v>
      </c>
      <c r="K254" t="n">
        <v>0</v>
      </c>
      <c r="L254" t="n">
        <v>0</v>
      </c>
      <c r="M254" t="n">
        <v>0</v>
      </c>
      <c r="N254" t="n">
        <v>0</v>
      </c>
      <c r="O254" t="n">
        <v>1</v>
      </c>
      <c r="P254" t="n">
        <v>0</v>
      </c>
      <c r="Q254" t="n">
        <v>1</v>
      </c>
      <c r="R254" s="2" t="inlineStr">
        <is>
          <t>Granticka</t>
        </is>
      </c>
      <c r="S254">
        <f>HYPERLINK("https://klasma.github.io/Logging_0980/artfynd/A 30410-2024 artfynd.xlsx", "A 30410-2024")</f>
        <v/>
      </c>
      <c r="T254">
        <f>HYPERLINK("https://klasma.github.io/Logging_0980/kartor/A 30410-2024 karta.png", "A 30410-2024")</f>
        <v/>
      </c>
      <c r="V254">
        <f>HYPERLINK("https://klasma.github.io/Logging_0980/klagomål/A 30410-2024 FSC-klagomål.docx", "A 30410-2024")</f>
        <v/>
      </c>
      <c r="W254">
        <f>HYPERLINK("https://klasma.github.io/Logging_0980/klagomålsmail/A 30410-2024 FSC-klagomål mail.docx", "A 30410-2024")</f>
        <v/>
      </c>
      <c r="X254">
        <f>HYPERLINK("https://klasma.github.io/Logging_0980/tillsyn/A 30410-2024 tillsynsbegäran.docx", "A 30410-2024")</f>
        <v/>
      </c>
      <c r="Y254">
        <f>HYPERLINK("https://klasma.github.io/Logging_0980/tillsynsmail/A 30410-2024 tillsynsbegäran mail.docx", "A 30410-2024")</f>
        <v/>
      </c>
    </row>
    <row r="255" ht="15" customHeight="1">
      <c r="A255" t="inlineStr">
        <is>
          <t>A 31750-2024</t>
        </is>
      </c>
      <c r="B255" s="1" t="n">
        <v>45509</v>
      </c>
      <c r="C255" s="1" t="n">
        <v>45638</v>
      </c>
      <c r="D255" t="inlineStr">
        <is>
          <t>GOTLANDS LÄN</t>
        </is>
      </c>
      <c r="E255" t="inlineStr">
        <is>
          <t>GOTLAND</t>
        </is>
      </c>
      <c r="G255" t="n">
        <v>10.3</v>
      </c>
      <c r="H255" t="n">
        <v>1</v>
      </c>
      <c r="I255" t="n">
        <v>0</v>
      </c>
      <c r="J255" t="n">
        <v>1</v>
      </c>
      <c r="K255" t="n">
        <v>0</v>
      </c>
      <c r="L255" t="n">
        <v>0</v>
      </c>
      <c r="M255" t="n">
        <v>0</v>
      </c>
      <c r="N255" t="n">
        <v>0</v>
      </c>
      <c r="O255" t="n">
        <v>1</v>
      </c>
      <c r="P255" t="n">
        <v>0</v>
      </c>
      <c r="Q255" t="n">
        <v>1</v>
      </c>
      <c r="R255" s="2" t="inlineStr">
        <is>
          <t>Grönsångare</t>
        </is>
      </c>
      <c r="S255">
        <f>HYPERLINK("https://klasma.github.io/Logging_0980/artfynd/A 31750-2024 artfynd.xlsx", "A 31750-2024")</f>
        <v/>
      </c>
      <c r="T255">
        <f>HYPERLINK("https://klasma.github.io/Logging_0980/kartor/A 31750-2024 karta.png", "A 31750-2024")</f>
        <v/>
      </c>
      <c r="V255">
        <f>HYPERLINK("https://klasma.github.io/Logging_0980/klagomål/A 31750-2024 FSC-klagomål.docx", "A 31750-2024")</f>
        <v/>
      </c>
      <c r="W255">
        <f>HYPERLINK("https://klasma.github.io/Logging_0980/klagomålsmail/A 31750-2024 FSC-klagomål mail.docx", "A 31750-2024")</f>
        <v/>
      </c>
      <c r="X255">
        <f>HYPERLINK("https://klasma.github.io/Logging_0980/tillsyn/A 31750-2024 tillsynsbegäran.docx", "A 31750-2024")</f>
        <v/>
      </c>
      <c r="Y255">
        <f>HYPERLINK("https://klasma.github.io/Logging_0980/tillsynsmail/A 31750-2024 tillsynsbegäran mail.docx", "A 31750-2024")</f>
        <v/>
      </c>
      <c r="Z255">
        <f>HYPERLINK("https://klasma.github.io/Logging_0980/fåglar/A 31750-2024 prioriterade fågelarter.docx", "A 31750-2024")</f>
        <v/>
      </c>
    </row>
    <row r="256" ht="15" customHeight="1">
      <c r="A256" t="inlineStr">
        <is>
          <t>A 33081-2024</t>
        </is>
      </c>
      <c r="B256" s="1" t="n">
        <v>45517</v>
      </c>
      <c r="C256" s="1" t="n">
        <v>45638</v>
      </c>
      <c r="D256" t="inlineStr">
        <is>
          <t>GOTLANDS LÄN</t>
        </is>
      </c>
      <c r="E256" t="inlineStr">
        <is>
          <t>GOTLAND</t>
        </is>
      </c>
      <c r="G256" t="n">
        <v>1.4</v>
      </c>
      <c r="H256" t="n">
        <v>0</v>
      </c>
      <c r="I256" t="n">
        <v>0</v>
      </c>
      <c r="J256" t="n">
        <v>0</v>
      </c>
      <c r="K256" t="n">
        <v>1</v>
      </c>
      <c r="L256" t="n">
        <v>0</v>
      </c>
      <c r="M256" t="n">
        <v>0</v>
      </c>
      <c r="N256" t="n">
        <v>0</v>
      </c>
      <c r="O256" t="n">
        <v>1</v>
      </c>
      <c r="P256" t="n">
        <v>1</v>
      </c>
      <c r="Q256" t="n">
        <v>1</v>
      </c>
      <c r="R256" s="2" t="inlineStr">
        <is>
          <t>Gotlandsmåra</t>
        </is>
      </c>
      <c r="S256">
        <f>HYPERLINK("https://klasma.github.io/Logging_0980/artfynd/A 33081-2024 artfynd.xlsx", "A 33081-2024")</f>
        <v/>
      </c>
      <c r="T256">
        <f>HYPERLINK("https://klasma.github.io/Logging_0980/kartor/A 33081-2024 karta.png", "A 33081-2024")</f>
        <v/>
      </c>
      <c r="V256">
        <f>HYPERLINK("https://klasma.github.io/Logging_0980/klagomål/A 33081-2024 FSC-klagomål.docx", "A 33081-2024")</f>
        <v/>
      </c>
      <c r="W256">
        <f>HYPERLINK("https://klasma.github.io/Logging_0980/klagomålsmail/A 33081-2024 FSC-klagomål mail.docx", "A 33081-2024")</f>
        <v/>
      </c>
      <c r="X256">
        <f>HYPERLINK("https://klasma.github.io/Logging_0980/tillsyn/A 33081-2024 tillsynsbegäran.docx", "A 33081-2024")</f>
        <v/>
      </c>
      <c r="Y256">
        <f>HYPERLINK("https://klasma.github.io/Logging_0980/tillsynsmail/A 33081-2024 tillsynsbegäran mail.docx", "A 33081-2024")</f>
        <v/>
      </c>
    </row>
    <row r="257" ht="15" customHeight="1">
      <c r="A257" t="inlineStr">
        <is>
          <t>A 34141-2024</t>
        </is>
      </c>
      <c r="B257" s="1" t="n">
        <v>45524</v>
      </c>
      <c r="C257" s="1" t="n">
        <v>45638</v>
      </c>
      <c r="D257" t="inlineStr">
        <is>
          <t>GOTLANDS LÄN</t>
        </is>
      </c>
      <c r="E257" t="inlineStr">
        <is>
          <t>GOTLAND</t>
        </is>
      </c>
      <c r="G257" t="n">
        <v>0.9</v>
      </c>
      <c r="H257" t="n">
        <v>0</v>
      </c>
      <c r="I257" t="n">
        <v>1</v>
      </c>
      <c r="J257" t="n">
        <v>0</v>
      </c>
      <c r="K257" t="n">
        <v>0</v>
      </c>
      <c r="L257" t="n">
        <v>0</v>
      </c>
      <c r="M257" t="n">
        <v>0</v>
      </c>
      <c r="N257" t="n">
        <v>0</v>
      </c>
      <c r="O257" t="n">
        <v>0</v>
      </c>
      <c r="P257" t="n">
        <v>0</v>
      </c>
      <c r="Q257" t="n">
        <v>1</v>
      </c>
      <c r="R257" s="2" t="inlineStr">
        <is>
          <t>Strävlosta</t>
        </is>
      </c>
      <c r="S257">
        <f>HYPERLINK("https://klasma.github.io/Logging_0980/artfynd/A 34141-2024 artfynd.xlsx", "A 34141-2024")</f>
        <v/>
      </c>
      <c r="T257">
        <f>HYPERLINK("https://klasma.github.io/Logging_0980/kartor/A 34141-2024 karta.png", "A 34141-2024")</f>
        <v/>
      </c>
      <c r="V257">
        <f>HYPERLINK("https://klasma.github.io/Logging_0980/klagomål/A 34141-2024 FSC-klagomål.docx", "A 34141-2024")</f>
        <v/>
      </c>
      <c r="W257">
        <f>HYPERLINK("https://klasma.github.io/Logging_0980/klagomålsmail/A 34141-2024 FSC-klagomål mail.docx", "A 34141-2024")</f>
        <v/>
      </c>
      <c r="X257">
        <f>HYPERLINK("https://klasma.github.io/Logging_0980/tillsyn/A 34141-2024 tillsynsbegäran.docx", "A 34141-2024")</f>
        <v/>
      </c>
      <c r="Y257">
        <f>HYPERLINK("https://klasma.github.io/Logging_0980/tillsynsmail/A 34141-2024 tillsynsbegäran mail.docx", "A 34141-2024")</f>
        <v/>
      </c>
    </row>
    <row r="258" ht="15" customHeight="1">
      <c r="A258" t="inlineStr">
        <is>
          <t>A 34809-2024</t>
        </is>
      </c>
      <c r="B258" s="1" t="n">
        <v>45526</v>
      </c>
      <c r="C258" s="1" t="n">
        <v>45638</v>
      </c>
      <c r="D258" t="inlineStr">
        <is>
          <t>GOTLANDS LÄN</t>
        </is>
      </c>
      <c r="E258" t="inlineStr">
        <is>
          <t>GOTLAND</t>
        </is>
      </c>
      <c r="G258" t="n">
        <v>9.9</v>
      </c>
      <c r="H258" t="n">
        <v>1</v>
      </c>
      <c r="I258" t="n">
        <v>0</v>
      </c>
      <c r="J258" t="n">
        <v>1</v>
      </c>
      <c r="K258" t="n">
        <v>0</v>
      </c>
      <c r="L258" t="n">
        <v>0</v>
      </c>
      <c r="M258" t="n">
        <v>0</v>
      </c>
      <c r="N258" t="n">
        <v>0</v>
      </c>
      <c r="O258" t="n">
        <v>1</v>
      </c>
      <c r="P258" t="n">
        <v>0</v>
      </c>
      <c r="Q258" t="n">
        <v>1</v>
      </c>
      <c r="R258" s="2" t="inlineStr">
        <is>
          <t>Brun ögontröst</t>
        </is>
      </c>
      <c r="S258">
        <f>HYPERLINK("https://klasma.github.io/Logging_0980/artfynd/A 34809-2024 artfynd.xlsx", "A 34809-2024")</f>
        <v/>
      </c>
      <c r="T258">
        <f>HYPERLINK("https://klasma.github.io/Logging_0980/kartor/A 34809-2024 karta.png", "A 34809-2024")</f>
        <v/>
      </c>
      <c r="V258">
        <f>HYPERLINK("https://klasma.github.io/Logging_0980/klagomål/A 34809-2024 FSC-klagomål.docx", "A 34809-2024")</f>
        <v/>
      </c>
      <c r="W258">
        <f>HYPERLINK("https://klasma.github.io/Logging_0980/klagomålsmail/A 34809-2024 FSC-klagomål mail.docx", "A 34809-2024")</f>
        <v/>
      </c>
      <c r="X258">
        <f>HYPERLINK("https://klasma.github.io/Logging_0980/tillsyn/A 34809-2024 tillsynsbegäran.docx", "A 34809-2024")</f>
        <v/>
      </c>
      <c r="Y258">
        <f>HYPERLINK("https://klasma.github.io/Logging_0980/tillsynsmail/A 34809-2024 tillsynsbegäran mail.docx", "A 34809-2024")</f>
        <v/>
      </c>
    </row>
    <row r="259" ht="15" customHeight="1">
      <c r="A259" t="inlineStr">
        <is>
          <t>A 35574-2024</t>
        </is>
      </c>
      <c r="B259" s="1" t="n">
        <v>45531</v>
      </c>
      <c r="C259" s="1" t="n">
        <v>45638</v>
      </c>
      <c r="D259" t="inlineStr">
        <is>
          <t>GOTLANDS LÄN</t>
        </is>
      </c>
      <c r="E259" t="inlineStr">
        <is>
          <t>GOTLAND</t>
        </is>
      </c>
      <c r="G259" t="n">
        <v>5.7</v>
      </c>
      <c r="H259" t="n">
        <v>0</v>
      </c>
      <c r="I259" t="n">
        <v>1</v>
      </c>
      <c r="J259" t="n">
        <v>0</v>
      </c>
      <c r="K259" t="n">
        <v>0</v>
      </c>
      <c r="L259" t="n">
        <v>0</v>
      </c>
      <c r="M259" t="n">
        <v>0</v>
      </c>
      <c r="N259" t="n">
        <v>0</v>
      </c>
      <c r="O259" t="n">
        <v>0</v>
      </c>
      <c r="P259" t="n">
        <v>0</v>
      </c>
      <c r="Q259" t="n">
        <v>1</v>
      </c>
      <c r="R259" s="2" t="inlineStr">
        <is>
          <t>Murgröna</t>
        </is>
      </c>
      <c r="S259">
        <f>HYPERLINK("https://klasma.github.io/Logging_0980/artfynd/A 35574-2024 artfynd.xlsx", "A 35574-2024")</f>
        <v/>
      </c>
      <c r="T259">
        <f>HYPERLINK("https://klasma.github.io/Logging_0980/kartor/A 35574-2024 karta.png", "A 35574-2024")</f>
        <v/>
      </c>
      <c r="V259">
        <f>HYPERLINK("https://klasma.github.io/Logging_0980/klagomål/A 35574-2024 FSC-klagomål.docx", "A 35574-2024")</f>
        <v/>
      </c>
      <c r="W259">
        <f>HYPERLINK("https://klasma.github.io/Logging_0980/klagomålsmail/A 35574-2024 FSC-klagomål mail.docx", "A 35574-2024")</f>
        <v/>
      </c>
      <c r="X259">
        <f>HYPERLINK("https://klasma.github.io/Logging_0980/tillsyn/A 35574-2024 tillsynsbegäran.docx", "A 35574-2024")</f>
        <v/>
      </c>
      <c r="Y259">
        <f>HYPERLINK("https://klasma.github.io/Logging_0980/tillsynsmail/A 35574-2024 tillsynsbegäran mail.docx", "A 35574-2024")</f>
        <v/>
      </c>
    </row>
    <row r="260" ht="15" customHeight="1">
      <c r="A260" t="inlineStr">
        <is>
          <t>A 40805-2024</t>
        </is>
      </c>
      <c r="B260" s="1" t="n">
        <v>45558</v>
      </c>
      <c r="C260" s="1" t="n">
        <v>45638</v>
      </c>
      <c r="D260" t="inlineStr">
        <is>
          <t>GOTLANDS LÄN</t>
        </is>
      </c>
      <c r="E260" t="inlineStr">
        <is>
          <t>GOTLAND</t>
        </is>
      </c>
      <c r="G260" t="n">
        <v>13.2</v>
      </c>
      <c r="H260" t="n">
        <v>1</v>
      </c>
      <c r="I260" t="n">
        <v>1</v>
      </c>
      <c r="J260" t="n">
        <v>0</v>
      </c>
      <c r="K260" t="n">
        <v>0</v>
      </c>
      <c r="L260" t="n">
        <v>0</v>
      </c>
      <c r="M260" t="n">
        <v>0</v>
      </c>
      <c r="N260" t="n">
        <v>0</v>
      </c>
      <c r="O260" t="n">
        <v>0</v>
      </c>
      <c r="P260" t="n">
        <v>0</v>
      </c>
      <c r="Q260" t="n">
        <v>1</v>
      </c>
      <c r="R260" s="2" t="inlineStr">
        <is>
          <t>Skogsknipprot</t>
        </is>
      </c>
      <c r="S260">
        <f>HYPERLINK("https://klasma.github.io/Logging_0980/artfynd/A 40805-2024 artfynd.xlsx", "A 40805-2024")</f>
        <v/>
      </c>
      <c r="T260">
        <f>HYPERLINK("https://klasma.github.io/Logging_0980/kartor/A 40805-2024 karta.png", "A 40805-2024")</f>
        <v/>
      </c>
      <c r="V260">
        <f>HYPERLINK("https://klasma.github.io/Logging_0980/klagomål/A 40805-2024 FSC-klagomål.docx", "A 40805-2024")</f>
        <v/>
      </c>
      <c r="W260">
        <f>HYPERLINK("https://klasma.github.io/Logging_0980/klagomålsmail/A 40805-2024 FSC-klagomål mail.docx", "A 40805-2024")</f>
        <v/>
      </c>
      <c r="X260">
        <f>HYPERLINK("https://klasma.github.io/Logging_0980/tillsyn/A 40805-2024 tillsynsbegäran.docx", "A 40805-2024")</f>
        <v/>
      </c>
      <c r="Y260">
        <f>HYPERLINK("https://klasma.github.io/Logging_0980/tillsynsmail/A 40805-2024 tillsynsbegäran mail.docx", "A 40805-2024")</f>
        <v/>
      </c>
    </row>
    <row r="261" ht="15" customHeight="1">
      <c r="A261" t="inlineStr">
        <is>
          <t>A 44468-2024</t>
        </is>
      </c>
      <c r="B261" s="1" t="n">
        <v>45574</v>
      </c>
      <c r="C261" s="1" t="n">
        <v>45638</v>
      </c>
      <c r="D261" t="inlineStr">
        <is>
          <t>GOTLANDS LÄN</t>
        </is>
      </c>
      <c r="E261" t="inlineStr">
        <is>
          <t>GOTLAND</t>
        </is>
      </c>
      <c r="G261" t="n">
        <v>7</v>
      </c>
      <c r="H261" t="n">
        <v>0</v>
      </c>
      <c r="I261" t="n">
        <v>0</v>
      </c>
      <c r="J261" t="n">
        <v>0</v>
      </c>
      <c r="K261" t="n">
        <v>0</v>
      </c>
      <c r="L261" t="n">
        <v>0</v>
      </c>
      <c r="M261" t="n">
        <v>1</v>
      </c>
      <c r="N261" t="n">
        <v>0</v>
      </c>
      <c r="O261" t="n">
        <v>1</v>
      </c>
      <c r="P261" t="n">
        <v>1</v>
      </c>
      <c r="Q261" t="n">
        <v>1</v>
      </c>
      <c r="R261" s="2" t="inlineStr">
        <is>
          <t>Skogsalm</t>
        </is>
      </c>
      <c r="S261">
        <f>HYPERLINK("https://klasma.github.io/Logging_0980/artfynd/A 44468-2024 artfynd.xlsx", "A 44468-2024")</f>
        <v/>
      </c>
      <c r="T261">
        <f>HYPERLINK("https://klasma.github.io/Logging_0980/kartor/A 44468-2024 karta.png", "A 44468-2024")</f>
        <v/>
      </c>
      <c r="V261">
        <f>HYPERLINK("https://klasma.github.io/Logging_0980/klagomål/A 44468-2024 FSC-klagomål.docx", "A 44468-2024")</f>
        <v/>
      </c>
      <c r="W261">
        <f>HYPERLINK("https://klasma.github.io/Logging_0980/klagomålsmail/A 44468-2024 FSC-klagomål mail.docx", "A 44468-2024")</f>
        <v/>
      </c>
      <c r="X261">
        <f>HYPERLINK("https://klasma.github.io/Logging_0980/tillsyn/A 44468-2024 tillsynsbegäran.docx", "A 44468-2024")</f>
        <v/>
      </c>
      <c r="Y261">
        <f>HYPERLINK("https://klasma.github.io/Logging_0980/tillsynsmail/A 44468-2024 tillsynsbegäran mail.docx", "A 44468-2024")</f>
        <v/>
      </c>
    </row>
    <row r="262" ht="15" customHeight="1">
      <c r="A262" t="inlineStr">
        <is>
          <t>A 49304-2024</t>
        </is>
      </c>
      <c r="B262" s="1" t="n">
        <v>45595</v>
      </c>
      <c r="C262" s="1" t="n">
        <v>45638</v>
      </c>
      <c r="D262" t="inlineStr">
        <is>
          <t>GOTLANDS LÄN</t>
        </is>
      </c>
      <c r="E262" t="inlineStr">
        <is>
          <t>GOTLAND</t>
        </is>
      </c>
      <c r="G262" t="n">
        <v>10.8</v>
      </c>
      <c r="H262" t="n">
        <v>0</v>
      </c>
      <c r="I262" t="n">
        <v>0</v>
      </c>
      <c r="J262" t="n">
        <v>1</v>
      </c>
      <c r="K262" t="n">
        <v>0</v>
      </c>
      <c r="L262" t="n">
        <v>0</v>
      </c>
      <c r="M262" t="n">
        <v>0</v>
      </c>
      <c r="N262" t="n">
        <v>0</v>
      </c>
      <c r="O262" t="n">
        <v>1</v>
      </c>
      <c r="P262" t="n">
        <v>0</v>
      </c>
      <c r="Q262" t="n">
        <v>1</v>
      </c>
      <c r="R262" s="2" t="inlineStr">
        <is>
          <t>Åkerranunkel</t>
        </is>
      </c>
      <c r="S262">
        <f>HYPERLINK("https://klasma.github.io/Logging_0980/artfynd/A 49304-2024 artfynd.xlsx", "A 49304-2024")</f>
        <v/>
      </c>
      <c r="T262">
        <f>HYPERLINK("https://klasma.github.io/Logging_0980/kartor/A 49304-2024 karta.png", "A 49304-2024")</f>
        <v/>
      </c>
      <c r="V262">
        <f>HYPERLINK("https://klasma.github.io/Logging_0980/klagomål/A 49304-2024 FSC-klagomål.docx", "A 49304-2024")</f>
        <v/>
      </c>
      <c r="W262">
        <f>HYPERLINK("https://klasma.github.io/Logging_0980/klagomålsmail/A 49304-2024 FSC-klagomål mail.docx", "A 49304-2024")</f>
        <v/>
      </c>
      <c r="X262">
        <f>HYPERLINK("https://klasma.github.io/Logging_0980/tillsyn/A 49304-2024 tillsynsbegäran.docx", "A 49304-2024")</f>
        <v/>
      </c>
      <c r="Y262">
        <f>HYPERLINK("https://klasma.github.io/Logging_0980/tillsynsmail/A 49304-2024 tillsynsbegäran mail.docx", "A 49304-2024")</f>
        <v/>
      </c>
    </row>
    <row r="263" ht="15" customHeight="1">
      <c r="A263" t="inlineStr">
        <is>
          <t>A 59132-2024</t>
        </is>
      </c>
      <c r="B263" s="1" t="n">
        <v>45637</v>
      </c>
      <c r="C263" s="1" t="n">
        <v>45638</v>
      </c>
      <c r="D263" t="inlineStr">
        <is>
          <t>GOTLANDS LÄN</t>
        </is>
      </c>
      <c r="E263" t="inlineStr">
        <is>
          <t>GOTLAND</t>
        </is>
      </c>
      <c r="G263" t="n">
        <v>3.5</v>
      </c>
      <c r="H263" t="n">
        <v>0</v>
      </c>
      <c r="I263" t="n">
        <v>0</v>
      </c>
      <c r="J263" t="n">
        <v>1</v>
      </c>
      <c r="K263" t="n">
        <v>0</v>
      </c>
      <c r="L263" t="n">
        <v>0</v>
      </c>
      <c r="M263" t="n">
        <v>0</v>
      </c>
      <c r="N263" t="n">
        <v>0</v>
      </c>
      <c r="O263" t="n">
        <v>1</v>
      </c>
      <c r="P263" t="n">
        <v>0</v>
      </c>
      <c r="Q263" t="n">
        <v>1</v>
      </c>
      <c r="R263" s="2" t="inlineStr">
        <is>
          <t>Vippärt</t>
        </is>
      </c>
      <c r="S263">
        <f>HYPERLINK("https://klasma.github.io/Logging_0980/artfynd/A 59132-2024 artfynd.xlsx", "A 59132-2024")</f>
        <v/>
      </c>
      <c r="T263">
        <f>HYPERLINK("https://klasma.github.io/Logging_0980/kartor/A 59132-2024 karta.png", "A 59132-2024")</f>
        <v/>
      </c>
      <c r="V263">
        <f>HYPERLINK("https://klasma.github.io/Logging_0980/klagomål/A 59132-2024 FSC-klagomål.docx", "A 59132-2024")</f>
        <v/>
      </c>
      <c r="W263">
        <f>HYPERLINK("https://klasma.github.io/Logging_0980/klagomålsmail/A 59132-2024 FSC-klagomål mail.docx", "A 59132-2024")</f>
        <v/>
      </c>
      <c r="X263">
        <f>HYPERLINK("https://klasma.github.io/Logging_0980/tillsyn/A 59132-2024 tillsynsbegäran.docx", "A 59132-2024")</f>
        <v/>
      </c>
      <c r="Y263">
        <f>HYPERLINK("https://klasma.github.io/Logging_0980/tillsynsmail/A 59132-2024 tillsynsbegäran mail.docx", "A 59132-2024")</f>
        <v/>
      </c>
    </row>
    <row r="264" ht="15" customHeight="1">
      <c r="A264" t="inlineStr">
        <is>
          <t>A 19159-2019</t>
        </is>
      </c>
      <c r="B264" s="1" t="n">
        <v>43564</v>
      </c>
      <c r="C264" s="1" t="n">
        <v>45638</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45638</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45638</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45638</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45638</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45638</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45638</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45638</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45638</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45638</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45638</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45638</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45638</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45638</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45638</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45638</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45638</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45638</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45638</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45638</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45638</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45638</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45638</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45638</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45638</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45638</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45638</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45638</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45638</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45638</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45638</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45638</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45638</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45638</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45638</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45638</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45638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45638</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45638</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45638</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45638</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45638</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45638</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45638</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45638</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45638</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45638</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45638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45638</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45638</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45638</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45638</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45638</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45638</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45638</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45638</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45638</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45638</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45638</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45638</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45638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45638</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45638</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45638</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45638</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45638</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45638</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45638</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45638</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45638</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45638</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45638</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45638</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45638</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45638</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45638</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45638</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45638</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45638</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45638</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45638</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45638</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45638</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45638</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45638</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45638</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45638</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45638</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45638</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45638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45638</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45638</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45638</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45638</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45638</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45638</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45638</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45638</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45638</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45638</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45638</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45638</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45638</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45638</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45638</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45638</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45638</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45638</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45638</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45638</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45638</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45638</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45638</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45638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45638</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45638</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45638</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45638</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45638</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45638</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45638</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45638</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45638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45638</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45638</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45638</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45638</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45638</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45638</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45638</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45638</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45638</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45638</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45638</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45638</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45638</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45638</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45638</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45638</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45638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45638</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45638</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45638</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45638</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45638</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45638</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45638</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45638</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45638</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45638</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45638</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45638</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45638</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45638</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45638</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45638</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45638</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45638</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45638</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45638</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45638</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45638</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45638</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45638</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45638</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45638</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45638</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45638</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45638</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45638</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45638</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45638</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45638</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45638</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45638</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45638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45638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45638</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45638</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45638</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45638</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45638</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45638</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45638</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45638</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45638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45638</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45638</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45638</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45638</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45638</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45638</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45638</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45638</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45638</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45638</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45638</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45638</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45638</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45638</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45638</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45638</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45638</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45638</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45638</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45638</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45638</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45638</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45638</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45638</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45638</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45638</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45638</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45638</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45638</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45638</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45638</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45638</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45638</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45638</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45638</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45638</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45638</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45638</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45638</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45638</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45638</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45638</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45638</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45638</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45638</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45638</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45638</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45638</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45638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45638</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45638</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45638</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45638</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45638</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45638</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45638</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45638</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45638</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45638</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45638</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45638</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45638</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45638</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45638</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45638</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45638</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45638</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45638</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45638</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45638</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45638</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45638</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45638</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45638</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45638</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45638</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45638</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45638</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45638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45638</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45638</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45638</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45638</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45638</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45638</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45638</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45638</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45638</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45638</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45638</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45638</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45638</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45638</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45638</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45638</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45638</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45638</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45638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45638</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45638</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45638</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45638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45638</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45638</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45638</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45638</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45638</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45638</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45638</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45638</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45638</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45638</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45638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45638</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45638</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45638</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45638</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45638</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45638</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45638</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45638</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45638</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45638</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45638</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45638</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45638</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45638</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45638</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45638</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45638</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45638</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45638</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45638</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45638</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45638</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45638</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45638</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45638</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45638</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45638</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45638</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45638</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45638</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45638</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45638</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45638</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45638</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45638</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45638</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45638</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45638</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45638</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45638</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45638</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45638</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45638</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45638</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45638</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45638</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45638</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45638</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45638</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45638</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45638</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45638</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45638</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45638</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45638</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45638</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45638</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45638</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45638</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45638</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45638</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45638</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45638</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45638</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45638</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45638</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45638</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45638</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45638</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45638</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45638</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45638</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45638</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45638</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45638</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45638</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45638</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45638</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45638</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45638</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45638</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45638</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45638</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45638</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45638</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45638</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45638</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45638</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45638</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45638</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45638</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45638</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45638</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45638</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45638</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45638</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45638</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45638</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45638</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45638</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45638</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45638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45638</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45638</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45638</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45638</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45638</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45638</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45638</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45638</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45638</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45638</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45638</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45638</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45638</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45638</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45638</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45638</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45638</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45638</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45638</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45638</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45638</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45638</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45638</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45638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45638</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45638</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45638</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45638</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45638</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45638</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45638</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45638</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45638</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45638</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45638</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45638</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45638</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45638</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45638</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45638</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45638</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45638</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45638</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45638</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45638</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45638</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45638</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45638</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45638</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45638</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45638</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45638</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45638</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45638</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45638</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45638</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45638</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45638</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45638</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45638</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45638</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45638</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45638</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45638</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45638</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45638</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45638</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45638</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45638</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45638</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45638</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45638</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45638</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45638</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45638</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45638</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45638</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45638</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45638</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45638</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45638</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45638</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45638</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45638</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45638</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45638</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45638</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45638</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45638</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45638</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45638</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45638</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45638</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45638</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45638</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45638</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45638</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45638</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45638</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45638</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45638</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45638</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45638</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45638</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45638</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45638</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45638</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45638</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45638</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45638</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45638</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45638</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45638</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45638</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45638</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45638</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45638</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45638</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45638</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45638</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45638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45638</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45638</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45638</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45638</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45638</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45638</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45638</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45638</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45638</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45638</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45638</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45638</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45638</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45638</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45638</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45638</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45638</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45638</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45638</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45638</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45638</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45638</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45638</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45638</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45638</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45638</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45638</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45638</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45638</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45638</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45638</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45638</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45638</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45638</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45638</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45638</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45638</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45638</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45638</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45638</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45638</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45638</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45638</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45638</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45638</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45638</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45638</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45638</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45638</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45638</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45638</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45638</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45638</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45638</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45638</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45638</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45638</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45638</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45638</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45638</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45638</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45638</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45638</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45638</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45638</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45638</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45638</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45638</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45638</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45638</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45638</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45638</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45638</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45638</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45638</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45638</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45638</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45638</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45638</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45638</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45638</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45638</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45638</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45638</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45638</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45638</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45638</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45638</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45638</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45638</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45638</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45638</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45638</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45638</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45638</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45638</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45638</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45638</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45638</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45638</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45638</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45638</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45638</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45638</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45638</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45638</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45638</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45638</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45638</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45638</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45638</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45638</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45638</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45638</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45638</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45638</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45638</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45638</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45638</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45638</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45638</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45638</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45638</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45638</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45638</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45638</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45638</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45638</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45638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45638</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45638</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45638</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45638</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45638</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45638</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45638</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45638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45638</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45638</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45638</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45638</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45638</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45638</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45638</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45638</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45638</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45638</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45638</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45638</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45638</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45638</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45638</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45638</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45638</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45638</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45638</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45638</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45638</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45638</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45638</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45638</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45638</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45638</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45638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45638</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45638</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45638</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45638</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45638</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45638</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54355-2024</t>
        </is>
      </c>
      <c r="B956" s="1" t="n">
        <v>45617</v>
      </c>
      <c r="C956" s="1" t="n">
        <v>45638</v>
      </c>
      <c r="D956" t="inlineStr">
        <is>
          <t>GOTLANDS LÄN</t>
        </is>
      </c>
      <c r="E956" t="inlineStr">
        <is>
          <t>GOTLAND</t>
        </is>
      </c>
      <c r="G956" t="n">
        <v>2.6</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45638</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45638</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55435-2024</t>
        </is>
      </c>
      <c r="B959" s="1" t="n">
        <v>45621</v>
      </c>
      <c r="C959" s="1" t="n">
        <v>45638</v>
      </c>
      <c r="D959" t="inlineStr">
        <is>
          <t>GOTLANDS LÄN</t>
        </is>
      </c>
      <c r="E959" t="inlineStr">
        <is>
          <t>GOTLAND</t>
        </is>
      </c>
      <c r="G959" t="n">
        <v>3.1</v>
      </c>
      <c r="H959" t="n">
        <v>0</v>
      </c>
      <c r="I959" t="n">
        <v>0</v>
      </c>
      <c r="J959" t="n">
        <v>0</v>
      </c>
      <c r="K959" t="n">
        <v>0</v>
      </c>
      <c r="L959" t="n">
        <v>0</v>
      </c>
      <c r="M959" t="n">
        <v>0</v>
      </c>
      <c r="N959" t="n">
        <v>0</v>
      </c>
      <c r="O959" t="n">
        <v>0</v>
      </c>
      <c r="P959" t="n">
        <v>0</v>
      </c>
      <c r="Q959" t="n">
        <v>0</v>
      </c>
      <c r="R959" s="2" t="inlineStr"/>
    </row>
    <row r="960" ht="15" customHeight="1">
      <c r="A960" t="inlineStr">
        <is>
          <t>A 55438-2024</t>
        </is>
      </c>
      <c r="B960" s="1" t="n">
        <v>45621</v>
      </c>
      <c r="C960" s="1" t="n">
        <v>45638</v>
      </c>
      <c r="D960" t="inlineStr">
        <is>
          <t>GOTLANDS LÄN</t>
        </is>
      </c>
      <c r="E960" t="inlineStr">
        <is>
          <t>GOTLAND</t>
        </is>
      </c>
      <c r="G960" t="n">
        <v>1.1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45638</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45638</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45638</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58211-2024</t>
        </is>
      </c>
      <c r="B964" s="1" t="n">
        <v>45632</v>
      </c>
      <c r="C964" s="1" t="n">
        <v>45638</v>
      </c>
      <c r="D964" t="inlineStr">
        <is>
          <t>GOTLANDS LÄN</t>
        </is>
      </c>
      <c r="E964" t="inlineStr">
        <is>
          <t>GOTLAND</t>
        </is>
      </c>
      <c r="G964" t="n">
        <v>5.4</v>
      </c>
      <c r="H964" t="n">
        <v>0</v>
      </c>
      <c r="I964" t="n">
        <v>0</v>
      </c>
      <c r="J964" t="n">
        <v>0</v>
      </c>
      <c r="K964" t="n">
        <v>0</v>
      </c>
      <c r="L964" t="n">
        <v>0</v>
      </c>
      <c r="M964" t="n">
        <v>0</v>
      </c>
      <c r="N964" t="n">
        <v>0</v>
      </c>
      <c r="O964" t="n">
        <v>0</v>
      </c>
      <c r="P964" t="n">
        <v>0</v>
      </c>
      <c r="Q964" t="n">
        <v>0</v>
      </c>
      <c r="R964" s="2" t="inlineStr"/>
    </row>
    <row r="965" ht="15" customHeight="1">
      <c r="A965" t="inlineStr">
        <is>
          <t>A 58230-2024</t>
        </is>
      </c>
      <c r="B965" s="1" t="n">
        <v>45632</v>
      </c>
      <c r="C965" s="1" t="n">
        <v>45638</v>
      </c>
      <c r="D965" t="inlineStr">
        <is>
          <t>GOTLANDS LÄN</t>
        </is>
      </c>
      <c r="E965" t="inlineStr">
        <is>
          <t>GOTLAND</t>
        </is>
      </c>
      <c r="G965" t="n">
        <v>7.3</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45638</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45638</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2024-12-12T15:43:00Z</dcterms:created>
  <dcterms:modified xmlns:dcterms="http://purl.org/dc/terms/" xmlns:xsi="http://www.w3.org/2001/XMLSchema-instance" xsi:type="dcterms:W3CDTF">2024-12-12T15:43:01Z</dcterms:modified>
</cp:coreProperties>
</file>