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46139</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46139</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46139</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46139</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46139</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46139</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46139</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46139</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46139</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6913-2025</t>
        </is>
      </c>
      <c r="B21" s="1" t="n">
        <v>45701.43809027778</v>
      </c>
      <c r="C21" s="1" t="n">
        <v>46139</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34100-2024</t>
        </is>
      </c>
      <c r="B22" s="1" t="n">
        <v>45523</v>
      </c>
      <c r="C22" s="1" t="n">
        <v>46139</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46139</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46139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62132-2023</t>
        </is>
      </c>
      <c r="B25" s="1" t="n">
        <v>45267</v>
      </c>
      <c r="C25" s="1" t="n">
        <v>46139</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15629-2024</t>
        </is>
      </c>
      <c r="B26" s="1" t="n">
        <v>45402.78372685185</v>
      </c>
      <c r="C26" s="1" t="n">
        <v>46139</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46139</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46139</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46139</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46139</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46139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46139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46139</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28287-2024</t>
        </is>
      </c>
      <c r="B35" s="1" t="n">
        <v>45477</v>
      </c>
      <c r="C35" s="1" t="n">
        <v>46139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3324-2023</t>
        </is>
      </c>
      <c r="B36" s="1" t="n">
        <v>44949</v>
      </c>
      <c r="C36" s="1" t="n">
        <v>46139</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46139</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46139</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46139</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46139</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46139</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46139</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46139</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46139</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14354-2024</t>
        </is>
      </c>
      <c r="B46" s="1" t="n">
        <v>45393</v>
      </c>
      <c r="C46" s="1" t="n">
        <v>46139</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46139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46139</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46139</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46139</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46139</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46139</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39376-2023</t>
        </is>
      </c>
      <c r="B53" s="1" t="n">
        <v>45166</v>
      </c>
      <c r="C53" s="1" t="n">
        <v>46139</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46139</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2649-2023</t>
        </is>
      </c>
      <c r="B56" s="1" t="n">
        <v>44943</v>
      </c>
      <c r="C56" s="1" t="n">
        <v>46139</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46139</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46139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46139</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46139</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46139</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46139</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46139</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46139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46139</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46139</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25205-2021</t>
        </is>
      </c>
      <c r="B67" s="1" t="n">
        <v>44342</v>
      </c>
      <c r="C67" s="1" t="n">
        <v>46139</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46139</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46139</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46139</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46139</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46139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46139</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66091-2021</t>
        </is>
      </c>
      <c r="B76" s="1" t="n">
        <v>44517</v>
      </c>
      <c r="C76" s="1" t="n">
        <v>46139</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46139</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16375-2025</t>
        </is>
      </c>
      <c r="B78" s="1" t="n">
        <v>45751.41064814815</v>
      </c>
      <c r="C78" s="1" t="n">
        <v>46139</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46139</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52245-2025</t>
        </is>
      </c>
      <c r="B80" s="1" t="n">
        <v>45953.47115740741</v>
      </c>
      <c r="C80" s="1" t="n">
        <v>46139</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46139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6839-2026</t>
        </is>
      </c>
      <c r="B82" s="1" t="n">
        <v>46057.41193287037</v>
      </c>
      <c r="C82" s="1" t="n">
        <v>46139</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46139</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46139</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46139</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46139</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46139</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46139</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44933-2022</t>
        </is>
      </c>
      <c r="B89" s="1" t="n">
        <v>44841</v>
      </c>
      <c r="C89" s="1" t="n">
        <v>46139</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40099-2025</t>
        </is>
      </c>
      <c r="B90" s="1" t="n">
        <v>45894.48462962963</v>
      </c>
      <c r="C90" s="1" t="n">
        <v>46139</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46139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2485-2025</t>
        </is>
      </c>
      <c r="B92" s="1" t="n">
        <v>45673</v>
      </c>
      <c r="C92" s="1" t="n">
        <v>46139</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46139</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46139</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20833-2024</t>
        </is>
      </c>
      <c r="B95" s="1" t="n">
        <v>45439</v>
      </c>
      <c r="C95" s="1" t="n">
        <v>46139</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46139</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46139</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46139</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46139</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186-2023</t>
        </is>
      </c>
      <c r="B100" s="1" t="n">
        <v>44928</v>
      </c>
      <c r="C100" s="1" t="n">
        <v>46139</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57463-2025</t>
        </is>
      </c>
      <c r="B101" s="1" t="n">
        <v>45980.54174768519</v>
      </c>
      <c r="C101" s="1" t="n">
        <v>46139</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13203-2026</t>
        </is>
      </c>
      <c r="B102" s="1" t="n">
        <v>46093</v>
      </c>
      <c r="C102" s="1" t="n">
        <v>46139</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8265-2023</t>
        </is>
      </c>
      <c r="B103" s="1" t="n">
        <v>44974</v>
      </c>
      <c r="C103" s="1" t="n">
        <v>46139</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44323-2021</t>
        </is>
      </c>
      <c r="B104" s="1" t="n">
        <v>44434</v>
      </c>
      <c r="C104" s="1" t="n">
        <v>46139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46139</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46139</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48126-2022</t>
        </is>
      </c>
      <c r="B108" s="1" t="n">
        <v>44857</v>
      </c>
      <c r="C108" s="1" t="n">
        <v>46139</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46139</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46139</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46139</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46139</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46139</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30490-2025</t>
        </is>
      </c>
      <c r="B114" s="1" t="n">
        <v>45830</v>
      </c>
      <c r="C114" s="1" t="n">
        <v>46139</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17975-2024</t>
        </is>
      </c>
      <c r="B115" s="1" t="n">
        <v>45419.85546296297</v>
      </c>
      <c r="C115" s="1" t="n">
        <v>46139</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20831-2024</t>
        </is>
      </c>
      <c r="B116" s="1" t="n">
        <v>45439</v>
      </c>
      <c r="C116" s="1" t="n">
        <v>46139</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46139</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46139</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46139</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46139</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46139</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46139</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46139</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46139</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28276-2024</t>
        </is>
      </c>
      <c r="B125" s="1" t="n">
        <v>45477</v>
      </c>
      <c r="C125" s="1" t="n">
        <v>46139</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28261-2024</t>
        </is>
      </c>
      <c r="B126" s="1" t="n">
        <v>45477</v>
      </c>
      <c r="C126" s="1" t="n">
        <v>46139</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46139</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46139</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46139</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46139</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46139</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46139</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46139</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46139</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62760-2025</t>
        </is>
      </c>
      <c r="B135" s="1" t="n">
        <v>46008</v>
      </c>
      <c r="C135" s="1" t="n">
        <v>46139</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16997-2026</t>
        </is>
      </c>
      <c r="B136" s="1" t="n">
        <v>46114.42539351852</v>
      </c>
      <c r="C136" s="1" t="n">
        <v>46139</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26077-2024</t>
        </is>
      </c>
      <c r="B137" s="1" t="n">
        <v>45467</v>
      </c>
      <c r="C137" s="1" t="n">
        <v>46139</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46139</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46362-2021</t>
        </is>
      </c>
      <c r="B139" s="1" t="n">
        <v>44442</v>
      </c>
      <c r="C139" s="1" t="n">
        <v>46139</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49847-2023</t>
        </is>
      </c>
      <c r="B140" s="1" t="n">
        <v>45212</v>
      </c>
      <c r="C140" s="1" t="n">
        <v>46139</v>
      </c>
      <c r="D140" t="inlineStr">
        <is>
          <t>GOTLANDS LÄN</t>
        </is>
      </c>
      <c r="E140" t="inlineStr">
        <is>
          <t>GOTLAND</t>
        </is>
      </c>
      <c r="G140" t="n">
        <v>35.2</v>
      </c>
      <c r="H140" t="n">
        <v>0</v>
      </c>
      <c r="I140" t="n">
        <v>0</v>
      </c>
      <c r="J140" t="n">
        <v>0</v>
      </c>
      <c r="K140" t="n">
        <v>1</v>
      </c>
      <c r="L140" t="n">
        <v>0</v>
      </c>
      <c r="M140" t="n">
        <v>0</v>
      </c>
      <c r="N140" t="n">
        <v>0</v>
      </c>
      <c r="O140" t="n">
        <v>1</v>
      </c>
      <c r="P140" t="n">
        <v>1</v>
      </c>
      <c r="Q140" t="n">
        <v>1</v>
      </c>
      <c r="R140" s="2" t="inlineStr">
        <is>
          <t>Strandviol</t>
        </is>
      </c>
      <c r="S140">
        <f>HYPERLINK("https://klasma.github.io/Logging_0980/artfynd/A 49847-2023 artfynd.xlsx", "A 49847-2023")</f>
        <v/>
      </c>
      <c r="T140">
        <f>HYPERLINK("https://klasma.github.io/Logging_0980/kartor/A 49847-2023 karta.png", "A 49847-2023")</f>
        <v/>
      </c>
      <c r="V140">
        <f>HYPERLINK("https://klasma.github.io/Logging_0980/klagomål/A 49847-2023 FSC-klagomål.docx", "A 49847-2023")</f>
        <v/>
      </c>
      <c r="W140">
        <f>HYPERLINK("https://klasma.github.io/Logging_0980/klagomålsmail/A 49847-2023 FSC-klagomål mail.docx", "A 49847-2023")</f>
        <v/>
      </c>
      <c r="X140">
        <f>HYPERLINK("https://klasma.github.io/Logging_0980/tillsyn/A 49847-2023 tillsynsbegäran.docx", "A 49847-2023")</f>
        <v/>
      </c>
      <c r="Y140">
        <f>HYPERLINK("https://klasma.github.io/Logging_0980/tillsynsmail/A 49847-2023 tillsynsbegäran mail.docx", "A 49847-2023")</f>
        <v/>
      </c>
    </row>
    <row r="141" ht="15" customHeight="1">
      <c r="A141" t="inlineStr">
        <is>
          <t>A 6303-2024</t>
        </is>
      </c>
      <c r="B141" s="1" t="n">
        <v>45338.35376157407</v>
      </c>
      <c r="C141" s="1" t="n">
        <v>46139</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62552-2022</t>
        </is>
      </c>
      <c r="B142" s="1" t="n">
        <v>44924</v>
      </c>
      <c r="C142" s="1" t="n">
        <v>46139</v>
      </c>
      <c r="D142" t="inlineStr">
        <is>
          <t>GOTLANDS LÄN</t>
        </is>
      </c>
      <c r="E142" t="inlineStr">
        <is>
          <t>GOTLAND</t>
        </is>
      </c>
      <c r="G142" t="n">
        <v>1.6</v>
      </c>
      <c r="H142" t="n">
        <v>0</v>
      </c>
      <c r="I142" t="n">
        <v>0</v>
      </c>
      <c r="J142" t="n">
        <v>1</v>
      </c>
      <c r="K142" t="n">
        <v>0</v>
      </c>
      <c r="L142" t="n">
        <v>0</v>
      </c>
      <c r="M142" t="n">
        <v>0</v>
      </c>
      <c r="N142" t="n">
        <v>0</v>
      </c>
      <c r="O142" t="n">
        <v>1</v>
      </c>
      <c r="P142" t="n">
        <v>0</v>
      </c>
      <c r="Q142" t="n">
        <v>1</v>
      </c>
      <c r="R142" s="2" t="inlineStr">
        <is>
          <t>Äggspindling</t>
        </is>
      </c>
      <c r="S142">
        <f>HYPERLINK("https://klasma.github.io/Logging_0980/artfynd/A 62552-2022 artfynd.xlsx", "A 62552-2022")</f>
        <v/>
      </c>
      <c r="T142">
        <f>HYPERLINK("https://klasma.github.io/Logging_0980/kartor/A 62552-2022 karta.png", "A 62552-2022")</f>
        <v/>
      </c>
      <c r="V142">
        <f>HYPERLINK("https://klasma.github.io/Logging_0980/klagomål/A 62552-2022 FSC-klagomål.docx", "A 62552-2022")</f>
        <v/>
      </c>
      <c r="W142">
        <f>HYPERLINK("https://klasma.github.io/Logging_0980/klagomålsmail/A 62552-2022 FSC-klagomål mail.docx", "A 62552-2022")</f>
        <v/>
      </c>
      <c r="X142">
        <f>HYPERLINK("https://klasma.github.io/Logging_0980/tillsyn/A 62552-2022 tillsynsbegäran.docx", "A 62552-2022")</f>
        <v/>
      </c>
      <c r="Y142">
        <f>HYPERLINK("https://klasma.github.io/Logging_0980/tillsynsmail/A 62552-2022 tillsynsbegäran mail.docx", "A 62552-2022")</f>
        <v/>
      </c>
    </row>
    <row r="143" ht="15" customHeight="1">
      <c r="A143" t="inlineStr">
        <is>
          <t>A 25977-2024</t>
        </is>
      </c>
      <c r="B143" s="1" t="n">
        <v>45467.69356481481</v>
      </c>
      <c r="C143" s="1" t="n">
        <v>46139</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24245-2022</t>
        </is>
      </c>
      <c r="B144" s="1" t="n">
        <v>44725</v>
      </c>
      <c r="C144" s="1" t="n">
        <v>46139</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46139</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27589-2023</t>
        </is>
      </c>
      <c r="B146" s="1" t="n">
        <v>45097</v>
      </c>
      <c r="C146" s="1" t="n">
        <v>46139</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39812-2025</t>
        </is>
      </c>
      <c r="B147" s="1" t="n">
        <v>45891</v>
      </c>
      <c r="C147" s="1" t="n">
        <v>46139</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10995-2023</t>
        </is>
      </c>
      <c r="B148" s="1" t="n">
        <v>44986</v>
      </c>
      <c r="C148" s="1" t="n">
        <v>46139</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63576-2021</t>
        </is>
      </c>
      <c r="B149" s="1" t="n">
        <v>44508</v>
      </c>
      <c r="C149" s="1" t="n">
        <v>46139</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44308-2021</t>
        </is>
      </c>
      <c r="B150" s="1" t="n">
        <v>44434</v>
      </c>
      <c r="C150" s="1" t="n">
        <v>46139</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21466-2025</t>
        </is>
      </c>
      <c r="B151" s="1" t="n">
        <v>45782</v>
      </c>
      <c r="C151" s="1" t="n">
        <v>46139</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46527-2023</t>
        </is>
      </c>
      <c r="B152" s="1" t="n">
        <v>45197</v>
      </c>
      <c r="C152" s="1" t="n">
        <v>46139</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35467-2021</t>
        </is>
      </c>
      <c r="B153" s="1" t="n">
        <v>44385</v>
      </c>
      <c r="C153" s="1" t="n">
        <v>46139</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46139</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10440-2024</t>
        </is>
      </c>
      <c r="B155" s="1" t="n">
        <v>45366.32818287037</v>
      </c>
      <c r="C155" s="1" t="n">
        <v>46139</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65927-2021</t>
        </is>
      </c>
      <c r="B156" s="1" t="n">
        <v>44516</v>
      </c>
      <c r="C156" s="1" t="n">
        <v>46139</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46139</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26461-2025</t>
        </is>
      </c>
      <c r="B158" s="1" t="n">
        <v>45807.43337962963</v>
      </c>
      <c r="C158" s="1" t="n">
        <v>46139</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49726-2025</t>
        </is>
      </c>
      <c r="B159" s="1" t="n">
        <v>45939.84466435185</v>
      </c>
      <c r="C159" s="1" t="n">
        <v>46139</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61561-2023</t>
        </is>
      </c>
      <c r="B160" s="1" t="n">
        <v>45265</v>
      </c>
      <c r="C160" s="1" t="n">
        <v>46139</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9862-2024</t>
        </is>
      </c>
      <c r="B161" s="1" t="n">
        <v>45363</v>
      </c>
      <c r="C161" s="1" t="n">
        <v>46139</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46139</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12324-2025</t>
        </is>
      </c>
      <c r="B163" s="1" t="n">
        <v>45730</v>
      </c>
      <c r="C163" s="1" t="n">
        <v>46139</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12924-2025</t>
        </is>
      </c>
      <c r="B164" s="1" t="n">
        <v>45734</v>
      </c>
      <c r="C164" s="1" t="n">
        <v>46139</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2476-2025</t>
        </is>
      </c>
      <c r="B165" s="1" t="n">
        <v>45673</v>
      </c>
      <c r="C165" s="1" t="n">
        <v>46139</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46139</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46139</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46139</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46139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46139</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46139</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10013-2026</t>
        </is>
      </c>
      <c r="B172" s="1" t="n">
        <v>46073</v>
      </c>
      <c r="C172" s="1" t="n">
        <v>46139</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1477-2024</t>
        </is>
      </c>
      <c r="B173" s="1" t="n">
        <v>45305.37987268518</v>
      </c>
      <c r="C173" s="1" t="n">
        <v>46139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63149-2025</t>
        </is>
      </c>
      <c r="B174" s="1" t="n">
        <v>46010</v>
      </c>
      <c r="C174" s="1" t="n">
        <v>46139</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17854-2026</t>
        </is>
      </c>
      <c r="B175" s="1" t="n">
        <v>46121</v>
      </c>
      <c r="C175" s="1" t="n">
        <v>46139</v>
      </c>
      <c r="D175" t="inlineStr">
        <is>
          <t>GOTLANDS LÄN</t>
        </is>
      </c>
      <c r="E175" t="inlineStr">
        <is>
          <t>GOTLAND</t>
        </is>
      </c>
      <c r="G175" t="n">
        <v>6.6</v>
      </c>
      <c r="H175" t="n">
        <v>0</v>
      </c>
      <c r="I175" t="n">
        <v>1</v>
      </c>
      <c r="J175" t="n">
        <v>0</v>
      </c>
      <c r="K175" t="n">
        <v>0</v>
      </c>
      <c r="L175" t="n">
        <v>0</v>
      </c>
      <c r="M175" t="n">
        <v>0</v>
      </c>
      <c r="N175" t="n">
        <v>0</v>
      </c>
      <c r="O175" t="n">
        <v>0</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11708-2026</t>
        </is>
      </c>
      <c r="B176" s="1" t="n">
        <v>46084</v>
      </c>
      <c r="C176" s="1" t="n">
        <v>46139</v>
      </c>
      <c r="D176" t="inlineStr">
        <is>
          <t>GOTLANDS LÄN</t>
        </is>
      </c>
      <c r="E176" t="inlineStr">
        <is>
          <t>GOTLAND</t>
        </is>
      </c>
      <c r="G176" t="n">
        <v>8.4</v>
      </c>
      <c r="H176" t="n">
        <v>1</v>
      </c>
      <c r="I176" t="n">
        <v>0</v>
      </c>
      <c r="J176" t="n">
        <v>1</v>
      </c>
      <c r="K176" t="n">
        <v>0</v>
      </c>
      <c r="L176" t="n">
        <v>0</v>
      </c>
      <c r="M176" t="n">
        <v>0</v>
      </c>
      <c r="N176" t="n">
        <v>0</v>
      </c>
      <c r="O176" t="n">
        <v>1</v>
      </c>
      <c r="P176" t="n">
        <v>0</v>
      </c>
      <c r="Q176" t="n">
        <v>1</v>
      </c>
      <c r="R176" s="2" t="inlineStr">
        <is>
          <t>Bredarun</t>
        </is>
      </c>
      <c r="S176">
        <f>HYPERLINK("https://klasma.github.io/Logging_0980/artfynd/A 11708-2026 artfynd.xlsx", "A 11708-2026")</f>
        <v/>
      </c>
      <c r="T176">
        <f>HYPERLINK("https://klasma.github.io/Logging_0980/kartor/A 11708-2026 karta.png", "A 11708-2026")</f>
        <v/>
      </c>
      <c r="V176">
        <f>HYPERLINK("https://klasma.github.io/Logging_0980/klagomål/A 11708-2026 FSC-klagomål.docx", "A 11708-2026")</f>
        <v/>
      </c>
      <c r="W176">
        <f>HYPERLINK("https://klasma.github.io/Logging_0980/klagomålsmail/A 11708-2026 FSC-klagomål mail.docx", "A 11708-2026")</f>
        <v/>
      </c>
      <c r="X176">
        <f>HYPERLINK("https://klasma.github.io/Logging_0980/tillsyn/A 11708-2026 tillsynsbegäran.docx", "A 11708-2026")</f>
        <v/>
      </c>
      <c r="Y176">
        <f>HYPERLINK("https://klasma.github.io/Logging_0980/tillsynsmail/A 11708-2026 tillsynsbegäran mail.docx", "A 11708-2026")</f>
        <v/>
      </c>
    </row>
    <row r="177" ht="15" customHeight="1">
      <c r="A177" t="inlineStr">
        <is>
          <t>A 18036-2026</t>
        </is>
      </c>
      <c r="B177" s="1" t="n">
        <v>46125.39576388889</v>
      </c>
      <c r="C177" s="1" t="n">
        <v>46139</v>
      </c>
      <c r="D177" t="inlineStr">
        <is>
          <t>GOTLANDS LÄN</t>
        </is>
      </c>
      <c r="E177" t="inlineStr">
        <is>
          <t>GOTLAND</t>
        </is>
      </c>
      <c r="G177" t="n">
        <v>1.8</v>
      </c>
      <c r="H177" t="n">
        <v>0</v>
      </c>
      <c r="I177" t="n">
        <v>0</v>
      </c>
      <c r="J177" t="n">
        <v>1</v>
      </c>
      <c r="K177" t="n">
        <v>0</v>
      </c>
      <c r="L177" t="n">
        <v>0</v>
      </c>
      <c r="M177" t="n">
        <v>0</v>
      </c>
      <c r="N177" t="n">
        <v>0</v>
      </c>
      <c r="O177" t="n">
        <v>1</v>
      </c>
      <c r="P177" t="n">
        <v>0</v>
      </c>
      <c r="Q177" t="n">
        <v>1</v>
      </c>
      <c r="R177" s="2" t="inlineStr">
        <is>
          <t>Sommarfibbla</t>
        </is>
      </c>
      <c r="S177">
        <f>HYPERLINK("https://klasma.github.io/Logging_0980/artfynd/A 18036-2026 artfynd.xlsx", "A 18036-2026")</f>
        <v/>
      </c>
      <c r="T177">
        <f>HYPERLINK("https://klasma.github.io/Logging_0980/kartor/A 18036-2026 karta.png", "A 18036-2026")</f>
        <v/>
      </c>
      <c r="V177">
        <f>HYPERLINK("https://klasma.github.io/Logging_0980/klagomål/A 18036-2026 FSC-klagomål.docx", "A 18036-2026")</f>
        <v/>
      </c>
      <c r="W177">
        <f>HYPERLINK("https://klasma.github.io/Logging_0980/klagomålsmail/A 18036-2026 FSC-klagomål mail.docx", "A 18036-2026")</f>
        <v/>
      </c>
      <c r="X177">
        <f>HYPERLINK("https://klasma.github.io/Logging_0980/tillsyn/A 18036-2026 tillsynsbegäran.docx", "A 18036-2026")</f>
        <v/>
      </c>
      <c r="Y177">
        <f>HYPERLINK("https://klasma.github.io/Logging_0980/tillsynsmail/A 18036-2026 tillsynsbegäran mail.docx", "A 18036-2026")</f>
        <v/>
      </c>
    </row>
    <row r="178" ht="15" customHeight="1">
      <c r="A178" t="inlineStr">
        <is>
          <t>A 7637-2025</t>
        </is>
      </c>
      <c r="B178" s="1" t="n">
        <v>45705.77181712963</v>
      </c>
      <c r="C178" s="1" t="n">
        <v>46139</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13482-2026</t>
        </is>
      </c>
      <c r="B179" s="1" t="n">
        <v>46094</v>
      </c>
      <c r="C179" s="1" t="n">
        <v>46139</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61796-2022</t>
        </is>
      </c>
      <c r="B180" s="1" t="n">
        <v>44917</v>
      </c>
      <c r="C180" s="1" t="n">
        <v>46139</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46139</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46139</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46139</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46139</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46139</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46139</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46139</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46139</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46139</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46139</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46139</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46139</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46139</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46139</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46139</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46139</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46139</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46139</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46139</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46139</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46139</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46139</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46139</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46139</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46139</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46139</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22155-2021</t>
        </is>
      </c>
      <c r="B209" s="1" t="n">
        <v>44325.49369212963</v>
      </c>
      <c r="C209" s="1" t="n">
        <v>46139</v>
      </c>
      <c r="D209" t="inlineStr">
        <is>
          <t>GOTLANDS LÄN</t>
        </is>
      </c>
      <c r="E209" t="inlineStr">
        <is>
          <t>GOTLAND</t>
        </is>
      </c>
      <c r="G209" t="n">
        <v>1.1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46139</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46139</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46139</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46139</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46139</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46139</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46139</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46139</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27694-2024</t>
        </is>
      </c>
      <c r="B218" s="1" t="n">
        <v>45475</v>
      </c>
      <c r="C218" s="1" t="n">
        <v>46139</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46139</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25866-2022</t>
        </is>
      </c>
      <c r="B220" s="1" t="n">
        <v>44733</v>
      </c>
      <c r="C220" s="1" t="n">
        <v>46139</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39764-2022</t>
        </is>
      </c>
      <c r="B221" s="1" t="n">
        <v>44819</v>
      </c>
      <c r="C221" s="1" t="n">
        <v>46139</v>
      </c>
      <c r="D221" t="inlineStr">
        <is>
          <t>GOTLANDS LÄN</t>
        </is>
      </c>
      <c r="E221" t="inlineStr">
        <is>
          <t>GOTLAND</t>
        </is>
      </c>
      <c r="F221" t="inlineStr">
        <is>
          <t>Kyrkan</t>
        </is>
      </c>
      <c r="G221" t="n">
        <v>3.7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46139</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6099-2024</t>
        </is>
      </c>
      <c r="B224" s="1" t="n">
        <v>45337</v>
      </c>
      <c r="C224" s="1" t="n">
        <v>46139</v>
      </c>
      <c r="D224" t="inlineStr">
        <is>
          <t>GOTLANDS LÄN</t>
        </is>
      </c>
      <c r="E224" t="inlineStr">
        <is>
          <t>GOTLAND</t>
        </is>
      </c>
      <c r="G224" t="n">
        <v>12.6</v>
      </c>
      <c r="H224" t="n">
        <v>0</v>
      </c>
      <c r="I224" t="n">
        <v>0</v>
      </c>
      <c r="J224" t="n">
        <v>0</v>
      </c>
      <c r="K224" t="n">
        <v>0</v>
      </c>
      <c r="L224" t="n">
        <v>0</v>
      </c>
      <c r="M224" t="n">
        <v>0</v>
      </c>
      <c r="N224" t="n">
        <v>0</v>
      </c>
      <c r="O224" t="n">
        <v>0</v>
      </c>
      <c r="P224" t="n">
        <v>0</v>
      </c>
      <c r="Q224" t="n">
        <v>0</v>
      </c>
      <c r="R224" s="2" t="inlineStr"/>
    </row>
    <row r="225" ht="15" customHeight="1">
      <c r="A225" t="inlineStr">
        <is>
          <t>A 9887-2025</t>
        </is>
      </c>
      <c r="B225" s="1" t="n">
        <v>45716</v>
      </c>
      <c r="C225" s="1" t="n">
        <v>46139</v>
      </c>
      <c r="D225" t="inlineStr">
        <is>
          <t>GOTLANDS LÄN</t>
        </is>
      </c>
      <c r="E225" t="inlineStr">
        <is>
          <t>GOTLAND</t>
        </is>
      </c>
      <c r="G225" t="n">
        <v>7.5</v>
      </c>
      <c r="H225" t="n">
        <v>0</v>
      </c>
      <c r="I225" t="n">
        <v>0</v>
      </c>
      <c r="J225" t="n">
        <v>0</v>
      </c>
      <c r="K225" t="n">
        <v>0</v>
      </c>
      <c r="L225" t="n">
        <v>0</v>
      </c>
      <c r="M225" t="n">
        <v>0</v>
      </c>
      <c r="N225" t="n">
        <v>0</v>
      </c>
      <c r="O225" t="n">
        <v>0</v>
      </c>
      <c r="P225" t="n">
        <v>0</v>
      </c>
      <c r="Q225" t="n">
        <v>0</v>
      </c>
      <c r="R225" s="2" t="inlineStr"/>
    </row>
    <row r="226" ht="15" customHeight="1">
      <c r="A226" t="inlineStr">
        <is>
          <t>A 12209-2024</t>
        </is>
      </c>
      <c r="B226" s="1" t="n">
        <v>45378</v>
      </c>
      <c r="C226" s="1" t="n">
        <v>46139</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12210-2024</t>
        </is>
      </c>
      <c r="B227" s="1" t="n">
        <v>45378</v>
      </c>
      <c r="C227" s="1" t="n">
        <v>46139</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8260-2023</t>
        </is>
      </c>
      <c r="B228" s="1" t="n">
        <v>44974.61608796296</v>
      </c>
      <c r="C228" s="1" t="n">
        <v>46139</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59986-2022</t>
        </is>
      </c>
      <c r="B229" s="1" t="n">
        <v>44909</v>
      </c>
      <c r="C229" s="1" t="n">
        <v>46139</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46139</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46139</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46139</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31802-2024</t>
        </is>
      </c>
      <c r="B233" s="1" t="n">
        <v>45509</v>
      </c>
      <c r="C233" s="1" t="n">
        <v>46139</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46139</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15042-2025</t>
        </is>
      </c>
      <c r="B235" s="1" t="n">
        <v>45743</v>
      </c>
      <c r="C235" s="1" t="n">
        <v>46139</v>
      </c>
      <c r="D235" t="inlineStr">
        <is>
          <t>GOTLANDS LÄN</t>
        </is>
      </c>
      <c r="E235" t="inlineStr">
        <is>
          <t>GOTLAND</t>
        </is>
      </c>
      <c r="G235" t="n">
        <v>8.5</v>
      </c>
      <c r="H235" t="n">
        <v>0</v>
      </c>
      <c r="I235" t="n">
        <v>0</v>
      </c>
      <c r="J235" t="n">
        <v>0</v>
      </c>
      <c r="K235" t="n">
        <v>0</v>
      </c>
      <c r="L235" t="n">
        <v>0</v>
      </c>
      <c r="M235" t="n">
        <v>0</v>
      </c>
      <c r="N235" t="n">
        <v>0</v>
      </c>
      <c r="O235" t="n">
        <v>0</v>
      </c>
      <c r="P235" t="n">
        <v>0</v>
      </c>
      <c r="Q235" t="n">
        <v>0</v>
      </c>
      <c r="R235" s="2" t="inlineStr"/>
    </row>
    <row r="236" ht="15" customHeight="1">
      <c r="A236" t="inlineStr">
        <is>
          <t>A 22287-2022</t>
        </is>
      </c>
      <c r="B236" s="1" t="n">
        <v>44712</v>
      </c>
      <c r="C236" s="1" t="n">
        <v>46139</v>
      </c>
      <c r="D236" t="inlineStr">
        <is>
          <t>GOTLANDS LÄN</t>
        </is>
      </c>
      <c r="E236" t="inlineStr">
        <is>
          <t>GOTLAND</t>
        </is>
      </c>
      <c r="G236" t="n">
        <v>6.1</v>
      </c>
      <c r="H236" t="n">
        <v>0</v>
      </c>
      <c r="I236" t="n">
        <v>0</v>
      </c>
      <c r="J236" t="n">
        <v>0</v>
      </c>
      <c r="K236" t="n">
        <v>0</v>
      </c>
      <c r="L236" t="n">
        <v>0</v>
      </c>
      <c r="M236" t="n">
        <v>0</v>
      </c>
      <c r="N236" t="n">
        <v>0</v>
      </c>
      <c r="O236" t="n">
        <v>0</v>
      </c>
      <c r="P236" t="n">
        <v>0</v>
      </c>
      <c r="Q236" t="n">
        <v>0</v>
      </c>
      <c r="R236" s="2" t="inlineStr"/>
    </row>
    <row r="237" ht="15" customHeight="1">
      <c r="A237" t="inlineStr">
        <is>
          <t>A 12327-2025</t>
        </is>
      </c>
      <c r="B237" s="1" t="n">
        <v>45730</v>
      </c>
      <c r="C237" s="1" t="n">
        <v>46139</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46139</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57534-2022</t>
        </is>
      </c>
      <c r="B239" s="1" t="n">
        <v>44896</v>
      </c>
      <c r="C239" s="1" t="n">
        <v>46139</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4420-2025</t>
        </is>
      </c>
      <c r="B240" s="1" t="n">
        <v>45686.47157407407</v>
      </c>
      <c r="C240" s="1" t="n">
        <v>46139</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46139</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12599-2025</t>
        </is>
      </c>
      <c r="B242" s="1" t="n">
        <v>45733.29546296296</v>
      </c>
      <c r="C242" s="1" t="n">
        <v>46139</v>
      </c>
      <c r="D242" t="inlineStr">
        <is>
          <t>GOTLANDS LÄN</t>
        </is>
      </c>
      <c r="E242" t="inlineStr">
        <is>
          <t>GOTLAND</t>
        </is>
      </c>
      <c r="G242" t="n">
        <v>4.7</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46139</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64660-2023</t>
        </is>
      </c>
      <c r="B244" s="1" t="n">
        <v>45281.60122685185</v>
      </c>
      <c r="C244" s="1" t="n">
        <v>46139</v>
      </c>
      <c r="D244" t="inlineStr">
        <is>
          <t>GOTLANDS LÄN</t>
        </is>
      </c>
      <c r="E244" t="inlineStr">
        <is>
          <t>GOTLAND</t>
        </is>
      </c>
      <c r="G244" t="n">
        <v>6.3</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46139</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46139</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46139</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46139</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46139</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46139</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46139</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20356-2022</t>
        </is>
      </c>
      <c r="B252" s="1" t="n">
        <v>44699</v>
      </c>
      <c r="C252" s="1" t="n">
        <v>46139</v>
      </c>
      <c r="D252" t="inlineStr">
        <is>
          <t>GOTLANDS LÄN</t>
        </is>
      </c>
      <c r="E252" t="inlineStr">
        <is>
          <t>GOTLAND</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46139</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20855-2023</t>
        </is>
      </c>
      <c r="B254" s="1" t="n">
        <v>45058.82172453704</v>
      </c>
      <c r="C254" s="1" t="n">
        <v>46139</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46139</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46139</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27596-2023</t>
        </is>
      </c>
      <c r="B257" s="1" t="n">
        <v>45097</v>
      </c>
      <c r="C257" s="1" t="n">
        <v>46139</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46139</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46139</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64969-2023</t>
        </is>
      </c>
      <c r="B260" s="1" t="n">
        <v>45284.54009259259</v>
      </c>
      <c r="C260" s="1" t="n">
        <v>46139</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46139</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33853-2024</t>
        </is>
      </c>
      <c r="B262" s="1" t="n">
        <v>45520.64298611111</v>
      </c>
      <c r="C262" s="1" t="n">
        <v>46139</v>
      </c>
      <c r="D262" t="inlineStr">
        <is>
          <t>GOTLANDS LÄN</t>
        </is>
      </c>
      <c r="E262" t="inlineStr">
        <is>
          <t>GOTLAND</t>
        </is>
      </c>
      <c r="G262" t="n">
        <v>3.9</v>
      </c>
      <c r="H262" t="n">
        <v>0</v>
      </c>
      <c r="I262" t="n">
        <v>0</v>
      </c>
      <c r="J262" t="n">
        <v>0</v>
      </c>
      <c r="K262" t="n">
        <v>0</v>
      </c>
      <c r="L262" t="n">
        <v>0</v>
      </c>
      <c r="M262" t="n">
        <v>0</v>
      </c>
      <c r="N262" t="n">
        <v>0</v>
      </c>
      <c r="O262" t="n">
        <v>0</v>
      </c>
      <c r="P262" t="n">
        <v>0</v>
      </c>
      <c r="Q262" t="n">
        <v>0</v>
      </c>
      <c r="R262" s="2" t="inlineStr"/>
    </row>
    <row r="263" ht="15" customHeight="1">
      <c r="A263" t="inlineStr">
        <is>
          <t>A 18223-2025</t>
        </is>
      </c>
      <c r="B263" s="1" t="n">
        <v>45761</v>
      </c>
      <c r="C263" s="1" t="n">
        <v>46139</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60709-2023</t>
        </is>
      </c>
      <c r="B264" s="1" t="n">
        <v>45260</v>
      </c>
      <c r="C264" s="1" t="n">
        <v>46139</v>
      </c>
      <c r="D264" t="inlineStr">
        <is>
          <t>GOTLANDS LÄN</t>
        </is>
      </c>
      <c r="E264" t="inlineStr">
        <is>
          <t>GOTLAND</t>
        </is>
      </c>
      <c r="G264" t="n">
        <v>1.7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46139</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46139</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39479-2022</t>
        </is>
      </c>
      <c r="B267" s="1" t="n">
        <v>44818</v>
      </c>
      <c r="C267" s="1" t="n">
        <v>46139</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39496-2022</t>
        </is>
      </c>
      <c r="B268" s="1" t="n">
        <v>44818</v>
      </c>
      <c r="C268" s="1" t="n">
        <v>46139</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46139</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46139</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46139</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1000-2024</t>
        </is>
      </c>
      <c r="B272" s="1" t="n">
        <v>45301.63371527778</v>
      </c>
      <c r="C272" s="1" t="n">
        <v>46139</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1010-2024</t>
        </is>
      </c>
      <c r="B273" s="1" t="n">
        <v>45301</v>
      </c>
      <c r="C273" s="1" t="n">
        <v>46139</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56009-2024</t>
        </is>
      </c>
      <c r="B274" s="1" t="n">
        <v>45623.80864583333</v>
      </c>
      <c r="C274" s="1" t="n">
        <v>46139</v>
      </c>
      <c r="D274" t="inlineStr">
        <is>
          <t>GOTLANDS LÄN</t>
        </is>
      </c>
      <c r="E274" t="inlineStr">
        <is>
          <t>GOTLAND</t>
        </is>
      </c>
      <c r="G274" t="n">
        <v>2.8</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46139</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46139</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46139</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46139</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46389-2021</t>
        </is>
      </c>
      <c r="B279" s="1" t="n">
        <v>44443</v>
      </c>
      <c r="C279" s="1" t="n">
        <v>46139</v>
      </c>
      <c r="D279" t="inlineStr">
        <is>
          <t>GOTLANDS LÄN</t>
        </is>
      </c>
      <c r="E279" t="inlineStr">
        <is>
          <t>GOTLAND</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46139</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46139</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3964-2024</t>
        </is>
      </c>
      <c r="B282" s="1" t="n">
        <v>45322</v>
      </c>
      <c r="C282" s="1" t="n">
        <v>46139</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44949-2023</t>
        </is>
      </c>
      <c r="B283" s="1" t="n">
        <v>45190.69520833333</v>
      </c>
      <c r="C283" s="1" t="n">
        <v>46139</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45106-2024</t>
        </is>
      </c>
      <c r="B284" s="1" t="n">
        <v>45575</v>
      </c>
      <c r="C284" s="1" t="n">
        <v>46139</v>
      </c>
      <c r="D284" t="inlineStr">
        <is>
          <t>GOTLANDS LÄN</t>
        </is>
      </c>
      <c r="E284" t="inlineStr">
        <is>
          <t>GOTLAND</t>
        </is>
      </c>
      <c r="G284" t="n">
        <v>10</v>
      </c>
      <c r="H284" t="n">
        <v>0</v>
      </c>
      <c r="I284" t="n">
        <v>0</v>
      </c>
      <c r="J284" t="n">
        <v>0</v>
      </c>
      <c r="K284" t="n">
        <v>0</v>
      </c>
      <c r="L284" t="n">
        <v>0</v>
      </c>
      <c r="M284" t="n">
        <v>0</v>
      </c>
      <c r="N284" t="n">
        <v>0</v>
      </c>
      <c r="O284" t="n">
        <v>0</v>
      </c>
      <c r="P284" t="n">
        <v>0</v>
      </c>
      <c r="Q284" t="n">
        <v>0</v>
      </c>
      <c r="R284" s="2" t="inlineStr"/>
    </row>
    <row r="285" ht="15" customHeight="1">
      <c r="A285" t="inlineStr">
        <is>
          <t>A 45112-2024</t>
        </is>
      </c>
      <c r="B285" s="1" t="n">
        <v>45575</v>
      </c>
      <c r="C285" s="1" t="n">
        <v>46139</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46139</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7026-2023</t>
        </is>
      </c>
      <c r="B287" s="1" t="n">
        <v>44968.30340277778</v>
      </c>
      <c r="C287" s="1" t="n">
        <v>46139</v>
      </c>
      <c r="D287" t="inlineStr">
        <is>
          <t>GOTLANDS LÄN</t>
        </is>
      </c>
      <c r="E287" t="inlineStr">
        <is>
          <t>GOTLAND</t>
        </is>
      </c>
      <c r="G287" t="n">
        <v>2.9</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46139</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46139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61897-2024</t>
        </is>
      </c>
      <c r="B290" s="1" t="n">
        <v>45652.75685185185</v>
      </c>
      <c r="C290" s="1" t="n">
        <v>46139</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40499-2025</t>
        </is>
      </c>
      <c r="B291" s="1" t="n">
        <v>45896.32517361111</v>
      </c>
      <c r="C291" s="1" t="n">
        <v>46139</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46139</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46139</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12032-2025</t>
        </is>
      </c>
      <c r="B294" s="1" t="n">
        <v>45728.64472222222</v>
      </c>
      <c r="C294" s="1" t="n">
        <v>46139</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12596-2023</t>
        </is>
      </c>
      <c r="B295" s="1" t="n">
        <v>45000.43310185185</v>
      </c>
      <c r="C295" s="1" t="n">
        <v>46139</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46139</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46139</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46139</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46139</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39278-2025</t>
        </is>
      </c>
      <c r="B300" s="1" t="n">
        <v>45889</v>
      </c>
      <c r="C300" s="1" t="n">
        <v>46139</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46139</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46139</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46139</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21164-2024</t>
        </is>
      </c>
      <c r="B304" s="1" t="n">
        <v>45440</v>
      </c>
      <c r="C304" s="1" t="n">
        <v>46139</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17541-2024</t>
        </is>
      </c>
      <c r="B305" s="1" t="n">
        <v>45415</v>
      </c>
      <c r="C305" s="1" t="n">
        <v>46139</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883-2025</t>
        </is>
      </c>
      <c r="B306" s="1" t="n">
        <v>45665</v>
      </c>
      <c r="C306" s="1" t="n">
        <v>46139</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13910-2025</t>
        </is>
      </c>
      <c r="B307" s="1" t="n">
        <v>45737</v>
      </c>
      <c r="C307" s="1" t="n">
        <v>46139</v>
      </c>
      <c r="D307" t="inlineStr">
        <is>
          <t>GOTLANDS LÄN</t>
        </is>
      </c>
      <c r="E307" t="inlineStr">
        <is>
          <t>GOTLAND</t>
        </is>
      </c>
      <c r="F307" t="inlineStr">
        <is>
          <t>Kommuner</t>
        </is>
      </c>
      <c r="G307" t="n">
        <v>3.2</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46139</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46139</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46139</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20794-2025</t>
        </is>
      </c>
      <c r="B311" s="1" t="n">
        <v>45776</v>
      </c>
      <c r="C311" s="1" t="n">
        <v>46139</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46139</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46139</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20805-2025</t>
        </is>
      </c>
      <c r="B314" s="1" t="n">
        <v>45776</v>
      </c>
      <c r="C314" s="1" t="n">
        <v>46139</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46139</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46139</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21389-2025</t>
        </is>
      </c>
      <c r="B317" s="1" t="n">
        <v>45782</v>
      </c>
      <c r="C317" s="1" t="n">
        <v>46139</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46139</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46139</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33876-2024</t>
        </is>
      </c>
      <c r="B320" s="1" t="n">
        <v>45521.87988425926</v>
      </c>
      <c r="C320" s="1" t="n">
        <v>46139</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43223-2023</t>
        </is>
      </c>
      <c r="B321" s="1" t="n">
        <v>45183.45642361111</v>
      </c>
      <c r="C321" s="1" t="n">
        <v>46139</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40294-2022</t>
        </is>
      </c>
      <c r="B322" s="1" t="n">
        <v>44821</v>
      </c>
      <c r="C322" s="1" t="n">
        <v>46139</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46139</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46139</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21651-2025</t>
        </is>
      </c>
      <c r="B325" s="1" t="n">
        <v>45783</v>
      </c>
      <c r="C325" s="1" t="n">
        <v>46139</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46139</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46139</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46139</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58780-2024</t>
        </is>
      </c>
      <c r="B329" s="1" t="n">
        <v>45635.84113425926</v>
      </c>
      <c r="C329" s="1" t="n">
        <v>46139</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12322-2025</t>
        </is>
      </c>
      <c r="B330" s="1" t="n">
        <v>45730</v>
      </c>
      <c r="C330" s="1" t="n">
        <v>46139</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5751-2024</t>
        </is>
      </c>
      <c r="B331" s="1" t="n">
        <v>45335.32702546296</v>
      </c>
      <c r="C331" s="1" t="n">
        <v>46139</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6696-2023</t>
        </is>
      </c>
      <c r="B332" s="1" t="n">
        <v>44966.66425925926</v>
      </c>
      <c r="C332" s="1" t="n">
        <v>46139</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28480-2023</t>
        </is>
      </c>
      <c r="B333" s="1" t="n">
        <v>45103</v>
      </c>
      <c r="C333" s="1" t="n">
        <v>46139</v>
      </c>
      <c r="D333" t="inlineStr">
        <is>
          <t>GOTLANDS LÄN</t>
        </is>
      </c>
      <c r="E333" t="inlineStr">
        <is>
          <t>GOTLAND</t>
        </is>
      </c>
      <c r="G333" t="n">
        <v>5.7</v>
      </c>
      <c r="H333" t="n">
        <v>0</v>
      </c>
      <c r="I333" t="n">
        <v>0</v>
      </c>
      <c r="J333" t="n">
        <v>0</v>
      </c>
      <c r="K333" t="n">
        <v>0</v>
      </c>
      <c r="L333" t="n">
        <v>0</v>
      </c>
      <c r="M333" t="n">
        <v>0</v>
      </c>
      <c r="N333" t="n">
        <v>0</v>
      </c>
      <c r="O333" t="n">
        <v>0</v>
      </c>
      <c r="P333" t="n">
        <v>0</v>
      </c>
      <c r="Q333" t="n">
        <v>0</v>
      </c>
      <c r="R333" s="2" t="inlineStr"/>
    </row>
    <row r="334" ht="15" customHeight="1">
      <c r="A334" t="inlineStr">
        <is>
          <t>A 28485-2023</t>
        </is>
      </c>
      <c r="B334" s="1" t="n">
        <v>45103.43731481482</v>
      </c>
      <c r="C334" s="1" t="n">
        <v>46139</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4990-2025</t>
        </is>
      </c>
      <c r="B335" s="1" t="n">
        <v>45691</v>
      </c>
      <c r="C335" s="1" t="n">
        <v>46139</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46139</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38165-2023</t>
        </is>
      </c>
      <c r="B337" s="1" t="n">
        <v>45161</v>
      </c>
      <c r="C337" s="1" t="n">
        <v>46139</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43911-2025</t>
        </is>
      </c>
      <c r="B338" s="1" t="n">
        <v>45914.3881712963</v>
      </c>
      <c r="C338" s="1" t="n">
        <v>46139</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46139</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46139</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21420-2024</t>
        </is>
      </c>
      <c r="B341" s="1" t="n">
        <v>45441.38293981482</v>
      </c>
      <c r="C341" s="1" t="n">
        <v>46139</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46139</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57356-2023</t>
        </is>
      </c>
      <c r="B343" s="1" t="n">
        <v>45240</v>
      </c>
      <c r="C343" s="1" t="n">
        <v>46139</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28506-2023</t>
        </is>
      </c>
      <c r="B344" s="1" t="n">
        <v>45103</v>
      </c>
      <c r="C344" s="1" t="n">
        <v>46139</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46139</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49693-2023</t>
        </is>
      </c>
      <c r="B346" s="1" t="n">
        <v>45212.38138888889</v>
      </c>
      <c r="C346" s="1" t="n">
        <v>46139</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49697-2023</t>
        </is>
      </c>
      <c r="B347" s="1" t="n">
        <v>45212.38909722222</v>
      </c>
      <c r="C347" s="1" t="n">
        <v>46139</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24192-2023</t>
        </is>
      </c>
      <c r="B348" s="1" t="n">
        <v>45079</v>
      </c>
      <c r="C348" s="1" t="n">
        <v>46139</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23188-2025</t>
        </is>
      </c>
      <c r="B349" s="1" t="n">
        <v>45791</v>
      </c>
      <c r="C349" s="1" t="n">
        <v>46139</v>
      </c>
      <c r="D349" t="inlineStr">
        <is>
          <t>GOTLANDS LÄN</t>
        </is>
      </c>
      <c r="E349" t="inlineStr">
        <is>
          <t>GOTLAND</t>
        </is>
      </c>
      <c r="G349" t="n">
        <v>6.2</v>
      </c>
      <c r="H349" t="n">
        <v>0</v>
      </c>
      <c r="I349" t="n">
        <v>0</v>
      </c>
      <c r="J349" t="n">
        <v>0</v>
      </c>
      <c r="K349" t="n">
        <v>0</v>
      </c>
      <c r="L349" t="n">
        <v>0</v>
      </c>
      <c r="M349" t="n">
        <v>0</v>
      </c>
      <c r="N349" t="n">
        <v>0</v>
      </c>
      <c r="O349" t="n">
        <v>0</v>
      </c>
      <c r="P349" t="n">
        <v>0</v>
      </c>
      <c r="Q349" t="n">
        <v>0</v>
      </c>
      <c r="R349" s="2" t="inlineStr"/>
    </row>
    <row r="350" ht="15" customHeight="1">
      <c r="A350" t="inlineStr">
        <is>
          <t>A 30282-2022</t>
        </is>
      </c>
      <c r="B350" s="1" t="n">
        <v>44760</v>
      </c>
      <c r="C350" s="1" t="n">
        <v>46139</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34312-2024</t>
        </is>
      </c>
      <c r="B351" s="1" t="n">
        <v>45524.69703703704</v>
      </c>
      <c r="C351" s="1" t="n">
        <v>46139</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7835-2024</t>
        </is>
      </c>
      <c r="B352" s="1" t="n">
        <v>45349.83138888889</v>
      </c>
      <c r="C352" s="1" t="n">
        <v>46139</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10650-2022</t>
        </is>
      </c>
      <c r="B353" s="1" t="n">
        <v>44624.57945601852</v>
      </c>
      <c r="C353" s="1" t="n">
        <v>46139</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26810-2021</t>
        </is>
      </c>
      <c r="B354" s="1" t="n">
        <v>44349.55087962963</v>
      </c>
      <c r="C354" s="1" t="n">
        <v>46139</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46139</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23856-2025</t>
        </is>
      </c>
      <c r="B356" s="1" t="n">
        <v>45793</v>
      </c>
      <c r="C356" s="1" t="n">
        <v>46139</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24825-2024</t>
        </is>
      </c>
      <c r="B357" s="1" t="n">
        <v>45461</v>
      </c>
      <c r="C357" s="1" t="n">
        <v>46139</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23473-2025</t>
        </is>
      </c>
      <c r="B358" s="1" t="n">
        <v>45792</v>
      </c>
      <c r="C358" s="1" t="n">
        <v>46139</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46139</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15073-2025</t>
        </is>
      </c>
      <c r="B360" s="1" t="n">
        <v>45743</v>
      </c>
      <c r="C360" s="1" t="n">
        <v>46139</v>
      </c>
      <c r="D360" t="inlineStr">
        <is>
          <t>GOTLANDS LÄN</t>
        </is>
      </c>
      <c r="E360" t="inlineStr">
        <is>
          <t>GOTLAND</t>
        </is>
      </c>
      <c r="G360" t="n">
        <v>12.1</v>
      </c>
      <c r="H360" t="n">
        <v>0</v>
      </c>
      <c r="I360" t="n">
        <v>0</v>
      </c>
      <c r="J360" t="n">
        <v>0</v>
      </c>
      <c r="K360" t="n">
        <v>0</v>
      </c>
      <c r="L360" t="n">
        <v>0</v>
      </c>
      <c r="M360" t="n">
        <v>0</v>
      </c>
      <c r="N360" t="n">
        <v>0</v>
      </c>
      <c r="O360" t="n">
        <v>0</v>
      </c>
      <c r="P360" t="n">
        <v>0</v>
      </c>
      <c r="Q360" t="n">
        <v>0</v>
      </c>
      <c r="R360" s="2" t="inlineStr"/>
    </row>
    <row r="361" ht="15" customHeight="1">
      <c r="A361" t="inlineStr">
        <is>
          <t>A 22031-2024</t>
        </is>
      </c>
      <c r="B361" s="1" t="n">
        <v>45443.60075231481</v>
      </c>
      <c r="C361" s="1" t="n">
        <v>46139</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17688-2024</t>
        </is>
      </c>
      <c r="B362" s="1" t="n">
        <v>45418.43575231481</v>
      </c>
      <c r="C362" s="1" t="n">
        <v>46139</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46139</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6749-2025</t>
        </is>
      </c>
      <c r="B364" s="1" t="n">
        <v>45700</v>
      </c>
      <c r="C364" s="1" t="n">
        <v>46139</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28425-2023</t>
        </is>
      </c>
      <c r="B365" s="1" t="n">
        <v>45102</v>
      </c>
      <c r="C365" s="1" t="n">
        <v>46139</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46139</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13037-2025</t>
        </is>
      </c>
      <c r="B367" s="1" t="n">
        <v>45734</v>
      </c>
      <c r="C367" s="1" t="n">
        <v>46139</v>
      </c>
      <c r="D367" t="inlineStr">
        <is>
          <t>GOTLANDS LÄN</t>
        </is>
      </c>
      <c r="E367" t="inlineStr">
        <is>
          <t>GOTLAND</t>
        </is>
      </c>
      <c r="G367" t="n">
        <v>9.5</v>
      </c>
      <c r="H367" t="n">
        <v>0</v>
      </c>
      <c r="I367" t="n">
        <v>0</v>
      </c>
      <c r="J367" t="n">
        <v>0</v>
      </c>
      <c r="K367" t="n">
        <v>0</v>
      </c>
      <c r="L367" t="n">
        <v>0</v>
      </c>
      <c r="M367" t="n">
        <v>0</v>
      </c>
      <c r="N367" t="n">
        <v>0</v>
      </c>
      <c r="O367" t="n">
        <v>0</v>
      </c>
      <c r="P367" t="n">
        <v>0</v>
      </c>
      <c r="Q367" t="n">
        <v>0</v>
      </c>
      <c r="R367" s="2" t="inlineStr"/>
    </row>
    <row r="368" ht="15" customHeight="1">
      <c r="A368" t="inlineStr">
        <is>
          <t>A 5462-2025</t>
        </is>
      </c>
      <c r="B368" s="1" t="n">
        <v>45693.29331018519</v>
      </c>
      <c r="C368" s="1" t="n">
        <v>46139</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47637-2025</t>
        </is>
      </c>
      <c r="B369" s="1" t="n">
        <v>45931.49753472222</v>
      </c>
      <c r="C369" s="1" t="n">
        <v>46139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32378-2025</t>
        </is>
      </c>
      <c r="B370" s="1" t="n">
        <v>45837</v>
      </c>
      <c r="C370" s="1" t="n">
        <v>46139</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35550-2025</t>
        </is>
      </c>
      <c r="B371" s="1" t="n">
        <v>45856.49324074074</v>
      </c>
      <c r="C371" s="1" t="n">
        <v>46139</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46139</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25796-2025</t>
        </is>
      </c>
      <c r="B373" s="1" t="n">
        <v>45804.39543981481</v>
      </c>
      <c r="C373" s="1" t="n">
        <v>46139</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46139</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46139</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10746-2025</t>
        </is>
      </c>
      <c r="B376" s="1" t="n">
        <v>45722.42766203704</v>
      </c>
      <c r="C376" s="1" t="n">
        <v>46139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26465-2025</t>
        </is>
      </c>
      <c r="B377" s="1" t="n">
        <v>45807.44377314814</v>
      </c>
      <c r="C377" s="1" t="n">
        <v>46139</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26457-2025</t>
        </is>
      </c>
      <c r="B378" s="1" t="n">
        <v>45807.42773148148</v>
      </c>
      <c r="C378" s="1" t="n">
        <v>46139</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26467-2025</t>
        </is>
      </c>
      <c r="B379" s="1" t="n">
        <v>45807.44640046296</v>
      </c>
      <c r="C379" s="1" t="n">
        <v>46139</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46139</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46139</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50421-2025</t>
        </is>
      </c>
      <c r="B382" s="1" t="n">
        <v>45944.66049768519</v>
      </c>
      <c r="C382" s="1" t="n">
        <v>46139</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26660-2025</t>
        </is>
      </c>
      <c r="B383" s="1" t="n">
        <v>45810.39737268518</v>
      </c>
      <c r="C383" s="1" t="n">
        <v>46139</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50431-2025</t>
        </is>
      </c>
      <c r="B384" s="1" t="n">
        <v>45944.68453703704</v>
      </c>
      <c r="C384" s="1" t="n">
        <v>46139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46139</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27371-2025</t>
        </is>
      </c>
      <c r="B386" s="1" t="n">
        <v>45812</v>
      </c>
      <c r="C386" s="1" t="n">
        <v>46139</v>
      </c>
      <c r="D386" t="inlineStr">
        <is>
          <t>GOTLANDS LÄN</t>
        </is>
      </c>
      <c r="E386" t="inlineStr">
        <is>
          <t>GOTLAND</t>
        </is>
      </c>
      <c r="G386" t="n">
        <v>8</v>
      </c>
      <c r="H386" t="n">
        <v>0</v>
      </c>
      <c r="I386" t="n">
        <v>0</v>
      </c>
      <c r="J386" t="n">
        <v>0</v>
      </c>
      <c r="K386" t="n">
        <v>0</v>
      </c>
      <c r="L386" t="n">
        <v>0</v>
      </c>
      <c r="M386" t="n">
        <v>0</v>
      </c>
      <c r="N386" t="n">
        <v>0</v>
      </c>
      <c r="O386" t="n">
        <v>0</v>
      </c>
      <c r="P386" t="n">
        <v>0</v>
      </c>
      <c r="Q386" t="n">
        <v>0</v>
      </c>
      <c r="R386" s="2" t="inlineStr"/>
    </row>
    <row r="387" ht="15" customHeight="1">
      <c r="A387" t="inlineStr">
        <is>
          <t>A 7850-2025</t>
        </is>
      </c>
      <c r="B387" s="1" t="n">
        <v>45706</v>
      </c>
      <c r="C387" s="1" t="n">
        <v>46139</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46139</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46139</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46139</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46139</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41038-2023</t>
        </is>
      </c>
      <c r="B392" s="1" t="n">
        <v>45173.60959490741</v>
      </c>
      <c r="C392" s="1" t="n">
        <v>46139</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50928-2025</t>
        </is>
      </c>
      <c r="B393" s="1" t="n">
        <v>45946.67896990741</v>
      </c>
      <c r="C393" s="1" t="n">
        <v>46139</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51262-2025</t>
        </is>
      </c>
      <c r="B394" s="1" t="n">
        <v>45949.49872685185</v>
      </c>
      <c r="C394" s="1" t="n">
        <v>46139</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46139</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29196-2025</t>
        </is>
      </c>
      <c r="B396" s="1" t="n">
        <v>45822</v>
      </c>
      <c r="C396" s="1" t="n">
        <v>46139</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46139</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46139</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46139</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46139</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46139</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58160-2024</t>
        </is>
      </c>
      <c r="B402" s="1" t="n">
        <v>45632.44927083333</v>
      </c>
      <c r="C402" s="1" t="n">
        <v>46139</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46139</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46139</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46139</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46139</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46139</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46139</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16109-2025</t>
        </is>
      </c>
      <c r="B409" s="1" t="n">
        <v>45750</v>
      </c>
      <c r="C409" s="1" t="n">
        <v>46139</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46139</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1394-2023</t>
        </is>
      </c>
      <c r="B411" s="1" t="n">
        <v>44936.72997685185</v>
      </c>
      <c r="C411" s="1" t="n">
        <v>46139</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2676-2023</t>
        </is>
      </c>
      <c r="B412" s="1" t="n">
        <v>44944</v>
      </c>
      <c r="C412" s="1" t="n">
        <v>46139</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4387-2023</t>
        </is>
      </c>
      <c r="B413" s="1" t="n">
        <v>44955.73359953704</v>
      </c>
      <c r="C413" s="1" t="n">
        <v>46139</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46139</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46139</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46139</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46139</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33007-2025</t>
        </is>
      </c>
      <c r="B418" s="1" t="n">
        <v>45840</v>
      </c>
      <c r="C418" s="1" t="n">
        <v>46139</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46139</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46139</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46139</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46139</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46139</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46139</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46139</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46139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46139</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46139</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15413-2025</t>
        </is>
      </c>
      <c r="B429" s="1" t="n">
        <v>45747.451875</v>
      </c>
      <c r="C429" s="1" t="n">
        <v>46139</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35096-2025</t>
        </is>
      </c>
      <c r="B430" s="1" t="n">
        <v>45852.54356481481</v>
      </c>
      <c r="C430" s="1" t="n">
        <v>46139</v>
      </c>
      <c r="D430" t="inlineStr">
        <is>
          <t>GOTLANDS LÄN</t>
        </is>
      </c>
      <c r="E430" t="inlineStr">
        <is>
          <t>GOTLAND</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35123-2025</t>
        </is>
      </c>
      <c r="B431" s="1" t="n">
        <v>45852.614375</v>
      </c>
      <c r="C431" s="1" t="n">
        <v>46139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46139</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46139</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46139</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46139</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32669-2024</t>
        </is>
      </c>
      <c r="B436" s="1" t="n">
        <v>45514</v>
      </c>
      <c r="C436" s="1" t="n">
        <v>46139</v>
      </c>
      <c r="D436" t="inlineStr">
        <is>
          <t>GOTLANDS LÄN</t>
        </is>
      </c>
      <c r="E436" t="inlineStr">
        <is>
          <t>GOTLAND</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2180-2025</t>
        </is>
      </c>
      <c r="B437" s="1" t="n">
        <v>45673</v>
      </c>
      <c r="C437" s="1" t="n">
        <v>46139</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35537-2025</t>
        </is>
      </c>
      <c r="B438" s="1" t="n">
        <v>45856</v>
      </c>
      <c r="C438" s="1" t="n">
        <v>46139</v>
      </c>
      <c r="D438" t="inlineStr">
        <is>
          <t>GOTLANDS LÄN</t>
        </is>
      </c>
      <c r="E438" t="inlineStr">
        <is>
          <t>GOTLAND</t>
        </is>
      </c>
      <c r="G438" t="n">
        <v>16.8</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46139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46139</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30488-2025</t>
        </is>
      </c>
      <c r="B441" s="1" t="n">
        <v>45830</v>
      </c>
      <c r="C441" s="1" t="n">
        <v>46139</v>
      </c>
      <c r="D441" t="inlineStr">
        <is>
          <t>GOTLANDS LÄN</t>
        </is>
      </c>
      <c r="E441" t="inlineStr">
        <is>
          <t>GOTLAND</t>
        </is>
      </c>
      <c r="F441" t="inlineStr">
        <is>
          <t>Kyrkan</t>
        </is>
      </c>
      <c r="G441" t="n">
        <v>3.9</v>
      </c>
      <c r="H441" t="n">
        <v>0</v>
      </c>
      <c r="I441" t="n">
        <v>0</v>
      </c>
      <c r="J441" t="n">
        <v>0</v>
      </c>
      <c r="K441" t="n">
        <v>0</v>
      </c>
      <c r="L441" t="n">
        <v>0</v>
      </c>
      <c r="M441" t="n">
        <v>0</v>
      </c>
      <c r="N441" t="n">
        <v>0</v>
      </c>
      <c r="O441" t="n">
        <v>0</v>
      </c>
      <c r="P441" t="n">
        <v>0</v>
      </c>
      <c r="Q441" t="n">
        <v>0</v>
      </c>
      <c r="R441" s="2" t="inlineStr"/>
    </row>
    <row r="442" ht="15" customHeight="1">
      <c r="A442" t="inlineStr">
        <is>
          <t>A 15216-2025</t>
        </is>
      </c>
      <c r="B442" s="1" t="n">
        <v>45744</v>
      </c>
      <c r="C442" s="1" t="n">
        <v>46139</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15001-2025</t>
        </is>
      </c>
      <c r="B443" s="1" t="n">
        <v>45743</v>
      </c>
      <c r="C443" s="1" t="n">
        <v>46139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43790-2024</t>
        </is>
      </c>
      <c r="B444" s="1" t="n">
        <v>45571</v>
      </c>
      <c r="C444" s="1" t="n">
        <v>46139</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17847-2025</t>
        </is>
      </c>
      <c r="B445" s="1" t="n">
        <v>45758</v>
      </c>
      <c r="C445" s="1" t="n">
        <v>46139</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46139</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46139</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35129-2025</t>
        </is>
      </c>
      <c r="B448" s="1" t="n">
        <v>45852.63224537037</v>
      </c>
      <c r="C448" s="1" t="n">
        <v>46139</v>
      </c>
      <c r="D448" t="inlineStr">
        <is>
          <t>GOTLANDS LÄN</t>
        </is>
      </c>
      <c r="E448" t="inlineStr">
        <is>
          <t>GOTLAND</t>
        </is>
      </c>
      <c r="G448" t="n">
        <v>3.2</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46139</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46139</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54268-2022</t>
        </is>
      </c>
      <c r="B451" s="1" t="n">
        <v>44882</v>
      </c>
      <c r="C451" s="1" t="n">
        <v>46139</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46139</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46139</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57685-2022</t>
        </is>
      </c>
      <c r="B454" s="1" t="n">
        <v>44897.4777662037</v>
      </c>
      <c r="C454" s="1" t="n">
        <v>46139</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811-2023</t>
        </is>
      </c>
      <c r="B455" s="1" t="n">
        <v>44931</v>
      </c>
      <c r="C455" s="1" t="n">
        <v>46139</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30489-2025</t>
        </is>
      </c>
      <c r="B456" s="1" t="n">
        <v>45830</v>
      </c>
      <c r="C456" s="1" t="n">
        <v>46139</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21142-2025</t>
        </is>
      </c>
      <c r="B457" s="1" t="n">
        <v>45779</v>
      </c>
      <c r="C457" s="1" t="n">
        <v>46139</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6108-2025</t>
        </is>
      </c>
      <c r="B458" s="1" t="n">
        <v>45698.29880787037</v>
      </c>
      <c r="C458" s="1" t="n">
        <v>46139</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17343-2025</t>
        </is>
      </c>
      <c r="B459" s="1" t="n">
        <v>45756.6687037037</v>
      </c>
      <c r="C459" s="1" t="n">
        <v>46139</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45764.49172453704</v>
      </c>
      <c r="C460" s="1" t="n">
        <v>46139</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46139</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46139</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46139</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34407-2023</t>
        </is>
      </c>
      <c r="B464" s="1" t="n">
        <v>45132</v>
      </c>
      <c r="C464" s="1" t="n">
        <v>46139</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30892-2024</t>
        </is>
      </c>
      <c r="B465" s="1" t="n">
        <v>45491</v>
      </c>
      <c r="C465" s="1" t="n">
        <v>46139</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46139</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62066-2025</t>
        </is>
      </c>
      <c r="B467" s="1" t="n">
        <v>46006.34738425926</v>
      </c>
      <c r="C467" s="1" t="n">
        <v>46139</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62103-2025</t>
        </is>
      </c>
      <c r="B468" s="1" t="n">
        <v>46006</v>
      </c>
      <c r="C468" s="1" t="n">
        <v>46139</v>
      </c>
      <c r="D468" t="inlineStr">
        <is>
          <t>GOTLANDS LÄN</t>
        </is>
      </c>
      <c r="E468" t="inlineStr">
        <is>
          <t>GOTLAND</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18993-2025</t>
        </is>
      </c>
      <c r="B469" s="1" t="n">
        <v>45764</v>
      </c>
      <c r="C469" s="1" t="n">
        <v>46139</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46139</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7858-2025</t>
        </is>
      </c>
      <c r="B471" s="1" t="n">
        <v>45706.68633101852</v>
      </c>
      <c r="C471" s="1" t="n">
        <v>46139</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46139</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999-2023</t>
        </is>
      </c>
      <c r="B473" s="1" t="n">
        <v>44935</v>
      </c>
      <c r="C473" s="1" t="n">
        <v>46139</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1364-2025</t>
        </is>
      </c>
      <c r="B474" s="1" t="n">
        <v>45667.63929398148</v>
      </c>
      <c r="C474" s="1" t="n">
        <v>46139</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2125-2025</t>
        </is>
      </c>
      <c r="B475" s="1" t="n">
        <v>45672.64940972222</v>
      </c>
      <c r="C475" s="1" t="n">
        <v>46139</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46139</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14141-2024</t>
        </is>
      </c>
      <c r="B477" s="1" t="n">
        <v>45392.85193287037</v>
      </c>
      <c r="C477" s="1" t="n">
        <v>46139</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12155-2023</t>
        </is>
      </c>
      <c r="B478" s="1" t="n">
        <v>44998.49106481481</v>
      </c>
      <c r="C478" s="1" t="n">
        <v>46139</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46139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2774-2024</t>
        </is>
      </c>
      <c r="B480" s="1" t="n">
        <v>45314.62375</v>
      </c>
      <c r="C480" s="1" t="n">
        <v>46139</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9947-2024</t>
        </is>
      </c>
      <c r="B481" s="1" t="n">
        <v>45363</v>
      </c>
      <c r="C481" s="1" t="n">
        <v>46139</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42007-2023</t>
        </is>
      </c>
      <c r="B482" s="1" t="n">
        <v>45177</v>
      </c>
      <c r="C482" s="1" t="n">
        <v>46139</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61078-2025</t>
        </is>
      </c>
      <c r="B483" s="1" t="n">
        <v>46000</v>
      </c>
      <c r="C483" s="1" t="n">
        <v>46139</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36-2026</t>
        </is>
      </c>
      <c r="B484" s="1" t="n">
        <v>46024.38886574074</v>
      </c>
      <c r="C484" s="1" t="n">
        <v>46139</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62674-2025</t>
        </is>
      </c>
      <c r="B485" s="1" t="n">
        <v>46008</v>
      </c>
      <c r="C485" s="1" t="n">
        <v>46139</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15083-2025</t>
        </is>
      </c>
      <c r="B486" s="1" t="n">
        <v>45743</v>
      </c>
      <c r="C486" s="1" t="n">
        <v>46139</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1355-2026</t>
        </is>
      </c>
      <c r="B487" s="1" t="n">
        <v>46031.59909722222</v>
      </c>
      <c r="C487" s="1" t="n">
        <v>46139</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1898-2026</t>
        </is>
      </c>
      <c r="B488" s="1" t="n">
        <v>46035.52024305556</v>
      </c>
      <c r="C488" s="1" t="n">
        <v>46139</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1066-2024</t>
        </is>
      </c>
      <c r="B489" s="1" t="n">
        <v>45302.285</v>
      </c>
      <c r="C489" s="1" t="n">
        <v>46139</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46139</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37202-2024</t>
        </is>
      </c>
      <c r="B491" s="1" t="n">
        <v>45539.67310185185</v>
      </c>
      <c r="C491" s="1" t="n">
        <v>46139</v>
      </c>
      <c r="D491" t="inlineStr">
        <is>
          <t>GOTLANDS LÄN</t>
        </is>
      </c>
      <c r="E491" t="inlineStr">
        <is>
          <t>GOTLAND</t>
        </is>
      </c>
      <c r="G491" t="n">
        <v>0.3</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46139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30815-2023</t>
        </is>
      </c>
      <c r="B493" s="1" t="n">
        <v>45112</v>
      </c>
      <c r="C493" s="1" t="n">
        <v>46139</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46139</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10492-2023</t>
        </is>
      </c>
      <c r="B495" s="1" t="n">
        <v>44987</v>
      </c>
      <c r="C495" s="1" t="n">
        <v>46139</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46139</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46139</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1839-2026</t>
        </is>
      </c>
      <c r="B498" s="1" t="n">
        <v>46035.3942824074</v>
      </c>
      <c r="C498" s="1" t="n">
        <v>46139</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4639-2026</t>
        </is>
      </c>
      <c r="B499" s="1" t="n">
        <v>46048.39880787037</v>
      </c>
      <c r="C499" s="1" t="n">
        <v>46139</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4662-2026</t>
        </is>
      </c>
      <c r="B500" s="1" t="n">
        <v>46048.40949074074</v>
      </c>
      <c r="C500" s="1" t="n">
        <v>46139</v>
      </c>
      <c r="D500" t="inlineStr">
        <is>
          <t>GOTLANDS LÄN</t>
        </is>
      </c>
      <c r="E500" t="inlineStr">
        <is>
          <t>GOTLAND</t>
        </is>
      </c>
      <c r="G500" t="n">
        <v>7.6</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46139</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46139</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46139</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4646-2026</t>
        </is>
      </c>
      <c r="B504" s="1" t="n">
        <v>46048.40357638889</v>
      </c>
      <c r="C504" s="1" t="n">
        <v>46139</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4634-2026</t>
        </is>
      </c>
      <c r="B505" s="1" t="n">
        <v>46048.39304398148</v>
      </c>
      <c r="C505" s="1" t="n">
        <v>46139</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4670-2026</t>
        </is>
      </c>
      <c r="B506" s="1" t="n">
        <v>46048.41733796296</v>
      </c>
      <c r="C506" s="1" t="n">
        <v>46139</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32330-2024</t>
        </is>
      </c>
      <c r="B507" s="1" t="n">
        <v>45512</v>
      </c>
      <c r="C507" s="1" t="n">
        <v>46139</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5891-2025</t>
        </is>
      </c>
      <c r="B508" s="1" t="n">
        <v>45695.38327546296</v>
      </c>
      <c r="C508" s="1" t="n">
        <v>46139</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46139</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46139</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46139</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49314-2024</t>
        </is>
      </c>
      <c r="B512" s="1" t="n">
        <v>45595.55893518519</v>
      </c>
      <c r="C512" s="1" t="n">
        <v>46139</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9875-2025</t>
        </is>
      </c>
      <c r="B513" s="1" t="n">
        <v>45716</v>
      </c>
      <c r="C513" s="1" t="n">
        <v>46139</v>
      </c>
      <c r="D513" t="inlineStr">
        <is>
          <t>GOTLANDS LÄN</t>
        </is>
      </c>
      <c r="E513" t="inlineStr">
        <is>
          <t>GOTLAND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29809-2022</t>
        </is>
      </c>
      <c r="B514" s="1" t="n">
        <v>44755.8713425926</v>
      </c>
      <c r="C514" s="1" t="n">
        <v>46139</v>
      </c>
      <c r="D514" t="inlineStr">
        <is>
          <t>GOTLANDS LÄN</t>
        </is>
      </c>
      <c r="E514" t="inlineStr">
        <is>
          <t>GOTLAND</t>
        </is>
      </c>
      <c r="G514" t="n">
        <v>11.5</v>
      </c>
      <c r="H514" t="n">
        <v>0</v>
      </c>
      <c r="I514" t="n">
        <v>0</v>
      </c>
      <c r="J514" t="n">
        <v>0</v>
      </c>
      <c r="K514" t="n">
        <v>0</v>
      </c>
      <c r="L514" t="n">
        <v>0</v>
      </c>
      <c r="M514" t="n">
        <v>0</v>
      </c>
      <c r="N514" t="n">
        <v>0</v>
      </c>
      <c r="O514" t="n">
        <v>0</v>
      </c>
      <c r="P514" t="n">
        <v>0</v>
      </c>
      <c r="Q514" t="n">
        <v>0</v>
      </c>
      <c r="R514" s="2" t="inlineStr"/>
    </row>
    <row r="515" ht="15" customHeight="1">
      <c r="A515" t="inlineStr">
        <is>
          <t>A 6207-2026</t>
        </is>
      </c>
      <c r="B515" s="1" t="n">
        <v>46055.42083333333</v>
      </c>
      <c r="C515" s="1" t="n">
        <v>46139</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6218-2026</t>
        </is>
      </c>
      <c r="B516" s="1" t="n">
        <v>46055.42859953704</v>
      </c>
      <c r="C516" s="1" t="n">
        <v>46139</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46139</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46139</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46139</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3150-2025</t>
        </is>
      </c>
      <c r="B520" s="1" t="n">
        <v>45679.28974537037</v>
      </c>
      <c r="C520" s="1" t="n">
        <v>46139</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6959-2026</t>
        </is>
      </c>
      <c r="B521" s="1" t="n">
        <v>46057.580625</v>
      </c>
      <c r="C521" s="1" t="n">
        <v>46139</v>
      </c>
      <c r="D521" t="inlineStr">
        <is>
          <t>GOTLANDS LÄN</t>
        </is>
      </c>
      <c r="E521" t="inlineStr">
        <is>
          <t>GOTLAND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6960-2026</t>
        </is>
      </c>
      <c r="B522" s="1" t="n">
        <v>46057.58105324074</v>
      </c>
      <c r="C522" s="1" t="n">
        <v>46139</v>
      </c>
      <c r="D522" t="inlineStr">
        <is>
          <t>GOTLANDS LÄN</t>
        </is>
      </c>
      <c r="E522" t="inlineStr">
        <is>
          <t>GOTLAND</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46139</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46139</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21247-2022</t>
        </is>
      </c>
      <c r="B525" s="1" t="n">
        <v>44705.38832175926</v>
      </c>
      <c r="C525" s="1" t="n">
        <v>46139</v>
      </c>
      <c r="D525" t="inlineStr">
        <is>
          <t>GOTLANDS LÄN</t>
        </is>
      </c>
      <c r="E525" t="inlineStr">
        <is>
          <t>GOTLAND</t>
        </is>
      </c>
      <c r="G525" t="n">
        <v>16.2</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46139</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63105-2025</t>
        </is>
      </c>
      <c r="B527" s="1" t="n">
        <v>46009</v>
      </c>
      <c r="C527" s="1" t="n">
        <v>46139</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14840-2026</t>
        </is>
      </c>
      <c r="B528" s="1" t="n">
        <v>46104.39498842593</v>
      </c>
      <c r="C528" s="1" t="n">
        <v>46139</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7625-2026</t>
        </is>
      </c>
      <c r="B529" s="1" t="n">
        <v>46062.35135416667</v>
      </c>
      <c r="C529" s="1" t="n">
        <v>46139</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2135-2026</t>
        </is>
      </c>
      <c r="B530" s="1" t="n">
        <v>46036</v>
      </c>
      <c r="C530" s="1" t="n">
        <v>46139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17780-2022</t>
        </is>
      </c>
      <c r="B531" s="1" t="n">
        <v>44682.82622685185</v>
      </c>
      <c r="C531" s="1" t="n">
        <v>46139</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63516-2023</t>
        </is>
      </c>
      <c r="B532" s="1" t="n">
        <v>45274</v>
      </c>
      <c r="C532" s="1" t="n">
        <v>46139</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2134-2026</t>
        </is>
      </c>
      <c r="B533" s="1" t="n">
        <v>46036</v>
      </c>
      <c r="C533" s="1" t="n">
        <v>46139</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46139</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69112-2021</t>
        </is>
      </c>
      <c r="B535" s="1" t="n">
        <v>44530</v>
      </c>
      <c r="C535" s="1" t="n">
        <v>46139</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46139</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23516-2023</t>
        </is>
      </c>
      <c r="B537" s="1" t="n">
        <v>45076.93391203704</v>
      </c>
      <c r="C537" s="1" t="n">
        <v>46139</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46139</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58230-2024</t>
        </is>
      </c>
      <c r="B539" s="1" t="n">
        <v>45632.51625</v>
      </c>
      <c r="C539" s="1" t="n">
        <v>46139</v>
      </c>
      <c r="D539" t="inlineStr">
        <is>
          <t>GOTLANDS LÄN</t>
        </is>
      </c>
      <c r="E539" t="inlineStr">
        <is>
          <t>GOTLAND</t>
        </is>
      </c>
      <c r="G539" t="n">
        <v>7.3</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46139</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46139</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46139</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53561-2025</t>
        </is>
      </c>
      <c r="B543" s="1" t="n">
        <v>45960.4059375</v>
      </c>
      <c r="C543" s="1" t="n">
        <v>46139</v>
      </c>
      <c r="D543" t="inlineStr">
        <is>
          <t>GOTLANDS LÄN</t>
        </is>
      </c>
      <c r="E543" t="inlineStr">
        <is>
          <t>GOTLAND</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46139</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876-2024</t>
        </is>
      </c>
      <c r="B545" s="1" t="n">
        <v>45301</v>
      </c>
      <c r="C545" s="1" t="n">
        <v>46139</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46139</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46139</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46139</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9540-2026</t>
        </is>
      </c>
      <c r="B549" s="1" t="n">
        <v>46071.61961805556</v>
      </c>
      <c r="C549" s="1" t="n">
        <v>46139</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5943-2024</t>
        </is>
      </c>
      <c r="B550" s="1" t="n">
        <v>45336</v>
      </c>
      <c r="C550" s="1" t="n">
        <v>46139</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9521-2026</t>
        </is>
      </c>
      <c r="B551" s="1" t="n">
        <v>46071.59969907408</v>
      </c>
      <c r="C551" s="1" t="n">
        <v>46139</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9524-2026</t>
        </is>
      </c>
      <c r="B552" s="1" t="n">
        <v>46071.60108796296</v>
      </c>
      <c r="C552" s="1" t="n">
        <v>46139</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9543-2026</t>
        </is>
      </c>
      <c r="B553" s="1" t="n">
        <v>46071.62486111111</v>
      </c>
      <c r="C553" s="1" t="n">
        <v>46139</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38234-2023</t>
        </is>
      </c>
      <c r="B554" s="1" t="n">
        <v>45161.56663194444</v>
      </c>
      <c r="C554" s="1" t="n">
        <v>46139</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1273-2023</t>
        </is>
      </c>
      <c r="B555" s="1" t="n">
        <v>44936</v>
      </c>
      <c r="C555" s="1" t="n">
        <v>46139</v>
      </c>
      <c r="D555" t="inlineStr">
        <is>
          <t>GOTLANDS LÄN</t>
        </is>
      </c>
      <c r="E555" t="inlineStr">
        <is>
          <t>GOTLAND</t>
        </is>
      </c>
      <c r="G555" t="n">
        <v>4.5</v>
      </c>
      <c r="H555" t="n">
        <v>0</v>
      </c>
      <c r="I555" t="n">
        <v>0</v>
      </c>
      <c r="J555" t="n">
        <v>0</v>
      </c>
      <c r="K555" t="n">
        <v>0</v>
      </c>
      <c r="L555" t="n">
        <v>0</v>
      </c>
      <c r="M555" t="n">
        <v>0</v>
      </c>
      <c r="N555" t="n">
        <v>0</v>
      </c>
      <c r="O555" t="n">
        <v>0</v>
      </c>
      <c r="P555" t="n">
        <v>0</v>
      </c>
      <c r="Q555" t="n">
        <v>0</v>
      </c>
      <c r="R555" s="2" t="inlineStr"/>
    </row>
    <row r="556" ht="15" customHeight="1">
      <c r="A556" t="inlineStr">
        <is>
          <t>A 9504-2026</t>
        </is>
      </c>
      <c r="B556" s="1" t="n">
        <v>46071.57730324074</v>
      </c>
      <c r="C556" s="1" t="n">
        <v>46139</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9518-2026</t>
        </is>
      </c>
      <c r="B557" s="1" t="n">
        <v>46071.59653935185</v>
      </c>
      <c r="C557" s="1" t="n">
        <v>46139</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9519-2026</t>
        </is>
      </c>
      <c r="B558" s="1" t="n">
        <v>46071.59820601852</v>
      </c>
      <c r="C558" s="1" t="n">
        <v>46139</v>
      </c>
      <c r="D558" t="inlineStr">
        <is>
          <t>GOTLANDS LÄN</t>
        </is>
      </c>
      <c r="E558" t="inlineStr">
        <is>
          <t>GOTLAND</t>
        </is>
      </c>
      <c r="G558" t="n">
        <v>4</v>
      </c>
      <c r="H558" t="n">
        <v>0</v>
      </c>
      <c r="I558" t="n">
        <v>0</v>
      </c>
      <c r="J558" t="n">
        <v>0</v>
      </c>
      <c r="K558" t="n">
        <v>0</v>
      </c>
      <c r="L558" t="n">
        <v>0</v>
      </c>
      <c r="M558" t="n">
        <v>0</v>
      </c>
      <c r="N558" t="n">
        <v>0</v>
      </c>
      <c r="O558" t="n">
        <v>0</v>
      </c>
      <c r="P558" t="n">
        <v>0</v>
      </c>
      <c r="Q558" t="n">
        <v>0</v>
      </c>
      <c r="R558" s="2" t="inlineStr"/>
    </row>
    <row r="559" ht="15" customHeight="1">
      <c r="A559" t="inlineStr">
        <is>
          <t>A 9901-2026</t>
        </is>
      </c>
      <c r="B559" s="1" t="n">
        <v>46073.40391203704</v>
      </c>
      <c r="C559" s="1" t="n">
        <v>46139</v>
      </c>
      <c r="D559" t="inlineStr">
        <is>
          <t>GOTLANDS LÄN</t>
        </is>
      </c>
      <c r="E559" t="inlineStr">
        <is>
          <t>GOTLAND</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17000-2026</t>
        </is>
      </c>
      <c r="B560" s="1" t="n">
        <v>46114.42690972222</v>
      </c>
      <c r="C560" s="1" t="n">
        <v>46139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17724-2024</t>
        </is>
      </c>
      <c r="B561" s="1" t="n">
        <v>45418.55096064815</v>
      </c>
      <c r="C561" s="1" t="n">
        <v>46139</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46139</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46139</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46139</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10284-2026</t>
        </is>
      </c>
      <c r="B565" s="1" t="n">
        <v>46076</v>
      </c>
      <c r="C565" s="1" t="n">
        <v>46139</v>
      </c>
      <c r="D565" t="inlineStr">
        <is>
          <t>GOTLANDS LÄN</t>
        </is>
      </c>
      <c r="E565" t="inlineStr">
        <is>
          <t>GOTLAND</t>
        </is>
      </c>
      <c r="G565" t="n">
        <v>5.2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46139</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10486-2026</t>
        </is>
      </c>
      <c r="B567" s="1" t="n">
        <v>46077.51425925926</v>
      </c>
      <c r="C567" s="1" t="n">
        <v>46139</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12846-2025</t>
        </is>
      </c>
      <c r="B568" s="1" t="n">
        <v>45733.65049768519</v>
      </c>
      <c r="C568" s="1" t="n">
        <v>46139</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46139</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60384-2025</t>
        </is>
      </c>
      <c r="B570" s="1" t="n">
        <v>45995</v>
      </c>
      <c r="C570" s="1" t="n">
        <v>46139</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17328-2026</t>
        </is>
      </c>
      <c r="B571" s="1" t="n">
        <v>46119.61216435185</v>
      </c>
      <c r="C571" s="1" t="n">
        <v>46139</v>
      </c>
      <c r="D571" t="inlineStr">
        <is>
          <t>GOTLANDS LÄN</t>
        </is>
      </c>
      <c r="E571" t="inlineStr">
        <is>
          <t>GOTLAND</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3935-2025</t>
        </is>
      </c>
      <c r="B572" s="1" t="n">
        <v>45684.46070601852</v>
      </c>
      <c r="C572" s="1" t="n">
        <v>46139</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21792-2024</t>
        </is>
      </c>
      <c r="B573" s="1" t="n">
        <v>45442.64326388889</v>
      </c>
      <c r="C573" s="1" t="n">
        <v>46139</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17935-2026</t>
        </is>
      </c>
      <c r="B574" s="1" t="n">
        <v>46122</v>
      </c>
      <c r="C574" s="1" t="n">
        <v>46139</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17943-2026</t>
        </is>
      </c>
      <c r="B575" s="1" t="n">
        <v>46122</v>
      </c>
      <c r="C575" s="1" t="n">
        <v>46139</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48843-2024</t>
        </is>
      </c>
      <c r="B576" s="1" t="n">
        <v>45593</v>
      </c>
      <c r="C576" s="1" t="n">
        <v>46139</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54584-2025</t>
        </is>
      </c>
      <c r="B577" s="1" t="n">
        <v>45965.71788194445</v>
      </c>
      <c r="C577" s="1" t="n">
        <v>46139</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11424-2026</t>
        </is>
      </c>
      <c r="B578" s="1" t="n">
        <v>46083.48068287037</v>
      </c>
      <c r="C578" s="1" t="n">
        <v>46139</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10653-2023</t>
        </is>
      </c>
      <c r="B579" s="1" t="n">
        <v>44988.48859953704</v>
      </c>
      <c r="C579" s="1" t="n">
        <v>46139</v>
      </c>
      <c r="D579" t="inlineStr">
        <is>
          <t>GOTLANDS LÄN</t>
        </is>
      </c>
      <c r="E579" t="inlineStr">
        <is>
          <t>GOTLAND</t>
        </is>
      </c>
      <c r="F579" t="inlineStr">
        <is>
          <t>Kyrkan</t>
        </is>
      </c>
      <c r="G579" t="n">
        <v>3</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46139</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11414-2026</t>
        </is>
      </c>
      <c r="B581" s="1" t="n">
        <v>46083.46336805556</v>
      </c>
      <c r="C581" s="1" t="n">
        <v>46139</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35512-2023</t>
        </is>
      </c>
      <c r="B582" s="1" t="n">
        <v>45147.25623842593</v>
      </c>
      <c r="C582" s="1" t="n">
        <v>46139</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12135-2026</t>
        </is>
      </c>
      <c r="B583" s="1" t="n">
        <v>46086</v>
      </c>
      <c r="C583" s="1" t="n">
        <v>46139</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11874-2024</t>
        </is>
      </c>
      <c r="B584" s="1" t="n">
        <v>45376.46956018519</v>
      </c>
      <c r="C584" s="1" t="n">
        <v>46139</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11982-2026</t>
        </is>
      </c>
      <c r="B585" s="1" t="n">
        <v>46085.6434375</v>
      </c>
      <c r="C585" s="1" t="n">
        <v>46139</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18804-2026</t>
        </is>
      </c>
      <c r="B586" s="1" t="n">
        <v>46128.62366898148</v>
      </c>
      <c r="C586" s="1" t="n">
        <v>46139</v>
      </c>
      <c r="D586" t="inlineStr">
        <is>
          <t>GOTLANDS LÄN</t>
        </is>
      </c>
      <c r="E586" t="inlineStr">
        <is>
          <t>GOTLAND</t>
        </is>
      </c>
      <c r="F586" t="inlineStr">
        <is>
          <t>Kyrkan</t>
        </is>
      </c>
      <c r="G586" t="n">
        <v>2.6</v>
      </c>
      <c r="H586" t="n">
        <v>0</v>
      </c>
      <c r="I586" t="n">
        <v>0</v>
      </c>
      <c r="J586" t="n">
        <v>0</v>
      </c>
      <c r="K586" t="n">
        <v>0</v>
      </c>
      <c r="L586" t="n">
        <v>0</v>
      </c>
      <c r="M586" t="n">
        <v>0</v>
      </c>
      <c r="N586" t="n">
        <v>0</v>
      </c>
      <c r="O586" t="n">
        <v>0</v>
      </c>
      <c r="P586" t="n">
        <v>0</v>
      </c>
      <c r="Q586" t="n">
        <v>0</v>
      </c>
      <c r="R586" s="2" t="inlineStr"/>
    </row>
    <row r="587" ht="15" customHeight="1">
      <c r="A587" t="inlineStr">
        <is>
          <t>A 20225-2025</t>
        </is>
      </c>
      <c r="B587" s="1" t="n">
        <v>45772.65802083333</v>
      </c>
      <c r="C587" s="1" t="n">
        <v>46139</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46139</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64831-2023</t>
        </is>
      </c>
      <c r="B589" s="1" t="n">
        <v>45282.44924768519</v>
      </c>
      <c r="C589" s="1" t="n">
        <v>46139</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8036-2022</t>
        </is>
      </c>
      <c r="B590" s="1" t="n">
        <v>44609.44362268518</v>
      </c>
      <c r="C590" s="1" t="n">
        <v>46139</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46375-2024</t>
        </is>
      </c>
      <c r="B591" s="1" t="n">
        <v>45582</v>
      </c>
      <c r="C591" s="1" t="n">
        <v>46139</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46139</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62915-2021</t>
        </is>
      </c>
      <c r="B593" s="1" t="n">
        <v>44504</v>
      </c>
      <c r="C593" s="1" t="n">
        <v>46139</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19322-2026</t>
        </is>
      </c>
      <c r="B594" s="1" t="n">
        <v>46129</v>
      </c>
      <c r="C594" s="1" t="n">
        <v>46139</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7638-2025</t>
        </is>
      </c>
      <c r="B595" s="1" t="n">
        <v>45705.77306712963</v>
      </c>
      <c r="C595" s="1" t="n">
        <v>46139</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44955.5502662037</v>
      </c>
      <c r="C596" s="1" t="n">
        <v>46139</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43901-2023</t>
        </is>
      </c>
      <c r="B597" s="1" t="n">
        <v>45187</v>
      </c>
      <c r="C597" s="1" t="n">
        <v>46139</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17532-2024</t>
        </is>
      </c>
      <c r="B598" s="1" t="n">
        <v>45415</v>
      </c>
      <c r="C598" s="1" t="n">
        <v>46139</v>
      </c>
      <c r="D598" t="inlineStr">
        <is>
          <t>GOTLANDS LÄN</t>
        </is>
      </c>
      <c r="E598" t="inlineStr">
        <is>
          <t>GOTLAND</t>
        </is>
      </c>
      <c r="G598" t="n">
        <v>4.3</v>
      </c>
      <c r="H598" t="n">
        <v>0</v>
      </c>
      <c r="I598" t="n">
        <v>0</v>
      </c>
      <c r="J598" t="n">
        <v>0</v>
      </c>
      <c r="K598" t="n">
        <v>0</v>
      </c>
      <c r="L598" t="n">
        <v>0</v>
      </c>
      <c r="M598" t="n">
        <v>0</v>
      </c>
      <c r="N598" t="n">
        <v>0</v>
      </c>
      <c r="O598" t="n">
        <v>0</v>
      </c>
      <c r="P598" t="n">
        <v>0</v>
      </c>
      <c r="Q598" t="n">
        <v>0</v>
      </c>
      <c r="R598" s="2" t="inlineStr"/>
    </row>
    <row r="599" ht="15" customHeight="1">
      <c r="A599" t="inlineStr">
        <is>
          <t>A 45692-2023</t>
        </is>
      </c>
      <c r="B599" s="1" t="n">
        <v>45195</v>
      </c>
      <c r="C599" s="1" t="n">
        <v>46139</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37222-2021</t>
        </is>
      </c>
      <c r="B600" s="1" t="n">
        <v>44396</v>
      </c>
      <c r="C600" s="1" t="n">
        <v>46139</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5863-2026</t>
        </is>
      </c>
      <c r="B601" s="1" t="n">
        <v>46052</v>
      </c>
      <c r="C601" s="1" t="n">
        <v>46139</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46396-2023</t>
        </is>
      </c>
      <c r="B602" s="1" t="n">
        <v>45197</v>
      </c>
      <c r="C602" s="1" t="n">
        <v>46139</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58388-2022</t>
        </is>
      </c>
      <c r="B603" s="1" t="n">
        <v>44894</v>
      </c>
      <c r="C603" s="1" t="n">
        <v>46139</v>
      </c>
      <c r="D603" t="inlineStr">
        <is>
          <t>GOTLANDS LÄN</t>
        </is>
      </c>
      <c r="E603" t="inlineStr">
        <is>
          <t>GOTLAND</t>
        </is>
      </c>
      <c r="F603" t="inlineStr">
        <is>
          <t>Övriga statliga verk och myndigheter</t>
        </is>
      </c>
      <c r="G603" t="n">
        <v>3.1</v>
      </c>
      <c r="H603" t="n">
        <v>0</v>
      </c>
      <c r="I603" t="n">
        <v>0</v>
      </c>
      <c r="J603" t="n">
        <v>0</v>
      </c>
      <c r="K603" t="n">
        <v>0</v>
      </c>
      <c r="L603" t="n">
        <v>0</v>
      </c>
      <c r="M603" t="n">
        <v>0</v>
      </c>
      <c r="N603" t="n">
        <v>0</v>
      </c>
      <c r="O603" t="n">
        <v>0</v>
      </c>
      <c r="P603" t="n">
        <v>0</v>
      </c>
      <c r="Q603" t="n">
        <v>0</v>
      </c>
      <c r="R603" s="2" t="inlineStr"/>
    </row>
    <row r="604" ht="15" customHeight="1">
      <c r="A604" t="inlineStr">
        <is>
          <t>A 63000-2025</t>
        </is>
      </c>
      <c r="B604" s="1" t="n">
        <v>46009</v>
      </c>
      <c r="C604" s="1" t="n">
        <v>46139</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62836-2025</t>
        </is>
      </c>
      <c r="B605" s="1" t="n">
        <v>46008</v>
      </c>
      <c r="C605" s="1" t="n">
        <v>46139</v>
      </c>
      <c r="D605" t="inlineStr">
        <is>
          <t>GOTLANDS LÄN</t>
        </is>
      </c>
      <c r="E605" t="inlineStr">
        <is>
          <t>GOTLAND</t>
        </is>
      </c>
      <c r="G605" t="n">
        <v>6.5</v>
      </c>
      <c r="H605" t="n">
        <v>0</v>
      </c>
      <c r="I605" t="n">
        <v>0</v>
      </c>
      <c r="J605" t="n">
        <v>0</v>
      </c>
      <c r="K605" t="n">
        <v>0</v>
      </c>
      <c r="L605" t="n">
        <v>0</v>
      </c>
      <c r="M605" t="n">
        <v>0</v>
      </c>
      <c r="N605" t="n">
        <v>0</v>
      </c>
      <c r="O605" t="n">
        <v>0</v>
      </c>
      <c r="P605" t="n">
        <v>0</v>
      </c>
      <c r="Q605" t="n">
        <v>0</v>
      </c>
      <c r="R605" s="2" t="inlineStr"/>
    </row>
    <row r="606" ht="15" customHeight="1">
      <c r="A606" t="inlineStr">
        <is>
          <t>A 62751-2025</t>
        </is>
      </c>
      <c r="B606" s="1" t="n">
        <v>46008</v>
      </c>
      <c r="C606" s="1" t="n">
        <v>46139</v>
      </c>
      <c r="D606" t="inlineStr">
        <is>
          <t>GOTLANDS LÄN</t>
        </is>
      </c>
      <c r="E606" t="inlineStr">
        <is>
          <t>GOTLAND</t>
        </is>
      </c>
      <c r="F606" t="inlineStr">
        <is>
          <t>Övriga Aktiebolag</t>
        </is>
      </c>
      <c r="G606" t="n">
        <v>7.8</v>
      </c>
      <c r="H606" t="n">
        <v>0</v>
      </c>
      <c r="I606" t="n">
        <v>0</v>
      </c>
      <c r="J606" t="n">
        <v>0</v>
      </c>
      <c r="K606" t="n">
        <v>0</v>
      </c>
      <c r="L606" t="n">
        <v>0</v>
      </c>
      <c r="M606" t="n">
        <v>0</v>
      </c>
      <c r="N606" t="n">
        <v>0</v>
      </c>
      <c r="O606" t="n">
        <v>0</v>
      </c>
      <c r="P606" t="n">
        <v>0</v>
      </c>
      <c r="Q606" t="n">
        <v>0</v>
      </c>
      <c r="R606" s="2" t="inlineStr"/>
    </row>
    <row r="607" ht="15" customHeight="1">
      <c r="A607" t="inlineStr">
        <is>
          <t>A 62754-2025</t>
        </is>
      </c>
      <c r="B607" s="1" t="n">
        <v>46008</v>
      </c>
      <c r="C607" s="1" t="n">
        <v>46139</v>
      </c>
      <c r="D607" t="inlineStr">
        <is>
          <t>GOTLANDS LÄN</t>
        </is>
      </c>
      <c r="E607" t="inlineStr">
        <is>
          <t>GOTLAND</t>
        </is>
      </c>
      <c r="F607" t="inlineStr">
        <is>
          <t>Övriga Aktiebolag</t>
        </is>
      </c>
      <c r="G607" t="n">
        <v>2.9</v>
      </c>
      <c r="H607" t="n">
        <v>0</v>
      </c>
      <c r="I607" t="n">
        <v>0</v>
      </c>
      <c r="J607" t="n">
        <v>0</v>
      </c>
      <c r="K607" t="n">
        <v>0</v>
      </c>
      <c r="L607" t="n">
        <v>0</v>
      </c>
      <c r="M607" t="n">
        <v>0</v>
      </c>
      <c r="N607" t="n">
        <v>0</v>
      </c>
      <c r="O607" t="n">
        <v>0</v>
      </c>
      <c r="P607" t="n">
        <v>0</v>
      </c>
      <c r="Q607" t="n">
        <v>0</v>
      </c>
      <c r="R607" s="2" t="inlineStr"/>
    </row>
    <row r="608" ht="15" customHeight="1">
      <c r="A608" t="inlineStr">
        <is>
          <t>A 13486-2026</t>
        </is>
      </c>
      <c r="B608" s="1" t="n">
        <v>46094</v>
      </c>
      <c r="C608" s="1" t="n">
        <v>46139</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53934-2024</t>
        </is>
      </c>
      <c r="B609" s="1" t="n">
        <v>45615</v>
      </c>
      <c r="C609" s="1" t="n">
        <v>46139</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46139</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22899-2023</t>
        </is>
      </c>
      <c r="B611" s="1" t="n">
        <v>45072</v>
      </c>
      <c r="C611" s="1" t="n">
        <v>46139</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28285-2024</t>
        </is>
      </c>
      <c r="B612" s="1" t="n">
        <v>45477</v>
      </c>
      <c r="C612" s="1" t="n">
        <v>46139</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51963-2024</t>
        </is>
      </c>
      <c r="B613" s="1" t="n">
        <v>45607.64833333333</v>
      </c>
      <c r="C613" s="1" t="n">
        <v>46139</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1734-2025</t>
        </is>
      </c>
      <c r="B614" s="1" t="n">
        <v>45671.3840625</v>
      </c>
      <c r="C614" s="1" t="n">
        <v>46139</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30365-2024</t>
        </is>
      </c>
      <c r="B615" s="1" t="n">
        <v>45491.3716087963</v>
      </c>
      <c r="C615" s="1" t="n">
        <v>46139</v>
      </c>
      <c r="D615" t="inlineStr">
        <is>
          <t>GOTLANDS LÄN</t>
        </is>
      </c>
      <c r="E615" t="inlineStr">
        <is>
          <t>GOTLAND</t>
        </is>
      </c>
      <c r="G615" t="n">
        <v>0.5</v>
      </c>
      <c r="H615" t="n">
        <v>0</v>
      </c>
      <c r="I615" t="n">
        <v>0</v>
      </c>
      <c r="J615" t="n">
        <v>0</v>
      </c>
      <c r="K615" t="n">
        <v>0</v>
      </c>
      <c r="L615" t="n">
        <v>0</v>
      </c>
      <c r="M615" t="n">
        <v>0</v>
      </c>
      <c r="N615" t="n">
        <v>0</v>
      </c>
      <c r="O615" t="n">
        <v>0</v>
      </c>
      <c r="P615" t="n">
        <v>0</v>
      </c>
      <c r="Q615" t="n">
        <v>0</v>
      </c>
      <c r="R615" s="2" t="inlineStr"/>
    </row>
    <row r="616" ht="15" customHeight="1">
      <c r="A616" t="inlineStr">
        <is>
          <t>A 2674-2023</t>
        </is>
      </c>
      <c r="B616" s="1" t="n">
        <v>44944</v>
      </c>
      <c r="C616" s="1" t="n">
        <v>46139</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61100-2022</t>
        </is>
      </c>
      <c r="B617" s="1" t="n">
        <v>44915</v>
      </c>
      <c r="C617" s="1" t="n">
        <v>46139</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581-2023</t>
        </is>
      </c>
      <c r="B618" s="1" t="n">
        <v>44930</v>
      </c>
      <c r="C618" s="1" t="n">
        <v>46139</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44988.49543981482</v>
      </c>
      <c r="C619" s="1" t="n">
        <v>46139</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44649-2021</t>
        </is>
      </c>
      <c r="B620" s="1" t="n">
        <v>44437</v>
      </c>
      <c r="C620" s="1" t="n">
        <v>46139</v>
      </c>
      <c r="D620" t="inlineStr">
        <is>
          <t>GOTLANDS LÄN</t>
        </is>
      </c>
      <c r="E620" t="inlineStr">
        <is>
          <t>GOTLAND</t>
        </is>
      </c>
      <c r="G620" t="n">
        <v>8.1</v>
      </c>
      <c r="H620" t="n">
        <v>0</v>
      </c>
      <c r="I620" t="n">
        <v>0</v>
      </c>
      <c r="J620" t="n">
        <v>0</v>
      </c>
      <c r="K620" t="n">
        <v>0</v>
      </c>
      <c r="L620" t="n">
        <v>0</v>
      </c>
      <c r="M620" t="n">
        <v>0</v>
      </c>
      <c r="N620" t="n">
        <v>0</v>
      </c>
      <c r="O620" t="n">
        <v>0</v>
      </c>
      <c r="P620" t="n">
        <v>0</v>
      </c>
      <c r="Q620" t="n">
        <v>0</v>
      </c>
      <c r="R620" s="2" t="inlineStr"/>
    </row>
    <row r="621" ht="15" customHeight="1">
      <c r="A621" t="inlineStr">
        <is>
          <t>A 8484-2025</t>
        </is>
      </c>
      <c r="B621" s="1" t="n">
        <v>45709</v>
      </c>
      <c r="C621" s="1" t="n">
        <v>46139</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49962-2023</t>
        </is>
      </c>
      <c r="B622" s="1" t="n">
        <v>45215.38775462963</v>
      </c>
      <c r="C622" s="1" t="n">
        <v>46139</v>
      </c>
      <c r="D622" t="inlineStr">
        <is>
          <t>GOTLANDS LÄN</t>
        </is>
      </c>
      <c r="E622" t="inlineStr">
        <is>
          <t>GOTLAND</t>
        </is>
      </c>
      <c r="G622" t="n">
        <v>1.4</v>
      </c>
      <c r="H622" t="n">
        <v>0</v>
      </c>
      <c r="I622" t="n">
        <v>0</v>
      </c>
      <c r="J622" t="n">
        <v>0</v>
      </c>
      <c r="K622" t="n">
        <v>0</v>
      </c>
      <c r="L622" t="n">
        <v>0</v>
      </c>
      <c r="M622" t="n">
        <v>0</v>
      </c>
      <c r="N622" t="n">
        <v>0</v>
      </c>
      <c r="O622" t="n">
        <v>0</v>
      </c>
      <c r="P622" t="n">
        <v>0</v>
      </c>
      <c r="Q622" t="n">
        <v>0</v>
      </c>
      <c r="R622" s="2" t="inlineStr"/>
    </row>
    <row r="623" ht="15" customHeight="1">
      <c r="A623" t="inlineStr">
        <is>
          <t>A 50744-2024</t>
        </is>
      </c>
      <c r="B623" s="1" t="n">
        <v>45602.4187037037</v>
      </c>
      <c r="C623" s="1" t="n">
        <v>46139</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45244-2024</t>
        </is>
      </c>
      <c r="B624" s="1" t="n">
        <v>45576</v>
      </c>
      <c r="C624" s="1" t="n">
        <v>46139</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46139</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2714-2023</t>
        </is>
      </c>
      <c r="B626" s="1" t="n">
        <v>44944.54896990741</v>
      </c>
      <c r="C626" s="1" t="n">
        <v>46139</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45072.55239583334</v>
      </c>
      <c r="C627" s="1" t="n">
        <v>46139</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4568-2025</t>
        </is>
      </c>
      <c r="B628" s="1" t="n">
        <v>45687</v>
      </c>
      <c r="C628" s="1" t="n">
        <v>46139</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1681-2023</t>
        </is>
      </c>
      <c r="B629" s="1" t="n">
        <v>44938.39715277778</v>
      </c>
      <c r="C629" s="1" t="n">
        <v>46139</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42338-2023</t>
        </is>
      </c>
      <c r="B630" s="1" t="n">
        <v>45180</v>
      </c>
      <c r="C630" s="1" t="n">
        <v>46139</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18918-2025</t>
        </is>
      </c>
      <c r="B631" s="1" t="n">
        <v>45764</v>
      </c>
      <c r="C631" s="1" t="n">
        <v>46139</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11013-2024</t>
        </is>
      </c>
      <c r="B632" s="1" t="n">
        <v>45370</v>
      </c>
      <c r="C632" s="1" t="n">
        <v>46139</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45084-2024</t>
        </is>
      </c>
      <c r="B633" s="1" t="n">
        <v>45575</v>
      </c>
      <c r="C633" s="1" t="n">
        <v>46139</v>
      </c>
      <c r="D633" t="inlineStr">
        <is>
          <t>GOTLANDS LÄN</t>
        </is>
      </c>
      <c r="E633" t="inlineStr">
        <is>
          <t>GOTLAND</t>
        </is>
      </c>
      <c r="G633" t="n">
        <v>6.8</v>
      </c>
      <c r="H633" t="n">
        <v>0</v>
      </c>
      <c r="I633" t="n">
        <v>0</v>
      </c>
      <c r="J633" t="n">
        <v>0</v>
      </c>
      <c r="K633" t="n">
        <v>0</v>
      </c>
      <c r="L633" t="n">
        <v>0</v>
      </c>
      <c r="M633" t="n">
        <v>0</v>
      </c>
      <c r="N633" t="n">
        <v>0</v>
      </c>
      <c r="O633" t="n">
        <v>0</v>
      </c>
      <c r="P633" t="n">
        <v>0</v>
      </c>
      <c r="Q633" t="n">
        <v>0</v>
      </c>
      <c r="R633" s="2" t="inlineStr"/>
    </row>
    <row r="634" ht="15" customHeight="1">
      <c r="A634" t="inlineStr">
        <is>
          <t>A 20356-2022</t>
        </is>
      </c>
      <c r="B634" s="1" t="n">
        <v>44699</v>
      </c>
      <c r="C634" s="1" t="n">
        <v>46139</v>
      </c>
      <c r="D634" t="inlineStr">
        <is>
          <t>GOTLANDS LÄN</t>
        </is>
      </c>
      <c r="E634" t="inlineStr">
        <is>
          <t>GOTLAND</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4868-2024</t>
        </is>
      </c>
      <c r="B635" s="1" t="n">
        <v>45329</v>
      </c>
      <c r="C635" s="1" t="n">
        <v>46139</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9613-2025</t>
        </is>
      </c>
      <c r="B636" s="1" t="n">
        <v>45715</v>
      </c>
      <c r="C636" s="1" t="n">
        <v>46139</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5386-2023</t>
        </is>
      </c>
      <c r="B637" s="1" t="n">
        <v>44959</v>
      </c>
      <c r="C637" s="1" t="n">
        <v>46139</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58211-2024</t>
        </is>
      </c>
      <c r="B638" s="1" t="n">
        <v>45632.49292824074</v>
      </c>
      <c r="C638" s="1" t="n">
        <v>46139</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11634-2024</t>
        </is>
      </c>
      <c r="B639" s="1" t="n">
        <v>45373</v>
      </c>
      <c r="C639" s="1" t="n">
        <v>46139</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5884-2025</t>
        </is>
      </c>
      <c r="B640" s="1" t="n">
        <v>45695.37482638889</v>
      </c>
      <c r="C640" s="1" t="n">
        <v>46139</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5897-2025</t>
        </is>
      </c>
      <c r="B641" s="1" t="n">
        <v>45695.39273148148</v>
      </c>
      <c r="C641" s="1" t="n">
        <v>46139</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5909-2025</t>
        </is>
      </c>
      <c r="B642" s="1" t="n">
        <v>45695.40634259259</v>
      </c>
      <c r="C642" s="1" t="n">
        <v>46139</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60086-2022</t>
        </is>
      </c>
      <c r="B643" s="1" t="n">
        <v>44909</v>
      </c>
      <c r="C643" s="1" t="n">
        <v>46139</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c r="A644" t="inlineStr">
        <is>
          <t>A 22704-2023</t>
        </is>
      </c>
      <c r="B644" s="1" t="n">
        <v>45071</v>
      </c>
      <c r="C644" s="1" t="n">
        <v>46139</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2026-04-27T11:29:52Z</dcterms:created>
  <dcterms:modified xmlns:dcterms="http://purl.org/dc/terms/" xmlns:xsi="http://www.w3.org/2001/XMLSchema-instance" xsi:type="dcterms:W3CDTF">2026-04-27T11:29:53Z</dcterms:modified>
</cp:coreProperties>
</file>